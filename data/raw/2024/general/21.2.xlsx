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AA8FBC91-5D0B-4C19-855A-B7B25F3507D8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7.25" sheetId="39" r:id="rId1"/>
  </sheets>
  <definedNames>
    <definedName name="_xlnm.Print_Area" localSheetId="0">'7.25'!$A$1:$T$166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2" i="39" l="1"/>
  <c r="N162" i="39"/>
  <c r="K162" i="39"/>
  <c r="H162" i="39"/>
  <c r="E162" i="39"/>
  <c r="B162" i="39"/>
  <c r="Q161" i="39"/>
  <c r="N161" i="39"/>
  <c r="K161" i="39"/>
  <c r="H161" i="39"/>
  <c r="E161" i="39"/>
  <c r="B161" i="39"/>
  <c r="R160" i="39"/>
  <c r="Q160" i="39"/>
  <c r="Q159" i="39"/>
  <c r="N159" i="39"/>
  <c r="M159" i="39"/>
  <c r="K159" i="39" s="1"/>
  <c r="L159" i="39"/>
  <c r="Q158" i="39"/>
  <c r="N158" i="39"/>
  <c r="M158" i="39"/>
  <c r="L158" i="39"/>
  <c r="K158" i="39" s="1"/>
  <c r="Q157" i="39"/>
  <c r="N157" i="39"/>
  <c r="L157" i="39"/>
  <c r="K157" i="39"/>
  <c r="Q156" i="39"/>
  <c r="N156" i="39"/>
  <c r="L156" i="39"/>
  <c r="K156" i="39" s="1"/>
  <c r="H156" i="39"/>
  <c r="S155" i="39"/>
  <c r="R155" i="39"/>
  <c r="Q155" i="39" s="1"/>
  <c r="O155" i="39"/>
  <c r="N155" i="39"/>
  <c r="L155" i="39"/>
  <c r="K155" i="39" s="1"/>
  <c r="H155" i="39"/>
  <c r="Q154" i="39"/>
  <c r="N154" i="39"/>
  <c r="K154" i="39"/>
  <c r="H154" i="39"/>
  <c r="S153" i="39"/>
  <c r="P153" i="39"/>
  <c r="O153" i="39"/>
  <c r="M153" i="39"/>
  <c r="L153" i="39"/>
  <c r="J153" i="39"/>
  <c r="I153" i="39"/>
  <c r="S152" i="39"/>
  <c r="R152" i="39"/>
  <c r="Q152" i="39" s="1"/>
  <c r="O152" i="39"/>
  <c r="N152" i="39"/>
  <c r="Q151" i="39"/>
  <c r="O151" i="39"/>
  <c r="N151" i="39" s="1"/>
  <c r="Q150" i="39"/>
  <c r="P150" i="39"/>
  <c r="O150" i="39"/>
  <c r="N150" i="39" s="1"/>
  <c r="S149" i="39"/>
  <c r="R149" i="39"/>
  <c r="P149" i="39"/>
  <c r="N149" i="39"/>
  <c r="M149" i="39"/>
  <c r="L149" i="39"/>
  <c r="Q148" i="39"/>
  <c r="O148" i="39"/>
  <c r="N148" i="39" s="1"/>
  <c r="M148" i="39"/>
  <c r="L148" i="39"/>
  <c r="K148" i="39" s="1"/>
  <c r="S147" i="39"/>
  <c r="R147" i="39"/>
  <c r="O147" i="39"/>
  <c r="N147" i="39"/>
  <c r="M147" i="39"/>
  <c r="K147" i="39" s="1"/>
  <c r="L147" i="39"/>
  <c r="Q146" i="39"/>
  <c r="O146" i="39"/>
  <c r="N146" i="39" s="1"/>
  <c r="M146" i="39"/>
  <c r="L146" i="39"/>
  <c r="K146" i="39" s="1"/>
  <c r="Q145" i="39"/>
  <c r="O145" i="39"/>
  <c r="N145" i="39"/>
  <c r="M145" i="39"/>
  <c r="L145" i="39"/>
  <c r="Q144" i="39"/>
  <c r="O144" i="39"/>
  <c r="N144" i="39" s="1"/>
  <c r="M144" i="39"/>
  <c r="K144" i="39" s="1"/>
  <c r="L144" i="39"/>
  <c r="R143" i="39"/>
  <c r="Q143" i="39"/>
  <c r="O143" i="39"/>
  <c r="N143" i="39" s="1"/>
  <c r="M143" i="39"/>
  <c r="L143" i="39"/>
  <c r="K143" i="39" s="1"/>
  <c r="Q142" i="39"/>
  <c r="P142" i="39"/>
  <c r="O142" i="39"/>
  <c r="N142" i="39" s="1"/>
  <c r="M142" i="39"/>
  <c r="L142" i="39"/>
  <c r="K142" i="39"/>
  <c r="Q141" i="39"/>
  <c r="O141" i="39"/>
  <c r="N141" i="39" s="1"/>
  <c r="M141" i="39"/>
  <c r="L141" i="39"/>
  <c r="Q140" i="39"/>
  <c r="O140" i="39"/>
  <c r="N140" i="39" s="1"/>
  <c r="M140" i="39"/>
  <c r="L140" i="39"/>
  <c r="K140" i="39"/>
  <c r="S139" i="39"/>
  <c r="R139" i="39"/>
  <c r="P139" i="39"/>
  <c r="O139" i="39"/>
  <c r="M139" i="39"/>
  <c r="L139" i="39"/>
  <c r="K139" i="39" s="1"/>
  <c r="Q138" i="39"/>
  <c r="P138" i="39"/>
  <c r="O138" i="39"/>
  <c r="N138" i="39" s="1"/>
  <c r="M138" i="39"/>
  <c r="L138" i="39"/>
  <c r="Q137" i="39"/>
  <c r="P137" i="39"/>
  <c r="O137" i="39"/>
  <c r="N137" i="39" s="1"/>
  <c r="M137" i="39"/>
  <c r="L137" i="39"/>
  <c r="K137" i="39" s="1"/>
  <c r="Q136" i="39"/>
  <c r="P136" i="39"/>
  <c r="P127" i="39" s="1"/>
  <c r="O136" i="39"/>
  <c r="M136" i="39"/>
  <c r="L136" i="39"/>
  <c r="K136" i="39" s="1"/>
  <c r="Q135" i="39"/>
  <c r="P135" i="39"/>
  <c r="N135" i="39" s="1"/>
  <c r="M135" i="39"/>
  <c r="L135" i="39"/>
  <c r="K135" i="39" s="1"/>
  <c r="S134" i="39"/>
  <c r="R134" i="39"/>
  <c r="P134" i="39"/>
  <c r="O134" i="39"/>
  <c r="N134" i="39" s="1"/>
  <c r="M134" i="39"/>
  <c r="L134" i="39"/>
  <c r="K134" i="39" s="1"/>
  <c r="Q133" i="39"/>
  <c r="P133" i="39"/>
  <c r="N133" i="39" s="1"/>
  <c r="M133" i="39"/>
  <c r="K133" i="39" s="1"/>
  <c r="H133" i="39"/>
  <c r="H127" i="39" s="1"/>
  <c r="Q132" i="39"/>
  <c r="P132" i="39"/>
  <c r="O132" i="39"/>
  <c r="N132" i="39"/>
  <c r="M132" i="39"/>
  <c r="M127" i="39" s="1"/>
  <c r="L132" i="39"/>
  <c r="H132" i="39"/>
  <c r="S131" i="39"/>
  <c r="S127" i="39" s="1"/>
  <c r="R131" i="39"/>
  <c r="P131" i="39"/>
  <c r="O131" i="39"/>
  <c r="N131" i="39" s="1"/>
  <c r="M131" i="39"/>
  <c r="K131" i="39" s="1"/>
  <c r="L131" i="39"/>
  <c r="H131" i="39"/>
  <c r="E130" i="39"/>
  <c r="E129" i="39"/>
  <c r="E128" i="39"/>
  <c r="J127" i="39"/>
  <c r="I127" i="39"/>
  <c r="G127" i="39"/>
  <c r="F127" i="39"/>
  <c r="E127" i="39" s="1"/>
  <c r="Q126" i="39"/>
  <c r="O126" i="39"/>
  <c r="N126" i="39"/>
  <c r="Q125" i="39"/>
  <c r="N125" i="39"/>
  <c r="M125" i="39"/>
  <c r="K125" i="39" s="1"/>
  <c r="L125" i="39"/>
  <c r="S124" i="39"/>
  <c r="R124" i="39"/>
  <c r="P124" i="39"/>
  <c r="O124" i="39"/>
  <c r="N124" i="39" s="1"/>
  <c r="M124" i="39"/>
  <c r="K124" i="39" s="1"/>
  <c r="L124" i="39"/>
  <c r="J124" i="39"/>
  <c r="I124" i="39"/>
  <c r="I116" i="39" s="1"/>
  <c r="H124" i="39"/>
  <c r="E124" i="39"/>
  <c r="S123" i="39"/>
  <c r="R123" i="39"/>
  <c r="Q123" i="39" s="1"/>
  <c r="P123" i="39"/>
  <c r="N123" i="39" s="1"/>
  <c r="O123" i="39"/>
  <c r="K123" i="39"/>
  <c r="H123" i="39"/>
  <c r="E123" i="39"/>
  <c r="B123" i="39"/>
  <c r="S122" i="39"/>
  <c r="R122" i="39"/>
  <c r="Q122" i="39"/>
  <c r="P122" i="39"/>
  <c r="O122" i="39"/>
  <c r="M122" i="39"/>
  <c r="L122" i="39"/>
  <c r="K122" i="39" s="1"/>
  <c r="J122" i="39"/>
  <c r="H122" i="39" s="1"/>
  <c r="I122" i="39"/>
  <c r="E122" i="39"/>
  <c r="B122" i="39"/>
  <c r="S121" i="39"/>
  <c r="R121" i="39"/>
  <c r="Q121" i="39" s="1"/>
  <c r="P121" i="39"/>
  <c r="N121" i="39" s="1"/>
  <c r="O121" i="39"/>
  <c r="M121" i="39"/>
  <c r="L121" i="39"/>
  <c r="K121" i="39" s="1"/>
  <c r="H121" i="39"/>
  <c r="E121" i="39"/>
  <c r="B121" i="39"/>
  <c r="S120" i="39"/>
  <c r="R120" i="39"/>
  <c r="O120" i="39"/>
  <c r="N120" i="39" s="1"/>
  <c r="M120" i="39"/>
  <c r="L120" i="39"/>
  <c r="K120" i="39"/>
  <c r="H120" i="39"/>
  <c r="E120" i="39"/>
  <c r="B120" i="39"/>
  <c r="S119" i="39"/>
  <c r="R119" i="39"/>
  <c r="P119" i="39"/>
  <c r="O119" i="39"/>
  <c r="M119" i="39"/>
  <c r="L119" i="39"/>
  <c r="K119" i="39" s="1"/>
  <c r="H119" i="39"/>
  <c r="E119" i="39"/>
  <c r="B119" i="39"/>
  <c r="S118" i="39"/>
  <c r="R118" i="39"/>
  <c r="P118" i="39"/>
  <c r="O118" i="39"/>
  <c r="M118" i="39"/>
  <c r="L118" i="39"/>
  <c r="K118" i="39" s="1"/>
  <c r="H118" i="39"/>
  <c r="E118" i="39"/>
  <c r="B118" i="39"/>
  <c r="Q117" i="39"/>
  <c r="P117" i="39"/>
  <c r="O117" i="39"/>
  <c r="N117" i="39" s="1"/>
  <c r="M117" i="39"/>
  <c r="L117" i="39"/>
  <c r="H117" i="39"/>
  <c r="E117" i="39"/>
  <c r="B117" i="39"/>
  <c r="G116" i="39"/>
  <c r="F116" i="39"/>
  <c r="E116" i="39"/>
  <c r="D116" i="39"/>
  <c r="C116" i="39"/>
  <c r="B116" i="39"/>
  <c r="Q115" i="39"/>
  <c r="N115" i="39"/>
  <c r="K115" i="39"/>
  <c r="H115" i="39"/>
  <c r="E115" i="39"/>
  <c r="B115" i="39"/>
  <c r="Q114" i="39"/>
  <c r="N114" i="39"/>
  <c r="K114" i="39"/>
  <c r="H114" i="39"/>
  <c r="E114" i="39"/>
  <c r="B114" i="39"/>
  <c r="Q113" i="39"/>
  <c r="N113" i="39"/>
  <c r="K113" i="39"/>
  <c r="H113" i="39"/>
  <c r="E113" i="39"/>
  <c r="B113" i="39"/>
  <c r="Q112" i="39"/>
  <c r="N112" i="39"/>
  <c r="K112" i="39"/>
  <c r="H112" i="39"/>
  <c r="E112" i="39"/>
  <c r="B112" i="39"/>
  <c r="Q111" i="39"/>
  <c r="N111" i="39"/>
  <c r="K111" i="39"/>
  <c r="H111" i="39"/>
  <c r="E111" i="39"/>
  <c r="B111" i="39"/>
  <c r="Q110" i="39"/>
  <c r="N110" i="39"/>
  <c r="K110" i="39"/>
  <c r="H110" i="39"/>
  <c r="E110" i="39"/>
  <c r="B110" i="39"/>
  <c r="Q109" i="39"/>
  <c r="N109" i="39"/>
  <c r="K109" i="39"/>
  <c r="H109" i="39"/>
  <c r="E109" i="39"/>
  <c r="B109" i="39"/>
  <c r="S108" i="39"/>
  <c r="R108" i="39"/>
  <c r="Q108" i="39" s="1"/>
  <c r="P108" i="39"/>
  <c r="N108" i="39" s="1"/>
  <c r="O108" i="39"/>
  <c r="M108" i="39"/>
  <c r="L108" i="39"/>
  <c r="K108" i="39" s="1"/>
  <c r="J108" i="39"/>
  <c r="I108" i="39"/>
  <c r="G108" i="39"/>
  <c r="F108" i="39"/>
  <c r="D108" i="39"/>
  <c r="C108" i="39"/>
  <c r="Q107" i="39"/>
  <c r="N107" i="39"/>
  <c r="K107" i="39"/>
  <c r="H107" i="39"/>
  <c r="E107" i="39"/>
  <c r="Q106" i="39"/>
  <c r="N106" i="39"/>
  <c r="K106" i="39"/>
  <c r="H106" i="39"/>
  <c r="E106" i="39"/>
  <c r="B106" i="39"/>
  <c r="Q105" i="39"/>
  <c r="N105" i="39"/>
  <c r="K105" i="39"/>
  <c r="H105" i="39"/>
  <c r="E105" i="39"/>
  <c r="B105" i="39"/>
  <c r="Q104" i="39"/>
  <c r="N104" i="39"/>
  <c r="K104" i="39"/>
  <c r="H104" i="39"/>
  <c r="E104" i="39"/>
  <c r="B104" i="39"/>
  <c r="Q103" i="39"/>
  <c r="N103" i="39"/>
  <c r="K103" i="39"/>
  <c r="H103" i="39"/>
  <c r="E103" i="39"/>
  <c r="B103" i="39"/>
  <c r="Q102" i="39"/>
  <c r="N102" i="39"/>
  <c r="K102" i="39"/>
  <c r="H102" i="39"/>
  <c r="E102" i="39"/>
  <c r="B102" i="39"/>
  <c r="Q101" i="39"/>
  <c r="N101" i="39"/>
  <c r="K101" i="39"/>
  <c r="H101" i="39"/>
  <c r="E101" i="39"/>
  <c r="B101" i="39"/>
  <c r="Q100" i="39"/>
  <c r="N100" i="39"/>
  <c r="K100" i="39"/>
  <c r="H100" i="39"/>
  <c r="E100" i="39"/>
  <c r="B100" i="39"/>
  <c r="Q99" i="39"/>
  <c r="N99" i="39"/>
  <c r="K99" i="39"/>
  <c r="H99" i="39"/>
  <c r="E99" i="39"/>
  <c r="B99" i="39"/>
  <c r="Q98" i="39"/>
  <c r="N98" i="39"/>
  <c r="K98" i="39"/>
  <c r="H98" i="39"/>
  <c r="E98" i="39"/>
  <c r="B98" i="39"/>
  <c r="Q97" i="39"/>
  <c r="N97" i="39"/>
  <c r="K97" i="39"/>
  <c r="H97" i="39"/>
  <c r="E97" i="39"/>
  <c r="B97" i="39"/>
  <c r="Q96" i="39"/>
  <c r="N96" i="39"/>
  <c r="K96" i="39"/>
  <c r="H96" i="39"/>
  <c r="E96" i="39"/>
  <c r="B96" i="39"/>
  <c r="Q95" i="39"/>
  <c r="N95" i="39"/>
  <c r="K95" i="39"/>
  <c r="H95" i="39"/>
  <c r="E95" i="39"/>
  <c r="B95" i="39"/>
  <c r="Q94" i="39"/>
  <c r="N94" i="39"/>
  <c r="K94" i="39"/>
  <c r="H94" i="39"/>
  <c r="E94" i="39"/>
  <c r="B94" i="39"/>
  <c r="Q93" i="39"/>
  <c r="N93" i="39"/>
  <c r="K93" i="39"/>
  <c r="H93" i="39"/>
  <c r="F93" i="39"/>
  <c r="E93" i="39" s="1"/>
  <c r="B93" i="39"/>
  <c r="R92" i="39"/>
  <c r="Q92" i="39" s="1"/>
  <c r="O92" i="39"/>
  <c r="N92" i="39"/>
  <c r="L92" i="39"/>
  <c r="K92" i="39" s="1"/>
  <c r="I92" i="39"/>
  <c r="H92" i="39" s="1"/>
  <c r="C92" i="39"/>
  <c r="B92" i="39" s="1"/>
  <c r="Q91" i="39"/>
  <c r="N91" i="39"/>
  <c r="K91" i="39"/>
  <c r="H91" i="39"/>
  <c r="Q90" i="39"/>
  <c r="N90" i="39"/>
  <c r="K90" i="39"/>
  <c r="H90" i="39"/>
  <c r="E90" i="39"/>
  <c r="B90" i="39"/>
  <c r="Q89" i="39"/>
  <c r="N89" i="39"/>
  <c r="K89" i="39"/>
  <c r="H89" i="39"/>
  <c r="E89" i="39"/>
  <c r="B89" i="39"/>
  <c r="Q88" i="39"/>
  <c r="N88" i="39"/>
  <c r="K88" i="39"/>
  <c r="H88" i="39"/>
  <c r="E88" i="39"/>
  <c r="B88" i="39"/>
  <c r="Q87" i="39"/>
  <c r="N87" i="39"/>
  <c r="K87" i="39"/>
  <c r="H87" i="39"/>
  <c r="E87" i="39"/>
  <c r="B87" i="39"/>
  <c r="Q86" i="39"/>
  <c r="N86" i="39"/>
  <c r="K86" i="39"/>
  <c r="H86" i="39"/>
  <c r="E86" i="39"/>
  <c r="B86" i="39"/>
  <c r="Q85" i="39"/>
  <c r="N85" i="39"/>
  <c r="K85" i="39"/>
  <c r="H85" i="39"/>
  <c r="E85" i="39"/>
  <c r="B85" i="39"/>
  <c r="Q84" i="39"/>
  <c r="N84" i="39"/>
  <c r="K84" i="39"/>
  <c r="H84" i="39"/>
  <c r="E84" i="39"/>
  <c r="B84" i="39"/>
  <c r="Q83" i="39"/>
  <c r="N83" i="39"/>
  <c r="K83" i="39"/>
  <c r="H83" i="39"/>
  <c r="E83" i="39"/>
  <c r="B83" i="39"/>
  <c r="Q82" i="39"/>
  <c r="N82" i="39"/>
  <c r="K82" i="39"/>
  <c r="H82" i="39"/>
  <c r="E82" i="39"/>
  <c r="B82" i="39"/>
  <c r="Q81" i="39"/>
  <c r="N81" i="39"/>
  <c r="K81" i="39"/>
  <c r="H81" i="39"/>
  <c r="E81" i="39"/>
  <c r="B81" i="39"/>
  <c r="Q80" i="39"/>
  <c r="N80" i="39"/>
  <c r="K80" i="39"/>
  <c r="H80" i="39"/>
  <c r="E80" i="39"/>
  <c r="B80" i="39"/>
  <c r="Q79" i="39"/>
  <c r="N79" i="39"/>
  <c r="K79" i="39"/>
  <c r="H79" i="39"/>
  <c r="E79" i="39"/>
  <c r="B79" i="39"/>
  <c r="Q78" i="39"/>
  <c r="N78" i="39"/>
  <c r="K78" i="39"/>
  <c r="H78" i="39"/>
  <c r="E78" i="39"/>
  <c r="B78" i="39"/>
  <c r="Q77" i="39"/>
  <c r="N77" i="39"/>
  <c r="K77" i="39"/>
  <c r="H77" i="39"/>
  <c r="E77" i="39"/>
  <c r="B77" i="39"/>
  <c r="Q76" i="39"/>
  <c r="N76" i="39"/>
  <c r="K76" i="39"/>
  <c r="H76" i="39"/>
  <c r="E76" i="39"/>
  <c r="B76" i="39"/>
  <c r="S75" i="39"/>
  <c r="Q75" i="39" s="1"/>
  <c r="R75" i="39"/>
  <c r="P75" i="39"/>
  <c r="O75" i="39"/>
  <c r="N75" i="39" s="1"/>
  <c r="M75" i="39"/>
  <c r="L75" i="39"/>
  <c r="J75" i="39"/>
  <c r="I75" i="39"/>
  <c r="H75" i="39"/>
  <c r="G75" i="39"/>
  <c r="E75" i="39" s="1"/>
  <c r="F75" i="39"/>
  <c r="D75" i="39"/>
  <c r="C75" i="39"/>
  <c r="B75" i="39"/>
  <c r="Q74" i="39"/>
  <c r="N74" i="39"/>
  <c r="K74" i="39"/>
  <c r="H74" i="39"/>
  <c r="Q73" i="39"/>
  <c r="N73" i="39"/>
  <c r="K73" i="39"/>
  <c r="H73" i="39"/>
  <c r="E73" i="39"/>
  <c r="Q72" i="39"/>
  <c r="N72" i="39"/>
  <c r="K72" i="39"/>
  <c r="H72" i="39"/>
  <c r="E72" i="39"/>
  <c r="Q71" i="39"/>
  <c r="N71" i="39"/>
  <c r="K71" i="39"/>
  <c r="H71" i="39"/>
  <c r="E71" i="39"/>
  <c r="Q70" i="39"/>
  <c r="N70" i="39"/>
  <c r="K70" i="39"/>
  <c r="H70" i="39"/>
  <c r="E70" i="39"/>
  <c r="Q69" i="39"/>
  <c r="N69" i="39"/>
  <c r="K69" i="39"/>
  <c r="H69" i="39"/>
  <c r="E69" i="39"/>
  <c r="B69" i="39"/>
  <c r="Q68" i="39"/>
  <c r="N68" i="39"/>
  <c r="M68" i="39"/>
  <c r="L68" i="39"/>
  <c r="K68" i="39" s="1"/>
  <c r="H68" i="39"/>
  <c r="E68" i="39"/>
  <c r="B68" i="39"/>
  <c r="Q67" i="39"/>
  <c r="N67" i="39"/>
  <c r="K67" i="39"/>
  <c r="H67" i="39"/>
  <c r="E67" i="39"/>
  <c r="B67" i="39"/>
  <c r="Q66" i="39"/>
  <c r="N66" i="39"/>
  <c r="K66" i="39"/>
  <c r="H66" i="39"/>
  <c r="E66" i="39"/>
  <c r="B66" i="39"/>
  <c r="R65" i="39"/>
  <c r="R64" i="39" s="1"/>
  <c r="O65" i="39"/>
  <c r="O64" i="39" s="1"/>
  <c r="M65" i="39"/>
  <c r="M64" i="39" s="1"/>
  <c r="L65" i="39"/>
  <c r="H65" i="39"/>
  <c r="E65" i="39"/>
  <c r="C65" i="39"/>
  <c r="B65" i="39" s="1"/>
  <c r="S64" i="39"/>
  <c r="P64" i="39"/>
  <c r="L64" i="39"/>
  <c r="K64" i="39" s="1"/>
  <c r="J64" i="39"/>
  <c r="J52" i="39" s="1"/>
  <c r="I64" i="39"/>
  <c r="G64" i="39"/>
  <c r="F64" i="39"/>
  <c r="E64" i="39" s="1"/>
  <c r="D64" i="39"/>
  <c r="C64" i="39"/>
  <c r="B64" i="39" s="1"/>
  <c r="Q63" i="39"/>
  <c r="N63" i="39"/>
  <c r="K63" i="39"/>
  <c r="H63" i="39"/>
  <c r="E63" i="39"/>
  <c r="B63" i="39"/>
  <c r="Q62" i="39"/>
  <c r="N62" i="39"/>
  <c r="K62" i="39"/>
  <c r="H62" i="39"/>
  <c r="E62" i="39"/>
  <c r="B62" i="39"/>
  <c r="Q61" i="39"/>
  <c r="N61" i="39"/>
  <c r="K61" i="39"/>
  <c r="H61" i="39"/>
  <c r="E61" i="39"/>
  <c r="B61" i="39"/>
  <c r="Q60" i="39"/>
  <c r="N60" i="39"/>
  <c r="K60" i="39"/>
  <c r="H60" i="39"/>
  <c r="E60" i="39"/>
  <c r="B60" i="39"/>
  <c r="Q59" i="39"/>
  <c r="N59" i="39"/>
  <c r="K59" i="39"/>
  <c r="H59" i="39"/>
  <c r="E59" i="39"/>
  <c r="B59" i="39"/>
  <c r="Q58" i="39"/>
  <c r="N58" i="39"/>
  <c r="K58" i="39"/>
  <c r="H58" i="39"/>
  <c r="E58" i="39"/>
  <c r="B58" i="39"/>
  <c r="Q57" i="39"/>
  <c r="N57" i="39"/>
  <c r="K57" i="39"/>
  <c r="H57" i="39"/>
  <c r="E57" i="39"/>
  <c r="B57" i="39"/>
  <c r="S56" i="39"/>
  <c r="R56" i="39"/>
  <c r="Q56" i="39" s="1"/>
  <c r="P56" i="39"/>
  <c r="N56" i="39" s="1"/>
  <c r="O56" i="39"/>
  <c r="M56" i="39"/>
  <c r="K56" i="39" s="1"/>
  <c r="L56" i="39"/>
  <c r="J56" i="39"/>
  <c r="I56" i="39"/>
  <c r="H56" i="39" s="1"/>
  <c r="G56" i="39"/>
  <c r="F56" i="39"/>
  <c r="E56" i="39" s="1"/>
  <c r="D56" i="39"/>
  <c r="C56" i="39"/>
  <c r="B56" i="39"/>
  <c r="Q55" i="39"/>
  <c r="N55" i="39"/>
  <c r="K55" i="39"/>
  <c r="H55" i="39"/>
  <c r="E55" i="39"/>
  <c r="Q54" i="39"/>
  <c r="N54" i="39"/>
  <c r="M54" i="39"/>
  <c r="M53" i="39" s="1"/>
  <c r="M52" i="39" s="1"/>
  <c r="L54" i="39"/>
  <c r="K54" i="39" s="1"/>
  <c r="H54" i="39"/>
  <c r="E54" i="39"/>
  <c r="B54" i="39"/>
  <c r="S53" i="39"/>
  <c r="S52" i="39" s="1"/>
  <c r="R53" i="39"/>
  <c r="Q53" i="39" s="1"/>
  <c r="P53" i="39"/>
  <c r="O53" i="39"/>
  <c r="N53" i="39" s="1"/>
  <c r="J53" i="39"/>
  <c r="I53" i="39"/>
  <c r="H53" i="39"/>
  <c r="G53" i="39"/>
  <c r="F53" i="39"/>
  <c r="E53" i="39" s="1"/>
  <c r="D53" i="39"/>
  <c r="B53" i="39" s="1"/>
  <c r="C53" i="39"/>
  <c r="P52" i="39"/>
  <c r="R51" i="39"/>
  <c r="Q51" i="39"/>
  <c r="S50" i="39"/>
  <c r="R50" i="39"/>
  <c r="S49" i="39"/>
  <c r="R49" i="39"/>
  <c r="Q49" i="39" s="1"/>
  <c r="Q48" i="39"/>
  <c r="O48" i="39"/>
  <c r="N48" i="39" s="1"/>
  <c r="S47" i="39"/>
  <c r="R47" i="39"/>
  <c r="Q47" i="39" s="1"/>
  <c r="N47" i="39"/>
  <c r="R46" i="39"/>
  <c r="Q46" i="39" s="1"/>
  <c r="O46" i="39"/>
  <c r="N46" i="39"/>
  <c r="K46" i="39"/>
  <c r="H46" i="39"/>
  <c r="E46" i="39"/>
  <c r="B46" i="39"/>
  <c r="R45" i="39"/>
  <c r="Q45" i="39" s="1"/>
  <c r="O45" i="39"/>
  <c r="N45" i="39" s="1"/>
  <c r="K45" i="39"/>
  <c r="H45" i="39"/>
  <c r="E45" i="39"/>
  <c r="B45" i="39"/>
  <c r="S44" i="39"/>
  <c r="R44" i="39"/>
  <c r="Q44" i="39" s="1"/>
  <c r="P44" i="39"/>
  <c r="O44" i="39"/>
  <c r="N44" i="39" s="1"/>
  <c r="M44" i="39"/>
  <c r="L44" i="39"/>
  <c r="K44" i="39" s="1"/>
  <c r="H44" i="39"/>
  <c r="E44" i="39"/>
  <c r="D44" i="39"/>
  <c r="D36" i="39" s="1"/>
  <c r="C44" i="39"/>
  <c r="B44" i="39" s="1"/>
  <c r="S43" i="39"/>
  <c r="R43" i="39"/>
  <c r="Q43" i="39" s="1"/>
  <c r="P43" i="39"/>
  <c r="O43" i="39"/>
  <c r="N43" i="39" s="1"/>
  <c r="M43" i="39"/>
  <c r="M36" i="39" s="1"/>
  <c r="L43" i="39"/>
  <c r="H43" i="39"/>
  <c r="E43" i="39"/>
  <c r="B43" i="39"/>
  <c r="Q42" i="39"/>
  <c r="N42" i="39"/>
  <c r="K42" i="39"/>
  <c r="H42" i="39"/>
  <c r="E42" i="39"/>
  <c r="B42" i="39"/>
  <c r="Q41" i="39"/>
  <c r="N41" i="39"/>
  <c r="K41" i="39"/>
  <c r="H41" i="39"/>
  <c r="E41" i="39"/>
  <c r="B41" i="39"/>
  <c r="R40" i="39"/>
  <c r="Q40" i="39" s="1"/>
  <c r="O40" i="39"/>
  <c r="N40" i="39" s="1"/>
  <c r="M40" i="39"/>
  <c r="L40" i="39"/>
  <c r="K40" i="39" s="1"/>
  <c r="I40" i="39"/>
  <c r="H40" i="39" s="1"/>
  <c r="E40" i="39"/>
  <c r="C40" i="39"/>
  <c r="R39" i="39"/>
  <c r="Q39" i="39" s="1"/>
  <c r="O39" i="39"/>
  <c r="N39" i="39"/>
  <c r="M39" i="39"/>
  <c r="L39" i="39"/>
  <c r="L36" i="39" s="1"/>
  <c r="K36" i="39" s="1"/>
  <c r="K39" i="39"/>
  <c r="H39" i="39"/>
  <c r="E39" i="39"/>
  <c r="C39" i="39"/>
  <c r="B39" i="39" s="1"/>
  <c r="R38" i="39"/>
  <c r="O38" i="39"/>
  <c r="N38" i="39" s="1"/>
  <c r="M38" i="39"/>
  <c r="L38" i="39"/>
  <c r="K38" i="39" s="1"/>
  <c r="H38" i="39"/>
  <c r="E38" i="39"/>
  <c r="C38" i="39"/>
  <c r="B38" i="39" s="1"/>
  <c r="Q37" i="39"/>
  <c r="N37" i="39"/>
  <c r="K37" i="39"/>
  <c r="H37" i="39"/>
  <c r="E37" i="39"/>
  <c r="B37" i="39"/>
  <c r="P36" i="39"/>
  <c r="J36" i="39"/>
  <c r="I36" i="39"/>
  <c r="H36" i="39" s="1"/>
  <c r="G36" i="39"/>
  <c r="F36" i="39"/>
  <c r="E36" i="39"/>
  <c r="S34" i="39"/>
  <c r="R34" i="39"/>
  <c r="R33" i="39" s="1"/>
  <c r="Q34" i="39"/>
  <c r="N34" i="39"/>
  <c r="S33" i="39"/>
  <c r="P33" i="39"/>
  <c r="O33" i="39"/>
  <c r="S32" i="39"/>
  <c r="R32" i="39"/>
  <c r="Q32" i="39" s="1"/>
  <c r="O32" i="39"/>
  <c r="N32" i="39"/>
  <c r="M32" i="39"/>
  <c r="L32" i="39"/>
  <c r="R31" i="39"/>
  <c r="Q31" i="39"/>
  <c r="O31" i="39"/>
  <c r="N31" i="39" s="1"/>
  <c r="M31" i="39"/>
  <c r="L31" i="39"/>
  <c r="K31" i="39" s="1"/>
  <c r="I31" i="39"/>
  <c r="H31" i="39" s="1"/>
  <c r="E31" i="39"/>
  <c r="R30" i="39"/>
  <c r="Q30" i="39" s="1"/>
  <c r="O30" i="39"/>
  <c r="N30" i="39"/>
  <c r="M30" i="39"/>
  <c r="L30" i="39"/>
  <c r="K30" i="39" s="1"/>
  <c r="I30" i="39"/>
  <c r="H30" i="39" s="1"/>
  <c r="E30" i="39"/>
  <c r="Q29" i="39"/>
  <c r="N29" i="39"/>
  <c r="K29" i="39"/>
  <c r="H29" i="39"/>
  <c r="E29" i="39"/>
  <c r="B29" i="39"/>
  <c r="Q28" i="39"/>
  <c r="N28" i="39"/>
  <c r="K28" i="39"/>
  <c r="H28" i="39"/>
  <c r="E28" i="39"/>
  <c r="B28" i="39"/>
  <c r="Q27" i="39"/>
  <c r="N27" i="39"/>
  <c r="K27" i="39"/>
  <c r="H27" i="39"/>
  <c r="E27" i="39"/>
  <c r="B27" i="39"/>
  <c r="Q26" i="39"/>
  <c r="N26" i="39"/>
  <c r="K26" i="39"/>
  <c r="H26" i="39"/>
  <c r="E26" i="39"/>
  <c r="B26" i="39"/>
  <c r="Q25" i="39"/>
  <c r="N25" i="39"/>
  <c r="K25" i="39"/>
  <c r="H25" i="39"/>
  <c r="E25" i="39"/>
  <c r="B25" i="39"/>
  <c r="Q24" i="39"/>
  <c r="N24" i="39"/>
  <c r="K24" i="39"/>
  <c r="H24" i="39"/>
  <c r="E24" i="39"/>
  <c r="B24" i="39"/>
  <c r="Q23" i="39"/>
  <c r="O23" i="39"/>
  <c r="N23" i="39" s="1"/>
  <c r="M23" i="39"/>
  <c r="K23" i="39" s="1"/>
  <c r="L23" i="39"/>
  <c r="H23" i="39"/>
  <c r="E23" i="39"/>
  <c r="R22" i="39"/>
  <c r="Q22" i="39"/>
  <c r="O22" i="39"/>
  <c r="N22" i="39" s="1"/>
  <c r="M22" i="39"/>
  <c r="L22" i="39"/>
  <c r="K22" i="39" s="1"/>
  <c r="I22" i="39"/>
  <c r="H22" i="39" s="1"/>
  <c r="E22" i="39"/>
  <c r="D22" i="39"/>
  <c r="D19" i="39" s="1"/>
  <c r="C22" i="39"/>
  <c r="R21" i="39"/>
  <c r="Q21" i="39" s="1"/>
  <c r="O21" i="39"/>
  <c r="N21" i="39" s="1"/>
  <c r="M21" i="39"/>
  <c r="L21" i="39"/>
  <c r="K21" i="39" s="1"/>
  <c r="I21" i="39"/>
  <c r="H21" i="39" s="1"/>
  <c r="E21" i="39"/>
  <c r="C21" i="39"/>
  <c r="B21" i="39" s="1"/>
  <c r="S20" i="39"/>
  <c r="R20" i="39"/>
  <c r="Q20" i="39" s="1"/>
  <c r="P20" i="39"/>
  <c r="O20" i="39"/>
  <c r="M20" i="39"/>
  <c r="L20" i="39"/>
  <c r="K20" i="39"/>
  <c r="J20" i="39"/>
  <c r="J19" i="39" s="1"/>
  <c r="I20" i="39"/>
  <c r="E20" i="39"/>
  <c r="D20" i="39"/>
  <c r="C20" i="39"/>
  <c r="S19" i="39"/>
  <c r="P19" i="39"/>
  <c r="G19" i="39"/>
  <c r="F19" i="39"/>
  <c r="C19" i="39"/>
  <c r="Q18" i="39"/>
  <c r="N18" i="39"/>
  <c r="K18" i="39"/>
  <c r="H18" i="39"/>
  <c r="E18" i="39"/>
  <c r="B18" i="39"/>
  <c r="Q17" i="39"/>
  <c r="N17" i="39"/>
  <c r="K17" i="39"/>
  <c r="H17" i="39"/>
  <c r="E17" i="39"/>
  <c r="B17" i="39"/>
  <c r="S16" i="39"/>
  <c r="R16" i="39"/>
  <c r="Q16" i="39"/>
  <c r="P16" i="39"/>
  <c r="O16" i="39"/>
  <c r="N16" i="39"/>
  <c r="M16" i="39"/>
  <c r="L16" i="39"/>
  <c r="H16" i="39"/>
  <c r="E16" i="39"/>
  <c r="B16" i="39"/>
  <c r="S15" i="39"/>
  <c r="Q15" i="39" s="1"/>
  <c r="R15" i="39"/>
  <c r="P15" i="39"/>
  <c r="N15" i="39" s="1"/>
  <c r="O15" i="39"/>
  <c r="M15" i="39"/>
  <c r="L15" i="39"/>
  <c r="L14" i="39" s="1"/>
  <c r="J15" i="39"/>
  <c r="I15" i="39"/>
  <c r="H15" i="39" s="1"/>
  <c r="E15" i="39"/>
  <c r="D15" i="39"/>
  <c r="D14" i="39" s="1"/>
  <c r="C15" i="39"/>
  <c r="C14" i="39" s="1"/>
  <c r="B14" i="39" s="1"/>
  <c r="J14" i="39"/>
  <c r="G14" i="39"/>
  <c r="E14" i="39" s="1"/>
  <c r="F14" i="39"/>
  <c r="R13" i="39"/>
  <c r="Q13" i="39" s="1"/>
  <c r="O13" i="39"/>
  <c r="N13" i="39"/>
  <c r="M13" i="39"/>
  <c r="L13" i="39"/>
  <c r="L9" i="39" s="1"/>
  <c r="K13" i="39"/>
  <c r="I13" i="39"/>
  <c r="H13" i="39"/>
  <c r="E13" i="39"/>
  <c r="R12" i="39"/>
  <c r="Q12" i="39"/>
  <c r="O12" i="39"/>
  <c r="O9" i="39" s="1"/>
  <c r="N9" i="39" s="1"/>
  <c r="K12" i="39"/>
  <c r="H12" i="39"/>
  <c r="E12" i="39"/>
  <c r="B12" i="39"/>
  <c r="Q11" i="39"/>
  <c r="N11" i="39"/>
  <c r="K11" i="39"/>
  <c r="H11" i="39"/>
  <c r="E11" i="39"/>
  <c r="B11" i="39"/>
  <c r="Q10" i="39"/>
  <c r="N10" i="39"/>
  <c r="K10" i="39"/>
  <c r="H10" i="39"/>
  <c r="E10" i="39"/>
  <c r="B10" i="39"/>
  <c r="R9" i="39"/>
  <c r="Q9" i="39" s="1"/>
  <c r="I9" i="39"/>
  <c r="H9" i="39"/>
  <c r="F9" i="39"/>
  <c r="F8" i="39" s="1"/>
  <c r="C9" i="39"/>
  <c r="M116" i="39" l="1"/>
  <c r="J8" i="39"/>
  <c r="J7" i="39" s="1"/>
  <c r="S14" i="39"/>
  <c r="R14" i="39"/>
  <c r="Q14" i="39" s="1"/>
  <c r="I19" i="39"/>
  <c r="H19" i="39" s="1"/>
  <c r="K32" i="39"/>
  <c r="Q50" i="39"/>
  <c r="G52" i="39"/>
  <c r="I52" i="39"/>
  <c r="H52" i="39" s="1"/>
  <c r="P116" i="39"/>
  <c r="N122" i="39"/>
  <c r="N136" i="39"/>
  <c r="N127" i="39" s="1"/>
  <c r="K145" i="39"/>
  <c r="K127" i="39" s="1"/>
  <c r="Q149" i="39"/>
  <c r="Q147" i="39"/>
  <c r="E19" i="39"/>
  <c r="L19" i="39"/>
  <c r="Q134" i="39"/>
  <c r="K141" i="39"/>
  <c r="D8" i="39"/>
  <c r="D7" i="39" s="1"/>
  <c r="C52" i="39"/>
  <c r="B52" i="39" s="1"/>
  <c r="B108" i="39"/>
  <c r="G8" i="39"/>
  <c r="E8" i="39" s="1"/>
  <c r="N20" i="39"/>
  <c r="F52" i="39"/>
  <c r="J116" i="39"/>
  <c r="H116" i="39" s="1"/>
  <c r="Q120" i="39"/>
  <c r="R153" i="39"/>
  <c r="B19" i="39"/>
  <c r="N12" i="39"/>
  <c r="M14" i="39"/>
  <c r="M8" i="39" s="1"/>
  <c r="M7" i="39" s="1"/>
  <c r="O19" i="39"/>
  <c r="N19" i="39" s="1"/>
  <c r="B22" i="39"/>
  <c r="N33" i="39"/>
  <c r="K43" i="39"/>
  <c r="E108" i="39"/>
  <c r="L116" i="39"/>
  <c r="K116" i="39" s="1"/>
  <c r="N119" i="39"/>
  <c r="N139" i="39"/>
  <c r="O36" i="39"/>
  <c r="N36" i="39" s="1"/>
  <c r="R36" i="39"/>
  <c r="Q36" i="39" s="1"/>
  <c r="K65" i="39"/>
  <c r="H108" i="39"/>
  <c r="N118" i="39"/>
  <c r="Q119" i="39"/>
  <c r="Q139" i="39"/>
  <c r="Q127" i="39" s="1"/>
  <c r="K149" i="39"/>
  <c r="C36" i="39"/>
  <c r="B36" i="39" s="1"/>
  <c r="S8" i="39"/>
  <c r="S7" i="39" s="1"/>
  <c r="O14" i="39"/>
  <c r="P14" i="39"/>
  <c r="P8" i="39" s="1"/>
  <c r="B20" i="39"/>
  <c r="K117" i="39"/>
  <c r="Q124" i="39"/>
  <c r="Q131" i="39"/>
  <c r="N153" i="39"/>
  <c r="R116" i="39"/>
  <c r="Q116" i="39" s="1"/>
  <c r="L127" i="39"/>
  <c r="Q153" i="39"/>
  <c r="M19" i="39"/>
  <c r="K19" i="39" s="1"/>
  <c r="Q33" i="39"/>
  <c r="S36" i="39"/>
  <c r="K75" i="39"/>
  <c r="S116" i="39"/>
  <c r="K138" i="39"/>
  <c r="H153" i="39"/>
  <c r="L8" i="39"/>
  <c r="K9" i="39"/>
  <c r="E52" i="39"/>
  <c r="G7" i="39"/>
  <c r="N14" i="39"/>
  <c r="R52" i="39"/>
  <c r="Q52" i="39" s="1"/>
  <c r="Q64" i="39"/>
  <c r="O52" i="39"/>
  <c r="N52" i="39" s="1"/>
  <c r="N64" i="39"/>
  <c r="K153" i="39"/>
  <c r="B9" i="39"/>
  <c r="K15" i="39"/>
  <c r="H20" i="39"/>
  <c r="H64" i="39"/>
  <c r="N65" i="39"/>
  <c r="O127" i="39"/>
  <c r="K16" i="39"/>
  <c r="E9" i="39"/>
  <c r="I14" i="39"/>
  <c r="B40" i="39"/>
  <c r="L53" i="39"/>
  <c r="Q65" i="39"/>
  <c r="F92" i="39"/>
  <c r="E92" i="39" s="1"/>
  <c r="O116" i="39"/>
  <c r="Q118" i="39"/>
  <c r="R127" i="39"/>
  <c r="B15" i="39"/>
  <c r="Q38" i="39"/>
  <c r="R19" i="39"/>
  <c r="Q19" i="39" s="1"/>
  <c r="K132" i="39"/>
  <c r="C8" i="39" l="1"/>
  <c r="C7" i="39" s="1"/>
  <c r="B7" i="39" s="1"/>
  <c r="K14" i="39"/>
  <c r="N116" i="39"/>
  <c r="P7" i="39"/>
  <c r="O8" i="39"/>
  <c r="O7" i="39" s="1"/>
  <c r="N7" i="39" s="1"/>
  <c r="L52" i="39"/>
  <c r="K52" i="39" s="1"/>
  <c r="K53" i="39"/>
  <c r="L7" i="39"/>
  <c r="K7" i="39" s="1"/>
  <c r="K8" i="39"/>
  <c r="I8" i="39"/>
  <c r="H14" i="39"/>
  <c r="R8" i="39"/>
  <c r="F7" i="39"/>
  <c r="E7" i="39" s="1"/>
  <c r="N8" i="39" l="1"/>
  <c r="B8" i="39"/>
  <c r="Q8" i="39"/>
  <c r="R7" i="39"/>
  <c r="Q7" i="39" s="1"/>
  <c r="H8" i="39"/>
  <c r="I7" i="39"/>
  <c r="H7" i="39" s="1"/>
</calcChain>
</file>

<file path=xl/sharedStrings.xml><?xml version="1.0" encoding="utf-8"?>
<sst xmlns="http://schemas.openxmlformats.org/spreadsheetml/2006/main" count="181" uniqueCount="139">
  <si>
    <t>Male</t>
  </si>
  <si>
    <t>Female</t>
  </si>
  <si>
    <t>Maldives Polytechnic</t>
  </si>
  <si>
    <t>Type of Training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</si>
  <si>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</si>
  <si>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</si>
  <si>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</si>
  <si>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</si>
  <si>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</si>
  <si>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Community Based Training</t>
  </si>
  <si>
    <t>Hunaru Project Courses</t>
  </si>
  <si>
    <t>School Polytechnic Program Courses</t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</si>
  <si>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</si>
  <si>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</si>
  <si>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</si>
  <si>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</si>
  <si>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</si>
  <si>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</si>
  <si>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</si>
  <si>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Marine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</si>
  <si>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</si>
  <si>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</si>
  <si>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</si>
  <si>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</si>
  <si>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</si>
  <si>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</si>
  <si>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</si>
  <si>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</si>
  <si>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</si>
  <si>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 xml:space="preserve"> 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</si>
  <si>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</si>
  <si>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</si>
  <si>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</si>
  <si>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</si>
  <si>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</si>
  <si>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</si>
  <si>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</si>
  <si>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</si>
  <si>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</si>
  <si>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</si>
  <si>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</si>
  <si>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</si>
  <si>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</si>
  <si>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</si>
  <si>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Office Administrtation &amp; Management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</si>
  <si>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</si>
  <si>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</si>
  <si>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</si>
  <si>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</si>
  <si>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</si>
  <si>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</si>
  <si>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</si>
  <si>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</si>
  <si>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</si>
  <si>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</si>
  <si>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>Project Management &amp; Aministration</t>
  </si>
  <si>
    <t>Certificate III in Furniture Carpentry &amp; Joinery</t>
  </si>
  <si>
    <t>Customer Relation &amp; Front Office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</si>
  <si>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</si>
  <si>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</si>
  <si>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</si>
  <si>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</si>
  <si>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</si>
  <si>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</si>
  <si>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</si>
  <si>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</si>
  <si>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</si>
  <si>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</si>
  <si>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</si>
  <si>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</si>
  <si>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</si>
  <si>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</si>
  <si>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</si>
  <si>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</si>
  <si>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</si>
  <si>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</si>
  <si>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</si>
  <si>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</si>
  <si>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</si>
  <si>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</si>
  <si>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</si>
  <si>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</si>
  <si>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</si>
  <si>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</si>
  <si>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</si>
  <si>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</si>
  <si>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</si>
  <si>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</si>
  <si>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</si>
  <si>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</si>
  <si>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</si>
  <si>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</si>
  <si>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Diploma in Office Administrtation &amp; Management</t>
  </si>
  <si>
    <t>Certificate 3 InEarly Childhood Care</t>
  </si>
  <si>
    <t>TVET (National Certificate)</t>
  </si>
  <si>
    <t>National Certificate IV in Phamacy Assistant</t>
  </si>
  <si>
    <t>National Certificate III in Phamacy Assistant</t>
  </si>
  <si>
    <t>Diploma in Nursing</t>
  </si>
  <si>
    <t>National Certificate III in Front Office</t>
  </si>
  <si>
    <t>National certificate III in Food Preparation</t>
  </si>
  <si>
    <t>National Certificate III in Pastry &amp; Bakery</t>
  </si>
  <si>
    <t>National Certificate III in airport Representative Service</t>
  </si>
  <si>
    <t>National Certificate III in Arts Skills</t>
  </si>
  <si>
    <t>National Certificate III in Barista</t>
  </si>
  <si>
    <t>National Certificate III in Food &amp; Beverage Services</t>
  </si>
  <si>
    <t>National Certificate III in Photography</t>
  </si>
  <si>
    <t>National Certificate III in Guest House Operations</t>
  </si>
  <si>
    <t>National Certiifcate III in Tour Guide</t>
  </si>
  <si>
    <t>National Certificate III in Programming</t>
  </si>
  <si>
    <t>National Certificate III in computer Hardware &amp; Networking</t>
  </si>
  <si>
    <t>National Certificate III in Electrical Installation &amp; Maintenance</t>
  </si>
  <si>
    <t>National Certificate III in Construction Site Supervision</t>
  </si>
  <si>
    <t>National Certiifcate III in Furniture Carpentry</t>
  </si>
  <si>
    <t>National Certiifcate III in Automotive Maintenance</t>
  </si>
  <si>
    <t>National Certificate III in Welding Techniques</t>
  </si>
  <si>
    <t>National Certificate III in Plumbing</t>
  </si>
  <si>
    <t>Guest House Management</t>
  </si>
  <si>
    <t xml:space="preserve">Certificate III in Welding &amp; Sheet Metal </t>
  </si>
  <si>
    <t>Certificate III in Renewable Energy Systems &amp; Maintenance</t>
  </si>
  <si>
    <t xml:space="preserve">Basic Spoken English </t>
  </si>
  <si>
    <t>Local Guide Training Programme</t>
  </si>
  <si>
    <t>Out Reach Centre</t>
  </si>
  <si>
    <t xml:space="preserve">Certificate III in Jewelery 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</si>
  <si>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</si>
  <si>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* Advanced Certificate Course alinged to M.Q.A format effective from 2011 September.</t>
  </si>
  <si>
    <t>Advance Certificate  (1 Years)</t>
  </si>
  <si>
    <t>Furniture Carpentry &amp; Joinery</t>
  </si>
  <si>
    <t>Welding &amp; Machining</t>
  </si>
  <si>
    <t>Graphic Design</t>
  </si>
  <si>
    <t>Elderly Care</t>
  </si>
  <si>
    <t>IT Support</t>
  </si>
  <si>
    <t>Diploma (1 Years)</t>
  </si>
  <si>
    <t xml:space="preserve">National Certificate III in Fashion Design &amp; Tailoring </t>
  </si>
  <si>
    <t>National Certificate III in Gardening</t>
  </si>
  <si>
    <t>National Certificate III in Marine Mechanic</t>
  </si>
  <si>
    <t>National Certificate IV in Refrigeration</t>
  </si>
  <si>
    <t>Furniture Carpentry and Joinery</t>
  </si>
  <si>
    <t xml:space="preserve"> ތާވަލް 21.2: ތަމްރީނުގެ ބާވަތާއި ޖިންސުގެ ގޮތުން ފަންނީ ތަޢުލީމްގެ ދާއިރާއިން ކިޔަވާ ކުދިންގެ އަދަދު، 2018 - 2023</t>
  </si>
  <si>
    <t xml:space="preserve"> Table  21.2:   STUDENT ENROLMENT IN TECHNICAL EDUCATION, BY TYPE OF TRAINING AND SEX, 2018 - 2023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</si>
</sst>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2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0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42">
    <xf numFmtId="0" fontId="0" fillId="0" borderId="0" xfId="0"/>
    <xf numFmtId="0" fontId="0" fillId="2" borderId="0" xfId="0" applyFill="1"/>
    <xf numFmtId="164" fontId="4" fillId="2" borderId="0" xfId="8" applyNumberFormat="1" applyFill="1"/>
    <xf numFmtId="164" fontId="7" fillId="2" borderId="0" xfId="7" applyFont="1" applyFill="1" applyAlignment="1">
      <alignment horizontal="center"/>
    </xf>
    <xf numFmtId="164" fontId="4" fillId="2" borderId="0" xfId="7" applyFill="1"/>
    <xf numFmtId="164" fontId="12" fillId="2" borderId="0" xfId="7" applyFont="1" applyFill="1" applyAlignment="1">
      <alignment vertical="center"/>
    </xf>
    <xf numFmtId="164" fontId="12" fillId="2" borderId="0" xfId="8" applyNumberFormat="1" applyFont="1" applyFill="1" applyAlignment="1">
      <alignment vertical="center"/>
    </xf>
    <xf numFmtId="164" fontId="8" fillId="2" borderId="1" xfId="7" applyFont="1" applyFill="1" applyBorder="1" applyAlignment="1">
      <alignment horizontal="right" vertical="center"/>
    </xf>
    <xf numFmtId="164" fontId="8" fillId="2" borderId="6" xfId="7" applyFont="1" applyFill="1" applyBorder="1" applyAlignment="1">
      <alignment horizontal="right" vertical="center"/>
    </xf>
    <xf numFmtId="164" fontId="12" fillId="2" borderId="0" xfId="7" applyFont="1" applyFill="1"/>
    <xf numFmtId="164" fontId="12" fillId="2" borderId="0" xfId="8" applyNumberFormat="1" applyFont="1" applyFill="1"/>
    <xf numFmtId="164" fontId="8" fillId="2" borderId="2" xfId="7" applyFont="1" applyFill="1" applyBorder="1" applyAlignment="1">
      <alignment vertical="center"/>
    </xf>
    <xf numFmtId="164" fontId="8" fillId="2" borderId="2" xfId="7" applyFont="1" applyFill="1" applyBorder="1" applyAlignment="1">
      <alignment horizontal="right" vertical="center"/>
    </xf>
    <xf numFmtId="164" fontId="8" fillId="2" borderId="3" xfId="7" applyFont="1" applyFill="1" applyBorder="1" applyAlignment="1">
      <alignment horizontal="right" vertical="center"/>
    </xf>
    <xf numFmtId="164" fontId="8" fillId="2" borderId="0" xfId="7" applyFont="1" applyFill="1" applyAlignment="1">
      <alignment vertical="center"/>
    </xf>
    <xf numFmtId="164" fontId="8" fillId="2" borderId="0" xfId="7" applyFont="1" applyFill="1" applyAlignment="1">
      <alignment horizontal="right" vertical="center"/>
    </xf>
    <xf numFmtId="164" fontId="13" fillId="2" borderId="0" xfId="7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8" fillId="2" borderId="0" xfId="7" applyFont="1" applyFill="1" applyAlignment="1">
      <alignment horizontal="left" vertical="center"/>
    </xf>
    <xf numFmtId="164" fontId="14" fillId="2" borderId="0" xfId="7" applyFont="1" applyFill="1" applyAlignment="1">
      <alignment horizontal="left" vertical="center" indent="2"/>
    </xf>
    <xf numFmtId="164" fontId="15" fillId="2" borderId="0" xfId="7" applyFont="1" applyFill="1" applyAlignment="1">
      <alignment horizontal="right" vertical="center"/>
    </xf>
    <xf numFmtId="164" fontId="15" fillId="2" borderId="3" xfId="7" applyFont="1" applyFill="1" applyBorder="1" applyAlignment="1">
      <alignment horizontal="right" vertical="center"/>
    </xf>
    <xf numFmtId="164" fontId="19" fillId="2" borderId="0" xfId="5" applyFont="1" applyFill="1" applyAlignment="1">
      <alignment horizontal="left" vertical="center"/>
    </xf>
    <xf numFmtId="164" fontId="20" fillId="2" borderId="0" xfId="7" applyFont="1" applyFill="1"/>
    <xf numFmtId="164" fontId="20" fillId="2" borderId="0" xfId="5" applyFont="1" applyFill="1" applyAlignment="1">
      <alignment vertical="top"/>
    </xf>
    <xf numFmtId="164" fontId="8" fillId="2" borderId="0" xfId="7" applyFont="1" applyFill="1" applyAlignment="1">
      <alignment horizontal="center" vertical="center"/>
    </xf>
    <xf numFmtId="164" fontId="14" fillId="2" borderId="0" xfId="7" applyFont="1" applyFill="1" applyAlignment="1">
      <alignment vertical="center"/>
    </xf>
    <xf numFmtId="164" fontId="14" fillId="2" borderId="0" xfId="7" applyFont="1" applyFill="1" applyAlignment="1">
      <alignment horizontal="left" vertical="center"/>
    </xf>
    <xf numFmtId="164" fontId="2" fillId="2" borderId="0" xfId="7" applyFont="1" applyFill="1" applyAlignment="1">
      <alignment horizontal="right" vertical="center"/>
    </xf>
    <xf numFmtId="164" fontId="16" fillId="2" borderId="0" xfId="7" applyFont="1" applyFill="1" applyAlignment="1">
      <alignment vertical="center"/>
    </xf>
    <xf numFmtId="164" fontId="1" fillId="2" borderId="0" xfId="7" applyFont="1" applyFill="1" applyAlignment="1">
      <alignment horizontal="right" vertical="center"/>
    </xf>
    <xf numFmtId="164" fontId="17" fillId="2" borderId="0" xfId="7" applyFont="1" applyFill="1" applyAlignment="1">
      <alignment vertical="center"/>
    </xf>
    <xf numFmtId="164" fontId="18" fillId="2" borderId="0" xfId="8" applyNumberFormat="1" applyFont="1" applyFill="1"/>
    <xf numFmtId="164" fontId="14" fillId="2" borderId="1" xfId="7" applyFont="1" applyFill="1" applyBorder="1" applyAlignment="1">
      <alignment horizontal="left" vertical="center" indent="2"/>
    </xf>
    <xf numFmtId="164" fontId="15" fillId="2" borderId="1" xfId="7" applyFont="1" applyFill="1" applyBorder="1" applyAlignment="1">
      <alignment horizontal="right" vertical="center"/>
    </xf>
    <xf numFmtId="164" fontId="15" fillId="2" borderId="4" xfId="7" applyFont="1" applyFill="1" applyBorder="1" applyAlignment="1">
      <alignment horizontal="right" vertical="center"/>
    </xf>
    <xf numFmtId="164" fontId="21" fillId="2" borderId="0" xfId="7" applyFont="1" applyFill="1" applyAlignment="1">
      <alignment horizontal="center" vertical="center"/>
    </xf>
    <xf numFmtId="164" fontId="11" fillId="2" borderId="0" xfId="7" applyFont="1" applyFill="1" applyAlignment="1">
      <alignment horizontal="center" vertical="center"/>
    </xf>
    <xf numFmtId="164" fontId="8" fillId="2" borderId="6" xfId="7" applyFont="1" applyFill="1" applyBorder="1" applyAlignment="1">
      <alignment horizontal="center" vertical="center"/>
    </xf>
    <xf numFmtId="164" fontId="8" fillId="2" borderId="5" xfId="7" applyFont="1" applyFill="1" applyBorder="1" applyAlignment="1">
      <alignment horizontal="center" vertical="center"/>
    </xf>
    <xf numFmtId="164" fontId="8" fillId="2" borderId="2" xfId="7" applyFont="1" applyFill="1" applyBorder="1" applyAlignment="1">
      <alignment horizontal="left" vertical="center"/>
    </xf>
    <xf numFmtId="164" fontId="8" fillId="2" borderId="1" xfId="7" applyFont="1" applyFill="1" applyBorder="1" applyAlignment="1">
      <alignment horizontal="left"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D1D1"/>
      <color rgb="FFFFE1E1"/>
      <color rgb="FF33CCCC"/>
      <color rgb="FF196563"/>
      <color rgb="FFC8F4F2"/>
      <color rgb="FFEAFAFA"/>
      <color rgb="FFFF9900"/>
      <color rgb="FF249390"/>
      <color rgb="FFEBFBFA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BB882BC2-3DD4-4810-8EE5-12E583B4BAB5}"/>
            </a:ext>
          </a:extLst>
        </xdr:cNvPr>
        <xdr:cNvSpPr txBox="1">
          <a:spLocks noChangeArrowheads="1"/>
        </xdr:cNvSpPr>
      </xdr:nvSpPr>
      <xdr:spPr bwMode="auto">
        <a:xfrm>
          <a:off x="18154650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D5112B42-FA0E-4711-B509-7B421BB4934E}"/>
            </a:ext>
          </a:extLst>
        </xdr:cNvPr>
        <xdr:cNvSpPr txBox="1">
          <a:spLocks noChangeArrowheads="1"/>
        </xdr:cNvSpPr>
      </xdr:nvSpPr>
      <xdr:spPr bwMode="auto">
        <a:xfrm>
          <a:off x="18154650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0</xdr:colOff>
      <xdr:row>14</xdr:row>
      <xdr:rowOff>142875</xdr:rowOff>
    </xdr:to>
    <xdr:sp macro="" textlink="">
      <xdr:nvSpPr>
        <xdr:cNvPr id="8" name="Text 8">
          <a:extLst>
            <a:ext uri="{FF2B5EF4-FFF2-40B4-BE49-F238E27FC236}">
              <a16:creationId xmlns:a16="http://schemas.microsoft.com/office/drawing/2014/main" id="{86A65B74-D10D-4385-98F0-B041CC338F2C}"/>
            </a:ext>
          </a:extLst>
        </xdr:cNvPr>
        <xdr:cNvSpPr txBox="1">
          <a:spLocks noChangeArrowheads="1"/>
        </xdr:cNvSpPr>
      </xdr:nvSpPr>
      <xdr:spPr bwMode="auto">
        <a:xfrm>
          <a:off x="27117675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0</xdr:colOff>
      <xdr:row>14</xdr:row>
      <xdr:rowOff>142875</xdr:rowOff>
    </xdr:to>
    <xdr:sp macro="" textlink="">
      <xdr:nvSpPr>
        <xdr:cNvPr id="9" name="Text 8">
          <a:extLst>
            <a:ext uri="{FF2B5EF4-FFF2-40B4-BE49-F238E27FC236}">
              <a16:creationId xmlns:a16="http://schemas.microsoft.com/office/drawing/2014/main" id="{F966600F-332D-4D65-9FD4-21DD2B12486D}"/>
            </a:ext>
          </a:extLst>
        </xdr:cNvPr>
        <xdr:cNvSpPr txBox="1">
          <a:spLocks noChangeArrowheads="1"/>
        </xdr:cNvSpPr>
      </xdr:nvSpPr>
      <xdr:spPr bwMode="auto">
        <a:xfrm>
          <a:off x="27117675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B3B3-5CC1-44D7-B2CF-60C00C40E68F}">
  <sheetPr>
    <tabColor rgb="FF92D050"/>
  </sheetPr>
  <dimension ref="A2:AN172"/>
  <sheetViews>
    <sheetView tabSelected="1" zoomScaleNormal="100" workbookViewId="0">
      <selection activeCell="A3" sqref="A3:S3"/>
    </sheetView>
  </sheetViews>
  <sheetFormatPr defaultRowHeight="12" x14ac:dyDescent="0.15"/>
  <cols>
    <col min="1" max="1" width="59.140625" style="2" customWidth="1"/>
    <col min="2" max="2" width="11" style="2" customWidth="1"/>
    <col min="3" max="3" width="8.85546875" style="2" customWidth="1"/>
    <col min="4" max="4" width="8.140625" style="2" customWidth="1"/>
    <col min="5" max="5" width="11" style="2" customWidth="1"/>
    <col min="6" max="6" width="8.85546875" style="2" customWidth="1"/>
    <col min="7" max="7" width="8.140625" style="2" customWidth="1"/>
    <col min="8" max="8" width="11" style="2" customWidth="1"/>
    <col min="9" max="9" width="8.85546875" style="2" customWidth="1"/>
    <col min="10" max="10" width="8.140625" style="2" customWidth="1"/>
    <col min="11" max="11" width="11" style="2" customWidth="1"/>
    <col min="12" max="12" width="8.85546875" style="2" customWidth="1"/>
    <col min="13" max="13" width="1" style="2" customWidth="1"/>
    <col min="14" max="14" width="11" style="2" customWidth="1"/>
    <col min="15" max="15" width="8.85546875" style="2" customWidth="1"/>
    <col min="16" max="16" width="8.140625" style="2" customWidth="1"/>
    <col min="17" max="17" width="11" style="2" customWidth="1"/>
    <col min="18" max="18" width="8.85546875" style="2" customWidth="1"/>
    <col min="19" max="19" width="8.140625" style="2" customWidth="1"/>
    <col min="20" max="20" width="4.7109375" style="2" customWidth="1"/>
    <col min="21" max="22" width="12.140625" style="2" customWidth="1"/>
    <col min="23" max="16384" width="9.140625" style="2"/>
  </cols>
  <sheetData>
    <row r="2" spans="1:40" ht="21.75" x14ac:dyDescent="0.25">
      <c r="A2" s="36" t="s">
        <v>137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1"/>
      <c r="U2" s="1"/>
      <c r="V2" s="1"/>
    </row>
    <row r="3" spans="1:40" ht="15.75" x14ac:dyDescent="0.25">
      <c r="A3" s="37" t="s">
        <v>138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1"/>
      <c r="U3" s="1"/>
      <c r="V3" s="1"/>
    </row>
    <row r="4" spans="1:40" ht="12.75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40" s="6" customFormat="1" ht="15" x14ac:dyDescent="0.25">
      <c r="A5" s="40" t="s">
        <v>3</v>
      </c>
      <c r="B5" s="38">
        <v>2018</v>
      </c>
      <c r="C5" s="39"/>
      <c r="D5" s="39"/>
      <c r="E5" s="38">
        <v>2019</v>
      </c>
      <c r="F5" s="39"/>
      <c r="G5" s="39"/>
      <c r="H5" s="38">
        <v>2020</v>
      </c>
      <c r="I5" s="39"/>
      <c r="J5" s="39"/>
      <c r="K5" s="38">
        <v>2021</v>
      </c>
      <c r="L5" s="39"/>
      <c r="M5" s="39"/>
      <c r="N5" s="38">
        <v>2022</v>
      </c>
      <c r="O5" s="39"/>
      <c r="P5" s="39"/>
      <c r="Q5" s="38">
        <v>2023</v>
      </c>
      <c r="R5" s="39"/>
      <c r="S5" s="39"/>
      <c r="T5" s="5"/>
      <c r="U5" s="5"/>
      <c r="V5" s="5"/>
    </row>
    <row r="6" spans="1:40" s="10" customFormat="1" ht="15" x14ac:dyDescent="0.15">
      <c r="A6" s="41"/>
      <c r="B6" s="8" t="s">
        <v>13</v>
      </c>
      <c r="C6" s="7" t="s">
        <v>0</v>
      </c>
      <c r="D6" s="7" t="s">
        <v>1</v>
      </c>
      <c r="E6" s="8" t="s">
        <v>13</v>
      </c>
      <c r="F6" s="7" t="s">
        <v>0</v>
      </c>
      <c r="G6" s="7" t="s">
        <v>1</v>
      </c>
      <c r="H6" s="8" t="s">
        <v>13</v>
      </c>
      <c r="I6" s="7" t="s">
        <v>0</v>
      </c>
      <c r="J6" s="7" t="s">
        <v>1</v>
      </c>
      <c r="K6" s="8" t="s">
        <v>13</v>
      </c>
      <c r="L6" s="7" t="s">
        <v>0</v>
      </c>
      <c r="M6" s="7" t="s">
        <v>1</v>
      </c>
      <c r="N6" s="8" t="s">
        <v>13</v>
      </c>
      <c r="O6" s="7" t="s">
        <v>0</v>
      </c>
      <c r="P6" s="7" t="s">
        <v>1</v>
      </c>
      <c r="Q6" s="8" t="s">
        <v>13</v>
      </c>
      <c r="R6" s="7" t="s">
        <v>0</v>
      </c>
      <c r="S6" s="7" t="s">
        <v>1</v>
      </c>
      <c r="T6" s="9"/>
      <c r="U6" s="9"/>
      <c r="V6" s="9"/>
    </row>
    <row r="7" spans="1:40" s="6" customFormat="1" ht="15" x14ac:dyDescent="0.25">
      <c r="A7" s="11" t="s">
        <v>14</v>
      </c>
      <c r="B7" s="13">
        <f>C7+D7</f>
        <v>560</v>
      </c>
      <c r="C7" s="12">
        <f>C8+C52+C108+C92+C116</f>
        <v>484</v>
      </c>
      <c r="D7" s="12">
        <f>D8+D52+D116+D127</f>
        <v>76</v>
      </c>
      <c r="E7" s="13">
        <f>F7+G7</f>
        <v>1143</v>
      </c>
      <c r="F7" s="12">
        <f>F8+F52+F92+F116+F127</f>
        <v>842</v>
      </c>
      <c r="G7" s="12">
        <f>G8+G52+G116+G127</f>
        <v>301</v>
      </c>
      <c r="H7" s="13">
        <f>I7+J7</f>
        <v>662</v>
      </c>
      <c r="I7" s="12">
        <f>I8+I52+I108+I92+I116+I153+I127</f>
        <v>478</v>
      </c>
      <c r="J7" s="12">
        <f>J8+J52+J108+J116+J127+J153</f>
        <v>184</v>
      </c>
      <c r="K7" s="13">
        <f>L7+M7</f>
        <v>974</v>
      </c>
      <c r="L7" s="12">
        <f>L8+L52+L108+L92+L116+L153+L127</f>
        <v>680</v>
      </c>
      <c r="M7" s="12">
        <f>M8+M52+M108+M116+M127+M153</f>
        <v>294</v>
      </c>
      <c r="N7" s="13">
        <f>O7+P7</f>
        <v>1258</v>
      </c>
      <c r="O7" s="12">
        <f>O8+O52+O108+O92+O116+O153+O127</f>
        <v>998</v>
      </c>
      <c r="P7" s="12">
        <f>P8+P52+P108+P116+P127+P153</f>
        <v>260</v>
      </c>
      <c r="Q7" s="13">
        <f>R7+S7</f>
        <v>1003</v>
      </c>
      <c r="R7" s="12">
        <f>R8+R52+R108+R92+R116+R153+R127</f>
        <v>707</v>
      </c>
      <c r="S7" s="12">
        <f>S8+S52+S108+S116+S127+S153</f>
        <v>296</v>
      </c>
      <c r="T7" s="5"/>
      <c r="U7" s="5"/>
      <c r="V7" s="5"/>
    </row>
    <row r="8" spans="1:40" s="17" customFormat="1" ht="15" x14ac:dyDescent="0.25">
      <c r="A8" s="14" t="s">
        <v>2</v>
      </c>
      <c r="B8" s="13">
        <f>C8+D8</f>
        <v>370</v>
      </c>
      <c r="C8" s="15">
        <f>C9+C14+C19+C36</f>
        <v>346</v>
      </c>
      <c r="D8" s="15">
        <f>D9+D14+D19+D36</f>
        <v>24</v>
      </c>
      <c r="E8" s="13">
        <f>F8+G8</f>
        <v>498</v>
      </c>
      <c r="F8" s="15">
        <f>F9+F14+F19+F36</f>
        <v>459</v>
      </c>
      <c r="G8" s="15">
        <f>G9+G14+G19+G36</f>
        <v>39</v>
      </c>
      <c r="H8" s="13">
        <f>I8+J8</f>
        <v>343</v>
      </c>
      <c r="I8" s="15">
        <f>I9+I14+I19+I36</f>
        <v>309</v>
      </c>
      <c r="J8" s="15">
        <f>J9+J14+J19+J36</f>
        <v>34</v>
      </c>
      <c r="K8" s="13">
        <f>L8+M8</f>
        <v>306</v>
      </c>
      <c r="L8" s="15">
        <f>L9+L14+L19+L36</f>
        <v>266</v>
      </c>
      <c r="M8" s="15">
        <f>M9+M14+M19+M36</f>
        <v>40</v>
      </c>
      <c r="N8" s="13">
        <f>O8+P8</f>
        <v>451</v>
      </c>
      <c r="O8" s="15">
        <f>O9+O14+O19+O33+O36</f>
        <v>391</v>
      </c>
      <c r="P8" s="15">
        <f>P9+P14+P19+P36</f>
        <v>60</v>
      </c>
      <c r="Q8" s="13">
        <f>R8+S8</f>
        <v>584</v>
      </c>
      <c r="R8" s="15">
        <f>R9+R14+R19+R33+R36</f>
        <v>484</v>
      </c>
      <c r="S8" s="15">
        <f>S9+S14+S19+S33+S36</f>
        <v>100</v>
      </c>
      <c r="T8" s="16"/>
      <c r="U8" s="16"/>
      <c r="V8" s="16"/>
    </row>
    <row r="9" spans="1:40" s="17" customFormat="1" ht="15" x14ac:dyDescent="0.25">
      <c r="A9" s="18" t="s">
        <v>15</v>
      </c>
      <c r="B9" s="13">
        <f>C9+D9</f>
        <v>9</v>
      </c>
      <c r="C9" s="15">
        <f>C11+C12</f>
        <v>9</v>
      </c>
      <c r="D9" s="15">
        <v>0</v>
      </c>
      <c r="E9" s="13">
        <f>F9+G9</f>
        <v>27</v>
      </c>
      <c r="F9" s="15">
        <f>F11+F12+F13</f>
        <v>27</v>
      </c>
      <c r="G9" s="15">
        <v>0</v>
      </c>
      <c r="H9" s="13">
        <f>I9+J9</f>
        <v>15</v>
      </c>
      <c r="I9" s="15">
        <f>I11+I12+I13</f>
        <v>15</v>
      </c>
      <c r="J9" s="15">
        <v>0</v>
      </c>
      <c r="K9" s="13">
        <f>L9+M9</f>
        <v>12</v>
      </c>
      <c r="L9" s="15">
        <f>L11+L12+L13</f>
        <v>12</v>
      </c>
      <c r="M9" s="15">
        <v>0</v>
      </c>
      <c r="N9" s="13">
        <f>O9+P9</f>
        <v>10</v>
      </c>
      <c r="O9" s="15">
        <f>O11+O12+O13</f>
        <v>10</v>
      </c>
      <c r="P9" s="15">
        <v>0</v>
      </c>
      <c r="Q9" s="13">
        <f>R9+S9</f>
        <v>28</v>
      </c>
      <c r="R9" s="15">
        <f>R11+R12+R13</f>
        <v>28</v>
      </c>
      <c r="S9" s="15">
        <v>0</v>
      </c>
      <c r="T9" s="16"/>
      <c r="U9" s="16"/>
      <c r="V9" s="16"/>
    </row>
    <row r="10" spans="1:40" s="17" customFormat="1" ht="15" hidden="1" x14ac:dyDescent="0.25">
      <c r="A10" s="19" t="s">
        <v>16</v>
      </c>
      <c r="B10" s="13">
        <f t="shared" ref="B10:B15" si="0">C10+D10</f>
        <v>0</v>
      </c>
      <c r="C10" s="20"/>
      <c r="D10" s="20"/>
      <c r="E10" s="13">
        <f t="shared" ref="E10:E92" si="1">F10+G10</f>
        <v>0</v>
      </c>
      <c r="F10" s="20"/>
      <c r="G10" s="20"/>
      <c r="H10" s="13">
        <f t="shared" ref="H10:H92" si="2">I10+J10</f>
        <v>0</v>
      </c>
      <c r="I10" s="20"/>
      <c r="J10" s="20"/>
      <c r="K10" s="13">
        <f t="shared" ref="K10:K13" si="3">L10+M10</f>
        <v>0</v>
      </c>
      <c r="L10" s="20"/>
      <c r="M10" s="20"/>
      <c r="N10" s="13">
        <f t="shared" ref="N10:N13" si="4">O10+P10</f>
        <v>0</v>
      </c>
      <c r="O10" s="20"/>
      <c r="P10" s="20"/>
      <c r="Q10" s="13">
        <f t="shared" ref="Q10:Q13" si="5">R10+S10</f>
        <v>0</v>
      </c>
      <c r="R10" s="20"/>
      <c r="S10" s="20"/>
      <c r="T10" s="16"/>
      <c r="U10" s="16"/>
      <c r="V10" s="16"/>
    </row>
    <row r="11" spans="1:40" s="6" customFormat="1" ht="15" x14ac:dyDescent="0.25">
      <c r="A11" s="19" t="s">
        <v>17</v>
      </c>
      <c r="B11" s="21">
        <f t="shared" si="0"/>
        <v>0</v>
      </c>
      <c r="C11" s="20">
        <v>0</v>
      </c>
      <c r="D11" s="20">
        <v>0</v>
      </c>
      <c r="E11" s="21">
        <f t="shared" si="1"/>
        <v>0</v>
      </c>
      <c r="F11" s="20">
        <v>0</v>
      </c>
      <c r="G11" s="20">
        <v>0</v>
      </c>
      <c r="H11" s="21">
        <f t="shared" si="2"/>
        <v>0</v>
      </c>
      <c r="I11" s="20">
        <v>0</v>
      </c>
      <c r="J11" s="20">
        <v>0</v>
      </c>
      <c r="K11" s="21">
        <f t="shared" si="3"/>
        <v>0</v>
      </c>
      <c r="L11" s="20">
        <v>0</v>
      </c>
      <c r="M11" s="20">
        <v>0</v>
      </c>
      <c r="N11" s="21">
        <f t="shared" si="4"/>
        <v>0</v>
      </c>
      <c r="O11" s="20">
        <v>0</v>
      </c>
      <c r="P11" s="20">
        <v>0</v>
      </c>
      <c r="Q11" s="21">
        <f t="shared" si="5"/>
        <v>0</v>
      </c>
      <c r="R11" s="20">
        <v>0</v>
      </c>
      <c r="S11" s="20">
        <v>0</v>
      </c>
      <c r="T11" s="16"/>
      <c r="U11" s="16"/>
      <c r="V11" s="16"/>
    </row>
    <row r="12" spans="1:40" s="6" customFormat="1" ht="15" x14ac:dyDescent="0.25">
      <c r="A12" s="19" t="s">
        <v>18</v>
      </c>
      <c r="B12" s="21">
        <f t="shared" si="0"/>
        <v>9</v>
      </c>
      <c r="C12" s="20">
        <v>9</v>
      </c>
      <c r="D12" s="20">
        <v>0</v>
      </c>
      <c r="E12" s="21">
        <f t="shared" si="1"/>
        <v>10</v>
      </c>
      <c r="F12" s="20">
        <v>10</v>
      </c>
      <c r="G12" s="20">
        <v>0</v>
      </c>
      <c r="H12" s="21">
        <f t="shared" si="2"/>
        <v>4</v>
      </c>
      <c r="I12" s="20">
        <v>4</v>
      </c>
      <c r="J12" s="20">
        <v>0</v>
      </c>
      <c r="K12" s="21">
        <f t="shared" si="3"/>
        <v>0</v>
      </c>
      <c r="L12" s="20">
        <v>0</v>
      </c>
      <c r="M12" s="20">
        <v>0</v>
      </c>
      <c r="N12" s="21">
        <f t="shared" si="4"/>
        <v>3</v>
      </c>
      <c r="O12" s="20">
        <f>2+1</f>
        <v>3</v>
      </c>
      <c r="P12" s="20">
        <v>0</v>
      </c>
      <c r="Q12" s="21">
        <f t="shared" si="5"/>
        <v>4</v>
      </c>
      <c r="R12" s="20">
        <f>4</f>
        <v>4</v>
      </c>
      <c r="S12" s="20">
        <v>0</v>
      </c>
      <c r="T12" s="16"/>
      <c r="U12" s="16"/>
      <c r="V12" s="16"/>
    </row>
    <row r="13" spans="1:40" s="6" customFormat="1" ht="15" x14ac:dyDescent="0.25">
      <c r="A13" s="19" t="s">
        <v>19</v>
      </c>
      <c r="B13" s="21">
        <v>0</v>
      </c>
      <c r="C13" s="20">
        <v>0</v>
      </c>
      <c r="D13" s="20">
        <v>0</v>
      </c>
      <c r="E13" s="21">
        <f t="shared" si="1"/>
        <v>17</v>
      </c>
      <c r="F13" s="20">
        <v>17</v>
      </c>
      <c r="G13" s="20">
        <v>0</v>
      </c>
      <c r="H13" s="21">
        <f t="shared" si="2"/>
        <v>11</v>
      </c>
      <c r="I13" s="20">
        <f>2+9</f>
        <v>11</v>
      </c>
      <c r="J13" s="20">
        <v>0</v>
      </c>
      <c r="K13" s="21">
        <f t="shared" si="3"/>
        <v>12</v>
      </c>
      <c r="L13" s="20">
        <f>1+1+10</f>
        <v>12</v>
      </c>
      <c r="M13" s="20">
        <f>0</f>
        <v>0</v>
      </c>
      <c r="N13" s="21">
        <f t="shared" si="4"/>
        <v>7</v>
      </c>
      <c r="O13" s="20">
        <f>2+2+2+1</f>
        <v>7</v>
      </c>
      <c r="P13" s="20">
        <v>0</v>
      </c>
      <c r="Q13" s="21">
        <f t="shared" si="5"/>
        <v>24</v>
      </c>
      <c r="R13" s="20">
        <f>2+2+2+6+1+11</f>
        <v>24</v>
      </c>
      <c r="S13" s="20">
        <v>0</v>
      </c>
      <c r="T13" s="16"/>
      <c r="U13" s="16"/>
      <c r="V13" s="16"/>
    </row>
    <row r="14" spans="1:40" s="17" customFormat="1" ht="15.75" x14ac:dyDescent="0.25">
      <c r="A14" s="18" t="s">
        <v>20</v>
      </c>
      <c r="B14" s="13">
        <f t="shared" si="0"/>
        <v>14</v>
      </c>
      <c r="C14" s="15">
        <f>C15+C16</f>
        <v>10</v>
      </c>
      <c r="D14" s="15">
        <f>D15+D16</f>
        <v>4</v>
      </c>
      <c r="E14" s="13">
        <f t="shared" si="1"/>
        <v>31</v>
      </c>
      <c r="F14" s="15">
        <f>F15+F16</f>
        <v>26</v>
      </c>
      <c r="G14" s="15">
        <f>G15+G16</f>
        <v>5</v>
      </c>
      <c r="H14" s="13">
        <f>I14+J14</f>
        <v>44</v>
      </c>
      <c r="I14" s="15">
        <f>I15+I16+I17+I18</f>
        <v>33</v>
      </c>
      <c r="J14" s="15">
        <f>J15+J16+J17+J18</f>
        <v>11</v>
      </c>
      <c r="K14" s="13">
        <f>L14+M14</f>
        <v>56</v>
      </c>
      <c r="L14" s="15">
        <f>L15+L16+L17+L18</f>
        <v>43</v>
      </c>
      <c r="M14" s="15">
        <f>M15+M16+M17+M18</f>
        <v>13</v>
      </c>
      <c r="N14" s="13">
        <f>O14+P14</f>
        <v>50</v>
      </c>
      <c r="O14" s="15">
        <f>O15+O16+O17+O18</f>
        <v>37</v>
      </c>
      <c r="P14" s="15">
        <f>P15+P16+P17+P18</f>
        <v>13</v>
      </c>
      <c r="Q14" s="13">
        <f>R14+S14</f>
        <v>62</v>
      </c>
      <c r="R14" s="15">
        <f>R15+R16+R17+R18</f>
        <v>45</v>
      </c>
      <c r="S14" s="15">
        <f>S15+S16+S17+S18</f>
        <v>17</v>
      </c>
      <c r="T14" s="16"/>
      <c r="U14" s="16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</row>
    <row r="15" spans="1:40" s="6" customFormat="1" ht="15" x14ac:dyDescent="0.25">
      <c r="A15" s="19" t="s">
        <v>21</v>
      </c>
      <c r="B15" s="21">
        <f t="shared" si="0"/>
        <v>14</v>
      </c>
      <c r="C15" s="20">
        <f>7+3</f>
        <v>10</v>
      </c>
      <c r="D15" s="20">
        <f>2+2</f>
        <v>4</v>
      </c>
      <c r="E15" s="21">
        <f t="shared" si="1"/>
        <v>21</v>
      </c>
      <c r="F15" s="20">
        <v>16</v>
      </c>
      <c r="G15" s="20">
        <v>5</v>
      </c>
      <c r="H15" s="21">
        <f t="shared" si="2"/>
        <v>36</v>
      </c>
      <c r="I15" s="20">
        <f>9+11+6</f>
        <v>26</v>
      </c>
      <c r="J15" s="20">
        <f>1+5+4</f>
        <v>10</v>
      </c>
      <c r="K15" s="21">
        <f t="shared" ref="K15:K46" si="6">L15+M15</f>
        <v>42</v>
      </c>
      <c r="L15" s="20">
        <f>8+13+10</f>
        <v>31</v>
      </c>
      <c r="M15" s="20">
        <f>1+6+4</f>
        <v>11</v>
      </c>
      <c r="N15" s="21">
        <f t="shared" ref="N15:N18" si="7">O15+P15</f>
        <v>29</v>
      </c>
      <c r="O15" s="20">
        <f>6+9+3</f>
        <v>18</v>
      </c>
      <c r="P15" s="20">
        <f>3+5+3</f>
        <v>11</v>
      </c>
      <c r="Q15" s="21">
        <f t="shared" ref="Q15:Q18" si="8">R15+S15</f>
        <v>44</v>
      </c>
      <c r="R15" s="20">
        <f>3+13+3+12</f>
        <v>31</v>
      </c>
      <c r="S15" s="20">
        <f>2+5+6</f>
        <v>13</v>
      </c>
      <c r="T15" s="16"/>
      <c r="U15" s="16"/>
      <c r="V15" s="16"/>
    </row>
    <row r="16" spans="1:40" s="6" customFormat="1" ht="15" x14ac:dyDescent="0.25">
      <c r="A16" s="19" t="s">
        <v>17</v>
      </c>
      <c r="B16" s="21">
        <f>C16+D16</f>
        <v>0</v>
      </c>
      <c r="C16" s="20">
        <v>0</v>
      </c>
      <c r="D16" s="20">
        <v>0</v>
      </c>
      <c r="E16" s="21">
        <f t="shared" si="1"/>
        <v>10</v>
      </c>
      <c r="F16" s="20">
        <v>10</v>
      </c>
      <c r="G16" s="20">
        <v>0</v>
      </c>
      <c r="H16" s="21">
        <f t="shared" si="2"/>
        <v>8</v>
      </c>
      <c r="I16" s="20">
        <v>7</v>
      </c>
      <c r="J16" s="20">
        <v>1</v>
      </c>
      <c r="K16" s="21">
        <f t="shared" si="6"/>
        <v>14</v>
      </c>
      <c r="L16" s="20">
        <f>10+2</f>
        <v>12</v>
      </c>
      <c r="M16" s="20">
        <f>1+1</f>
        <v>2</v>
      </c>
      <c r="N16" s="21">
        <f t="shared" si="7"/>
        <v>21</v>
      </c>
      <c r="O16" s="20">
        <f>3+8+3+5</f>
        <v>19</v>
      </c>
      <c r="P16" s="20">
        <f>1+1</f>
        <v>2</v>
      </c>
      <c r="Q16" s="21">
        <f t="shared" si="8"/>
        <v>18</v>
      </c>
      <c r="R16" s="20">
        <f>3+4+3+4</f>
        <v>14</v>
      </c>
      <c r="S16" s="20">
        <f>1+1+2</f>
        <v>4</v>
      </c>
      <c r="T16" s="16"/>
      <c r="U16" s="16"/>
      <c r="V16" s="16"/>
    </row>
    <row r="17" spans="1:23" s="6" customFormat="1" ht="15" x14ac:dyDescent="0.25">
      <c r="A17" s="19" t="s">
        <v>16</v>
      </c>
      <c r="B17" s="21">
        <f t="shared" ref="B17:B22" si="9">C17+D17</f>
        <v>0</v>
      </c>
      <c r="C17" s="20">
        <v>0</v>
      </c>
      <c r="D17" s="20">
        <v>0</v>
      </c>
      <c r="E17" s="21">
        <f t="shared" si="1"/>
        <v>0</v>
      </c>
      <c r="F17" s="20">
        <v>0</v>
      </c>
      <c r="G17" s="20">
        <v>0</v>
      </c>
      <c r="H17" s="21">
        <f t="shared" si="2"/>
        <v>0</v>
      </c>
      <c r="I17" s="20">
        <v>0</v>
      </c>
      <c r="J17" s="20">
        <v>0</v>
      </c>
      <c r="K17" s="21">
        <f t="shared" si="6"/>
        <v>0</v>
      </c>
      <c r="L17" s="20">
        <v>0</v>
      </c>
      <c r="M17" s="20">
        <v>0</v>
      </c>
      <c r="N17" s="21">
        <f t="shared" si="7"/>
        <v>0</v>
      </c>
      <c r="O17" s="20">
        <v>0</v>
      </c>
      <c r="P17" s="20">
        <v>0</v>
      </c>
      <c r="Q17" s="21">
        <f t="shared" si="8"/>
        <v>0</v>
      </c>
      <c r="R17" s="20">
        <v>0</v>
      </c>
      <c r="S17" s="20">
        <v>0</v>
      </c>
      <c r="T17" s="16"/>
      <c r="U17" s="16"/>
      <c r="V17" s="16"/>
    </row>
    <row r="18" spans="1:23" s="6" customFormat="1" ht="15" x14ac:dyDescent="0.25">
      <c r="A18" s="19" t="s">
        <v>22</v>
      </c>
      <c r="B18" s="21">
        <f t="shared" si="9"/>
        <v>0</v>
      </c>
      <c r="C18" s="20">
        <v>0</v>
      </c>
      <c r="D18" s="20">
        <v>0</v>
      </c>
      <c r="E18" s="21">
        <f t="shared" si="1"/>
        <v>0</v>
      </c>
      <c r="F18" s="20">
        <v>0</v>
      </c>
      <c r="G18" s="20">
        <v>0</v>
      </c>
      <c r="H18" s="21">
        <f t="shared" si="2"/>
        <v>0</v>
      </c>
      <c r="I18" s="20">
        <v>0</v>
      </c>
      <c r="J18" s="20">
        <v>0</v>
      </c>
      <c r="K18" s="21">
        <f t="shared" si="6"/>
        <v>0</v>
      </c>
      <c r="L18" s="20">
        <v>0</v>
      </c>
      <c r="M18" s="20">
        <v>0</v>
      </c>
      <c r="N18" s="21">
        <f t="shared" si="7"/>
        <v>0</v>
      </c>
      <c r="O18" s="20">
        <v>0</v>
      </c>
      <c r="P18" s="20">
        <v>0</v>
      </c>
      <c r="Q18" s="21">
        <f t="shared" si="8"/>
        <v>0</v>
      </c>
      <c r="R18" s="20">
        <v>0</v>
      </c>
      <c r="S18" s="20">
        <v>0</v>
      </c>
      <c r="T18" s="16"/>
      <c r="U18" s="16"/>
      <c r="V18" s="16"/>
    </row>
    <row r="19" spans="1:23" s="17" customFormat="1" ht="15" x14ac:dyDescent="0.25">
      <c r="A19" s="18" t="s">
        <v>23</v>
      </c>
      <c r="B19" s="13">
        <f t="shared" si="9"/>
        <v>138</v>
      </c>
      <c r="C19" s="15">
        <f>C21+C22+C23+C29</f>
        <v>136</v>
      </c>
      <c r="D19" s="15">
        <f>D22</f>
        <v>2</v>
      </c>
      <c r="E19" s="13">
        <f t="shared" si="1"/>
        <v>289</v>
      </c>
      <c r="F19" s="15">
        <f>F21+F22+F23+F29+F30+F31+F20</f>
        <v>267</v>
      </c>
      <c r="G19" s="15">
        <f>G20</f>
        <v>22</v>
      </c>
      <c r="H19" s="13">
        <f t="shared" si="2"/>
        <v>189</v>
      </c>
      <c r="I19" s="15">
        <f>I20+I21+I22+I23+I29+I30+I31</f>
        <v>168</v>
      </c>
      <c r="J19" s="15">
        <f>J20+J21+J22+J23+J29+J30+J31</f>
        <v>21</v>
      </c>
      <c r="K19" s="13">
        <f>L19+M19</f>
        <v>175</v>
      </c>
      <c r="L19" s="15">
        <f>L20+L21+L22+L23+L29+L30+L31+L32</f>
        <v>158</v>
      </c>
      <c r="M19" s="15">
        <f>M20+M21+M22+M23+M29+M30+M31</f>
        <v>17</v>
      </c>
      <c r="N19" s="13">
        <f>O19+P19</f>
        <v>218</v>
      </c>
      <c r="O19" s="15">
        <f>O20+O21+O22+O23+O29+O30+O31+O32</f>
        <v>190</v>
      </c>
      <c r="P19" s="15">
        <f>P20+P21+P22+P23+P29+P30+P31</f>
        <v>28</v>
      </c>
      <c r="Q19" s="13">
        <f>R19+S19</f>
        <v>179</v>
      </c>
      <c r="R19" s="15">
        <f>R20+R21+R22+R23+R29+R30+R31+R32</f>
        <v>154</v>
      </c>
      <c r="S19" s="15">
        <f>S20+S21+S22+S23+S29+S30+S31+S32</f>
        <v>25</v>
      </c>
      <c r="T19" s="16"/>
      <c r="U19" s="16"/>
      <c r="V19" s="16"/>
    </row>
    <row r="20" spans="1:23" s="17" customFormat="1" ht="15" x14ac:dyDescent="0.25">
      <c r="A20" s="19" t="s">
        <v>21</v>
      </c>
      <c r="B20" s="21">
        <f>C20+D20</f>
        <v>37</v>
      </c>
      <c r="C20" s="20">
        <f>8+22</f>
        <v>30</v>
      </c>
      <c r="D20" s="20">
        <f>4+3</f>
        <v>7</v>
      </c>
      <c r="E20" s="21">
        <f t="shared" si="1"/>
        <v>88</v>
      </c>
      <c r="F20" s="20">
        <v>66</v>
      </c>
      <c r="G20" s="20">
        <v>22</v>
      </c>
      <c r="H20" s="21">
        <f t="shared" si="2"/>
        <v>57</v>
      </c>
      <c r="I20" s="20">
        <f>23+14</f>
        <v>37</v>
      </c>
      <c r="J20" s="20">
        <f>12+8</f>
        <v>20</v>
      </c>
      <c r="K20" s="21">
        <f t="shared" si="6"/>
        <v>65</v>
      </c>
      <c r="L20" s="20">
        <f>42+6</f>
        <v>48</v>
      </c>
      <c r="M20" s="20">
        <f>12+5</f>
        <v>17</v>
      </c>
      <c r="N20" s="21">
        <f t="shared" ref="N20:N46" si="10">O20+P20</f>
        <v>82</v>
      </c>
      <c r="O20" s="20">
        <f>22+16+18</f>
        <v>56</v>
      </c>
      <c r="P20" s="20">
        <f>12+8+6</f>
        <v>26</v>
      </c>
      <c r="Q20" s="21">
        <f t="shared" ref="Q20:Q32" si="11">R20+S20</f>
        <v>59</v>
      </c>
      <c r="R20" s="20">
        <f>17+11+13</f>
        <v>41</v>
      </c>
      <c r="S20" s="20">
        <f>9+2+7</f>
        <v>18</v>
      </c>
      <c r="T20" s="16"/>
      <c r="U20" s="16"/>
      <c r="V20" s="16"/>
    </row>
    <row r="21" spans="1:23" s="6" customFormat="1" ht="14.25" customHeight="1" x14ac:dyDescent="0.25">
      <c r="A21" s="26" t="s">
        <v>24</v>
      </c>
      <c r="B21" s="21">
        <f t="shared" si="9"/>
        <v>75</v>
      </c>
      <c r="C21" s="20">
        <f>15+15+24+21</f>
        <v>75</v>
      </c>
      <c r="D21" s="20">
        <v>0</v>
      </c>
      <c r="E21" s="21">
        <f t="shared" si="1"/>
        <v>58</v>
      </c>
      <c r="F21" s="20">
        <v>58</v>
      </c>
      <c r="G21" s="20">
        <v>0</v>
      </c>
      <c r="H21" s="21">
        <f t="shared" si="2"/>
        <v>27</v>
      </c>
      <c r="I21" s="20">
        <f>10+17</f>
        <v>27</v>
      </c>
      <c r="J21" s="20">
        <v>0</v>
      </c>
      <c r="K21" s="21">
        <f t="shared" si="6"/>
        <v>23</v>
      </c>
      <c r="L21" s="20">
        <f>15+8</f>
        <v>23</v>
      </c>
      <c r="M21" s="20">
        <f>0</f>
        <v>0</v>
      </c>
      <c r="N21" s="21">
        <f t="shared" si="10"/>
        <v>32</v>
      </c>
      <c r="O21" s="20">
        <f>12+7+13</f>
        <v>32</v>
      </c>
      <c r="P21" s="20">
        <v>0</v>
      </c>
      <c r="Q21" s="21">
        <f t="shared" si="11"/>
        <v>13</v>
      </c>
      <c r="R21" s="20">
        <f>9+4</f>
        <v>13</v>
      </c>
      <c r="S21" s="20">
        <v>0</v>
      </c>
      <c r="T21" s="16"/>
      <c r="U21" s="16"/>
      <c r="V21" s="16"/>
    </row>
    <row r="22" spans="1:23" s="6" customFormat="1" ht="15" x14ac:dyDescent="0.25">
      <c r="A22" s="27" t="s">
        <v>25</v>
      </c>
      <c r="B22" s="21">
        <f t="shared" si="9"/>
        <v>63</v>
      </c>
      <c r="C22" s="20">
        <f>6+8+27+20</f>
        <v>61</v>
      </c>
      <c r="D22" s="20">
        <f>1+1</f>
        <v>2</v>
      </c>
      <c r="E22" s="21">
        <f t="shared" si="1"/>
        <v>103</v>
      </c>
      <c r="F22" s="20">
        <v>103</v>
      </c>
      <c r="G22" s="20">
        <v>0</v>
      </c>
      <c r="H22" s="21">
        <f t="shared" si="2"/>
        <v>58</v>
      </c>
      <c r="I22" s="20">
        <f>20+20+17</f>
        <v>57</v>
      </c>
      <c r="J22" s="20">
        <v>1</v>
      </c>
      <c r="K22" s="21">
        <f t="shared" si="6"/>
        <v>36</v>
      </c>
      <c r="L22" s="20">
        <f>19+5+12</f>
        <v>36</v>
      </c>
      <c r="M22" s="20">
        <f>0</f>
        <v>0</v>
      </c>
      <c r="N22" s="21">
        <f t="shared" si="10"/>
        <v>36</v>
      </c>
      <c r="O22" s="20">
        <f>15+10+9</f>
        <v>34</v>
      </c>
      <c r="P22" s="20">
        <v>2</v>
      </c>
      <c r="Q22" s="21">
        <f t="shared" si="11"/>
        <v>33</v>
      </c>
      <c r="R22" s="20">
        <f>15+2+10+6</f>
        <v>33</v>
      </c>
      <c r="S22" s="20">
        <v>0</v>
      </c>
      <c r="T22" s="16"/>
      <c r="U22" s="16"/>
      <c r="V22" s="16"/>
    </row>
    <row r="23" spans="1:23" s="6" customFormat="1" ht="15" x14ac:dyDescent="0.25">
      <c r="A23" s="19" t="s">
        <v>26</v>
      </c>
      <c r="B23" s="21">
        <v>0</v>
      </c>
      <c r="C23" s="20">
        <v>0</v>
      </c>
      <c r="D23" s="20">
        <v>0</v>
      </c>
      <c r="E23" s="21">
        <f t="shared" si="1"/>
        <v>6</v>
      </c>
      <c r="F23" s="20">
        <v>6</v>
      </c>
      <c r="G23" s="20">
        <v>0</v>
      </c>
      <c r="H23" s="21">
        <f t="shared" si="2"/>
        <v>14</v>
      </c>
      <c r="I23" s="20">
        <v>14</v>
      </c>
      <c r="J23" s="20">
        <v>0</v>
      </c>
      <c r="K23" s="21">
        <f t="shared" si="6"/>
        <v>14</v>
      </c>
      <c r="L23" s="20">
        <f>6+4+4</f>
        <v>14</v>
      </c>
      <c r="M23" s="20">
        <f>0</f>
        <v>0</v>
      </c>
      <c r="N23" s="21">
        <f t="shared" si="10"/>
        <v>7</v>
      </c>
      <c r="O23" s="20">
        <f>2+5</f>
        <v>7</v>
      </c>
      <c r="P23" s="20">
        <v>0</v>
      </c>
      <c r="Q23" s="21">
        <f t="shared" si="11"/>
        <v>0</v>
      </c>
      <c r="R23" s="20">
        <v>0</v>
      </c>
      <c r="S23" s="20">
        <v>0</v>
      </c>
      <c r="T23" s="16"/>
      <c r="U23" s="16"/>
      <c r="V23" s="16"/>
      <c r="W23" s="5"/>
    </row>
    <row r="24" spans="1:23" s="6" customFormat="1" ht="15" hidden="1" x14ac:dyDescent="0.25">
      <c r="A24" s="19" t="s">
        <v>27</v>
      </c>
      <c r="B24" s="21">
        <f t="shared" ref="B24:B29" si="12">C24+D24</f>
        <v>0</v>
      </c>
      <c r="C24" s="20"/>
      <c r="D24" s="20"/>
      <c r="E24" s="21">
        <f t="shared" si="1"/>
        <v>0</v>
      </c>
      <c r="F24" s="20"/>
      <c r="G24" s="20"/>
      <c r="H24" s="21">
        <f t="shared" si="2"/>
        <v>0</v>
      </c>
      <c r="I24" s="20"/>
      <c r="J24" s="20"/>
      <c r="K24" s="21">
        <f t="shared" si="6"/>
        <v>0</v>
      </c>
      <c r="L24" s="20"/>
      <c r="M24" s="20"/>
      <c r="N24" s="21">
        <f t="shared" si="10"/>
        <v>0</v>
      </c>
      <c r="O24" s="20"/>
      <c r="P24" s="20"/>
      <c r="Q24" s="21">
        <f t="shared" si="11"/>
        <v>0</v>
      </c>
      <c r="R24" s="20"/>
      <c r="S24" s="20"/>
      <c r="T24" s="16"/>
      <c r="U24" s="16"/>
      <c r="V24" s="16"/>
      <c r="W24" s="5"/>
    </row>
    <row r="25" spans="1:23" s="6" customFormat="1" ht="15" hidden="1" x14ac:dyDescent="0.25">
      <c r="A25" s="27" t="s">
        <v>28</v>
      </c>
      <c r="B25" s="21">
        <f t="shared" si="12"/>
        <v>0</v>
      </c>
      <c r="C25" s="20"/>
      <c r="D25" s="20"/>
      <c r="E25" s="21">
        <f t="shared" si="1"/>
        <v>0</v>
      </c>
      <c r="F25" s="20"/>
      <c r="G25" s="20"/>
      <c r="H25" s="21">
        <f t="shared" si="2"/>
        <v>0</v>
      </c>
      <c r="I25" s="20"/>
      <c r="J25" s="20"/>
      <c r="K25" s="21">
        <f t="shared" si="6"/>
        <v>0</v>
      </c>
      <c r="L25" s="20"/>
      <c r="M25" s="20"/>
      <c r="N25" s="21">
        <f t="shared" si="10"/>
        <v>0</v>
      </c>
      <c r="O25" s="20"/>
      <c r="P25" s="20"/>
      <c r="Q25" s="21">
        <f t="shared" si="11"/>
        <v>0</v>
      </c>
      <c r="R25" s="20"/>
      <c r="S25" s="20"/>
      <c r="T25" s="16"/>
      <c r="U25" s="16" t="s">
        <v>29</v>
      </c>
      <c r="V25" s="16"/>
      <c r="W25" s="5"/>
    </row>
    <row r="26" spans="1:23" s="6" customFormat="1" ht="15" hidden="1" x14ac:dyDescent="0.25">
      <c r="A26" s="19" t="s">
        <v>30</v>
      </c>
      <c r="B26" s="21">
        <f t="shared" si="12"/>
        <v>0</v>
      </c>
      <c r="C26" s="20"/>
      <c r="D26" s="20"/>
      <c r="E26" s="21">
        <f t="shared" si="1"/>
        <v>0</v>
      </c>
      <c r="F26" s="20"/>
      <c r="G26" s="20"/>
      <c r="H26" s="21">
        <f t="shared" si="2"/>
        <v>0</v>
      </c>
      <c r="I26" s="20"/>
      <c r="J26" s="20"/>
      <c r="K26" s="21">
        <f t="shared" si="6"/>
        <v>0</v>
      </c>
      <c r="L26" s="20"/>
      <c r="M26" s="20"/>
      <c r="N26" s="21">
        <f t="shared" si="10"/>
        <v>0</v>
      </c>
      <c r="O26" s="20"/>
      <c r="P26" s="20"/>
      <c r="Q26" s="21">
        <f t="shared" si="11"/>
        <v>0</v>
      </c>
      <c r="R26" s="20"/>
      <c r="S26" s="20"/>
      <c r="T26" s="16"/>
      <c r="U26" s="16"/>
      <c r="V26" s="16"/>
      <c r="W26" s="5"/>
    </row>
    <row r="27" spans="1:23" s="6" customFormat="1" ht="15" hidden="1" x14ac:dyDescent="0.25">
      <c r="A27" s="19" t="s">
        <v>31</v>
      </c>
      <c r="B27" s="21">
        <f t="shared" si="12"/>
        <v>0</v>
      </c>
      <c r="C27" s="20"/>
      <c r="D27" s="20"/>
      <c r="E27" s="21">
        <f t="shared" si="1"/>
        <v>0</v>
      </c>
      <c r="F27" s="20"/>
      <c r="G27" s="20"/>
      <c r="H27" s="21">
        <f t="shared" si="2"/>
        <v>0</v>
      </c>
      <c r="I27" s="20"/>
      <c r="J27" s="20"/>
      <c r="K27" s="21">
        <f t="shared" si="6"/>
        <v>0</v>
      </c>
      <c r="L27" s="20"/>
      <c r="M27" s="20"/>
      <c r="N27" s="21">
        <f t="shared" si="10"/>
        <v>0</v>
      </c>
      <c r="O27" s="20"/>
      <c r="P27" s="20"/>
      <c r="Q27" s="21">
        <f t="shared" si="11"/>
        <v>0</v>
      </c>
      <c r="R27" s="20"/>
      <c r="S27" s="20"/>
      <c r="T27" s="5"/>
      <c r="U27" s="5"/>
      <c r="V27" s="5"/>
      <c r="W27" s="5"/>
    </row>
    <row r="28" spans="1:23" s="6" customFormat="1" ht="15" hidden="1" x14ac:dyDescent="0.25">
      <c r="A28" s="27" t="s">
        <v>32</v>
      </c>
      <c r="B28" s="21">
        <f t="shared" si="12"/>
        <v>0</v>
      </c>
      <c r="C28" s="20"/>
      <c r="D28" s="20"/>
      <c r="E28" s="21">
        <f t="shared" si="1"/>
        <v>0</v>
      </c>
      <c r="F28" s="20"/>
      <c r="G28" s="20"/>
      <c r="H28" s="21">
        <f t="shared" si="2"/>
        <v>0</v>
      </c>
      <c r="I28" s="20"/>
      <c r="J28" s="20"/>
      <c r="K28" s="21">
        <f t="shared" si="6"/>
        <v>0</v>
      </c>
      <c r="L28" s="20"/>
      <c r="M28" s="20"/>
      <c r="N28" s="21">
        <f t="shared" si="10"/>
        <v>0</v>
      </c>
      <c r="O28" s="20"/>
      <c r="P28" s="20"/>
      <c r="Q28" s="21">
        <f t="shared" si="11"/>
        <v>0</v>
      </c>
      <c r="R28" s="20"/>
      <c r="S28" s="20"/>
      <c r="T28" s="16"/>
      <c r="U28" s="16"/>
      <c r="V28" s="16"/>
      <c r="W28" s="5"/>
    </row>
    <row r="29" spans="1:23" s="6" customFormat="1" ht="15" x14ac:dyDescent="0.25">
      <c r="A29" s="19" t="s">
        <v>33</v>
      </c>
      <c r="B29" s="21">
        <f t="shared" si="12"/>
        <v>0</v>
      </c>
      <c r="C29" s="20">
        <v>0</v>
      </c>
      <c r="D29" s="20">
        <v>0</v>
      </c>
      <c r="E29" s="21">
        <f t="shared" si="1"/>
        <v>0</v>
      </c>
      <c r="F29" s="20">
        <v>0</v>
      </c>
      <c r="G29" s="20">
        <v>0</v>
      </c>
      <c r="H29" s="21">
        <f t="shared" si="2"/>
        <v>0</v>
      </c>
      <c r="I29" s="20">
        <v>0</v>
      </c>
      <c r="J29" s="20">
        <v>0</v>
      </c>
      <c r="K29" s="21">
        <f t="shared" si="6"/>
        <v>0</v>
      </c>
      <c r="L29" s="20">
        <v>0</v>
      </c>
      <c r="M29" s="20">
        <v>0</v>
      </c>
      <c r="N29" s="21">
        <f t="shared" si="10"/>
        <v>0</v>
      </c>
      <c r="O29" s="20">
        <v>0</v>
      </c>
      <c r="P29" s="20">
        <v>0</v>
      </c>
      <c r="Q29" s="21">
        <f t="shared" si="11"/>
        <v>0</v>
      </c>
      <c r="R29" s="20">
        <v>0</v>
      </c>
      <c r="S29" s="20">
        <v>0</v>
      </c>
      <c r="T29" s="16"/>
      <c r="U29" s="16"/>
      <c r="V29" s="16"/>
      <c r="W29" s="5"/>
    </row>
    <row r="30" spans="1:23" s="6" customFormat="1" ht="15" x14ac:dyDescent="0.25">
      <c r="A30" s="19" t="s">
        <v>19</v>
      </c>
      <c r="B30" s="21">
        <v>0</v>
      </c>
      <c r="C30" s="20">
        <v>0</v>
      </c>
      <c r="D30" s="20">
        <v>0</v>
      </c>
      <c r="E30" s="21">
        <f t="shared" si="1"/>
        <v>28</v>
      </c>
      <c r="F30" s="20">
        <v>28</v>
      </c>
      <c r="G30" s="20">
        <v>0</v>
      </c>
      <c r="H30" s="21">
        <f t="shared" si="2"/>
        <v>24</v>
      </c>
      <c r="I30" s="20">
        <f>7+8+9</f>
        <v>24</v>
      </c>
      <c r="J30" s="20">
        <v>0</v>
      </c>
      <c r="K30" s="21">
        <f t="shared" si="6"/>
        <v>18</v>
      </c>
      <c r="L30" s="20">
        <f>8+5+5</f>
        <v>18</v>
      </c>
      <c r="M30" s="20">
        <f>0</f>
        <v>0</v>
      </c>
      <c r="N30" s="21">
        <f t="shared" si="10"/>
        <v>22</v>
      </c>
      <c r="O30" s="20">
        <f>7+2+10+3</f>
        <v>22</v>
      </c>
      <c r="P30" s="20">
        <v>0</v>
      </c>
      <c r="Q30" s="21">
        <f t="shared" si="11"/>
        <v>31</v>
      </c>
      <c r="R30" s="20">
        <f>11+9+6+5</f>
        <v>31</v>
      </c>
      <c r="S30" s="20">
        <v>0</v>
      </c>
      <c r="T30" s="16"/>
      <c r="U30" s="16"/>
      <c r="V30" s="16"/>
      <c r="W30" s="5"/>
    </row>
    <row r="31" spans="1:23" s="6" customFormat="1" ht="15" x14ac:dyDescent="0.25">
      <c r="A31" s="19" t="s">
        <v>18</v>
      </c>
      <c r="B31" s="21">
        <v>0</v>
      </c>
      <c r="C31" s="20">
        <v>0</v>
      </c>
      <c r="D31" s="20">
        <v>0</v>
      </c>
      <c r="E31" s="21">
        <f t="shared" si="1"/>
        <v>6</v>
      </c>
      <c r="F31" s="20">
        <v>6</v>
      </c>
      <c r="G31" s="20">
        <v>0</v>
      </c>
      <c r="H31" s="21">
        <f t="shared" si="2"/>
        <v>9</v>
      </c>
      <c r="I31" s="20">
        <f>6+3</f>
        <v>9</v>
      </c>
      <c r="J31" s="20">
        <v>0</v>
      </c>
      <c r="K31" s="21">
        <f t="shared" si="6"/>
        <v>14</v>
      </c>
      <c r="L31" s="20">
        <f>4+5+5</f>
        <v>14</v>
      </c>
      <c r="M31" s="20">
        <f>0</f>
        <v>0</v>
      </c>
      <c r="N31" s="21">
        <f t="shared" si="10"/>
        <v>19</v>
      </c>
      <c r="O31" s="20">
        <f>10+2+6+1</f>
        <v>19</v>
      </c>
      <c r="P31" s="20">
        <v>0</v>
      </c>
      <c r="Q31" s="21">
        <f t="shared" si="11"/>
        <v>12</v>
      </c>
      <c r="R31" s="20">
        <f>1+4+2+5</f>
        <v>12</v>
      </c>
      <c r="S31" s="20">
        <v>0</v>
      </c>
      <c r="T31" s="16"/>
      <c r="U31" s="16"/>
      <c r="V31" s="16"/>
      <c r="W31" s="5"/>
    </row>
    <row r="32" spans="1:23" s="6" customFormat="1" ht="15" x14ac:dyDescent="0.25">
      <c r="A32" s="19" t="s">
        <v>17</v>
      </c>
      <c r="B32" s="21">
        <v>0</v>
      </c>
      <c r="C32" s="20">
        <v>0</v>
      </c>
      <c r="D32" s="20">
        <v>0</v>
      </c>
      <c r="E32" s="21">
        <v>0</v>
      </c>
      <c r="F32" s="20">
        <v>0</v>
      </c>
      <c r="G32" s="20">
        <v>0</v>
      </c>
      <c r="H32" s="21">
        <v>0</v>
      </c>
      <c r="I32" s="20">
        <v>0</v>
      </c>
      <c r="J32" s="20">
        <v>0</v>
      </c>
      <c r="K32" s="21">
        <f t="shared" si="6"/>
        <v>5</v>
      </c>
      <c r="L32" s="20">
        <f>5</f>
        <v>5</v>
      </c>
      <c r="M32" s="20">
        <f>0</f>
        <v>0</v>
      </c>
      <c r="N32" s="21">
        <f t="shared" si="10"/>
        <v>22</v>
      </c>
      <c r="O32" s="20">
        <f>12+7+1</f>
        <v>20</v>
      </c>
      <c r="P32" s="20">
        <v>2</v>
      </c>
      <c r="Q32" s="21">
        <f t="shared" si="11"/>
        <v>31</v>
      </c>
      <c r="R32" s="20">
        <f>11+6+7</f>
        <v>24</v>
      </c>
      <c r="S32" s="20">
        <f>2+2+3</f>
        <v>7</v>
      </c>
      <c r="T32" s="16"/>
      <c r="U32" s="16"/>
      <c r="V32" s="16"/>
      <c r="W32" s="5"/>
    </row>
    <row r="33" spans="1:23" s="6" customFormat="1" ht="15" x14ac:dyDescent="0.25">
      <c r="A33" s="18" t="s">
        <v>125</v>
      </c>
      <c r="B33" s="13">
        <v>0</v>
      </c>
      <c r="C33" s="15">
        <v>0</v>
      </c>
      <c r="D33" s="15">
        <v>0</v>
      </c>
      <c r="E33" s="13">
        <v>0</v>
      </c>
      <c r="F33" s="15">
        <v>0</v>
      </c>
      <c r="G33" s="15">
        <v>0</v>
      </c>
      <c r="H33" s="13">
        <v>0</v>
      </c>
      <c r="I33" s="15">
        <v>0</v>
      </c>
      <c r="J33" s="15">
        <v>0</v>
      </c>
      <c r="K33" s="13">
        <v>0</v>
      </c>
      <c r="L33" s="15">
        <v>0</v>
      </c>
      <c r="M33" s="15">
        <v>0</v>
      </c>
      <c r="N33" s="13">
        <f>O33+P33</f>
        <v>9</v>
      </c>
      <c r="O33" s="15">
        <f>O34</f>
        <v>9</v>
      </c>
      <c r="P33" s="15">
        <f>P34</f>
        <v>0</v>
      </c>
      <c r="Q33" s="13">
        <f>R33+S33</f>
        <v>26</v>
      </c>
      <c r="R33" s="15">
        <f>R34</f>
        <v>24</v>
      </c>
      <c r="S33" s="15">
        <f>S34</f>
        <v>2</v>
      </c>
      <c r="T33" s="16"/>
      <c r="U33" s="16"/>
      <c r="V33" s="16"/>
      <c r="W33" s="5"/>
    </row>
    <row r="34" spans="1:23" s="6" customFormat="1" ht="15" x14ac:dyDescent="0.25">
      <c r="A34" s="19" t="s">
        <v>42</v>
      </c>
      <c r="B34" s="21">
        <v>0</v>
      </c>
      <c r="C34" s="20">
        <v>0</v>
      </c>
      <c r="D34" s="20">
        <v>0</v>
      </c>
      <c r="E34" s="21">
        <v>0</v>
      </c>
      <c r="F34" s="20">
        <v>0</v>
      </c>
      <c r="G34" s="20">
        <v>0</v>
      </c>
      <c r="H34" s="21">
        <v>0</v>
      </c>
      <c r="I34" s="20">
        <v>0</v>
      </c>
      <c r="J34" s="20">
        <v>0</v>
      </c>
      <c r="K34" s="21">
        <v>0</v>
      </c>
      <c r="L34" s="20">
        <v>0</v>
      </c>
      <c r="M34" s="20">
        <v>0</v>
      </c>
      <c r="N34" s="21">
        <f>O34</f>
        <v>9</v>
      </c>
      <c r="O34" s="20">
        <v>9</v>
      </c>
      <c r="P34" s="20">
        <v>0</v>
      </c>
      <c r="Q34" s="21">
        <f>R34+S34</f>
        <v>26</v>
      </c>
      <c r="R34" s="20">
        <f>10+6+8</f>
        <v>24</v>
      </c>
      <c r="S34" s="20">
        <f>2</f>
        <v>2</v>
      </c>
      <c r="T34" s="16"/>
      <c r="U34" s="16"/>
      <c r="V34" s="16"/>
      <c r="W34" s="5"/>
    </row>
    <row r="35" spans="1:23" s="6" customFormat="1" ht="15" x14ac:dyDescent="0.25">
      <c r="A35" s="19" t="s">
        <v>33</v>
      </c>
      <c r="B35" s="21">
        <v>0</v>
      </c>
      <c r="C35" s="20">
        <v>0</v>
      </c>
      <c r="D35" s="20">
        <v>0</v>
      </c>
      <c r="E35" s="21">
        <v>0</v>
      </c>
      <c r="F35" s="20">
        <v>0</v>
      </c>
      <c r="G35" s="20">
        <v>0</v>
      </c>
      <c r="H35" s="21">
        <v>0</v>
      </c>
      <c r="I35" s="20">
        <v>0</v>
      </c>
      <c r="J35" s="20">
        <v>0</v>
      </c>
      <c r="K35" s="21">
        <v>0</v>
      </c>
      <c r="L35" s="20">
        <v>0</v>
      </c>
      <c r="M35" s="20">
        <v>0</v>
      </c>
      <c r="N35" s="21">
        <v>0</v>
      </c>
      <c r="O35" s="20">
        <v>0</v>
      </c>
      <c r="P35" s="20">
        <v>0</v>
      </c>
      <c r="Q35" s="21">
        <v>0</v>
      </c>
      <c r="R35" s="20">
        <v>0</v>
      </c>
      <c r="S35" s="20">
        <v>0</v>
      </c>
      <c r="T35" s="16"/>
      <c r="U35" s="16"/>
      <c r="V35" s="16"/>
      <c r="W35" s="5"/>
    </row>
    <row r="36" spans="1:23" s="6" customFormat="1" ht="15" x14ac:dyDescent="0.25">
      <c r="A36" s="18" t="s">
        <v>34</v>
      </c>
      <c r="B36" s="13">
        <f>C36+D36</f>
        <v>209</v>
      </c>
      <c r="C36" s="15">
        <f>C38+C39+C40+C41+C42+C43+C44+C46</f>
        <v>191</v>
      </c>
      <c r="D36" s="15">
        <f>D38+D39+D40+D41+D42+D43+D44+D46</f>
        <v>18</v>
      </c>
      <c r="E36" s="13">
        <f t="shared" si="1"/>
        <v>151</v>
      </c>
      <c r="F36" s="15">
        <f>F38+F39+F40+F41+F42+F43+F44+F45+F46</f>
        <v>139</v>
      </c>
      <c r="G36" s="15">
        <f>G38+G39+G40+G41+G42+G43+G44+G46</f>
        <v>12</v>
      </c>
      <c r="H36" s="13">
        <f t="shared" si="2"/>
        <v>95</v>
      </c>
      <c r="I36" s="15">
        <f>I38+I39+I40+I41+I42+I43+I44+I46</f>
        <v>93</v>
      </c>
      <c r="J36" s="15">
        <f>J38+J39+J40+J41+J42+J43+J44+J46</f>
        <v>2</v>
      </c>
      <c r="K36" s="13">
        <f t="shared" si="6"/>
        <v>63</v>
      </c>
      <c r="L36" s="15">
        <f>L38+L39+L40+L41+L42+L43+L44+L46</f>
        <v>53</v>
      </c>
      <c r="M36" s="15">
        <f>M38+M39+M40+M41+M42+M43+M44+M46</f>
        <v>10</v>
      </c>
      <c r="N36" s="13">
        <f t="shared" si="10"/>
        <v>164</v>
      </c>
      <c r="O36" s="15">
        <f>O38+O39+O40+O41+O42+O43+O44+O46</f>
        <v>145</v>
      </c>
      <c r="P36" s="15">
        <f>P38+P39+P40+P41+P42+P43+P44+P46</f>
        <v>19</v>
      </c>
      <c r="Q36" s="13">
        <f t="shared" ref="Q36:Q46" si="13">R36+S36</f>
        <v>289</v>
      </c>
      <c r="R36" s="15">
        <f>R38+R39+R40+R41+R42+R43+R44+R46+R45+R47+R48+R49+R50+R51</f>
        <v>233</v>
      </c>
      <c r="S36" s="15">
        <f>S38+S39+S40+S41+S42+S43+S44+S46+S45+S47+S48+S49+S50+S51</f>
        <v>56</v>
      </c>
      <c r="T36" s="16"/>
      <c r="U36" s="16"/>
      <c r="V36" s="16"/>
      <c r="W36" s="5"/>
    </row>
    <row r="37" spans="1:23" s="6" customFormat="1" ht="15" hidden="1" x14ac:dyDescent="0.25">
      <c r="A37" s="19" t="s">
        <v>35</v>
      </c>
      <c r="B37" s="13">
        <f t="shared" ref="B37:B43" si="14">C37+D37</f>
        <v>0</v>
      </c>
      <c r="C37" s="20"/>
      <c r="D37" s="20"/>
      <c r="E37" s="13">
        <f t="shared" si="1"/>
        <v>0</v>
      </c>
      <c r="F37" s="20"/>
      <c r="G37" s="20"/>
      <c r="H37" s="13">
        <f t="shared" si="2"/>
        <v>0</v>
      </c>
      <c r="I37" s="20"/>
      <c r="J37" s="20"/>
      <c r="K37" s="13">
        <f t="shared" si="6"/>
        <v>0</v>
      </c>
      <c r="L37" s="20"/>
      <c r="M37" s="20"/>
      <c r="N37" s="13">
        <f t="shared" si="10"/>
        <v>0</v>
      </c>
      <c r="O37" s="20"/>
      <c r="P37" s="20"/>
      <c r="Q37" s="13">
        <f t="shared" si="13"/>
        <v>0</v>
      </c>
      <c r="R37" s="20"/>
      <c r="S37" s="20"/>
      <c r="T37" s="5"/>
      <c r="U37" s="5"/>
      <c r="V37" s="5"/>
      <c r="W37" s="5"/>
    </row>
    <row r="38" spans="1:23" s="6" customFormat="1" ht="15" x14ac:dyDescent="0.25">
      <c r="A38" s="19" t="s">
        <v>36</v>
      </c>
      <c r="B38" s="21">
        <f t="shared" si="14"/>
        <v>29</v>
      </c>
      <c r="C38" s="20">
        <f>17+12</f>
        <v>29</v>
      </c>
      <c r="D38" s="20">
        <v>0</v>
      </c>
      <c r="E38" s="21">
        <f t="shared" si="1"/>
        <v>30</v>
      </c>
      <c r="F38" s="20">
        <v>30</v>
      </c>
      <c r="G38" s="20">
        <v>0</v>
      </c>
      <c r="H38" s="21">
        <f t="shared" si="2"/>
        <v>13</v>
      </c>
      <c r="I38" s="20">
        <v>13</v>
      </c>
      <c r="J38" s="20">
        <v>0</v>
      </c>
      <c r="K38" s="21">
        <f t="shared" si="6"/>
        <v>14</v>
      </c>
      <c r="L38" s="20">
        <f>14</f>
        <v>14</v>
      </c>
      <c r="M38" s="20">
        <f>0</f>
        <v>0</v>
      </c>
      <c r="N38" s="21">
        <f t="shared" si="10"/>
        <v>20</v>
      </c>
      <c r="O38" s="20">
        <f>9+11</f>
        <v>20</v>
      </c>
      <c r="P38" s="20">
        <v>0</v>
      </c>
      <c r="Q38" s="21">
        <f t="shared" si="13"/>
        <v>38</v>
      </c>
      <c r="R38" s="20">
        <f>4+15+2+17</f>
        <v>38</v>
      </c>
      <c r="S38" s="20">
        <v>0</v>
      </c>
      <c r="T38" s="5"/>
      <c r="U38" s="5"/>
      <c r="V38" s="5"/>
      <c r="W38" s="5"/>
    </row>
    <row r="39" spans="1:23" s="6" customFormat="1" ht="15" x14ac:dyDescent="0.25">
      <c r="A39" s="19" t="s">
        <v>37</v>
      </c>
      <c r="B39" s="21">
        <f t="shared" si="14"/>
        <v>29</v>
      </c>
      <c r="C39" s="20">
        <f>16+13</f>
        <v>29</v>
      </c>
      <c r="D39" s="20">
        <v>0</v>
      </c>
      <c r="E39" s="21">
        <f t="shared" si="1"/>
        <v>19</v>
      </c>
      <c r="F39" s="20">
        <v>19</v>
      </c>
      <c r="G39" s="20">
        <v>0</v>
      </c>
      <c r="H39" s="21">
        <f t="shared" si="2"/>
        <v>14</v>
      </c>
      <c r="I39" s="20">
        <v>13</v>
      </c>
      <c r="J39" s="20">
        <v>1</v>
      </c>
      <c r="K39" s="21">
        <f t="shared" si="6"/>
        <v>12</v>
      </c>
      <c r="L39" s="20">
        <f>11</f>
        <v>11</v>
      </c>
      <c r="M39" s="20">
        <f>1</f>
        <v>1</v>
      </c>
      <c r="N39" s="21">
        <f t="shared" si="10"/>
        <v>21</v>
      </c>
      <c r="O39" s="20">
        <f>8+13</f>
        <v>21</v>
      </c>
      <c r="P39" s="20">
        <v>0</v>
      </c>
      <c r="Q39" s="21">
        <f t="shared" si="13"/>
        <v>18</v>
      </c>
      <c r="R39" s="20">
        <f>6+12</f>
        <v>18</v>
      </c>
      <c r="S39" s="20">
        <v>0</v>
      </c>
      <c r="T39" s="5"/>
      <c r="U39" s="5"/>
      <c r="V39" s="5"/>
      <c r="W39" s="5"/>
    </row>
    <row r="40" spans="1:23" s="17" customFormat="1" ht="15" customHeight="1" x14ac:dyDescent="0.25">
      <c r="A40" s="19" t="s">
        <v>38</v>
      </c>
      <c r="B40" s="21">
        <f t="shared" si="14"/>
        <v>104</v>
      </c>
      <c r="C40" s="20">
        <f>19+15+18+15+12+25</f>
        <v>104</v>
      </c>
      <c r="D40" s="20">
        <v>0</v>
      </c>
      <c r="E40" s="21">
        <f t="shared" si="1"/>
        <v>49</v>
      </c>
      <c r="F40" s="20">
        <v>49</v>
      </c>
      <c r="G40" s="20">
        <v>0</v>
      </c>
      <c r="H40" s="21">
        <f t="shared" si="2"/>
        <v>50</v>
      </c>
      <c r="I40" s="20">
        <f>19+14+17</f>
        <v>50</v>
      </c>
      <c r="J40" s="20">
        <v>0</v>
      </c>
      <c r="K40" s="21">
        <f t="shared" si="6"/>
        <v>11</v>
      </c>
      <c r="L40" s="20">
        <f>11</f>
        <v>11</v>
      </c>
      <c r="M40" s="20">
        <f>0</f>
        <v>0</v>
      </c>
      <c r="N40" s="21">
        <f t="shared" si="10"/>
        <v>53</v>
      </c>
      <c r="O40" s="20">
        <f>21+13+19</f>
        <v>53</v>
      </c>
      <c r="P40" s="20">
        <v>0</v>
      </c>
      <c r="Q40" s="21">
        <f t="shared" si="13"/>
        <v>73</v>
      </c>
      <c r="R40" s="20">
        <f>18+12+23+19</f>
        <v>72</v>
      </c>
      <c r="S40" s="20">
        <v>1</v>
      </c>
      <c r="T40" s="5"/>
      <c r="U40" s="5"/>
      <c r="V40" s="5"/>
      <c r="W40" s="5"/>
    </row>
    <row r="41" spans="1:23" s="17" customFormat="1" ht="15" customHeight="1" x14ac:dyDescent="0.25">
      <c r="A41" s="19" t="s">
        <v>39</v>
      </c>
      <c r="B41" s="21">
        <f t="shared" si="14"/>
        <v>0</v>
      </c>
      <c r="C41" s="20">
        <v>0</v>
      </c>
      <c r="D41" s="20">
        <v>0</v>
      </c>
      <c r="E41" s="21">
        <f t="shared" si="1"/>
        <v>0</v>
      </c>
      <c r="F41" s="20">
        <v>0</v>
      </c>
      <c r="G41" s="20">
        <v>0</v>
      </c>
      <c r="H41" s="21">
        <f t="shared" si="2"/>
        <v>0</v>
      </c>
      <c r="I41" s="20">
        <v>0</v>
      </c>
      <c r="J41" s="20">
        <v>0</v>
      </c>
      <c r="K41" s="21">
        <f t="shared" si="6"/>
        <v>0</v>
      </c>
      <c r="L41" s="20">
        <v>0</v>
      </c>
      <c r="M41" s="20">
        <v>0</v>
      </c>
      <c r="N41" s="21">
        <f t="shared" si="10"/>
        <v>0</v>
      </c>
      <c r="O41" s="20">
        <v>0</v>
      </c>
      <c r="P41" s="20">
        <v>0</v>
      </c>
      <c r="Q41" s="21">
        <f t="shared" si="13"/>
        <v>0</v>
      </c>
      <c r="R41" s="20">
        <v>0</v>
      </c>
      <c r="S41" s="20">
        <v>0</v>
      </c>
      <c r="T41" s="5"/>
      <c r="U41" s="5"/>
      <c r="V41" s="5"/>
      <c r="W41" s="5"/>
    </row>
    <row r="42" spans="1:23" s="17" customFormat="1" ht="15" customHeight="1" x14ac:dyDescent="0.25">
      <c r="A42" s="19" t="s">
        <v>40</v>
      </c>
      <c r="B42" s="21">
        <f t="shared" si="14"/>
        <v>11</v>
      </c>
      <c r="C42" s="20">
        <v>0</v>
      </c>
      <c r="D42" s="20">
        <v>11</v>
      </c>
      <c r="E42" s="21">
        <f t="shared" si="1"/>
        <v>0</v>
      </c>
      <c r="F42" s="20">
        <v>0</v>
      </c>
      <c r="G42" s="20">
        <v>0</v>
      </c>
      <c r="H42" s="21">
        <f t="shared" si="2"/>
        <v>0</v>
      </c>
      <c r="I42" s="20">
        <v>0</v>
      </c>
      <c r="J42" s="20">
        <v>0</v>
      </c>
      <c r="K42" s="21">
        <f t="shared" si="6"/>
        <v>0</v>
      </c>
      <c r="L42" s="20">
        <v>0</v>
      </c>
      <c r="M42" s="20">
        <v>0</v>
      </c>
      <c r="N42" s="21">
        <f t="shared" si="10"/>
        <v>0</v>
      </c>
      <c r="O42" s="20">
        <v>0</v>
      </c>
      <c r="P42" s="20">
        <v>0</v>
      </c>
      <c r="Q42" s="21">
        <f t="shared" si="13"/>
        <v>0</v>
      </c>
      <c r="R42" s="20">
        <v>0</v>
      </c>
      <c r="S42" s="20">
        <v>0</v>
      </c>
      <c r="T42" s="5"/>
      <c r="U42" s="5"/>
      <c r="V42" s="5"/>
      <c r="W42" s="5"/>
    </row>
    <row r="43" spans="1:23" s="17" customFormat="1" ht="15" customHeight="1" x14ac:dyDescent="0.25">
      <c r="A43" s="19" t="s">
        <v>41</v>
      </c>
      <c r="B43" s="21">
        <f t="shared" si="14"/>
        <v>8</v>
      </c>
      <c r="C43" s="20">
        <v>4</v>
      </c>
      <c r="D43" s="20">
        <v>4</v>
      </c>
      <c r="E43" s="21">
        <f t="shared" si="1"/>
        <v>13</v>
      </c>
      <c r="F43" s="20">
        <v>7</v>
      </c>
      <c r="G43" s="20">
        <v>6</v>
      </c>
      <c r="H43" s="21">
        <f t="shared" si="2"/>
        <v>0</v>
      </c>
      <c r="I43" s="20">
        <v>0</v>
      </c>
      <c r="J43" s="20">
        <v>0</v>
      </c>
      <c r="K43" s="21">
        <f t="shared" si="6"/>
        <v>13</v>
      </c>
      <c r="L43" s="20">
        <f>7</f>
        <v>7</v>
      </c>
      <c r="M43" s="20">
        <f>6</f>
        <v>6</v>
      </c>
      <c r="N43" s="21">
        <f t="shared" si="10"/>
        <v>30</v>
      </c>
      <c r="O43" s="20">
        <f>3+3+4+5</f>
        <v>15</v>
      </c>
      <c r="P43" s="20">
        <f>3+4+3+5</f>
        <v>15</v>
      </c>
      <c r="Q43" s="21">
        <f t="shared" si="13"/>
        <v>66</v>
      </c>
      <c r="R43" s="20">
        <f>16+5+9+3</f>
        <v>33</v>
      </c>
      <c r="S43" s="20">
        <f>6+6+13+8</f>
        <v>33</v>
      </c>
      <c r="T43" s="5"/>
      <c r="U43" s="5"/>
      <c r="V43" s="5"/>
      <c r="W43" s="5"/>
    </row>
    <row r="44" spans="1:23" s="17" customFormat="1" ht="15" customHeight="1" x14ac:dyDescent="0.25">
      <c r="A44" s="19" t="s">
        <v>42</v>
      </c>
      <c r="B44" s="21">
        <f>C44</f>
        <v>14</v>
      </c>
      <c r="C44" s="20">
        <f>8+6</f>
        <v>14</v>
      </c>
      <c r="D44" s="20">
        <f>1+2</f>
        <v>3</v>
      </c>
      <c r="E44" s="21">
        <f t="shared" si="1"/>
        <v>27</v>
      </c>
      <c r="F44" s="20">
        <v>21</v>
      </c>
      <c r="G44" s="20">
        <v>6</v>
      </c>
      <c r="H44" s="21">
        <f t="shared" si="2"/>
        <v>18</v>
      </c>
      <c r="I44" s="20">
        <v>17</v>
      </c>
      <c r="J44" s="20">
        <v>1</v>
      </c>
      <c r="K44" s="21">
        <f t="shared" si="6"/>
        <v>13</v>
      </c>
      <c r="L44" s="20">
        <f>10</f>
        <v>10</v>
      </c>
      <c r="M44" s="20">
        <f>3</f>
        <v>3</v>
      </c>
      <c r="N44" s="21">
        <f t="shared" si="10"/>
        <v>16</v>
      </c>
      <c r="O44" s="20">
        <f>8+4</f>
        <v>12</v>
      </c>
      <c r="P44" s="20">
        <f>3+1</f>
        <v>4</v>
      </c>
      <c r="Q44" s="21">
        <f t="shared" si="13"/>
        <v>16</v>
      </c>
      <c r="R44" s="20">
        <f>15</f>
        <v>15</v>
      </c>
      <c r="S44" s="20">
        <f>1</f>
        <v>1</v>
      </c>
      <c r="T44" s="5"/>
      <c r="U44" s="5"/>
      <c r="V44" s="5"/>
      <c r="W44" s="5"/>
    </row>
    <row r="45" spans="1:23" s="17" customFormat="1" ht="15" customHeight="1" x14ac:dyDescent="0.25">
      <c r="A45" s="19" t="s">
        <v>43</v>
      </c>
      <c r="B45" s="21">
        <f>C45</f>
        <v>0</v>
      </c>
      <c r="C45" s="20">
        <v>0</v>
      </c>
      <c r="D45" s="20">
        <v>0</v>
      </c>
      <c r="E45" s="21">
        <f t="shared" si="1"/>
        <v>6</v>
      </c>
      <c r="F45" s="20">
        <v>6</v>
      </c>
      <c r="G45" s="20">
        <v>0</v>
      </c>
      <c r="H45" s="21">
        <f t="shared" si="2"/>
        <v>0</v>
      </c>
      <c r="I45" s="20">
        <v>0</v>
      </c>
      <c r="J45" s="20">
        <v>0</v>
      </c>
      <c r="K45" s="21">
        <f t="shared" si="6"/>
        <v>0</v>
      </c>
      <c r="L45" s="20">
        <v>0</v>
      </c>
      <c r="M45" s="20">
        <v>0</v>
      </c>
      <c r="N45" s="21">
        <f t="shared" si="10"/>
        <v>12</v>
      </c>
      <c r="O45" s="20">
        <f>7+3+2</f>
        <v>12</v>
      </c>
      <c r="P45" s="20">
        <v>0</v>
      </c>
      <c r="Q45" s="21">
        <f t="shared" si="13"/>
        <v>17</v>
      </c>
      <c r="R45" s="20">
        <f>5+1+11</f>
        <v>17</v>
      </c>
      <c r="S45" s="20">
        <v>0</v>
      </c>
      <c r="T45" s="5"/>
      <c r="U45" s="5"/>
      <c r="V45" s="5"/>
      <c r="W45" s="5"/>
    </row>
    <row r="46" spans="1:23" s="17" customFormat="1" ht="15" customHeight="1" x14ac:dyDescent="0.25">
      <c r="A46" s="19" t="s">
        <v>30</v>
      </c>
      <c r="B46" s="21">
        <f>C46</f>
        <v>11</v>
      </c>
      <c r="C46" s="20">
        <v>11</v>
      </c>
      <c r="D46" s="20">
        <v>0</v>
      </c>
      <c r="E46" s="21">
        <f t="shared" si="1"/>
        <v>7</v>
      </c>
      <c r="F46" s="20">
        <v>7</v>
      </c>
      <c r="G46" s="20">
        <v>0</v>
      </c>
      <c r="H46" s="21">
        <f t="shared" si="2"/>
        <v>0</v>
      </c>
      <c r="I46" s="20">
        <v>0</v>
      </c>
      <c r="J46" s="20">
        <v>0</v>
      </c>
      <c r="K46" s="21">
        <f t="shared" si="6"/>
        <v>0</v>
      </c>
      <c r="L46" s="20">
        <v>0</v>
      </c>
      <c r="M46" s="20">
        <v>0</v>
      </c>
      <c r="N46" s="21">
        <f t="shared" si="10"/>
        <v>24</v>
      </c>
      <c r="O46" s="20">
        <f>12+12</f>
        <v>24</v>
      </c>
      <c r="P46" s="20">
        <v>0</v>
      </c>
      <c r="Q46" s="21">
        <f t="shared" si="13"/>
        <v>10</v>
      </c>
      <c r="R46" s="20">
        <f>8+2</f>
        <v>10</v>
      </c>
      <c r="S46" s="20">
        <v>0</v>
      </c>
      <c r="T46" s="5"/>
      <c r="U46" s="5"/>
      <c r="V46" s="5"/>
      <c r="W46" s="5"/>
    </row>
    <row r="47" spans="1:23" s="17" customFormat="1" ht="15" customHeight="1" x14ac:dyDescent="0.25">
      <c r="A47" s="19" t="s">
        <v>126</v>
      </c>
      <c r="B47" s="21">
        <v>0</v>
      </c>
      <c r="C47" s="20">
        <v>0</v>
      </c>
      <c r="D47" s="20">
        <v>0</v>
      </c>
      <c r="E47" s="21">
        <v>0</v>
      </c>
      <c r="F47" s="20">
        <v>0</v>
      </c>
      <c r="G47" s="20">
        <v>0</v>
      </c>
      <c r="H47" s="21">
        <v>0</v>
      </c>
      <c r="I47" s="20">
        <v>0</v>
      </c>
      <c r="J47" s="20">
        <v>0</v>
      </c>
      <c r="K47" s="21">
        <v>0</v>
      </c>
      <c r="L47" s="20">
        <v>0</v>
      </c>
      <c r="M47" s="20">
        <v>0</v>
      </c>
      <c r="N47" s="21">
        <f>O47+P47</f>
        <v>8</v>
      </c>
      <c r="O47" s="20">
        <v>7</v>
      </c>
      <c r="P47" s="20">
        <v>1</v>
      </c>
      <c r="Q47" s="21">
        <f>R47+S47</f>
        <v>12</v>
      </c>
      <c r="R47" s="20">
        <f>3+7</f>
        <v>10</v>
      </c>
      <c r="S47" s="20">
        <f>2</f>
        <v>2</v>
      </c>
      <c r="T47" s="5"/>
      <c r="U47" s="5"/>
      <c r="V47" s="5"/>
      <c r="W47" s="5"/>
    </row>
    <row r="48" spans="1:23" s="17" customFormat="1" ht="15" customHeight="1" x14ac:dyDescent="0.25">
      <c r="A48" s="19" t="s">
        <v>127</v>
      </c>
      <c r="B48" s="21">
        <v>0</v>
      </c>
      <c r="C48" s="20">
        <v>0</v>
      </c>
      <c r="D48" s="20">
        <v>0</v>
      </c>
      <c r="E48" s="21">
        <v>0</v>
      </c>
      <c r="F48" s="20">
        <v>0</v>
      </c>
      <c r="G48" s="20">
        <v>0</v>
      </c>
      <c r="H48" s="21">
        <v>0</v>
      </c>
      <c r="I48" s="20">
        <v>0</v>
      </c>
      <c r="J48" s="20">
        <v>0</v>
      </c>
      <c r="K48" s="21">
        <v>0</v>
      </c>
      <c r="L48" s="20">
        <v>0</v>
      </c>
      <c r="M48" s="20">
        <v>0</v>
      </c>
      <c r="N48" s="21">
        <f>O48</f>
        <v>11</v>
      </c>
      <c r="O48" s="20">
        <f>11</f>
        <v>11</v>
      </c>
      <c r="P48" s="20">
        <v>0</v>
      </c>
      <c r="Q48" s="21">
        <f>R48</f>
        <v>0</v>
      </c>
      <c r="R48" s="20">
        <v>0</v>
      </c>
      <c r="S48" s="20">
        <v>0</v>
      </c>
      <c r="T48" s="5"/>
      <c r="U48" s="5"/>
      <c r="V48" s="5"/>
      <c r="W48" s="5"/>
    </row>
    <row r="49" spans="1:23" s="17" customFormat="1" ht="15" customHeight="1" x14ac:dyDescent="0.25">
      <c r="A49" s="19" t="s">
        <v>128</v>
      </c>
      <c r="B49" s="21">
        <v>0</v>
      </c>
      <c r="C49" s="20">
        <v>0</v>
      </c>
      <c r="D49" s="20">
        <v>0</v>
      </c>
      <c r="E49" s="21">
        <v>0</v>
      </c>
      <c r="F49" s="20">
        <v>0</v>
      </c>
      <c r="G49" s="20">
        <v>0</v>
      </c>
      <c r="H49" s="21">
        <v>0</v>
      </c>
      <c r="I49" s="20">
        <v>0</v>
      </c>
      <c r="J49" s="20">
        <v>0</v>
      </c>
      <c r="K49" s="21">
        <v>0</v>
      </c>
      <c r="L49" s="20">
        <v>0</v>
      </c>
      <c r="M49" s="20"/>
      <c r="N49" s="21">
        <v>0</v>
      </c>
      <c r="O49" s="20">
        <v>0</v>
      </c>
      <c r="P49" s="20">
        <v>0</v>
      </c>
      <c r="Q49" s="21">
        <f>R49+S49</f>
        <v>15</v>
      </c>
      <c r="R49" s="20">
        <f>5+2</f>
        <v>7</v>
      </c>
      <c r="S49" s="20">
        <f>4+4</f>
        <v>8</v>
      </c>
      <c r="T49" s="5"/>
      <c r="U49" s="5"/>
      <c r="V49" s="5"/>
      <c r="W49" s="5"/>
    </row>
    <row r="50" spans="1:23" s="17" customFormat="1" ht="15" customHeight="1" x14ac:dyDescent="0.25">
      <c r="A50" s="19" t="s">
        <v>129</v>
      </c>
      <c r="B50" s="21">
        <v>0</v>
      </c>
      <c r="C50" s="20">
        <v>0</v>
      </c>
      <c r="D50" s="20">
        <v>0</v>
      </c>
      <c r="E50" s="21">
        <v>0</v>
      </c>
      <c r="F50" s="20">
        <v>0</v>
      </c>
      <c r="G50" s="20">
        <v>0</v>
      </c>
      <c r="H50" s="21">
        <v>0</v>
      </c>
      <c r="I50" s="20">
        <v>0</v>
      </c>
      <c r="J50" s="20">
        <v>0</v>
      </c>
      <c r="K50" s="21">
        <v>0</v>
      </c>
      <c r="L50" s="20">
        <v>0</v>
      </c>
      <c r="M50" s="20">
        <v>0</v>
      </c>
      <c r="N50" s="21">
        <v>0</v>
      </c>
      <c r="O50" s="20">
        <v>0</v>
      </c>
      <c r="P50" s="20">
        <v>0</v>
      </c>
      <c r="Q50" s="21">
        <f>R50+S50</f>
        <v>19</v>
      </c>
      <c r="R50" s="20">
        <f>8</f>
        <v>8</v>
      </c>
      <c r="S50" s="20">
        <f>11</f>
        <v>11</v>
      </c>
      <c r="T50" s="5"/>
      <c r="U50" s="5"/>
      <c r="V50" s="5"/>
      <c r="W50" s="5"/>
    </row>
    <row r="51" spans="1:23" s="17" customFormat="1" ht="15" customHeight="1" x14ac:dyDescent="0.25">
      <c r="A51" s="19" t="s">
        <v>130</v>
      </c>
      <c r="B51" s="21">
        <v>0</v>
      </c>
      <c r="C51" s="20">
        <v>0</v>
      </c>
      <c r="D51" s="20">
        <v>0</v>
      </c>
      <c r="E51" s="21">
        <v>0</v>
      </c>
      <c r="F51" s="20">
        <v>0</v>
      </c>
      <c r="G51" s="20">
        <v>0</v>
      </c>
      <c r="H51" s="21">
        <v>0</v>
      </c>
      <c r="I51" s="20">
        <v>0</v>
      </c>
      <c r="J51" s="20">
        <v>0</v>
      </c>
      <c r="K51" s="21">
        <v>0</v>
      </c>
      <c r="L51" s="20">
        <v>0</v>
      </c>
      <c r="M51" s="20"/>
      <c r="N51" s="21">
        <v>0</v>
      </c>
      <c r="O51" s="20">
        <v>0</v>
      </c>
      <c r="P51" s="20">
        <v>0</v>
      </c>
      <c r="Q51" s="21">
        <f>R51+S51</f>
        <v>5</v>
      </c>
      <c r="R51" s="20">
        <f>5</f>
        <v>5</v>
      </c>
      <c r="S51" s="20">
        <v>0</v>
      </c>
      <c r="T51" s="5"/>
      <c r="U51" s="5"/>
      <c r="V51" s="5"/>
      <c r="W51" s="5"/>
    </row>
    <row r="52" spans="1:23" s="17" customFormat="1" ht="15" x14ac:dyDescent="0.25">
      <c r="A52" s="14" t="s">
        <v>4</v>
      </c>
      <c r="B52" s="13">
        <f t="shared" ref="B52:B62" si="15">C52+D52</f>
        <v>54</v>
      </c>
      <c r="C52" s="15">
        <f>C53+C56+C64+C75</f>
        <v>50</v>
      </c>
      <c r="D52" s="15">
        <v>4</v>
      </c>
      <c r="E52" s="13">
        <f t="shared" si="1"/>
        <v>146</v>
      </c>
      <c r="F52" s="15">
        <f>F53+F56+F64</f>
        <v>116</v>
      </c>
      <c r="G52" s="15">
        <f>G53+G56+G64</f>
        <v>30</v>
      </c>
      <c r="H52" s="13">
        <f>I52+J52</f>
        <v>73</v>
      </c>
      <c r="I52" s="15">
        <f>I53+I56+I64+I75</f>
        <v>40</v>
      </c>
      <c r="J52" s="15">
        <f>J53+J56+J64+J75</f>
        <v>33</v>
      </c>
      <c r="K52" s="13">
        <f>L52+M52</f>
        <v>14</v>
      </c>
      <c r="L52" s="15">
        <f>L53+L56+L64+L75</f>
        <v>13</v>
      </c>
      <c r="M52" s="15">
        <f>M53+M56+M64+M75</f>
        <v>1</v>
      </c>
      <c r="N52" s="13">
        <f>O52+P52</f>
        <v>54</v>
      </c>
      <c r="O52" s="15">
        <f>O53+O56+O64+O75</f>
        <v>42</v>
      </c>
      <c r="P52" s="15">
        <f>P53+P56+P64+P75</f>
        <v>12</v>
      </c>
      <c r="Q52" s="13">
        <f>R52+S52</f>
        <v>37</v>
      </c>
      <c r="R52" s="15">
        <f>R53+R56+R64+R75</f>
        <v>25</v>
      </c>
      <c r="S52" s="15">
        <f>S53+S56+S64+S75</f>
        <v>12</v>
      </c>
      <c r="T52" s="16"/>
      <c r="U52" s="16"/>
      <c r="V52" s="16"/>
      <c r="W52" s="16"/>
    </row>
    <row r="53" spans="1:23" s="17" customFormat="1" ht="15" x14ac:dyDescent="0.25">
      <c r="A53" s="18" t="s">
        <v>131</v>
      </c>
      <c r="B53" s="13">
        <f t="shared" si="15"/>
        <v>11</v>
      </c>
      <c r="C53" s="28">
        <f>SUM(C54)</f>
        <v>11</v>
      </c>
      <c r="D53" s="28">
        <f>SUM(D54)</f>
        <v>0</v>
      </c>
      <c r="E53" s="13">
        <f t="shared" si="1"/>
        <v>12</v>
      </c>
      <c r="F53" s="15">
        <f>F55</f>
        <v>10</v>
      </c>
      <c r="G53" s="15">
        <f>G55</f>
        <v>2</v>
      </c>
      <c r="H53" s="13">
        <f t="shared" si="2"/>
        <v>8</v>
      </c>
      <c r="I53" s="28">
        <f>I54+I55</f>
        <v>6</v>
      </c>
      <c r="J53" s="28">
        <f>J54+J55</f>
        <v>2</v>
      </c>
      <c r="K53" s="13">
        <f t="shared" ref="K53:K74" si="16">L53+M53</f>
        <v>7</v>
      </c>
      <c r="L53" s="28">
        <f>L54+L55</f>
        <v>6</v>
      </c>
      <c r="M53" s="28">
        <f>M54+M55</f>
        <v>1</v>
      </c>
      <c r="N53" s="13">
        <f t="shared" ref="N53:N63" si="17">O53+P53</f>
        <v>8</v>
      </c>
      <c r="O53" s="28">
        <f>O54+O55</f>
        <v>8</v>
      </c>
      <c r="P53" s="28">
        <f>P54+P55</f>
        <v>0</v>
      </c>
      <c r="Q53" s="13">
        <f t="shared" ref="Q53:Q63" si="18">R53+S53</f>
        <v>0</v>
      </c>
      <c r="R53" s="28">
        <f>R54+R55</f>
        <v>0</v>
      </c>
      <c r="S53" s="28">
        <f>S54+S55</f>
        <v>0</v>
      </c>
      <c r="T53" s="29"/>
      <c r="U53" s="16"/>
      <c r="V53" s="16"/>
      <c r="W53" s="16"/>
    </row>
    <row r="54" spans="1:23" s="17" customFormat="1" ht="15" x14ac:dyDescent="0.25">
      <c r="A54" s="19" t="s">
        <v>22</v>
      </c>
      <c r="B54" s="21">
        <f t="shared" si="15"/>
        <v>11</v>
      </c>
      <c r="C54" s="30">
        <v>11</v>
      </c>
      <c r="D54" s="30">
        <v>0</v>
      </c>
      <c r="E54" s="21">
        <f t="shared" si="1"/>
        <v>0</v>
      </c>
      <c r="F54" s="30">
        <v>0</v>
      </c>
      <c r="G54" s="30">
        <v>0</v>
      </c>
      <c r="H54" s="21">
        <f t="shared" si="2"/>
        <v>0</v>
      </c>
      <c r="I54" s="30">
        <v>0</v>
      </c>
      <c r="J54" s="30">
        <v>0</v>
      </c>
      <c r="K54" s="21">
        <f t="shared" si="16"/>
        <v>7</v>
      </c>
      <c r="L54" s="30">
        <f>6</f>
        <v>6</v>
      </c>
      <c r="M54" s="30">
        <f>1</f>
        <v>1</v>
      </c>
      <c r="N54" s="21">
        <f t="shared" si="17"/>
        <v>8</v>
      </c>
      <c r="O54" s="30">
        <v>8</v>
      </c>
      <c r="P54" s="30">
        <v>0</v>
      </c>
      <c r="Q54" s="21">
        <f t="shared" si="18"/>
        <v>0</v>
      </c>
      <c r="R54" s="30">
        <v>0</v>
      </c>
      <c r="S54" s="30">
        <v>0</v>
      </c>
      <c r="T54" s="29"/>
      <c r="U54" s="16"/>
      <c r="V54" s="16"/>
      <c r="W54" s="16"/>
    </row>
    <row r="55" spans="1:23" s="17" customFormat="1" ht="15" x14ac:dyDescent="0.25">
      <c r="A55" s="19" t="s">
        <v>44</v>
      </c>
      <c r="B55" s="21">
        <v>0</v>
      </c>
      <c r="C55" s="30">
        <v>0</v>
      </c>
      <c r="D55" s="30">
        <v>0</v>
      </c>
      <c r="E55" s="21">
        <f t="shared" si="1"/>
        <v>12</v>
      </c>
      <c r="F55" s="30">
        <v>10</v>
      </c>
      <c r="G55" s="30">
        <v>2</v>
      </c>
      <c r="H55" s="21">
        <f t="shared" si="2"/>
        <v>8</v>
      </c>
      <c r="I55" s="30">
        <v>6</v>
      </c>
      <c r="J55" s="30">
        <v>2</v>
      </c>
      <c r="K55" s="21">
        <f t="shared" si="16"/>
        <v>0</v>
      </c>
      <c r="L55" s="30">
        <v>0</v>
      </c>
      <c r="M55" s="30">
        <v>0</v>
      </c>
      <c r="N55" s="21">
        <f t="shared" si="17"/>
        <v>0</v>
      </c>
      <c r="O55" s="30">
        <v>0</v>
      </c>
      <c r="P55" s="30">
        <v>0</v>
      </c>
      <c r="Q55" s="21">
        <f t="shared" si="18"/>
        <v>0</v>
      </c>
      <c r="R55" s="30">
        <v>0</v>
      </c>
      <c r="S55" s="30">
        <v>0</v>
      </c>
      <c r="T55" s="29"/>
      <c r="U55" s="16"/>
      <c r="V55" s="16"/>
      <c r="W55" s="16"/>
    </row>
    <row r="56" spans="1:23" s="6" customFormat="1" ht="14.25" customHeight="1" x14ac:dyDescent="0.25">
      <c r="A56" s="14" t="s">
        <v>45</v>
      </c>
      <c r="B56" s="13">
        <f t="shared" si="15"/>
        <v>9</v>
      </c>
      <c r="C56" s="15">
        <f>SUM(C62:C63)</f>
        <v>9</v>
      </c>
      <c r="D56" s="15">
        <f>SUM(D62:D63)</f>
        <v>0</v>
      </c>
      <c r="E56" s="13">
        <f t="shared" si="1"/>
        <v>11</v>
      </c>
      <c r="F56" s="15">
        <f>SUM(F62:F63)</f>
        <v>10</v>
      </c>
      <c r="G56" s="15">
        <f>SUM(G62:G63)</f>
        <v>1</v>
      </c>
      <c r="H56" s="13">
        <f t="shared" si="2"/>
        <v>8</v>
      </c>
      <c r="I56" s="15">
        <f>SUM(I62:I63)</f>
        <v>7</v>
      </c>
      <c r="J56" s="15">
        <f>SUM(J62:J63)</f>
        <v>1</v>
      </c>
      <c r="K56" s="13">
        <f t="shared" si="16"/>
        <v>0</v>
      </c>
      <c r="L56" s="15">
        <f>SUM(L62:L63)</f>
        <v>0</v>
      </c>
      <c r="M56" s="15">
        <f>SUM(M62:M63)</f>
        <v>0</v>
      </c>
      <c r="N56" s="13">
        <f t="shared" si="17"/>
        <v>0</v>
      </c>
      <c r="O56" s="15">
        <f>SUM(O62:O63)</f>
        <v>0</v>
      </c>
      <c r="P56" s="15">
        <f>SUM(P62:P63)</f>
        <v>0</v>
      </c>
      <c r="Q56" s="13">
        <f t="shared" si="18"/>
        <v>14</v>
      </c>
      <c r="R56" s="15">
        <f>SUM(R62:R63)</f>
        <v>2</v>
      </c>
      <c r="S56" s="15">
        <f>SUM(S62:S63)</f>
        <v>12</v>
      </c>
      <c r="T56" s="16"/>
      <c r="U56" s="16"/>
      <c r="V56" s="16"/>
      <c r="W56" s="16"/>
    </row>
    <row r="57" spans="1:23" s="6" customFormat="1" ht="15" hidden="1" x14ac:dyDescent="0.25">
      <c r="A57" s="19" t="s">
        <v>46</v>
      </c>
      <c r="B57" s="13">
        <f t="shared" si="15"/>
        <v>0</v>
      </c>
      <c r="C57" s="20"/>
      <c r="D57" s="20"/>
      <c r="E57" s="13">
        <f t="shared" si="1"/>
        <v>0</v>
      </c>
      <c r="F57" s="20"/>
      <c r="G57" s="20"/>
      <c r="H57" s="13">
        <f t="shared" si="2"/>
        <v>0</v>
      </c>
      <c r="I57" s="20"/>
      <c r="J57" s="20"/>
      <c r="K57" s="13">
        <f t="shared" si="16"/>
        <v>0</v>
      </c>
      <c r="L57" s="20"/>
      <c r="M57" s="20"/>
      <c r="N57" s="13">
        <f t="shared" si="17"/>
        <v>0</v>
      </c>
      <c r="O57" s="20"/>
      <c r="P57" s="20"/>
      <c r="Q57" s="13">
        <f t="shared" si="18"/>
        <v>0</v>
      </c>
      <c r="R57" s="20"/>
      <c r="S57" s="20"/>
      <c r="T57" s="16"/>
      <c r="U57" s="16"/>
      <c r="V57" s="16"/>
      <c r="W57" s="5"/>
    </row>
    <row r="58" spans="1:23" s="6" customFormat="1" ht="15" hidden="1" x14ac:dyDescent="0.25">
      <c r="A58" s="19" t="s">
        <v>47</v>
      </c>
      <c r="B58" s="13">
        <f t="shared" si="15"/>
        <v>0</v>
      </c>
      <c r="C58" s="20"/>
      <c r="D58" s="20"/>
      <c r="E58" s="13">
        <f t="shared" si="1"/>
        <v>0</v>
      </c>
      <c r="F58" s="20"/>
      <c r="G58" s="20"/>
      <c r="H58" s="13">
        <f t="shared" si="2"/>
        <v>0</v>
      </c>
      <c r="I58" s="20"/>
      <c r="J58" s="20"/>
      <c r="K58" s="13">
        <f t="shared" si="16"/>
        <v>0</v>
      </c>
      <c r="L58" s="20"/>
      <c r="M58" s="20"/>
      <c r="N58" s="13">
        <f t="shared" si="17"/>
        <v>0</v>
      </c>
      <c r="O58" s="20"/>
      <c r="P58" s="20"/>
      <c r="Q58" s="13">
        <f t="shared" si="18"/>
        <v>0</v>
      </c>
      <c r="R58" s="20"/>
      <c r="S58" s="20"/>
      <c r="T58" s="16"/>
      <c r="U58" s="16"/>
      <c r="V58" s="16"/>
      <c r="W58" s="5"/>
    </row>
    <row r="59" spans="1:23" s="6" customFormat="1" ht="15" hidden="1" x14ac:dyDescent="0.25">
      <c r="A59" s="19" t="s">
        <v>48</v>
      </c>
      <c r="B59" s="13">
        <f t="shared" si="15"/>
        <v>0</v>
      </c>
      <c r="C59" s="20"/>
      <c r="D59" s="20"/>
      <c r="E59" s="13">
        <f t="shared" si="1"/>
        <v>0</v>
      </c>
      <c r="F59" s="20"/>
      <c r="G59" s="20"/>
      <c r="H59" s="13">
        <f t="shared" si="2"/>
        <v>0</v>
      </c>
      <c r="I59" s="20"/>
      <c r="J59" s="20"/>
      <c r="K59" s="13">
        <f t="shared" si="16"/>
        <v>0</v>
      </c>
      <c r="L59" s="20"/>
      <c r="M59" s="20"/>
      <c r="N59" s="13">
        <f t="shared" si="17"/>
        <v>0</v>
      </c>
      <c r="O59" s="20"/>
      <c r="P59" s="20"/>
      <c r="Q59" s="13">
        <f t="shared" si="18"/>
        <v>0</v>
      </c>
      <c r="R59" s="20"/>
      <c r="S59" s="20"/>
      <c r="T59" s="16"/>
      <c r="U59" s="16"/>
      <c r="V59" s="16"/>
      <c r="W59" s="5"/>
    </row>
    <row r="60" spans="1:23" s="6" customFormat="1" ht="15" hidden="1" x14ac:dyDescent="0.25">
      <c r="A60" s="19" t="s">
        <v>49</v>
      </c>
      <c r="B60" s="13">
        <f t="shared" si="15"/>
        <v>0</v>
      </c>
      <c r="C60" s="20"/>
      <c r="D60" s="20"/>
      <c r="E60" s="13">
        <f t="shared" si="1"/>
        <v>0</v>
      </c>
      <c r="F60" s="20"/>
      <c r="G60" s="20"/>
      <c r="H60" s="13">
        <f t="shared" si="2"/>
        <v>0</v>
      </c>
      <c r="I60" s="20"/>
      <c r="J60" s="20"/>
      <c r="K60" s="13">
        <f t="shared" si="16"/>
        <v>0</v>
      </c>
      <c r="L60" s="20"/>
      <c r="M60" s="20"/>
      <c r="N60" s="13">
        <f t="shared" si="17"/>
        <v>0</v>
      </c>
      <c r="O60" s="20"/>
      <c r="P60" s="20"/>
      <c r="Q60" s="13">
        <f t="shared" si="18"/>
        <v>0</v>
      </c>
      <c r="R60" s="20"/>
      <c r="S60" s="20"/>
      <c r="T60" s="5"/>
      <c r="U60" s="5"/>
      <c r="V60" s="5"/>
    </row>
    <row r="61" spans="1:23" s="6" customFormat="1" ht="15" hidden="1" x14ac:dyDescent="0.25">
      <c r="A61" s="19" t="s">
        <v>50</v>
      </c>
      <c r="B61" s="13">
        <f t="shared" si="15"/>
        <v>0</v>
      </c>
      <c r="C61" s="20"/>
      <c r="D61" s="20"/>
      <c r="E61" s="13">
        <f t="shared" si="1"/>
        <v>0</v>
      </c>
      <c r="F61" s="20"/>
      <c r="G61" s="20"/>
      <c r="H61" s="13">
        <f t="shared" si="2"/>
        <v>0</v>
      </c>
      <c r="I61" s="20"/>
      <c r="J61" s="20"/>
      <c r="K61" s="13">
        <f t="shared" si="16"/>
        <v>0</v>
      </c>
      <c r="L61" s="20"/>
      <c r="M61" s="20"/>
      <c r="N61" s="13">
        <f t="shared" si="17"/>
        <v>0</v>
      </c>
      <c r="O61" s="20"/>
      <c r="P61" s="20"/>
      <c r="Q61" s="13">
        <f t="shared" si="18"/>
        <v>0</v>
      </c>
      <c r="R61" s="20"/>
      <c r="S61" s="20"/>
      <c r="T61" s="5"/>
      <c r="U61" s="5"/>
      <c r="V61" s="5"/>
    </row>
    <row r="62" spans="1:23" s="17" customFormat="1" ht="15" x14ac:dyDescent="0.25">
      <c r="A62" s="19" t="s">
        <v>22</v>
      </c>
      <c r="B62" s="21">
        <f t="shared" si="15"/>
        <v>0</v>
      </c>
      <c r="C62" s="20">
        <v>0</v>
      </c>
      <c r="D62" s="20">
        <v>0</v>
      </c>
      <c r="E62" s="21">
        <f t="shared" si="1"/>
        <v>11</v>
      </c>
      <c r="F62" s="20">
        <v>10</v>
      </c>
      <c r="G62" s="20">
        <v>1</v>
      </c>
      <c r="H62" s="21">
        <f t="shared" si="2"/>
        <v>8</v>
      </c>
      <c r="I62" s="20">
        <v>7</v>
      </c>
      <c r="J62" s="20">
        <v>1</v>
      </c>
      <c r="K62" s="21">
        <f t="shared" si="16"/>
        <v>0</v>
      </c>
      <c r="L62" s="20">
        <v>0</v>
      </c>
      <c r="M62" s="20">
        <v>0</v>
      </c>
      <c r="N62" s="21">
        <f t="shared" si="17"/>
        <v>0</v>
      </c>
      <c r="O62" s="20">
        <v>0</v>
      </c>
      <c r="P62" s="20">
        <v>0</v>
      </c>
      <c r="Q62" s="21">
        <f t="shared" si="18"/>
        <v>14</v>
      </c>
      <c r="R62" s="20">
        <v>2</v>
      </c>
      <c r="S62" s="20">
        <v>12</v>
      </c>
      <c r="T62" s="16"/>
      <c r="U62" s="16"/>
      <c r="V62" s="16"/>
    </row>
    <row r="63" spans="1:23" s="17" customFormat="1" ht="15" x14ac:dyDescent="0.25">
      <c r="A63" s="19" t="s">
        <v>26</v>
      </c>
      <c r="B63" s="21">
        <f>D63+C63</f>
        <v>9</v>
      </c>
      <c r="C63" s="20">
        <v>9</v>
      </c>
      <c r="D63" s="20">
        <v>0</v>
      </c>
      <c r="E63" s="21">
        <f t="shared" si="1"/>
        <v>0</v>
      </c>
      <c r="F63" s="20">
        <v>0</v>
      </c>
      <c r="G63" s="20">
        <v>0</v>
      </c>
      <c r="H63" s="21">
        <f t="shared" si="2"/>
        <v>0</v>
      </c>
      <c r="I63" s="20">
        <v>0</v>
      </c>
      <c r="J63" s="20">
        <v>0</v>
      </c>
      <c r="K63" s="21">
        <f t="shared" si="16"/>
        <v>0</v>
      </c>
      <c r="L63" s="20">
        <v>0</v>
      </c>
      <c r="M63" s="20">
        <v>0</v>
      </c>
      <c r="N63" s="21">
        <f t="shared" si="17"/>
        <v>0</v>
      </c>
      <c r="O63" s="20">
        <v>0</v>
      </c>
      <c r="P63" s="20">
        <v>0</v>
      </c>
      <c r="Q63" s="21">
        <f t="shared" si="18"/>
        <v>0</v>
      </c>
      <c r="R63" s="20">
        <v>0</v>
      </c>
      <c r="S63" s="20">
        <v>0</v>
      </c>
      <c r="T63" s="16"/>
      <c r="U63" s="16"/>
      <c r="V63" s="16"/>
    </row>
    <row r="64" spans="1:23" s="6" customFormat="1" ht="15" x14ac:dyDescent="0.25">
      <c r="A64" s="18" t="s">
        <v>51</v>
      </c>
      <c r="B64" s="13">
        <f t="shared" ref="B64:B90" si="19">C64+D64</f>
        <v>34</v>
      </c>
      <c r="C64" s="15">
        <f>C65+C66+C67+C68+C69</f>
        <v>30</v>
      </c>
      <c r="D64" s="15">
        <f>D65+D66+D67+D68+D69</f>
        <v>4</v>
      </c>
      <c r="E64" s="13">
        <f>F64+G64</f>
        <v>123</v>
      </c>
      <c r="F64" s="15">
        <f>F65+F66+F67+F68+F69+F70+F71+F72+F73</f>
        <v>96</v>
      </c>
      <c r="G64" s="15">
        <f>G65+G66+G67+G68+G69+G70+G71+G72+G73</f>
        <v>27</v>
      </c>
      <c r="H64" s="13">
        <f t="shared" si="2"/>
        <v>51</v>
      </c>
      <c r="I64" s="15">
        <f>I65+I66+I67+I68+I69+I70+I71+I72+I73+I74</f>
        <v>26</v>
      </c>
      <c r="J64" s="15">
        <f>J65+J66+J67+J68+J69+J70+J71+J72+J73+J74</f>
        <v>25</v>
      </c>
      <c r="K64" s="13">
        <f>L64+M64</f>
        <v>7</v>
      </c>
      <c r="L64" s="15">
        <f>L65+L66+L67+L68+L69+L70+L71+L72+L73+L74</f>
        <v>7</v>
      </c>
      <c r="M64" s="15">
        <f>M65+M66+M67+M68+M69+M70+M71+M72+M73+M74</f>
        <v>0</v>
      </c>
      <c r="N64" s="13">
        <f>O64+P64</f>
        <v>46</v>
      </c>
      <c r="O64" s="15">
        <f>O65+O66+O67+O68+O69+O70+O71+O72+O73+O74</f>
        <v>34</v>
      </c>
      <c r="P64" s="15">
        <f>P65+P66+P67+P68+P69+P70+P71+P72+P73+P74</f>
        <v>12</v>
      </c>
      <c r="Q64" s="13">
        <f>R64+S64</f>
        <v>23</v>
      </c>
      <c r="R64" s="15">
        <f>R65+R66+R67+R68+R69+R70+R71+R72+R73+R74</f>
        <v>23</v>
      </c>
      <c r="S64" s="15">
        <f>S65+S66+S67+S68+S69+S70+S71+S72+S73+S74</f>
        <v>0</v>
      </c>
      <c r="T64" s="16"/>
      <c r="U64" s="16"/>
      <c r="V64" s="16"/>
    </row>
    <row r="65" spans="1:22" s="6" customFormat="1" ht="15" x14ac:dyDescent="0.25">
      <c r="A65" s="19" t="s">
        <v>52</v>
      </c>
      <c r="B65" s="21">
        <f t="shared" si="19"/>
        <v>23</v>
      </c>
      <c r="C65" s="20">
        <f>11+12</f>
        <v>23</v>
      </c>
      <c r="D65" s="20">
        <v>0</v>
      </c>
      <c r="E65" s="21">
        <f t="shared" si="1"/>
        <v>35</v>
      </c>
      <c r="F65" s="20">
        <v>33</v>
      </c>
      <c r="G65" s="20">
        <v>2</v>
      </c>
      <c r="H65" s="21">
        <f t="shared" si="2"/>
        <v>8</v>
      </c>
      <c r="I65" s="20">
        <v>8</v>
      </c>
      <c r="J65" s="20">
        <v>0</v>
      </c>
      <c r="K65" s="21">
        <f t="shared" si="16"/>
        <v>0</v>
      </c>
      <c r="L65" s="20">
        <f>0</f>
        <v>0</v>
      </c>
      <c r="M65" s="20">
        <f>0</f>
        <v>0</v>
      </c>
      <c r="N65" s="21">
        <f t="shared" ref="N65:N74" si="20">O65+P65</f>
        <v>23</v>
      </c>
      <c r="O65" s="20">
        <f>8+8+7</f>
        <v>23</v>
      </c>
      <c r="P65" s="20">
        <v>0</v>
      </c>
      <c r="Q65" s="21">
        <f t="shared" ref="Q65:Q74" si="21">R65+S65</f>
        <v>23</v>
      </c>
      <c r="R65" s="20">
        <f>15+8</f>
        <v>23</v>
      </c>
      <c r="S65" s="20">
        <v>0</v>
      </c>
      <c r="T65" s="16"/>
      <c r="U65" s="16"/>
      <c r="V65" s="16"/>
    </row>
    <row r="66" spans="1:22" s="6" customFormat="1" ht="15" x14ac:dyDescent="0.25">
      <c r="A66" s="19" t="s">
        <v>37</v>
      </c>
      <c r="B66" s="21">
        <f t="shared" si="19"/>
        <v>0</v>
      </c>
      <c r="C66" s="20">
        <v>0</v>
      </c>
      <c r="D66" s="20">
        <v>0</v>
      </c>
      <c r="E66" s="21">
        <f t="shared" si="1"/>
        <v>0</v>
      </c>
      <c r="F66" s="20">
        <v>0</v>
      </c>
      <c r="G66" s="20">
        <v>0</v>
      </c>
      <c r="H66" s="21">
        <f t="shared" si="2"/>
        <v>0</v>
      </c>
      <c r="I66" s="20">
        <v>0</v>
      </c>
      <c r="J66" s="20">
        <v>0</v>
      </c>
      <c r="K66" s="21">
        <f t="shared" si="16"/>
        <v>0</v>
      </c>
      <c r="L66" s="20">
        <v>0</v>
      </c>
      <c r="M66" s="20">
        <v>0</v>
      </c>
      <c r="N66" s="21">
        <f t="shared" si="20"/>
        <v>0</v>
      </c>
      <c r="O66" s="20">
        <v>0</v>
      </c>
      <c r="P66" s="20">
        <v>0</v>
      </c>
      <c r="Q66" s="21">
        <f t="shared" si="21"/>
        <v>0</v>
      </c>
      <c r="R66" s="20">
        <v>0</v>
      </c>
      <c r="S66" s="20">
        <v>0</v>
      </c>
      <c r="T66" s="16"/>
      <c r="U66" s="16"/>
      <c r="V66" s="16"/>
    </row>
    <row r="67" spans="1:22" s="6" customFormat="1" ht="15" x14ac:dyDescent="0.25">
      <c r="A67" s="19" t="s">
        <v>35</v>
      </c>
      <c r="B67" s="21">
        <f t="shared" si="19"/>
        <v>0</v>
      </c>
      <c r="C67" s="20">
        <v>0</v>
      </c>
      <c r="D67" s="20">
        <v>0</v>
      </c>
      <c r="E67" s="21">
        <f t="shared" si="1"/>
        <v>0</v>
      </c>
      <c r="F67" s="20">
        <v>0</v>
      </c>
      <c r="G67" s="20">
        <v>0</v>
      </c>
      <c r="H67" s="21">
        <f t="shared" si="2"/>
        <v>0</v>
      </c>
      <c r="I67" s="20">
        <v>0</v>
      </c>
      <c r="J67" s="20">
        <v>0</v>
      </c>
      <c r="K67" s="21">
        <f t="shared" si="16"/>
        <v>0</v>
      </c>
      <c r="L67" s="20">
        <v>0</v>
      </c>
      <c r="M67" s="20">
        <v>0</v>
      </c>
      <c r="N67" s="21">
        <f t="shared" si="20"/>
        <v>0</v>
      </c>
      <c r="O67" s="20">
        <v>0</v>
      </c>
      <c r="P67" s="20">
        <v>0</v>
      </c>
      <c r="Q67" s="21">
        <f t="shared" si="21"/>
        <v>0</v>
      </c>
      <c r="R67" s="20">
        <v>0</v>
      </c>
      <c r="S67" s="20">
        <v>0</v>
      </c>
      <c r="T67" s="16"/>
      <c r="U67" s="16"/>
      <c r="V67" s="16"/>
    </row>
    <row r="68" spans="1:22" s="6" customFormat="1" ht="15" x14ac:dyDescent="0.25">
      <c r="A68" s="19" t="s">
        <v>53</v>
      </c>
      <c r="B68" s="21">
        <f t="shared" si="19"/>
        <v>0</v>
      </c>
      <c r="C68" s="20">
        <v>0</v>
      </c>
      <c r="D68" s="20">
        <v>0</v>
      </c>
      <c r="E68" s="21">
        <f t="shared" si="1"/>
        <v>10</v>
      </c>
      <c r="F68" s="20">
        <v>10</v>
      </c>
      <c r="G68" s="20">
        <v>0</v>
      </c>
      <c r="H68" s="21">
        <f t="shared" si="2"/>
        <v>8</v>
      </c>
      <c r="I68" s="20">
        <v>8</v>
      </c>
      <c r="J68" s="20">
        <v>0</v>
      </c>
      <c r="K68" s="21">
        <f t="shared" si="16"/>
        <v>7</v>
      </c>
      <c r="L68" s="20">
        <f>7</f>
        <v>7</v>
      </c>
      <c r="M68" s="20">
        <f>0</f>
        <v>0</v>
      </c>
      <c r="N68" s="21">
        <f t="shared" si="20"/>
        <v>0</v>
      </c>
      <c r="O68" s="20">
        <v>0</v>
      </c>
      <c r="P68" s="20">
        <v>0</v>
      </c>
      <c r="Q68" s="21">
        <f t="shared" si="21"/>
        <v>0</v>
      </c>
      <c r="R68" s="20">
        <v>0</v>
      </c>
      <c r="S68" s="20">
        <v>0</v>
      </c>
      <c r="T68" s="16"/>
      <c r="U68" s="16"/>
      <c r="V68" s="16"/>
    </row>
    <row r="69" spans="1:22" s="6" customFormat="1" ht="15" x14ac:dyDescent="0.25">
      <c r="A69" s="19" t="s">
        <v>54</v>
      </c>
      <c r="B69" s="21">
        <f t="shared" si="19"/>
        <v>11</v>
      </c>
      <c r="C69" s="20">
        <v>7</v>
      </c>
      <c r="D69" s="20">
        <v>4</v>
      </c>
      <c r="E69" s="21">
        <f t="shared" si="1"/>
        <v>0</v>
      </c>
      <c r="F69" s="20">
        <v>0</v>
      </c>
      <c r="G69" s="20">
        <v>0</v>
      </c>
      <c r="H69" s="21">
        <f t="shared" si="2"/>
        <v>0</v>
      </c>
      <c r="I69" s="20">
        <v>0</v>
      </c>
      <c r="J69" s="20">
        <v>0</v>
      </c>
      <c r="K69" s="21">
        <f t="shared" si="16"/>
        <v>0</v>
      </c>
      <c r="L69" s="20">
        <v>0</v>
      </c>
      <c r="M69" s="20">
        <v>0</v>
      </c>
      <c r="N69" s="21">
        <f t="shared" si="20"/>
        <v>8</v>
      </c>
      <c r="O69" s="20">
        <v>8</v>
      </c>
      <c r="P69" s="20">
        <v>0</v>
      </c>
      <c r="Q69" s="21">
        <f t="shared" si="21"/>
        <v>0</v>
      </c>
      <c r="R69" s="20">
        <v>0</v>
      </c>
      <c r="S69" s="20">
        <v>0</v>
      </c>
      <c r="T69" s="16"/>
      <c r="U69" s="16"/>
      <c r="V69" s="16"/>
    </row>
    <row r="70" spans="1:22" s="6" customFormat="1" ht="15" x14ac:dyDescent="0.25">
      <c r="A70" s="19" t="s">
        <v>55</v>
      </c>
      <c r="B70" s="21">
        <v>0</v>
      </c>
      <c r="C70" s="20">
        <v>0</v>
      </c>
      <c r="D70" s="20">
        <v>0</v>
      </c>
      <c r="E70" s="21">
        <f t="shared" si="1"/>
        <v>16</v>
      </c>
      <c r="F70" s="20">
        <v>14</v>
      </c>
      <c r="G70" s="20">
        <v>2</v>
      </c>
      <c r="H70" s="21">
        <f t="shared" si="2"/>
        <v>0</v>
      </c>
      <c r="I70" s="20">
        <v>0</v>
      </c>
      <c r="J70" s="20">
        <v>0</v>
      </c>
      <c r="K70" s="21">
        <f t="shared" si="16"/>
        <v>0</v>
      </c>
      <c r="L70" s="20">
        <v>0</v>
      </c>
      <c r="M70" s="20">
        <v>0</v>
      </c>
      <c r="N70" s="21">
        <f t="shared" si="20"/>
        <v>0</v>
      </c>
      <c r="O70" s="20">
        <v>0</v>
      </c>
      <c r="P70" s="20">
        <v>0</v>
      </c>
      <c r="Q70" s="21">
        <f t="shared" si="21"/>
        <v>0</v>
      </c>
      <c r="R70" s="20">
        <v>0</v>
      </c>
      <c r="S70" s="20">
        <v>0</v>
      </c>
      <c r="T70" s="16"/>
      <c r="U70" s="16"/>
      <c r="V70" s="16"/>
    </row>
    <row r="71" spans="1:22" s="6" customFormat="1" ht="15" x14ac:dyDescent="0.25">
      <c r="A71" s="19" t="s">
        <v>56</v>
      </c>
      <c r="B71" s="21">
        <v>0</v>
      </c>
      <c r="C71" s="20">
        <v>0</v>
      </c>
      <c r="D71" s="20">
        <v>0</v>
      </c>
      <c r="E71" s="21">
        <f t="shared" si="1"/>
        <v>26</v>
      </c>
      <c r="F71" s="20">
        <v>21</v>
      </c>
      <c r="G71" s="20">
        <v>5</v>
      </c>
      <c r="H71" s="21">
        <f t="shared" si="2"/>
        <v>0</v>
      </c>
      <c r="I71" s="20">
        <v>0</v>
      </c>
      <c r="J71" s="20">
        <v>0</v>
      </c>
      <c r="K71" s="21">
        <f t="shared" si="16"/>
        <v>0</v>
      </c>
      <c r="L71" s="20">
        <v>0</v>
      </c>
      <c r="M71" s="20">
        <v>0</v>
      </c>
      <c r="N71" s="21">
        <f t="shared" si="20"/>
        <v>0</v>
      </c>
      <c r="O71" s="20">
        <v>0</v>
      </c>
      <c r="P71" s="20">
        <v>0</v>
      </c>
      <c r="Q71" s="21">
        <f t="shared" si="21"/>
        <v>0</v>
      </c>
      <c r="R71" s="20">
        <v>0</v>
      </c>
      <c r="S71" s="20">
        <v>0</v>
      </c>
      <c r="T71" s="16"/>
      <c r="U71" s="16"/>
      <c r="V71" s="16"/>
    </row>
    <row r="72" spans="1:22" s="6" customFormat="1" ht="15" x14ac:dyDescent="0.25">
      <c r="A72" s="19" t="s">
        <v>42</v>
      </c>
      <c r="B72" s="21">
        <v>0</v>
      </c>
      <c r="C72" s="20">
        <v>0</v>
      </c>
      <c r="D72" s="20">
        <v>0</v>
      </c>
      <c r="E72" s="21">
        <f t="shared" si="1"/>
        <v>17</v>
      </c>
      <c r="F72" s="20">
        <v>8</v>
      </c>
      <c r="G72" s="20">
        <v>9</v>
      </c>
      <c r="H72" s="21">
        <f t="shared" si="2"/>
        <v>10</v>
      </c>
      <c r="I72" s="20">
        <v>2</v>
      </c>
      <c r="J72" s="20">
        <v>8</v>
      </c>
      <c r="K72" s="21">
        <f t="shared" si="16"/>
        <v>0</v>
      </c>
      <c r="L72" s="20">
        <v>0</v>
      </c>
      <c r="M72" s="20">
        <v>0</v>
      </c>
      <c r="N72" s="21">
        <f t="shared" si="20"/>
        <v>0</v>
      </c>
      <c r="O72" s="20">
        <v>0</v>
      </c>
      <c r="P72" s="20">
        <v>0</v>
      </c>
      <c r="Q72" s="21">
        <f t="shared" si="21"/>
        <v>0</v>
      </c>
      <c r="R72" s="20">
        <v>0</v>
      </c>
      <c r="S72" s="20">
        <v>0</v>
      </c>
      <c r="T72" s="16"/>
      <c r="U72" s="16"/>
      <c r="V72" s="16"/>
    </row>
    <row r="73" spans="1:22" s="6" customFormat="1" ht="15" x14ac:dyDescent="0.25">
      <c r="A73" s="19" t="s">
        <v>57</v>
      </c>
      <c r="B73" s="21">
        <v>0</v>
      </c>
      <c r="C73" s="20">
        <v>0</v>
      </c>
      <c r="D73" s="20">
        <v>0</v>
      </c>
      <c r="E73" s="21">
        <f t="shared" si="1"/>
        <v>19</v>
      </c>
      <c r="F73" s="20">
        <v>10</v>
      </c>
      <c r="G73" s="20">
        <v>9</v>
      </c>
      <c r="H73" s="21">
        <f t="shared" si="2"/>
        <v>0</v>
      </c>
      <c r="I73" s="20">
        <v>0</v>
      </c>
      <c r="J73" s="20">
        <v>0</v>
      </c>
      <c r="K73" s="21">
        <f t="shared" si="16"/>
        <v>0</v>
      </c>
      <c r="L73" s="20">
        <v>0</v>
      </c>
      <c r="M73" s="20">
        <v>0</v>
      </c>
      <c r="N73" s="21">
        <f t="shared" si="20"/>
        <v>0</v>
      </c>
      <c r="O73" s="20">
        <v>0</v>
      </c>
      <c r="P73" s="20">
        <v>0</v>
      </c>
      <c r="Q73" s="21">
        <f t="shared" si="21"/>
        <v>0</v>
      </c>
      <c r="R73" s="20">
        <v>0</v>
      </c>
      <c r="S73" s="20">
        <v>0</v>
      </c>
      <c r="T73" s="16"/>
      <c r="U73" s="16"/>
      <c r="V73" s="16"/>
    </row>
    <row r="74" spans="1:22" s="6" customFormat="1" ht="15" x14ac:dyDescent="0.25">
      <c r="A74" s="19" t="s">
        <v>44</v>
      </c>
      <c r="B74" s="21">
        <v>0</v>
      </c>
      <c r="C74" s="20">
        <v>0</v>
      </c>
      <c r="D74" s="20">
        <v>0</v>
      </c>
      <c r="E74" s="21">
        <v>0</v>
      </c>
      <c r="F74" s="20">
        <v>0</v>
      </c>
      <c r="G74" s="20">
        <v>0</v>
      </c>
      <c r="H74" s="21">
        <f t="shared" si="2"/>
        <v>25</v>
      </c>
      <c r="I74" s="20">
        <v>8</v>
      </c>
      <c r="J74" s="20">
        <v>17</v>
      </c>
      <c r="K74" s="21">
        <f t="shared" si="16"/>
        <v>0</v>
      </c>
      <c r="L74" s="20">
        <v>0</v>
      </c>
      <c r="M74" s="20">
        <v>0</v>
      </c>
      <c r="N74" s="21">
        <f t="shared" si="20"/>
        <v>15</v>
      </c>
      <c r="O74" s="20">
        <v>3</v>
      </c>
      <c r="P74" s="20">
        <v>12</v>
      </c>
      <c r="Q74" s="21">
        <f t="shared" si="21"/>
        <v>0</v>
      </c>
      <c r="R74" s="20">
        <v>0</v>
      </c>
      <c r="S74" s="20">
        <v>0</v>
      </c>
      <c r="T74" s="16"/>
      <c r="U74" s="16"/>
      <c r="V74" s="16"/>
    </row>
    <row r="75" spans="1:22" s="6" customFormat="1" ht="15" x14ac:dyDescent="0.25">
      <c r="A75" s="18" t="s">
        <v>58</v>
      </c>
      <c r="B75" s="13">
        <f t="shared" si="19"/>
        <v>0</v>
      </c>
      <c r="C75" s="15">
        <f>C76</f>
        <v>0</v>
      </c>
      <c r="D75" s="15">
        <f>D76</f>
        <v>0</v>
      </c>
      <c r="E75" s="13">
        <f t="shared" si="1"/>
        <v>0</v>
      </c>
      <c r="F75" s="15">
        <f>F76</f>
        <v>0</v>
      </c>
      <c r="G75" s="15">
        <f>G76</f>
        <v>0</v>
      </c>
      <c r="H75" s="13">
        <f>I75+J75</f>
        <v>6</v>
      </c>
      <c r="I75" s="15">
        <f>I91</f>
        <v>1</v>
      </c>
      <c r="J75" s="15">
        <f>J91</f>
        <v>5</v>
      </c>
      <c r="K75" s="13">
        <f>L75+M75</f>
        <v>0</v>
      </c>
      <c r="L75" s="15">
        <f>L91</f>
        <v>0</v>
      </c>
      <c r="M75" s="15">
        <f>M91</f>
        <v>0</v>
      </c>
      <c r="N75" s="13">
        <f>O75+P75</f>
        <v>0</v>
      </c>
      <c r="O75" s="15">
        <f>O91</f>
        <v>0</v>
      </c>
      <c r="P75" s="15">
        <f>P91</f>
        <v>0</v>
      </c>
      <c r="Q75" s="13">
        <f>R75+S75</f>
        <v>0</v>
      </c>
      <c r="R75" s="15">
        <f>R91</f>
        <v>0</v>
      </c>
      <c r="S75" s="15">
        <f>S91</f>
        <v>0</v>
      </c>
      <c r="T75" s="16"/>
      <c r="U75" s="16"/>
      <c r="V75" s="16"/>
    </row>
    <row r="76" spans="1:22" s="6" customFormat="1" ht="15" x14ac:dyDescent="0.25">
      <c r="A76" s="19" t="s">
        <v>38</v>
      </c>
      <c r="B76" s="21">
        <f t="shared" si="19"/>
        <v>0</v>
      </c>
      <c r="C76" s="20">
        <v>0</v>
      </c>
      <c r="D76" s="20">
        <v>0</v>
      </c>
      <c r="E76" s="21">
        <f t="shared" si="1"/>
        <v>0</v>
      </c>
      <c r="F76" s="20">
        <v>0</v>
      </c>
      <c r="G76" s="20">
        <v>0</v>
      </c>
      <c r="H76" s="21">
        <f t="shared" si="2"/>
        <v>0</v>
      </c>
      <c r="I76" s="20">
        <v>0</v>
      </c>
      <c r="J76" s="20">
        <v>0</v>
      </c>
      <c r="K76" s="21">
        <f t="shared" ref="K76:K115" si="22">L76+M76</f>
        <v>0</v>
      </c>
      <c r="L76" s="20">
        <v>0</v>
      </c>
      <c r="M76" s="20">
        <v>0</v>
      </c>
      <c r="N76" s="21">
        <f t="shared" ref="N76:N115" si="23">O76+P76</f>
        <v>0</v>
      </c>
      <c r="O76" s="20">
        <v>0</v>
      </c>
      <c r="P76" s="20">
        <v>0</v>
      </c>
      <c r="Q76" s="21">
        <f t="shared" ref="Q76:Q115" si="24">R76+S76</f>
        <v>0</v>
      </c>
      <c r="R76" s="20">
        <v>0</v>
      </c>
      <c r="S76" s="20">
        <v>0</v>
      </c>
      <c r="T76" s="16"/>
      <c r="U76" s="16"/>
      <c r="V76" s="16"/>
    </row>
    <row r="77" spans="1:22" s="6" customFormat="1" ht="15" hidden="1" x14ac:dyDescent="0.25">
      <c r="A77" s="14" t="s">
        <v>5</v>
      </c>
      <c r="B77" s="13">
        <f t="shared" si="19"/>
        <v>0</v>
      </c>
      <c r="C77" s="20"/>
      <c r="D77" s="20"/>
      <c r="E77" s="13">
        <f t="shared" si="1"/>
        <v>0</v>
      </c>
      <c r="F77" s="20"/>
      <c r="G77" s="20"/>
      <c r="H77" s="21">
        <f t="shared" si="2"/>
        <v>0</v>
      </c>
      <c r="I77" s="20"/>
      <c r="J77" s="20"/>
      <c r="K77" s="21">
        <f t="shared" si="22"/>
        <v>0</v>
      </c>
      <c r="L77" s="20"/>
      <c r="M77" s="20"/>
      <c r="N77" s="21">
        <f t="shared" si="23"/>
        <v>0</v>
      </c>
      <c r="O77" s="20"/>
      <c r="P77" s="20"/>
      <c r="Q77" s="21">
        <f t="shared" si="24"/>
        <v>0</v>
      </c>
      <c r="R77" s="20"/>
      <c r="S77" s="20"/>
      <c r="T77" s="16"/>
      <c r="U77" s="16"/>
      <c r="V77" s="16"/>
    </row>
    <row r="78" spans="1:22" s="6" customFormat="1" ht="15" hidden="1" x14ac:dyDescent="0.25">
      <c r="A78" s="19" t="s">
        <v>59</v>
      </c>
      <c r="B78" s="13">
        <f t="shared" si="19"/>
        <v>0</v>
      </c>
      <c r="C78" s="20"/>
      <c r="D78" s="20"/>
      <c r="E78" s="13">
        <f t="shared" si="1"/>
        <v>0</v>
      </c>
      <c r="F78" s="20"/>
      <c r="G78" s="20"/>
      <c r="H78" s="21">
        <f t="shared" si="2"/>
        <v>0</v>
      </c>
      <c r="I78" s="20"/>
      <c r="J78" s="20"/>
      <c r="K78" s="21">
        <f t="shared" si="22"/>
        <v>0</v>
      </c>
      <c r="L78" s="20"/>
      <c r="M78" s="20"/>
      <c r="N78" s="21">
        <f t="shared" si="23"/>
        <v>0</v>
      </c>
      <c r="O78" s="20"/>
      <c r="P78" s="20"/>
      <c r="Q78" s="21">
        <f t="shared" si="24"/>
        <v>0</v>
      </c>
      <c r="R78" s="20"/>
      <c r="S78" s="20"/>
      <c r="T78" s="16"/>
      <c r="U78" s="16"/>
      <c r="V78" s="16"/>
    </row>
    <row r="79" spans="1:22" s="6" customFormat="1" ht="15" hidden="1" x14ac:dyDescent="0.25">
      <c r="A79" s="19" t="s">
        <v>60</v>
      </c>
      <c r="B79" s="13">
        <f t="shared" si="19"/>
        <v>0</v>
      </c>
      <c r="C79" s="20"/>
      <c r="D79" s="20"/>
      <c r="E79" s="13">
        <f t="shared" si="1"/>
        <v>0</v>
      </c>
      <c r="F79" s="20"/>
      <c r="G79" s="20"/>
      <c r="H79" s="21">
        <f t="shared" si="2"/>
        <v>0</v>
      </c>
      <c r="I79" s="20"/>
      <c r="J79" s="20"/>
      <c r="K79" s="21">
        <f t="shared" si="22"/>
        <v>0</v>
      </c>
      <c r="L79" s="20"/>
      <c r="M79" s="20"/>
      <c r="N79" s="21">
        <f t="shared" si="23"/>
        <v>0</v>
      </c>
      <c r="O79" s="20"/>
      <c r="P79" s="20"/>
      <c r="Q79" s="21">
        <f t="shared" si="24"/>
        <v>0</v>
      </c>
      <c r="R79" s="20"/>
      <c r="S79" s="20"/>
      <c r="T79" s="16"/>
      <c r="U79" s="16"/>
      <c r="V79" s="16"/>
    </row>
    <row r="80" spans="1:22" s="6" customFormat="1" ht="15" hidden="1" x14ac:dyDescent="0.25">
      <c r="A80" s="19" t="s">
        <v>61</v>
      </c>
      <c r="B80" s="13">
        <f t="shared" si="19"/>
        <v>0</v>
      </c>
      <c r="C80" s="20"/>
      <c r="D80" s="20"/>
      <c r="E80" s="13">
        <f t="shared" si="1"/>
        <v>0</v>
      </c>
      <c r="F80" s="20"/>
      <c r="G80" s="20"/>
      <c r="H80" s="21">
        <f t="shared" si="2"/>
        <v>0</v>
      </c>
      <c r="I80" s="20"/>
      <c r="J80" s="20"/>
      <c r="K80" s="21">
        <f t="shared" si="22"/>
        <v>0</v>
      </c>
      <c r="L80" s="20"/>
      <c r="M80" s="20"/>
      <c r="N80" s="21">
        <f t="shared" si="23"/>
        <v>0</v>
      </c>
      <c r="O80" s="20"/>
      <c r="P80" s="20"/>
      <c r="Q80" s="21">
        <f t="shared" si="24"/>
        <v>0</v>
      </c>
      <c r="R80" s="20"/>
      <c r="S80" s="20"/>
      <c r="T80" s="16"/>
      <c r="U80" s="16"/>
      <c r="V80" s="16"/>
    </row>
    <row r="81" spans="1:22" s="6" customFormat="1" ht="15" hidden="1" x14ac:dyDescent="0.25">
      <c r="A81" s="19" t="s">
        <v>62</v>
      </c>
      <c r="B81" s="13">
        <f t="shared" si="19"/>
        <v>0</v>
      </c>
      <c r="C81" s="20"/>
      <c r="D81" s="20"/>
      <c r="E81" s="13">
        <f t="shared" si="1"/>
        <v>0</v>
      </c>
      <c r="F81" s="20"/>
      <c r="G81" s="20"/>
      <c r="H81" s="21">
        <f t="shared" si="2"/>
        <v>0</v>
      </c>
      <c r="I81" s="20"/>
      <c r="J81" s="20"/>
      <c r="K81" s="21">
        <f t="shared" si="22"/>
        <v>0</v>
      </c>
      <c r="L81" s="20"/>
      <c r="M81" s="20"/>
      <c r="N81" s="21">
        <f t="shared" si="23"/>
        <v>0</v>
      </c>
      <c r="O81" s="20"/>
      <c r="P81" s="20"/>
      <c r="Q81" s="21">
        <f t="shared" si="24"/>
        <v>0</v>
      </c>
      <c r="R81" s="20"/>
      <c r="S81" s="20"/>
      <c r="T81" s="16"/>
      <c r="U81" s="16"/>
      <c r="V81" s="16"/>
    </row>
    <row r="82" spans="1:22" s="6" customFormat="1" ht="15" hidden="1" x14ac:dyDescent="0.25">
      <c r="A82" s="19" t="s">
        <v>63</v>
      </c>
      <c r="B82" s="13">
        <f t="shared" si="19"/>
        <v>0</v>
      </c>
      <c r="C82" s="20"/>
      <c r="D82" s="20"/>
      <c r="E82" s="13">
        <f t="shared" si="1"/>
        <v>0</v>
      </c>
      <c r="F82" s="20"/>
      <c r="G82" s="20"/>
      <c r="H82" s="21">
        <f t="shared" si="2"/>
        <v>0</v>
      </c>
      <c r="I82" s="20"/>
      <c r="J82" s="20"/>
      <c r="K82" s="21">
        <f t="shared" si="22"/>
        <v>0</v>
      </c>
      <c r="L82" s="20"/>
      <c r="M82" s="20"/>
      <c r="N82" s="21">
        <f t="shared" si="23"/>
        <v>0</v>
      </c>
      <c r="O82" s="20"/>
      <c r="P82" s="20"/>
      <c r="Q82" s="21">
        <f t="shared" si="24"/>
        <v>0</v>
      </c>
      <c r="R82" s="20"/>
      <c r="S82" s="20"/>
      <c r="T82" s="5"/>
      <c r="U82" s="5"/>
      <c r="V82" s="5"/>
    </row>
    <row r="83" spans="1:22" s="6" customFormat="1" ht="15" hidden="1" x14ac:dyDescent="0.25">
      <c r="A83" s="19" t="s">
        <v>64</v>
      </c>
      <c r="B83" s="13">
        <f t="shared" si="19"/>
        <v>0</v>
      </c>
      <c r="C83" s="20"/>
      <c r="D83" s="20"/>
      <c r="E83" s="13">
        <f t="shared" si="1"/>
        <v>0</v>
      </c>
      <c r="F83" s="20"/>
      <c r="G83" s="20"/>
      <c r="H83" s="21">
        <f t="shared" si="2"/>
        <v>0</v>
      </c>
      <c r="I83" s="20"/>
      <c r="J83" s="20"/>
      <c r="K83" s="21">
        <f t="shared" si="22"/>
        <v>0</v>
      </c>
      <c r="L83" s="20"/>
      <c r="M83" s="20"/>
      <c r="N83" s="21">
        <f t="shared" si="23"/>
        <v>0</v>
      </c>
      <c r="O83" s="20"/>
      <c r="P83" s="20"/>
      <c r="Q83" s="21">
        <f t="shared" si="24"/>
        <v>0</v>
      </c>
      <c r="R83" s="20"/>
      <c r="S83" s="20"/>
      <c r="T83" s="5"/>
      <c r="U83" s="5"/>
      <c r="V83" s="5"/>
    </row>
    <row r="84" spans="1:22" s="6" customFormat="1" ht="15" hidden="1" x14ac:dyDescent="0.25">
      <c r="A84" s="19" t="s">
        <v>65</v>
      </c>
      <c r="B84" s="13">
        <f t="shared" si="19"/>
        <v>0</v>
      </c>
      <c r="C84" s="20"/>
      <c r="D84" s="20"/>
      <c r="E84" s="13">
        <f t="shared" si="1"/>
        <v>0</v>
      </c>
      <c r="F84" s="20"/>
      <c r="G84" s="20"/>
      <c r="H84" s="21">
        <f t="shared" si="2"/>
        <v>0</v>
      </c>
      <c r="I84" s="20"/>
      <c r="J84" s="20"/>
      <c r="K84" s="21">
        <f t="shared" si="22"/>
        <v>0</v>
      </c>
      <c r="L84" s="20"/>
      <c r="M84" s="20"/>
      <c r="N84" s="21">
        <f t="shared" si="23"/>
        <v>0</v>
      </c>
      <c r="O84" s="20"/>
      <c r="P84" s="20"/>
      <c r="Q84" s="21">
        <f t="shared" si="24"/>
        <v>0</v>
      </c>
      <c r="R84" s="20"/>
      <c r="S84" s="20"/>
      <c r="T84" s="5"/>
      <c r="U84" s="5"/>
      <c r="V84" s="5"/>
    </row>
    <row r="85" spans="1:22" s="6" customFormat="1" ht="15" hidden="1" x14ac:dyDescent="0.25">
      <c r="A85" s="19" t="s">
        <v>66</v>
      </c>
      <c r="B85" s="13">
        <f t="shared" si="19"/>
        <v>0</v>
      </c>
      <c r="C85" s="20"/>
      <c r="D85" s="20"/>
      <c r="E85" s="13">
        <f t="shared" si="1"/>
        <v>0</v>
      </c>
      <c r="F85" s="20"/>
      <c r="G85" s="20"/>
      <c r="H85" s="21">
        <f t="shared" si="2"/>
        <v>0</v>
      </c>
      <c r="I85" s="20"/>
      <c r="J85" s="20"/>
      <c r="K85" s="21">
        <f t="shared" si="22"/>
        <v>0</v>
      </c>
      <c r="L85" s="20"/>
      <c r="M85" s="20"/>
      <c r="N85" s="21">
        <f t="shared" si="23"/>
        <v>0</v>
      </c>
      <c r="O85" s="20"/>
      <c r="P85" s="20"/>
      <c r="Q85" s="21">
        <f t="shared" si="24"/>
        <v>0</v>
      </c>
      <c r="R85" s="20"/>
      <c r="S85" s="20"/>
      <c r="T85" s="5"/>
      <c r="U85" s="5"/>
      <c r="V85" s="5"/>
    </row>
    <row r="86" spans="1:22" s="6" customFormat="1" ht="15" hidden="1" x14ac:dyDescent="0.25">
      <c r="A86" s="19" t="s">
        <v>67</v>
      </c>
      <c r="B86" s="13">
        <f t="shared" si="19"/>
        <v>0</v>
      </c>
      <c r="C86" s="20"/>
      <c r="D86" s="20"/>
      <c r="E86" s="13">
        <f t="shared" si="1"/>
        <v>0</v>
      </c>
      <c r="F86" s="20"/>
      <c r="G86" s="20"/>
      <c r="H86" s="21">
        <f t="shared" si="2"/>
        <v>0</v>
      </c>
      <c r="I86" s="20"/>
      <c r="J86" s="20"/>
      <c r="K86" s="21">
        <f t="shared" si="22"/>
        <v>0</v>
      </c>
      <c r="L86" s="20"/>
      <c r="M86" s="20"/>
      <c r="N86" s="21">
        <f t="shared" si="23"/>
        <v>0</v>
      </c>
      <c r="O86" s="20"/>
      <c r="P86" s="20"/>
      <c r="Q86" s="21">
        <f t="shared" si="24"/>
        <v>0</v>
      </c>
      <c r="R86" s="20"/>
      <c r="S86" s="20"/>
      <c r="T86" s="16"/>
      <c r="U86" s="16"/>
      <c r="V86" s="16"/>
    </row>
    <row r="87" spans="1:22" s="6" customFormat="1" ht="15" hidden="1" x14ac:dyDescent="0.25">
      <c r="A87" s="19" t="s">
        <v>68</v>
      </c>
      <c r="B87" s="13">
        <f t="shared" si="19"/>
        <v>0</v>
      </c>
      <c r="C87" s="20"/>
      <c r="D87" s="20"/>
      <c r="E87" s="13">
        <f t="shared" si="1"/>
        <v>0</v>
      </c>
      <c r="F87" s="20"/>
      <c r="G87" s="20"/>
      <c r="H87" s="21">
        <f t="shared" si="2"/>
        <v>0</v>
      </c>
      <c r="I87" s="20"/>
      <c r="J87" s="20"/>
      <c r="K87" s="21">
        <f t="shared" si="22"/>
        <v>0</v>
      </c>
      <c r="L87" s="20"/>
      <c r="M87" s="20"/>
      <c r="N87" s="21">
        <f t="shared" si="23"/>
        <v>0</v>
      </c>
      <c r="O87" s="20"/>
      <c r="P87" s="20"/>
      <c r="Q87" s="21">
        <f t="shared" si="24"/>
        <v>0</v>
      </c>
      <c r="R87" s="20"/>
      <c r="S87" s="20"/>
      <c r="T87" s="16"/>
      <c r="U87" s="16"/>
      <c r="V87" s="16"/>
    </row>
    <row r="88" spans="1:22" s="6" customFormat="1" ht="15" hidden="1" x14ac:dyDescent="0.25">
      <c r="A88" s="19" t="s">
        <v>69</v>
      </c>
      <c r="B88" s="13">
        <f t="shared" si="19"/>
        <v>0</v>
      </c>
      <c r="C88" s="20"/>
      <c r="D88" s="20"/>
      <c r="E88" s="13">
        <f t="shared" si="1"/>
        <v>0</v>
      </c>
      <c r="F88" s="20"/>
      <c r="G88" s="20"/>
      <c r="H88" s="21">
        <f t="shared" si="2"/>
        <v>0</v>
      </c>
      <c r="I88" s="20"/>
      <c r="J88" s="20"/>
      <c r="K88" s="21">
        <f t="shared" si="22"/>
        <v>0</v>
      </c>
      <c r="L88" s="20"/>
      <c r="M88" s="20"/>
      <c r="N88" s="21">
        <f t="shared" si="23"/>
        <v>0</v>
      </c>
      <c r="O88" s="20"/>
      <c r="P88" s="20"/>
      <c r="Q88" s="21">
        <f t="shared" si="24"/>
        <v>0</v>
      </c>
      <c r="R88" s="20"/>
      <c r="S88" s="20"/>
      <c r="T88" s="16"/>
      <c r="U88" s="16"/>
      <c r="V88" s="16"/>
    </row>
    <row r="89" spans="1:22" s="10" customFormat="1" ht="15" hidden="1" x14ac:dyDescent="0.15">
      <c r="A89" s="19" t="s">
        <v>70</v>
      </c>
      <c r="B89" s="13">
        <f t="shared" si="19"/>
        <v>0</v>
      </c>
      <c r="C89" s="20"/>
      <c r="D89" s="20"/>
      <c r="E89" s="13">
        <f t="shared" si="1"/>
        <v>0</v>
      </c>
      <c r="F89" s="20"/>
      <c r="G89" s="20"/>
      <c r="H89" s="21">
        <f t="shared" si="2"/>
        <v>0</v>
      </c>
      <c r="I89" s="20"/>
      <c r="J89" s="20"/>
      <c r="K89" s="21">
        <f t="shared" si="22"/>
        <v>0</v>
      </c>
      <c r="L89" s="20"/>
      <c r="M89" s="20"/>
      <c r="N89" s="21">
        <f t="shared" si="23"/>
        <v>0</v>
      </c>
      <c r="O89" s="20"/>
      <c r="P89" s="20"/>
      <c r="Q89" s="21">
        <f t="shared" si="24"/>
        <v>0</v>
      </c>
      <c r="R89" s="20"/>
      <c r="S89" s="20"/>
      <c r="T89" s="16"/>
      <c r="U89" s="16"/>
      <c r="V89" s="16"/>
    </row>
    <row r="90" spans="1:22" s="10" customFormat="1" ht="15" hidden="1" x14ac:dyDescent="0.15">
      <c r="A90" s="19" t="s">
        <v>71</v>
      </c>
      <c r="B90" s="13">
        <f t="shared" si="19"/>
        <v>0</v>
      </c>
      <c r="C90" s="20"/>
      <c r="D90" s="20"/>
      <c r="E90" s="13">
        <f t="shared" si="1"/>
        <v>0</v>
      </c>
      <c r="F90" s="20"/>
      <c r="G90" s="20"/>
      <c r="H90" s="21">
        <f t="shared" si="2"/>
        <v>0</v>
      </c>
      <c r="I90" s="20"/>
      <c r="J90" s="20"/>
      <c r="K90" s="21">
        <f t="shared" si="22"/>
        <v>0</v>
      </c>
      <c r="L90" s="20"/>
      <c r="M90" s="20"/>
      <c r="N90" s="21">
        <f t="shared" si="23"/>
        <v>0</v>
      </c>
      <c r="O90" s="20"/>
      <c r="P90" s="20"/>
      <c r="Q90" s="21">
        <f t="shared" si="24"/>
        <v>0</v>
      </c>
      <c r="R90" s="20"/>
      <c r="S90" s="20"/>
      <c r="T90" s="16"/>
      <c r="U90" s="16"/>
      <c r="V90" s="16"/>
    </row>
    <row r="91" spans="1:22" s="10" customFormat="1" ht="15" x14ac:dyDescent="0.15">
      <c r="A91" s="19" t="s">
        <v>69</v>
      </c>
      <c r="B91" s="13">
        <v>0</v>
      </c>
      <c r="C91" s="20">
        <v>0</v>
      </c>
      <c r="D91" s="20">
        <v>0</v>
      </c>
      <c r="E91" s="21">
        <v>0</v>
      </c>
      <c r="F91" s="20">
        <v>0</v>
      </c>
      <c r="G91" s="20">
        <v>0</v>
      </c>
      <c r="H91" s="21">
        <f t="shared" si="2"/>
        <v>6</v>
      </c>
      <c r="I91" s="20">
        <v>1</v>
      </c>
      <c r="J91" s="20">
        <v>5</v>
      </c>
      <c r="K91" s="21">
        <f t="shared" si="22"/>
        <v>0</v>
      </c>
      <c r="L91" s="20">
        <v>0</v>
      </c>
      <c r="M91" s="20">
        <v>0</v>
      </c>
      <c r="N91" s="21">
        <f t="shared" si="23"/>
        <v>0</v>
      </c>
      <c r="O91" s="20">
        <v>0</v>
      </c>
      <c r="P91" s="20">
        <v>0</v>
      </c>
      <c r="Q91" s="21">
        <f t="shared" si="24"/>
        <v>0</v>
      </c>
      <c r="R91" s="20">
        <v>0</v>
      </c>
      <c r="S91" s="20">
        <v>0</v>
      </c>
      <c r="T91" s="16"/>
      <c r="U91" s="16"/>
      <c r="V91" s="16"/>
    </row>
    <row r="92" spans="1:22" s="10" customFormat="1" ht="15" x14ac:dyDescent="0.15">
      <c r="A92" s="14" t="s">
        <v>6</v>
      </c>
      <c r="B92" s="13">
        <f>C92</f>
        <v>0</v>
      </c>
      <c r="C92" s="15">
        <f>C93</f>
        <v>0</v>
      </c>
      <c r="D92" s="15">
        <v>0</v>
      </c>
      <c r="E92" s="13">
        <f t="shared" si="1"/>
        <v>71</v>
      </c>
      <c r="F92" s="15">
        <f>F93+F107</f>
        <v>71</v>
      </c>
      <c r="G92" s="15">
        <v>0</v>
      </c>
      <c r="H92" s="13">
        <f t="shared" si="2"/>
        <v>0</v>
      </c>
      <c r="I92" s="15">
        <f>I93</f>
        <v>0</v>
      </c>
      <c r="J92" s="15">
        <v>0</v>
      </c>
      <c r="K92" s="13">
        <f t="shared" si="22"/>
        <v>0</v>
      </c>
      <c r="L92" s="15">
        <f>L93</f>
        <v>0</v>
      </c>
      <c r="M92" s="15">
        <v>0</v>
      </c>
      <c r="N92" s="13">
        <f t="shared" si="23"/>
        <v>0</v>
      </c>
      <c r="O92" s="15">
        <f>O93</f>
        <v>0</v>
      </c>
      <c r="P92" s="15">
        <v>0</v>
      </c>
      <c r="Q92" s="13">
        <f t="shared" si="24"/>
        <v>0</v>
      </c>
      <c r="R92" s="15">
        <f>R93</f>
        <v>0</v>
      </c>
      <c r="S92" s="15">
        <v>0</v>
      </c>
      <c r="T92" s="5"/>
      <c r="U92" s="5"/>
      <c r="V92" s="5"/>
    </row>
    <row r="93" spans="1:22" s="10" customFormat="1" ht="15" x14ac:dyDescent="0.15">
      <c r="A93" s="19" t="s">
        <v>72</v>
      </c>
      <c r="B93" s="21">
        <f t="shared" ref="B93:B106" si="25">C93+D93</f>
        <v>0</v>
      </c>
      <c r="C93" s="20">
        <v>0</v>
      </c>
      <c r="D93" s="20">
        <v>0</v>
      </c>
      <c r="E93" s="21">
        <f t="shared" ref="E93:E162" si="26">F93+G93</f>
        <v>56</v>
      </c>
      <c r="F93" s="20">
        <f>20+16+20</f>
        <v>56</v>
      </c>
      <c r="G93" s="20">
        <v>0</v>
      </c>
      <c r="H93" s="21">
        <f t="shared" ref="H93:H162" si="27">I93+J93</f>
        <v>0</v>
      </c>
      <c r="I93" s="20">
        <v>0</v>
      </c>
      <c r="J93" s="20">
        <v>0</v>
      </c>
      <c r="K93" s="21">
        <f t="shared" si="22"/>
        <v>0</v>
      </c>
      <c r="L93" s="20">
        <v>0</v>
      </c>
      <c r="M93" s="20">
        <v>0</v>
      </c>
      <c r="N93" s="21">
        <f t="shared" si="23"/>
        <v>0</v>
      </c>
      <c r="O93" s="20">
        <v>0</v>
      </c>
      <c r="P93" s="20">
        <v>0</v>
      </c>
      <c r="Q93" s="21">
        <f t="shared" si="24"/>
        <v>0</v>
      </c>
      <c r="R93" s="20">
        <v>0</v>
      </c>
      <c r="S93" s="20">
        <v>0</v>
      </c>
      <c r="T93" s="5"/>
      <c r="U93" s="5"/>
      <c r="V93" s="5"/>
    </row>
    <row r="94" spans="1:22" s="10" customFormat="1" ht="15" hidden="1" x14ac:dyDescent="0.15">
      <c r="A94" s="19" t="s">
        <v>65</v>
      </c>
      <c r="B94" s="13">
        <f t="shared" si="25"/>
        <v>0</v>
      </c>
      <c r="C94" s="20"/>
      <c r="D94" s="20"/>
      <c r="E94" s="21">
        <f t="shared" si="26"/>
        <v>0</v>
      </c>
      <c r="F94" s="20"/>
      <c r="G94" s="20"/>
      <c r="H94" s="21">
        <f t="shared" si="27"/>
        <v>0</v>
      </c>
      <c r="I94" s="20"/>
      <c r="J94" s="20"/>
      <c r="K94" s="21">
        <f t="shared" si="22"/>
        <v>0</v>
      </c>
      <c r="L94" s="20"/>
      <c r="M94" s="20"/>
      <c r="N94" s="21">
        <f t="shared" si="23"/>
        <v>0</v>
      </c>
      <c r="O94" s="20"/>
      <c r="P94" s="20"/>
      <c r="Q94" s="21">
        <f t="shared" si="24"/>
        <v>0</v>
      </c>
      <c r="R94" s="20"/>
      <c r="S94" s="20"/>
      <c r="T94" s="5"/>
      <c r="U94" s="5"/>
      <c r="V94" s="5"/>
    </row>
    <row r="95" spans="1:22" s="10" customFormat="1" ht="15" hidden="1" x14ac:dyDescent="0.15">
      <c r="A95" s="19" t="s">
        <v>73</v>
      </c>
      <c r="B95" s="13">
        <f t="shared" si="25"/>
        <v>0</v>
      </c>
      <c r="C95" s="20"/>
      <c r="D95" s="20"/>
      <c r="E95" s="21">
        <f t="shared" si="26"/>
        <v>0</v>
      </c>
      <c r="F95" s="20"/>
      <c r="G95" s="20"/>
      <c r="H95" s="21">
        <f t="shared" si="27"/>
        <v>0</v>
      </c>
      <c r="I95" s="20"/>
      <c r="J95" s="20"/>
      <c r="K95" s="21">
        <f t="shared" si="22"/>
        <v>0</v>
      </c>
      <c r="L95" s="20"/>
      <c r="M95" s="20"/>
      <c r="N95" s="21">
        <f t="shared" si="23"/>
        <v>0</v>
      </c>
      <c r="O95" s="20"/>
      <c r="P95" s="20"/>
      <c r="Q95" s="21">
        <f t="shared" si="24"/>
        <v>0</v>
      </c>
      <c r="R95" s="20"/>
      <c r="S95" s="20"/>
      <c r="T95" s="5"/>
      <c r="U95" s="5"/>
      <c r="V95" s="5"/>
    </row>
    <row r="96" spans="1:22" s="10" customFormat="1" ht="15" hidden="1" x14ac:dyDescent="0.15">
      <c r="A96" s="19" t="s">
        <v>74</v>
      </c>
      <c r="B96" s="13">
        <f t="shared" si="25"/>
        <v>0</v>
      </c>
      <c r="C96" s="20"/>
      <c r="D96" s="20"/>
      <c r="E96" s="21">
        <f t="shared" si="26"/>
        <v>0</v>
      </c>
      <c r="F96" s="20"/>
      <c r="G96" s="20"/>
      <c r="H96" s="21">
        <f t="shared" si="27"/>
        <v>0</v>
      </c>
      <c r="I96" s="20"/>
      <c r="J96" s="20"/>
      <c r="K96" s="21">
        <f t="shared" si="22"/>
        <v>0</v>
      </c>
      <c r="L96" s="20"/>
      <c r="M96" s="20"/>
      <c r="N96" s="21">
        <f t="shared" si="23"/>
        <v>0</v>
      </c>
      <c r="O96" s="20"/>
      <c r="P96" s="20"/>
      <c r="Q96" s="21">
        <f t="shared" si="24"/>
        <v>0</v>
      </c>
      <c r="R96" s="20"/>
      <c r="S96" s="20"/>
      <c r="T96" s="16"/>
      <c r="U96" s="16"/>
      <c r="V96" s="16"/>
    </row>
    <row r="97" spans="1:22" s="10" customFormat="1" ht="15" hidden="1" x14ac:dyDescent="0.15">
      <c r="A97" s="19" t="s">
        <v>75</v>
      </c>
      <c r="B97" s="13">
        <f t="shared" si="25"/>
        <v>0</v>
      </c>
      <c r="C97" s="20"/>
      <c r="D97" s="20"/>
      <c r="E97" s="21">
        <f t="shared" si="26"/>
        <v>0</v>
      </c>
      <c r="F97" s="20"/>
      <c r="G97" s="20"/>
      <c r="H97" s="21">
        <f t="shared" si="27"/>
        <v>0</v>
      </c>
      <c r="I97" s="20"/>
      <c r="J97" s="20"/>
      <c r="K97" s="21">
        <f t="shared" si="22"/>
        <v>0</v>
      </c>
      <c r="L97" s="20"/>
      <c r="M97" s="20"/>
      <c r="N97" s="21">
        <f t="shared" si="23"/>
        <v>0</v>
      </c>
      <c r="O97" s="20"/>
      <c r="P97" s="20"/>
      <c r="Q97" s="21">
        <f t="shared" si="24"/>
        <v>0</v>
      </c>
      <c r="R97" s="20"/>
      <c r="S97" s="20"/>
      <c r="T97" s="16"/>
      <c r="U97" s="16"/>
      <c r="V97" s="16"/>
    </row>
    <row r="98" spans="1:22" s="10" customFormat="1" ht="15" hidden="1" x14ac:dyDescent="0.15">
      <c r="A98" s="19" t="s">
        <v>76</v>
      </c>
      <c r="B98" s="13">
        <f t="shared" si="25"/>
        <v>0</v>
      </c>
      <c r="C98" s="20"/>
      <c r="D98" s="20"/>
      <c r="E98" s="21">
        <f t="shared" si="26"/>
        <v>0</v>
      </c>
      <c r="F98" s="20"/>
      <c r="G98" s="20"/>
      <c r="H98" s="21">
        <f t="shared" si="27"/>
        <v>0</v>
      </c>
      <c r="I98" s="20"/>
      <c r="J98" s="20"/>
      <c r="K98" s="21">
        <f t="shared" si="22"/>
        <v>0</v>
      </c>
      <c r="L98" s="20"/>
      <c r="M98" s="20"/>
      <c r="N98" s="21">
        <f t="shared" si="23"/>
        <v>0</v>
      </c>
      <c r="O98" s="20"/>
      <c r="P98" s="20"/>
      <c r="Q98" s="21">
        <f t="shared" si="24"/>
        <v>0</v>
      </c>
      <c r="R98" s="20"/>
      <c r="S98" s="20"/>
      <c r="T98" s="16"/>
      <c r="U98" s="16"/>
      <c r="V98" s="16"/>
    </row>
    <row r="99" spans="1:22" s="10" customFormat="1" ht="15" hidden="1" x14ac:dyDescent="0.15">
      <c r="A99" s="19" t="s">
        <v>77</v>
      </c>
      <c r="B99" s="13">
        <f t="shared" si="25"/>
        <v>0</v>
      </c>
      <c r="C99" s="20"/>
      <c r="D99" s="20"/>
      <c r="E99" s="21">
        <f t="shared" si="26"/>
        <v>0</v>
      </c>
      <c r="F99" s="20"/>
      <c r="G99" s="20"/>
      <c r="H99" s="21">
        <f t="shared" si="27"/>
        <v>0</v>
      </c>
      <c r="I99" s="20"/>
      <c r="J99" s="20"/>
      <c r="K99" s="21">
        <f t="shared" si="22"/>
        <v>0</v>
      </c>
      <c r="L99" s="20"/>
      <c r="M99" s="20"/>
      <c r="N99" s="21">
        <f t="shared" si="23"/>
        <v>0</v>
      </c>
      <c r="O99" s="20"/>
      <c r="P99" s="20"/>
      <c r="Q99" s="21">
        <f t="shared" si="24"/>
        <v>0</v>
      </c>
      <c r="R99" s="20"/>
      <c r="S99" s="20"/>
      <c r="T99" s="16"/>
      <c r="U99" s="16"/>
      <c r="V99" s="16"/>
    </row>
    <row r="100" spans="1:22" s="10" customFormat="1" ht="15" hidden="1" x14ac:dyDescent="0.15">
      <c r="A100" s="14" t="s">
        <v>7</v>
      </c>
      <c r="B100" s="13">
        <f t="shared" si="25"/>
        <v>0</v>
      </c>
      <c r="C100" s="20"/>
      <c r="D100" s="20"/>
      <c r="E100" s="21">
        <f t="shared" si="26"/>
        <v>0</v>
      </c>
      <c r="F100" s="20"/>
      <c r="G100" s="20"/>
      <c r="H100" s="21">
        <f t="shared" si="27"/>
        <v>0</v>
      </c>
      <c r="I100" s="20"/>
      <c r="J100" s="20"/>
      <c r="K100" s="21">
        <f t="shared" si="22"/>
        <v>0</v>
      </c>
      <c r="L100" s="20"/>
      <c r="M100" s="20"/>
      <c r="N100" s="21">
        <f t="shared" si="23"/>
        <v>0</v>
      </c>
      <c r="O100" s="20"/>
      <c r="P100" s="20"/>
      <c r="Q100" s="21">
        <f t="shared" si="24"/>
        <v>0</v>
      </c>
      <c r="R100" s="20"/>
      <c r="S100" s="20"/>
      <c r="T100" s="16"/>
      <c r="U100" s="16"/>
      <c r="V100" s="16"/>
    </row>
    <row r="101" spans="1:22" s="10" customFormat="1" ht="15" hidden="1" x14ac:dyDescent="0.15">
      <c r="A101" s="19" t="s">
        <v>78</v>
      </c>
      <c r="B101" s="13">
        <f t="shared" si="25"/>
        <v>0</v>
      </c>
      <c r="C101" s="20"/>
      <c r="D101" s="20"/>
      <c r="E101" s="21">
        <f t="shared" si="26"/>
        <v>0</v>
      </c>
      <c r="F101" s="20"/>
      <c r="G101" s="20"/>
      <c r="H101" s="21">
        <f t="shared" si="27"/>
        <v>0</v>
      </c>
      <c r="I101" s="20"/>
      <c r="J101" s="20"/>
      <c r="K101" s="21">
        <f t="shared" si="22"/>
        <v>0</v>
      </c>
      <c r="L101" s="20"/>
      <c r="M101" s="20"/>
      <c r="N101" s="21">
        <f t="shared" si="23"/>
        <v>0</v>
      </c>
      <c r="O101" s="20"/>
      <c r="P101" s="20"/>
      <c r="Q101" s="21">
        <f t="shared" si="24"/>
        <v>0</v>
      </c>
      <c r="R101" s="20"/>
      <c r="S101" s="20"/>
      <c r="T101" s="16"/>
      <c r="U101" s="16"/>
      <c r="V101" s="16"/>
    </row>
    <row r="102" spans="1:22" s="10" customFormat="1" ht="15" hidden="1" x14ac:dyDescent="0.15">
      <c r="A102" s="19" t="s">
        <v>64</v>
      </c>
      <c r="B102" s="13">
        <f t="shared" si="25"/>
        <v>0</v>
      </c>
      <c r="C102" s="20"/>
      <c r="D102" s="20"/>
      <c r="E102" s="21">
        <f t="shared" si="26"/>
        <v>0</v>
      </c>
      <c r="F102" s="20"/>
      <c r="G102" s="20"/>
      <c r="H102" s="21">
        <f t="shared" si="27"/>
        <v>0</v>
      </c>
      <c r="I102" s="20"/>
      <c r="J102" s="20"/>
      <c r="K102" s="21">
        <f t="shared" si="22"/>
        <v>0</v>
      </c>
      <c r="L102" s="20"/>
      <c r="M102" s="20"/>
      <c r="N102" s="21">
        <f t="shared" si="23"/>
        <v>0</v>
      </c>
      <c r="O102" s="20"/>
      <c r="P102" s="20"/>
      <c r="Q102" s="21">
        <f t="shared" si="24"/>
        <v>0</v>
      </c>
      <c r="R102" s="20"/>
      <c r="S102" s="20"/>
      <c r="T102" s="16"/>
      <c r="U102" s="16"/>
      <c r="V102" s="16"/>
    </row>
    <row r="103" spans="1:22" s="10" customFormat="1" ht="15" hidden="1" x14ac:dyDescent="0.15">
      <c r="A103" s="14" t="s">
        <v>10</v>
      </c>
      <c r="B103" s="13">
        <f t="shared" si="25"/>
        <v>0</v>
      </c>
      <c r="C103" s="20"/>
      <c r="D103" s="20"/>
      <c r="E103" s="21">
        <f t="shared" si="26"/>
        <v>0</v>
      </c>
      <c r="F103" s="20"/>
      <c r="G103" s="20"/>
      <c r="H103" s="21">
        <f t="shared" si="27"/>
        <v>0</v>
      </c>
      <c r="I103" s="20"/>
      <c r="J103" s="20"/>
      <c r="K103" s="21">
        <f t="shared" si="22"/>
        <v>0</v>
      </c>
      <c r="L103" s="20"/>
      <c r="M103" s="20"/>
      <c r="N103" s="21">
        <f t="shared" si="23"/>
        <v>0</v>
      </c>
      <c r="O103" s="20"/>
      <c r="P103" s="20"/>
      <c r="Q103" s="21">
        <f t="shared" si="24"/>
        <v>0</v>
      </c>
      <c r="R103" s="20"/>
      <c r="S103" s="20"/>
      <c r="T103" s="16"/>
      <c r="U103" s="16"/>
      <c r="V103" s="16"/>
    </row>
    <row r="104" spans="1:22" ht="15" hidden="1" x14ac:dyDescent="0.15">
      <c r="A104" s="19" t="s">
        <v>72</v>
      </c>
      <c r="B104" s="13">
        <f t="shared" si="25"/>
        <v>0</v>
      </c>
      <c r="C104" s="20"/>
      <c r="D104" s="20"/>
      <c r="E104" s="21">
        <f t="shared" si="26"/>
        <v>0</v>
      </c>
      <c r="F104" s="20"/>
      <c r="G104" s="20"/>
      <c r="H104" s="21">
        <f t="shared" si="27"/>
        <v>0</v>
      </c>
      <c r="I104" s="20"/>
      <c r="J104" s="20"/>
      <c r="K104" s="21">
        <f t="shared" si="22"/>
        <v>0</v>
      </c>
      <c r="L104" s="20"/>
      <c r="M104" s="20"/>
      <c r="N104" s="21">
        <f t="shared" si="23"/>
        <v>0</v>
      </c>
      <c r="O104" s="20"/>
      <c r="P104" s="20"/>
      <c r="Q104" s="21">
        <f t="shared" si="24"/>
        <v>0</v>
      </c>
      <c r="R104" s="20"/>
      <c r="S104" s="20"/>
      <c r="T104" s="16"/>
      <c r="U104" s="16"/>
      <c r="V104" s="16"/>
    </row>
    <row r="105" spans="1:22" ht="15" hidden="1" x14ac:dyDescent="0.15">
      <c r="A105" s="19" t="s">
        <v>79</v>
      </c>
      <c r="B105" s="13">
        <f t="shared" si="25"/>
        <v>0</v>
      </c>
      <c r="C105" s="20"/>
      <c r="D105" s="20"/>
      <c r="E105" s="21">
        <f t="shared" si="26"/>
        <v>0</v>
      </c>
      <c r="F105" s="20"/>
      <c r="G105" s="20"/>
      <c r="H105" s="21">
        <f t="shared" si="27"/>
        <v>0</v>
      </c>
      <c r="I105" s="20"/>
      <c r="J105" s="20"/>
      <c r="K105" s="21">
        <f t="shared" si="22"/>
        <v>0</v>
      </c>
      <c r="L105" s="20"/>
      <c r="M105" s="20"/>
      <c r="N105" s="21">
        <f t="shared" si="23"/>
        <v>0</v>
      </c>
      <c r="O105" s="20"/>
      <c r="P105" s="20"/>
      <c r="Q105" s="21">
        <f t="shared" si="24"/>
        <v>0</v>
      </c>
      <c r="R105" s="20"/>
      <c r="S105" s="20"/>
      <c r="T105" s="16"/>
      <c r="U105" s="16"/>
      <c r="V105" s="16"/>
    </row>
    <row r="106" spans="1:22" ht="15" hidden="1" x14ac:dyDescent="0.15">
      <c r="A106" s="19" t="s">
        <v>78</v>
      </c>
      <c r="B106" s="13">
        <f t="shared" si="25"/>
        <v>0</v>
      </c>
      <c r="C106" s="20"/>
      <c r="D106" s="20"/>
      <c r="E106" s="21">
        <f t="shared" si="26"/>
        <v>0</v>
      </c>
      <c r="F106" s="20"/>
      <c r="G106" s="20"/>
      <c r="H106" s="21">
        <f t="shared" si="27"/>
        <v>0</v>
      </c>
      <c r="I106" s="20"/>
      <c r="J106" s="20"/>
      <c r="K106" s="21">
        <f t="shared" si="22"/>
        <v>0</v>
      </c>
      <c r="L106" s="20"/>
      <c r="M106" s="20"/>
      <c r="N106" s="21">
        <f t="shared" si="23"/>
        <v>0</v>
      </c>
      <c r="O106" s="20"/>
      <c r="P106" s="20"/>
      <c r="Q106" s="21">
        <f t="shared" si="24"/>
        <v>0</v>
      </c>
      <c r="R106" s="20"/>
      <c r="S106" s="20"/>
      <c r="T106" s="16"/>
      <c r="U106" s="16"/>
      <c r="V106" s="16"/>
    </row>
    <row r="107" spans="1:22" ht="15" x14ac:dyDescent="0.15">
      <c r="A107" s="19" t="s">
        <v>35</v>
      </c>
      <c r="B107" s="13">
        <v>0</v>
      </c>
      <c r="C107" s="20">
        <v>0</v>
      </c>
      <c r="D107" s="20">
        <v>0</v>
      </c>
      <c r="E107" s="21">
        <f t="shared" si="26"/>
        <v>15</v>
      </c>
      <c r="F107" s="20">
        <v>15</v>
      </c>
      <c r="G107" s="20">
        <v>0</v>
      </c>
      <c r="H107" s="21">
        <f t="shared" si="27"/>
        <v>0</v>
      </c>
      <c r="I107" s="20">
        <v>0</v>
      </c>
      <c r="J107" s="20">
        <v>0</v>
      </c>
      <c r="K107" s="21">
        <f t="shared" si="22"/>
        <v>0</v>
      </c>
      <c r="L107" s="20">
        <v>0</v>
      </c>
      <c r="M107" s="20">
        <v>0</v>
      </c>
      <c r="N107" s="21">
        <f t="shared" si="23"/>
        <v>0</v>
      </c>
      <c r="O107" s="20">
        <v>0</v>
      </c>
      <c r="P107" s="20">
        <v>0</v>
      </c>
      <c r="Q107" s="21">
        <f t="shared" si="24"/>
        <v>0</v>
      </c>
      <c r="R107" s="20">
        <v>0</v>
      </c>
      <c r="S107" s="20">
        <v>0</v>
      </c>
      <c r="T107" s="16"/>
      <c r="U107" s="16"/>
      <c r="V107" s="16"/>
    </row>
    <row r="108" spans="1:22" ht="15" x14ac:dyDescent="0.15">
      <c r="A108" s="14" t="s">
        <v>11</v>
      </c>
      <c r="B108" s="13">
        <f t="shared" ref="B108:D108" si="28">B109+B110+B111+B112+B113+B114+B115</f>
        <v>0</v>
      </c>
      <c r="C108" s="15">
        <f t="shared" si="28"/>
        <v>0</v>
      </c>
      <c r="D108" s="15">
        <f t="shared" si="28"/>
        <v>0</v>
      </c>
      <c r="E108" s="13">
        <f t="shared" si="26"/>
        <v>0</v>
      </c>
      <c r="F108" s="15">
        <f t="shared" ref="F108:G108" si="29">F109+F110+F111+F112+F113+F114+F115</f>
        <v>0</v>
      </c>
      <c r="G108" s="15">
        <f t="shared" si="29"/>
        <v>0</v>
      </c>
      <c r="H108" s="13">
        <f t="shared" si="27"/>
        <v>0</v>
      </c>
      <c r="I108" s="15">
        <f t="shared" ref="I108:J108" si="30">I109+I110+I111+I112+I113+I114+I115</f>
        <v>0</v>
      </c>
      <c r="J108" s="15">
        <f t="shared" si="30"/>
        <v>0</v>
      </c>
      <c r="K108" s="13">
        <f t="shared" si="22"/>
        <v>0</v>
      </c>
      <c r="L108" s="15">
        <f t="shared" ref="L108:M108" si="31">L109+L110+L111+L112+L113+L114+L115</f>
        <v>0</v>
      </c>
      <c r="M108" s="15">
        <f t="shared" si="31"/>
        <v>0</v>
      </c>
      <c r="N108" s="13">
        <f t="shared" si="23"/>
        <v>0</v>
      </c>
      <c r="O108" s="15">
        <f t="shared" ref="O108:P108" si="32">O109+O110+O111+O112+O113+O114+O115</f>
        <v>0</v>
      </c>
      <c r="P108" s="15">
        <f t="shared" si="32"/>
        <v>0</v>
      </c>
      <c r="Q108" s="13">
        <f t="shared" si="24"/>
        <v>0</v>
      </c>
      <c r="R108" s="15">
        <f t="shared" ref="R108:S108" si="33">R109+R110+R111+R112+R113+R114+R115</f>
        <v>0</v>
      </c>
      <c r="S108" s="15">
        <f t="shared" si="33"/>
        <v>0</v>
      </c>
      <c r="T108" s="16"/>
      <c r="U108" s="16"/>
      <c r="V108" s="16"/>
    </row>
    <row r="109" spans="1:22" ht="15" x14ac:dyDescent="0.15">
      <c r="A109" s="19" t="s">
        <v>80</v>
      </c>
      <c r="B109" s="21">
        <f t="shared" ref="B109:B115" si="34">C109+D109</f>
        <v>0</v>
      </c>
      <c r="C109" s="20">
        <v>0</v>
      </c>
      <c r="D109" s="20">
        <v>0</v>
      </c>
      <c r="E109" s="21">
        <f t="shared" si="26"/>
        <v>0</v>
      </c>
      <c r="F109" s="20">
        <v>0</v>
      </c>
      <c r="G109" s="20">
        <v>0</v>
      </c>
      <c r="H109" s="21">
        <f t="shared" si="27"/>
        <v>0</v>
      </c>
      <c r="I109" s="20">
        <v>0</v>
      </c>
      <c r="J109" s="20">
        <v>0</v>
      </c>
      <c r="K109" s="21">
        <f t="shared" si="22"/>
        <v>0</v>
      </c>
      <c r="L109" s="20">
        <v>0</v>
      </c>
      <c r="M109" s="20">
        <v>0</v>
      </c>
      <c r="N109" s="21">
        <f t="shared" si="23"/>
        <v>0</v>
      </c>
      <c r="O109" s="20">
        <v>0</v>
      </c>
      <c r="P109" s="20">
        <v>0</v>
      </c>
      <c r="Q109" s="21">
        <f t="shared" si="24"/>
        <v>0</v>
      </c>
      <c r="R109" s="20">
        <v>0</v>
      </c>
      <c r="S109" s="20">
        <v>0</v>
      </c>
      <c r="T109" s="16"/>
      <c r="U109" s="16"/>
      <c r="V109" s="16"/>
    </row>
    <row r="110" spans="1:22" ht="15" x14ac:dyDescent="0.15">
      <c r="A110" s="19" t="s">
        <v>81</v>
      </c>
      <c r="B110" s="21">
        <f t="shared" si="34"/>
        <v>0</v>
      </c>
      <c r="C110" s="20">
        <v>0</v>
      </c>
      <c r="D110" s="20">
        <v>0</v>
      </c>
      <c r="E110" s="21">
        <f t="shared" si="26"/>
        <v>0</v>
      </c>
      <c r="F110" s="20">
        <v>0</v>
      </c>
      <c r="G110" s="20">
        <v>0</v>
      </c>
      <c r="H110" s="21">
        <f t="shared" si="27"/>
        <v>0</v>
      </c>
      <c r="I110" s="20">
        <v>0</v>
      </c>
      <c r="J110" s="20">
        <v>0</v>
      </c>
      <c r="K110" s="21">
        <f t="shared" si="22"/>
        <v>0</v>
      </c>
      <c r="L110" s="20">
        <v>0</v>
      </c>
      <c r="M110" s="20">
        <v>0</v>
      </c>
      <c r="N110" s="21">
        <f t="shared" si="23"/>
        <v>0</v>
      </c>
      <c r="O110" s="20">
        <v>0</v>
      </c>
      <c r="P110" s="20">
        <v>0</v>
      </c>
      <c r="Q110" s="21">
        <f t="shared" si="24"/>
        <v>0</v>
      </c>
      <c r="R110" s="20">
        <v>0</v>
      </c>
      <c r="S110" s="20">
        <v>0</v>
      </c>
      <c r="T110" s="16"/>
      <c r="U110" s="16"/>
      <c r="V110" s="16"/>
    </row>
    <row r="111" spans="1:22" ht="15" x14ac:dyDescent="0.15">
      <c r="A111" s="19" t="s">
        <v>82</v>
      </c>
      <c r="B111" s="21">
        <f t="shared" si="34"/>
        <v>0</v>
      </c>
      <c r="C111" s="20">
        <v>0</v>
      </c>
      <c r="D111" s="20">
        <v>0</v>
      </c>
      <c r="E111" s="21">
        <f t="shared" si="26"/>
        <v>0</v>
      </c>
      <c r="F111" s="20">
        <v>0</v>
      </c>
      <c r="G111" s="20">
        <v>0</v>
      </c>
      <c r="H111" s="21">
        <f t="shared" si="27"/>
        <v>0</v>
      </c>
      <c r="I111" s="20">
        <v>0</v>
      </c>
      <c r="J111" s="20">
        <v>0</v>
      </c>
      <c r="K111" s="21">
        <f t="shared" si="22"/>
        <v>0</v>
      </c>
      <c r="L111" s="20">
        <v>0</v>
      </c>
      <c r="M111" s="20">
        <v>0</v>
      </c>
      <c r="N111" s="21">
        <f t="shared" si="23"/>
        <v>0</v>
      </c>
      <c r="O111" s="20">
        <v>0</v>
      </c>
      <c r="P111" s="20">
        <v>0</v>
      </c>
      <c r="Q111" s="21">
        <f t="shared" si="24"/>
        <v>0</v>
      </c>
      <c r="R111" s="20">
        <v>0</v>
      </c>
      <c r="S111" s="20">
        <v>0</v>
      </c>
      <c r="T111" s="16"/>
      <c r="U111" s="16"/>
      <c r="V111" s="16"/>
    </row>
    <row r="112" spans="1:22" ht="15" x14ac:dyDescent="0.15">
      <c r="A112" s="19" t="s">
        <v>83</v>
      </c>
      <c r="B112" s="21">
        <f t="shared" si="34"/>
        <v>0</v>
      </c>
      <c r="C112" s="20">
        <v>0</v>
      </c>
      <c r="D112" s="20">
        <v>0</v>
      </c>
      <c r="E112" s="21">
        <f t="shared" si="26"/>
        <v>0</v>
      </c>
      <c r="F112" s="20">
        <v>0</v>
      </c>
      <c r="G112" s="20">
        <v>0</v>
      </c>
      <c r="H112" s="21">
        <f t="shared" si="27"/>
        <v>0</v>
      </c>
      <c r="I112" s="20">
        <v>0</v>
      </c>
      <c r="J112" s="20">
        <v>0</v>
      </c>
      <c r="K112" s="21">
        <f t="shared" si="22"/>
        <v>0</v>
      </c>
      <c r="L112" s="20">
        <v>0</v>
      </c>
      <c r="M112" s="20">
        <v>0</v>
      </c>
      <c r="N112" s="21">
        <f t="shared" si="23"/>
        <v>0</v>
      </c>
      <c r="O112" s="20">
        <v>0</v>
      </c>
      <c r="P112" s="20">
        <v>0</v>
      </c>
      <c r="Q112" s="21">
        <f t="shared" si="24"/>
        <v>0</v>
      </c>
      <c r="R112" s="20">
        <v>0</v>
      </c>
      <c r="S112" s="20">
        <v>0</v>
      </c>
      <c r="T112" s="16"/>
      <c r="U112" s="16"/>
      <c r="V112" s="16"/>
    </row>
    <row r="113" spans="1:22" ht="15" x14ac:dyDescent="0.15">
      <c r="A113" s="19" t="s">
        <v>64</v>
      </c>
      <c r="B113" s="21">
        <f t="shared" si="34"/>
        <v>0</v>
      </c>
      <c r="C113" s="20">
        <v>0</v>
      </c>
      <c r="D113" s="20">
        <v>0</v>
      </c>
      <c r="E113" s="21">
        <f t="shared" si="26"/>
        <v>0</v>
      </c>
      <c r="F113" s="20">
        <v>0</v>
      </c>
      <c r="G113" s="20">
        <v>0</v>
      </c>
      <c r="H113" s="21">
        <f t="shared" si="27"/>
        <v>0</v>
      </c>
      <c r="I113" s="20">
        <v>0</v>
      </c>
      <c r="J113" s="20">
        <v>0</v>
      </c>
      <c r="K113" s="21">
        <f t="shared" si="22"/>
        <v>0</v>
      </c>
      <c r="L113" s="20">
        <v>0</v>
      </c>
      <c r="M113" s="20">
        <v>0</v>
      </c>
      <c r="N113" s="21">
        <f t="shared" si="23"/>
        <v>0</v>
      </c>
      <c r="O113" s="20">
        <v>0</v>
      </c>
      <c r="P113" s="20">
        <v>0</v>
      </c>
      <c r="Q113" s="21">
        <f t="shared" si="24"/>
        <v>0</v>
      </c>
      <c r="R113" s="20">
        <v>0</v>
      </c>
      <c r="S113" s="20">
        <v>0</v>
      </c>
      <c r="T113" s="16"/>
      <c r="U113" s="16"/>
      <c r="V113" s="16"/>
    </row>
    <row r="114" spans="1:22" ht="15" x14ac:dyDescent="0.15">
      <c r="A114" s="19" t="s">
        <v>84</v>
      </c>
      <c r="B114" s="21">
        <f t="shared" si="34"/>
        <v>0</v>
      </c>
      <c r="C114" s="20">
        <v>0</v>
      </c>
      <c r="D114" s="20">
        <v>0</v>
      </c>
      <c r="E114" s="21">
        <f t="shared" si="26"/>
        <v>0</v>
      </c>
      <c r="F114" s="20">
        <v>0</v>
      </c>
      <c r="G114" s="20">
        <v>0</v>
      </c>
      <c r="H114" s="21">
        <f t="shared" si="27"/>
        <v>0</v>
      </c>
      <c r="I114" s="20">
        <v>0</v>
      </c>
      <c r="J114" s="20">
        <v>0</v>
      </c>
      <c r="K114" s="21">
        <f t="shared" si="22"/>
        <v>0</v>
      </c>
      <c r="L114" s="20">
        <v>0</v>
      </c>
      <c r="M114" s="20">
        <v>0</v>
      </c>
      <c r="N114" s="21">
        <f t="shared" si="23"/>
        <v>0</v>
      </c>
      <c r="O114" s="20">
        <v>0</v>
      </c>
      <c r="P114" s="20">
        <v>0</v>
      </c>
      <c r="Q114" s="21">
        <f t="shared" si="24"/>
        <v>0</v>
      </c>
      <c r="R114" s="20">
        <v>0</v>
      </c>
      <c r="S114" s="20">
        <v>0</v>
      </c>
      <c r="T114" s="16"/>
      <c r="U114" s="16"/>
      <c r="V114" s="16"/>
    </row>
    <row r="115" spans="1:22" ht="15" x14ac:dyDescent="0.15">
      <c r="A115" s="19" t="s">
        <v>85</v>
      </c>
      <c r="B115" s="21">
        <f t="shared" si="34"/>
        <v>0</v>
      </c>
      <c r="C115" s="20">
        <v>0</v>
      </c>
      <c r="D115" s="20">
        <v>0</v>
      </c>
      <c r="E115" s="21">
        <f t="shared" si="26"/>
        <v>0</v>
      </c>
      <c r="F115" s="20">
        <v>0</v>
      </c>
      <c r="G115" s="20">
        <v>0</v>
      </c>
      <c r="H115" s="21">
        <f t="shared" si="27"/>
        <v>0</v>
      </c>
      <c r="I115" s="20">
        <v>0</v>
      </c>
      <c r="J115" s="20">
        <v>0</v>
      </c>
      <c r="K115" s="21">
        <f t="shared" si="22"/>
        <v>0</v>
      </c>
      <c r="L115" s="20">
        <v>0</v>
      </c>
      <c r="M115" s="20">
        <v>0</v>
      </c>
      <c r="N115" s="21">
        <f t="shared" si="23"/>
        <v>0</v>
      </c>
      <c r="O115" s="20">
        <v>0</v>
      </c>
      <c r="P115" s="20">
        <v>0</v>
      </c>
      <c r="Q115" s="21">
        <f t="shared" si="24"/>
        <v>0</v>
      </c>
      <c r="R115" s="20">
        <v>0</v>
      </c>
      <c r="S115" s="20">
        <v>0</v>
      </c>
      <c r="T115" s="16"/>
      <c r="U115" s="16"/>
      <c r="V115" s="16"/>
    </row>
    <row r="116" spans="1:22" ht="15" x14ac:dyDescent="0.15">
      <c r="A116" s="14" t="s">
        <v>8</v>
      </c>
      <c r="B116" s="13">
        <f>B117</f>
        <v>33</v>
      </c>
      <c r="C116" s="15">
        <f>C117+C118+C119+C120+C121+C122+C123</f>
        <v>88</v>
      </c>
      <c r="D116" s="15">
        <f>D117+D118+D119+D120+D121+D122+D123</f>
        <v>48</v>
      </c>
      <c r="E116" s="13">
        <f>F116+G116</f>
        <v>258</v>
      </c>
      <c r="F116" s="15">
        <f>F117+F118+F119+F120+F121+F122+F123+F124</f>
        <v>181</v>
      </c>
      <c r="G116" s="15">
        <f>G117+G118+G119+G120+G121+G122+G123+G124</f>
        <v>77</v>
      </c>
      <c r="H116" s="13">
        <f>I116+J116</f>
        <v>133</v>
      </c>
      <c r="I116" s="15">
        <f>I117+I118+I119+I120+I121+I122+I123+I124</f>
        <v>67</v>
      </c>
      <c r="J116" s="15">
        <f>J117+J118+J119+J120+J121+J122+J123+J124</f>
        <v>66</v>
      </c>
      <c r="K116" s="13">
        <f>L116+M116</f>
        <v>285</v>
      </c>
      <c r="L116" s="15">
        <f>L117+L118+L119+L120+L121+L122+L123+L124+L125</f>
        <v>128</v>
      </c>
      <c r="M116" s="15">
        <f>M117+M118+M119+M120+M121+M122+M123+M124+M125</f>
        <v>157</v>
      </c>
      <c r="N116" s="13">
        <f>O116+P116</f>
        <v>291</v>
      </c>
      <c r="O116" s="15">
        <f>O117+O118+O119+O120+O121+O122+O123+O124+O125</f>
        <v>192</v>
      </c>
      <c r="P116" s="15">
        <f>P117+P118+P119+P120+P121+P122+P123+P124+P125</f>
        <v>99</v>
      </c>
      <c r="Q116" s="13">
        <f>R116+S116</f>
        <v>151</v>
      </c>
      <c r="R116" s="15">
        <f>R117+R118+R119+R120+R121+R122+R123+R124+R125</f>
        <v>56</v>
      </c>
      <c r="S116" s="15">
        <f>S117+S118+S119+S120+S121+S122+S123+S124+S125</f>
        <v>95</v>
      </c>
      <c r="T116" s="16"/>
      <c r="U116" s="16"/>
      <c r="V116" s="16"/>
    </row>
    <row r="117" spans="1:22" ht="15" x14ac:dyDescent="0.15">
      <c r="A117" s="19" t="s">
        <v>64</v>
      </c>
      <c r="B117" s="21">
        <f>C117</f>
        <v>33</v>
      </c>
      <c r="C117" s="20">
        <v>33</v>
      </c>
      <c r="D117" s="20">
        <v>0</v>
      </c>
      <c r="E117" s="21">
        <f t="shared" si="26"/>
        <v>80</v>
      </c>
      <c r="F117" s="20">
        <v>79</v>
      </c>
      <c r="G117" s="20">
        <v>1</v>
      </c>
      <c r="H117" s="21">
        <f t="shared" si="27"/>
        <v>17</v>
      </c>
      <c r="I117" s="20">
        <v>17</v>
      </c>
      <c r="J117" s="20">
        <v>0</v>
      </c>
      <c r="K117" s="21">
        <f t="shared" ref="K117:K125" si="35">L117+M117</f>
        <v>33</v>
      </c>
      <c r="L117" s="20">
        <f>33</f>
        <v>33</v>
      </c>
      <c r="M117" s="20">
        <f>0</f>
        <v>0</v>
      </c>
      <c r="N117" s="21">
        <f t="shared" ref="N117:N125" si="36">O117+P117</f>
        <v>137</v>
      </c>
      <c r="O117" s="20">
        <f>35+60+41</f>
        <v>136</v>
      </c>
      <c r="P117" s="20">
        <f>1</f>
        <v>1</v>
      </c>
      <c r="Q117" s="21">
        <f t="shared" ref="Q117:Q125" si="37">R117+S117</f>
        <v>0</v>
      </c>
      <c r="R117" s="20">
        <v>0</v>
      </c>
      <c r="S117" s="20">
        <v>0</v>
      </c>
      <c r="T117" s="16"/>
      <c r="U117" s="16"/>
      <c r="V117" s="16"/>
    </row>
    <row r="118" spans="1:22" ht="15" x14ac:dyDescent="0.15">
      <c r="A118" s="19" t="s">
        <v>86</v>
      </c>
      <c r="B118" s="21">
        <f t="shared" ref="B118:B162" si="38">C118+D118</f>
        <v>4</v>
      </c>
      <c r="C118" s="20">
        <v>3</v>
      </c>
      <c r="D118" s="20">
        <v>1</v>
      </c>
      <c r="E118" s="21">
        <f t="shared" si="26"/>
        <v>0</v>
      </c>
      <c r="F118" s="20">
        <v>0</v>
      </c>
      <c r="G118" s="20">
        <v>0</v>
      </c>
      <c r="H118" s="21">
        <f t="shared" si="27"/>
        <v>0</v>
      </c>
      <c r="I118" s="20">
        <v>0</v>
      </c>
      <c r="J118" s="20">
        <v>0</v>
      </c>
      <c r="K118" s="21">
        <f t="shared" si="35"/>
        <v>5</v>
      </c>
      <c r="L118" s="20">
        <f>4</f>
        <v>4</v>
      </c>
      <c r="M118" s="20">
        <f>1</f>
        <v>1</v>
      </c>
      <c r="N118" s="21">
        <f t="shared" si="36"/>
        <v>8</v>
      </c>
      <c r="O118" s="20">
        <f>3+1</f>
        <v>4</v>
      </c>
      <c r="P118" s="20">
        <f>2+2</f>
        <v>4</v>
      </c>
      <c r="Q118" s="21">
        <f t="shared" si="37"/>
        <v>6</v>
      </c>
      <c r="R118" s="20">
        <f>2+1</f>
        <v>3</v>
      </c>
      <c r="S118" s="20">
        <f>3</f>
        <v>3</v>
      </c>
      <c r="T118" s="16"/>
      <c r="U118" s="16"/>
      <c r="V118" s="16"/>
    </row>
    <row r="119" spans="1:22" ht="15" x14ac:dyDescent="0.15">
      <c r="A119" s="19" t="s">
        <v>87</v>
      </c>
      <c r="B119" s="21">
        <f t="shared" si="38"/>
        <v>11</v>
      </c>
      <c r="C119" s="20">
        <v>5</v>
      </c>
      <c r="D119" s="20">
        <v>6</v>
      </c>
      <c r="E119" s="21">
        <f t="shared" si="26"/>
        <v>0</v>
      </c>
      <c r="F119" s="20">
        <v>0</v>
      </c>
      <c r="G119" s="20">
        <v>0</v>
      </c>
      <c r="H119" s="21">
        <f t="shared" si="27"/>
        <v>7</v>
      </c>
      <c r="I119" s="20">
        <v>3</v>
      </c>
      <c r="J119" s="20">
        <v>4</v>
      </c>
      <c r="K119" s="21">
        <f t="shared" si="35"/>
        <v>16</v>
      </c>
      <c r="L119" s="20">
        <f>4+3</f>
        <v>7</v>
      </c>
      <c r="M119" s="20">
        <f>7+2</f>
        <v>9</v>
      </c>
      <c r="N119" s="21">
        <f t="shared" si="36"/>
        <v>11</v>
      </c>
      <c r="O119" s="20">
        <f>2+2</f>
        <v>4</v>
      </c>
      <c r="P119" s="20">
        <f>4+3</f>
        <v>7</v>
      </c>
      <c r="Q119" s="21">
        <f t="shared" si="37"/>
        <v>13</v>
      </c>
      <c r="R119" s="20">
        <f>3</f>
        <v>3</v>
      </c>
      <c r="S119" s="20">
        <f>9+1</f>
        <v>10</v>
      </c>
      <c r="T119" s="16"/>
      <c r="U119" s="16"/>
      <c r="V119" s="16"/>
    </row>
    <row r="120" spans="1:22" ht="15" x14ac:dyDescent="0.15">
      <c r="A120" s="19" t="s">
        <v>88</v>
      </c>
      <c r="B120" s="21">
        <f t="shared" si="38"/>
        <v>8</v>
      </c>
      <c r="C120" s="20">
        <v>5</v>
      </c>
      <c r="D120" s="20">
        <v>3</v>
      </c>
      <c r="E120" s="21">
        <f t="shared" si="26"/>
        <v>15</v>
      </c>
      <c r="F120" s="20">
        <v>11</v>
      </c>
      <c r="G120" s="20">
        <v>4</v>
      </c>
      <c r="H120" s="21">
        <f t="shared" si="27"/>
        <v>0</v>
      </c>
      <c r="I120" s="20">
        <v>0</v>
      </c>
      <c r="J120" s="20">
        <v>0</v>
      </c>
      <c r="K120" s="21">
        <f t="shared" si="35"/>
        <v>16</v>
      </c>
      <c r="L120" s="20">
        <f>5+7</f>
        <v>12</v>
      </c>
      <c r="M120" s="20">
        <f>2+2</f>
        <v>4</v>
      </c>
      <c r="N120" s="21">
        <f t="shared" si="36"/>
        <v>13</v>
      </c>
      <c r="O120" s="20">
        <f>6+7</f>
        <v>13</v>
      </c>
      <c r="P120" s="20">
        <v>0</v>
      </c>
      <c r="Q120" s="21">
        <f t="shared" si="37"/>
        <v>1</v>
      </c>
      <c r="R120" s="20">
        <f>1</f>
        <v>1</v>
      </c>
      <c r="S120" s="20">
        <f>0</f>
        <v>0</v>
      </c>
      <c r="T120" s="16"/>
      <c r="U120" s="16"/>
      <c r="V120" s="16"/>
    </row>
    <row r="121" spans="1:22" ht="15" x14ac:dyDescent="0.15">
      <c r="A121" s="19" t="s">
        <v>89</v>
      </c>
      <c r="B121" s="21">
        <f t="shared" si="38"/>
        <v>48</v>
      </c>
      <c r="C121" s="20">
        <v>26</v>
      </c>
      <c r="D121" s="20">
        <v>22</v>
      </c>
      <c r="E121" s="21">
        <f t="shared" si="26"/>
        <v>47</v>
      </c>
      <c r="F121" s="20">
        <v>21</v>
      </c>
      <c r="G121" s="20">
        <v>26</v>
      </c>
      <c r="H121" s="21">
        <f t="shared" si="27"/>
        <v>23</v>
      </c>
      <c r="I121" s="20">
        <v>6</v>
      </c>
      <c r="J121" s="20">
        <v>17</v>
      </c>
      <c r="K121" s="21">
        <f t="shared" si="35"/>
        <v>86</v>
      </c>
      <c r="L121" s="20">
        <f>16+14</f>
        <v>30</v>
      </c>
      <c r="M121" s="20">
        <f>33+23</f>
        <v>56</v>
      </c>
      <c r="N121" s="21">
        <f t="shared" si="36"/>
        <v>29</v>
      </c>
      <c r="O121" s="20">
        <f>5+3</f>
        <v>8</v>
      </c>
      <c r="P121" s="20">
        <f>9+12</f>
        <v>21</v>
      </c>
      <c r="Q121" s="21">
        <f t="shared" si="37"/>
        <v>38</v>
      </c>
      <c r="R121" s="20">
        <f>8+1</f>
        <v>9</v>
      </c>
      <c r="S121" s="20">
        <f>28+1</f>
        <v>29</v>
      </c>
      <c r="T121" s="16"/>
      <c r="U121" s="16"/>
      <c r="V121" s="16"/>
    </row>
    <row r="122" spans="1:22" ht="15" x14ac:dyDescent="0.15">
      <c r="A122" s="19" t="s">
        <v>90</v>
      </c>
      <c r="B122" s="21">
        <f t="shared" si="38"/>
        <v>24</v>
      </c>
      <c r="C122" s="20">
        <v>10</v>
      </c>
      <c r="D122" s="20">
        <v>14</v>
      </c>
      <c r="E122" s="21">
        <f t="shared" si="26"/>
        <v>58</v>
      </c>
      <c r="F122" s="20">
        <v>32</v>
      </c>
      <c r="G122" s="20">
        <v>26</v>
      </c>
      <c r="H122" s="21">
        <f t="shared" si="27"/>
        <v>36</v>
      </c>
      <c r="I122" s="20">
        <f>10+5</f>
        <v>15</v>
      </c>
      <c r="J122" s="20">
        <f>15+6</f>
        <v>21</v>
      </c>
      <c r="K122" s="21">
        <f t="shared" si="35"/>
        <v>24</v>
      </c>
      <c r="L122" s="20">
        <f>10</f>
        <v>10</v>
      </c>
      <c r="M122" s="20">
        <f>14</f>
        <v>14</v>
      </c>
      <c r="N122" s="21">
        <f t="shared" si="36"/>
        <v>26</v>
      </c>
      <c r="O122" s="20">
        <f>7+6</f>
        <v>13</v>
      </c>
      <c r="P122" s="20">
        <f>3+10</f>
        <v>13</v>
      </c>
      <c r="Q122" s="21">
        <f t="shared" si="37"/>
        <v>40</v>
      </c>
      <c r="R122" s="20">
        <f>14+5</f>
        <v>19</v>
      </c>
      <c r="S122" s="20">
        <f>19+2</f>
        <v>21</v>
      </c>
      <c r="T122" s="16"/>
      <c r="U122" s="16"/>
      <c r="V122" s="16"/>
    </row>
    <row r="123" spans="1:22" ht="15" x14ac:dyDescent="0.15">
      <c r="A123" s="19" t="s">
        <v>91</v>
      </c>
      <c r="B123" s="21">
        <f t="shared" si="38"/>
        <v>8</v>
      </c>
      <c r="C123" s="20">
        <v>6</v>
      </c>
      <c r="D123" s="20">
        <v>2</v>
      </c>
      <c r="E123" s="21">
        <f t="shared" si="26"/>
        <v>4</v>
      </c>
      <c r="F123" s="20">
        <v>4</v>
      </c>
      <c r="G123" s="20">
        <v>0</v>
      </c>
      <c r="H123" s="21">
        <f t="shared" si="27"/>
        <v>0</v>
      </c>
      <c r="I123" s="20">
        <v>0</v>
      </c>
      <c r="J123" s="20">
        <v>0</v>
      </c>
      <c r="K123" s="21">
        <f t="shared" si="35"/>
        <v>0</v>
      </c>
      <c r="L123" s="20">
        <v>0</v>
      </c>
      <c r="M123" s="20">
        <v>0</v>
      </c>
      <c r="N123" s="21">
        <f t="shared" si="36"/>
        <v>7</v>
      </c>
      <c r="O123" s="20">
        <f>3</f>
        <v>3</v>
      </c>
      <c r="P123" s="20">
        <f>4</f>
        <v>4</v>
      </c>
      <c r="Q123" s="21">
        <f t="shared" si="37"/>
        <v>12</v>
      </c>
      <c r="R123" s="20">
        <f>3+3</f>
        <v>6</v>
      </c>
      <c r="S123" s="20">
        <f>3+3</f>
        <v>6</v>
      </c>
      <c r="T123" s="16"/>
      <c r="U123" s="16"/>
      <c r="V123" s="16"/>
    </row>
    <row r="124" spans="1:22" ht="15" x14ac:dyDescent="0.15">
      <c r="A124" s="19" t="s">
        <v>92</v>
      </c>
      <c r="B124" s="21">
        <v>0</v>
      </c>
      <c r="C124" s="20">
        <v>0</v>
      </c>
      <c r="D124" s="20">
        <v>0</v>
      </c>
      <c r="E124" s="21">
        <f t="shared" si="26"/>
        <v>54</v>
      </c>
      <c r="F124" s="20">
        <v>34</v>
      </c>
      <c r="G124" s="20">
        <v>20</v>
      </c>
      <c r="H124" s="21">
        <f t="shared" si="27"/>
        <v>50</v>
      </c>
      <c r="I124" s="20">
        <f>19+7</f>
        <v>26</v>
      </c>
      <c r="J124" s="20">
        <f>18+6</f>
        <v>24</v>
      </c>
      <c r="K124" s="21">
        <f t="shared" si="35"/>
        <v>62</v>
      </c>
      <c r="L124" s="20">
        <f>31</f>
        <v>31</v>
      </c>
      <c r="M124" s="20">
        <f>31</f>
        <v>31</v>
      </c>
      <c r="N124" s="21">
        <f t="shared" si="36"/>
        <v>31</v>
      </c>
      <c r="O124" s="20">
        <f>3+8</f>
        <v>11</v>
      </c>
      <c r="P124" s="20">
        <f>9+11</f>
        <v>20</v>
      </c>
      <c r="Q124" s="21">
        <f t="shared" si="37"/>
        <v>41</v>
      </c>
      <c r="R124" s="20">
        <f>13+2</f>
        <v>15</v>
      </c>
      <c r="S124" s="20">
        <f>19+7</f>
        <v>26</v>
      </c>
      <c r="T124" s="16"/>
      <c r="U124" s="16"/>
      <c r="V124" s="16"/>
    </row>
    <row r="125" spans="1:22" ht="15" x14ac:dyDescent="0.15">
      <c r="A125" s="19" t="s">
        <v>93</v>
      </c>
      <c r="B125" s="21">
        <v>0</v>
      </c>
      <c r="C125" s="20">
        <v>0</v>
      </c>
      <c r="D125" s="20">
        <v>0</v>
      </c>
      <c r="E125" s="21">
        <v>0</v>
      </c>
      <c r="F125" s="20">
        <v>0</v>
      </c>
      <c r="G125" s="20">
        <v>0</v>
      </c>
      <c r="H125" s="21">
        <v>0</v>
      </c>
      <c r="I125" s="20">
        <v>0</v>
      </c>
      <c r="J125" s="20">
        <v>0</v>
      </c>
      <c r="K125" s="21">
        <f t="shared" si="35"/>
        <v>43</v>
      </c>
      <c r="L125" s="20">
        <f>1</f>
        <v>1</v>
      </c>
      <c r="M125" s="20">
        <f>42</f>
        <v>42</v>
      </c>
      <c r="N125" s="21">
        <f t="shared" si="36"/>
        <v>29</v>
      </c>
      <c r="O125" s="20">
        <v>0</v>
      </c>
      <c r="P125" s="20">
        <v>29</v>
      </c>
      <c r="Q125" s="21">
        <f t="shared" si="37"/>
        <v>0</v>
      </c>
      <c r="R125" s="20">
        <v>0</v>
      </c>
      <c r="S125" s="20">
        <v>0</v>
      </c>
      <c r="T125" s="16"/>
      <c r="U125" s="16"/>
      <c r="V125" s="16"/>
    </row>
    <row r="126" spans="1:22" ht="15" x14ac:dyDescent="0.15">
      <c r="A126" s="19" t="s">
        <v>116</v>
      </c>
      <c r="B126" s="21">
        <v>0</v>
      </c>
      <c r="C126" s="20">
        <v>0</v>
      </c>
      <c r="D126" s="20">
        <v>0</v>
      </c>
      <c r="E126" s="21">
        <v>0</v>
      </c>
      <c r="F126" s="20">
        <v>0</v>
      </c>
      <c r="G126" s="20">
        <v>0</v>
      </c>
      <c r="H126" s="21">
        <v>0</v>
      </c>
      <c r="I126" s="20">
        <v>0</v>
      </c>
      <c r="J126" s="20">
        <v>0</v>
      </c>
      <c r="K126" s="21">
        <v>0</v>
      </c>
      <c r="L126" s="20">
        <v>0</v>
      </c>
      <c r="M126" s="20">
        <v>0</v>
      </c>
      <c r="N126" s="21">
        <f>O126+P126</f>
        <v>6</v>
      </c>
      <c r="O126" s="20">
        <f>4+1</f>
        <v>5</v>
      </c>
      <c r="P126" s="20">
        <v>1</v>
      </c>
      <c r="Q126" s="21">
        <f>R126+S126</f>
        <v>0</v>
      </c>
      <c r="R126" s="20">
        <v>0</v>
      </c>
      <c r="S126" s="20">
        <v>0</v>
      </c>
      <c r="T126" s="16"/>
      <c r="U126" s="16"/>
      <c r="V126" s="16"/>
    </row>
    <row r="127" spans="1:22" ht="15" x14ac:dyDescent="0.15">
      <c r="A127" s="14" t="s">
        <v>94</v>
      </c>
      <c r="B127" s="13">
        <v>0</v>
      </c>
      <c r="C127" s="15">
        <v>0</v>
      </c>
      <c r="D127" s="15">
        <v>0</v>
      </c>
      <c r="E127" s="13">
        <f t="shared" si="26"/>
        <v>170</v>
      </c>
      <c r="F127" s="15">
        <f>F128+F129+F130+F161+F162+F163+F164</f>
        <v>15</v>
      </c>
      <c r="G127" s="15">
        <f>G128+G129+G130+G161+G162+G163+G164</f>
        <v>155</v>
      </c>
      <c r="H127" s="13">
        <f t="shared" ref="H127:J127" si="39">H128+H129+H130+H131+H132+H133</f>
        <v>59</v>
      </c>
      <c r="I127" s="15">
        <f t="shared" si="39"/>
        <v>21</v>
      </c>
      <c r="J127" s="15">
        <f t="shared" si="39"/>
        <v>38</v>
      </c>
      <c r="K127" s="13">
        <f>K128+K129+K130+K131+K132+K133+K134+K135+K136+K137+K138+K139+K140+K141+K142+K143+K144+K145+K146+K147+K148+K149</f>
        <v>280</v>
      </c>
      <c r="L127" s="15">
        <f>L128+L129+L130+L131+L132+L133+L134+L135+L136+L137+L138+L139+L140+L141+L142+L143+L144+L145+L147++L146+L148+L149</f>
        <v>196</v>
      </c>
      <c r="M127" s="15">
        <f>M128+M129+M130+M131+M132+M133+M134+M135+M136+M137+M138+M139+M140+M141+M142+M143+M144+M145+M146+M147+M148+M149</f>
        <v>84</v>
      </c>
      <c r="N127" s="13">
        <f>N128+N129+N130+N131+N132+N133+N134+N135+N136+N137+N138+N139+N140+N141+N142+N143+N144+N145+N146+N147+N148+N149+N150+N151+N152</f>
        <v>411</v>
      </c>
      <c r="O127" s="15">
        <f>O128+O129+O130+O131+O132+O133+O134+O135+O136+O137+O138+O139+O140+O141+O142+O143+O144+O145+O147++O146+O148+O149+O150+O151+O152</f>
        <v>322</v>
      </c>
      <c r="P127" s="15">
        <f>P128+P129+P130+P131+P132+P133+P134+P135+P136+P137+P138+P139+P140+P141+P142+P143+P144+P145+P146+P147+P148+P149+P150+P151+P152</f>
        <v>89</v>
      </c>
      <c r="Q127" s="13">
        <f>Q128+Q129+Q130+Q131+Q132+Q133+Q134+Q135+Q136+Q137+Q138+Q139+Q140+Q141+Q142+Q143+Q144+Q145+Q146+Q147+Q148+Q149+Q150+Q151+Q152</f>
        <v>127</v>
      </c>
      <c r="R127" s="15">
        <f>R128+R129+R130+R131+R132+R133+R134+R135+R136+R137+R138+R139+R140+R141+R142+R143+R144+R145+R147++R146+R148+R149+R150+R151+R152</f>
        <v>39</v>
      </c>
      <c r="S127" s="15">
        <f>S128+S129+S130+S131+S132+S133+S134+S135+S136+S137+S138+S139+S140+S141+S142+S143+S144+S145+S146+S147+S148+S149+S150+S151+S152</f>
        <v>88</v>
      </c>
      <c r="T127" s="16"/>
      <c r="U127" s="16"/>
      <c r="V127" s="16"/>
    </row>
    <row r="128" spans="1:22" ht="15" x14ac:dyDescent="0.15">
      <c r="A128" s="19" t="s">
        <v>95</v>
      </c>
      <c r="B128" s="21">
        <v>0</v>
      </c>
      <c r="C128" s="20">
        <v>0</v>
      </c>
      <c r="D128" s="20">
        <v>0</v>
      </c>
      <c r="E128" s="21">
        <f t="shared" si="26"/>
        <v>80</v>
      </c>
      <c r="F128" s="20">
        <v>13</v>
      </c>
      <c r="G128" s="20">
        <v>67</v>
      </c>
      <c r="H128" s="21">
        <v>0</v>
      </c>
      <c r="I128" s="20">
        <v>0</v>
      </c>
      <c r="J128" s="20">
        <v>0</v>
      </c>
      <c r="K128" s="21">
        <v>0</v>
      </c>
      <c r="L128" s="20">
        <v>0</v>
      </c>
      <c r="M128" s="20">
        <v>0</v>
      </c>
      <c r="N128" s="21">
        <v>0</v>
      </c>
      <c r="O128" s="20">
        <v>0</v>
      </c>
      <c r="P128" s="20">
        <v>0</v>
      </c>
      <c r="Q128" s="21">
        <v>0</v>
      </c>
      <c r="R128" s="20">
        <v>0</v>
      </c>
      <c r="S128" s="20">
        <v>0</v>
      </c>
      <c r="T128" s="16"/>
      <c r="U128" s="16"/>
      <c r="V128" s="16"/>
    </row>
    <row r="129" spans="1:22" ht="15" x14ac:dyDescent="0.15">
      <c r="A129" s="19" t="s">
        <v>96</v>
      </c>
      <c r="B129" s="21">
        <v>0</v>
      </c>
      <c r="C129" s="20">
        <v>0</v>
      </c>
      <c r="D129" s="20">
        <v>0</v>
      </c>
      <c r="E129" s="21">
        <f t="shared" si="26"/>
        <v>8</v>
      </c>
      <c r="F129" s="20">
        <v>0</v>
      </c>
      <c r="G129" s="20">
        <v>8</v>
      </c>
      <c r="H129" s="21">
        <v>0</v>
      </c>
      <c r="I129" s="20">
        <v>0</v>
      </c>
      <c r="J129" s="20">
        <v>0</v>
      </c>
      <c r="K129" s="21">
        <v>0</v>
      </c>
      <c r="L129" s="20">
        <v>0</v>
      </c>
      <c r="M129" s="20">
        <v>0</v>
      </c>
      <c r="N129" s="21">
        <v>0</v>
      </c>
      <c r="O129" s="20">
        <v>0</v>
      </c>
      <c r="P129" s="20">
        <v>0</v>
      </c>
      <c r="Q129" s="21">
        <v>0</v>
      </c>
      <c r="R129" s="20">
        <v>0</v>
      </c>
      <c r="S129" s="20">
        <v>0</v>
      </c>
      <c r="T129" s="16"/>
      <c r="U129" s="16"/>
      <c r="V129" s="16"/>
    </row>
    <row r="130" spans="1:22" ht="15" x14ac:dyDescent="0.15">
      <c r="A130" s="19" t="s">
        <v>97</v>
      </c>
      <c r="B130" s="21">
        <v>0</v>
      </c>
      <c r="C130" s="20">
        <v>0</v>
      </c>
      <c r="D130" s="20">
        <v>0</v>
      </c>
      <c r="E130" s="21">
        <f t="shared" si="26"/>
        <v>82</v>
      </c>
      <c r="F130" s="20">
        <v>2</v>
      </c>
      <c r="G130" s="20">
        <v>80</v>
      </c>
      <c r="H130" s="21">
        <v>0</v>
      </c>
      <c r="I130" s="20">
        <v>0</v>
      </c>
      <c r="J130" s="20">
        <v>0</v>
      </c>
      <c r="K130" s="21">
        <v>0</v>
      </c>
      <c r="L130" s="20">
        <v>0</v>
      </c>
      <c r="M130" s="20">
        <v>0</v>
      </c>
      <c r="N130" s="21">
        <v>0</v>
      </c>
      <c r="O130" s="20">
        <v>0</v>
      </c>
      <c r="P130" s="20">
        <v>0</v>
      </c>
      <c r="Q130" s="21">
        <v>0</v>
      </c>
      <c r="R130" s="20">
        <v>0</v>
      </c>
      <c r="S130" s="20">
        <v>0</v>
      </c>
      <c r="T130" s="16"/>
      <c r="U130" s="16"/>
      <c r="V130" s="16"/>
    </row>
    <row r="131" spans="1:22" ht="15" x14ac:dyDescent="0.15">
      <c r="A131" s="19" t="s">
        <v>98</v>
      </c>
      <c r="B131" s="21">
        <v>0</v>
      </c>
      <c r="C131" s="20">
        <v>0</v>
      </c>
      <c r="D131" s="20">
        <v>0</v>
      </c>
      <c r="E131" s="21">
        <v>0</v>
      </c>
      <c r="F131" s="20">
        <v>0</v>
      </c>
      <c r="G131" s="20">
        <v>0</v>
      </c>
      <c r="H131" s="21">
        <f>I131+J131</f>
        <v>27</v>
      </c>
      <c r="I131" s="20">
        <v>12</v>
      </c>
      <c r="J131" s="20">
        <v>15</v>
      </c>
      <c r="K131" s="21">
        <f t="shared" ref="K131:K149" si="40">L131+M131</f>
        <v>52</v>
      </c>
      <c r="L131" s="20">
        <f>6+10+5+12</f>
        <v>33</v>
      </c>
      <c r="M131" s="20">
        <f>5+3+8+3</f>
        <v>19</v>
      </c>
      <c r="N131" s="21">
        <f t="shared" ref="N131:N149" si="41">O131+P131</f>
        <v>46</v>
      </c>
      <c r="O131" s="20">
        <f>6+9+11+4</f>
        <v>30</v>
      </c>
      <c r="P131" s="20">
        <f>4+3+3+6</f>
        <v>16</v>
      </c>
      <c r="Q131" s="21">
        <f t="shared" ref="Q131:Q149" si="42">R131+S131</f>
        <v>10</v>
      </c>
      <c r="R131" s="20">
        <f>1</f>
        <v>1</v>
      </c>
      <c r="S131" s="20">
        <f>9</f>
        <v>9</v>
      </c>
      <c r="T131" s="16"/>
      <c r="U131" s="16"/>
      <c r="V131" s="16"/>
    </row>
    <row r="132" spans="1:22" ht="15" x14ac:dyDescent="0.15">
      <c r="A132" s="19" t="s">
        <v>99</v>
      </c>
      <c r="B132" s="21">
        <v>0</v>
      </c>
      <c r="C132" s="20">
        <v>0</v>
      </c>
      <c r="D132" s="20">
        <v>0</v>
      </c>
      <c r="E132" s="21">
        <v>0</v>
      </c>
      <c r="F132" s="20">
        <v>0</v>
      </c>
      <c r="G132" s="20">
        <v>0</v>
      </c>
      <c r="H132" s="21">
        <f>I132+J132</f>
        <v>12</v>
      </c>
      <c r="I132" s="20">
        <v>7</v>
      </c>
      <c r="J132" s="20">
        <v>5</v>
      </c>
      <c r="K132" s="21">
        <f t="shared" si="40"/>
        <v>5</v>
      </c>
      <c r="L132" s="20">
        <f>2</f>
        <v>2</v>
      </c>
      <c r="M132" s="20">
        <f>3</f>
        <v>3</v>
      </c>
      <c r="N132" s="21">
        <f t="shared" si="41"/>
        <v>5</v>
      </c>
      <c r="O132" s="20">
        <f>2</f>
        <v>2</v>
      </c>
      <c r="P132" s="20">
        <f>3</f>
        <v>3</v>
      </c>
      <c r="Q132" s="21">
        <f t="shared" si="42"/>
        <v>0</v>
      </c>
      <c r="R132" s="20">
        <v>0</v>
      </c>
      <c r="S132" s="20">
        <v>0</v>
      </c>
      <c r="T132" s="16"/>
      <c r="U132" s="16"/>
      <c r="V132" s="16"/>
    </row>
    <row r="133" spans="1:22" ht="15" x14ac:dyDescent="0.15">
      <c r="A133" s="19" t="s">
        <v>100</v>
      </c>
      <c r="B133" s="21">
        <v>0</v>
      </c>
      <c r="C133" s="20">
        <v>0</v>
      </c>
      <c r="D133" s="20">
        <v>0</v>
      </c>
      <c r="E133" s="21">
        <v>0</v>
      </c>
      <c r="F133" s="20">
        <v>0</v>
      </c>
      <c r="G133" s="20">
        <v>0</v>
      </c>
      <c r="H133" s="21">
        <f>I133+J133</f>
        <v>20</v>
      </c>
      <c r="I133" s="20">
        <v>2</v>
      </c>
      <c r="J133" s="20">
        <v>18</v>
      </c>
      <c r="K133" s="21">
        <f t="shared" si="40"/>
        <v>19</v>
      </c>
      <c r="L133" s="20">
        <v>0</v>
      </c>
      <c r="M133" s="20">
        <f>8+11</f>
        <v>19</v>
      </c>
      <c r="N133" s="21">
        <f t="shared" si="41"/>
        <v>19</v>
      </c>
      <c r="O133" s="20">
        <v>0</v>
      </c>
      <c r="P133" s="20">
        <f>8+11</f>
        <v>19</v>
      </c>
      <c r="Q133" s="21">
        <f t="shared" si="42"/>
        <v>0</v>
      </c>
      <c r="R133" s="20">
        <v>0</v>
      </c>
      <c r="S133" s="20">
        <v>0</v>
      </c>
      <c r="T133" s="16"/>
      <c r="U133" s="16"/>
      <c r="V133" s="16"/>
    </row>
    <row r="134" spans="1:22" ht="15" x14ac:dyDescent="0.15">
      <c r="A134" s="19" t="s">
        <v>101</v>
      </c>
      <c r="B134" s="21">
        <v>0</v>
      </c>
      <c r="C134" s="20">
        <v>0</v>
      </c>
      <c r="D134" s="20">
        <v>0</v>
      </c>
      <c r="E134" s="21">
        <v>0</v>
      </c>
      <c r="F134" s="20">
        <v>0</v>
      </c>
      <c r="G134" s="20">
        <v>0</v>
      </c>
      <c r="H134" s="21">
        <v>0</v>
      </c>
      <c r="I134" s="20">
        <v>0</v>
      </c>
      <c r="J134" s="20">
        <v>0</v>
      </c>
      <c r="K134" s="21">
        <f t="shared" si="40"/>
        <v>12</v>
      </c>
      <c r="L134" s="20">
        <f>6</f>
        <v>6</v>
      </c>
      <c r="M134" s="20">
        <f>6</f>
        <v>6</v>
      </c>
      <c r="N134" s="21">
        <f t="shared" si="41"/>
        <v>8</v>
      </c>
      <c r="O134" s="20">
        <f>5</f>
        <v>5</v>
      </c>
      <c r="P134" s="20">
        <f>3</f>
        <v>3</v>
      </c>
      <c r="Q134" s="21">
        <f t="shared" si="42"/>
        <v>17</v>
      </c>
      <c r="R134" s="20">
        <f>11</f>
        <v>11</v>
      </c>
      <c r="S134" s="20">
        <f>6</f>
        <v>6</v>
      </c>
      <c r="T134" s="16"/>
      <c r="U134" s="16"/>
      <c r="V134" s="16"/>
    </row>
    <row r="135" spans="1:22" ht="15" x14ac:dyDescent="0.15">
      <c r="A135" s="19" t="s">
        <v>102</v>
      </c>
      <c r="B135" s="21">
        <v>0</v>
      </c>
      <c r="C135" s="20">
        <v>0</v>
      </c>
      <c r="D135" s="20">
        <v>0</v>
      </c>
      <c r="E135" s="21">
        <v>0</v>
      </c>
      <c r="F135" s="20">
        <v>0</v>
      </c>
      <c r="G135" s="20">
        <v>0</v>
      </c>
      <c r="H135" s="21">
        <v>0</v>
      </c>
      <c r="I135" s="20">
        <v>0</v>
      </c>
      <c r="J135" s="20">
        <v>0</v>
      </c>
      <c r="K135" s="21">
        <f t="shared" si="40"/>
        <v>4</v>
      </c>
      <c r="L135" s="20">
        <f>0</f>
        <v>0</v>
      </c>
      <c r="M135" s="20">
        <f>4</f>
        <v>4</v>
      </c>
      <c r="N135" s="21">
        <f t="shared" si="41"/>
        <v>2</v>
      </c>
      <c r="O135" s="20">
        <v>0</v>
      </c>
      <c r="P135" s="20">
        <f>2</f>
        <v>2</v>
      </c>
      <c r="Q135" s="21">
        <f t="shared" si="42"/>
        <v>0</v>
      </c>
      <c r="R135" s="20">
        <v>0</v>
      </c>
      <c r="S135" s="20">
        <v>0</v>
      </c>
      <c r="T135" s="16"/>
      <c r="U135" s="16"/>
      <c r="V135" s="16"/>
    </row>
    <row r="136" spans="1:22" ht="15" x14ac:dyDescent="0.15">
      <c r="A136" s="19" t="s">
        <v>103</v>
      </c>
      <c r="B136" s="21">
        <v>0</v>
      </c>
      <c r="C136" s="20">
        <v>0</v>
      </c>
      <c r="D136" s="20">
        <v>0</v>
      </c>
      <c r="E136" s="21">
        <v>0</v>
      </c>
      <c r="F136" s="20">
        <v>0</v>
      </c>
      <c r="G136" s="20">
        <v>0</v>
      </c>
      <c r="H136" s="21">
        <v>0</v>
      </c>
      <c r="I136" s="20">
        <v>0</v>
      </c>
      <c r="J136" s="20">
        <v>0</v>
      </c>
      <c r="K136" s="21">
        <f t="shared" si="40"/>
        <v>5</v>
      </c>
      <c r="L136" s="20">
        <f>4</f>
        <v>4</v>
      </c>
      <c r="M136" s="20">
        <f>1</f>
        <v>1</v>
      </c>
      <c r="N136" s="21">
        <f t="shared" si="41"/>
        <v>5</v>
      </c>
      <c r="O136" s="20">
        <f>4</f>
        <v>4</v>
      </c>
      <c r="P136" s="20">
        <f>1</f>
        <v>1</v>
      </c>
      <c r="Q136" s="21">
        <f t="shared" si="42"/>
        <v>0</v>
      </c>
      <c r="R136" s="20">
        <v>0</v>
      </c>
      <c r="S136" s="20">
        <v>0</v>
      </c>
      <c r="T136" s="16"/>
      <c r="U136" s="16"/>
      <c r="V136" s="16"/>
    </row>
    <row r="137" spans="1:22" ht="15" x14ac:dyDescent="0.15">
      <c r="A137" s="19" t="s">
        <v>104</v>
      </c>
      <c r="B137" s="21">
        <v>0</v>
      </c>
      <c r="C137" s="20">
        <v>0</v>
      </c>
      <c r="D137" s="20">
        <v>0</v>
      </c>
      <c r="E137" s="21">
        <v>0</v>
      </c>
      <c r="F137" s="20">
        <v>0</v>
      </c>
      <c r="G137" s="20">
        <v>0</v>
      </c>
      <c r="H137" s="21">
        <v>0</v>
      </c>
      <c r="I137" s="20">
        <v>0</v>
      </c>
      <c r="J137" s="20">
        <v>0</v>
      </c>
      <c r="K137" s="21">
        <f t="shared" si="40"/>
        <v>5</v>
      </c>
      <c r="L137" s="20">
        <f>4</f>
        <v>4</v>
      </c>
      <c r="M137" s="20">
        <f>1</f>
        <v>1</v>
      </c>
      <c r="N137" s="21">
        <f t="shared" si="41"/>
        <v>5</v>
      </c>
      <c r="O137" s="20">
        <f>4</f>
        <v>4</v>
      </c>
      <c r="P137" s="20">
        <f>1</f>
        <v>1</v>
      </c>
      <c r="Q137" s="21">
        <f t="shared" si="42"/>
        <v>0</v>
      </c>
      <c r="R137" s="20">
        <v>0</v>
      </c>
      <c r="S137" s="20">
        <v>0</v>
      </c>
      <c r="T137" s="16"/>
      <c r="U137" s="16"/>
      <c r="V137" s="16"/>
    </row>
    <row r="138" spans="1:22" ht="15" x14ac:dyDescent="0.15">
      <c r="A138" s="19" t="s">
        <v>105</v>
      </c>
      <c r="B138" s="21">
        <v>0</v>
      </c>
      <c r="C138" s="20">
        <v>0</v>
      </c>
      <c r="D138" s="20">
        <v>0</v>
      </c>
      <c r="E138" s="21">
        <v>0</v>
      </c>
      <c r="F138" s="20">
        <v>0</v>
      </c>
      <c r="G138" s="20">
        <v>0</v>
      </c>
      <c r="H138" s="21">
        <v>0</v>
      </c>
      <c r="I138" s="20">
        <v>0</v>
      </c>
      <c r="J138" s="20">
        <v>0</v>
      </c>
      <c r="K138" s="21">
        <f t="shared" si="40"/>
        <v>8</v>
      </c>
      <c r="L138" s="20">
        <f>5</f>
        <v>5</v>
      </c>
      <c r="M138" s="20">
        <f>3</f>
        <v>3</v>
      </c>
      <c r="N138" s="21">
        <f t="shared" si="41"/>
        <v>3</v>
      </c>
      <c r="O138" s="20">
        <f>2</f>
        <v>2</v>
      </c>
      <c r="P138" s="20">
        <f>1</f>
        <v>1</v>
      </c>
      <c r="Q138" s="21">
        <f t="shared" si="42"/>
        <v>0</v>
      </c>
      <c r="R138" s="20">
        <v>0</v>
      </c>
      <c r="S138" s="20">
        <v>0</v>
      </c>
      <c r="T138" s="16"/>
      <c r="U138" s="16"/>
      <c r="V138" s="16"/>
    </row>
    <row r="139" spans="1:22" ht="15" x14ac:dyDescent="0.15">
      <c r="A139" s="19" t="s">
        <v>106</v>
      </c>
      <c r="B139" s="21">
        <v>0</v>
      </c>
      <c r="C139" s="20">
        <v>0</v>
      </c>
      <c r="D139" s="20">
        <v>0</v>
      </c>
      <c r="E139" s="21">
        <v>0</v>
      </c>
      <c r="F139" s="20">
        <v>0</v>
      </c>
      <c r="G139" s="20">
        <v>0</v>
      </c>
      <c r="H139" s="21">
        <v>0</v>
      </c>
      <c r="I139" s="20">
        <v>0</v>
      </c>
      <c r="J139" s="20">
        <v>0</v>
      </c>
      <c r="K139" s="21">
        <f t="shared" si="40"/>
        <v>14</v>
      </c>
      <c r="L139" s="20">
        <f>9</f>
        <v>9</v>
      </c>
      <c r="M139" s="20">
        <f>5</f>
        <v>5</v>
      </c>
      <c r="N139" s="21">
        <f t="shared" si="41"/>
        <v>13</v>
      </c>
      <c r="O139" s="20">
        <f>8</f>
        <v>8</v>
      </c>
      <c r="P139" s="20">
        <f>5</f>
        <v>5</v>
      </c>
      <c r="Q139" s="21">
        <f t="shared" si="42"/>
        <v>33</v>
      </c>
      <c r="R139" s="20">
        <f>0</f>
        <v>0</v>
      </c>
      <c r="S139" s="20">
        <f>33</f>
        <v>33</v>
      </c>
      <c r="T139" s="16"/>
      <c r="U139" s="16"/>
      <c r="V139" s="16"/>
    </row>
    <row r="140" spans="1:22" ht="15" x14ac:dyDescent="0.15">
      <c r="A140" s="19" t="s">
        <v>107</v>
      </c>
      <c r="B140" s="21">
        <v>0</v>
      </c>
      <c r="C140" s="20">
        <v>0</v>
      </c>
      <c r="D140" s="20">
        <v>0</v>
      </c>
      <c r="E140" s="21">
        <v>0</v>
      </c>
      <c r="F140" s="20">
        <v>0</v>
      </c>
      <c r="G140" s="20">
        <v>0</v>
      </c>
      <c r="H140" s="21">
        <v>0</v>
      </c>
      <c r="I140" s="20">
        <v>0</v>
      </c>
      <c r="J140" s="20">
        <v>0</v>
      </c>
      <c r="K140" s="21">
        <f t="shared" si="40"/>
        <v>2</v>
      </c>
      <c r="L140" s="20">
        <f>2</f>
        <v>2</v>
      </c>
      <c r="M140" s="20">
        <f>0</f>
        <v>0</v>
      </c>
      <c r="N140" s="21">
        <f t="shared" si="41"/>
        <v>2</v>
      </c>
      <c r="O140" s="20">
        <f>2</f>
        <v>2</v>
      </c>
      <c r="P140" s="20">
        <v>0</v>
      </c>
      <c r="Q140" s="21">
        <f t="shared" si="42"/>
        <v>0</v>
      </c>
      <c r="R140" s="20">
        <v>0</v>
      </c>
      <c r="S140" s="20">
        <v>0</v>
      </c>
      <c r="T140" s="16"/>
      <c r="U140" s="16"/>
      <c r="V140" s="16"/>
    </row>
    <row r="141" spans="1:22" ht="15" x14ac:dyDescent="0.15">
      <c r="A141" s="19" t="s">
        <v>108</v>
      </c>
      <c r="B141" s="21">
        <v>0</v>
      </c>
      <c r="C141" s="20">
        <v>0</v>
      </c>
      <c r="D141" s="20">
        <v>0</v>
      </c>
      <c r="E141" s="21">
        <v>0</v>
      </c>
      <c r="F141" s="20">
        <v>0</v>
      </c>
      <c r="G141" s="20">
        <v>0</v>
      </c>
      <c r="H141" s="21">
        <v>0</v>
      </c>
      <c r="I141" s="20">
        <v>0</v>
      </c>
      <c r="J141" s="20">
        <v>0</v>
      </c>
      <c r="K141" s="21">
        <f t="shared" si="40"/>
        <v>4</v>
      </c>
      <c r="L141" s="20">
        <f>4</f>
        <v>4</v>
      </c>
      <c r="M141" s="20">
        <f>0</f>
        <v>0</v>
      </c>
      <c r="N141" s="21">
        <f t="shared" si="41"/>
        <v>2</v>
      </c>
      <c r="O141" s="20">
        <f>2</f>
        <v>2</v>
      </c>
      <c r="P141" s="20">
        <v>0</v>
      </c>
      <c r="Q141" s="21">
        <f t="shared" si="42"/>
        <v>0</v>
      </c>
      <c r="R141" s="20">
        <v>0</v>
      </c>
      <c r="S141" s="20">
        <v>0</v>
      </c>
      <c r="T141" s="16"/>
      <c r="U141" s="16"/>
      <c r="V141" s="16"/>
    </row>
    <row r="142" spans="1:22" ht="15" x14ac:dyDescent="0.15">
      <c r="A142" s="19" t="s">
        <v>109</v>
      </c>
      <c r="B142" s="21">
        <v>0</v>
      </c>
      <c r="C142" s="20">
        <v>0</v>
      </c>
      <c r="D142" s="20">
        <v>0</v>
      </c>
      <c r="E142" s="21">
        <v>0</v>
      </c>
      <c r="F142" s="20">
        <v>0</v>
      </c>
      <c r="G142" s="20">
        <v>0</v>
      </c>
      <c r="H142" s="21">
        <v>0</v>
      </c>
      <c r="I142" s="20">
        <v>0</v>
      </c>
      <c r="J142" s="20">
        <v>0</v>
      </c>
      <c r="K142" s="21">
        <f t="shared" si="40"/>
        <v>25</v>
      </c>
      <c r="L142" s="20">
        <f>22</f>
        <v>22</v>
      </c>
      <c r="M142" s="20">
        <f>3</f>
        <v>3</v>
      </c>
      <c r="N142" s="21">
        <f t="shared" si="41"/>
        <v>20</v>
      </c>
      <c r="O142" s="20">
        <f>18</f>
        <v>18</v>
      </c>
      <c r="P142" s="20">
        <f>2</f>
        <v>2</v>
      </c>
      <c r="Q142" s="21">
        <f t="shared" si="42"/>
        <v>0</v>
      </c>
      <c r="R142" s="20">
        <v>0</v>
      </c>
      <c r="S142" s="20">
        <v>0</v>
      </c>
      <c r="T142" s="16"/>
      <c r="U142" s="16"/>
      <c r="V142" s="16"/>
    </row>
    <row r="143" spans="1:22" ht="15" x14ac:dyDescent="0.15">
      <c r="A143" s="19" t="s">
        <v>110</v>
      </c>
      <c r="B143" s="21">
        <v>0</v>
      </c>
      <c r="C143" s="20">
        <v>0</v>
      </c>
      <c r="D143" s="20">
        <v>0</v>
      </c>
      <c r="E143" s="21">
        <v>0</v>
      </c>
      <c r="F143" s="20">
        <v>0</v>
      </c>
      <c r="G143" s="20">
        <v>0</v>
      </c>
      <c r="H143" s="21">
        <v>0</v>
      </c>
      <c r="I143" s="20">
        <v>0</v>
      </c>
      <c r="J143" s="20">
        <v>0</v>
      </c>
      <c r="K143" s="21">
        <f t="shared" si="40"/>
        <v>49</v>
      </c>
      <c r="L143" s="20">
        <f>31+18</f>
        <v>49</v>
      </c>
      <c r="M143" s="20">
        <f>0</f>
        <v>0</v>
      </c>
      <c r="N143" s="21">
        <f t="shared" si="41"/>
        <v>130</v>
      </c>
      <c r="O143" s="20">
        <f>30+7+18+20+26+27</f>
        <v>128</v>
      </c>
      <c r="P143" s="20">
        <v>2</v>
      </c>
      <c r="Q143" s="21">
        <f t="shared" si="42"/>
        <v>9</v>
      </c>
      <c r="R143" s="20">
        <f>9</f>
        <v>9</v>
      </c>
      <c r="S143" s="20">
        <v>0</v>
      </c>
      <c r="T143" s="16"/>
      <c r="U143" s="16"/>
      <c r="V143" s="16"/>
    </row>
    <row r="144" spans="1:22" ht="15" x14ac:dyDescent="0.15">
      <c r="A144" s="19" t="s">
        <v>111</v>
      </c>
      <c r="B144" s="21">
        <v>0</v>
      </c>
      <c r="C144" s="20">
        <v>0</v>
      </c>
      <c r="D144" s="20">
        <v>0</v>
      </c>
      <c r="E144" s="21">
        <v>0</v>
      </c>
      <c r="F144" s="20">
        <v>0</v>
      </c>
      <c r="G144" s="20">
        <v>0</v>
      </c>
      <c r="H144" s="21">
        <v>0</v>
      </c>
      <c r="I144" s="20">
        <v>0</v>
      </c>
      <c r="J144" s="20">
        <v>0</v>
      </c>
      <c r="K144" s="21">
        <f t="shared" si="40"/>
        <v>8</v>
      </c>
      <c r="L144" s="20">
        <f>8</f>
        <v>8</v>
      </c>
      <c r="M144" s="20">
        <f>0</f>
        <v>0</v>
      </c>
      <c r="N144" s="21">
        <f t="shared" si="41"/>
        <v>6</v>
      </c>
      <c r="O144" s="20">
        <f>6</f>
        <v>6</v>
      </c>
      <c r="P144" s="20">
        <v>0</v>
      </c>
      <c r="Q144" s="21">
        <f t="shared" si="42"/>
        <v>0</v>
      </c>
      <c r="R144" s="20">
        <v>0</v>
      </c>
      <c r="S144" s="20">
        <v>0</v>
      </c>
      <c r="T144" s="16"/>
      <c r="U144" s="16"/>
      <c r="V144" s="16"/>
    </row>
    <row r="145" spans="1:22" ht="15" x14ac:dyDescent="0.15">
      <c r="A145" s="19" t="s">
        <v>112</v>
      </c>
      <c r="B145" s="21">
        <v>0</v>
      </c>
      <c r="C145" s="20">
        <v>0</v>
      </c>
      <c r="D145" s="20">
        <v>0</v>
      </c>
      <c r="E145" s="21">
        <v>0</v>
      </c>
      <c r="F145" s="20">
        <v>0</v>
      </c>
      <c r="G145" s="20">
        <v>0</v>
      </c>
      <c r="H145" s="21">
        <v>0</v>
      </c>
      <c r="I145" s="20">
        <v>0</v>
      </c>
      <c r="J145" s="20">
        <v>0</v>
      </c>
      <c r="K145" s="21">
        <f t="shared" si="40"/>
        <v>5</v>
      </c>
      <c r="L145" s="20">
        <f>5</f>
        <v>5</v>
      </c>
      <c r="M145" s="20">
        <f>0</f>
        <v>0</v>
      </c>
      <c r="N145" s="21">
        <f t="shared" si="41"/>
        <v>1</v>
      </c>
      <c r="O145" s="20">
        <f>1</f>
        <v>1</v>
      </c>
      <c r="P145" s="20">
        <v>0</v>
      </c>
      <c r="Q145" s="21">
        <f t="shared" si="42"/>
        <v>0</v>
      </c>
      <c r="R145" s="20">
        <v>0</v>
      </c>
      <c r="S145" s="20">
        <v>0</v>
      </c>
      <c r="T145" s="16"/>
      <c r="U145" s="16"/>
      <c r="V145" s="16"/>
    </row>
    <row r="146" spans="1:22" ht="15" x14ac:dyDescent="0.15">
      <c r="A146" s="19" t="s">
        <v>113</v>
      </c>
      <c r="B146" s="21">
        <v>0</v>
      </c>
      <c r="C146" s="20">
        <v>0</v>
      </c>
      <c r="D146" s="20">
        <v>0</v>
      </c>
      <c r="E146" s="21">
        <v>0</v>
      </c>
      <c r="F146" s="20">
        <v>0</v>
      </c>
      <c r="G146" s="20">
        <v>0</v>
      </c>
      <c r="H146" s="21">
        <v>0</v>
      </c>
      <c r="I146" s="20">
        <v>0</v>
      </c>
      <c r="J146" s="20">
        <v>0</v>
      </c>
      <c r="K146" s="21">
        <f t="shared" si="40"/>
        <v>24</v>
      </c>
      <c r="L146" s="20">
        <f>10+14</f>
        <v>24</v>
      </c>
      <c r="M146" s="20">
        <f>0</f>
        <v>0</v>
      </c>
      <c r="N146" s="21">
        <f t="shared" si="41"/>
        <v>16</v>
      </c>
      <c r="O146" s="20">
        <f>4+12</f>
        <v>16</v>
      </c>
      <c r="P146" s="20">
        <v>0</v>
      </c>
      <c r="Q146" s="21">
        <f t="shared" si="42"/>
        <v>0</v>
      </c>
      <c r="R146" s="20">
        <v>0</v>
      </c>
      <c r="S146" s="20">
        <v>0</v>
      </c>
      <c r="T146" s="16"/>
      <c r="U146" s="16"/>
      <c r="V146" s="16"/>
    </row>
    <row r="147" spans="1:22" ht="15" x14ac:dyDescent="0.15">
      <c r="A147" s="19" t="s">
        <v>114</v>
      </c>
      <c r="B147" s="21">
        <v>0</v>
      </c>
      <c r="C147" s="20">
        <v>0</v>
      </c>
      <c r="D147" s="20">
        <v>0</v>
      </c>
      <c r="E147" s="21">
        <v>0</v>
      </c>
      <c r="F147" s="20">
        <v>0</v>
      </c>
      <c r="G147" s="20">
        <v>0</v>
      </c>
      <c r="H147" s="21">
        <v>0</v>
      </c>
      <c r="I147" s="20">
        <v>0</v>
      </c>
      <c r="J147" s="20">
        <v>0</v>
      </c>
      <c r="K147" s="21">
        <f t="shared" si="40"/>
        <v>6</v>
      </c>
      <c r="L147" s="20">
        <f>6</f>
        <v>6</v>
      </c>
      <c r="M147" s="20">
        <f>0</f>
        <v>0</v>
      </c>
      <c r="N147" s="21">
        <f t="shared" si="41"/>
        <v>46</v>
      </c>
      <c r="O147" s="20">
        <f>2+28+16</f>
        <v>46</v>
      </c>
      <c r="P147" s="20">
        <v>0</v>
      </c>
      <c r="Q147" s="21">
        <f t="shared" si="42"/>
        <v>11</v>
      </c>
      <c r="R147" s="20">
        <f>11</f>
        <v>11</v>
      </c>
      <c r="S147" s="20">
        <f>0</f>
        <v>0</v>
      </c>
      <c r="T147" s="16"/>
      <c r="U147" s="16"/>
      <c r="V147" s="16"/>
    </row>
    <row r="148" spans="1:22" ht="15" x14ac:dyDescent="0.15">
      <c r="A148" s="19" t="s">
        <v>115</v>
      </c>
      <c r="B148" s="21">
        <v>0</v>
      </c>
      <c r="C148" s="20">
        <v>0</v>
      </c>
      <c r="D148" s="20">
        <v>0</v>
      </c>
      <c r="E148" s="21">
        <v>0</v>
      </c>
      <c r="F148" s="20">
        <v>0</v>
      </c>
      <c r="G148" s="20">
        <v>0</v>
      </c>
      <c r="H148" s="21">
        <v>0</v>
      </c>
      <c r="I148" s="20">
        <v>0</v>
      </c>
      <c r="J148" s="20">
        <v>0</v>
      </c>
      <c r="K148" s="21">
        <f t="shared" si="40"/>
        <v>12</v>
      </c>
      <c r="L148" s="20">
        <f>12</f>
        <v>12</v>
      </c>
      <c r="M148" s="20">
        <f>0</f>
        <v>0</v>
      </c>
      <c r="N148" s="21">
        <f t="shared" si="41"/>
        <v>7</v>
      </c>
      <c r="O148" s="20">
        <f>7</f>
        <v>7</v>
      </c>
      <c r="P148" s="20">
        <v>0</v>
      </c>
      <c r="Q148" s="21">
        <f t="shared" si="42"/>
        <v>0</v>
      </c>
      <c r="R148" s="20">
        <v>0</v>
      </c>
      <c r="S148" s="20">
        <v>0</v>
      </c>
      <c r="T148" s="16"/>
      <c r="U148" s="16"/>
      <c r="V148" s="16"/>
    </row>
    <row r="149" spans="1:22" ht="15" x14ac:dyDescent="0.15">
      <c r="A149" s="19" t="s">
        <v>132</v>
      </c>
      <c r="B149" s="21">
        <v>0</v>
      </c>
      <c r="C149" s="20">
        <v>0</v>
      </c>
      <c r="D149" s="20">
        <v>0</v>
      </c>
      <c r="E149" s="21">
        <v>0</v>
      </c>
      <c r="F149" s="20">
        <v>0</v>
      </c>
      <c r="G149" s="20">
        <v>0</v>
      </c>
      <c r="H149" s="21">
        <v>0</v>
      </c>
      <c r="I149" s="20">
        <v>0</v>
      </c>
      <c r="J149" s="20">
        <v>0</v>
      </c>
      <c r="K149" s="21">
        <f t="shared" si="40"/>
        <v>21</v>
      </c>
      <c r="L149" s="20">
        <f>1</f>
        <v>1</v>
      </c>
      <c r="M149" s="20">
        <f>20</f>
        <v>20</v>
      </c>
      <c r="N149" s="21">
        <f t="shared" si="41"/>
        <v>26</v>
      </c>
      <c r="O149" s="20">
        <v>0</v>
      </c>
      <c r="P149" s="20">
        <f>6+20</f>
        <v>26</v>
      </c>
      <c r="Q149" s="21">
        <f t="shared" si="42"/>
        <v>40</v>
      </c>
      <c r="R149" s="20">
        <f>0</f>
        <v>0</v>
      </c>
      <c r="S149" s="20">
        <f>21+19</f>
        <v>40</v>
      </c>
      <c r="T149" s="16"/>
      <c r="U149" s="16"/>
      <c r="V149" s="16"/>
    </row>
    <row r="150" spans="1:22" ht="15" x14ac:dyDescent="0.15">
      <c r="A150" s="19" t="s">
        <v>133</v>
      </c>
      <c r="B150" s="21">
        <v>0</v>
      </c>
      <c r="C150" s="20">
        <v>0</v>
      </c>
      <c r="D150" s="20">
        <v>0</v>
      </c>
      <c r="E150" s="21">
        <v>0</v>
      </c>
      <c r="F150" s="20">
        <v>0</v>
      </c>
      <c r="G150" s="20">
        <v>0</v>
      </c>
      <c r="H150" s="21">
        <v>0</v>
      </c>
      <c r="I150" s="20">
        <v>0</v>
      </c>
      <c r="J150" s="20">
        <v>0</v>
      </c>
      <c r="K150" s="21">
        <v>0</v>
      </c>
      <c r="L150" s="20">
        <v>0</v>
      </c>
      <c r="M150" s="20">
        <v>0</v>
      </c>
      <c r="N150" s="21">
        <f>O150+P150</f>
        <v>10</v>
      </c>
      <c r="O150" s="20">
        <f>2</f>
        <v>2</v>
      </c>
      <c r="P150" s="20">
        <f>8</f>
        <v>8</v>
      </c>
      <c r="Q150" s="21">
        <f>R150+S150</f>
        <v>0</v>
      </c>
      <c r="R150" s="20">
        <v>0</v>
      </c>
      <c r="S150" s="20">
        <v>0</v>
      </c>
      <c r="T150" s="16"/>
      <c r="U150" s="16"/>
      <c r="V150" s="16"/>
    </row>
    <row r="151" spans="1:22" ht="15" x14ac:dyDescent="0.15">
      <c r="A151" s="19" t="s">
        <v>134</v>
      </c>
      <c r="B151" s="21">
        <v>0</v>
      </c>
      <c r="C151" s="20">
        <v>0</v>
      </c>
      <c r="D151" s="20">
        <v>0</v>
      </c>
      <c r="E151" s="21">
        <v>0</v>
      </c>
      <c r="F151" s="20">
        <v>0</v>
      </c>
      <c r="G151" s="20">
        <v>0</v>
      </c>
      <c r="H151" s="21">
        <v>0</v>
      </c>
      <c r="I151" s="20">
        <v>0</v>
      </c>
      <c r="J151" s="20">
        <v>0</v>
      </c>
      <c r="K151" s="21">
        <v>0</v>
      </c>
      <c r="L151" s="20">
        <v>0</v>
      </c>
      <c r="M151" s="20">
        <v>0</v>
      </c>
      <c r="N151" s="21">
        <f>O151</f>
        <v>32</v>
      </c>
      <c r="O151" s="20">
        <f>15+17</f>
        <v>32</v>
      </c>
      <c r="P151" s="20">
        <v>0</v>
      </c>
      <c r="Q151" s="21">
        <f>R151</f>
        <v>0</v>
      </c>
      <c r="R151" s="20">
        <v>0</v>
      </c>
      <c r="S151" s="20">
        <v>0</v>
      </c>
      <c r="T151" s="16"/>
      <c r="U151" s="16"/>
      <c r="V151" s="16"/>
    </row>
    <row r="152" spans="1:22" ht="15" x14ac:dyDescent="0.15">
      <c r="A152" s="19" t="s">
        <v>135</v>
      </c>
      <c r="B152" s="21">
        <v>0</v>
      </c>
      <c r="C152" s="20">
        <v>0</v>
      </c>
      <c r="D152" s="20">
        <v>0</v>
      </c>
      <c r="E152" s="21">
        <v>0</v>
      </c>
      <c r="F152" s="20">
        <v>0</v>
      </c>
      <c r="G152" s="20">
        <v>0</v>
      </c>
      <c r="H152" s="21">
        <v>0</v>
      </c>
      <c r="I152" s="20">
        <v>0</v>
      </c>
      <c r="J152" s="20">
        <v>0</v>
      </c>
      <c r="K152" s="21">
        <v>0</v>
      </c>
      <c r="L152" s="20">
        <v>0</v>
      </c>
      <c r="M152" s="20">
        <v>0</v>
      </c>
      <c r="N152" s="21">
        <f>O152</f>
        <v>7</v>
      </c>
      <c r="O152" s="20">
        <f>7</f>
        <v>7</v>
      </c>
      <c r="P152" s="20">
        <v>0</v>
      </c>
      <c r="Q152" s="21">
        <f>R152</f>
        <v>7</v>
      </c>
      <c r="R152" s="20">
        <f>7</f>
        <v>7</v>
      </c>
      <c r="S152" s="20">
        <f>0</f>
        <v>0</v>
      </c>
      <c r="T152" s="16"/>
      <c r="U152" s="16"/>
      <c r="V152" s="16"/>
    </row>
    <row r="153" spans="1:22" ht="15" x14ac:dyDescent="0.15">
      <c r="A153" s="14" t="s">
        <v>9</v>
      </c>
      <c r="B153" s="13">
        <v>0</v>
      </c>
      <c r="C153" s="15">
        <v>0</v>
      </c>
      <c r="D153" s="15">
        <v>0</v>
      </c>
      <c r="E153" s="13">
        <v>0</v>
      </c>
      <c r="F153" s="15">
        <v>0</v>
      </c>
      <c r="G153" s="15">
        <v>0</v>
      </c>
      <c r="H153" s="13">
        <f>H154+H155+H156</f>
        <v>54</v>
      </c>
      <c r="I153" s="15">
        <f>I154+I155+I156</f>
        <v>41</v>
      </c>
      <c r="J153" s="15">
        <f>J154</f>
        <v>13</v>
      </c>
      <c r="K153" s="13">
        <f t="shared" ref="K153:P153" si="43">K154+K155+K156+K157+K158+K159</f>
        <v>89</v>
      </c>
      <c r="L153" s="15">
        <f t="shared" si="43"/>
        <v>77</v>
      </c>
      <c r="M153" s="15">
        <f t="shared" si="43"/>
        <v>12</v>
      </c>
      <c r="N153" s="13">
        <f t="shared" si="43"/>
        <v>51</v>
      </c>
      <c r="O153" s="15">
        <f t="shared" si="43"/>
        <v>51</v>
      </c>
      <c r="P153" s="15">
        <f t="shared" si="43"/>
        <v>0</v>
      </c>
      <c r="Q153" s="13">
        <f>Q154+Q155+Q156+Q157+Q158+Q159+Q160</f>
        <v>104</v>
      </c>
      <c r="R153" s="15">
        <f>R154+R155+R156+R157+R158+R159+R160</f>
        <v>103</v>
      </c>
      <c r="S153" s="15">
        <f t="shared" ref="S153" si="44">S154+S155+S156+S157+S158+S159</f>
        <v>1</v>
      </c>
      <c r="T153" s="16"/>
      <c r="U153" s="16"/>
      <c r="V153" s="16"/>
    </row>
    <row r="154" spans="1:22" ht="15" x14ac:dyDescent="0.15">
      <c r="A154" s="19" t="s">
        <v>116</v>
      </c>
      <c r="B154" s="21">
        <v>0</v>
      </c>
      <c r="C154" s="20">
        <v>0</v>
      </c>
      <c r="D154" s="20">
        <v>0</v>
      </c>
      <c r="E154" s="21">
        <v>0</v>
      </c>
      <c r="F154" s="20">
        <v>0</v>
      </c>
      <c r="G154" s="20">
        <v>0</v>
      </c>
      <c r="H154" s="21">
        <f>I154+J154</f>
        <v>23</v>
      </c>
      <c r="I154" s="20">
        <v>10</v>
      </c>
      <c r="J154" s="20">
        <v>13</v>
      </c>
      <c r="K154" s="21">
        <f t="shared" ref="K154:K162" si="45">L154+M154</f>
        <v>0</v>
      </c>
      <c r="L154" s="20">
        <v>0</v>
      </c>
      <c r="M154" s="20">
        <v>0</v>
      </c>
      <c r="N154" s="21">
        <f t="shared" ref="N154:N162" si="46">O154+P154</f>
        <v>0</v>
      </c>
      <c r="O154" s="20">
        <v>0</v>
      </c>
      <c r="P154" s="20">
        <v>0</v>
      </c>
      <c r="Q154" s="21">
        <f t="shared" ref="Q154:Q162" si="47">R154+S154</f>
        <v>0</v>
      </c>
      <c r="R154" s="20">
        <v>0</v>
      </c>
      <c r="S154" s="20">
        <v>0</v>
      </c>
      <c r="T154" s="16"/>
      <c r="U154" s="16"/>
      <c r="V154" s="16"/>
    </row>
    <row r="155" spans="1:22" ht="15" x14ac:dyDescent="0.15">
      <c r="A155" s="19" t="s">
        <v>64</v>
      </c>
      <c r="B155" s="21">
        <v>0</v>
      </c>
      <c r="C155" s="20">
        <v>0</v>
      </c>
      <c r="D155" s="20">
        <v>0</v>
      </c>
      <c r="E155" s="21">
        <v>0</v>
      </c>
      <c r="F155" s="20">
        <v>0</v>
      </c>
      <c r="G155" s="20">
        <v>0</v>
      </c>
      <c r="H155" s="21">
        <f>I155+J155</f>
        <v>16</v>
      </c>
      <c r="I155" s="20">
        <v>16</v>
      </c>
      <c r="J155" s="20">
        <v>0</v>
      </c>
      <c r="K155" s="21">
        <f t="shared" si="45"/>
        <v>12</v>
      </c>
      <c r="L155" s="20">
        <f>12</f>
        <v>12</v>
      </c>
      <c r="M155" s="20">
        <v>0</v>
      </c>
      <c r="N155" s="21">
        <f t="shared" si="46"/>
        <v>36</v>
      </c>
      <c r="O155" s="20">
        <f>12+24</f>
        <v>36</v>
      </c>
      <c r="P155" s="20">
        <v>0</v>
      </c>
      <c r="Q155" s="21">
        <f t="shared" si="47"/>
        <v>87</v>
      </c>
      <c r="R155" s="20">
        <f>18+27+15+26</f>
        <v>86</v>
      </c>
      <c r="S155" s="20">
        <f>1</f>
        <v>1</v>
      </c>
      <c r="T155" s="16"/>
      <c r="U155" s="16"/>
      <c r="V155" s="16"/>
    </row>
    <row r="156" spans="1:22" ht="15" x14ac:dyDescent="0.15">
      <c r="A156" s="19" t="s">
        <v>117</v>
      </c>
      <c r="B156" s="21">
        <v>0</v>
      </c>
      <c r="C156" s="20">
        <v>0</v>
      </c>
      <c r="D156" s="20">
        <v>0</v>
      </c>
      <c r="E156" s="21">
        <v>0</v>
      </c>
      <c r="F156" s="20">
        <v>0</v>
      </c>
      <c r="G156" s="20">
        <v>0</v>
      </c>
      <c r="H156" s="21">
        <f>I156+J156</f>
        <v>15</v>
      </c>
      <c r="I156" s="20">
        <v>15</v>
      </c>
      <c r="J156" s="20">
        <v>0</v>
      </c>
      <c r="K156" s="21">
        <f t="shared" si="45"/>
        <v>17</v>
      </c>
      <c r="L156" s="20">
        <f>17</f>
        <v>17</v>
      </c>
      <c r="M156" s="20">
        <v>0</v>
      </c>
      <c r="N156" s="21">
        <f t="shared" si="46"/>
        <v>0</v>
      </c>
      <c r="O156" s="20">
        <v>0</v>
      </c>
      <c r="P156" s="20">
        <v>0</v>
      </c>
      <c r="Q156" s="21">
        <f t="shared" si="47"/>
        <v>0</v>
      </c>
      <c r="R156" s="20">
        <v>0</v>
      </c>
      <c r="S156" s="20">
        <v>0</v>
      </c>
      <c r="T156" s="16"/>
      <c r="U156" s="16"/>
      <c r="V156" s="16"/>
    </row>
    <row r="157" spans="1:22" ht="15" x14ac:dyDescent="0.15">
      <c r="A157" s="19" t="s">
        <v>118</v>
      </c>
      <c r="B157" s="21">
        <v>0</v>
      </c>
      <c r="C157" s="20">
        <v>0</v>
      </c>
      <c r="D157" s="20">
        <v>0</v>
      </c>
      <c r="E157" s="21">
        <v>0</v>
      </c>
      <c r="F157" s="20">
        <v>0</v>
      </c>
      <c r="G157" s="20">
        <v>0</v>
      </c>
      <c r="H157" s="21">
        <v>0</v>
      </c>
      <c r="I157" s="20">
        <v>0</v>
      </c>
      <c r="J157" s="20">
        <v>0</v>
      </c>
      <c r="K157" s="21">
        <f t="shared" si="45"/>
        <v>19</v>
      </c>
      <c r="L157" s="20">
        <f>19</f>
        <v>19</v>
      </c>
      <c r="M157" s="20">
        <v>0</v>
      </c>
      <c r="N157" s="21">
        <f t="shared" si="46"/>
        <v>15</v>
      </c>
      <c r="O157" s="20">
        <v>15</v>
      </c>
      <c r="P157" s="20">
        <v>0</v>
      </c>
      <c r="Q157" s="21">
        <f t="shared" si="47"/>
        <v>0</v>
      </c>
      <c r="R157" s="20">
        <v>0</v>
      </c>
      <c r="S157" s="20">
        <v>0</v>
      </c>
      <c r="T157" s="16"/>
      <c r="U157" s="16"/>
      <c r="V157" s="16"/>
    </row>
    <row r="158" spans="1:22" ht="15" x14ac:dyDescent="0.15">
      <c r="A158" s="19" t="s">
        <v>119</v>
      </c>
      <c r="B158" s="21">
        <v>0</v>
      </c>
      <c r="C158" s="20">
        <v>0</v>
      </c>
      <c r="D158" s="20">
        <v>0</v>
      </c>
      <c r="E158" s="21">
        <v>0</v>
      </c>
      <c r="F158" s="20">
        <v>0</v>
      </c>
      <c r="G158" s="20">
        <v>0</v>
      </c>
      <c r="H158" s="21">
        <v>0</v>
      </c>
      <c r="I158" s="20">
        <v>0</v>
      </c>
      <c r="J158" s="20">
        <v>0</v>
      </c>
      <c r="K158" s="21">
        <f t="shared" si="45"/>
        <v>12</v>
      </c>
      <c r="L158" s="20">
        <f>9</f>
        <v>9</v>
      </c>
      <c r="M158" s="20">
        <f>3</f>
        <v>3</v>
      </c>
      <c r="N158" s="21">
        <f t="shared" si="46"/>
        <v>0</v>
      </c>
      <c r="O158" s="20">
        <v>0</v>
      </c>
      <c r="P158" s="20">
        <v>0</v>
      </c>
      <c r="Q158" s="21">
        <f t="shared" si="47"/>
        <v>0</v>
      </c>
      <c r="R158" s="20">
        <v>0</v>
      </c>
      <c r="S158" s="20">
        <v>0</v>
      </c>
      <c r="T158" s="16"/>
      <c r="U158" s="16"/>
      <c r="V158" s="16"/>
    </row>
    <row r="159" spans="1:22" ht="15" x14ac:dyDescent="0.15">
      <c r="A159" s="19" t="s">
        <v>120</v>
      </c>
      <c r="B159" s="21">
        <v>0</v>
      </c>
      <c r="C159" s="20">
        <v>0</v>
      </c>
      <c r="D159" s="20">
        <v>0</v>
      </c>
      <c r="E159" s="21">
        <v>0</v>
      </c>
      <c r="F159" s="20">
        <v>0</v>
      </c>
      <c r="G159" s="20">
        <v>0</v>
      </c>
      <c r="H159" s="21">
        <v>0</v>
      </c>
      <c r="I159" s="20">
        <v>0</v>
      </c>
      <c r="J159" s="20">
        <v>0</v>
      </c>
      <c r="K159" s="21">
        <f t="shared" si="45"/>
        <v>29</v>
      </c>
      <c r="L159" s="20">
        <f>20</f>
        <v>20</v>
      </c>
      <c r="M159" s="20">
        <f>9</f>
        <v>9</v>
      </c>
      <c r="N159" s="21">
        <f t="shared" si="46"/>
        <v>0</v>
      </c>
      <c r="O159" s="20">
        <v>0</v>
      </c>
      <c r="P159" s="20">
        <v>0</v>
      </c>
      <c r="Q159" s="21">
        <f t="shared" si="47"/>
        <v>0</v>
      </c>
      <c r="R159" s="20">
        <v>0</v>
      </c>
      <c r="S159" s="20">
        <v>0</v>
      </c>
      <c r="T159" s="16"/>
      <c r="U159" s="16"/>
      <c r="V159" s="16"/>
    </row>
    <row r="160" spans="1:22" ht="15" x14ac:dyDescent="0.15">
      <c r="A160" s="19" t="s">
        <v>136</v>
      </c>
      <c r="B160" s="21">
        <v>0</v>
      </c>
      <c r="C160" s="20">
        <v>0</v>
      </c>
      <c r="D160" s="20">
        <v>0</v>
      </c>
      <c r="E160" s="21">
        <v>0</v>
      </c>
      <c r="F160" s="20">
        <v>0</v>
      </c>
      <c r="G160" s="20">
        <v>0</v>
      </c>
      <c r="H160" s="21">
        <v>0</v>
      </c>
      <c r="I160" s="20">
        <v>0</v>
      </c>
      <c r="J160" s="20">
        <v>0</v>
      </c>
      <c r="K160" s="21">
        <v>0</v>
      </c>
      <c r="L160" s="20">
        <v>0</v>
      </c>
      <c r="M160" s="20"/>
      <c r="N160" s="21">
        <v>0</v>
      </c>
      <c r="O160" s="20">
        <v>0</v>
      </c>
      <c r="P160" s="20">
        <v>0</v>
      </c>
      <c r="Q160" s="21">
        <f>R160+S1573</f>
        <v>17</v>
      </c>
      <c r="R160" s="20">
        <f>17</f>
        <v>17</v>
      </c>
      <c r="S160" s="20">
        <v>0</v>
      </c>
      <c r="T160" s="16"/>
      <c r="U160" s="16"/>
      <c r="V160" s="16"/>
    </row>
    <row r="161" spans="1:22" s="32" customFormat="1" ht="15" x14ac:dyDescent="0.15">
      <c r="A161" s="14" t="s">
        <v>121</v>
      </c>
      <c r="B161" s="13">
        <f t="shared" si="38"/>
        <v>0</v>
      </c>
      <c r="C161" s="15">
        <v>0</v>
      </c>
      <c r="D161" s="15">
        <v>0</v>
      </c>
      <c r="E161" s="13">
        <f t="shared" si="26"/>
        <v>0</v>
      </c>
      <c r="F161" s="15">
        <v>0</v>
      </c>
      <c r="G161" s="15">
        <v>0</v>
      </c>
      <c r="H161" s="13">
        <f t="shared" si="27"/>
        <v>0</v>
      </c>
      <c r="I161" s="15">
        <v>0</v>
      </c>
      <c r="J161" s="15">
        <v>0</v>
      </c>
      <c r="K161" s="13">
        <f t="shared" si="45"/>
        <v>0</v>
      </c>
      <c r="L161" s="15">
        <v>0</v>
      </c>
      <c r="M161" s="15">
        <v>0</v>
      </c>
      <c r="N161" s="13">
        <f t="shared" si="46"/>
        <v>0</v>
      </c>
      <c r="O161" s="15">
        <v>0</v>
      </c>
      <c r="P161" s="15">
        <v>0</v>
      </c>
      <c r="Q161" s="13">
        <f t="shared" si="47"/>
        <v>0</v>
      </c>
      <c r="R161" s="15">
        <v>0</v>
      </c>
      <c r="S161" s="15">
        <v>0</v>
      </c>
      <c r="T161" s="31"/>
      <c r="U161" s="31"/>
      <c r="V161" s="31"/>
    </row>
    <row r="162" spans="1:22" ht="15" x14ac:dyDescent="0.15">
      <c r="A162" s="33" t="s">
        <v>122</v>
      </c>
      <c r="B162" s="35">
        <f t="shared" si="38"/>
        <v>0</v>
      </c>
      <c r="C162" s="34">
        <v>0</v>
      </c>
      <c r="D162" s="34">
        <v>0</v>
      </c>
      <c r="E162" s="35">
        <f t="shared" si="26"/>
        <v>0</v>
      </c>
      <c r="F162" s="34">
        <v>0</v>
      </c>
      <c r="G162" s="34">
        <v>0</v>
      </c>
      <c r="H162" s="35">
        <f t="shared" si="27"/>
        <v>0</v>
      </c>
      <c r="I162" s="34">
        <v>0</v>
      </c>
      <c r="J162" s="34">
        <v>0</v>
      </c>
      <c r="K162" s="35">
        <f t="shared" si="45"/>
        <v>0</v>
      </c>
      <c r="L162" s="34">
        <v>0</v>
      </c>
      <c r="M162" s="34">
        <v>0</v>
      </c>
      <c r="N162" s="35">
        <f t="shared" si="46"/>
        <v>0</v>
      </c>
      <c r="O162" s="34">
        <v>0</v>
      </c>
      <c r="P162" s="34">
        <v>0</v>
      </c>
      <c r="Q162" s="35">
        <f t="shared" si="47"/>
        <v>0</v>
      </c>
      <c r="R162" s="34">
        <v>0</v>
      </c>
      <c r="S162" s="34">
        <v>0</v>
      </c>
      <c r="T162" s="16"/>
      <c r="U162" s="16"/>
      <c r="V162" s="16"/>
    </row>
    <row r="163" spans="1:22" s="10" customFormat="1" ht="15" x14ac:dyDescent="0.15">
      <c r="A163" s="22" t="s">
        <v>123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4"/>
      <c r="U163" s="4"/>
      <c r="V163" s="4"/>
    </row>
    <row r="164" spans="1:22" s="10" customFormat="1" ht="15" x14ac:dyDescent="0.2">
      <c r="A164" s="23" t="s">
        <v>124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4"/>
      <c r="U164" s="4"/>
      <c r="V164" s="4"/>
    </row>
    <row r="165" spans="1:22" s="10" customFormat="1" ht="12.75" x14ac:dyDescent="0.15">
      <c r="A165" s="24" t="s">
        <v>12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s="10" customFormat="1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5" x14ac:dyDescent="0.15">
      <c r="A167" s="9"/>
      <c r="B167" s="9"/>
      <c r="C167" s="9"/>
      <c r="D167" s="25"/>
      <c r="E167" s="9"/>
      <c r="F167" s="9"/>
      <c r="G167" s="25"/>
      <c r="H167" s="9"/>
      <c r="I167" s="9"/>
      <c r="J167" s="25"/>
      <c r="K167" s="9"/>
      <c r="L167" s="9"/>
      <c r="M167" s="25"/>
      <c r="N167" s="9"/>
      <c r="O167" s="9"/>
      <c r="P167" s="25"/>
      <c r="Q167" s="9"/>
      <c r="R167" s="9"/>
      <c r="S167" s="25"/>
      <c r="T167" s="9"/>
      <c r="U167" s="9"/>
      <c r="V167" s="9"/>
    </row>
    <row r="168" spans="1:22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</sheetData>
  <mergeCells count="10">
    <mergeCell ref="A2:S2"/>
    <mergeCell ref="A3:S3"/>
    <mergeCell ref="N5:P5"/>
    <mergeCell ref="Q5:S5"/>
    <mergeCell ref="V14:AN14"/>
    <mergeCell ref="A5:A6"/>
    <mergeCell ref="B5:D5"/>
    <mergeCell ref="E5:G5"/>
    <mergeCell ref="H5:J5"/>
    <mergeCell ref="K5:M5"/>
  </mergeCells>
  <pageMargins left="0.7" right="0.7" top="0.75" bottom="0.75" header="0.3" footer="0.3"/>
  <pageSetup paperSize="9" scale="38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7.25</vt:lpstr>
      <vt:lpstr>'7.25'!Print_Area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2024-10-22T04:12:17Z</cp:lastPrinted>
  <dcterms:created xsi:type="dcterms:W3CDTF">2019-02-28T08:20:57Z</dcterms:created>
  <dcterms:modified xsi:type="dcterms:W3CDTF">2024-10-22T04:12:24Z</dcterms:modified>
</cp:coreProperties>
</file>