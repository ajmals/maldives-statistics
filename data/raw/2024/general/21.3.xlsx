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higher Edu\"/>
    </mc:Choice>
  </mc:AlternateContent>
  <xr:revisionPtr revIDLastSave="0" documentId="13_ncr:1_{36E503B0-C8B1-44BC-801A-C4A9D0DE6477}" xr6:coauthVersionLast="47" xr6:coauthVersionMax="47" xr10:uidLastSave="{00000000-0000-0000-0000-000000000000}"/>
  <bookViews>
    <workbookView xWindow="-120" yWindow="-120" windowWidth="29040" windowHeight="15720" tabRatio="837" xr2:uid="{00000000-000D-0000-FFFF-FFFF00000000}"/>
  </bookViews>
  <sheets>
    <sheet name="21.3" sheetId="36" r:id="rId1"/>
  </sheets>
  <definedNames>
    <definedName name="_xlnm.Print_Area" localSheetId="0">'21.3'!$A$1:$W$54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2" i="36" l="1"/>
  <c r="P22" i="36"/>
  <c r="O22" i="36"/>
  <c r="J22" i="36"/>
  <c r="F22" i="36"/>
  <c r="R21" i="36"/>
  <c r="P21" i="36"/>
  <c r="O21" i="36"/>
  <c r="J21" i="36"/>
  <c r="F21" i="36"/>
  <c r="R20" i="36"/>
  <c r="P20" i="36"/>
  <c r="O20" i="36"/>
  <c r="J20" i="36"/>
  <c r="F20" i="36"/>
  <c r="R19" i="36"/>
  <c r="P19" i="36"/>
  <c r="O19" i="36"/>
  <c r="J19" i="36"/>
  <c r="F19" i="36"/>
  <c r="R18" i="36"/>
  <c r="P18" i="36"/>
  <c r="O18" i="36"/>
  <c r="J18" i="36"/>
  <c r="F18" i="36"/>
  <c r="R17" i="36"/>
  <c r="P17" i="36"/>
  <c r="O17" i="36"/>
  <c r="J17" i="36"/>
  <c r="F17" i="36"/>
  <c r="R16" i="36"/>
  <c r="P16" i="36"/>
  <c r="O16" i="36"/>
  <c r="J16" i="36"/>
  <c r="F16" i="36"/>
  <c r="R15" i="36"/>
  <c r="P15" i="36"/>
  <c r="O15" i="36"/>
  <c r="J15" i="36"/>
  <c r="F15" i="36"/>
  <c r="R14" i="36"/>
  <c r="P14" i="36"/>
  <c r="O14" i="36"/>
  <c r="J14" i="36"/>
  <c r="F14" i="36"/>
  <c r="R13" i="36"/>
  <c r="P13" i="36"/>
  <c r="O13" i="36"/>
  <c r="J13" i="36"/>
  <c r="F13" i="36"/>
  <c r="R12" i="36"/>
  <c r="P12" i="36"/>
  <c r="O12" i="36"/>
  <c r="J12" i="36"/>
  <c r="F12" i="36"/>
  <c r="R11" i="36"/>
  <c r="P11" i="36"/>
  <c r="O11" i="36"/>
  <c r="J11" i="36"/>
  <c r="F11" i="36"/>
  <c r="R10" i="36"/>
  <c r="P10" i="36"/>
  <c r="O10" i="36"/>
  <c r="J10" i="36"/>
  <c r="F10" i="36"/>
  <c r="R9" i="36"/>
  <c r="P9" i="36"/>
  <c r="O9" i="36"/>
  <c r="J9" i="36"/>
  <c r="F9" i="36"/>
  <c r="U8" i="36"/>
  <c r="T8" i="36"/>
  <c r="S8" i="36"/>
  <c r="L8" i="36"/>
  <c r="K8" i="36"/>
  <c r="H8" i="36"/>
  <c r="G8" i="36"/>
  <c r="R49" i="36"/>
  <c r="P49" i="36"/>
  <c r="O49" i="36"/>
  <c r="J49" i="36"/>
  <c r="F49" i="36"/>
  <c r="R48" i="36"/>
  <c r="P48" i="36"/>
  <c r="O48" i="36"/>
  <c r="J48" i="36"/>
  <c r="F48" i="36"/>
  <c r="R47" i="36"/>
  <c r="P47" i="36"/>
  <c r="O47" i="36"/>
  <c r="J47" i="36"/>
  <c r="F47" i="36"/>
  <c r="R46" i="36"/>
  <c r="P46" i="36"/>
  <c r="O46" i="36"/>
  <c r="J46" i="36"/>
  <c r="F46" i="36"/>
  <c r="R45" i="36"/>
  <c r="P45" i="36"/>
  <c r="O45" i="36"/>
  <c r="J45" i="36"/>
  <c r="F45" i="36"/>
  <c r="R44" i="36"/>
  <c r="P44" i="36"/>
  <c r="O44" i="36"/>
  <c r="J44" i="36"/>
  <c r="F44" i="36"/>
  <c r="R43" i="36"/>
  <c r="P43" i="36"/>
  <c r="O43" i="36"/>
  <c r="J43" i="36"/>
  <c r="F43" i="36"/>
  <c r="R42" i="36"/>
  <c r="P42" i="36"/>
  <c r="O42" i="36"/>
  <c r="J42" i="36"/>
  <c r="F42" i="36"/>
  <c r="R41" i="36"/>
  <c r="P41" i="36"/>
  <c r="O41" i="36"/>
  <c r="J41" i="36"/>
  <c r="F41" i="36"/>
  <c r="R40" i="36"/>
  <c r="P40" i="36"/>
  <c r="O40" i="36"/>
  <c r="J40" i="36"/>
  <c r="F40" i="36"/>
  <c r="R39" i="36"/>
  <c r="P39" i="36"/>
  <c r="O39" i="36"/>
  <c r="J39" i="36"/>
  <c r="F39" i="36"/>
  <c r="R38" i="36"/>
  <c r="P38" i="36"/>
  <c r="O38" i="36"/>
  <c r="J38" i="36"/>
  <c r="F38" i="36"/>
  <c r="R37" i="36"/>
  <c r="P37" i="36"/>
  <c r="O37" i="36"/>
  <c r="J37" i="36"/>
  <c r="F37" i="36"/>
  <c r="N37" i="36" s="1"/>
  <c r="R36" i="36"/>
  <c r="P36" i="36"/>
  <c r="O36" i="36"/>
  <c r="J36" i="36"/>
  <c r="F36" i="36"/>
  <c r="U35" i="36"/>
  <c r="T35" i="36"/>
  <c r="S35" i="36"/>
  <c r="L35" i="36"/>
  <c r="K35" i="36"/>
  <c r="H35" i="36"/>
  <c r="G35" i="36"/>
  <c r="N41" i="36" l="1"/>
  <c r="N11" i="36"/>
  <c r="N17" i="36"/>
  <c r="N19" i="36"/>
  <c r="N15" i="36"/>
  <c r="P8" i="36"/>
  <c r="N13" i="36"/>
  <c r="N43" i="36"/>
  <c r="N47" i="36"/>
  <c r="O8" i="36"/>
  <c r="N9" i="36"/>
  <c r="N21" i="36"/>
  <c r="N36" i="36"/>
  <c r="N48" i="36"/>
  <c r="N10" i="36"/>
  <c r="N14" i="36"/>
  <c r="N18" i="36"/>
  <c r="N22" i="36"/>
  <c r="J8" i="36"/>
  <c r="N46" i="36"/>
  <c r="N12" i="36"/>
  <c r="N16" i="36"/>
  <c r="N20" i="36"/>
  <c r="R35" i="36"/>
  <c r="N49" i="36"/>
  <c r="N45" i="36"/>
  <c r="N44" i="36"/>
  <c r="N42" i="36"/>
  <c r="N40" i="36"/>
  <c r="N38" i="36"/>
  <c r="O35" i="36"/>
  <c r="P35" i="36"/>
  <c r="F35" i="36"/>
  <c r="J35" i="36"/>
  <c r="R8" i="36"/>
  <c r="F8" i="36"/>
  <c r="N39" i="36"/>
  <c r="N8" i="36" l="1"/>
  <c r="N35" i="36"/>
</calcChain>
</file>

<file path=xl/sharedStrings.xml><?xml version="1.0" encoding="utf-8"?>
<sst xmlns="http://schemas.openxmlformats.org/spreadsheetml/2006/main" count="196" uniqueCount="59">
  <si>
    <t>Total</t>
  </si>
  <si>
    <t>Private</t>
  </si>
  <si>
    <t>Both Sexes</t>
  </si>
  <si>
    <t>Male</t>
  </si>
  <si>
    <t>Female</t>
  </si>
  <si>
    <t>ޖުމްލަ</t>
  </si>
  <si>
    <t xml:space="preserve">Total </t>
  </si>
  <si>
    <t>Maldives Polytechnic</t>
  </si>
  <si>
    <t>މޯލްޑިވްސް ޕޮލިޓެކްނިކް</t>
  </si>
  <si>
    <t>Institution</t>
  </si>
  <si>
    <t xml:space="preserve">Type of Institution
</t>
  </si>
  <si>
    <t>Students Enrolled</t>
  </si>
  <si>
    <t>Graduate output</t>
  </si>
  <si>
    <t>Dropouts</t>
  </si>
  <si>
    <t>މަރުކަޒު</t>
  </si>
  <si>
    <t>Full time</t>
  </si>
  <si>
    <t>Part time</t>
  </si>
  <si>
    <t>ވަކިވި އަދަދު</t>
  </si>
  <si>
    <t>ދެޖިންސް</t>
  </si>
  <si>
    <t>ފިރިހެން</t>
  </si>
  <si>
    <t>އަންހެން</t>
  </si>
  <si>
    <t>Villa College</t>
  </si>
  <si>
    <t>College</t>
  </si>
  <si>
    <t>ވިލާ ކޮލެޖް</t>
  </si>
  <si>
    <t>MAPS College</t>
  </si>
  <si>
    <t>މެޕްސް ކޮލެޖް</t>
  </si>
  <si>
    <t>Govt.</t>
  </si>
  <si>
    <t>Polytechnic</t>
  </si>
  <si>
    <t>Mandhu College</t>
  </si>
  <si>
    <t>މަންދު ކޮލެޖް</t>
  </si>
  <si>
    <t>Clique College</t>
  </si>
  <si>
    <t>ކްލީކް ކޮލެޖް</t>
  </si>
  <si>
    <t>Islamic University of Maldives</t>
  </si>
  <si>
    <t>University</t>
  </si>
  <si>
    <t>ދިވެހިރާއްޖޭގެ އިސްލާމީ ޔުނިވަރސިޓީ</t>
  </si>
  <si>
    <t>The Maldives National University</t>
  </si>
  <si>
    <t>ދިވެހިރާއްޖޭގެ ޤައުމީ ޔުނިވަރސިޓީ</t>
  </si>
  <si>
    <t>Maldives Business School</t>
  </si>
  <si>
    <t>މޯލްޑިވްސްބިޒްނަސް ސްކޫލް</t>
  </si>
  <si>
    <t>AVID College</t>
  </si>
  <si>
    <t>އެވިޑް ކޮލެޖް</t>
  </si>
  <si>
    <t>College of Defence and Securituy Studies</t>
  </si>
  <si>
    <t>ކޮލެޖް އޮފް ޑިފެންސް އެންޑް ސެކިއުރިޓީ ސްޓަޑީޒް</t>
  </si>
  <si>
    <t>Institute for Security and Law Enforcement Studies / Maldives Police Service</t>
  </si>
  <si>
    <t>އިންސްޓިޓިއުޓް ފޮރ ސެކިއުރިޓީ އެންޑް  ލޯ އެންފޯރސްމަންޓް ސްޓަޑީޒް / މޯލްޑިވްސް ޕޮލިސް ސަރވިސް</t>
  </si>
  <si>
    <t>MIANZ International College</t>
  </si>
  <si>
    <t>މިއާންޒް އިންޓަރނޭޝަނަލް ކޮލެޖް</t>
  </si>
  <si>
    <t>Cyryx College</t>
  </si>
  <si>
    <t>ސައިރިކްސް ކޮލެޖް</t>
  </si>
  <si>
    <t>Zikura International College</t>
  </si>
  <si>
    <t>ޒިކުރާ އިންޓަރނޭޝަނަލް ކޮލެޖް</t>
  </si>
  <si>
    <r>
      <rPr>
        <vertAlign val="superscript"/>
        <sz val="10"/>
        <color theme="1"/>
        <rFont val="Calibri"/>
        <family val="2"/>
        <scheme val="minor"/>
      </rPr>
      <t>1_/</t>
    </r>
    <r>
      <rPr>
        <sz val="10"/>
        <color theme="1"/>
        <rFont val="Calibri"/>
        <family val="2"/>
        <scheme val="minor"/>
      </rPr>
      <t>: Students are allowed to repeat individual subjects not the whole course</t>
    </r>
  </si>
  <si>
    <r>
      <rPr>
        <vertAlign val="superscript"/>
        <sz val="10"/>
        <color theme="1"/>
        <rFont val="Calibri"/>
        <family val="2"/>
        <scheme val="minor"/>
      </rPr>
      <t xml:space="preserve">2_/  </t>
    </r>
    <r>
      <rPr>
        <sz val="10"/>
        <color theme="1"/>
        <rFont val="Calibri"/>
        <family val="2"/>
        <scheme val="minor"/>
      </rPr>
      <t xml:space="preserve">Students who have repeated individual modules due to lack of attendance/ failure of modules      </t>
    </r>
  </si>
  <si>
    <t xml:space="preserve">Note: NA= Data not available </t>
  </si>
  <si>
    <t xml:space="preserve">Source: Department of Higher Education </t>
  </si>
  <si>
    <t xml:space="preserve">2021،ތާވަލު 21.3 : މަތީ ތަޢުލީމުދޭ މަރްކަޒުތަކުގައި ކިޔަވަމުންދާ އަދި ދަސްވެނިވި ކުދިންގެ އަދަދު </t>
  </si>
  <si>
    <t>TABLE 21.3: STUDENT ENROLMENT AND GRADUATE OUTPUT IN HIGHER EDUCATION INSTITUTIONS IN MALDIVES BY SEX, 2021</t>
  </si>
  <si>
    <t>TABLE 21.3: STUDENT ENROLMENT AND GRADUATE OUTPUT IN HIGHER EDUCATION INSTITUTIONS IN MALDIVES BY SEX, 2020</t>
  </si>
  <si>
    <t xml:space="preserve">2020 ،ތާވަލު 21.3 : މަތީ ތަޢުލީމުދޭ މަރްކަޒުތަކުގައި ކިޔަވަމުންދާ އަދި ދަސްވެނިވި ކުދިންގެ އަދަދު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</si>
</sst>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A_Randhoo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Faruma"/>
      <family val="3"/>
    </font>
    <font>
      <b/>
      <sz val="12"/>
      <color theme="1"/>
      <name val="Faruma"/>
      <family val="3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1"/>
      <name val="Faruma"/>
      <family val="3"/>
    </font>
    <font>
      <b/>
      <sz val="11"/>
      <color theme="1"/>
      <name val="Faruma"/>
      <family val="3"/>
    </font>
    <font>
      <sz val="11"/>
      <color theme="1"/>
      <name val="Faruma"/>
      <family val="3"/>
    </font>
    <font>
      <vertAlign val="superscript"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6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9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21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0" fontId="12" fillId="0" borderId="0"/>
    <xf numFmtId="0" fontId="12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2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93">
    <xf numFmtId="0" fontId="0" fillId="0" borderId="0" xfId="0"/>
    <xf numFmtId="0" fontId="7" fillId="2" borderId="0" xfId="0" applyFont="1" applyFill="1"/>
    <xf numFmtId="0" fontId="1" fillId="2" borderId="0" xfId="0" applyFont="1" applyFill="1" applyAlignment="1">
      <alignment horizontal="center"/>
    </xf>
    <xf numFmtId="0" fontId="7" fillId="2" borderId="0" xfId="13" applyNumberFormat="1" applyFont="1" applyFill="1"/>
    <xf numFmtId="164" fontId="8" fillId="2" borderId="0" xfId="13" applyFont="1" applyFill="1"/>
    <xf numFmtId="0" fontId="1" fillId="2" borderId="0" xfId="0" applyFont="1" applyFill="1"/>
    <xf numFmtId="0" fontId="5" fillId="2" borderId="8" xfId="13" applyNumberFormat="1" applyFont="1" applyFill="1" applyBorder="1" applyAlignment="1">
      <alignment horizontal="center" vertical="center"/>
    </xf>
    <xf numFmtId="0" fontId="5" fillId="2" borderId="4" xfId="13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3" xfId="13" applyNumberFormat="1" applyFont="1" applyFill="1" applyBorder="1" applyAlignment="1">
      <alignment horizontal="center" vertical="center" wrapText="1"/>
    </xf>
    <xf numFmtId="0" fontId="5" fillId="2" borderId="3" xfId="13" applyNumberFormat="1" applyFont="1" applyFill="1" applyBorder="1" applyAlignment="1">
      <alignment horizontal="right" vertical="center"/>
    </xf>
    <xf numFmtId="0" fontId="5" fillId="2" borderId="0" xfId="13" applyNumberFormat="1" applyFont="1" applyFill="1" applyAlignment="1">
      <alignment horizontal="right" vertical="center"/>
    </xf>
    <xf numFmtId="0" fontId="5" fillId="2" borderId="4" xfId="13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1" xfId="13" applyNumberFormat="1" applyFont="1" applyFill="1" applyBorder="1" applyAlignment="1">
      <alignment horizontal="center" vertical="center"/>
    </xf>
    <xf numFmtId="0" fontId="13" fillId="2" borderId="0" xfId="13" applyNumberFormat="1" applyFont="1" applyFill="1" applyAlignment="1">
      <alignment horizontal="right" vertical="center"/>
    </xf>
    <xf numFmtId="0" fontId="13" fillId="2" borderId="4" xfId="13" applyNumberFormat="1" applyFont="1" applyFill="1" applyBorder="1" applyAlignment="1">
      <alignment horizontal="right" vertical="center"/>
    </xf>
    <xf numFmtId="0" fontId="5" fillId="2" borderId="2" xfId="13" applyNumberFormat="1" applyFont="1" applyFill="1" applyBorder="1" applyAlignment="1">
      <alignment horizontal="left" vertical="center" wrapText="1"/>
    </xf>
    <xf numFmtId="0" fontId="5" fillId="2" borderId="2" xfId="13" applyNumberFormat="1" applyFont="1" applyFill="1" applyBorder="1" applyAlignment="1">
      <alignment vertical="center" wrapText="1"/>
    </xf>
    <xf numFmtId="0" fontId="5" fillId="2" borderId="2" xfId="13" applyNumberFormat="1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horizontal="right" vertical="center"/>
    </xf>
    <xf numFmtId="3" fontId="5" fillId="2" borderId="8" xfId="0" applyNumberFormat="1" applyFont="1" applyFill="1" applyBorder="1" applyAlignment="1">
      <alignment horizontal="right" vertical="center"/>
    </xf>
    <xf numFmtId="0" fontId="5" fillId="2" borderId="0" xfId="13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7" fillId="2" borderId="0" xfId="13" applyNumberFormat="1" applyFont="1" applyFill="1" applyAlignment="1">
      <alignment horizontal="center" vertical="center"/>
    </xf>
    <xf numFmtId="0" fontId="7" fillId="2" borderId="0" xfId="13" applyNumberFormat="1" applyFont="1" applyFill="1" applyAlignment="1">
      <alignment horizontal="center" vertical="center" wrapText="1"/>
    </xf>
    <xf numFmtId="37" fontId="7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37" fontId="5" fillId="2" borderId="0" xfId="1" applyNumberFormat="1" applyFont="1" applyFill="1" applyBorder="1" applyAlignment="1">
      <alignment horizontal="right" vertical="center"/>
    </xf>
    <xf numFmtId="37" fontId="7" fillId="2" borderId="4" xfId="1" applyNumberFormat="1" applyFont="1" applyFill="1" applyBorder="1" applyAlignment="1">
      <alignment horizontal="right" vertical="center"/>
    </xf>
    <xf numFmtId="37" fontId="7" fillId="2" borderId="6" xfId="1" applyNumberFormat="1" applyFont="1" applyFill="1" applyBorder="1" applyAlignment="1">
      <alignment horizontal="right" vertical="center"/>
    </xf>
    <xf numFmtId="0" fontId="7" fillId="2" borderId="0" xfId="13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13" applyNumberFormat="1" applyFont="1" applyFill="1" applyAlignment="1">
      <alignment horizontal="left" vertical="center"/>
    </xf>
    <xf numFmtId="37" fontId="7" fillId="3" borderId="0" xfId="1" applyNumberFormat="1" applyFont="1" applyFill="1" applyBorder="1" applyAlignment="1" applyProtection="1">
      <alignment horizontal="right" vertical="center" wrapText="1"/>
    </xf>
    <xf numFmtId="37" fontId="7" fillId="2" borderId="0" xfId="1" applyNumberFormat="1" applyFont="1" applyFill="1" applyBorder="1" applyAlignment="1" applyProtection="1">
      <alignment horizontal="right" vertical="center" wrapText="1"/>
    </xf>
    <xf numFmtId="37" fontId="7" fillId="2" borderId="0" xfId="1" applyNumberFormat="1" applyFont="1" applyFill="1" applyBorder="1" applyAlignment="1">
      <alignment horizontal="right" vertical="center" wrapText="1"/>
    </xf>
    <xf numFmtId="0" fontId="7" fillId="2" borderId="0" xfId="13" applyNumberFormat="1" applyFont="1" applyFill="1" applyAlignment="1">
      <alignment horizontal="left" vertical="center" wrapText="1"/>
    </xf>
    <xf numFmtId="37" fontId="5" fillId="2" borderId="4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 wrapText="1"/>
    </xf>
    <xf numFmtId="0" fontId="7" fillId="2" borderId="1" xfId="13" applyNumberFormat="1" applyFont="1" applyFill="1" applyBorder="1" applyAlignment="1">
      <alignment horizontal="left" vertical="center" wrapText="1"/>
    </xf>
    <xf numFmtId="0" fontId="7" fillId="2" borderId="1" xfId="13" applyNumberFormat="1" applyFont="1" applyFill="1" applyBorder="1" applyAlignment="1">
      <alignment horizontal="center" vertical="center" wrapText="1"/>
    </xf>
    <xf numFmtId="37" fontId="7" fillId="2" borderId="1" xfId="1" applyNumberFormat="1" applyFont="1" applyFill="1" applyBorder="1" applyAlignment="1">
      <alignment horizontal="right" vertical="center"/>
    </xf>
    <xf numFmtId="37" fontId="5" fillId="2" borderId="1" xfId="1" applyNumberFormat="1" applyFont="1" applyFill="1" applyBorder="1" applyAlignment="1">
      <alignment horizontal="right" vertical="center"/>
    </xf>
    <xf numFmtId="37" fontId="7" fillId="2" borderId="5" xfId="1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9" fillId="2" borderId="0" xfId="13" applyNumberFormat="1" applyFont="1" applyFill="1" applyAlignment="1">
      <alignment horizontal="right" vertical="center"/>
    </xf>
    <xf numFmtId="0" fontId="1" fillId="2" borderId="0" xfId="13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" fillId="2" borderId="0" xfId="13" applyNumberFormat="1" applyFont="1" applyFill="1"/>
    <xf numFmtId="0" fontId="1" fillId="2" borderId="0" xfId="0" applyFont="1" applyFill="1" applyAlignment="1">
      <alignment horizontal="center" vertical="center"/>
    </xf>
    <xf numFmtId="0" fontId="1" fillId="2" borderId="0" xfId="13" applyNumberFormat="1" applyFont="1" applyFill="1" applyAlignment="1">
      <alignment horizontal="center" vertical="center" wrapText="1"/>
    </xf>
    <xf numFmtId="0" fontId="1" fillId="2" borderId="0" xfId="13" applyNumberFormat="1" applyFont="1" applyFill="1" applyAlignment="1">
      <alignment vertical="center" wrapText="1"/>
    </xf>
    <xf numFmtId="37" fontId="7" fillId="2" borderId="7" xfId="1" applyNumberFormat="1" applyFont="1" applyFill="1" applyBorder="1" applyAlignment="1">
      <alignment horizontal="right" vertical="center"/>
    </xf>
    <xf numFmtId="0" fontId="15" fillId="2" borderId="0" xfId="13" applyNumberFormat="1" applyFont="1" applyFill="1" applyAlignment="1">
      <alignment horizontal="right" vertical="center" wrapText="1"/>
    </xf>
    <xf numFmtId="0" fontId="1" fillId="2" borderId="0" xfId="13" applyNumberFormat="1" applyFont="1" applyFill="1" applyAlignment="1">
      <alignment horizontal="center" vertical="center"/>
    </xf>
    <xf numFmtId="0" fontId="1" fillId="2" borderId="0" xfId="13" applyNumberFormat="1" applyFont="1" applyFill="1" applyAlignment="1">
      <alignment vertical="center"/>
    </xf>
    <xf numFmtId="164" fontId="8" fillId="2" borderId="0" xfId="13" applyFont="1" applyFill="1" applyAlignment="1">
      <alignment wrapText="1"/>
    </xf>
    <xf numFmtId="0" fontId="14" fillId="2" borderId="2" xfId="13" applyNumberFormat="1" applyFont="1" applyFill="1" applyBorder="1" applyAlignment="1">
      <alignment horizontal="right" vertical="center" wrapText="1"/>
    </xf>
    <xf numFmtId="0" fontId="15" fillId="2" borderId="1" xfId="13" applyNumberFormat="1" applyFont="1" applyFill="1" applyBorder="1" applyAlignment="1">
      <alignment horizontal="right" vertical="center" wrapText="1"/>
    </xf>
    <xf numFmtId="0" fontId="1" fillId="2" borderId="0" xfId="13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3" fontId="7" fillId="2" borderId="0" xfId="0" applyNumberFormat="1" applyFont="1" applyFill="1" applyAlignment="1">
      <alignment vertical="center" wrapText="1"/>
    </xf>
    <xf numFmtId="0" fontId="5" fillId="2" borderId="2" xfId="13" applyNumberFormat="1" applyFont="1" applyFill="1" applyBorder="1" applyAlignment="1">
      <alignment horizontal="center" vertical="center"/>
    </xf>
    <xf numFmtId="0" fontId="5" fillId="2" borderId="0" xfId="13" applyNumberFormat="1" applyFont="1" applyFill="1" applyAlignment="1">
      <alignment horizontal="center" vertical="center"/>
    </xf>
    <xf numFmtId="0" fontId="6" fillId="2" borderId="0" xfId="13" applyNumberFormat="1" applyFont="1" applyFill="1" applyAlignment="1">
      <alignment horizontal="center" vertical="center" wrapText="1"/>
    </xf>
    <xf numFmtId="0" fontId="6" fillId="2" borderId="1" xfId="13" applyNumberFormat="1" applyFont="1" applyFill="1" applyBorder="1" applyAlignment="1">
      <alignment horizontal="center" vertical="center" wrapText="1"/>
    </xf>
    <xf numFmtId="0" fontId="5" fillId="2" borderId="2" xfId="13" applyNumberFormat="1" applyFont="1" applyFill="1" applyBorder="1" applyAlignment="1">
      <alignment horizontal="center" vertical="center" wrapText="1"/>
    </xf>
    <xf numFmtId="0" fontId="7" fillId="2" borderId="1" xfId="13" applyNumberFormat="1" applyFont="1" applyFill="1" applyBorder="1" applyAlignment="1">
      <alignment vertical="center"/>
    </xf>
    <xf numFmtId="37" fontId="7" fillId="3" borderId="1" xfId="1" applyNumberFormat="1" applyFont="1" applyFill="1" applyBorder="1" applyAlignment="1" applyProtection="1">
      <alignment horizontal="right" vertical="center" wrapText="1"/>
    </xf>
    <xf numFmtId="0" fontId="1" fillId="2" borderId="0" xfId="0" applyFont="1" applyFill="1" applyAlignment="1">
      <alignment horizontal="right"/>
    </xf>
    <xf numFmtId="0" fontId="7" fillId="2" borderId="0" xfId="13" applyNumberFormat="1" applyFont="1" applyFill="1" applyAlignment="1">
      <alignment horizontal="left" vertical="center" wrapText="1"/>
    </xf>
    <xf numFmtId="0" fontId="17" fillId="2" borderId="0" xfId="13" applyNumberFormat="1" applyFont="1" applyFill="1" applyAlignment="1">
      <alignment horizontal="left" vertical="center"/>
    </xf>
    <xf numFmtId="0" fontId="5" fillId="2" borderId="2" xfId="13" applyNumberFormat="1" applyFont="1" applyFill="1" applyBorder="1" applyAlignment="1">
      <alignment horizontal="center" vertical="center"/>
    </xf>
    <xf numFmtId="0" fontId="5" fillId="2" borderId="10" xfId="13" applyNumberFormat="1" applyFont="1" applyFill="1" applyBorder="1" applyAlignment="1">
      <alignment horizontal="center" vertical="center"/>
    </xf>
    <xf numFmtId="0" fontId="5" fillId="2" borderId="2" xfId="13" applyNumberFormat="1" applyFont="1" applyFill="1" applyBorder="1" applyAlignment="1">
      <alignment horizontal="right" vertical="center"/>
    </xf>
    <xf numFmtId="0" fontId="5" fillId="2" borderId="0" xfId="13" applyNumberFormat="1" applyFont="1" applyFill="1" applyAlignment="1">
      <alignment horizontal="right" vertical="center"/>
    </xf>
    <xf numFmtId="0" fontId="13" fillId="2" borderId="2" xfId="13" applyNumberFormat="1" applyFont="1" applyFill="1" applyBorder="1" applyAlignment="1">
      <alignment horizontal="right" vertical="center" wrapText="1"/>
    </xf>
    <xf numFmtId="0" fontId="13" fillId="2" borderId="0" xfId="13" applyNumberFormat="1" applyFont="1" applyFill="1" applyAlignment="1">
      <alignment horizontal="right" vertical="center" wrapText="1"/>
    </xf>
    <xf numFmtId="0" fontId="13" fillId="2" borderId="1" xfId="13" applyNumberFormat="1" applyFont="1" applyFill="1" applyBorder="1" applyAlignment="1">
      <alignment horizontal="right" vertical="center" wrapText="1"/>
    </xf>
    <xf numFmtId="0" fontId="5" fillId="2" borderId="0" xfId="13" applyNumberFormat="1" applyFont="1" applyFill="1" applyAlignment="1">
      <alignment horizontal="center" vertical="center"/>
    </xf>
    <xf numFmtId="164" fontId="10" fillId="2" borderId="0" xfId="13" applyFont="1" applyFill="1" applyAlignment="1">
      <alignment horizontal="center" vertical="center" readingOrder="1"/>
    </xf>
    <xf numFmtId="164" fontId="2" fillId="2" borderId="0" xfId="12" applyFont="1" applyFill="1" applyAlignment="1">
      <alignment horizontal="center" vertical="center"/>
    </xf>
    <xf numFmtId="0" fontId="11" fillId="2" borderId="1" xfId="13" applyNumberFormat="1" applyFont="1" applyFill="1" applyBorder="1" applyAlignment="1">
      <alignment horizontal="center" vertical="center"/>
    </xf>
    <xf numFmtId="0" fontId="7" fillId="2" borderId="9" xfId="13" applyNumberFormat="1" applyFont="1" applyFill="1" applyBorder="1" applyAlignment="1">
      <alignment horizontal="center" vertical="center"/>
    </xf>
    <xf numFmtId="0" fontId="7" fillId="2" borderId="2" xfId="13" applyNumberFormat="1" applyFont="1" applyFill="1" applyBorder="1" applyAlignment="1">
      <alignment horizontal="center" vertical="center"/>
    </xf>
    <xf numFmtId="0" fontId="5" fillId="2" borderId="2" xfId="13" applyNumberFormat="1" applyFont="1" applyFill="1" applyBorder="1" applyAlignment="1">
      <alignment horizontal="left" vertical="center"/>
    </xf>
    <xf numFmtId="0" fontId="5" fillId="2" borderId="0" xfId="13" applyNumberFormat="1" applyFont="1" applyFill="1" applyAlignment="1">
      <alignment horizontal="left" vertical="center"/>
    </xf>
    <xf numFmtId="0" fontId="5" fillId="2" borderId="1" xfId="13" applyNumberFormat="1" applyFont="1" applyFill="1" applyBorder="1" applyAlignment="1">
      <alignment horizontal="left" vertical="center"/>
    </xf>
    <xf numFmtId="0" fontId="5" fillId="2" borderId="2" xfId="13" applyNumberFormat="1" applyFont="1" applyFill="1" applyBorder="1" applyAlignment="1">
      <alignment horizontal="center" vertical="center" wrapText="1"/>
    </xf>
    <xf numFmtId="0" fontId="5" fillId="2" borderId="0" xfId="13" applyNumberFormat="1" applyFont="1" applyFill="1" applyAlignment="1">
      <alignment horizontal="center" vertical="center" wrapText="1"/>
    </xf>
    <xf numFmtId="0" fontId="5" fillId="2" borderId="1" xfId="13" applyNumberFormat="1" applyFont="1" applyFill="1" applyBorder="1" applyAlignment="1">
      <alignment horizontal="center" vertical="center" wrapText="1"/>
    </xf>
    <xf numFmtId="0" fontId="5" fillId="2" borderId="9" xfId="13" applyNumberFormat="1" applyFont="1" applyFill="1" applyBorder="1" applyAlignment="1">
      <alignment horizontal="center" vertical="center"/>
    </xf>
  </cellXfs>
  <cellStyles count="164">
    <cellStyle name="1" xfId="145" xr:uid="{00000000-0005-0000-0000-000000000000}"/>
    <cellStyle name="Comma" xfId="1" builtinId="3"/>
    <cellStyle name="Comma 2" xfId="10" xr:uid="{00000000-0005-0000-0000-000002000000}"/>
    <cellStyle name="Comma 3" xfId="16" xr:uid="{00000000-0005-0000-0000-000003000000}"/>
    <cellStyle name="Comma 3 2" xfId="159" xr:uid="{00000000-0005-0000-0000-000004000000}"/>
    <cellStyle name="Normal" xfId="0" builtinId="0"/>
    <cellStyle name="Normal - Style1" xfId="147" xr:uid="{00000000-0005-0000-0000-000006000000}"/>
    <cellStyle name="Normal 10" xfId="5" xr:uid="{00000000-0005-0000-0000-000007000000}"/>
    <cellStyle name="Normal 10 2" xfId="39" xr:uid="{00000000-0005-0000-0000-000008000000}"/>
    <cellStyle name="Normal 105 2" xfId="131" xr:uid="{00000000-0005-0000-0000-000009000000}"/>
    <cellStyle name="Normal 11" xfId="26" xr:uid="{00000000-0005-0000-0000-00000A000000}"/>
    <cellStyle name="Normal 11 2" xfId="40" xr:uid="{00000000-0005-0000-0000-00000B000000}"/>
    <cellStyle name="Normal 12" xfId="27" xr:uid="{00000000-0005-0000-0000-00000C000000}"/>
    <cellStyle name="Normal 12 2" xfId="41" xr:uid="{00000000-0005-0000-0000-00000D000000}"/>
    <cellStyle name="Normal 13" xfId="29" xr:uid="{00000000-0005-0000-0000-00000E000000}"/>
    <cellStyle name="Normal 13 2" xfId="42" xr:uid="{00000000-0005-0000-0000-00000F000000}"/>
    <cellStyle name="Normal 14" xfId="30" xr:uid="{00000000-0005-0000-0000-000010000000}"/>
    <cellStyle name="Normal 14 2" xfId="43" xr:uid="{00000000-0005-0000-0000-000011000000}"/>
    <cellStyle name="Normal 15" xfId="31" xr:uid="{00000000-0005-0000-0000-000012000000}"/>
    <cellStyle name="Normal 15 2" xfId="44" xr:uid="{00000000-0005-0000-0000-000013000000}"/>
    <cellStyle name="Normal 16" xfId="32" xr:uid="{00000000-0005-0000-0000-000014000000}"/>
    <cellStyle name="Normal 16 2" xfId="45" xr:uid="{00000000-0005-0000-0000-000015000000}"/>
    <cellStyle name="Normal 17" xfId="33" xr:uid="{00000000-0005-0000-0000-000016000000}"/>
    <cellStyle name="Normal 17 2" xfId="46" xr:uid="{00000000-0005-0000-0000-000017000000}"/>
    <cellStyle name="Normal 18" xfId="34" xr:uid="{00000000-0005-0000-0000-000018000000}"/>
    <cellStyle name="Normal 18 2" xfId="47" xr:uid="{00000000-0005-0000-0000-000019000000}"/>
    <cellStyle name="Normal 19" xfId="35" xr:uid="{00000000-0005-0000-0000-00001A000000}"/>
    <cellStyle name="Normal 19 2" xfId="48" xr:uid="{00000000-0005-0000-0000-00001B000000}"/>
    <cellStyle name="Normal 2" xfId="14" xr:uid="{00000000-0005-0000-0000-00001C000000}"/>
    <cellStyle name="Normal 2 10" xfId="49" xr:uid="{00000000-0005-0000-0000-00001D000000}"/>
    <cellStyle name="Normal 2 11" xfId="50" xr:uid="{00000000-0005-0000-0000-00001E000000}"/>
    <cellStyle name="Normal 2 12" xfId="51" xr:uid="{00000000-0005-0000-0000-00001F000000}"/>
    <cellStyle name="Normal 2 13" xfId="52" xr:uid="{00000000-0005-0000-0000-000020000000}"/>
    <cellStyle name="Normal 2 14" xfId="53" xr:uid="{00000000-0005-0000-0000-000021000000}"/>
    <cellStyle name="Normal 2 15" xfId="54" xr:uid="{00000000-0005-0000-0000-000022000000}"/>
    <cellStyle name="Normal 2 16" xfId="55" xr:uid="{00000000-0005-0000-0000-000023000000}"/>
    <cellStyle name="Normal 2 17" xfId="56" xr:uid="{00000000-0005-0000-0000-000024000000}"/>
    <cellStyle name="Normal 2 18" xfId="57" xr:uid="{00000000-0005-0000-0000-000025000000}"/>
    <cellStyle name="Normal 2 19" xfId="58" xr:uid="{00000000-0005-0000-0000-000026000000}"/>
    <cellStyle name="Normal 2 2" xfId="18" xr:uid="{00000000-0005-0000-0000-000027000000}"/>
    <cellStyle name="Normal 2 2 10" xfId="59" xr:uid="{00000000-0005-0000-0000-000028000000}"/>
    <cellStyle name="Normal 2 2 11" xfId="60" xr:uid="{00000000-0005-0000-0000-000029000000}"/>
    <cellStyle name="Normal 2 2 12" xfId="61" xr:uid="{00000000-0005-0000-0000-00002A000000}"/>
    <cellStyle name="Normal 2 2 13" xfId="62" xr:uid="{00000000-0005-0000-0000-00002B000000}"/>
    <cellStyle name="Normal 2 2 14" xfId="63" xr:uid="{00000000-0005-0000-0000-00002C000000}"/>
    <cellStyle name="Normal 2 2 15" xfId="64" xr:uid="{00000000-0005-0000-0000-00002D000000}"/>
    <cellStyle name="Normal 2 2 16" xfId="65" xr:uid="{00000000-0005-0000-0000-00002E000000}"/>
    <cellStyle name="Normal 2 2 17" xfId="66" xr:uid="{00000000-0005-0000-0000-00002F000000}"/>
    <cellStyle name="Normal 2 2 18" xfId="67" xr:uid="{00000000-0005-0000-0000-000030000000}"/>
    <cellStyle name="Normal 2 2 19" xfId="68" xr:uid="{00000000-0005-0000-0000-000031000000}"/>
    <cellStyle name="Normal 2 2 2" xfId="2" xr:uid="{00000000-0005-0000-0000-000032000000}"/>
    <cellStyle name="Normal 2 2 20" xfId="69" xr:uid="{00000000-0005-0000-0000-000033000000}"/>
    <cellStyle name="Normal 2 2 21" xfId="70" xr:uid="{00000000-0005-0000-0000-000034000000}"/>
    <cellStyle name="Normal 2 2 22" xfId="71" xr:uid="{00000000-0005-0000-0000-000035000000}"/>
    <cellStyle name="Normal 2 2 23" xfId="72" xr:uid="{00000000-0005-0000-0000-000036000000}"/>
    <cellStyle name="Normal 2 2 24" xfId="73" xr:uid="{00000000-0005-0000-0000-000037000000}"/>
    <cellStyle name="Normal 2 2 24 2" xfId="74" xr:uid="{00000000-0005-0000-0000-000038000000}"/>
    <cellStyle name="Normal 2 2 24 2 2" xfId="75" xr:uid="{00000000-0005-0000-0000-000039000000}"/>
    <cellStyle name="Normal 2 2 25" xfId="76" xr:uid="{00000000-0005-0000-0000-00003A000000}"/>
    <cellStyle name="Normal 2 2 25 2" xfId="77" xr:uid="{00000000-0005-0000-0000-00003B000000}"/>
    <cellStyle name="Normal 2 2 26" xfId="148" xr:uid="{00000000-0005-0000-0000-00003C000000}"/>
    <cellStyle name="Normal 2 2 3" xfId="78" xr:uid="{00000000-0005-0000-0000-00003D000000}"/>
    <cellStyle name="Normal 2 2 4" xfId="79" xr:uid="{00000000-0005-0000-0000-00003E000000}"/>
    <cellStyle name="Normal 2 2 5" xfId="80" xr:uid="{00000000-0005-0000-0000-00003F000000}"/>
    <cellStyle name="Normal 2 2 5 2" xfId="81" xr:uid="{00000000-0005-0000-0000-000040000000}"/>
    <cellStyle name="Normal 2 2 5 2 2" xfId="82" xr:uid="{00000000-0005-0000-0000-000041000000}"/>
    <cellStyle name="Normal 2 2 5 2 2 2" xfId="83" xr:uid="{00000000-0005-0000-0000-000042000000}"/>
    <cellStyle name="Normal 2 2 5 3" xfId="84" xr:uid="{00000000-0005-0000-0000-000043000000}"/>
    <cellStyle name="Normal 2 2 5 4" xfId="85" xr:uid="{00000000-0005-0000-0000-000044000000}"/>
    <cellStyle name="Normal 2 2 6" xfId="86" xr:uid="{00000000-0005-0000-0000-000045000000}"/>
    <cellStyle name="Normal 2 2 7" xfId="87" xr:uid="{00000000-0005-0000-0000-000046000000}"/>
    <cellStyle name="Normal 2 2 8" xfId="88" xr:uid="{00000000-0005-0000-0000-000047000000}"/>
    <cellStyle name="Normal 2 2 9" xfId="89" xr:uid="{00000000-0005-0000-0000-000048000000}"/>
    <cellStyle name="Normal 2 20" xfId="90" xr:uid="{00000000-0005-0000-0000-000049000000}"/>
    <cellStyle name="Normal 2 21" xfId="91" xr:uid="{00000000-0005-0000-0000-00004A000000}"/>
    <cellStyle name="Normal 2 22" xfId="92" xr:uid="{00000000-0005-0000-0000-00004B000000}"/>
    <cellStyle name="Normal 2 23" xfId="93" xr:uid="{00000000-0005-0000-0000-00004C000000}"/>
    <cellStyle name="Normal 2 24" xfId="94" xr:uid="{00000000-0005-0000-0000-00004D000000}"/>
    <cellStyle name="Normal 2 24 2" xfId="95" xr:uid="{00000000-0005-0000-0000-00004E000000}"/>
    <cellStyle name="Normal 2 24 2 2" xfId="96" xr:uid="{00000000-0005-0000-0000-00004F000000}"/>
    <cellStyle name="Normal 2 25" xfId="97" xr:uid="{00000000-0005-0000-0000-000050000000}"/>
    <cellStyle name="Normal 2 25 2" xfId="98" xr:uid="{00000000-0005-0000-0000-000051000000}"/>
    <cellStyle name="Normal 2 26" xfId="13" xr:uid="{00000000-0005-0000-0000-000052000000}"/>
    <cellStyle name="Normal 2 27" xfId="19" xr:uid="{00000000-0005-0000-0000-000053000000}"/>
    <cellStyle name="Normal 2 3" xfId="20" xr:uid="{00000000-0005-0000-0000-000054000000}"/>
    <cellStyle name="Normal 2 3 2" xfId="99" xr:uid="{00000000-0005-0000-0000-000055000000}"/>
    <cellStyle name="Normal 2 3 2 2" xfId="100" xr:uid="{00000000-0005-0000-0000-000056000000}"/>
    <cellStyle name="Normal 2 3 2 2 2" xfId="101" xr:uid="{00000000-0005-0000-0000-000057000000}"/>
    <cellStyle name="Normal 2 3 3" xfId="102" xr:uid="{00000000-0005-0000-0000-000058000000}"/>
    <cellStyle name="Normal 2 3 4" xfId="103" xr:uid="{00000000-0005-0000-0000-000059000000}"/>
    <cellStyle name="Normal 2 3 5" xfId="149" xr:uid="{00000000-0005-0000-0000-00005A000000}"/>
    <cellStyle name="Normal 2 4" xfId="104" xr:uid="{00000000-0005-0000-0000-00005B000000}"/>
    <cellStyle name="Normal 2 4 2" xfId="150" xr:uid="{00000000-0005-0000-0000-00005C000000}"/>
    <cellStyle name="Normal 2 5" xfId="105" xr:uid="{00000000-0005-0000-0000-00005D000000}"/>
    <cellStyle name="Normal 2 5 2" xfId="160" xr:uid="{00000000-0005-0000-0000-00005E000000}"/>
    <cellStyle name="Normal 2 6" xfId="106" xr:uid="{00000000-0005-0000-0000-00005F000000}"/>
    <cellStyle name="Normal 2 7" xfId="107" xr:uid="{00000000-0005-0000-0000-000060000000}"/>
    <cellStyle name="Normal 2 8" xfId="108" xr:uid="{00000000-0005-0000-0000-000061000000}"/>
    <cellStyle name="Normal 2 9" xfId="109" xr:uid="{00000000-0005-0000-0000-000062000000}"/>
    <cellStyle name="Normal 20" xfId="36" xr:uid="{00000000-0005-0000-0000-000063000000}"/>
    <cellStyle name="Normal 20 2" xfId="110" xr:uid="{00000000-0005-0000-0000-000064000000}"/>
    <cellStyle name="Normal 21" xfId="37" xr:uid="{00000000-0005-0000-0000-000065000000}"/>
    <cellStyle name="Normal 21 2" xfId="111" xr:uid="{00000000-0005-0000-0000-000066000000}"/>
    <cellStyle name="Normal 22" xfId="38" xr:uid="{00000000-0005-0000-0000-000067000000}"/>
    <cellStyle name="Normal 22 2" xfId="112" xr:uid="{00000000-0005-0000-0000-000068000000}"/>
    <cellStyle name="Normal 23" xfId="113" xr:uid="{00000000-0005-0000-0000-000069000000}"/>
    <cellStyle name="Normal 23 2" xfId="114" xr:uid="{00000000-0005-0000-0000-00006A000000}"/>
    <cellStyle name="Normal 24" xfId="138" xr:uid="{00000000-0005-0000-0000-00006B000000}"/>
    <cellStyle name="Normal 25" xfId="21" xr:uid="{00000000-0005-0000-0000-00006C000000}"/>
    <cellStyle name="Normal 25 2" xfId="132" xr:uid="{00000000-0005-0000-0000-00006D000000}"/>
    <cellStyle name="Normal 26" xfId="125" xr:uid="{00000000-0005-0000-0000-00006E000000}"/>
    <cellStyle name="Normal 26 2" xfId="142" xr:uid="{00000000-0005-0000-0000-00006F000000}"/>
    <cellStyle name="Normal 27" xfId="123" xr:uid="{00000000-0005-0000-0000-000070000000}"/>
    <cellStyle name="Normal 27 2" xfId="141" xr:uid="{00000000-0005-0000-0000-000071000000}"/>
    <cellStyle name="Normal 28" xfId="126" xr:uid="{00000000-0005-0000-0000-000072000000}"/>
    <cellStyle name="Normal 28 2" xfId="135" xr:uid="{00000000-0005-0000-0000-000073000000}"/>
    <cellStyle name="Normal 29" xfId="133" xr:uid="{00000000-0005-0000-0000-000074000000}"/>
    <cellStyle name="Normal 3" xfId="15" xr:uid="{00000000-0005-0000-0000-000075000000}"/>
    <cellStyle name="Normal 3 11" xfId="129" xr:uid="{00000000-0005-0000-0000-000076000000}"/>
    <cellStyle name="Normal 3 12" xfId="127" xr:uid="{00000000-0005-0000-0000-000077000000}"/>
    <cellStyle name="Normal 3 13" xfId="128" xr:uid="{00000000-0005-0000-0000-000078000000}"/>
    <cellStyle name="Normal 3 14" xfId="130" xr:uid="{00000000-0005-0000-0000-000079000000}"/>
    <cellStyle name="Normal 3 2" xfId="115" xr:uid="{00000000-0005-0000-0000-00007A000000}"/>
    <cellStyle name="Normal 3 2 2" xfId="152" xr:uid="{00000000-0005-0000-0000-00007B000000}"/>
    <cellStyle name="Normal 3 3" xfId="116" xr:uid="{00000000-0005-0000-0000-00007C000000}"/>
    <cellStyle name="Normal 3 3 2" xfId="153" xr:uid="{00000000-0005-0000-0000-00007D000000}"/>
    <cellStyle name="Normal 3 4" xfId="151" xr:uid="{00000000-0005-0000-0000-00007E000000}"/>
    <cellStyle name="Normal 30" xfId="140" xr:uid="{00000000-0005-0000-0000-00007F000000}"/>
    <cellStyle name="Normal 31" xfId="137" xr:uid="{00000000-0005-0000-0000-000080000000}"/>
    <cellStyle name="Normal 32" xfId="134" xr:uid="{00000000-0005-0000-0000-000081000000}"/>
    <cellStyle name="Normal 33" xfId="144" xr:uid="{00000000-0005-0000-0000-000082000000}"/>
    <cellStyle name="Normal 34" xfId="136" xr:uid="{00000000-0005-0000-0000-000083000000}"/>
    <cellStyle name="Normal 35" xfId="143" xr:uid="{00000000-0005-0000-0000-000084000000}"/>
    <cellStyle name="Normal 37" xfId="4" xr:uid="{00000000-0005-0000-0000-000085000000}"/>
    <cellStyle name="Normal 4" xfId="22" xr:uid="{00000000-0005-0000-0000-000086000000}"/>
    <cellStyle name="Normal 4 2" xfId="117" xr:uid="{00000000-0005-0000-0000-000087000000}"/>
    <cellStyle name="Normal 4 3" xfId="124" xr:uid="{00000000-0005-0000-0000-000088000000}"/>
    <cellStyle name="Normal 4 3 2" xfId="154" xr:uid="{00000000-0005-0000-0000-000089000000}"/>
    <cellStyle name="Normal 5" xfId="28" xr:uid="{00000000-0005-0000-0000-00008A000000}"/>
    <cellStyle name="Normal 5 2" xfId="118" xr:uid="{00000000-0005-0000-0000-00008B000000}"/>
    <cellStyle name="Normal 5 3" xfId="155" xr:uid="{00000000-0005-0000-0000-00008C000000}"/>
    <cellStyle name="Normal 6" xfId="9" xr:uid="{00000000-0005-0000-0000-00008D000000}"/>
    <cellStyle name="Normal 6 2" xfId="139" xr:uid="{00000000-0005-0000-0000-00008E000000}"/>
    <cellStyle name="Normal 6 2 2" xfId="156" xr:uid="{00000000-0005-0000-0000-00008F000000}"/>
    <cellStyle name="Normal 6 3" xfId="122" xr:uid="{00000000-0005-0000-0000-000090000000}"/>
    <cellStyle name="Normal 6 3 2" xfId="161" xr:uid="{00000000-0005-0000-0000-000091000000}"/>
    <cellStyle name="Normal 6 4" xfId="8" xr:uid="{00000000-0005-0000-0000-000092000000}"/>
    <cellStyle name="Normal 7" xfId="7" xr:uid="{00000000-0005-0000-0000-000093000000}"/>
    <cellStyle name="Normal 7 2" xfId="119" xr:uid="{00000000-0005-0000-0000-000094000000}"/>
    <cellStyle name="Normal 7 2 2" xfId="157" xr:uid="{00000000-0005-0000-0000-000095000000}"/>
    <cellStyle name="Normal 7 3" xfId="23" xr:uid="{00000000-0005-0000-0000-000096000000}"/>
    <cellStyle name="Normal 7 3 2" xfId="162" xr:uid="{00000000-0005-0000-0000-000097000000}"/>
    <cellStyle name="Normal 7 4" xfId="6" xr:uid="{00000000-0005-0000-0000-000098000000}"/>
    <cellStyle name="Normal 8" xfId="3" xr:uid="{00000000-0005-0000-0000-000099000000}"/>
    <cellStyle name="Normal 8 2" xfId="11" xr:uid="{00000000-0005-0000-0000-00009A000000}"/>
    <cellStyle name="Normal 8 2 2" xfId="120" xr:uid="{00000000-0005-0000-0000-00009B000000}"/>
    <cellStyle name="Normal 8 2 3" xfId="12" xr:uid="{00000000-0005-0000-0000-00009C000000}"/>
    <cellStyle name="Normal 8 3" xfId="24" xr:uid="{00000000-0005-0000-0000-00009D000000}"/>
    <cellStyle name="Normal 8 3 2" xfId="163" xr:uid="{00000000-0005-0000-0000-00009E000000}"/>
    <cellStyle name="Normal 8 4" xfId="146" xr:uid="{00000000-0005-0000-0000-00009F000000}"/>
    <cellStyle name="Normal 9" xfId="25" xr:uid="{00000000-0005-0000-0000-0000A0000000}"/>
    <cellStyle name="Normal 9 2" xfId="121" xr:uid="{00000000-0005-0000-0000-0000A1000000}"/>
    <cellStyle name="Normal 9 3" xfId="158" xr:uid="{00000000-0005-0000-0000-0000A2000000}"/>
    <cellStyle name="Percent 2" xfId="17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BM113"/>
  <sheetViews>
    <sheetView tabSelected="1" zoomScale="85" zoomScaleNormal="85" zoomScaleSheetLayoutView="42" workbookViewId="0">
      <selection activeCell="AA8" sqref="AA8"/>
    </sheetView>
  </sheetViews>
  <sheetFormatPr defaultColWidth="9.140625" defaultRowHeight="15" x14ac:dyDescent="0.25"/>
  <cols>
    <col min="1" max="1" width="4" style="50" customWidth="1"/>
    <col min="2" max="2" width="38.28515625" style="2" customWidth="1"/>
    <col min="3" max="3" width="10.7109375" style="5" hidden="1" customWidth="1"/>
    <col min="4" max="4" width="20.42578125" style="5" hidden="1" customWidth="1"/>
    <col min="5" max="5" width="0.28515625" style="5" customWidth="1"/>
    <col min="6" max="8" width="8.7109375" style="27" customWidth="1"/>
    <col min="9" max="9" width="1.7109375" style="27" customWidth="1"/>
    <col min="10" max="10" width="9.5703125" style="27" bestFit="1" customWidth="1"/>
    <col min="11" max="11" width="6.28515625" style="27" bestFit="1" customWidth="1"/>
    <col min="12" max="12" width="6.85546875" style="27" bestFit="1" customWidth="1"/>
    <col min="13" max="13" width="2.85546875" style="27" customWidth="1"/>
    <col min="14" max="14" width="7.7109375" style="27" customWidth="1"/>
    <col min="15" max="16" width="8.7109375" style="27" customWidth="1"/>
    <col min="17" max="17" width="0.140625" style="27" customWidth="1"/>
    <col min="18" max="18" width="11" style="27" customWidth="1"/>
    <col min="19" max="20" width="8.7109375" style="27" customWidth="1"/>
    <col min="21" max="21" width="13.5703125" style="27" customWidth="1"/>
    <col min="22" max="22" width="39" style="61" customWidth="1"/>
    <col min="23" max="23" width="3.42578125" style="5" customWidth="1"/>
    <col min="24" max="16384" width="9.140625" style="5"/>
  </cols>
  <sheetData>
    <row r="1" spans="1:65" s="1" customFormat="1" ht="25.5" customHeight="1" x14ac:dyDescent="0.2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</row>
    <row r="2" spans="1:65" s="1" customFormat="1" x14ac:dyDescent="0.2">
      <c r="A2" s="82" t="s">
        <v>56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</row>
    <row r="3" spans="1:65" ht="21" customHeight="1" x14ac:dyDescent="0.2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5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</row>
    <row r="4" spans="1:65" s="1" customFormat="1" ht="16.5" customHeight="1" x14ac:dyDescent="0.2">
      <c r="A4" s="84"/>
      <c r="B4" s="86" t="s">
        <v>9</v>
      </c>
      <c r="C4" s="89" t="s">
        <v>10</v>
      </c>
      <c r="D4" s="89"/>
      <c r="E4" s="67"/>
      <c r="F4" s="92" t="s">
        <v>11</v>
      </c>
      <c r="G4" s="92"/>
      <c r="H4" s="92"/>
      <c r="I4" s="92"/>
      <c r="J4" s="92"/>
      <c r="K4" s="92"/>
      <c r="L4" s="92"/>
      <c r="M4" s="92"/>
      <c r="N4" s="92"/>
      <c r="O4" s="92"/>
      <c r="P4" s="92"/>
      <c r="Q4" s="6"/>
      <c r="R4" s="73" t="s">
        <v>12</v>
      </c>
      <c r="S4" s="73"/>
      <c r="T4" s="73"/>
      <c r="U4" s="75" t="s">
        <v>13</v>
      </c>
      <c r="V4" s="77" t="s">
        <v>14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s="8" customFormat="1" ht="21.75" customHeight="1" x14ac:dyDescent="0.25">
      <c r="A5" s="84"/>
      <c r="B5" s="87"/>
      <c r="C5" s="90"/>
      <c r="D5" s="90"/>
      <c r="E5" s="65"/>
      <c r="F5" s="80" t="s">
        <v>15</v>
      </c>
      <c r="G5" s="80"/>
      <c r="H5" s="80"/>
      <c r="I5" s="64"/>
      <c r="J5" s="80" t="s">
        <v>16</v>
      </c>
      <c r="K5" s="80"/>
      <c r="L5" s="80"/>
      <c r="M5" s="64"/>
      <c r="N5" s="80" t="s">
        <v>0</v>
      </c>
      <c r="O5" s="80"/>
      <c r="P5" s="80"/>
      <c r="Q5" s="7"/>
      <c r="R5" s="74"/>
      <c r="S5" s="74"/>
      <c r="T5" s="74"/>
      <c r="U5" s="76"/>
      <c r="V5" s="78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</row>
    <row r="6" spans="1:65" s="13" customFormat="1" ht="26.25" customHeight="1" x14ac:dyDescent="0.25">
      <c r="A6" s="85"/>
      <c r="B6" s="87"/>
      <c r="C6" s="90"/>
      <c r="D6" s="90"/>
      <c r="E6" s="9"/>
      <c r="F6" s="10" t="s">
        <v>2</v>
      </c>
      <c r="G6" s="10" t="s">
        <v>3</v>
      </c>
      <c r="H6" s="10" t="s">
        <v>4</v>
      </c>
      <c r="I6" s="11"/>
      <c r="J6" s="10" t="s">
        <v>2</v>
      </c>
      <c r="K6" s="10" t="s">
        <v>3</v>
      </c>
      <c r="L6" s="10" t="s">
        <v>4</v>
      </c>
      <c r="M6" s="11"/>
      <c r="N6" s="10" t="s">
        <v>2</v>
      </c>
      <c r="O6" s="10" t="s">
        <v>3</v>
      </c>
      <c r="P6" s="10" t="s">
        <v>4</v>
      </c>
      <c r="Q6" s="12"/>
      <c r="R6" s="11" t="s">
        <v>2</v>
      </c>
      <c r="S6" s="11" t="s">
        <v>3</v>
      </c>
      <c r="T6" s="11" t="s">
        <v>4</v>
      </c>
      <c r="U6" s="78" t="s">
        <v>17</v>
      </c>
      <c r="V6" s="78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</row>
    <row r="7" spans="1:65" s="8" customFormat="1" ht="26.25" customHeight="1" x14ac:dyDescent="0.25">
      <c r="A7" s="14"/>
      <c r="B7" s="88"/>
      <c r="C7" s="91"/>
      <c r="D7" s="91"/>
      <c r="E7" s="66"/>
      <c r="F7" s="15" t="s">
        <v>18</v>
      </c>
      <c r="G7" s="15" t="s">
        <v>19</v>
      </c>
      <c r="H7" s="15" t="s">
        <v>20</v>
      </c>
      <c r="I7" s="15"/>
      <c r="J7" s="15" t="s">
        <v>18</v>
      </c>
      <c r="K7" s="15" t="s">
        <v>19</v>
      </c>
      <c r="L7" s="15" t="s">
        <v>20</v>
      </c>
      <c r="M7" s="15"/>
      <c r="N7" s="15" t="s">
        <v>18</v>
      </c>
      <c r="O7" s="15" t="s">
        <v>19</v>
      </c>
      <c r="P7" s="15" t="s">
        <v>20</v>
      </c>
      <c r="Q7" s="16"/>
      <c r="R7" s="15" t="s">
        <v>18</v>
      </c>
      <c r="S7" s="15" t="s">
        <v>19</v>
      </c>
      <c r="T7" s="15" t="s">
        <v>20</v>
      </c>
      <c r="U7" s="78"/>
      <c r="V7" s="79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</row>
    <row r="8" spans="1:65" s="23" customFormat="1" ht="26.25" customHeight="1" x14ac:dyDescent="0.25">
      <c r="A8" s="63"/>
      <c r="B8" s="17" t="s">
        <v>6</v>
      </c>
      <c r="C8" s="18"/>
      <c r="D8" s="19"/>
      <c r="E8" s="19"/>
      <c r="F8" s="20">
        <f>SUM(F9:F22)</f>
        <v>12993</v>
      </c>
      <c r="G8" s="20">
        <f>SUM(G9:G22)</f>
        <v>4947</v>
      </c>
      <c r="H8" s="20">
        <f>SUM(H9:H22)</f>
        <v>8046</v>
      </c>
      <c r="I8" s="20"/>
      <c r="J8" s="20">
        <f>SUM(J9:J22)</f>
        <v>0</v>
      </c>
      <c r="K8" s="20">
        <f>SUM(K9:K22)</f>
        <v>0</v>
      </c>
      <c r="L8" s="20">
        <f>SUM(L9:L22)</f>
        <v>0</v>
      </c>
      <c r="M8" s="20"/>
      <c r="N8" s="20">
        <f t="shared" ref="N8:N22" si="0">F8+J8</f>
        <v>12993</v>
      </c>
      <c r="O8" s="20">
        <f t="shared" ref="O8:O20" si="1">G8+K8</f>
        <v>4947</v>
      </c>
      <c r="P8" s="20">
        <f t="shared" ref="P8:P20" si="2">H8+L8</f>
        <v>8046</v>
      </c>
      <c r="Q8" s="21"/>
      <c r="R8" s="20">
        <f>SUM(R9:R22)</f>
        <v>5841</v>
      </c>
      <c r="S8" s="20">
        <f>SUM(S9:S22)</f>
        <v>1872</v>
      </c>
      <c r="T8" s="20">
        <f>SUM(T9:T22)</f>
        <v>3969</v>
      </c>
      <c r="U8" s="20">
        <f>SUM(U9:U22)</f>
        <v>1716</v>
      </c>
      <c r="V8" s="58" t="s">
        <v>5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</row>
    <row r="9" spans="1:65" s="32" customFormat="1" ht="26.25" customHeight="1" x14ac:dyDescent="0.25">
      <c r="A9" s="24"/>
      <c r="B9" s="33" t="s">
        <v>21</v>
      </c>
      <c r="C9" s="25" t="s">
        <v>1</v>
      </c>
      <c r="D9" s="25" t="s">
        <v>22</v>
      </c>
      <c r="E9" s="25"/>
      <c r="F9" s="26">
        <f>SUM(G9:H9)</f>
        <v>4223</v>
      </c>
      <c r="G9" s="27">
        <v>1726</v>
      </c>
      <c r="H9" s="27">
        <v>2497</v>
      </c>
      <c r="I9" s="26"/>
      <c r="J9" s="26">
        <f>K9+L9</f>
        <v>0</v>
      </c>
      <c r="K9" s="26">
        <v>0</v>
      </c>
      <c r="L9" s="26">
        <v>0</v>
      </c>
      <c r="M9" s="26"/>
      <c r="N9" s="28">
        <f t="shared" si="0"/>
        <v>4223</v>
      </c>
      <c r="O9" s="26">
        <f t="shared" si="1"/>
        <v>1726</v>
      </c>
      <c r="P9" s="26">
        <f t="shared" si="2"/>
        <v>2497</v>
      </c>
      <c r="Q9" s="29"/>
      <c r="R9" s="30">
        <f>S9+T9</f>
        <v>1624</v>
      </c>
      <c r="S9" s="26">
        <v>570</v>
      </c>
      <c r="T9" s="26">
        <v>1054</v>
      </c>
      <c r="U9" s="26">
        <v>493</v>
      </c>
      <c r="V9" s="54" t="s">
        <v>23</v>
      </c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</row>
    <row r="10" spans="1:65" s="32" customFormat="1" ht="26.25" customHeight="1" x14ac:dyDescent="0.25">
      <c r="A10" s="24"/>
      <c r="B10" s="33" t="s">
        <v>24</v>
      </c>
      <c r="C10" s="25" t="s">
        <v>1</v>
      </c>
      <c r="D10" s="25" t="s">
        <v>22</v>
      </c>
      <c r="E10" s="25"/>
      <c r="F10" s="26">
        <f>SUM(G10:H10)</f>
        <v>1000</v>
      </c>
      <c r="G10" s="34">
        <v>524</v>
      </c>
      <c r="H10" s="34">
        <v>476</v>
      </c>
      <c r="I10" s="26"/>
      <c r="J10" s="26">
        <f t="shared" ref="J10:J22" si="3">K10+L10</f>
        <v>0</v>
      </c>
      <c r="K10" s="26">
        <v>0</v>
      </c>
      <c r="L10" s="26">
        <v>0</v>
      </c>
      <c r="M10" s="26"/>
      <c r="N10" s="28">
        <f t="shared" si="0"/>
        <v>1000</v>
      </c>
      <c r="O10" s="26">
        <f t="shared" si="1"/>
        <v>524</v>
      </c>
      <c r="P10" s="26">
        <f t="shared" si="2"/>
        <v>476</v>
      </c>
      <c r="Q10" s="29"/>
      <c r="R10" s="30">
        <f t="shared" ref="R10:R22" si="4">S10+T10</f>
        <v>322</v>
      </c>
      <c r="S10" s="26">
        <v>152</v>
      </c>
      <c r="T10" s="26">
        <v>170</v>
      </c>
      <c r="U10" s="26">
        <v>25</v>
      </c>
      <c r="V10" s="54" t="s">
        <v>25</v>
      </c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</row>
    <row r="11" spans="1:65" s="32" customFormat="1" ht="21" x14ac:dyDescent="0.25">
      <c r="A11" s="24"/>
      <c r="B11" s="33" t="s">
        <v>7</v>
      </c>
      <c r="C11" s="25" t="s">
        <v>26</v>
      </c>
      <c r="D11" s="25" t="s">
        <v>27</v>
      </c>
      <c r="E11" s="25"/>
      <c r="F11" s="26">
        <f t="shared" ref="F11:F19" si="5">SUM(G11:H11)</f>
        <v>0</v>
      </c>
      <c r="G11" s="35">
        <v>0</v>
      </c>
      <c r="H11" s="35">
        <v>0</v>
      </c>
      <c r="I11" s="26"/>
      <c r="J11" s="26">
        <f t="shared" si="3"/>
        <v>0</v>
      </c>
      <c r="K11" s="26">
        <v>0</v>
      </c>
      <c r="L11" s="26">
        <v>0</v>
      </c>
      <c r="M11" s="26"/>
      <c r="N11" s="28">
        <f t="shared" si="0"/>
        <v>0</v>
      </c>
      <c r="O11" s="26">
        <f t="shared" si="1"/>
        <v>0</v>
      </c>
      <c r="P11" s="26">
        <f t="shared" si="2"/>
        <v>0</v>
      </c>
      <c r="Q11" s="29"/>
      <c r="R11" s="30">
        <f t="shared" si="4"/>
        <v>0</v>
      </c>
      <c r="S11" s="26">
        <v>0</v>
      </c>
      <c r="T11" s="26">
        <v>0</v>
      </c>
      <c r="U11" s="26">
        <v>0</v>
      </c>
      <c r="V11" s="54" t="s">
        <v>8</v>
      </c>
    </row>
    <row r="12" spans="1:65" s="32" customFormat="1" ht="21" x14ac:dyDescent="0.25">
      <c r="A12" s="24"/>
      <c r="B12" s="33" t="s">
        <v>28</v>
      </c>
      <c r="C12" s="25" t="s">
        <v>1</v>
      </c>
      <c r="D12" s="25" t="s">
        <v>22</v>
      </c>
      <c r="E12" s="25"/>
      <c r="F12" s="26">
        <f t="shared" si="5"/>
        <v>75</v>
      </c>
      <c r="G12" s="35">
        <v>14</v>
      </c>
      <c r="H12" s="35">
        <v>61</v>
      </c>
      <c r="I12" s="26"/>
      <c r="J12" s="26">
        <f t="shared" si="3"/>
        <v>0</v>
      </c>
      <c r="K12" s="26">
        <v>0</v>
      </c>
      <c r="L12" s="26">
        <v>0</v>
      </c>
      <c r="M12" s="26"/>
      <c r="N12" s="28">
        <f t="shared" si="0"/>
        <v>75</v>
      </c>
      <c r="O12" s="26">
        <f>G12+K12</f>
        <v>14</v>
      </c>
      <c r="P12" s="26">
        <f t="shared" si="2"/>
        <v>61</v>
      </c>
      <c r="Q12" s="29"/>
      <c r="R12" s="30">
        <f t="shared" si="4"/>
        <v>113</v>
      </c>
      <c r="S12" s="26">
        <v>32</v>
      </c>
      <c r="T12" s="26">
        <v>81</v>
      </c>
      <c r="U12" s="26">
        <v>19</v>
      </c>
      <c r="V12" s="54" t="s">
        <v>29</v>
      </c>
    </row>
    <row r="13" spans="1:65" s="32" customFormat="1" ht="21" x14ac:dyDescent="0.25">
      <c r="A13" s="24"/>
      <c r="B13" s="33" t="s">
        <v>30</v>
      </c>
      <c r="C13" s="25" t="s">
        <v>1</v>
      </c>
      <c r="D13" s="25" t="s">
        <v>22</v>
      </c>
      <c r="E13" s="25"/>
      <c r="F13" s="26">
        <f>SUM(G13:H13)</f>
        <v>387</v>
      </c>
      <c r="G13" s="36">
        <v>216</v>
      </c>
      <c r="H13" s="36">
        <v>171</v>
      </c>
      <c r="I13" s="26"/>
      <c r="J13" s="26">
        <f t="shared" si="3"/>
        <v>0</v>
      </c>
      <c r="K13" s="26">
        <v>0</v>
      </c>
      <c r="L13" s="26">
        <v>0</v>
      </c>
      <c r="M13" s="26"/>
      <c r="N13" s="28">
        <f t="shared" si="0"/>
        <v>387</v>
      </c>
      <c r="O13" s="26">
        <f>G13+K13</f>
        <v>216</v>
      </c>
      <c r="P13" s="26">
        <f>H13+L13</f>
        <v>171</v>
      </c>
      <c r="Q13" s="29"/>
      <c r="R13" s="30">
        <f t="shared" si="4"/>
        <v>115</v>
      </c>
      <c r="S13" s="26">
        <v>59</v>
      </c>
      <c r="T13" s="26">
        <v>56</v>
      </c>
      <c r="U13" s="26">
        <v>70</v>
      </c>
      <c r="V13" s="54" t="s">
        <v>31</v>
      </c>
    </row>
    <row r="14" spans="1:65" s="32" customFormat="1" ht="21" x14ac:dyDescent="0.25">
      <c r="A14" s="24"/>
      <c r="B14" s="33" t="s">
        <v>32</v>
      </c>
      <c r="C14" s="25" t="s">
        <v>26</v>
      </c>
      <c r="D14" s="25" t="s">
        <v>33</v>
      </c>
      <c r="E14" s="37"/>
      <c r="F14" s="26">
        <f t="shared" si="5"/>
        <v>0</v>
      </c>
      <c r="G14" s="34">
        <v>0</v>
      </c>
      <c r="H14" s="34">
        <v>0</v>
      </c>
      <c r="I14" s="26"/>
      <c r="J14" s="26">
        <f t="shared" si="3"/>
        <v>0</v>
      </c>
      <c r="K14" s="26">
        <v>0</v>
      </c>
      <c r="L14" s="26">
        <v>0</v>
      </c>
      <c r="M14" s="26"/>
      <c r="N14" s="28">
        <f t="shared" si="0"/>
        <v>0</v>
      </c>
      <c r="O14" s="26">
        <f t="shared" si="1"/>
        <v>0</v>
      </c>
      <c r="P14" s="26">
        <f t="shared" si="2"/>
        <v>0</v>
      </c>
      <c r="Q14" s="29"/>
      <c r="R14" s="30">
        <f t="shared" si="4"/>
        <v>0</v>
      </c>
      <c r="S14" s="26">
        <v>0</v>
      </c>
      <c r="T14" s="26">
        <v>0</v>
      </c>
      <c r="U14" s="26">
        <v>0</v>
      </c>
      <c r="V14" s="54" t="s">
        <v>34</v>
      </c>
    </row>
    <row r="15" spans="1:65" s="32" customFormat="1" ht="29.25" customHeight="1" x14ac:dyDescent="0.25">
      <c r="A15" s="24"/>
      <c r="B15" s="33" t="s">
        <v>35</v>
      </c>
      <c r="C15" s="25" t="s">
        <v>26</v>
      </c>
      <c r="D15" s="25" t="s">
        <v>33</v>
      </c>
      <c r="E15" s="25"/>
      <c r="F15" s="26">
        <f t="shared" si="5"/>
        <v>2376</v>
      </c>
      <c r="G15" s="26">
        <v>758</v>
      </c>
      <c r="H15" s="26">
        <v>1618</v>
      </c>
      <c r="I15" s="26"/>
      <c r="J15" s="26">
        <f t="shared" si="3"/>
        <v>0</v>
      </c>
      <c r="K15" s="26">
        <v>0</v>
      </c>
      <c r="L15" s="26">
        <v>0</v>
      </c>
      <c r="M15" s="26"/>
      <c r="N15" s="28">
        <f t="shared" si="0"/>
        <v>2376</v>
      </c>
      <c r="O15" s="26">
        <f t="shared" si="1"/>
        <v>758</v>
      </c>
      <c r="P15" s="26">
        <f t="shared" si="2"/>
        <v>1618</v>
      </c>
      <c r="Q15" s="38"/>
      <c r="R15" s="30">
        <f t="shared" si="4"/>
        <v>840</v>
      </c>
      <c r="S15" s="26">
        <v>161</v>
      </c>
      <c r="T15" s="26">
        <v>679</v>
      </c>
      <c r="U15" s="26">
        <v>304</v>
      </c>
      <c r="V15" s="54" t="s">
        <v>36</v>
      </c>
    </row>
    <row r="16" spans="1:65" s="32" customFormat="1" ht="21" x14ac:dyDescent="0.25">
      <c r="A16" s="24"/>
      <c r="B16" s="33" t="s">
        <v>37</v>
      </c>
      <c r="C16" s="25" t="s">
        <v>1</v>
      </c>
      <c r="D16" s="25" t="s">
        <v>22</v>
      </c>
      <c r="E16" s="25"/>
      <c r="F16" s="26">
        <f t="shared" si="5"/>
        <v>671</v>
      </c>
      <c r="G16" s="34">
        <v>349</v>
      </c>
      <c r="H16" s="34">
        <v>322</v>
      </c>
      <c r="I16" s="26"/>
      <c r="J16" s="26">
        <f t="shared" si="3"/>
        <v>0</v>
      </c>
      <c r="K16" s="26">
        <v>0</v>
      </c>
      <c r="L16" s="26">
        <v>0</v>
      </c>
      <c r="M16" s="26"/>
      <c r="N16" s="28">
        <f t="shared" si="0"/>
        <v>671</v>
      </c>
      <c r="O16" s="26">
        <f t="shared" si="1"/>
        <v>349</v>
      </c>
      <c r="P16" s="26">
        <f t="shared" si="2"/>
        <v>322</v>
      </c>
      <c r="Q16" s="29"/>
      <c r="R16" s="30">
        <f t="shared" si="4"/>
        <v>19</v>
      </c>
      <c r="S16" s="26">
        <v>0</v>
      </c>
      <c r="T16" s="26">
        <v>19</v>
      </c>
      <c r="U16" s="26">
        <v>23</v>
      </c>
      <c r="V16" s="54" t="s">
        <v>38</v>
      </c>
    </row>
    <row r="17" spans="1:65" s="32" customFormat="1" ht="21" x14ac:dyDescent="0.25">
      <c r="A17" s="24"/>
      <c r="B17" s="33" t="s">
        <v>39</v>
      </c>
      <c r="C17" s="25" t="s">
        <v>1</v>
      </c>
      <c r="D17" s="25" t="s">
        <v>22</v>
      </c>
      <c r="E17" s="31"/>
      <c r="F17" s="26">
        <f t="shared" si="5"/>
        <v>0</v>
      </c>
      <c r="G17" s="34">
        <v>0</v>
      </c>
      <c r="H17" s="34">
        <v>0</v>
      </c>
      <c r="I17" s="26"/>
      <c r="J17" s="26">
        <f t="shared" si="3"/>
        <v>0</v>
      </c>
      <c r="K17" s="26">
        <v>0</v>
      </c>
      <c r="L17" s="26">
        <v>0</v>
      </c>
      <c r="M17" s="26"/>
      <c r="N17" s="28">
        <f t="shared" si="0"/>
        <v>0</v>
      </c>
      <c r="O17" s="26">
        <f t="shared" si="1"/>
        <v>0</v>
      </c>
      <c r="P17" s="26">
        <f t="shared" si="2"/>
        <v>0</v>
      </c>
      <c r="Q17" s="29"/>
      <c r="R17" s="30">
        <f t="shared" si="4"/>
        <v>0</v>
      </c>
      <c r="S17" s="26">
        <v>0</v>
      </c>
      <c r="T17" s="26">
        <v>0</v>
      </c>
      <c r="U17" s="26">
        <v>0</v>
      </c>
      <c r="V17" s="54" t="s">
        <v>40</v>
      </c>
    </row>
    <row r="18" spans="1:65" s="32" customFormat="1" ht="21" x14ac:dyDescent="0.25">
      <c r="A18" s="24"/>
      <c r="B18" s="33" t="s">
        <v>41</v>
      </c>
      <c r="C18" s="25" t="s">
        <v>26</v>
      </c>
      <c r="D18" s="25" t="s">
        <v>22</v>
      </c>
      <c r="E18" s="31"/>
      <c r="F18" s="26">
        <f t="shared" si="5"/>
        <v>107</v>
      </c>
      <c r="G18" s="26">
        <v>102</v>
      </c>
      <c r="H18" s="34">
        <v>5</v>
      </c>
      <c r="I18" s="34"/>
      <c r="J18" s="26">
        <f t="shared" si="3"/>
        <v>0</v>
      </c>
      <c r="K18" s="26">
        <v>0</v>
      </c>
      <c r="L18" s="26">
        <v>0</v>
      </c>
      <c r="M18" s="26"/>
      <c r="N18" s="28">
        <f t="shared" si="0"/>
        <v>107</v>
      </c>
      <c r="O18" s="26">
        <f t="shared" si="1"/>
        <v>102</v>
      </c>
      <c r="P18" s="26">
        <f t="shared" si="2"/>
        <v>5</v>
      </c>
      <c r="Q18" s="29"/>
      <c r="R18" s="30">
        <f t="shared" si="4"/>
        <v>104</v>
      </c>
      <c r="S18" s="26">
        <v>99</v>
      </c>
      <c r="T18" s="26">
        <v>5</v>
      </c>
      <c r="U18" s="26">
        <v>3</v>
      </c>
      <c r="V18" s="54" t="s">
        <v>42</v>
      </c>
    </row>
    <row r="19" spans="1:65" s="32" customFormat="1" ht="42" customHeight="1" x14ac:dyDescent="0.25">
      <c r="A19" s="24"/>
      <c r="B19" s="33" t="s">
        <v>43</v>
      </c>
      <c r="C19" s="25" t="s">
        <v>26</v>
      </c>
      <c r="D19" s="25" t="s">
        <v>22</v>
      </c>
      <c r="E19" s="31"/>
      <c r="F19" s="26">
        <f t="shared" si="5"/>
        <v>25</v>
      </c>
      <c r="G19" s="36">
        <v>23</v>
      </c>
      <c r="H19" s="36">
        <v>2</v>
      </c>
      <c r="I19" s="26"/>
      <c r="J19" s="26">
        <f t="shared" si="3"/>
        <v>0</v>
      </c>
      <c r="K19" s="26">
        <v>0</v>
      </c>
      <c r="L19" s="26">
        <v>0</v>
      </c>
      <c r="M19" s="26"/>
      <c r="N19" s="28">
        <f t="shared" si="0"/>
        <v>25</v>
      </c>
      <c r="O19" s="26">
        <f t="shared" si="1"/>
        <v>23</v>
      </c>
      <c r="P19" s="26">
        <f t="shared" si="2"/>
        <v>2</v>
      </c>
      <c r="Q19" s="29"/>
      <c r="R19" s="30">
        <f t="shared" si="4"/>
        <v>138</v>
      </c>
      <c r="S19" s="26">
        <v>110</v>
      </c>
      <c r="T19" s="26">
        <v>28</v>
      </c>
      <c r="U19" s="26">
        <v>25</v>
      </c>
      <c r="V19" s="54" t="s">
        <v>44</v>
      </c>
    </row>
    <row r="20" spans="1:65" s="32" customFormat="1" ht="21" x14ac:dyDescent="0.25">
      <c r="A20" s="24"/>
      <c r="B20" s="37" t="s">
        <v>45</v>
      </c>
      <c r="C20" s="25" t="s">
        <v>1</v>
      </c>
      <c r="D20" s="25" t="s">
        <v>22</v>
      </c>
      <c r="E20" s="31"/>
      <c r="F20" s="26">
        <f t="shared" ref="F20:F22" si="6">SUM(G20:H20)</f>
        <v>2496</v>
      </c>
      <c r="G20" s="34">
        <v>751</v>
      </c>
      <c r="H20" s="34">
        <v>1745</v>
      </c>
      <c r="I20" s="26"/>
      <c r="J20" s="26">
        <f t="shared" si="3"/>
        <v>0</v>
      </c>
      <c r="K20" s="26">
        <v>0</v>
      </c>
      <c r="L20" s="26">
        <v>0</v>
      </c>
      <c r="M20" s="26"/>
      <c r="N20" s="28">
        <f t="shared" si="0"/>
        <v>2496</v>
      </c>
      <c r="O20" s="26">
        <f t="shared" si="1"/>
        <v>751</v>
      </c>
      <c r="P20" s="26">
        <f t="shared" si="2"/>
        <v>1745</v>
      </c>
      <c r="Q20" s="29"/>
      <c r="R20" s="30">
        <f t="shared" si="4"/>
        <v>1982</v>
      </c>
      <c r="S20" s="26">
        <v>492</v>
      </c>
      <c r="T20" s="26">
        <v>1490</v>
      </c>
      <c r="U20" s="26">
        <v>530</v>
      </c>
      <c r="V20" s="54" t="s">
        <v>46</v>
      </c>
    </row>
    <row r="21" spans="1:65" s="32" customFormat="1" ht="21" x14ac:dyDescent="0.25">
      <c r="A21" s="24"/>
      <c r="B21" s="37" t="s">
        <v>47</v>
      </c>
      <c r="C21" s="25" t="s">
        <v>1</v>
      </c>
      <c r="D21" s="25" t="s">
        <v>22</v>
      </c>
      <c r="E21" s="25"/>
      <c r="F21" s="26">
        <f t="shared" si="6"/>
        <v>494</v>
      </c>
      <c r="G21" s="26">
        <v>261</v>
      </c>
      <c r="H21" s="26">
        <v>233</v>
      </c>
      <c r="I21" s="26"/>
      <c r="J21" s="26">
        <f t="shared" si="3"/>
        <v>0</v>
      </c>
      <c r="K21" s="26">
        <v>0</v>
      </c>
      <c r="L21" s="26">
        <v>0</v>
      </c>
      <c r="M21" s="26"/>
      <c r="N21" s="28">
        <f t="shared" si="0"/>
        <v>494</v>
      </c>
      <c r="O21" s="26">
        <f t="shared" ref="O21:P22" si="7">G21+K21</f>
        <v>261</v>
      </c>
      <c r="P21" s="26">
        <f t="shared" si="7"/>
        <v>233</v>
      </c>
      <c r="Q21" s="29"/>
      <c r="R21" s="30">
        <f t="shared" si="4"/>
        <v>274</v>
      </c>
      <c r="S21" s="26">
        <v>125</v>
      </c>
      <c r="T21" s="26">
        <v>149</v>
      </c>
      <c r="U21" s="26">
        <v>92</v>
      </c>
      <c r="V21" s="54" t="s">
        <v>48</v>
      </c>
    </row>
    <row r="22" spans="1:65" s="32" customFormat="1" ht="21" x14ac:dyDescent="0.25">
      <c r="A22" s="24"/>
      <c r="B22" s="40" t="s">
        <v>49</v>
      </c>
      <c r="C22" s="41" t="s">
        <v>1</v>
      </c>
      <c r="D22" s="41" t="s">
        <v>22</v>
      </c>
      <c r="E22" s="68"/>
      <c r="F22" s="42">
        <f t="shared" si="6"/>
        <v>1139</v>
      </c>
      <c r="G22" s="69">
        <v>223</v>
      </c>
      <c r="H22" s="69">
        <v>916</v>
      </c>
      <c r="I22" s="42"/>
      <c r="J22" s="42">
        <f t="shared" si="3"/>
        <v>0</v>
      </c>
      <c r="K22" s="42">
        <v>0</v>
      </c>
      <c r="L22" s="42">
        <v>0</v>
      </c>
      <c r="M22" s="42"/>
      <c r="N22" s="43">
        <f t="shared" si="0"/>
        <v>1139</v>
      </c>
      <c r="O22" s="42">
        <f t="shared" si="7"/>
        <v>223</v>
      </c>
      <c r="P22" s="42">
        <f t="shared" si="7"/>
        <v>916</v>
      </c>
      <c r="Q22" s="44"/>
      <c r="R22" s="53">
        <f t="shared" si="4"/>
        <v>310</v>
      </c>
      <c r="S22" s="42">
        <v>72</v>
      </c>
      <c r="T22" s="42">
        <v>238</v>
      </c>
      <c r="U22" s="42">
        <v>132</v>
      </c>
      <c r="V22" s="59" t="s">
        <v>50</v>
      </c>
    </row>
    <row r="23" spans="1:65" s="45" customFormat="1" ht="18.75" customHeight="1" x14ac:dyDescent="0.2">
      <c r="A23" s="31" t="s">
        <v>51</v>
      </c>
      <c r="B23" s="3"/>
      <c r="C23" s="3"/>
      <c r="D23" s="3"/>
      <c r="E23" s="3"/>
      <c r="F23" s="3"/>
      <c r="G23" s="3"/>
      <c r="H23" s="3"/>
      <c r="I23" s="3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46"/>
      <c r="V23" s="25"/>
    </row>
    <row r="24" spans="1:65" ht="27.75" customHeight="1" x14ac:dyDescent="0.25">
      <c r="A24" s="71" t="s">
        <v>52</v>
      </c>
      <c r="B24" s="71"/>
      <c r="C24" s="71"/>
      <c r="D24" s="71"/>
      <c r="E24" s="71"/>
      <c r="F24" s="71"/>
      <c r="G24" s="71"/>
      <c r="H24" s="71"/>
      <c r="I24" s="37"/>
      <c r="J24" s="39"/>
      <c r="K24" s="39"/>
      <c r="L24" s="39"/>
      <c r="M24" s="39"/>
      <c r="N24" s="39"/>
      <c r="O24" s="39"/>
      <c r="P24" s="39"/>
      <c r="Q24" s="39"/>
      <c r="R24" s="62"/>
      <c r="S24" s="24"/>
      <c r="T24" s="24"/>
      <c r="U24" s="46"/>
      <c r="V24" s="25"/>
    </row>
    <row r="25" spans="1:65" ht="23.25" x14ac:dyDescent="0.25">
      <c r="A25" s="72" t="s">
        <v>53</v>
      </c>
      <c r="B25" s="72"/>
      <c r="C25" s="72"/>
      <c r="D25" s="72"/>
      <c r="E25" s="72"/>
      <c r="F25" s="72"/>
      <c r="G25" s="72"/>
      <c r="H25" s="47"/>
      <c r="I25" s="47"/>
      <c r="J25" s="47"/>
      <c r="K25" s="47"/>
      <c r="L25" s="47"/>
      <c r="M25" s="47"/>
      <c r="N25" s="47"/>
      <c r="O25" s="48"/>
      <c r="P25" s="47"/>
      <c r="Q25" s="47"/>
      <c r="R25" s="47"/>
      <c r="S25" s="47"/>
      <c r="T25" s="47"/>
      <c r="U25" s="47"/>
      <c r="V25" s="60"/>
    </row>
    <row r="26" spans="1:65" ht="7.5" customHeight="1" x14ac:dyDescent="0.25">
      <c r="A26" s="72" t="s">
        <v>54</v>
      </c>
      <c r="B26" s="72"/>
      <c r="C26" s="72"/>
      <c r="D26" s="72"/>
      <c r="E26" s="4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70"/>
      <c r="V26" s="60"/>
    </row>
    <row r="27" spans="1:65" s="1" customFormat="1" ht="10.5" customHeight="1" x14ac:dyDescent="0.25">
      <c r="A27" s="50"/>
      <c r="B27" s="51"/>
      <c r="C27" s="52"/>
      <c r="D27" s="5"/>
      <c r="E27" s="5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8"/>
      <c r="R27" s="26"/>
      <c r="S27" s="26"/>
      <c r="T27" s="26"/>
      <c r="U27" s="26"/>
      <c r="V27" s="61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</row>
    <row r="28" spans="1:65" s="1" customFormat="1" ht="25.5" customHeight="1" x14ac:dyDescent="0.2">
      <c r="A28" s="81" t="s">
        <v>58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</row>
    <row r="29" spans="1:65" s="1" customFormat="1" x14ac:dyDescent="0.2">
      <c r="A29" s="82" t="s">
        <v>57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</row>
    <row r="30" spans="1:65" ht="21" customHeight="1" x14ac:dyDescent="0.25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57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</row>
    <row r="31" spans="1:65" s="1" customFormat="1" ht="16.5" customHeight="1" x14ac:dyDescent="0.2">
      <c r="A31" s="84"/>
      <c r="B31" s="86" t="s">
        <v>9</v>
      </c>
      <c r="C31" s="89" t="s">
        <v>10</v>
      </c>
      <c r="D31" s="89"/>
      <c r="E31" s="67"/>
      <c r="F31" s="92" t="s">
        <v>11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6"/>
      <c r="R31" s="73" t="s">
        <v>12</v>
      </c>
      <c r="S31" s="73"/>
      <c r="T31" s="73"/>
      <c r="U31" s="75" t="s">
        <v>13</v>
      </c>
      <c r="V31" s="77" t="s">
        <v>14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</row>
    <row r="32" spans="1:65" s="8" customFormat="1" ht="21.75" customHeight="1" x14ac:dyDescent="0.25">
      <c r="A32" s="84"/>
      <c r="B32" s="87"/>
      <c r="C32" s="90"/>
      <c r="D32" s="90"/>
      <c r="E32" s="65"/>
      <c r="F32" s="80" t="s">
        <v>15</v>
      </c>
      <c r="G32" s="80"/>
      <c r="H32" s="80"/>
      <c r="I32" s="64"/>
      <c r="J32" s="80" t="s">
        <v>16</v>
      </c>
      <c r="K32" s="80"/>
      <c r="L32" s="80"/>
      <c r="M32" s="64"/>
      <c r="N32" s="80" t="s">
        <v>0</v>
      </c>
      <c r="O32" s="80"/>
      <c r="P32" s="80"/>
      <c r="Q32" s="7"/>
      <c r="R32" s="74"/>
      <c r="S32" s="74"/>
      <c r="T32" s="74"/>
      <c r="U32" s="76"/>
      <c r="V32" s="78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</row>
    <row r="33" spans="1:65" s="13" customFormat="1" ht="26.25" customHeight="1" x14ac:dyDescent="0.25">
      <c r="A33" s="85"/>
      <c r="B33" s="87"/>
      <c r="C33" s="90"/>
      <c r="D33" s="90"/>
      <c r="E33" s="9"/>
      <c r="F33" s="10" t="s">
        <v>2</v>
      </c>
      <c r="G33" s="10" t="s">
        <v>3</v>
      </c>
      <c r="H33" s="10" t="s">
        <v>4</v>
      </c>
      <c r="I33" s="11"/>
      <c r="J33" s="10" t="s">
        <v>2</v>
      </c>
      <c r="K33" s="10" t="s">
        <v>3</v>
      </c>
      <c r="L33" s="10" t="s">
        <v>4</v>
      </c>
      <c r="M33" s="11"/>
      <c r="N33" s="10" t="s">
        <v>2</v>
      </c>
      <c r="O33" s="10" t="s">
        <v>3</v>
      </c>
      <c r="P33" s="10" t="s">
        <v>4</v>
      </c>
      <c r="Q33" s="12"/>
      <c r="R33" s="11" t="s">
        <v>2</v>
      </c>
      <c r="S33" s="11" t="s">
        <v>3</v>
      </c>
      <c r="T33" s="11" t="s">
        <v>4</v>
      </c>
      <c r="U33" s="78" t="s">
        <v>17</v>
      </c>
      <c r="V33" s="78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</row>
    <row r="34" spans="1:65" s="8" customFormat="1" ht="26.25" customHeight="1" x14ac:dyDescent="0.25">
      <c r="A34" s="14"/>
      <c r="B34" s="88"/>
      <c r="C34" s="91"/>
      <c r="D34" s="91"/>
      <c r="E34" s="66"/>
      <c r="F34" s="15" t="s">
        <v>18</v>
      </c>
      <c r="G34" s="15" t="s">
        <v>19</v>
      </c>
      <c r="H34" s="15" t="s">
        <v>20</v>
      </c>
      <c r="I34" s="15"/>
      <c r="J34" s="15" t="s">
        <v>18</v>
      </c>
      <c r="K34" s="15" t="s">
        <v>19</v>
      </c>
      <c r="L34" s="15" t="s">
        <v>20</v>
      </c>
      <c r="M34" s="15"/>
      <c r="N34" s="15" t="s">
        <v>18</v>
      </c>
      <c r="O34" s="15" t="s">
        <v>19</v>
      </c>
      <c r="P34" s="15" t="s">
        <v>20</v>
      </c>
      <c r="Q34" s="16"/>
      <c r="R34" s="15" t="s">
        <v>18</v>
      </c>
      <c r="S34" s="15" t="s">
        <v>19</v>
      </c>
      <c r="T34" s="15" t="s">
        <v>20</v>
      </c>
      <c r="U34" s="78"/>
      <c r="V34" s="79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</row>
    <row r="35" spans="1:65" s="23" customFormat="1" ht="26.25" customHeight="1" x14ac:dyDescent="0.25">
      <c r="A35" s="63"/>
      <c r="B35" s="17" t="s">
        <v>6</v>
      </c>
      <c r="C35" s="18"/>
      <c r="D35" s="19"/>
      <c r="E35" s="19"/>
      <c r="F35" s="20">
        <f>SUM(F36:F49)</f>
        <v>12087</v>
      </c>
      <c r="G35" s="20">
        <f>SUM(G36:G49)</f>
        <v>4814</v>
      </c>
      <c r="H35" s="20">
        <f>SUM(H36:H49)</f>
        <v>7273</v>
      </c>
      <c r="I35" s="20"/>
      <c r="J35" s="20">
        <f>SUM(J36:J49)</f>
        <v>905</v>
      </c>
      <c r="K35" s="20">
        <f>SUM(K36:K49)</f>
        <v>277</v>
      </c>
      <c r="L35" s="20">
        <f>SUM(L36:L49)</f>
        <v>628</v>
      </c>
      <c r="M35" s="20"/>
      <c r="N35" s="20">
        <f t="shared" ref="N35:N49" si="8">F35+J35</f>
        <v>12992</v>
      </c>
      <c r="O35" s="20">
        <f t="shared" ref="O35:O47" si="9">G35+K35</f>
        <v>5091</v>
      </c>
      <c r="P35" s="20">
        <f t="shared" ref="P35:P47" si="10">H35+L35</f>
        <v>7901</v>
      </c>
      <c r="Q35" s="21"/>
      <c r="R35" s="20">
        <f>SUM(R36:R49)</f>
        <v>4719</v>
      </c>
      <c r="S35" s="20">
        <f>SUM(S36:S49)</f>
        <v>1995</v>
      </c>
      <c r="T35" s="20">
        <f>SUM(T36:T49)</f>
        <v>2724</v>
      </c>
      <c r="U35" s="20">
        <f>SUM(U36:U49)</f>
        <v>686</v>
      </c>
      <c r="V35" s="58" t="s">
        <v>5</v>
      </c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</row>
    <row r="36" spans="1:65" s="32" customFormat="1" ht="26.25" customHeight="1" x14ac:dyDescent="0.25">
      <c r="A36" s="24"/>
      <c r="B36" s="37" t="s">
        <v>21</v>
      </c>
      <c r="C36" s="25" t="s">
        <v>1</v>
      </c>
      <c r="D36" s="25" t="s">
        <v>22</v>
      </c>
      <c r="E36" s="25"/>
      <c r="F36" s="26">
        <f>SUM(G36:H36)</f>
        <v>3498</v>
      </c>
      <c r="G36" s="27">
        <v>1281</v>
      </c>
      <c r="H36" s="27">
        <v>2217</v>
      </c>
      <c r="I36" s="26"/>
      <c r="J36" s="26">
        <f>K36+L36</f>
        <v>738</v>
      </c>
      <c r="K36" s="26">
        <v>215</v>
      </c>
      <c r="L36" s="26">
        <v>523</v>
      </c>
      <c r="M36" s="26"/>
      <c r="N36" s="28">
        <f t="shared" si="8"/>
        <v>4236</v>
      </c>
      <c r="O36" s="26">
        <f t="shared" si="9"/>
        <v>1496</v>
      </c>
      <c r="P36" s="26">
        <f t="shared" si="10"/>
        <v>2740</v>
      </c>
      <c r="Q36" s="29"/>
      <c r="R36" s="30">
        <f>S36+T36</f>
        <v>2065</v>
      </c>
      <c r="S36" s="26">
        <v>875</v>
      </c>
      <c r="T36" s="26">
        <v>1190</v>
      </c>
      <c r="U36" s="26">
        <v>238</v>
      </c>
      <c r="V36" s="54" t="s">
        <v>23</v>
      </c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</row>
    <row r="37" spans="1:65" s="32" customFormat="1" ht="26.25" customHeight="1" x14ac:dyDescent="0.25">
      <c r="A37" s="24"/>
      <c r="B37" s="33" t="s">
        <v>24</v>
      </c>
      <c r="C37" s="25" t="s">
        <v>1</v>
      </c>
      <c r="D37" s="25" t="s">
        <v>22</v>
      </c>
      <c r="E37" s="25"/>
      <c r="F37" s="26">
        <f>SUM(G37:H37)</f>
        <v>439</v>
      </c>
      <c r="G37" s="34">
        <v>201</v>
      </c>
      <c r="H37" s="34">
        <v>238</v>
      </c>
      <c r="I37" s="26"/>
      <c r="J37" s="26">
        <f t="shared" ref="J37:J49" si="11">K37+L37</f>
        <v>0</v>
      </c>
      <c r="K37" s="26">
        <v>0</v>
      </c>
      <c r="L37" s="26">
        <v>0</v>
      </c>
      <c r="M37" s="26"/>
      <c r="N37" s="28">
        <f t="shared" si="8"/>
        <v>439</v>
      </c>
      <c r="O37" s="26">
        <f t="shared" si="9"/>
        <v>201</v>
      </c>
      <c r="P37" s="26">
        <f t="shared" si="10"/>
        <v>238</v>
      </c>
      <c r="Q37" s="29"/>
      <c r="R37" s="30">
        <f t="shared" ref="R37:R49" si="12">S37+T37</f>
        <v>225</v>
      </c>
      <c r="S37" s="26">
        <v>83</v>
      </c>
      <c r="T37" s="26">
        <v>142</v>
      </c>
      <c r="U37" s="26">
        <v>32</v>
      </c>
      <c r="V37" s="54" t="s">
        <v>25</v>
      </c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</row>
    <row r="38" spans="1:65" s="32" customFormat="1" ht="21" x14ac:dyDescent="0.25">
      <c r="A38" s="24"/>
      <c r="B38" s="37" t="s">
        <v>7</v>
      </c>
      <c r="C38" s="25" t="s">
        <v>26</v>
      </c>
      <c r="D38" s="25" t="s">
        <v>27</v>
      </c>
      <c r="E38" s="25"/>
      <c r="F38" s="26">
        <f t="shared" ref="F38:F46" si="13">SUM(G38:H38)</f>
        <v>978</v>
      </c>
      <c r="G38" s="35">
        <v>729</v>
      </c>
      <c r="H38" s="35">
        <v>249</v>
      </c>
      <c r="I38" s="26"/>
      <c r="J38" s="26">
        <f t="shared" si="11"/>
        <v>0</v>
      </c>
      <c r="K38" s="26">
        <v>0</v>
      </c>
      <c r="L38" s="26">
        <v>0</v>
      </c>
      <c r="M38" s="26"/>
      <c r="N38" s="28">
        <f t="shared" si="8"/>
        <v>978</v>
      </c>
      <c r="O38" s="26">
        <f t="shared" si="9"/>
        <v>729</v>
      </c>
      <c r="P38" s="26">
        <f t="shared" si="10"/>
        <v>249</v>
      </c>
      <c r="Q38" s="29"/>
      <c r="R38" s="30">
        <f t="shared" si="12"/>
        <v>333</v>
      </c>
      <c r="S38" s="26">
        <v>276</v>
      </c>
      <c r="T38" s="26">
        <v>57</v>
      </c>
      <c r="U38" s="26">
        <v>104</v>
      </c>
      <c r="V38" s="54" t="s">
        <v>8</v>
      </c>
    </row>
    <row r="39" spans="1:65" s="32" customFormat="1" ht="21" x14ac:dyDescent="0.25">
      <c r="A39" s="24"/>
      <c r="B39" s="37" t="s">
        <v>28</v>
      </c>
      <c r="C39" s="25" t="s">
        <v>1</v>
      </c>
      <c r="D39" s="25" t="s">
        <v>22</v>
      </c>
      <c r="E39" s="25"/>
      <c r="F39" s="26">
        <f t="shared" si="13"/>
        <v>0</v>
      </c>
      <c r="G39" s="35">
        <v>0</v>
      </c>
      <c r="H39" s="35">
        <v>0</v>
      </c>
      <c r="I39" s="26"/>
      <c r="J39" s="26">
        <f t="shared" si="11"/>
        <v>0</v>
      </c>
      <c r="K39" s="26">
        <v>0</v>
      </c>
      <c r="L39" s="26">
        <v>0</v>
      </c>
      <c r="M39" s="26"/>
      <c r="N39" s="28">
        <f t="shared" si="8"/>
        <v>0</v>
      </c>
      <c r="O39" s="26">
        <f t="shared" si="9"/>
        <v>0</v>
      </c>
      <c r="P39" s="26">
        <f t="shared" si="10"/>
        <v>0</v>
      </c>
      <c r="Q39" s="29"/>
      <c r="R39" s="30">
        <f t="shared" si="12"/>
        <v>0</v>
      </c>
      <c r="S39" s="26">
        <v>0</v>
      </c>
      <c r="T39" s="26">
        <v>0</v>
      </c>
      <c r="U39" s="26">
        <v>0</v>
      </c>
      <c r="V39" s="54" t="s">
        <v>29</v>
      </c>
    </row>
    <row r="40" spans="1:65" s="32" customFormat="1" ht="21" x14ac:dyDescent="0.25">
      <c r="A40" s="24"/>
      <c r="B40" s="37" t="s">
        <v>30</v>
      </c>
      <c r="C40" s="25" t="s">
        <v>1</v>
      </c>
      <c r="D40" s="25" t="s">
        <v>22</v>
      </c>
      <c r="E40" s="25"/>
      <c r="F40" s="26">
        <f t="shared" si="13"/>
        <v>140</v>
      </c>
      <c r="G40" s="36">
        <v>71</v>
      </c>
      <c r="H40" s="36">
        <v>69</v>
      </c>
      <c r="I40" s="26"/>
      <c r="J40" s="26">
        <f t="shared" si="11"/>
        <v>0</v>
      </c>
      <c r="K40" s="26">
        <v>0</v>
      </c>
      <c r="L40" s="26">
        <v>0</v>
      </c>
      <c r="M40" s="26"/>
      <c r="N40" s="28">
        <f t="shared" si="8"/>
        <v>140</v>
      </c>
      <c r="O40" s="26">
        <f t="shared" si="9"/>
        <v>71</v>
      </c>
      <c r="P40" s="26">
        <f t="shared" si="10"/>
        <v>69</v>
      </c>
      <c r="Q40" s="29"/>
      <c r="R40" s="30">
        <f t="shared" si="12"/>
        <v>136</v>
      </c>
      <c r="S40" s="26">
        <v>62</v>
      </c>
      <c r="T40" s="26">
        <v>74</v>
      </c>
      <c r="U40" s="26">
        <v>28</v>
      </c>
      <c r="V40" s="54" t="s">
        <v>31</v>
      </c>
    </row>
    <row r="41" spans="1:65" s="32" customFormat="1" ht="21" x14ac:dyDescent="0.25">
      <c r="A41" s="24"/>
      <c r="B41" s="37" t="s">
        <v>32</v>
      </c>
      <c r="C41" s="25" t="s">
        <v>26</v>
      </c>
      <c r="D41" s="25" t="s">
        <v>33</v>
      </c>
      <c r="E41" s="37"/>
      <c r="F41" s="26">
        <f t="shared" si="13"/>
        <v>1365</v>
      </c>
      <c r="G41" s="34">
        <v>382</v>
      </c>
      <c r="H41" s="34">
        <v>983</v>
      </c>
      <c r="I41" s="26"/>
      <c r="J41" s="26">
        <f t="shared" si="11"/>
        <v>0</v>
      </c>
      <c r="K41" s="26">
        <v>0</v>
      </c>
      <c r="L41" s="26">
        <v>0</v>
      </c>
      <c r="M41" s="26"/>
      <c r="N41" s="28">
        <f t="shared" si="8"/>
        <v>1365</v>
      </c>
      <c r="O41" s="26">
        <f t="shared" si="9"/>
        <v>382</v>
      </c>
      <c r="P41" s="26">
        <f t="shared" si="10"/>
        <v>983</v>
      </c>
      <c r="Q41" s="29"/>
      <c r="R41" s="30">
        <f t="shared" si="12"/>
        <v>749</v>
      </c>
      <c r="S41" s="26">
        <v>198</v>
      </c>
      <c r="T41" s="26">
        <v>551</v>
      </c>
      <c r="U41" s="26">
        <v>106</v>
      </c>
      <c r="V41" s="54" t="s">
        <v>34</v>
      </c>
    </row>
    <row r="42" spans="1:65" s="32" customFormat="1" ht="29.25" customHeight="1" x14ac:dyDescent="0.25">
      <c r="A42" s="24"/>
      <c r="B42" s="37" t="s">
        <v>35</v>
      </c>
      <c r="C42" s="25" t="s">
        <v>26</v>
      </c>
      <c r="D42" s="25" t="s">
        <v>33</v>
      </c>
      <c r="E42" s="25"/>
      <c r="F42" s="26">
        <f t="shared" si="13"/>
        <v>3028</v>
      </c>
      <c r="G42" s="26">
        <v>1259</v>
      </c>
      <c r="H42" s="26">
        <v>1769</v>
      </c>
      <c r="I42" s="26"/>
      <c r="J42" s="26">
        <f t="shared" si="11"/>
        <v>0</v>
      </c>
      <c r="K42" s="26">
        <v>0</v>
      </c>
      <c r="L42" s="26">
        <v>0</v>
      </c>
      <c r="M42" s="26"/>
      <c r="N42" s="28">
        <f t="shared" si="8"/>
        <v>3028</v>
      </c>
      <c r="O42" s="26">
        <f t="shared" si="9"/>
        <v>1259</v>
      </c>
      <c r="P42" s="26">
        <f t="shared" si="10"/>
        <v>1769</v>
      </c>
      <c r="Q42" s="38"/>
      <c r="R42" s="30">
        <f t="shared" si="12"/>
        <v>0</v>
      </c>
      <c r="S42" s="26">
        <v>0</v>
      </c>
      <c r="T42" s="26">
        <v>0</v>
      </c>
      <c r="U42" s="26">
        <v>0</v>
      </c>
      <c r="V42" s="54" t="s">
        <v>36</v>
      </c>
    </row>
    <row r="43" spans="1:65" s="32" customFormat="1" ht="21" x14ac:dyDescent="0.25">
      <c r="A43" s="24"/>
      <c r="B43" s="37" t="s">
        <v>37</v>
      </c>
      <c r="C43" s="25" t="s">
        <v>1</v>
      </c>
      <c r="D43" s="25" t="s">
        <v>22</v>
      </c>
      <c r="E43" s="25"/>
      <c r="F43" s="26">
        <f t="shared" si="13"/>
        <v>0</v>
      </c>
      <c r="G43" s="34">
        <v>0</v>
      </c>
      <c r="H43" s="34">
        <v>0</v>
      </c>
      <c r="I43" s="26"/>
      <c r="J43" s="26">
        <f t="shared" si="11"/>
        <v>0</v>
      </c>
      <c r="K43" s="26">
        <v>0</v>
      </c>
      <c r="L43" s="26">
        <v>0</v>
      </c>
      <c r="M43" s="26"/>
      <c r="N43" s="28">
        <f t="shared" si="8"/>
        <v>0</v>
      </c>
      <c r="O43" s="26">
        <f t="shared" si="9"/>
        <v>0</v>
      </c>
      <c r="P43" s="26">
        <f t="shared" si="10"/>
        <v>0</v>
      </c>
      <c r="Q43" s="29"/>
      <c r="R43" s="30">
        <f t="shared" si="12"/>
        <v>0</v>
      </c>
      <c r="S43" s="26">
        <v>0</v>
      </c>
      <c r="T43" s="26">
        <v>0</v>
      </c>
      <c r="U43" s="26">
        <v>0</v>
      </c>
      <c r="V43" s="54" t="s">
        <v>38</v>
      </c>
    </row>
    <row r="44" spans="1:65" s="32" customFormat="1" ht="21" x14ac:dyDescent="0.25">
      <c r="A44" s="24"/>
      <c r="B44" s="37" t="s">
        <v>39</v>
      </c>
      <c r="C44" s="25" t="s">
        <v>1</v>
      </c>
      <c r="D44" s="25" t="s">
        <v>22</v>
      </c>
      <c r="E44" s="31"/>
      <c r="F44" s="26">
        <f t="shared" si="13"/>
        <v>110</v>
      </c>
      <c r="G44" s="34">
        <v>38</v>
      </c>
      <c r="H44" s="34">
        <v>72</v>
      </c>
      <c r="I44" s="26"/>
      <c r="J44" s="26">
        <f t="shared" si="11"/>
        <v>167</v>
      </c>
      <c r="K44" s="26">
        <v>62</v>
      </c>
      <c r="L44" s="26">
        <v>105</v>
      </c>
      <c r="M44" s="26"/>
      <c r="N44" s="28">
        <f t="shared" si="8"/>
        <v>277</v>
      </c>
      <c r="O44" s="26">
        <f t="shared" si="9"/>
        <v>100</v>
      </c>
      <c r="P44" s="26">
        <f t="shared" si="10"/>
        <v>177</v>
      </c>
      <c r="Q44" s="29"/>
      <c r="R44" s="30">
        <f t="shared" si="12"/>
        <v>779</v>
      </c>
      <c r="S44" s="26">
        <v>309</v>
      </c>
      <c r="T44" s="26">
        <v>470</v>
      </c>
      <c r="U44" s="26">
        <v>15</v>
      </c>
      <c r="V44" s="54" t="s">
        <v>40</v>
      </c>
    </row>
    <row r="45" spans="1:65" s="32" customFormat="1" ht="21" x14ac:dyDescent="0.25">
      <c r="A45" s="24"/>
      <c r="B45" s="37" t="s">
        <v>41</v>
      </c>
      <c r="C45" s="25" t="s">
        <v>26</v>
      </c>
      <c r="D45" s="25" t="s">
        <v>22</v>
      </c>
      <c r="E45" s="31"/>
      <c r="F45" s="26">
        <f t="shared" si="13"/>
        <v>16</v>
      </c>
      <c r="G45" s="26">
        <v>16</v>
      </c>
      <c r="H45" s="34">
        <v>0</v>
      </c>
      <c r="I45" s="34"/>
      <c r="J45" s="26">
        <f t="shared" si="11"/>
        <v>0</v>
      </c>
      <c r="K45" s="26">
        <v>0</v>
      </c>
      <c r="L45" s="26">
        <v>0</v>
      </c>
      <c r="M45" s="26"/>
      <c r="N45" s="28">
        <f t="shared" si="8"/>
        <v>16</v>
      </c>
      <c r="O45" s="26">
        <f t="shared" si="9"/>
        <v>16</v>
      </c>
      <c r="P45" s="26">
        <f t="shared" si="10"/>
        <v>0</v>
      </c>
      <c r="Q45" s="29"/>
      <c r="R45" s="30">
        <f t="shared" si="12"/>
        <v>85</v>
      </c>
      <c r="S45" s="26">
        <v>83</v>
      </c>
      <c r="T45" s="26">
        <v>2</v>
      </c>
      <c r="U45" s="26">
        <v>0</v>
      </c>
      <c r="V45" s="54" t="s">
        <v>42</v>
      </c>
    </row>
    <row r="46" spans="1:65" s="32" customFormat="1" ht="42" customHeight="1" x14ac:dyDescent="0.25">
      <c r="A46" s="24"/>
      <c r="B46" s="39" t="s">
        <v>43</v>
      </c>
      <c r="C46" s="25" t="s">
        <v>26</v>
      </c>
      <c r="D46" s="25" t="s">
        <v>22</v>
      </c>
      <c r="E46" s="31"/>
      <c r="F46" s="26">
        <f t="shared" si="13"/>
        <v>48</v>
      </c>
      <c r="G46" s="36">
        <v>42</v>
      </c>
      <c r="H46" s="36">
        <v>6</v>
      </c>
      <c r="I46" s="26"/>
      <c r="J46" s="26">
        <f t="shared" si="11"/>
        <v>0</v>
      </c>
      <c r="K46" s="26">
        <v>0</v>
      </c>
      <c r="L46" s="26">
        <v>0</v>
      </c>
      <c r="M46" s="26"/>
      <c r="N46" s="28">
        <f t="shared" si="8"/>
        <v>48</v>
      </c>
      <c r="O46" s="26">
        <f t="shared" si="9"/>
        <v>42</v>
      </c>
      <c r="P46" s="26">
        <f t="shared" si="10"/>
        <v>6</v>
      </c>
      <c r="Q46" s="29"/>
      <c r="R46" s="30">
        <f t="shared" si="12"/>
        <v>0</v>
      </c>
      <c r="S46" s="26">
        <v>0</v>
      </c>
      <c r="T46" s="26">
        <v>0</v>
      </c>
      <c r="U46" s="26">
        <v>0</v>
      </c>
      <c r="V46" s="54" t="s">
        <v>44</v>
      </c>
    </row>
    <row r="47" spans="1:65" s="32" customFormat="1" ht="21" x14ac:dyDescent="0.25">
      <c r="A47" s="24"/>
      <c r="B47" s="37" t="s">
        <v>45</v>
      </c>
      <c r="C47" s="25" t="s">
        <v>1</v>
      </c>
      <c r="D47" s="25" t="s">
        <v>22</v>
      </c>
      <c r="E47" s="31"/>
      <c r="F47" s="26">
        <f t="shared" ref="F47:F49" si="14">SUM(G47:H47)</f>
        <v>1729</v>
      </c>
      <c r="G47" s="34">
        <v>502</v>
      </c>
      <c r="H47" s="34">
        <v>1227</v>
      </c>
      <c r="I47" s="26"/>
      <c r="J47" s="26">
        <f t="shared" si="11"/>
        <v>0</v>
      </c>
      <c r="K47" s="26">
        <v>0</v>
      </c>
      <c r="L47" s="26">
        <v>0</v>
      </c>
      <c r="M47" s="26"/>
      <c r="N47" s="28">
        <f t="shared" si="8"/>
        <v>1729</v>
      </c>
      <c r="O47" s="26">
        <f t="shared" si="9"/>
        <v>502</v>
      </c>
      <c r="P47" s="26">
        <f t="shared" si="10"/>
        <v>1227</v>
      </c>
      <c r="Q47" s="29"/>
      <c r="R47" s="30">
        <f t="shared" si="12"/>
        <v>0</v>
      </c>
      <c r="S47" s="26">
        <v>0</v>
      </c>
      <c r="T47" s="26">
        <v>0</v>
      </c>
      <c r="U47" s="26">
        <v>0</v>
      </c>
      <c r="V47" s="54" t="s">
        <v>46</v>
      </c>
    </row>
    <row r="48" spans="1:65" s="32" customFormat="1" ht="21" x14ac:dyDescent="0.25">
      <c r="A48" s="24"/>
      <c r="B48" s="37" t="s">
        <v>47</v>
      </c>
      <c r="C48" s="25" t="s">
        <v>1</v>
      </c>
      <c r="D48" s="25" t="s">
        <v>22</v>
      </c>
      <c r="E48" s="25"/>
      <c r="F48" s="26">
        <f t="shared" si="14"/>
        <v>354</v>
      </c>
      <c r="G48" s="26">
        <v>182</v>
      </c>
      <c r="H48" s="26">
        <v>172</v>
      </c>
      <c r="I48" s="26"/>
      <c r="J48" s="26">
        <f t="shared" si="11"/>
        <v>0</v>
      </c>
      <c r="K48" s="36">
        <v>0</v>
      </c>
      <c r="L48" s="36">
        <v>0</v>
      </c>
      <c r="M48" s="26"/>
      <c r="N48" s="28">
        <f t="shared" si="8"/>
        <v>354</v>
      </c>
      <c r="O48" s="26">
        <f t="shared" ref="O48:P49" si="15">G48+K48</f>
        <v>182</v>
      </c>
      <c r="P48" s="26">
        <f t="shared" si="15"/>
        <v>172</v>
      </c>
      <c r="Q48" s="29"/>
      <c r="R48" s="30">
        <f t="shared" si="12"/>
        <v>189</v>
      </c>
      <c r="S48" s="26">
        <v>86</v>
      </c>
      <c r="T48" s="26">
        <v>103</v>
      </c>
      <c r="U48" s="26">
        <v>4</v>
      </c>
      <c r="V48" s="54" t="s">
        <v>48</v>
      </c>
    </row>
    <row r="49" spans="1:65" s="32" customFormat="1" ht="21" x14ac:dyDescent="0.25">
      <c r="A49" s="24"/>
      <c r="B49" s="40" t="s">
        <v>49</v>
      </c>
      <c r="C49" s="41" t="s">
        <v>1</v>
      </c>
      <c r="D49" s="41" t="s">
        <v>22</v>
      </c>
      <c r="E49" s="68"/>
      <c r="F49" s="42">
        <f t="shared" si="14"/>
        <v>382</v>
      </c>
      <c r="G49" s="69">
        <v>111</v>
      </c>
      <c r="H49" s="69">
        <v>271</v>
      </c>
      <c r="I49" s="42"/>
      <c r="J49" s="42">
        <f t="shared" si="11"/>
        <v>0</v>
      </c>
      <c r="K49" s="42">
        <v>0</v>
      </c>
      <c r="L49" s="42">
        <v>0</v>
      </c>
      <c r="M49" s="42"/>
      <c r="N49" s="43">
        <f t="shared" si="8"/>
        <v>382</v>
      </c>
      <c r="O49" s="42">
        <f t="shared" si="15"/>
        <v>111</v>
      </c>
      <c r="P49" s="42">
        <f t="shared" si="15"/>
        <v>271</v>
      </c>
      <c r="Q49" s="44"/>
      <c r="R49" s="53">
        <f t="shared" si="12"/>
        <v>158</v>
      </c>
      <c r="S49" s="42">
        <v>23</v>
      </c>
      <c r="T49" s="42">
        <v>135</v>
      </c>
      <c r="U49" s="42">
        <v>159</v>
      </c>
      <c r="V49" s="59" t="s">
        <v>50</v>
      </c>
    </row>
    <row r="50" spans="1:65" s="45" customFormat="1" ht="18.75" customHeight="1" x14ac:dyDescent="0.2">
      <c r="A50" s="31" t="s">
        <v>51</v>
      </c>
      <c r="B50" s="3"/>
      <c r="C50" s="3"/>
      <c r="D50" s="3"/>
      <c r="E50" s="3"/>
      <c r="F50" s="3"/>
      <c r="G50" s="3"/>
      <c r="H50" s="3"/>
      <c r="I50" s="3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46"/>
      <c r="V50" s="25"/>
    </row>
    <row r="51" spans="1:65" ht="18.75" x14ac:dyDescent="0.25">
      <c r="A51" s="71" t="s">
        <v>52</v>
      </c>
      <c r="B51" s="71"/>
      <c r="C51" s="71"/>
      <c r="D51" s="71"/>
      <c r="E51" s="71"/>
      <c r="F51" s="71"/>
      <c r="G51" s="71"/>
      <c r="H51" s="71"/>
      <c r="I51" s="37"/>
      <c r="J51" s="39"/>
      <c r="K51" s="39"/>
      <c r="L51" s="39"/>
      <c r="M51" s="39"/>
      <c r="N51" s="39"/>
      <c r="O51" s="39"/>
      <c r="P51" s="39"/>
      <c r="Q51" s="39"/>
      <c r="R51" s="62"/>
      <c r="S51" s="24"/>
      <c r="T51" s="24"/>
      <c r="U51" s="46"/>
      <c r="V51" s="25"/>
    </row>
    <row r="52" spans="1:65" ht="23.25" x14ac:dyDescent="0.25">
      <c r="A52" s="72" t="s">
        <v>53</v>
      </c>
      <c r="B52" s="72"/>
      <c r="C52" s="72"/>
      <c r="D52" s="72"/>
      <c r="E52" s="72"/>
      <c r="F52" s="72"/>
      <c r="G52" s="72"/>
      <c r="H52" s="47"/>
      <c r="I52" s="47"/>
      <c r="J52" s="47"/>
      <c r="K52" s="47"/>
      <c r="L52" s="47"/>
      <c r="M52" s="47"/>
      <c r="N52" s="47"/>
      <c r="O52" s="48"/>
      <c r="P52" s="47"/>
      <c r="Q52" s="47"/>
      <c r="R52" s="47"/>
      <c r="S52" s="47"/>
      <c r="T52" s="47"/>
      <c r="U52" s="47"/>
      <c r="V52" s="60"/>
    </row>
    <row r="53" spans="1:65" ht="7.5" customHeight="1" x14ac:dyDescent="0.25">
      <c r="A53" s="72" t="s">
        <v>54</v>
      </c>
      <c r="B53" s="72"/>
      <c r="C53" s="72"/>
      <c r="D53" s="72"/>
      <c r="E53" s="4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70"/>
      <c r="V53" s="60"/>
    </row>
    <row r="54" spans="1:65" s="1" customFormat="1" ht="10.5" customHeight="1" x14ac:dyDescent="0.25">
      <c r="A54" s="50"/>
      <c r="B54" s="51"/>
      <c r="C54" s="52"/>
      <c r="D54" s="5"/>
      <c r="E54" s="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8"/>
      <c r="R54" s="26"/>
      <c r="S54" s="26"/>
      <c r="T54" s="26"/>
      <c r="U54" s="26"/>
      <c r="V54" s="61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</row>
    <row r="55" spans="1:65" x14ac:dyDescent="0.25">
      <c r="B55" s="55"/>
      <c r="C55" s="56"/>
    </row>
    <row r="56" spans="1:65" x14ac:dyDescent="0.25">
      <c r="B56" s="55"/>
      <c r="C56" s="56"/>
    </row>
    <row r="57" spans="1:65" x14ac:dyDescent="0.25">
      <c r="B57" s="55"/>
      <c r="C57" s="56"/>
    </row>
    <row r="58" spans="1:65" x14ac:dyDescent="0.25">
      <c r="B58" s="55"/>
      <c r="C58" s="56"/>
    </row>
    <row r="59" spans="1:65" x14ac:dyDescent="0.25">
      <c r="B59" s="55"/>
      <c r="C59" s="56"/>
    </row>
    <row r="60" spans="1:65" x14ac:dyDescent="0.25">
      <c r="B60" s="55"/>
      <c r="C60" s="56"/>
    </row>
    <row r="61" spans="1:65" x14ac:dyDescent="0.25">
      <c r="B61" s="55"/>
      <c r="C61" s="56"/>
    </row>
    <row r="62" spans="1:65" x14ac:dyDescent="0.25">
      <c r="B62" s="55"/>
      <c r="C62" s="56"/>
    </row>
    <row r="63" spans="1:65" x14ac:dyDescent="0.25">
      <c r="B63" s="55"/>
      <c r="C63" s="56"/>
    </row>
    <row r="64" spans="1:65" x14ac:dyDescent="0.25">
      <c r="B64" s="55"/>
      <c r="C64" s="56"/>
    </row>
    <row r="65" spans="2:3" x14ac:dyDescent="0.25">
      <c r="B65" s="55"/>
      <c r="C65" s="56"/>
    </row>
    <row r="66" spans="2:3" x14ac:dyDescent="0.25">
      <c r="B66" s="55"/>
      <c r="C66" s="56"/>
    </row>
    <row r="67" spans="2:3" x14ac:dyDescent="0.25">
      <c r="B67" s="55"/>
      <c r="C67" s="56"/>
    </row>
    <row r="68" spans="2:3" x14ac:dyDescent="0.25">
      <c r="B68" s="55"/>
      <c r="C68" s="56"/>
    </row>
    <row r="69" spans="2:3" x14ac:dyDescent="0.25">
      <c r="B69" s="55"/>
      <c r="C69" s="56"/>
    </row>
    <row r="70" spans="2:3" x14ac:dyDescent="0.25">
      <c r="B70" s="55"/>
      <c r="C70" s="56"/>
    </row>
    <row r="71" spans="2:3" x14ac:dyDescent="0.25">
      <c r="B71" s="55"/>
      <c r="C71" s="56"/>
    </row>
    <row r="72" spans="2:3" x14ac:dyDescent="0.25">
      <c r="B72" s="55"/>
      <c r="C72" s="56"/>
    </row>
    <row r="73" spans="2:3" x14ac:dyDescent="0.25">
      <c r="B73" s="55"/>
      <c r="C73" s="56"/>
    </row>
    <row r="74" spans="2:3" x14ac:dyDescent="0.25">
      <c r="B74" s="55"/>
      <c r="C74" s="56"/>
    </row>
    <row r="75" spans="2:3" x14ac:dyDescent="0.25">
      <c r="B75" s="55"/>
      <c r="C75" s="56"/>
    </row>
    <row r="76" spans="2:3" x14ac:dyDescent="0.25">
      <c r="B76" s="55"/>
      <c r="C76" s="56"/>
    </row>
    <row r="77" spans="2:3" x14ac:dyDescent="0.25">
      <c r="B77" s="55"/>
      <c r="C77" s="56"/>
    </row>
    <row r="78" spans="2:3" x14ac:dyDescent="0.25">
      <c r="B78" s="55"/>
      <c r="C78" s="56"/>
    </row>
    <row r="79" spans="2:3" x14ac:dyDescent="0.25">
      <c r="B79" s="55"/>
      <c r="C79" s="56"/>
    </row>
    <row r="80" spans="2:3" x14ac:dyDescent="0.25">
      <c r="B80" s="55"/>
      <c r="C80" s="56"/>
    </row>
    <row r="81" spans="2:3" x14ac:dyDescent="0.25">
      <c r="B81" s="55"/>
      <c r="C81" s="56"/>
    </row>
    <row r="82" spans="2:3" x14ac:dyDescent="0.25">
      <c r="B82" s="55"/>
      <c r="C82" s="56"/>
    </row>
    <row r="83" spans="2:3" x14ac:dyDescent="0.25">
      <c r="B83" s="55"/>
      <c r="C83" s="56"/>
    </row>
    <row r="84" spans="2:3" x14ac:dyDescent="0.25">
      <c r="B84" s="55"/>
      <c r="C84" s="56"/>
    </row>
    <row r="85" spans="2:3" x14ac:dyDescent="0.25">
      <c r="B85" s="55"/>
      <c r="C85" s="56"/>
    </row>
    <row r="86" spans="2:3" x14ac:dyDescent="0.25">
      <c r="B86" s="55"/>
      <c r="C86" s="56"/>
    </row>
    <row r="87" spans="2:3" x14ac:dyDescent="0.25">
      <c r="B87" s="55"/>
      <c r="C87" s="56"/>
    </row>
    <row r="88" spans="2:3" x14ac:dyDescent="0.25">
      <c r="B88" s="55"/>
      <c r="C88" s="56"/>
    </row>
    <row r="89" spans="2:3" x14ac:dyDescent="0.25">
      <c r="B89" s="55"/>
      <c r="C89" s="56"/>
    </row>
    <row r="90" spans="2:3" x14ac:dyDescent="0.25">
      <c r="B90" s="55"/>
      <c r="C90" s="56"/>
    </row>
    <row r="91" spans="2:3" x14ac:dyDescent="0.25">
      <c r="B91" s="55"/>
      <c r="C91" s="56"/>
    </row>
    <row r="92" spans="2:3" x14ac:dyDescent="0.25">
      <c r="B92" s="55"/>
      <c r="C92" s="56"/>
    </row>
    <row r="93" spans="2:3" x14ac:dyDescent="0.25">
      <c r="B93" s="55"/>
      <c r="C93" s="56"/>
    </row>
    <row r="94" spans="2:3" x14ac:dyDescent="0.25">
      <c r="B94" s="55"/>
      <c r="C94" s="56"/>
    </row>
    <row r="95" spans="2:3" x14ac:dyDescent="0.25">
      <c r="B95" s="55"/>
      <c r="C95" s="56"/>
    </row>
    <row r="96" spans="2:3" x14ac:dyDescent="0.25">
      <c r="B96" s="55"/>
      <c r="C96" s="56"/>
    </row>
    <row r="97" spans="2:3" x14ac:dyDescent="0.25">
      <c r="B97" s="55"/>
      <c r="C97" s="56"/>
    </row>
    <row r="98" spans="2:3" x14ac:dyDescent="0.25">
      <c r="B98" s="55"/>
      <c r="C98" s="56"/>
    </row>
    <row r="99" spans="2:3" x14ac:dyDescent="0.25">
      <c r="B99" s="55"/>
      <c r="C99" s="56"/>
    </row>
    <row r="100" spans="2:3" x14ac:dyDescent="0.25">
      <c r="B100" s="55"/>
      <c r="C100" s="56"/>
    </row>
    <row r="101" spans="2:3" x14ac:dyDescent="0.25">
      <c r="B101" s="55"/>
      <c r="C101" s="56"/>
    </row>
    <row r="102" spans="2:3" x14ac:dyDescent="0.25">
      <c r="B102" s="55"/>
      <c r="C102" s="56"/>
    </row>
    <row r="103" spans="2:3" x14ac:dyDescent="0.25">
      <c r="B103" s="55"/>
      <c r="C103" s="56"/>
    </row>
    <row r="104" spans="2:3" x14ac:dyDescent="0.25">
      <c r="B104" s="55"/>
      <c r="C104" s="56"/>
    </row>
    <row r="105" spans="2:3" x14ac:dyDescent="0.25">
      <c r="B105" s="55"/>
      <c r="C105" s="56"/>
    </row>
    <row r="106" spans="2:3" x14ac:dyDescent="0.25">
      <c r="B106" s="55"/>
      <c r="C106" s="56"/>
    </row>
    <row r="107" spans="2:3" x14ac:dyDescent="0.25">
      <c r="B107" s="55"/>
      <c r="C107" s="56"/>
    </row>
    <row r="108" spans="2:3" x14ac:dyDescent="0.25">
      <c r="B108" s="55"/>
      <c r="C108" s="56"/>
    </row>
    <row r="109" spans="2:3" x14ac:dyDescent="0.25">
      <c r="B109" s="55"/>
      <c r="C109" s="56"/>
    </row>
    <row r="110" spans="2:3" x14ac:dyDescent="0.25">
      <c r="B110" s="55"/>
      <c r="C110" s="56"/>
    </row>
    <row r="111" spans="2:3" x14ac:dyDescent="0.25">
      <c r="B111" s="55"/>
      <c r="C111" s="56"/>
    </row>
    <row r="112" spans="2:3" x14ac:dyDescent="0.25">
      <c r="B112" s="55"/>
      <c r="C112" s="56"/>
    </row>
    <row r="113" spans="2:3" x14ac:dyDescent="0.25">
      <c r="B113" s="55"/>
      <c r="C113" s="56"/>
    </row>
  </sheetData>
  <mergeCells count="34">
    <mergeCell ref="A29:V29"/>
    <mergeCell ref="A30:U30"/>
    <mergeCell ref="A31:A33"/>
    <mergeCell ref="B31:B34"/>
    <mergeCell ref="C31:D34"/>
    <mergeCell ref="F31:P31"/>
    <mergeCell ref="N32:P32"/>
    <mergeCell ref="U33:U34"/>
    <mergeCell ref="A51:H51"/>
    <mergeCell ref="A52:G52"/>
    <mergeCell ref="A53:D53"/>
    <mergeCell ref="A1:V1"/>
    <mergeCell ref="A2:V2"/>
    <mergeCell ref="A3:U3"/>
    <mergeCell ref="A4:A6"/>
    <mergeCell ref="B4:B7"/>
    <mergeCell ref="C4:D7"/>
    <mergeCell ref="F4:P4"/>
    <mergeCell ref="R31:T32"/>
    <mergeCell ref="U31:U32"/>
    <mergeCell ref="V31:V34"/>
    <mergeCell ref="F32:H32"/>
    <mergeCell ref="J32:L32"/>
    <mergeCell ref="A28:V28"/>
    <mergeCell ref="V4:V7"/>
    <mergeCell ref="F5:H5"/>
    <mergeCell ref="J5:L5"/>
    <mergeCell ref="N5:P5"/>
    <mergeCell ref="U6:U7"/>
    <mergeCell ref="A24:H24"/>
    <mergeCell ref="A25:G25"/>
    <mergeCell ref="A26:D26"/>
    <mergeCell ref="R4:T5"/>
    <mergeCell ref="U4:U5"/>
  </mergeCells>
  <pageMargins left="0.7" right="0.7" top="0.75" bottom="0.75" header="0.3" footer="0.3"/>
  <pageSetup paperSize="9" scale="36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21.3</vt:lpstr>
      <vt:lpstr>'21.3'!Print_Area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2024-10-22T04:05:26Z</cp:lastPrinted>
  <dcterms:created xsi:type="dcterms:W3CDTF">2019-02-28T08:20:57Z</dcterms:created>
  <dcterms:modified xsi:type="dcterms:W3CDTF">2024-10-22T04:05:30Z</dcterms:modified>
</cp:coreProperties>
</file>