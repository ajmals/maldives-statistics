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5A806F49-F70C-4A7C-B43B-793D40C15790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7.31" sheetId="3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32" l="1"/>
  <c r="K38" i="32"/>
  <c r="K37" i="32"/>
  <c r="K36" i="32"/>
  <c r="K35" i="32"/>
  <c r="K34" i="32"/>
  <c r="K33" i="32"/>
  <c r="K32" i="32"/>
  <c r="K31" i="32"/>
  <c r="K30" i="32"/>
  <c r="K29" i="32"/>
  <c r="M28" i="32"/>
  <c r="L28" i="32"/>
  <c r="K18" i="32"/>
  <c r="K17" i="32"/>
  <c r="K16" i="32"/>
  <c r="K15" i="32"/>
  <c r="K14" i="32"/>
  <c r="K13" i="32"/>
  <c r="K12" i="32"/>
  <c r="K11" i="32"/>
  <c r="K10" i="32"/>
  <c r="K9" i="32"/>
  <c r="K8" i="32"/>
  <c r="M7" i="32"/>
  <c r="L7" i="32"/>
  <c r="K7" i="32" l="1"/>
  <c r="K28" i="32"/>
  <c r="K62" i="32" l="1"/>
  <c r="H18" i="32" l="1"/>
  <c r="E18" i="32"/>
  <c r="B18" i="32"/>
  <c r="H17" i="32"/>
  <c r="E17" i="32"/>
  <c r="B17" i="32"/>
  <c r="H16" i="32"/>
  <c r="E16" i="32"/>
  <c r="B16" i="32"/>
  <c r="H15" i="32"/>
  <c r="E15" i="32"/>
  <c r="B15" i="32"/>
  <c r="H14" i="32"/>
  <c r="E14" i="32"/>
  <c r="B14" i="32"/>
  <c r="H13" i="32"/>
  <c r="E13" i="32"/>
  <c r="B13" i="32"/>
  <c r="H12" i="32"/>
  <c r="E12" i="32"/>
  <c r="B12" i="32"/>
  <c r="H11" i="32"/>
  <c r="E11" i="32"/>
  <c r="B11" i="32"/>
  <c r="H10" i="32"/>
  <c r="E10" i="32"/>
  <c r="B10" i="32"/>
  <c r="H9" i="32"/>
  <c r="E9" i="32"/>
  <c r="B9" i="32"/>
  <c r="H8" i="32"/>
  <c r="E8" i="32"/>
  <c r="B8" i="32"/>
  <c r="J7" i="32"/>
  <c r="I7" i="32"/>
  <c r="G7" i="32"/>
  <c r="F7" i="32"/>
  <c r="D7" i="32"/>
  <c r="C7" i="32"/>
  <c r="N61" i="32"/>
  <c r="K61" i="32"/>
  <c r="J61" i="32"/>
  <c r="I61" i="32"/>
  <c r="G61" i="32"/>
  <c r="F61" i="32"/>
  <c r="D61" i="32"/>
  <c r="C61" i="32"/>
  <c r="N60" i="32"/>
  <c r="K60" i="32"/>
  <c r="H60" i="32"/>
  <c r="E60" i="32"/>
  <c r="B60" i="32"/>
  <c r="N59" i="32"/>
  <c r="K59" i="32"/>
  <c r="H59" i="32"/>
  <c r="E59" i="32"/>
  <c r="B59" i="32"/>
  <c r="N58" i="32"/>
  <c r="K58" i="32"/>
  <c r="H58" i="32"/>
  <c r="E58" i="32"/>
  <c r="B58" i="32"/>
  <c r="N57" i="32"/>
  <c r="K57" i="32"/>
  <c r="H57" i="32"/>
  <c r="E57" i="32"/>
  <c r="B57" i="32"/>
  <c r="N56" i="32"/>
  <c r="K56" i="32"/>
  <c r="H56" i="32"/>
  <c r="E56" i="32"/>
  <c r="B56" i="32"/>
  <c r="P55" i="32"/>
  <c r="O55" i="32"/>
  <c r="N55" i="32" s="1"/>
  <c r="M55" i="32"/>
  <c r="M50" i="32" s="1"/>
  <c r="L55" i="32"/>
  <c r="J55" i="32"/>
  <c r="I55" i="32"/>
  <c r="G55" i="32"/>
  <c r="F55" i="32"/>
  <c r="E55" i="32" s="1"/>
  <c r="B55" i="32"/>
  <c r="P54" i="32"/>
  <c r="O54" i="32"/>
  <c r="M54" i="32"/>
  <c r="L54" i="32"/>
  <c r="K54" i="32" s="1"/>
  <c r="J54" i="32"/>
  <c r="I54" i="32"/>
  <c r="H54" i="32" s="1"/>
  <c r="G54" i="32"/>
  <c r="F54" i="32"/>
  <c r="B54" i="32"/>
  <c r="P53" i="32"/>
  <c r="O53" i="32"/>
  <c r="N53" i="32" s="1"/>
  <c r="L53" i="32"/>
  <c r="K53" i="32"/>
  <c r="J53" i="32"/>
  <c r="I53" i="32"/>
  <c r="G53" i="32"/>
  <c r="F53" i="32"/>
  <c r="D53" i="32"/>
  <c r="C53" i="32"/>
  <c r="N52" i="32"/>
  <c r="K52" i="32"/>
  <c r="H52" i="32"/>
  <c r="E52" i="32"/>
  <c r="B52" i="32"/>
  <c r="N51" i="32"/>
  <c r="K51" i="32"/>
  <c r="J51" i="32"/>
  <c r="I51" i="32"/>
  <c r="G51" i="32"/>
  <c r="F51" i="32"/>
  <c r="D51" i="32"/>
  <c r="D50" i="32" s="1"/>
  <c r="C51" i="32"/>
  <c r="L50" i="32"/>
  <c r="H39" i="32"/>
  <c r="E39" i="32"/>
  <c r="B39" i="32"/>
  <c r="H38" i="32"/>
  <c r="E38" i="32"/>
  <c r="B38" i="32"/>
  <c r="H37" i="32"/>
  <c r="E37" i="32"/>
  <c r="B37" i="32"/>
  <c r="H36" i="32"/>
  <c r="E36" i="32"/>
  <c r="B36" i="32"/>
  <c r="H35" i="32"/>
  <c r="E35" i="32"/>
  <c r="B35" i="32"/>
  <c r="H34" i="32"/>
  <c r="E34" i="32"/>
  <c r="B34" i="32"/>
  <c r="H33" i="32"/>
  <c r="E33" i="32"/>
  <c r="B33" i="32"/>
  <c r="H32" i="32"/>
  <c r="E32" i="32"/>
  <c r="B32" i="32"/>
  <c r="H31" i="32"/>
  <c r="E31" i="32"/>
  <c r="B31" i="32"/>
  <c r="H30" i="32"/>
  <c r="E30" i="32"/>
  <c r="B30" i="32"/>
  <c r="I28" i="32"/>
  <c r="G28" i="32"/>
  <c r="E29" i="32"/>
  <c r="D28" i="32"/>
  <c r="B29" i="32"/>
  <c r="J28" i="32"/>
  <c r="F28" i="32"/>
  <c r="C28" i="32"/>
  <c r="H55" i="32" l="1"/>
  <c r="E28" i="32"/>
  <c r="E53" i="32"/>
  <c r="N54" i="32"/>
  <c r="J50" i="32"/>
  <c r="B53" i="32"/>
  <c r="G50" i="32"/>
  <c r="C50" i="32"/>
  <c r="O50" i="32"/>
  <c r="P50" i="32"/>
  <c r="K55" i="32"/>
  <c r="K50" i="32" s="1"/>
  <c r="E61" i="32"/>
  <c r="B7" i="32"/>
  <c r="E7" i="32"/>
  <c r="E51" i="32"/>
  <c r="F50" i="32"/>
  <c r="E54" i="32"/>
  <c r="H61" i="32"/>
  <c r="H50" i="32" s="1"/>
  <c r="H7" i="32"/>
  <c r="H51" i="32"/>
  <c r="H53" i="32"/>
  <c r="N50" i="32"/>
  <c r="B61" i="32"/>
  <c r="B28" i="32"/>
  <c r="I50" i="32"/>
  <c r="B51" i="32"/>
  <c r="H29" i="32"/>
  <c r="H28" i="32" s="1"/>
  <c r="E50" i="32" l="1"/>
  <c r="B50" i="32"/>
</calcChain>
</file>

<file path=xl/sharedStrings.xml><?xml version="1.0" encoding="utf-8"?>
<sst xmlns="http://schemas.openxmlformats.org/spreadsheetml/2006/main" count="67" uniqueCount="15">
  <si>
    <t>Total</t>
  </si>
  <si>
    <t>Male</t>
  </si>
  <si>
    <t>Female</t>
  </si>
  <si>
    <t>Both sexes</t>
  </si>
  <si>
    <t>Total Enrollment</t>
  </si>
  <si>
    <t>Graduate Output</t>
  </si>
  <si>
    <t xml:space="preserve">Dropout </t>
  </si>
  <si>
    <t>Unspecified</t>
  </si>
  <si>
    <t>MNQF Level</t>
  </si>
  <si>
    <t>Repeat</t>
  </si>
  <si>
    <t>Other trainings</t>
  </si>
  <si>
    <t xml:space="preserve">Source: Ministry of Higher Education </t>
  </si>
  <si>
    <t>TABLE 21.8: HIGHER EDUCATION ENROLLMENT  BY LEVELS OF MALDIVES NATIONAL QUALIFICATIONS FRAMEWORK, 2021</t>
  </si>
  <si>
    <t>TABLE 21.8: HIGHER EDUCATION ENROLLMENT  BY LEVELS OF MALDIVES NATIONAL QUALIFICATIONS FRAMEWORK, 2020</t>
  </si>
  <si>
    <t>TABLE 21.8: HIGHER EDUCATION ENROLLMENT  BY LEVELS OF MALDIVES NATIONAL QUALIFICATIONS FRAMEWORK,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</si>
</sst>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9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0" fontId="5" fillId="0" borderId="0"/>
    <xf numFmtId="0" fontId="5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5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30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/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9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6" fillId="2" borderId="0" xfId="12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3:P63"/>
  <sheetViews>
    <sheetView tabSelected="1" zoomScaleNormal="100" workbookViewId="0">
      <selection activeCell="G42" sqref="G42"/>
    </sheetView>
  </sheetViews>
  <sheetFormatPr defaultColWidth="9.140625" defaultRowHeight="15" x14ac:dyDescent="0.25"/>
  <cols>
    <col min="1" max="1" width="18" style="1" customWidth="1"/>
    <col min="2" max="16" width="11.28515625" style="5" customWidth="1"/>
    <col min="17" max="16384" width="9.140625" style="1"/>
  </cols>
  <sheetData>
    <row r="3" spans="1:16" x14ac:dyDescent="0.25">
      <c r="A3" s="23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3"/>
      <c r="O3" s="3"/>
      <c r="P3" s="3"/>
    </row>
    <row r="5" spans="1:16" ht="15" customHeight="1" x14ac:dyDescent="0.25">
      <c r="A5" s="24" t="s">
        <v>8</v>
      </c>
      <c r="B5" s="26">
        <v>2021</v>
      </c>
      <c r="C5" s="26"/>
      <c r="D5" s="26"/>
      <c r="E5" s="27" t="s">
        <v>4</v>
      </c>
      <c r="F5" s="26"/>
      <c r="G5" s="28"/>
      <c r="H5" s="27" t="s">
        <v>5</v>
      </c>
      <c r="I5" s="26"/>
      <c r="J5" s="28"/>
      <c r="K5" s="26" t="s">
        <v>6</v>
      </c>
      <c r="L5" s="26"/>
      <c r="M5" s="26"/>
      <c r="N5" s="29"/>
      <c r="O5" s="29"/>
      <c r="P5" s="29"/>
    </row>
    <row r="6" spans="1:16" x14ac:dyDescent="0.25">
      <c r="A6" s="25"/>
      <c r="B6" s="8" t="s">
        <v>3</v>
      </c>
      <c r="C6" s="2" t="s">
        <v>1</v>
      </c>
      <c r="D6" s="18" t="s">
        <v>2</v>
      </c>
      <c r="E6" s="8" t="s">
        <v>3</v>
      </c>
      <c r="F6" s="2" t="s">
        <v>1</v>
      </c>
      <c r="G6" s="18" t="s">
        <v>2</v>
      </c>
      <c r="H6" s="21" t="s">
        <v>3</v>
      </c>
      <c r="I6" s="2" t="s">
        <v>1</v>
      </c>
      <c r="J6" s="18" t="s">
        <v>2</v>
      </c>
      <c r="K6" s="8" t="s">
        <v>3</v>
      </c>
      <c r="L6" s="2" t="s">
        <v>1</v>
      </c>
      <c r="M6" s="2" t="s">
        <v>2</v>
      </c>
      <c r="N6" s="19"/>
      <c r="O6" s="19"/>
      <c r="P6" s="19"/>
    </row>
    <row r="7" spans="1:16" x14ac:dyDescent="0.25">
      <c r="A7" s="17" t="s">
        <v>0</v>
      </c>
      <c r="B7" s="14">
        <f>SUM(B8:B18)</f>
        <v>19717</v>
      </c>
      <c r="C7" s="14">
        <f t="shared" ref="C7:J7" si="0">SUM(C8:C19)</f>
        <v>8370</v>
      </c>
      <c r="D7" s="14">
        <f t="shared" si="0"/>
        <v>14641</v>
      </c>
      <c r="E7" s="15">
        <f t="shared" si="0"/>
        <v>32706</v>
      </c>
      <c r="F7" s="14">
        <f t="shared" si="0"/>
        <v>12357</v>
      </c>
      <c r="G7" s="16">
        <f t="shared" si="0"/>
        <v>23649</v>
      </c>
      <c r="H7" s="15">
        <f t="shared" si="0"/>
        <v>10803</v>
      </c>
      <c r="I7" s="14">
        <f t="shared" si="0"/>
        <v>3638</v>
      </c>
      <c r="J7" s="16">
        <f t="shared" si="0"/>
        <v>7320</v>
      </c>
      <c r="K7" s="14">
        <f t="shared" ref="K7:M7" si="1">SUM(K8:K19)</f>
        <v>3262</v>
      </c>
      <c r="L7" s="14">
        <f t="shared" si="1"/>
        <v>1229</v>
      </c>
      <c r="M7" s="14">
        <f t="shared" si="1"/>
        <v>2065</v>
      </c>
      <c r="N7" s="20"/>
      <c r="O7" s="20"/>
      <c r="P7" s="20"/>
    </row>
    <row r="8" spans="1:16" x14ac:dyDescent="0.25">
      <c r="A8" s="12">
        <v>1</v>
      </c>
      <c r="B8" s="7">
        <f t="shared" ref="B8:B18" si="2">SUM(C8:D8)</f>
        <v>1287</v>
      </c>
      <c r="C8" s="7">
        <v>548</v>
      </c>
      <c r="D8" s="7">
        <v>739</v>
      </c>
      <c r="E8" s="9">
        <f t="shared" ref="E8:E18" si="3">SUM(F8:G8)</f>
        <v>1414</v>
      </c>
      <c r="F8" s="7">
        <v>645</v>
      </c>
      <c r="G8" s="10">
        <v>769</v>
      </c>
      <c r="H8" s="9">
        <f t="shared" ref="H8:H18" si="4">SUM(I8:J8)</f>
        <v>1156</v>
      </c>
      <c r="I8" s="7">
        <v>423</v>
      </c>
      <c r="J8" s="10">
        <v>733</v>
      </c>
      <c r="K8" s="7">
        <f t="shared" ref="K8:K18" si="5">SUM(L8:M8)</f>
        <v>219</v>
      </c>
      <c r="L8" s="7">
        <v>87</v>
      </c>
      <c r="M8" s="7">
        <v>132</v>
      </c>
      <c r="N8" s="7"/>
      <c r="O8" s="7"/>
      <c r="P8" s="7"/>
    </row>
    <row r="9" spans="1:16" x14ac:dyDescent="0.25">
      <c r="A9" s="12">
        <v>2</v>
      </c>
      <c r="B9" s="7">
        <f t="shared" si="2"/>
        <v>771</v>
      </c>
      <c r="C9" s="7">
        <v>134</v>
      </c>
      <c r="D9" s="7">
        <v>637</v>
      </c>
      <c r="E9" s="9">
        <f t="shared" si="3"/>
        <v>874</v>
      </c>
      <c r="F9" s="7">
        <v>172</v>
      </c>
      <c r="G9" s="10">
        <v>702</v>
      </c>
      <c r="H9" s="9">
        <f t="shared" si="4"/>
        <v>417</v>
      </c>
      <c r="I9" s="7">
        <v>57</v>
      </c>
      <c r="J9" s="10">
        <v>360</v>
      </c>
      <c r="K9" s="7">
        <f t="shared" si="5"/>
        <v>164</v>
      </c>
      <c r="L9" s="7">
        <v>26</v>
      </c>
      <c r="M9" s="7">
        <v>138</v>
      </c>
      <c r="N9" s="7"/>
      <c r="O9" s="7"/>
      <c r="P9" s="7"/>
    </row>
    <row r="10" spans="1:16" x14ac:dyDescent="0.25">
      <c r="A10" s="12">
        <v>3</v>
      </c>
      <c r="B10" s="7">
        <f t="shared" si="2"/>
        <v>3021</v>
      </c>
      <c r="C10" s="7">
        <v>790</v>
      </c>
      <c r="D10" s="7">
        <v>2231</v>
      </c>
      <c r="E10" s="9">
        <f t="shared" si="3"/>
        <v>3927</v>
      </c>
      <c r="F10" s="7">
        <v>1041</v>
      </c>
      <c r="G10" s="10">
        <v>2886</v>
      </c>
      <c r="H10" s="9">
        <f t="shared" si="4"/>
        <v>1355</v>
      </c>
      <c r="I10" s="7">
        <v>551</v>
      </c>
      <c r="J10" s="10">
        <v>804</v>
      </c>
      <c r="K10" s="7">
        <f t="shared" si="5"/>
        <v>443</v>
      </c>
      <c r="L10" s="7">
        <v>141</v>
      </c>
      <c r="M10" s="7">
        <v>302</v>
      </c>
      <c r="N10" s="7"/>
      <c r="O10" s="7"/>
      <c r="P10" s="7"/>
    </row>
    <row r="11" spans="1:16" x14ac:dyDescent="0.25">
      <c r="A11" s="12">
        <v>4</v>
      </c>
      <c r="B11" s="7">
        <f t="shared" si="2"/>
        <v>4330</v>
      </c>
      <c r="C11" s="7">
        <v>1585</v>
      </c>
      <c r="D11" s="7">
        <v>2745</v>
      </c>
      <c r="E11" s="9">
        <f t="shared" si="3"/>
        <v>6170</v>
      </c>
      <c r="F11" s="7">
        <v>2165</v>
      </c>
      <c r="G11" s="10">
        <v>4005</v>
      </c>
      <c r="H11" s="9">
        <f t="shared" si="4"/>
        <v>1445</v>
      </c>
      <c r="I11" s="7">
        <v>464</v>
      </c>
      <c r="J11" s="10">
        <v>981</v>
      </c>
      <c r="K11" s="7">
        <f t="shared" si="5"/>
        <v>781</v>
      </c>
      <c r="L11" s="7">
        <v>302</v>
      </c>
      <c r="M11" s="7">
        <v>479</v>
      </c>
      <c r="N11" s="7"/>
      <c r="O11" s="7"/>
      <c r="P11" s="7"/>
    </row>
    <row r="12" spans="1:16" x14ac:dyDescent="0.25">
      <c r="A12" s="12">
        <v>5</v>
      </c>
      <c r="B12" s="7">
        <f t="shared" si="2"/>
        <v>2154</v>
      </c>
      <c r="C12" s="7">
        <v>748</v>
      </c>
      <c r="D12" s="7">
        <v>1406</v>
      </c>
      <c r="E12" s="9">
        <f t="shared" si="3"/>
        <v>4158</v>
      </c>
      <c r="F12" s="7">
        <v>1215</v>
      </c>
      <c r="G12" s="10">
        <v>2943</v>
      </c>
      <c r="H12" s="9">
        <f t="shared" si="4"/>
        <v>1527</v>
      </c>
      <c r="I12" s="7">
        <v>594</v>
      </c>
      <c r="J12" s="10">
        <v>933</v>
      </c>
      <c r="K12" s="7">
        <f t="shared" si="5"/>
        <v>481</v>
      </c>
      <c r="L12" s="7">
        <v>187</v>
      </c>
      <c r="M12" s="7">
        <v>294</v>
      </c>
      <c r="N12" s="7"/>
      <c r="O12" s="7"/>
      <c r="P12" s="7"/>
    </row>
    <row r="13" spans="1:16" x14ac:dyDescent="0.25">
      <c r="A13" s="12">
        <v>6</v>
      </c>
      <c r="B13" s="7">
        <f t="shared" si="2"/>
        <v>384</v>
      </c>
      <c r="C13" s="7">
        <v>110</v>
      </c>
      <c r="D13" s="7">
        <v>274</v>
      </c>
      <c r="E13" s="9">
        <f t="shared" si="3"/>
        <v>1003</v>
      </c>
      <c r="F13" s="7">
        <v>272</v>
      </c>
      <c r="G13" s="10">
        <v>731</v>
      </c>
      <c r="H13" s="9">
        <f t="shared" si="4"/>
        <v>228</v>
      </c>
      <c r="I13" s="7">
        <v>51</v>
      </c>
      <c r="J13" s="10">
        <v>177</v>
      </c>
      <c r="K13" s="7">
        <f t="shared" si="5"/>
        <v>88</v>
      </c>
      <c r="L13" s="7">
        <v>33</v>
      </c>
      <c r="M13" s="7">
        <v>55</v>
      </c>
      <c r="N13" s="7"/>
      <c r="O13" s="7"/>
      <c r="P13" s="7"/>
    </row>
    <row r="14" spans="1:16" x14ac:dyDescent="0.25">
      <c r="A14" s="12">
        <v>7</v>
      </c>
      <c r="B14" s="7">
        <f t="shared" si="2"/>
        <v>4900</v>
      </c>
      <c r="C14" s="7">
        <v>1840</v>
      </c>
      <c r="D14" s="7">
        <v>3060</v>
      </c>
      <c r="E14" s="9">
        <f t="shared" si="3"/>
        <v>10968</v>
      </c>
      <c r="F14" s="7">
        <v>3831</v>
      </c>
      <c r="G14" s="10">
        <v>7137</v>
      </c>
      <c r="H14" s="9">
        <f t="shared" si="4"/>
        <v>2364</v>
      </c>
      <c r="I14" s="7">
        <v>614</v>
      </c>
      <c r="J14" s="10">
        <v>1750</v>
      </c>
      <c r="K14" s="7">
        <f t="shared" si="5"/>
        <v>751</v>
      </c>
      <c r="L14" s="7">
        <v>310</v>
      </c>
      <c r="M14" s="7">
        <v>441</v>
      </c>
      <c r="N14" s="7"/>
      <c r="O14" s="7"/>
      <c r="P14" s="7"/>
    </row>
    <row r="15" spans="1:16" x14ac:dyDescent="0.25">
      <c r="A15" s="12">
        <v>8</v>
      </c>
      <c r="B15" s="7">
        <f t="shared" si="2"/>
        <v>390</v>
      </c>
      <c r="C15" s="7">
        <v>103</v>
      </c>
      <c r="D15" s="7">
        <v>287</v>
      </c>
      <c r="E15" s="9">
        <f t="shared" si="3"/>
        <v>584</v>
      </c>
      <c r="F15" s="7">
        <v>160</v>
      </c>
      <c r="G15" s="10">
        <v>424</v>
      </c>
      <c r="H15" s="9">
        <f t="shared" si="4"/>
        <v>659</v>
      </c>
      <c r="I15" s="7">
        <v>186</v>
      </c>
      <c r="J15" s="10">
        <v>473</v>
      </c>
      <c r="K15" s="7">
        <f t="shared" si="5"/>
        <v>46</v>
      </c>
      <c r="L15" s="7">
        <v>14</v>
      </c>
      <c r="M15" s="7">
        <v>32</v>
      </c>
      <c r="N15" s="7"/>
      <c r="O15" s="7"/>
      <c r="P15" s="7"/>
    </row>
    <row r="16" spans="1:16" x14ac:dyDescent="0.25">
      <c r="A16" s="12">
        <v>9</v>
      </c>
      <c r="B16" s="7">
        <f t="shared" si="2"/>
        <v>2036</v>
      </c>
      <c r="C16" s="7">
        <v>576</v>
      </c>
      <c r="D16" s="7">
        <v>1460</v>
      </c>
      <c r="E16" s="9">
        <f t="shared" si="3"/>
        <v>3159</v>
      </c>
      <c r="F16" s="7">
        <v>919</v>
      </c>
      <c r="G16" s="10">
        <v>2240</v>
      </c>
      <c r="H16" s="9">
        <f t="shared" si="4"/>
        <v>1192</v>
      </c>
      <c r="I16" s="7">
        <v>375</v>
      </c>
      <c r="J16" s="10">
        <v>817</v>
      </c>
      <c r="K16" s="7">
        <f t="shared" si="5"/>
        <v>289</v>
      </c>
      <c r="L16" s="7">
        <v>105</v>
      </c>
      <c r="M16" s="7">
        <v>184</v>
      </c>
      <c r="N16" s="7"/>
      <c r="O16" s="7"/>
      <c r="P16" s="7"/>
    </row>
    <row r="17" spans="1:16" x14ac:dyDescent="0.25">
      <c r="A17" s="12">
        <v>10</v>
      </c>
      <c r="B17" s="7">
        <f t="shared" si="2"/>
        <v>0</v>
      </c>
      <c r="C17" s="7">
        <v>0</v>
      </c>
      <c r="D17" s="7">
        <v>0</v>
      </c>
      <c r="E17" s="9">
        <f t="shared" si="3"/>
        <v>5</v>
      </c>
      <c r="F17" s="7">
        <v>1</v>
      </c>
      <c r="G17" s="10">
        <v>4</v>
      </c>
      <c r="H17" s="9">
        <f t="shared" si="4"/>
        <v>0</v>
      </c>
      <c r="I17" s="7">
        <v>0</v>
      </c>
      <c r="J17" s="10">
        <v>0</v>
      </c>
      <c r="K17" s="7">
        <f t="shared" si="5"/>
        <v>0</v>
      </c>
      <c r="L17" s="7">
        <v>0</v>
      </c>
      <c r="M17" s="7">
        <v>0</v>
      </c>
      <c r="N17" s="7"/>
      <c r="O17" s="7"/>
      <c r="P17" s="7"/>
    </row>
    <row r="18" spans="1:16" x14ac:dyDescent="0.25">
      <c r="A18" s="12" t="s">
        <v>10</v>
      </c>
      <c r="B18" s="7">
        <f t="shared" si="2"/>
        <v>444</v>
      </c>
      <c r="C18" s="7">
        <v>408</v>
      </c>
      <c r="D18" s="7">
        <v>36</v>
      </c>
      <c r="E18" s="9">
        <f t="shared" si="3"/>
        <v>444</v>
      </c>
      <c r="F18" s="7">
        <v>408</v>
      </c>
      <c r="G18" s="10">
        <v>36</v>
      </c>
      <c r="H18" s="9">
        <f t="shared" si="4"/>
        <v>460</v>
      </c>
      <c r="I18" s="7">
        <v>231</v>
      </c>
      <c r="J18" s="10">
        <v>229</v>
      </c>
      <c r="K18" s="7">
        <f t="shared" si="5"/>
        <v>0</v>
      </c>
      <c r="L18" s="7">
        <v>0</v>
      </c>
      <c r="M18" s="7">
        <v>0</v>
      </c>
      <c r="N18" s="7"/>
      <c r="O18" s="7"/>
      <c r="P18" s="7"/>
    </row>
    <row r="19" spans="1:16" x14ac:dyDescent="0.25">
      <c r="A19" s="13" t="s">
        <v>7</v>
      </c>
      <c r="B19" s="4">
        <v>0</v>
      </c>
      <c r="C19" s="4">
        <v>1528</v>
      </c>
      <c r="D19" s="4">
        <v>1766</v>
      </c>
      <c r="E19" s="11">
        <v>0</v>
      </c>
      <c r="F19" s="4">
        <v>1528</v>
      </c>
      <c r="G19" s="6">
        <v>1772</v>
      </c>
      <c r="H19" s="11">
        <v>0</v>
      </c>
      <c r="I19" s="4">
        <v>92</v>
      </c>
      <c r="J19" s="6">
        <v>63</v>
      </c>
      <c r="K19" s="4">
        <v>0</v>
      </c>
      <c r="L19" s="4">
        <v>24</v>
      </c>
      <c r="M19" s="4">
        <v>8</v>
      </c>
      <c r="N19" s="7"/>
      <c r="O19" s="7"/>
      <c r="P19" s="7"/>
    </row>
    <row r="20" spans="1:16" x14ac:dyDescent="0.25">
      <c r="A20" s="22" t="s">
        <v>11</v>
      </c>
      <c r="B20" s="22"/>
      <c r="C20" s="22"/>
      <c r="D20" s="22"/>
    </row>
    <row r="24" spans="1:16" x14ac:dyDescent="0.25">
      <c r="A24" s="23" t="s">
        <v>13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3"/>
      <c r="O24" s="3"/>
      <c r="P24" s="3"/>
    </row>
    <row r="26" spans="1:16" x14ac:dyDescent="0.25">
      <c r="A26" s="24" t="s">
        <v>8</v>
      </c>
      <c r="B26" s="26">
        <v>2020</v>
      </c>
      <c r="C26" s="26"/>
      <c r="D26" s="26"/>
      <c r="E26" s="27" t="s">
        <v>4</v>
      </c>
      <c r="F26" s="26"/>
      <c r="G26" s="28"/>
      <c r="H26" s="27" t="s">
        <v>5</v>
      </c>
      <c r="I26" s="26"/>
      <c r="J26" s="28"/>
      <c r="K26" s="26" t="s">
        <v>6</v>
      </c>
      <c r="L26" s="26"/>
      <c r="M26" s="26"/>
      <c r="N26" s="29"/>
      <c r="O26" s="29"/>
      <c r="P26" s="29"/>
    </row>
    <row r="27" spans="1:16" x14ac:dyDescent="0.25">
      <c r="A27" s="25"/>
      <c r="B27" s="8" t="s">
        <v>3</v>
      </c>
      <c r="C27" s="2" t="s">
        <v>1</v>
      </c>
      <c r="D27" s="18" t="s">
        <v>2</v>
      </c>
      <c r="E27" s="8" t="s">
        <v>3</v>
      </c>
      <c r="F27" s="2" t="s">
        <v>1</v>
      </c>
      <c r="G27" s="18" t="s">
        <v>2</v>
      </c>
      <c r="H27" s="21" t="s">
        <v>3</v>
      </c>
      <c r="I27" s="2" t="s">
        <v>1</v>
      </c>
      <c r="J27" s="18" t="s">
        <v>2</v>
      </c>
      <c r="K27" s="8" t="s">
        <v>3</v>
      </c>
      <c r="L27" s="2" t="s">
        <v>1</v>
      </c>
      <c r="M27" s="2" t="s">
        <v>2</v>
      </c>
      <c r="N27" s="19"/>
      <c r="O27" s="19"/>
      <c r="P27" s="19"/>
    </row>
    <row r="28" spans="1:16" x14ac:dyDescent="0.25">
      <c r="A28" s="17" t="s">
        <v>0</v>
      </c>
      <c r="B28" s="14">
        <f>SUM(B29:B39)</f>
        <v>18552</v>
      </c>
      <c r="C28" s="14">
        <f t="shared" ref="C28:J28" si="6">SUM(C29:C40)</f>
        <v>6825</v>
      </c>
      <c r="D28" s="14">
        <f t="shared" si="6"/>
        <v>11727</v>
      </c>
      <c r="E28" s="15">
        <f t="shared" si="6"/>
        <v>8273</v>
      </c>
      <c r="F28" s="14">
        <f t="shared" si="6"/>
        <v>3143</v>
      </c>
      <c r="G28" s="16">
        <f t="shared" si="6"/>
        <v>5130</v>
      </c>
      <c r="H28" s="15">
        <f t="shared" si="6"/>
        <v>7245</v>
      </c>
      <c r="I28" s="14">
        <f t="shared" si="6"/>
        <v>2816</v>
      </c>
      <c r="J28" s="16">
        <f t="shared" si="6"/>
        <v>4429</v>
      </c>
      <c r="K28" s="14">
        <f t="shared" ref="K28:M28" si="7">SUM(K29:K40)</f>
        <v>1991</v>
      </c>
      <c r="L28" s="14">
        <f t="shared" si="7"/>
        <v>831</v>
      </c>
      <c r="M28" s="14">
        <f t="shared" si="7"/>
        <v>1160</v>
      </c>
      <c r="N28" s="20"/>
      <c r="O28" s="20"/>
      <c r="P28" s="20"/>
    </row>
    <row r="29" spans="1:16" x14ac:dyDescent="0.25">
      <c r="A29" s="12">
        <v>1</v>
      </c>
      <c r="B29" s="7">
        <f t="shared" ref="B29:B39" si="8">SUM(C29:D29)</f>
        <v>1968</v>
      </c>
      <c r="C29" s="7">
        <v>673</v>
      </c>
      <c r="D29" s="7">
        <v>1295</v>
      </c>
      <c r="E29" s="9">
        <f t="shared" ref="E29:E39" si="9">SUM(F29:G29)</f>
        <v>140</v>
      </c>
      <c r="F29" s="7">
        <v>34</v>
      </c>
      <c r="G29" s="10">
        <v>106</v>
      </c>
      <c r="H29" s="9">
        <f t="shared" ref="H29:H39" si="10">SUM(I29:J29)</f>
        <v>1161</v>
      </c>
      <c r="I29" s="7">
        <v>312</v>
      </c>
      <c r="J29" s="10">
        <v>849</v>
      </c>
      <c r="K29" s="7">
        <f t="shared" ref="K29:K39" si="11">SUM(L29:M29)</f>
        <v>509</v>
      </c>
      <c r="L29" s="7">
        <v>224</v>
      </c>
      <c r="M29" s="7">
        <v>285</v>
      </c>
      <c r="N29" s="7"/>
      <c r="O29" s="7"/>
      <c r="P29" s="7"/>
    </row>
    <row r="30" spans="1:16" x14ac:dyDescent="0.25">
      <c r="A30" s="12">
        <v>2</v>
      </c>
      <c r="B30" s="7">
        <f t="shared" si="8"/>
        <v>929</v>
      </c>
      <c r="C30" s="7">
        <v>177</v>
      </c>
      <c r="D30" s="7">
        <v>752</v>
      </c>
      <c r="E30" s="9">
        <f t="shared" si="9"/>
        <v>11</v>
      </c>
      <c r="F30" s="7">
        <v>0</v>
      </c>
      <c r="G30" s="10">
        <v>11</v>
      </c>
      <c r="H30" s="9">
        <f t="shared" si="10"/>
        <v>254</v>
      </c>
      <c r="I30" s="7">
        <v>46</v>
      </c>
      <c r="J30" s="10">
        <v>208</v>
      </c>
      <c r="K30" s="7">
        <f t="shared" si="11"/>
        <v>91</v>
      </c>
      <c r="L30" s="7">
        <v>16</v>
      </c>
      <c r="M30" s="7">
        <v>75</v>
      </c>
      <c r="N30" s="7"/>
      <c r="O30" s="7"/>
      <c r="P30" s="7"/>
    </row>
    <row r="31" spans="1:16" x14ac:dyDescent="0.25">
      <c r="A31" s="12">
        <v>3</v>
      </c>
      <c r="B31" s="7">
        <f t="shared" si="8"/>
        <v>2051</v>
      </c>
      <c r="C31" s="7">
        <v>968</v>
      </c>
      <c r="D31" s="7">
        <v>1083</v>
      </c>
      <c r="E31" s="9">
        <f t="shared" si="9"/>
        <v>468</v>
      </c>
      <c r="F31" s="7">
        <v>84</v>
      </c>
      <c r="G31" s="10">
        <v>384</v>
      </c>
      <c r="H31" s="9">
        <f t="shared" si="10"/>
        <v>1086</v>
      </c>
      <c r="I31" s="7">
        <v>639</v>
      </c>
      <c r="J31" s="10">
        <v>447</v>
      </c>
      <c r="K31" s="7">
        <f t="shared" si="11"/>
        <v>350</v>
      </c>
      <c r="L31" s="7">
        <v>151</v>
      </c>
      <c r="M31" s="7">
        <v>199</v>
      </c>
      <c r="N31" s="7"/>
      <c r="O31" s="7"/>
      <c r="P31" s="7"/>
    </row>
    <row r="32" spans="1:16" x14ac:dyDescent="0.25">
      <c r="A32" s="12">
        <v>4</v>
      </c>
      <c r="B32" s="7">
        <f t="shared" si="8"/>
        <v>3010</v>
      </c>
      <c r="C32" s="7">
        <v>1054</v>
      </c>
      <c r="D32" s="7">
        <v>1956</v>
      </c>
      <c r="E32" s="9">
        <f t="shared" si="9"/>
        <v>1125</v>
      </c>
      <c r="F32" s="7">
        <v>498</v>
      </c>
      <c r="G32" s="10">
        <v>627</v>
      </c>
      <c r="H32" s="9">
        <f t="shared" si="10"/>
        <v>907</v>
      </c>
      <c r="I32" s="7">
        <v>363</v>
      </c>
      <c r="J32" s="10">
        <v>544</v>
      </c>
      <c r="K32" s="7">
        <f t="shared" si="11"/>
        <v>289</v>
      </c>
      <c r="L32" s="7">
        <v>98</v>
      </c>
      <c r="M32" s="7">
        <v>191</v>
      </c>
      <c r="N32" s="7"/>
      <c r="O32" s="7"/>
      <c r="P32" s="7"/>
    </row>
    <row r="33" spans="1:16" x14ac:dyDescent="0.25">
      <c r="A33" s="12">
        <v>5</v>
      </c>
      <c r="B33" s="7">
        <f t="shared" si="8"/>
        <v>2059</v>
      </c>
      <c r="C33" s="7">
        <v>741</v>
      </c>
      <c r="D33" s="7">
        <v>1318</v>
      </c>
      <c r="E33" s="9">
        <f t="shared" si="9"/>
        <v>936</v>
      </c>
      <c r="F33" s="7">
        <v>130</v>
      </c>
      <c r="G33" s="10">
        <v>806</v>
      </c>
      <c r="H33" s="9">
        <f t="shared" si="10"/>
        <v>941</v>
      </c>
      <c r="I33" s="7">
        <v>376</v>
      </c>
      <c r="J33" s="10">
        <v>565</v>
      </c>
      <c r="K33" s="7">
        <f t="shared" si="11"/>
        <v>260</v>
      </c>
      <c r="L33" s="7">
        <v>124</v>
      </c>
      <c r="M33" s="7">
        <v>136</v>
      </c>
      <c r="N33" s="7"/>
      <c r="O33" s="7"/>
      <c r="P33" s="7"/>
    </row>
    <row r="34" spans="1:16" x14ac:dyDescent="0.25">
      <c r="A34" s="12">
        <v>6</v>
      </c>
      <c r="B34" s="7">
        <f t="shared" si="8"/>
        <v>149</v>
      </c>
      <c r="C34" s="7">
        <v>56</v>
      </c>
      <c r="D34" s="7">
        <v>93</v>
      </c>
      <c r="E34" s="9">
        <f t="shared" si="9"/>
        <v>85</v>
      </c>
      <c r="F34" s="7">
        <v>34</v>
      </c>
      <c r="G34" s="10">
        <v>51</v>
      </c>
      <c r="H34" s="9">
        <f t="shared" si="10"/>
        <v>103</v>
      </c>
      <c r="I34" s="7">
        <v>35</v>
      </c>
      <c r="J34" s="10">
        <v>68</v>
      </c>
      <c r="K34" s="7">
        <f t="shared" si="11"/>
        <v>22</v>
      </c>
      <c r="L34" s="7">
        <v>6</v>
      </c>
      <c r="M34" s="7">
        <v>16</v>
      </c>
      <c r="N34" s="7"/>
      <c r="O34" s="7"/>
      <c r="P34" s="7"/>
    </row>
    <row r="35" spans="1:16" x14ac:dyDescent="0.25">
      <c r="A35" s="12">
        <v>7</v>
      </c>
      <c r="B35" s="7">
        <f t="shared" si="8"/>
        <v>3352</v>
      </c>
      <c r="C35" s="7">
        <v>1209</v>
      </c>
      <c r="D35" s="7">
        <v>2143</v>
      </c>
      <c r="E35" s="9">
        <f t="shared" si="9"/>
        <v>4426</v>
      </c>
      <c r="F35" s="7">
        <v>1744</v>
      </c>
      <c r="G35" s="10">
        <v>2682</v>
      </c>
      <c r="H35" s="9">
        <f t="shared" si="10"/>
        <v>1064</v>
      </c>
      <c r="I35" s="7">
        <v>352</v>
      </c>
      <c r="J35" s="10">
        <v>712</v>
      </c>
      <c r="K35" s="7">
        <f t="shared" si="11"/>
        <v>305</v>
      </c>
      <c r="L35" s="7">
        <v>115</v>
      </c>
      <c r="M35" s="7">
        <v>190</v>
      </c>
      <c r="N35" s="7"/>
      <c r="O35" s="7"/>
      <c r="P35" s="7"/>
    </row>
    <row r="36" spans="1:16" x14ac:dyDescent="0.25">
      <c r="A36" s="12">
        <v>8</v>
      </c>
      <c r="B36" s="7">
        <f t="shared" si="8"/>
        <v>428</v>
      </c>
      <c r="C36" s="7">
        <v>129</v>
      </c>
      <c r="D36" s="7">
        <v>299</v>
      </c>
      <c r="E36" s="9">
        <f t="shared" si="9"/>
        <v>162</v>
      </c>
      <c r="F36" s="7">
        <v>71</v>
      </c>
      <c r="G36" s="10">
        <v>91</v>
      </c>
      <c r="H36" s="9">
        <f t="shared" si="10"/>
        <v>418</v>
      </c>
      <c r="I36" s="7">
        <v>137</v>
      </c>
      <c r="J36" s="10">
        <v>281</v>
      </c>
      <c r="K36" s="7">
        <f t="shared" si="11"/>
        <v>12</v>
      </c>
      <c r="L36" s="7">
        <v>3</v>
      </c>
      <c r="M36" s="7">
        <v>9</v>
      </c>
      <c r="N36" s="7"/>
      <c r="O36" s="7"/>
      <c r="P36" s="7"/>
    </row>
    <row r="37" spans="1:16" x14ac:dyDescent="0.25">
      <c r="A37" s="12">
        <v>9</v>
      </c>
      <c r="B37" s="7">
        <f t="shared" si="8"/>
        <v>1615</v>
      </c>
      <c r="C37" s="7">
        <v>621</v>
      </c>
      <c r="D37" s="7">
        <v>994</v>
      </c>
      <c r="E37" s="9">
        <f t="shared" si="9"/>
        <v>658</v>
      </c>
      <c r="F37" s="7">
        <v>294</v>
      </c>
      <c r="G37" s="10">
        <v>364</v>
      </c>
      <c r="H37" s="9">
        <f t="shared" si="10"/>
        <v>743</v>
      </c>
      <c r="I37" s="7">
        <v>284</v>
      </c>
      <c r="J37" s="10">
        <v>459</v>
      </c>
      <c r="K37" s="7">
        <f t="shared" si="11"/>
        <v>77</v>
      </c>
      <c r="L37" s="7">
        <v>37</v>
      </c>
      <c r="M37" s="7">
        <v>40</v>
      </c>
      <c r="N37" s="7"/>
      <c r="O37" s="7"/>
      <c r="P37" s="7"/>
    </row>
    <row r="38" spans="1:16" x14ac:dyDescent="0.25">
      <c r="A38" s="12">
        <v>10</v>
      </c>
      <c r="B38" s="7">
        <f t="shared" si="8"/>
        <v>4</v>
      </c>
      <c r="C38" s="7">
        <v>3</v>
      </c>
      <c r="D38" s="7">
        <v>1</v>
      </c>
      <c r="E38" s="9">
        <f t="shared" si="9"/>
        <v>15</v>
      </c>
      <c r="F38" s="7">
        <v>12</v>
      </c>
      <c r="G38" s="10">
        <v>3</v>
      </c>
      <c r="H38" s="9">
        <f t="shared" si="10"/>
        <v>0</v>
      </c>
      <c r="I38" s="7">
        <v>0</v>
      </c>
      <c r="J38" s="10">
        <v>0</v>
      </c>
      <c r="K38" s="7">
        <f t="shared" si="11"/>
        <v>0</v>
      </c>
      <c r="L38" s="7">
        <v>0</v>
      </c>
      <c r="M38" s="7">
        <v>0</v>
      </c>
      <c r="N38" s="7"/>
      <c r="O38" s="7"/>
      <c r="P38" s="7"/>
    </row>
    <row r="39" spans="1:16" x14ac:dyDescent="0.25">
      <c r="A39" s="12" t="s">
        <v>10</v>
      </c>
      <c r="B39" s="7">
        <f t="shared" si="8"/>
        <v>2987</v>
      </c>
      <c r="C39" s="7">
        <v>1194</v>
      </c>
      <c r="D39" s="7">
        <v>1793</v>
      </c>
      <c r="E39" s="9">
        <f t="shared" si="9"/>
        <v>247</v>
      </c>
      <c r="F39" s="7">
        <v>242</v>
      </c>
      <c r="G39" s="10">
        <v>5</v>
      </c>
      <c r="H39" s="9">
        <f t="shared" si="10"/>
        <v>568</v>
      </c>
      <c r="I39" s="7">
        <v>272</v>
      </c>
      <c r="J39" s="10">
        <v>296</v>
      </c>
      <c r="K39" s="7">
        <f t="shared" si="11"/>
        <v>76</v>
      </c>
      <c r="L39" s="7">
        <v>57</v>
      </c>
      <c r="M39" s="7">
        <v>19</v>
      </c>
      <c r="N39" s="7"/>
      <c r="O39" s="7"/>
      <c r="P39" s="7"/>
    </row>
    <row r="40" spans="1:16" x14ac:dyDescent="0.25">
      <c r="A40" s="13" t="s">
        <v>7</v>
      </c>
      <c r="B40" s="4">
        <v>0</v>
      </c>
      <c r="C40" s="4">
        <v>0</v>
      </c>
      <c r="D40" s="4">
        <v>0</v>
      </c>
      <c r="E40" s="11">
        <v>0</v>
      </c>
      <c r="F40" s="4">
        <v>0</v>
      </c>
      <c r="G40" s="6">
        <v>0</v>
      </c>
      <c r="H40" s="11">
        <v>0</v>
      </c>
      <c r="I40" s="4">
        <v>0</v>
      </c>
      <c r="J40" s="6">
        <v>0</v>
      </c>
      <c r="K40" s="4">
        <v>0</v>
      </c>
      <c r="L40" s="4">
        <v>0</v>
      </c>
      <c r="M40" s="4">
        <v>0</v>
      </c>
      <c r="N40" s="7"/>
      <c r="O40" s="7"/>
      <c r="P40" s="7"/>
    </row>
    <row r="41" spans="1:16" x14ac:dyDescent="0.25">
      <c r="A41" s="22" t="s">
        <v>11</v>
      </c>
      <c r="B41" s="22"/>
      <c r="C41" s="22"/>
      <c r="D41" s="22"/>
    </row>
    <row r="46" spans="1:16" x14ac:dyDescent="0.25">
      <c r="A46" s="23" t="s">
        <v>14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8" spans="1:16" x14ac:dyDescent="0.25">
      <c r="A48" s="24" t="s">
        <v>8</v>
      </c>
      <c r="B48" s="26">
        <v>2019</v>
      </c>
      <c r="C48" s="26"/>
      <c r="D48" s="26"/>
      <c r="E48" s="27" t="s">
        <v>4</v>
      </c>
      <c r="F48" s="26"/>
      <c r="G48" s="28"/>
      <c r="H48" s="26" t="s">
        <v>5</v>
      </c>
      <c r="I48" s="26"/>
      <c r="J48" s="26"/>
      <c r="K48" s="27" t="s">
        <v>9</v>
      </c>
      <c r="L48" s="26"/>
      <c r="M48" s="28"/>
      <c r="N48" s="26" t="s">
        <v>6</v>
      </c>
      <c r="O48" s="26"/>
      <c r="P48" s="26"/>
    </row>
    <row r="49" spans="1:16" x14ac:dyDescent="0.25">
      <c r="A49" s="25"/>
      <c r="B49" s="8" t="s">
        <v>3</v>
      </c>
      <c r="C49" s="2" t="s">
        <v>1</v>
      </c>
      <c r="D49" s="18" t="s">
        <v>2</v>
      </c>
      <c r="E49" s="8" t="s">
        <v>3</v>
      </c>
      <c r="F49" s="2" t="s">
        <v>1</v>
      </c>
      <c r="G49" s="18" t="s">
        <v>2</v>
      </c>
      <c r="H49" s="8" t="s">
        <v>3</v>
      </c>
      <c r="I49" s="2" t="s">
        <v>1</v>
      </c>
      <c r="J49" s="18" t="s">
        <v>2</v>
      </c>
      <c r="K49" s="8" t="s">
        <v>3</v>
      </c>
      <c r="L49" s="2" t="s">
        <v>1</v>
      </c>
      <c r="M49" s="18" t="s">
        <v>2</v>
      </c>
      <c r="N49" s="8" t="s">
        <v>3</v>
      </c>
      <c r="O49" s="2" t="s">
        <v>1</v>
      </c>
      <c r="P49" s="2" t="s">
        <v>2</v>
      </c>
    </row>
    <row r="50" spans="1:16" x14ac:dyDescent="0.25">
      <c r="A50" s="17" t="s">
        <v>0</v>
      </c>
      <c r="B50" s="14">
        <f>SUM(B51:B61)</f>
        <v>13999</v>
      </c>
      <c r="C50" s="14">
        <f>SUM(C51:C62)</f>
        <v>5803</v>
      </c>
      <c r="D50" s="14">
        <f>SUM(D51:D62)</f>
        <v>8196</v>
      </c>
      <c r="E50" s="15">
        <f>SUM(E51:E63)</f>
        <v>19969</v>
      </c>
      <c r="F50" s="14">
        <f>SUM(F51:F62)</f>
        <v>7257</v>
      </c>
      <c r="G50" s="16">
        <f>SUM(G51:G62)</f>
        <v>12712</v>
      </c>
      <c r="H50" s="14">
        <f>SUM(H51:H61)</f>
        <v>5340</v>
      </c>
      <c r="I50" s="14">
        <f>SUM(I51:I62)</f>
        <v>1990</v>
      </c>
      <c r="J50" s="14">
        <f>SUM(J51:J62)</f>
        <v>3350</v>
      </c>
      <c r="K50" s="15">
        <f>SUM(K51:K62)</f>
        <v>3039</v>
      </c>
      <c r="L50" s="14">
        <f>SUM(L51:L62)</f>
        <v>1112</v>
      </c>
      <c r="M50" s="16">
        <f>SUM(M51:M62)</f>
        <v>1927</v>
      </c>
      <c r="N50" s="14">
        <f>SUM(N51:N61)</f>
        <v>1433</v>
      </c>
      <c r="O50" s="14">
        <f>SUM(O51:O62)</f>
        <v>624</v>
      </c>
      <c r="P50" s="14">
        <f>SUM(P51:P62)</f>
        <v>809</v>
      </c>
    </row>
    <row r="51" spans="1:16" x14ac:dyDescent="0.25">
      <c r="A51" s="12">
        <v>1</v>
      </c>
      <c r="B51" s="7">
        <f t="shared" ref="B51:B61" si="12">SUM(C51:D51)</f>
        <v>334</v>
      </c>
      <c r="C51" s="7">
        <f>76-10</f>
        <v>66</v>
      </c>
      <c r="D51" s="7">
        <f>270-2</f>
        <v>268</v>
      </c>
      <c r="E51" s="9">
        <f t="shared" ref="E51:E61" si="13">SUM(F51:G51)</f>
        <v>333</v>
      </c>
      <c r="F51" s="7">
        <f>75-10</f>
        <v>65</v>
      </c>
      <c r="G51" s="10">
        <f>270-2</f>
        <v>268</v>
      </c>
      <c r="H51" s="7">
        <f t="shared" ref="H51:H61" si="14">SUM(I51:J51)</f>
        <v>115</v>
      </c>
      <c r="I51" s="7">
        <f>37-10</f>
        <v>27</v>
      </c>
      <c r="J51" s="7">
        <f>90-2</f>
        <v>88</v>
      </c>
      <c r="K51" s="9">
        <f t="shared" ref="K51:K61" si="15">SUM(L51:M51)</f>
        <v>0</v>
      </c>
      <c r="L51" s="7">
        <v>0</v>
      </c>
      <c r="M51" s="10">
        <v>0</v>
      </c>
      <c r="N51" s="7">
        <f t="shared" ref="N51:N61" si="16">SUM(O51:P51)</f>
        <v>14</v>
      </c>
      <c r="O51" s="7">
        <v>2</v>
      </c>
      <c r="P51" s="7">
        <v>12</v>
      </c>
    </row>
    <row r="52" spans="1:16" x14ac:dyDescent="0.25">
      <c r="A52" s="12">
        <v>2</v>
      </c>
      <c r="B52" s="7">
        <f t="shared" si="12"/>
        <v>83</v>
      </c>
      <c r="C52" s="7">
        <v>13</v>
      </c>
      <c r="D52" s="7">
        <v>70</v>
      </c>
      <c r="E52" s="9">
        <f t="shared" si="13"/>
        <v>83</v>
      </c>
      <c r="F52" s="7">
        <v>13</v>
      </c>
      <c r="G52" s="10">
        <v>70</v>
      </c>
      <c r="H52" s="7">
        <f t="shared" si="14"/>
        <v>48</v>
      </c>
      <c r="I52" s="7">
        <v>4</v>
      </c>
      <c r="J52" s="7">
        <v>44</v>
      </c>
      <c r="K52" s="9">
        <f t="shared" si="15"/>
        <v>0</v>
      </c>
      <c r="L52" s="7">
        <v>0</v>
      </c>
      <c r="M52" s="10">
        <v>0</v>
      </c>
      <c r="N52" s="7">
        <f t="shared" si="16"/>
        <v>8</v>
      </c>
      <c r="O52" s="7">
        <v>0</v>
      </c>
      <c r="P52" s="7">
        <v>8</v>
      </c>
    </row>
    <row r="53" spans="1:16" x14ac:dyDescent="0.25">
      <c r="A53" s="12">
        <v>3</v>
      </c>
      <c r="B53" s="7">
        <f t="shared" si="12"/>
        <v>1437</v>
      </c>
      <c r="C53" s="7">
        <f>800-80</f>
        <v>720</v>
      </c>
      <c r="D53" s="7">
        <f>804-87</f>
        <v>717</v>
      </c>
      <c r="E53" s="9">
        <f t="shared" si="13"/>
        <v>1319</v>
      </c>
      <c r="F53" s="7">
        <f>442-80+420</f>
        <v>782</v>
      </c>
      <c r="G53" s="10">
        <f>549-87+75</f>
        <v>537</v>
      </c>
      <c r="H53" s="7">
        <f t="shared" si="14"/>
        <v>567</v>
      </c>
      <c r="I53" s="7">
        <f>213-71+207</f>
        <v>349</v>
      </c>
      <c r="J53" s="7">
        <f>264-79+33</f>
        <v>218</v>
      </c>
      <c r="K53" s="9">
        <f t="shared" si="15"/>
        <v>82</v>
      </c>
      <c r="L53" s="7">
        <f>23+24</f>
        <v>47</v>
      </c>
      <c r="M53" s="10">
        <v>35</v>
      </c>
      <c r="N53" s="7">
        <f t="shared" si="16"/>
        <v>189</v>
      </c>
      <c r="O53" s="7">
        <f>40-9+101</f>
        <v>132</v>
      </c>
      <c r="P53" s="7">
        <f>51-8+14</f>
        <v>57</v>
      </c>
    </row>
    <row r="54" spans="1:16" x14ac:dyDescent="0.25">
      <c r="A54" s="12">
        <v>4</v>
      </c>
      <c r="B54" s="7">
        <f t="shared" si="12"/>
        <v>3567</v>
      </c>
      <c r="C54" s="7">
        <v>1571</v>
      </c>
      <c r="D54" s="7">
        <v>1996</v>
      </c>
      <c r="E54" s="9">
        <f t="shared" si="13"/>
        <v>4371</v>
      </c>
      <c r="F54" s="7">
        <f>1580+306</f>
        <v>1886</v>
      </c>
      <c r="G54" s="10">
        <f>2433+52</f>
        <v>2485</v>
      </c>
      <c r="H54" s="7">
        <f t="shared" si="14"/>
        <v>998</v>
      </c>
      <c r="I54" s="7">
        <f>355+42</f>
        <v>397</v>
      </c>
      <c r="J54" s="7">
        <f>594+7</f>
        <v>601</v>
      </c>
      <c r="K54" s="9">
        <f t="shared" si="15"/>
        <v>524</v>
      </c>
      <c r="L54" s="7">
        <f>162+71</f>
        <v>233</v>
      </c>
      <c r="M54" s="10">
        <f>282+9</f>
        <v>291</v>
      </c>
      <c r="N54" s="7">
        <f t="shared" si="16"/>
        <v>377</v>
      </c>
      <c r="O54" s="7">
        <f>111+76</f>
        <v>187</v>
      </c>
      <c r="P54" s="7">
        <f>169+21</f>
        <v>190</v>
      </c>
    </row>
    <row r="55" spans="1:16" x14ac:dyDescent="0.25">
      <c r="A55" s="12">
        <v>5</v>
      </c>
      <c r="B55" s="7">
        <f t="shared" si="12"/>
        <v>1378</v>
      </c>
      <c r="C55" s="7">
        <v>440</v>
      </c>
      <c r="D55" s="7">
        <v>938</v>
      </c>
      <c r="E55" s="9">
        <f t="shared" si="13"/>
        <v>2481</v>
      </c>
      <c r="F55" s="7">
        <f>598+116</f>
        <v>714</v>
      </c>
      <c r="G55" s="10">
        <f>1593+174</f>
        <v>1767</v>
      </c>
      <c r="H55" s="7">
        <f t="shared" si="14"/>
        <v>989</v>
      </c>
      <c r="I55" s="7">
        <f>281+14</f>
        <v>295</v>
      </c>
      <c r="J55" s="7">
        <f>689+5</f>
        <v>694</v>
      </c>
      <c r="K55" s="9">
        <f t="shared" si="15"/>
        <v>363</v>
      </c>
      <c r="L55" s="7">
        <f>88+9</f>
        <v>97</v>
      </c>
      <c r="M55" s="10">
        <f>259+7</f>
        <v>266</v>
      </c>
      <c r="N55" s="7">
        <f t="shared" si="16"/>
        <v>283</v>
      </c>
      <c r="O55" s="7">
        <f>66+31</f>
        <v>97</v>
      </c>
      <c r="P55" s="7">
        <f>108+78</f>
        <v>186</v>
      </c>
    </row>
    <row r="56" spans="1:16" x14ac:dyDescent="0.25">
      <c r="A56" s="12">
        <v>6</v>
      </c>
      <c r="B56" s="7">
        <f t="shared" si="12"/>
        <v>328</v>
      </c>
      <c r="C56" s="7">
        <v>110</v>
      </c>
      <c r="D56" s="7">
        <v>218</v>
      </c>
      <c r="E56" s="9">
        <f t="shared" si="13"/>
        <v>651</v>
      </c>
      <c r="F56" s="7">
        <v>182</v>
      </c>
      <c r="G56" s="10">
        <v>469</v>
      </c>
      <c r="H56" s="7">
        <f t="shared" si="14"/>
        <v>184</v>
      </c>
      <c r="I56" s="7">
        <v>57</v>
      </c>
      <c r="J56" s="7">
        <v>127</v>
      </c>
      <c r="K56" s="9">
        <f t="shared" si="15"/>
        <v>32</v>
      </c>
      <c r="L56" s="7">
        <v>14</v>
      </c>
      <c r="M56" s="10">
        <v>18</v>
      </c>
      <c r="N56" s="7">
        <f t="shared" si="16"/>
        <v>100</v>
      </c>
      <c r="O56" s="7">
        <v>29</v>
      </c>
      <c r="P56" s="7">
        <v>71</v>
      </c>
    </row>
    <row r="57" spans="1:16" x14ac:dyDescent="0.25">
      <c r="A57" s="12">
        <v>7</v>
      </c>
      <c r="B57" s="7">
        <f t="shared" si="12"/>
        <v>4462</v>
      </c>
      <c r="C57" s="7">
        <v>1905</v>
      </c>
      <c r="D57" s="7">
        <v>2557</v>
      </c>
      <c r="E57" s="9">
        <f t="shared" si="13"/>
        <v>7974</v>
      </c>
      <c r="F57" s="7">
        <v>2600</v>
      </c>
      <c r="G57" s="10">
        <v>5374</v>
      </c>
      <c r="H57" s="7">
        <f t="shared" si="14"/>
        <v>1521</v>
      </c>
      <c r="I57" s="7">
        <v>511</v>
      </c>
      <c r="J57" s="7">
        <v>1010</v>
      </c>
      <c r="K57" s="9">
        <f t="shared" si="15"/>
        <v>1671</v>
      </c>
      <c r="L57" s="7">
        <v>587</v>
      </c>
      <c r="M57" s="10">
        <v>1084</v>
      </c>
      <c r="N57" s="7">
        <f t="shared" si="16"/>
        <v>291</v>
      </c>
      <c r="O57" s="7">
        <v>112</v>
      </c>
      <c r="P57" s="7">
        <v>179</v>
      </c>
    </row>
    <row r="58" spans="1:16" x14ac:dyDescent="0.25">
      <c r="A58" s="12">
        <v>8</v>
      </c>
      <c r="B58" s="7">
        <f t="shared" si="12"/>
        <v>289</v>
      </c>
      <c r="C58" s="7">
        <v>108</v>
      </c>
      <c r="D58" s="7">
        <v>181</v>
      </c>
      <c r="E58" s="9">
        <f t="shared" si="13"/>
        <v>265</v>
      </c>
      <c r="F58" s="7">
        <v>69</v>
      </c>
      <c r="G58" s="10">
        <v>196</v>
      </c>
      <c r="H58" s="7">
        <f t="shared" si="14"/>
        <v>225</v>
      </c>
      <c r="I58" s="7">
        <v>77</v>
      </c>
      <c r="J58" s="7">
        <v>148</v>
      </c>
      <c r="K58" s="9">
        <f t="shared" si="15"/>
        <v>11</v>
      </c>
      <c r="L58" s="7">
        <v>7</v>
      </c>
      <c r="M58" s="10">
        <v>4</v>
      </c>
      <c r="N58" s="7">
        <f t="shared" si="16"/>
        <v>13</v>
      </c>
      <c r="O58" s="7">
        <v>7</v>
      </c>
      <c r="P58" s="7">
        <v>6</v>
      </c>
    </row>
    <row r="59" spans="1:16" x14ac:dyDescent="0.25">
      <c r="A59" s="12">
        <v>9</v>
      </c>
      <c r="B59" s="7">
        <f t="shared" si="12"/>
        <v>1447</v>
      </c>
      <c r="C59" s="7">
        <v>551</v>
      </c>
      <c r="D59" s="7">
        <v>896</v>
      </c>
      <c r="E59" s="9">
        <f t="shared" si="13"/>
        <v>1834</v>
      </c>
      <c r="F59" s="7">
        <v>638</v>
      </c>
      <c r="G59" s="10">
        <v>1196</v>
      </c>
      <c r="H59" s="7">
        <f t="shared" si="14"/>
        <v>633</v>
      </c>
      <c r="I59" s="7">
        <v>259</v>
      </c>
      <c r="J59" s="7">
        <v>374</v>
      </c>
      <c r="K59" s="9">
        <f t="shared" si="15"/>
        <v>140</v>
      </c>
      <c r="L59" s="7">
        <v>50</v>
      </c>
      <c r="M59" s="10">
        <v>90</v>
      </c>
      <c r="N59" s="7">
        <f t="shared" si="16"/>
        <v>136</v>
      </c>
      <c r="O59" s="7">
        <v>47</v>
      </c>
      <c r="P59" s="7">
        <v>89</v>
      </c>
    </row>
    <row r="60" spans="1:16" x14ac:dyDescent="0.25">
      <c r="A60" s="12">
        <v>10</v>
      </c>
      <c r="B60" s="7">
        <f t="shared" si="12"/>
        <v>20</v>
      </c>
      <c r="C60" s="7">
        <v>17</v>
      </c>
      <c r="D60" s="7">
        <v>3</v>
      </c>
      <c r="E60" s="9">
        <f t="shared" si="13"/>
        <v>26</v>
      </c>
      <c r="F60" s="7">
        <v>22</v>
      </c>
      <c r="G60" s="10">
        <v>4</v>
      </c>
      <c r="H60" s="7">
        <f t="shared" si="14"/>
        <v>0</v>
      </c>
      <c r="I60" s="7">
        <v>0</v>
      </c>
      <c r="J60" s="7">
        <v>0</v>
      </c>
      <c r="K60" s="9">
        <f t="shared" si="15"/>
        <v>0</v>
      </c>
      <c r="L60" s="7">
        <v>0</v>
      </c>
      <c r="M60" s="10">
        <v>0</v>
      </c>
      <c r="N60" s="7">
        <f t="shared" si="16"/>
        <v>0</v>
      </c>
      <c r="O60" s="7">
        <v>0</v>
      </c>
      <c r="P60" s="7">
        <v>0</v>
      </c>
    </row>
    <row r="61" spans="1:16" x14ac:dyDescent="0.25">
      <c r="A61" s="12" t="s">
        <v>10</v>
      </c>
      <c r="B61" s="7">
        <f t="shared" si="12"/>
        <v>654</v>
      </c>
      <c r="C61" s="7">
        <f>312-10</f>
        <v>302</v>
      </c>
      <c r="D61" s="7">
        <f>354-2</f>
        <v>352</v>
      </c>
      <c r="E61" s="9">
        <f t="shared" si="13"/>
        <v>632</v>
      </c>
      <c r="F61" s="7">
        <f>296-10</f>
        <v>286</v>
      </c>
      <c r="G61" s="10">
        <f>348-2</f>
        <v>346</v>
      </c>
      <c r="H61" s="7">
        <f t="shared" si="14"/>
        <v>60</v>
      </c>
      <c r="I61" s="7">
        <f>24-10</f>
        <v>14</v>
      </c>
      <c r="J61" s="7">
        <f>48-2</f>
        <v>46</v>
      </c>
      <c r="K61" s="9">
        <f t="shared" si="15"/>
        <v>216</v>
      </c>
      <c r="L61" s="7">
        <v>77</v>
      </c>
      <c r="M61" s="10">
        <v>139</v>
      </c>
      <c r="N61" s="7">
        <f t="shared" si="16"/>
        <v>22</v>
      </c>
      <c r="O61" s="7">
        <v>11</v>
      </c>
      <c r="P61" s="7">
        <v>11</v>
      </c>
    </row>
    <row r="62" spans="1:16" x14ac:dyDescent="0.25">
      <c r="A62" s="13" t="s">
        <v>7</v>
      </c>
      <c r="B62" s="4">
        <v>0</v>
      </c>
      <c r="C62" s="4">
        <v>0</v>
      </c>
      <c r="D62" s="4">
        <v>0</v>
      </c>
      <c r="E62" s="11">
        <v>0</v>
      </c>
      <c r="F62" s="4">
        <v>0</v>
      </c>
      <c r="G62" s="6">
        <v>0</v>
      </c>
      <c r="H62" s="4">
        <v>0</v>
      </c>
      <c r="I62" s="4">
        <v>0</v>
      </c>
      <c r="J62" s="4">
        <v>0</v>
      </c>
      <c r="K62" s="11">
        <f>SUM(L62+M62)</f>
        <v>0</v>
      </c>
      <c r="L62" s="4">
        <v>0</v>
      </c>
      <c r="M62" s="6">
        <v>0</v>
      </c>
      <c r="N62" s="4">
        <v>0</v>
      </c>
      <c r="O62" s="4">
        <v>0</v>
      </c>
      <c r="P62" s="4">
        <v>0</v>
      </c>
    </row>
    <row r="63" spans="1:16" x14ac:dyDescent="0.25">
      <c r="A63" s="22" t="s">
        <v>11</v>
      </c>
      <c r="B63" s="22"/>
      <c r="C63" s="22"/>
      <c r="D63" s="22"/>
    </row>
  </sheetData>
  <mergeCells count="24">
    <mergeCell ref="K5:M5"/>
    <mergeCell ref="N5:P5"/>
    <mergeCell ref="A3:M3"/>
    <mergeCell ref="A26:A27"/>
    <mergeCell ref="B26:D26"/>
    <mergeCell ref="E26:G26"/>
    <mergeCell ref="H26:J26"/>
    <mergeCell ref="K26:M26"/>
    <mergeCell ref="N26:P26"/>
    <mergeCell ref="A24:M24"/>
    <mergeCell ref="A20:D20"/>
    <mergeCell ref="A5:A6"/>
    <mergeCell ref="B5:D5"/>
    <mergeCell ref="E5:G5"/>
    <mergeCell ref="H5:J5"/>
    <mergeCell ref="A63:D63"/>
    <mergeCell ref="A41:D41"/>
    <mergeCell ref="A46:P46"/>
    <mergeCell ref="A48:A49"/>
    <mergeCell ref="B48:D48"/>
    <mergeCell ref="E48:G48"/>
    <mergeCell ref="H48:J48"/>
    <mergeCell ref="K48:M48"/>
    <mergeCell ref="N48:P48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2024-10-22T04:09:13Z</cp:lastPrinted>
  <dcterms:created xsi:type="dcterms:W3CDTF">2019-02-28T08:20:57Z</dcterms:created>
  <dcterms:modified xsi:type="dcterms:W3CDTF">2024-10-22T04:09:20Z</dcterms:modified>
</cp:coreProperties>
</file>