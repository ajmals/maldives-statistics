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law and Order\"/>
    </mc:Choice>
  </mc:AlternateContent>
  <xr:revisionPtr revIDLastSave="0" documentId="13_ncr:1_{F3BE987D-930E-435A-8055-D207CBBC1863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8.5" sheetId="5" r:id="rId1"/>
  </sheets>
  <externalReferences>
    <externalReference r:id="rId2"/>
  </externalReferences>
  <definedNames>
    <definedName name="_xlnm.Print_Area" localSheetId="0">'8.5'!$A$1:$L$33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I5" i="5" l="1"/>
  <c r="H5" i="5" l="1"/>
  <c r="G5" i="5" l="1"/>
  <c r="F5" i="5" l="1"/>
  <c r="E5" i="5" l="1"/>
  <c r="D5" i="5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<sst xmlns="http://schemas.openxmlformats.org/spreadsheetml/2006/main" count="32" uniqueCount="32">
  <si>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</si>
  <si>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</si>
  <si>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</si>
  <si>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</si>
  <si>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</si>
  <si>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</si>
  <si>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</si>
  <si>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</si>
  <si>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</si>
  <si>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</si>
  <si>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</si>
  <si>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</si>
  <si>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</si>
  <si>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</si>
  <si>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</si>
  <si>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</si>
  <si>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</si>
  <si>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</si>
  <si>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</si>
  <si>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</si>
  <si>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</si>
  <si>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</si>
  <si>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</si>
  <si>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</si>
  <si>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</si>
  <si>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</si>
  <si>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</si>
  <si>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</si>
  <si>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</si>
  <si>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</si>
  <si>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2016 - 2023</t>
  </si>
  <si>
    <t>2023 - 2016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</si>
</sst>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0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7" applyNumberFormat="0" applyFill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0" fontId="22" fillId="0" borderId="0"/>
    <xf numFmtId="1" fontId="23" fillId="0" borderId="8" applyNumberFormat="0"/>
    <xf numFmtId="0" fontId="15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15" fillId="0" borderId="0"/>
    <xf numFmtId="1" fontId="23" fillId="0" borderId="8" applyNumberFormat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0" fontId="1" fillId="0" borderId="0"/>
    <xf numFmtId="0" fontId="15" fillId="0" borderId="0"/>
    <xf numFmtId="0" fontId="24" fillId="0" borderId="0"/>
    <xf numFmtId="0" fontId="25" fillId="0" borderId="0"/>
    <xf numFmtId="0" fontId="15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0" fontId="27" fillId="0" borderId="0"/>
    <xf numFmtId="0" fontId="27" fillId="0" borderId="0"/>
  </cellStyleXfs>
  <cellXfs count="24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0" fillId="2" borderId="3" xfId="0" applyNumberFormat="1" applyFill="1" applyBorder="1"/>
    <xf numFmtId="164" fontId="1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 applyProtection="1">
      <alignment horizontal="right" vertical="center"/>
      <protection locked="0"/>
    </xf>
    <xf numFmtId="166" fontId="7" fillId="2" borderId="6" xfId="1" applyNumberFormat="1" applyFont="1" applyFill="1" applyBorder="1" applyAlignment="1" applyProtection="1">
      <alignment horizontal="right" vertical="center"/>
      <protection locked="0"/>
    </xf>
    <xf numFmtId="164" fontId="14" fillId="2" borderId="1" xfId="0" applyNumberFormat="1" applyFont="1" applyFill="1" applyBorder="1" applyAlignment="1">
      <alignment vertical="top"/>
    </xf>
    <xf numFmtId="164" fontId="0" fillId="2" borderId="3" xfId="0" applyNumberFormat="1" applyFill="1" applyBorder="1" applyAlignment="1">
      <alignment vertical="top"/>
    </xf>
    <xf numFmtId="164" fontId="9" fillId="2" borderId="0" xfId="0" applyNumberFormat="1" applyFont="1" applyFill="1" applyAlignment="1">
      <alignment horizontal="right" vertical="top"/>
    </xf>
    <xf numFmtId="164" fontId="18" fillId="2" borderId="1" xfId="0" applyNumberFormat="1" applyFont="1" applyFill="1" applyBorder="1" applyAlignment="1">
      <alignment horizontal="right" vertical="center"/>
    </xf>
    <xf numFmtId="164" fontId="18" fillId="2" borderId="5" xfId="0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top"/>
    </xf>
    <xf numFmtId="0" fontId="8" fillId="2" borderId="3" xfId="5" applyNumberFormat="1" applyFont="1" applyFill="1" applyBorder="1" applyAlignment="1">
      <alignment horizontal="left" vertical="center" indent="1"/>
    </xf>
    <xf numFmtId="0" fontId="8" fillId="2" borderId="6" xfId="5" applyNumberFormat="1" applyFont="1" applyFill="1" applyBorder="1" applyAlignment="1">
      <alignment horizontal="left" vertical="center" indent="1"/>
    </xf>
    <xf numFmtId="0" fontId="19" fillId="2" borderId="3" xfId="5" applyNumberFormat="1" applyFont="1" applyFill="1" applyBorder="1" applyAlignment="1">
      <alignment horizontal="right" vertical="center" indent="1"/>
    </xf>
    <xf numFmtId="0" fontId="19" fillId="2" borderId="6" xfId="5" applyNumberFormat="1" applyFont="1" applyFill="1" applyBorder="1" applyAlignment="1">
      <alignment horizontal="right" vertical="center" indent="1"/>
    </xf>
    <xf numFmtId="164" fontId="0" fillId="2" borderId="0" xfId="0" applyNumberFormat="1" applyFill="1" applyAlignment="1">
      <alignment vertical="top"/>
    </xf>
    <xf numFmtId="164" fontId="20" fillId="2" borderId="3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CCCC"/>
      <color rgb="FF008080"/>
      <color rgb="FFCCF4F2"/>
      <color rgb="FFC5FFFF"/>
      <color rgb="FFEAFAFA"/>
      <color rgb="FF003F3E"/>
      <color rgb="FFFF6969"/>
      <color rgb="FFFFC5C5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'8.5'!$H$4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1387</c:v>
                </c:pt>
                <c:pt idx="1">
                  <c:v>1100</c:v>
                </c:pt>
                <c:pt idx="2">
                  <c:v>1261</c:v>
                </c:pt>
                <c:pt idx="3">
                  <c:v>1173</c:v>
                </c:pt>
                <c:pt idx="4">
                  <c:v>1085</c:v>
                </c:pt>
                <c:pt idx="5">
                  <c:v>1077</c:v>
                </c:pt>
                <c:pt idx="6">
                  <c:v>1044</c:v>
                </c:pt>
                <c:pt idx="7">
                  <c:v>1205</c:v>
                </c:pt>
                <c:pt idx="8">
                  <c:v>1206</c:v>
                </c:pt>
                <c:pt idx="9">
                  <c:v>1189</c:v>
                </c:pt>
                <c:pt idx="10">
                  <c:v>1161</c:v>
                </c:pt>
                <c:pt idx="11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'8.5'!$I$4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'8.5'!$I$6:$I$17</c:f>
              <c:numCache>
                <c:formatCode>_-* #,##0_-;\-* #,##0_-;_-* "-"??_-;_-@_-</c:formatCode>
                <c:ptCount val="12"/>
                <c:pt idx="0">
                  <c:v>1174</c:v>
                </c:pt>
                <c:pt idx="1">
                  <c:v>1022</c:v>
                </c:pt>
                <c:pt idx="2">
                  <c:v>1126</c:v>
                </c:pt>
                <c:pt idx="3">
                  <c:v>1088</c:v>
                </c:pt>
                <c:pt idx="4">
                  <c:v>1277</c:v>
                </c:pt>
                <c:pt idx="5">
                  <c:v>1206</c:v>
                </c:pt>
                <c:pt idx="6">
                  <c:v>1077</c:v>
                </c:pt>
                <c:pt idx="7">
                  <c:v>1351</c:v>
                </c:pt>
                <c:pt idx="8">
                  <c:v>1060</c:v>
                </c:pt>
                <c:pt idx="9">
                  <c:v>1050</c:v>
                </c:pt>
                <c:pt idx="10">
                  <c:v>1076</c:v>
                </c:pt>
                <c:pt idx="11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'8.5'!$J$4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C5FFFF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'8.5'!$J$6:$J$17</c:f>
              <c:numCache>
                <c:formatCode>_-* #,##0_-;\-* #,##0_-;_-* "-"??_-;_-@_-</c:formatCode>
                <c:ptCount val="12"/>
                <c:pt idx="0">
                  <c:v>1153</c:v>
                </c:pt>
                <c:pt idx="1">
                  <c:v>1226</c:v>
                </c:pt>
                <c:pt idx="2">
                  <c:v>1129</c:v>
                </c:pt>
                <c:pt idx="3">
                  <c:v>1114</c:v>
                </c:pt>
                <c:pt idx="4">
                  <c:v>1158</c:v>
                </c:pt>
                <c:pt idx="5">
                  <c:v>1051</c:v>
                </c:pt>
                <c:pt idx="6">
                  <c:v>1163</c:v>
                </c:pt>
                <c:pt idx="7">
                  <c:v>1359</c:v>
                </c:pt>
                <c:pt idx="8">
                  <c:v>1335</c:v>
                </c:pt>
                <c:pt idx="9">
                  <c:v>1476</c:v>
                </c:pt>
                <c:pt idx="10">
                  <c:v>1480</c:v>
                </c:pt>
                <c:pt idx="11">
                  <c:v>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6745296376720101"/>
          <c:y val="0.21027487004576526"/>
          <c:w val="0.20469049413327661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160018</xdr:colOff>
      <xdr:row>18</xdr:row>
      <xdr:rowOff>87631</xdr:rowOff>
    </xdr:from>
    <xdr:to>
      <xdr:col>11</xdr:col>
      <xdr:colOff>104776</xdr:colOff>
      <xdr:row>32</xdr:row>
      <xdr:rowOff>78105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0.32553</cdr:x>
      <cdr:y>0.0423</cdr:y>
    </cdr:from>
    <cdr:to>
      <cdr:x>0.74318</cdr:x>
      <cdr:y>0.15341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74128" y="112400"/>
          <a:ext cx="3815810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2021- 2023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4\8.%20LAW%20AND%20ORDER_MPS%20-%20FILLED.xlsx" TargetMode="External"/><Relationship Id="rId1" Type="http://schemas.openxmlformats.org/officeDocument/2006/relationships/externalLinkPath" Target="/Dissemination/Publications/Statistical%20Year%20Book/YEARBOOK%202024/8.%20LAW%20AND%20ORDER_MPS%20-%20FILL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Sheet1"/>
    </sheetNames>
    <sheetDataSet>
      <sheetData sheetId="0">
        <row r="5">
          <cell r="P5">
            <v>15015</v>
          </cell>
        </row>
        <row r="6">
          <cell r="A6" t="str">
            <v>Theft</v>
          </cell>
          <cell r="Q6">
            <v>25.474525474525471</v>
          </cell>
        </row>
        <row r="7">
          <cell r="A7" t="str">
            <v>Traffic accidents</v>
          </cell>
          <cell r="Q7">
            <v>15.304695304695304</v>
          </cell>
        </row>
        <row r="8">
          <cell r="A8" t="str">
            <v>Drugs</v>
          </cell>
          <cell r="Q8">
            <v>11.535131535131535</v>
          </cell>
        </row>
        <row r="9">
          <cell r="A9" t="str">
            <v>Lost Items</v>
          </cell>
          <cell r="Q9">
            <v>9.8701298701298708</v>
          </cell>
        </row>
        <row r="10">
          <cell r="A10" t="str">
            <v>Assault</v>
          </cell>
          <cell r="Q10">
            <v>4.3689643689643693</v>
          </cell>
        </row>
        <row r="11">
          <cell r="A11" t="str">
            <v>Vandalism</v>
          </cell>
          <cell r="Q11">
            <v>4.0892440892440893</v>
          </cell>
        </row>
        <row r="12">
          <cell r="A12" t="str">
            <v>Robbery</v>
          </cell>
          <cell r="Q12">
            <v>3.1834831834831836</v>
          </cell>
        </row>
        <row r="13">
          <cell r="A13" t="str">
            <v>Sexual offences</v>
          </cell>
          <cell r="Q13">
            <v>1.9247419247419246</v>
          </cell>
        </row>
        <row r="14">
          <cell r="A14" t="str">
            <v>Embezzlement</v>
          </cell>
          <cell r="Q14">
            <v>5.0149850149850153</v>
          </cell>
        </row>
        <row r="15">
          <cell r="A15" t="str">
            <v>Domestic violence</v>
          </cell>
          <cell r="Q15">
            <v>1.4851814851814853</v>
          </cell>
        </row>
        <row r="16">
          <cell r="A16" t="str">
            <v>Counterfeit and forgery</v>
          </cell>
          <cell r="Q16">
            <v>0.85248085248085248</v>
          </cell>
        </row>
        <row r="17">
          <cell r="A17" t="str">
            <v>Others</v>
          </cell>
          <cell r="Q17">
            <v>16.896436896436899</v>
          </cell>
        </row>
      </sheetData>
      <sheetData sheetId="1">
        <row r="7">
          <cell r="AD7">
            <v>11043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O19"/>
  <sheetViews>
    <sheetView tabSelected="1" zoomScaleNormal="100" workbookViewId="0">
      <selection activeCell="K8" sqref="K8"/>
    </sheetView>
  </sheetViews>
  <sheetFormatPr defaultColWidth="9.140625" defaultRowHeight="15"/>
  <cols>
    <col min="1" max="1" width="21.7109375" style="2" customWidth="1"/>
    <col min="2" max="2" width="0.5703125" style="2" customWidth="1"/>
    <col min="3" max="10" width="12.7109375" style="2" customWidth="1"/>
    <col min="11" max="11" width="27.140625" style="2" customWidth="1"/>
    <col min="12" max="12" width="9.140625" style="2"/>
    <col min="13" max="13" width="22.140625" style="2" bestFit="1" customWidth="1"/>
    <col min="14" max="14" width="6.7109375" style="2" bestFit="1" customWidth="1"/>
    <col min="15" max="17" width="3.28515625" style="2" customWidth="1"/>
    <col min="18" max="18" width="7.5703125" style="2" customWidth="1"/>
    <col min="19" max="19" width="7.28515625" style="2" customWidth="1"/>
    <col min="20" max="25" width="3.28515625" style="2" customWidth="1"/>
    <col min="26" max="26" width="9.140625" style="2"/>
    <col min="27" max="31" width="9.85546875" style="2" customWidth="1"/>
    <col min="32" max="16384" width="9.140625" style="2"/>
  </cols>
  <sheetData>
    <row r="1" spans="1:15" ht="18.7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5" ht="15.75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5" ht="5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M3" s="1"/>
    </row>
    <row r="4" spans="1:15" s="6" customFormat="1" ht="15.75">
      <c r="A4" s="4" t="s">
        <v>4</v>
      </c>
      <c r="B4" s="5">
        <v>2015</v>
      </c>
      <c r="C4" s="5">
        <v>2016</v>
      </c>
      <c r="D4" s="5">
        <v>2017</v>
      </c>
      <c r="E4" s="5">
        <v>2018</v>
      </c>
      <c r="F4" s="5">
        <v>2019</v>
      </c>
      <c r="G4" s="5">
        <v>2020</v>
      </c>
      <c r="H4" s="5">
        <v>2021</v>
      </c>
      <c r="I4" s="5">
        <v>2022</v>
      </c>
      <c r="J4" s="5">
        <v>2023</v>
      </c>
      <c r="K4" s="15" t="s">
        <v>5</v>
      </c>
      <c r="L4" s="2"/>
      <c r="M4" s="2"/>
      <c r="N4" s="2"/>
      <c r="O4" s="2"/>
    </row>
    <row r="5" spans="1:15" ht="15.75">
      <c r="A5" s="7" t="s">
        <v>0</v>
      </c>
      <c r="B5" s="8">
        <f t="shared" ref="B5:H5" si="0">SUM(B6:B17)</f>
        <v>16362</v>
      </c>
      <c r="C5" s="8">
        <f t="shared" si="0"/>
        <v>16287</v>
      </c>
      <c r="D5" s="8">
        <f t="shared" si="0"/>
        <v>15535</v>
      </c>
      <c r="E5" s="8">
        <f t="shared" si="0"/>
        <v>14811</v>
      </c>
      <c r="F5" s="8">
        <f t="shared" si="0"/>
        <v>16480</v>
      </c>
      <c r="G5" s="8">
        <f t="shared" si="0"/>
        <v>12787</v>
      </c>
      <c r="H5" s="8">
        <f t="shared" si="0"/>
        <v>14143</v>
      </c>
      <c r="I5" s="8">
        <f>SUM(I6:I17)</f>
        <v>13543</v>
      </c>
      <c r="J5" s="8">
        <f>SUM(J6:J17)</f>
        <v>15015</v>
      </c>
      <c r="K5" s="14" t="s">
        <v>1</v>
      </c>
      <c r="L5" s="6"/>
      <c r="M5" s="6"/>
      <c r="N5" s="6"/>
      <c r="O5" s="6"/>
    </row>
    <row r="6" spans="1:15" ht="18.75">
      <c r="A6" s="17" t="s">
        <v>6</v>
      </c>
      <c r="B6" s="9">
        <v>1371</v>
      </c>
      <c r="C6" s="9">
        <v>1467</v>
      </c>
      <c r="D6" s="9">
        <v>1362</v>
      </c>
      <c r="E6" s="9">
        <v>1427</v>
      </c>
      <c r="F6" s="9">
        <v>1313</v>
      </c>
      <c r="G6" s="9">
        <v>1403</v>
      </c>
      <c r="H6" s="9">
        <v>1387</v>
      </c>
      <c r="I6" s="9">
        <v>1174</v>
      </c>
      <c r="J6" s="9">
        <v>1153</v>
      </c>
      <c r="K6" s="19" t="s">
        <v>7</v>
      </c>
      <c r="M6" s="6"/>
    </row>
    <row r="7" spans="1:15" ht="18.75">
      <c r="A7" s="17" t="s">
        <v>8</v>
      </c>
      <c r="B7" s="9">
        <v>1414</v>
      </c>
      <c r="C7" s="9">
        <v>1420</v>
      </c>
      <c r="D7" s="9">
        <v>1112</v>
      </c>
      <c r="E7" s="9">
        <v>1100</v>
      </c>
      <c r="F7" s="9">
        <v>1282</v>
      </c>
      <c r="G7" s="9">
        <v>1210</v>
      </c>
      <c r="H7" s="9">
        <v>1100</v>
      </c>
      <c r="I7" s="9">
        <v>1022</v>
      </c>
      <c r="J7" s="9">
        <v>1226</v>
      </c>
      <c r="K7" s="19" t="s">
        <v>9</v>
      </c>
      <c r="M7" s="6"/>
    </row>
    <row r="8" spans="1:15" ht="18.75">
      <c r="A8" s="17" t="s">
        <v>10</v>
      </c>
      <c r="B8" s="9">
        <v>1441</v>
      </c>
      <c r="C8" s="9">
        <v>1598</v>
      </c>
      <c r="D8" s="9">
        <v>1278</v>
      </c>
      <c r="E8" s="9">
        <v>1374</v>
      </c>
      <c r="F8" s="9">
        <v>1298</v>
      </c>
      <c r="G8" s="9">
        <v>1294</v>
      </c>
      <c r="H8" s="9">
        <v>1261</v>
      </c>
      <c r="I8" s="9">
        <v>1126</v>
      </c>
      <c r="J8" s="9">
        <v>1129</v>
      </c>
      <c r="K8" s="19" t="s">
        <v>11</v>
      </c>
      <c r="M8" s="6"/>
    </row>
    <row r="9" spans="1:15" ht="18.75">
      <c r="A9" s="17" t="s">
        <v>12</v>
      </c>
      <c r="B9" s="9">
        <v>1271</v>
      </c>
      <c r="C9" s="9">
        <v>1251</v>
      </c>
      <c r="D9" s="9">
        <v>1406</v>
      </c>
      <c r="E9" s="9">
        <v>1278</v>
      </c>
      <c r="F9" s="9">
        <v>1411</v>
      </c>
      <c r="G9" s="9">
        <v>748</v>
      </c>
      <c r="H9" s="9">
        <v>1173</v>
      </c>
      <c r="I9" s="9">
        <v>1088</v>
      </c>
      <c r="J9" s="9">
        <v>1114</v>
      </c>
      <c r="K9" s="19" t="s">
        <v>13</v>
      </c>
      <c r="M9" s="6"/>
    </row>
    <row r="10" spans="1:15" ht="18.75">
      <c r="A10" s="17" t="s">
        <v>14</v>
      </c>
      <c r="B10" s="9">
        <v>1332</v>
      </c>
      <c r="C10" s="9">
        <v>1539</v>
      </c>
      <c r="D10" s="9">
        <v>1270</v>
      </c>
      <c r="E10" s="9">
        <v>1156</v>
      </c>
      <c r="F10" s="9">
        <v>1393</v>
      </c>
      <c r="G10" s="9">
        <v>680</v>
      </c>
      <c r="H10" s="9">
        <v>1085</v>
      </c>
      <c r="I10" s="9">
        <v>1277</v>
      </c>
      <c r="J10" s="9">
        <v>1158</v>
      </c>
      <c r="K10" s="19" t="s">
        <v>15</v>
      </c>
      <c r="M10" s="6"/>
    </row>
    <row r="11" spans="1:15" ht="18.75">
      <c r="A11" s="17" t="s">
        <v>16</v>
      </c>
      <c r="B11" s="9">
        <v>1262</v>
      </c>
      <c r="C11" s="9">
        <v>1334</v>
      </c>
      <c r="D11" s="9">
        <v>1216</v>
      </c>
      <c r="E11" s="9">
        <v>1175</v>
      </c>
      <c r="F11" s="9">
        <v>1450</v>
      </c>
      <c r="G11" s="9">
        <v>780</v>
      </c>
      <c r="H11" s="9">
        <v>1077</v>
      </c>
      <c r="I11" s="9">
        <v>1206</v>
      </c>
      <c r="J11" s="9">
        <v>1051</v>
      </c>
      <c r="K11" s="19" t="s">
        <v>17</v>
      </c>
    </row>
    <row r="12" spans="1:15" ht="18.75">
      <c r="A12" s="17" t="s">
        <v>18</v>
      </c>
      <c r="B12" s="9">
        <v>1326</v>
      </c>
      <c r="C12" s="9">
        <v>1301</v>
      </c>
      <c r="D12" s="9">
        <v>1309</v>
      </c>
      <c r="E12" s="9">
        <v>1165</v>
      </c>
      <c r="F12" s="9">
        <v>1432</v>
      </c>
      <c r="G12" s="9">
        <v>990</v>
      </c>
      <c r="H12" s="9">
        <v>1044</v>
      </c>
      <c r="I12" s="9">
        <v>1077</v>
      </c>
      <c r="J12" s="9">
        <v>1163</v>
      </c>
      <c r="K12" s="19" t="s">
        <v>19</v>
      </c>
      <c r="M12" s="6"/>
    </row>
    <row r="13" spans="1:15" ht="18.75">
      <c r="A13" s="17" t="s">
        <v>20</v>
      </c>
      <c r="B13" s="9">
        <v>1609</v>
      </c>
      <c r="C13" s="9">
        <v>1267</v>
      </c>
      <c r="D13" s="9">
        <v>1308</v>
      </c>
      <c r="E13" s="9">
        <v>1296</v>
      </c>
      <c r="F13" s="9">
        <v>1300</v>
      </c>
      <c r="G13" s="9">
        <v>1109</v>
      </c>
      <c r="H13" s="9">
        <v>1205</v>
      </c>
      <c r="I13" s="9">
        <v>1351</v>
      </c>
      <c r="J13" s="9">
        <v>1359</v>
      </c>
      <c r="K13" s="19" t="s">
        <v>21</v>
      </c>
      <c r="M13" s="6"/>
    </row>
    <row r="14" spans="1:15" ht="18.75">
      <c r="A14" s="17" t="s">
        <v>22</v>
      </c>
      <c r="B14" s="9">
        <v>1428</v>
      </c>
      <c r="C14" s="9">
        <v>1189</v>
      </c>
      <c r="D14" s="9">
        <v>1223</v>
      </c>
      <c r="E14" s="9">
        <v>1278</v>
      </c>
      <c r="F14" s="9">
        <v>1409</v>
      </c>
      <c r="G14" s="9">
        <v>1174</v>
      </c>
      <c r="H14" s="9">
        <v>1206</v>
      </c>
      <c r="I14" s="9">
        <v>1060</v>
      </c>
      <c r="J14" s="9">
        <v>1335</v>
      </c>
      <c r="K14" s="19" t="s">
        <v>23</v>
      </c>
      <c r="M14" s="6"/>
    </row>
    <row r="15" spans="1:15" ht="18.75">
      <c r="A15" s="17" t="s">
        <v>24</v>
      </c>
      <c r="B15" s="9">
        <v>1369</v>
      </c>
      <c r="C15" s="9">
        <v>1252</v>
      </c>
      <c r="D15" s="9">
        <v>1482</v>
      </c>
      <c r="E15" s="9">
        <v>1300</v>
      </c>
      <c r="F15" s="9">
        <v>1505</v>
      </c>
      <c r="G15" s="9">
        <v>1107</v>
      </c>
      <c r="H15" s="9">
        <v>1189</v>
      </c>
      <c r="I15" s="9">
        <v>1050</v>
      </c>
      <c r="J15" s="9">
        <v>1476</v>
      </c>
      <c r="K15" s="19" t="s">
        <v>25</v>
      </c>
      <c r="M15" s="6"/>
    </row>
    <row r="16" spans="1:15" ht="18.75">
      <c r="A16" s="17" t="s">
        <v>26</v>
      </c>
      <c r="B16" s="9">
        <v>1285</v>
      </c>
      <c r="C16" s="9">
        <v>1300</v>
      </c>
      <c r="D16" s="9">
        <v>1296</v>
      </c>
      <c r="E16" s="9">
        <v>1096</v>
      </c>
      <c r="F16" s="9">
        <v>1244</v>
      </c>
      <c r="G16" s="9">
        <v>1116</v>
      </c>
      <c r="H16" s="9">
        <v>1161</v>
      </c>
      <c r="I16" s="9">
        <v>1076</v>
      </c>
      <c r="J16" s="9">
        <v>1480</v>
      </c>
      <c r="K16" s="19" t="s">
        <v>27</v>
      </c>
      <c r="M16" s="6"/>
    </row>
    <row r="17" spans="1:13" ht="18.75">
      <c r="A17" s="18" t="s">
        <v>28</v>
      </c>
      <c r="B17" s="10">
        <v>1254</v>
      </c>
      <c r="C17" s="10">
        <v>1369</v>
      </c>
      <c r="D17" s="10">
        <v>1273</v>
      </c>
      <c r="E17" s="10">
        <v>1166</v>
      </c>
      <c r="F17" s="10">
        <v>1443</v>
      </c>
      <c r="G17" s="10">
        <v>1176</v>
      </c>
      <c r="H17" s="10">
        <v>1255</v>
      </c>
      <c r="I17" s="10">
        <v>1036</v>
      </c>
      <c r="J17" s="10">
        <v>1371</v>
      </c>
      <c r="K17" s="20" t="s">
        <v>29</v>
      </c>
      <c r="M17" s="6"/>
    </row>
    <row r="18" spans="1:13">
      <c r="A18" s="11" t="s">
        <v>2</v>
      </c>
      <c r="B18" s="12"/>
      <c r="C18" s="12"/>
      <c r="D18" s="12"/>
      <c r="E18" s="12"/>
      <c r="F18" s="12"/>
      <c r="G18" s="12"/>
      <c r="H18" s="21"/>
      <c r="I18" s="21"/>
      <c r="J18" s="21"/>
      <c r="K18" s="16" t="s">
        <v>3</v>
      </c>
    </row>
    <row r="19" spans="1:13">
      <c r="A19" s="11"/>
      <c r="B19" s="12"/>
      <c r="C19" s="12"/>
      <c r="D19" s="12"/>
      <c r="E19" s="12"/>
      <c r="F19" s="12"/>
      <c r="G19" s="12"/>
      <c r="H19" s="21"/>
      <c r="I19" s="21"/>
      <c r="J19" s="21"/>
      <c r="K19" s="13"/>
    </row>
  </sheetData>
  <mergeCells count="2">
    <mergeCell ref="A1:K1"/>
    <mergeCell ref="A2:K2"/>
  </mergeCells>
  <pageMargins left="0.7" right="0.7" top="0.75" bottom="0.75" header="0.3" footer="0.3"/>
  <pageSetup scale="56" orientation="portrait" r:id="rId1"/>
  <colBreaks count="1" manualBreakCount="1">
    <brk id="12" max="3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2024-10-06T03:11:30Z</cp:lastPrinted>
  <dcterms:created xsi:type="dcterms:W3CDTF">2019-06-30T04:22:49Z</dcterms:created>
  <dcterms:modified xsi:type="dcterms:W3CDTF">2024-10-06T03:11:38Z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