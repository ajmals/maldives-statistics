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law and Order\"/>
    </mc:Choice>
  </mc:AlternateContent>
  <xr:revisionPtr revIDLastSave="0" documentId="13_ncr:1_{393BF716-B7CA-48CD-98FB-31B675EF4411}" xr6:coauthVersionLast="47" xr6:coauthVersionMax="47" xr10:uidLastSave="{00000000-0000-0000-0000-000000000000}"/>
  <bookViews>
    <workbookView xWindow="-120" yWindow="-120" windowWidth="29040" windowHeight="15720" tabRatio="860" xr2:uid="{00000000-000D-0000-FFFF-FFFF00000000}"/>
  </bookViews>
  <sheets>
    <sheet name="8.10" sheetId="10" r:id="rId1"/>
  </sheets>
  <externalReferences>
    <externalReference r:id="rId2"/>
  </externalReferences>
  <definedNames>
    <definedName name="_xlnm.Print_Area" localSheetId="0">'8.10'!$A$1:$M$60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0" l="1"/>
  <c r="B6" i="10"/>
  <c r="B5" i="10" s="1"/>
  <c r="C6" i="10"/>
  <c r="C5" i="10" s="1"/>
  <c r="D6" i="10"/>
  <c r="D5" i="10" s="1"/>
  <c r="E6" i="10"/>
  <c r="E5" i="10" s="1"/>
  <c r="F6" i="10"/>
  <c r="F5" i="10" s="1"/>
  <c r="G6" i="10"/>
  <c r="G5" i="10" s="1"/>
  <c r="H6" i="10"/>
  <c r="H5" i="10" s="1"/>
  <c r="K5" i="10" s="1"/>
  <c r="I6" i="10"/>
  <c r="K6" i="10" s="1"/>
  <c r="J6" i="10"/>
  <c r="J7" i="10"/>
  <c r="K7" i="10"/>
  <c r="J8" i="10"/>
  <c r="K8" i="10"/>
  <c r="J9" i="10"/>
  <c r="K9" i="10"/>
  <c r="I10" i="10"/>
  <c r="K10" i="10" s="1"/>
  <c r="J10" i="10"/>
</calcChain>
</file>

<file path=xl/sharedStrings.xml><?xml version="1.0" encoding="utf-8"?>
<sst xmlns="http://schemas.openxmlformats.org/spreadsheetml/2006/main" count="22" uniqueCount="22">
  <si>
    <t>Total</t>
  </si>
  <si>
    <t>Source: Maldives Police Service</t>
  </si>
  <si>
    <t>csivrws csilop cscviDclOm :Ivcaed utWmUluAwm</t>
  </si>
  <si>
    <t>ޖުމްލަ</t>
  </si>
  <si>
    <t xml:space="preserve">Type </t>
  </si>
  <si>
    <t xml:space="preserve"> މައްސަލައިގެ ބާވަތް</t>
  </si>
  <si>
    <t xml:space="preserve">  ކުރީ އަހަރާއި  އަޅާބަލާއިރު  އިތުރުވި މިންވަރު</t>
  </si>
  <si>
    <t xml:space="preserve">Percentage share </t>
  </si>
  <si>
    <t>Assault by group of persons</t>
  </si>
  <si>
    <t>ގްރޫޕް މާރާމާރީ</t>
  </si>
  <si>
    <t>Using weapons</t>
  </si>
  <si>
    <t xml:space="preserve">   ހަތިޔާރު ބޭނުންކޮށްގެން</t>
  </si>
  <si>
    <t>Using sharp weapons</t>
  </si>
  <si>
    <t xml:space="preserve">   ތޫނު ހަތިޔާރު ބޭނުންކޮށްގެން</t>
  </si>
  <si>
    <t>Without use of weapons</t>
  </si>
  <si>
    <t xml:space="preserve">   ހަތިޔާރު ބޭނުންނުކޮށް</t>
  </si>
  <si>
    <t>Other Assault</t>
  </si>
  <si>
    <t>އެހެނިހެން މާރާމާރީ</t>
  </si>
  <si>
    <t>%change over 2022</t>
  </si>
  <si>
    <t>އިންސައްތަ 2023</t>
  </si>
  <si>
    <t>Table 8.10:  ASSAULT CASES LOGGED BY TYPE, 2016 - 2023</t>
  </si>
  <si>
    <t>ތާވަލު 8.10: ހުށަހެޅިފައިވާ މާރާމާރީގެ މައްސަލަތައް، 2016- 2023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</si>
</sst>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0" formatCode="0.00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167" fontId="20" fillId="0" borderId="0"/>
    <xf numFmtId="0" fontId="28" fillId="0" borderId="8" applyNumberFormat="0" applyFill="0" applyAlignment="0" applyProtection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170" fontId="31" fillId="0" borderId="0"/>
    <xf numFmtId="1" fontId="32" fillId="0" borderId="11" applyNumberFormat="0"/>
    <xf numFmtId="0" fontId="27" fillId="0" borderId="0"/>
    <xf numFmtId="0" fontId="1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30" fillId="0" borderId="0"/>
    <xf numFmtId="40" fontId="30" fillId="0" borderId="0" applyFont="0" applyFill="0" applyBorder="0" applyAlignment="0" applyProtection="0"/>
    <xf numFmtId="0" fontId="30" fillId="0" borderId="0"/>
    <xf numFmtId="0" fontId="27" fillId="0" borderId="0"/>
    <xf numFmtId="1" fontId="32" fillId="0" borderId="11" applyNumberFormat="0"/>
    <xf numFmtId="0" fontId="1" fillId="0" borderId="0"/>
    <xf numFmtId="0" fontId="30" fillId="0" borderId="0"/>
    <xf numFmtId="0" fontId="19" fillId="0" borderId="0" applyFill="0" applyProtection="0"/>
    <xf numFmtId="1" fontId="32" fillId="0" borderId="11" applyNumberFormat="0"/>
    <xf numFmtId="43" fontId="1" fillId="0" borderId="0" applyFont="0" applyFill="0" applyBorder="0" applyAlignment="0" applyProtection="0"/>
    <xf numFmtId="0" fontId="1" fillId="0" borderId="0"/>
    <xf numFmtId="0" fontId="33" fillId="0" borderId="0"/>
    <xf numFmtId="0" fontId="34" fillId="0" borderId="0"/>
    <xf numFmtId="0" fontId="33" fillId="0" borderId="0"/>
    <xf numFmtId="0" fontId="1" fillId="0" borderId="0"/>
    <xf numFmtId="0" fontId="30" fillId="0" borderId="0"/>
    <xf numFmtId="0" fontId="19" fillId="0" borderId="0" applyFill="0" applyProtection="0"/>
    <xf numFmtId="1" fontId="32" fillId="0" borderId="11" applyNumberFormat="0"/>
    <xf numFmtId="0" fontId="1" fillId="0" borderId="0"/>
    <xf numFmtId="0" fontId="27" fillId="0" borderId="0"/>
    <xf numFmtId="0" fontId="33" fillId="0" borderId="0"/>
    <xf numFmtId="0" fontId="34" fillId="0" borderId="0"/>
    <xf numFmtId="0" fontId="27" fillId="0" borderId="0"/>
    <xf numFmtId="0" fontId="33" fillId="0" borderId="0"/>
    <xf numFmtId="0" fontId="35" fillId="0" borderId="0"/>
    <xf numFmtId="0" fontId="33" fillId="0" borderId="0"/>
    <xf numFmtId="0" fontId="3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0" fillId="0" borderId="0" applyFont="0" applyFill="0" applyBorder="0" applyAlignment="0" applyProtection="0"/>
    <xf numFmtId="0" fontId="1" fillId="0" borderId="0"/>
    <xf numFmtId="0" fontId="35" fillId="0" borderId="0" applyBorder="0"/>
    <xf numFmtId="0" fontId="1" fillId="0" borderId="0"/>
    <xf numFmtId="40" fontId="3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5" fillId="0" borderId="0" applyBorder="0"/>
    <xf numFmtId="0" fontId="1" fillId="0" borderId="0"/>
    <xf numFmtId="0" fontId="1" fillId="0" borderId="0"/>
    <xf numFmtId="1" fontId="32" fillId="0" borderId="11" applyNumberFormat="0"/>
    <xf numFmtId="1" fontId="32" fillId="0" borderId="11" applyNumberFormat="0"/>
    <xf numFmtId="1" fontId="32" fillId="0" borderId="11" applyNumberFormat="0"/>
    <xf numFmtId="1" fontId="32" fillId="0" borderId="11" applyNumberFormat="0"/>
    <xf numFmtId="0" fontId="36" fillId="0" borderId="0"/>
    <xf numFmtId="0" fontId="36" fillId="0" borderId="0"/>
  </cellStyleXfs>
  <cellXfs count="55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10" fillId="2" borderId="0" xfId="0" applyNumberFormat="1" applyFont="1" applyFill="1"/>
    <xf numFmtId="164" fontId="6" fillId="2" borderId="4" xfId="0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3" fontId="6" fillId="2" borderId="0" xfId="1" applyNumberFormat="1" applyFont="1" applyFill="1" applyBorder="1" applyAlignment="1">
      <alignment horizontal="right" vertical="center"/>
    </xf>
    <xf numFmtId="166" fontId="14" fillId="2" borderId="0" xfId="1" applyNumberFormat="1" applyFont="1" applyFill="1" applyBorder="1" applyAlignment="1">
      <alignment horizontal="center"/>
    </xf>
    <xf numFmtId="164" fontId="11" fillId="2" borderId="0" xfId="0" applyNumberFormat="1" applyFont="1" applyFill="1" applyAlignment="1">
      <alignment horizontal="right" vertical="center"/>
    </xf>
    <xf numFmtId="167" fontId="17" fillId="2" borderId="0" xfId="1" applyNumberFormat="1" applyFont="1" applyFill="1" applyBorder="1" applyAlignment="1">
      <alignment horizontal="right"/>
    </xf>
    <xf numFmtId="164" fontId="16" fillId="2" borderId="0" xfId="0" applyNumberFormat="1" applyFont="1" applyFill="1"/>
    <xf numFmtId="164" fontId="18" fillId="2" borderId="5" xfId="0" applyNumberFormat="1" applyFont="1" applyFill="1" applyBorder="1" applyAlignment="1">
      <alignment vertical="center"/>
    </xf>
    <xf numFmtId="164" fontId="14" fillId="2" borderId="0" xfId="0" applyNumberFormat="1" applyFont="1" applyFill="1"/>
    <xf numFmtId="164" fontId="22" fillId="2" borderId="0" xfId="0" applyNumberFormat="1" applyFont="1" applyFill="1" applyAlignment="1">
      <alignment horizontal="right" vertical="center"/>
    </xf>
    <xf numFmtId="164" fontId="21" fillId="2" borderId="0" xfId="0" applyNumberFormat="1" applyFont="1" applyFill="1" applyAlignment="1">
      <alignment vertical="center"/>
    </xf>
    <xf numFmtId="164" fontId="24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horizontal="left" vertical="center" indent="1"/>
    </xf>
    <xf numFmtId="164" fontId="10" fillId="2" borderId="0" xfId="0" applyNumberFormat="1" applyFont="1" applyFill="1" applyAlignment="1">
      <alignment vertical="center"/>
    </xf>
    <xf numFmtId="164" fontId="25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7" fillId="2" borderId="4" xfId="0" applyNumberFormat="1" applyFont="1" applyFill="1" applyBorder="1" applyAlignment="1">
      <alignment horizontal="center" vertical="center" wrapText="1"/>
    </xf>
    <xf numFmtId="3" fontId="12" fillId="2" borderId="0" xfId="0" applyNumberFormat="1" applyFont="1" applyFill="1" applyAlignment="1">
      <alignment horizontal="right" vertical="center"/>
    </xf>
    <xf numFmtId="3" fontId="15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vertical="center"/>
    </xf>
    <xf numFmtId="164" fontId="26" fillId="2" borderId="0" xfId="0" applyNumberFormat="1" applyFont="1" applyFill="1"/>
    <xf numFmtId="164" fontId="12" fillId="2" borderId="0" xfId="0" applyNumberFormat="1" applyFont="1" applyFill="1" applyAlignment="1">
      <alignment vertical="center"/>
    </xf>
    <xf numFmtId="3" fontId="12" fillId="2" borderId="0" xfId="1" applyNumberFormat="1" applyFont="1" applyFill="1" applyBorder="1" applyAlignment="1">
      <alignment horizontal="right" vertical="center"/>
    </xf>
    <xf numFmtId="164" fontId="7" fillId="2" borderId="7" xfId="0" applyNumberFormat="1" applyFont="1" applyFill="1" applyBorder="1" applyAlignment="1">
      <alignment horizontal="right" vertical="center" wrapText="1"/>
    </xf>
    <xf numFmtId="164" fontId="8" fillId="2" borderId="6" xfId="0" applyNumberFormat="1" applyFont="1" applyFill="1" applyBorder="1" applyAlignment="1">
      <alignment horizontal="right" vertical="center" wrapText="1"/>
    </xf>
    <xf numFmtId="164" fontId="29" fillId="2" borderId="5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center" vertical="center" wrapText="1"/>
    </xf>
    <xf numFmtId="3" fontId="37" fillId="3" borderId="0" xfId="0" applyNumberFormat="1" applyFont="1" applyFill="1" applyAlignment="1">
      <alignment horizontal="right" vertical="center"/>
    </xf>
    <xf numFmtId="3" fontId="39" fillId="3" borderId="0" xfId="0" applyNumberFormat="1" applyFont="1" applyFill="1" applyAlignment="1">
      <alignment horizontal="right" vertical="center"/>
    </xf>
    <xf numFmtId="3" fontId="39" fillId="3" borderId="13" xfId="0" applyNumberFormat="1" applyFont="1" applyFill="1" applyBorder="1" applyAlignment="1">
      <alignment vertical="center"/>
    </xf>
    <xf numFmtId="3" fontId="39" fillId="3" borderId="0" xfId="0" applyNumberFormat="1" applyFont="1" applyFill="1" applyAlignment="1">
      <alignment horizontal="right" vertical="center" indent="4"/>
    </xf>
    <xf numFmtId="3" fontId="40" fillId="3" borderId="13" xfId="0" applyNumberFormat="1" applyFont="1" applyFill="1" applyBorder="1" applyAlignment="1">
      <alignment vertical="center"/>
    </xf>
    <xf numFmtId="3" fontId="40" fillId="3" borderId="0" xfId="0" applyNumberFormat="1" applyFont="1" applyFill="1" applyAlignment="1">
      <alignment horizontal="right" vertical="center" indent="4"/>
    </xf>
    <xf numFmtId="0" fontId="38" fillId="3" borderId="0" xfId="0" applyFont="1" applyFill="1" applyAlignment="1">
      <alignment horizontal="right" vertical="center"/>
    </xf>
    <xf numFmtId="166" fontId="37" fillId="3" borderId="12" xfId="0" applyNumberFormat="1" applyFont="1" applyFill="1" applyBorder="1" applyAlignment="1">
      <alignment horizontal="right" vertical="center"/>
    </xf>
    <xf numFmtId="3" fontId="40" fillId="3" borderId="15" xfId="0" applyNumberFormat="1" applyFont="1" applyFill="1" applyBorder="1" applyAlignment="1">
      <alignment vertical="center"/>
    </xf>
    <xf numFmtId="3" fontId="40" fillId="3" borderId="12" xfId="0" applyNumberFormat="1" applyFont="1" applyFill="1" applyBorder="1" applyAlignment="1">
      <alignment horizontal="right" vertical="center" indent="4"/>
    </xf>
    <xf numFmtId="0" fontId="38" fillId="2" borderId="0" xfId="0" applyFont="1" applyFill="1" applyAlignment="1">
      <alignment horizontal="right" vertical="center"/>
    </xf>
    <xf numFmtId="3" fontId="37" fillId="2" borderId="14" xfId="0" applyNumberFormat="1" applyFont="1" applyFill="1" applyBorder="1" applyAlignment="1">
      <alignment horizontal="right" vertical="center"/>
    </xf>
    <xf numFmtId="164" fontId="4" fillId="2" borderId="10" xfId="0" applyNumberFormat="1" applyFont="1" applyFill="1" applyBorder="1" applyAlignment="1">
      <alignment horizontal="center" vertical="top"/>
    </xf>
    <xf numFmtId="164" fontId="11" fillId="2" borderId="4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center" vertical="top"/>
    </xf>
    <xf numFmtId="164" fontId="4" fillId="2" borderId="9" xfId="0" applyNumberFormat="1" applyFont="1" applyFill="1" applyBorder="1" applyAlignment="1">
      <alignment horizontal="center" vertical="top"/>
    </xf>
    <xf numFmtId="164" fontId="23" fillId="2" borderId="3" xfId="0" applyNumberFormat="1" applyFont="1" applyFill="1" applyBorder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7" fillId="2" borderId="3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center" vertical="center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008080"/>
      <color rgb="FF33CCCC"/>
      <color rgb="FFCCF4F2"/>
      <color rgb="FFC5FFFF"/>
      <color rgb="FFEAFAFA"/>
      <color rgb="FF003F3E"/>
      <color rgb="FFFF6969"/>
      <color rgb="FFFFC5C5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6606007537386"/>
          <c:y val="0.17551025230578871"/>
          <c:w val="0.86542580804400426"/>
          <c:h val="0.666521784740066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'8.10'!$G$3:$G$4</c:f>
              <c:strCache>
                <c:ptCount val="2"/>
                <c:pt idx="0">
                  <c:v>2021 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'8.10'!$G$7:$G$9</c:f>
              <c:numCache>
                <c:formatCode>General</c:formatCode>
                <c:ptCount val="3"/>
                <c:pt idx="0">
                  <c:v>4</c:v>
                </c:pt>
                <c:pt idx="1">
                  <c:v>10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F-4F82-8053-A00150324139}"/>
            </c:ext>
          </c:extLst>
        </c:ser>
        <c:ser>
          <c:idx val="2"/>
          <c:order val="1"/>
          <c:tx>
            <c:strRef>
              <c:f>'8.10'!$H$3:$H$4</c:f>
              <c:strCache>
                <c:ptCount val="2"/>
                <c:pt idx="0">
                  <c:v>2022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'8.10'!$H$7:$H$9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F-4F82-8053-A00150324139}"/>
            </c:ext>
          </c:extLst>
        </c:ser>
        <c:ser>
          <c:idx val="0"/>
          <c:order val="2"/>
          <c:tx>
            <c:strRef>
              <c:f>'8.10'!$I$3:$I$4</c:f>
              <c:strCache>
                <c:ptCount val="2"/>
                <c:pt idx="0">
                  <c:v>2023 </c:v>
                </c:pt>
              </c:strCache>
            </c:strRef>
          </c:tx>
          <c:spPr>
            <a:solidFill>
              <a:srgbClr val="CCF4F2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'8.10'!$I$7:$I$9</c:f>
              <c:numCache>
                <c:formatCode>General</c:formatCode>
                <c:ptCount val="3"/>
                <c:pt idx="0">
                  <c:v>2</c:v>
                </c:pt>
                <c:pt idx="1">
                  <c:v>12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F-4F82-8053-A0015032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14688"/>
        <c:axId val="44116224"/>
      </c:barChart>
      <c:catAx>
        <c:axId val="44114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4116224"/>
        <c:crosses val="autoZero"/>
        <c:auto val="1"/>
        <c:lblAlgn val="ctr"/>
        <c:lblOffset val="100"/>
        <c:noMultiLvlLbl val="0"/>
      </c:catAx>
      <c:valAx>
        <c:axId val="44116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/>
                  <a:t>In</a:t>
                </a:r>
                <a:r>
                  <a:rPr lang="en-US" sz="900" b="1" baseline="0"/>
                  <a:t> n</a:t>
                </a:r>
                <a:r>
                  <a:rPr lang="en-US" sz="900" b="1"/>
                  <a:t>umbers</a:t>
                </a:r>
              </a:p>
            </c:rich>
          </c:tx>
          <c:layout>
            <c:manualLayout>
              <c:xMode val="edge"/>
              <c:yMode val="edge"/>
              <c:x val="9.2466482230261753E-3"/>
              <c:y val="0.3130434127592430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4114688"/>
        <c:crosses val="autoZero"/>
        <c:crossBetween val="between"/>
      </c:valAx>
      <c:spPr>
        <a:solidFill>
          <a:srgbClr val="EAFAFA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4983649164869359"/>
          <c:y val="0.27802831292778285"/>
          <c:w val="0.20035173131110823"/>
          <c:h val="6.0466832886160241E-2"/>
        </c:manualLayout>
      </c:layout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313169438596074"/>
          <c:y val="0.1800932422329144"/>
          <c:w val="0.44730035076529956"/>
          <c:h val="0.79350819929943917"/>
        </c:manualLayout>
      </c:layout>
      <c:doughnutChart>
        <c:varyColors val="1"/>
        <c:ser>
          <c:idx val="0"/>
          <c:order val="0"/>
          <c:spPr>
            <a:solidFill>
              <a:srgbClr val="953735"/>
            </a:solidFill>
          </c:spPr>
          <c:explosion val="2"/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E985-4B65-8BAB-25E11A89DA47}"/>
              </c:ext>
            </c:extLst>
          </c:dPt>
          <c:dPt>
            <c:idx val="1"/>
            <c:bubble3D val="0"/>
            <c:spPr>
              <a:solidFill>
                <a:srgbClr val="008080"/>
              </a:solidFill>
            </c:spPr>
            <c:extLst>
              <c:ext xmlns:c16="http://schemas.microsoft.com/office/drawing/2014/chart" uri="{C3380CC4-5D6E-409C-BE32-E72D297353CC}">
                <c16:uniqueId val="{00000003-E985-4B65-8BAB-25E11A89DA47}"/>
              </c:ext>
            </c:extLst>
          </c:dPt>
          <c:dLbls>
            <c:dLbl>
              <c:idx val="0"/>
              <c:layout>
                <c:manualLayout>
                  <c:x val="0.14929471247751433"/>
                  <c:y val="-8.26387726522774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80583579695349"/>
                      <c:h val="0.173150330412314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985-4B65-8BAB-25E11A89DA47}"/>
                </c:ext>
              </c:extLst>
            </c:dLbl>
            <c:dLbl>
              <c:idx val="1"/>
              <c:layout>
                <c:manualLayout>
                  <c:x val="-0.10844843706820023"/>
                  <c:y val="-0.2180579192739766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85-4B65-8BAB-25E11A89D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('8.10'!$A$6,'8.10'!$A$10)</c:f>
              <c:strCache>
                <c:ptCount val="2"/>
                <c:pt idx="0">
                  <c:v>Assault by group of persons</c:v>
                </c:pt>
                <c:pt idx="1">
                  <c:v>Other Assault</c:v>
                </c:pt>
              </c:strCache>
            </c:strRef>
          </c:cat>
          <c:val>
            <c:numRef>
              <c:f>('8.10'!$J$6,'8.10'!$J$10)</c:f>
              <c:numCache>
                <c:formatCode>#,##0</c:formatCode>
                <c:ptCount val="2"/>
                <c:pt idx="0">
                  <c:v>8.9939024390243905</c:v>
                </c:pt>
                <c:pt idx="1">
                  <c:v>91.006097560975604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5-4B65-8BAB-25E11A89DA4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30"/>
        <c:holeSize val="50"/>
      </c:doughnutChart>
    </c:plotArea>
    <c:plotVisOnly val="1"/>
    <c:dispBlanksAs val="zero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8.15: Percentage change of Assaults by group of person over previous year (2022) </a:t>
            </a:r>
          </a:p>
        </c:rich>
      </c:tx>
      <c:layout>
        <c:manualLayout>
          <c:xMode val="edge"/>
          <c:yMode val="edge"/>
          <c:x val="0.18562612683988058"/>
          <c:y val="2.5548162309285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642703903841904E-2"/>
          <c:y val="0.18127834819151975"/>
          <c:w val="0.92074113704672778"/>
          <c:h val="0.793293310615474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08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808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442-400B-8296-C265A3168647}"/>
              </c:ext>
            </c:extLst>
          </c:dPt>
          <c:dPt>
            <c:idx val="1"/>
            <c:invertIfNegative val="0"/>
            <c:bubble3D val="0"/>
            <c:spPr>
              <a:solidFill>
                <a:srgbClr val="33CCC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A8-47D1-9628-45F323886A6C}"/>
              </c:ext>
            </c:extLst>
          </c:dPt>
          <c:dPt>
            <c:idx val="2"/>
            <c:invertIfNegative val="0"/>
            <c:bubble3D val="0"/>
            <c:spPr>
              <a:solidFill>
                <a:srgbClr val="00808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0893-4196-ABAD-DF77F6B0BF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'8.10'!$K$7:$K$9</c:f>
              <c:numCache>
                <c:formatCode>#,##0</c:formatCode>
                <c:ptCount val="3"/>
                <c:pt idx="0">
                  <c:v>-60</c:v>
                </c:pt>
                <c:pt idx="1">
                  <c:v>20</c:v>
                </c:pt>
                <c:pt idx="2">
                  <c:v>-13.461538461538462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93-4196-ABAD-DF77F6B0B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185088"/>
        <c:axId val="44186624"/>
      </c:barChart>
      <c:catAx>
        <c:axId val="4418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0" cap="flat" cmpd="sng" algn="ctr">
            <a:solidFill>
              <a:srgbClr val="00666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6624"/>
        <c:crosses val="autoZero"/>
        <c:auto val="1"/>
        <c:lblAlgn val="ctr"/>
        <c:lblOffset val="100"/>
        <c:noMultiLvlLbl val="0"/>
      </c:catAx>
      <c:valAx>
        <c:axId val="44186624"/>
        <c:scaling>
          <c:orientation val="minMax"/>
          <c:max val="100"/>
          <c:min val="-8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5088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462623</xdr:colOff>
      <xdr:row>12</xdr:row>
      <xdr:rowOff>69788</xdr:rowOff>
    </xdr:from>
    <xdr:to>
      <xdr:col>11</xdr:col>
      <xdr:colOff>584543</xdr:colOff>
      <xdr:row>26</xdr:row>
      <xdr:rowOff>134083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469557</xdr:colOff>
      <xdr:row>27</xdr:row>
      <xdr:rowOff>162363</xdr:rowOff>
    </xdr:from>
    <xdr:to>
      <xdr:col>11</xdr:col>
      <xdr:colOff>619125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560539</xdr:colOff>
      <xdr:row>28</xdr:row>
      <xdr:rowOff>108160</xdr:rowOff>
    </xdr:from>
    <xdr:to>
      <xdr:col>9</xdr:col>
      <xdr:colOff>152760</xdr:colOff>
      <xdr:row>30</xdr:row>
      <xdr:rowOff>19287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2780044" y="6470141"/>
          <a:ext cx="4183990" cy="2885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8.14: Percentage of assault cases logged  by type, 2023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effectLst/>
            <a:latin typeface="Candara" panose="020E0502030303020204" pitchFamily="34" charset="0"/>
            <a:cs typeface="Consolas" pitchFamily="49" charset="0"/>
          </a:endParaRPr>
        </a:p>
        <a:p>
          <a:endParaRPr lang="en-US" sz="12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477714</xdr:colOff>
      <xdr:row>43</xdr:row>
      <xdr:rowOff>156795</xdr:rowOff>
    </xdr:from>
    <xdr:to>
      <xdr:col>11</xdr:col>
      <xdr:colOff>628649</xdr:colOff>
      <xdr:row>59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474747</xdr:colOff>
      <xdr:row>45</xdr:row>
      <xdr:rowOff>24063</xdr:rowOff>
    </xdr:from>
    <xdr:to>
      <xdr:col>0</xdr:col>
      <xdr:colOff>1285875</xdr:colOff>
      <xdr:row>46</xdr:row>
      <xdr:rowOff>64169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474747" y="9625263"/>
          <a:ext cx="811128" cy="230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 b="1"/>
            <a:t>Percentage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0.26804</cdr:x>
      <cdr:y>0.05224</cdr:y>
    </cdr:from>
    <cdr:to>
      <cdr:x>0.77075</cdr:x>
      <cdr:y>0.14035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63685" y="144183"/>
          <a:ext cx="3307718" cy="2431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Figure: 8.13: Assault by group of persons, 2021 - 2023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4\8.%20LAW%20AND%20ORDER_MPS%20-%20FILLED.xlsx" TargetMode="External"/><Relationship Id="rId1" Type="http://schemas.openxmlformats.org/officeDocument/2006/relationships/externalLinkPath" Target="/Dissemination/Publications/Statistical%20Year%20Book/YEARBOOK%202024/8.%20LAW%20AND%20ORDER_MPS%20-%20FILL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Sheet1"/>
    </sheetNames>
    <sheetDataSet>
      <sheetData sheetId="0">
        <row r="5">
          <cell r="P5">
            <v>15015</v>
          </cell>
        </row>
        <row r="6">
          <cell r="A6" t="str">
            <v>Theft</v>
          </cell>
          <cell r="Q6">
            <v>25.474525474525471</v>
          </cell>
        </row>
        <row r="7">
          <cell r="A7" t="str">
            <v>Traffic accidents</v>
          </cell>
          <cell r="Q7">
            <v>15.304695304695304</v>
          </cell>
        </row>
        <row r="8">
          <cell r="A8" t="str">
            <v>Drugs</v>
          </cell>
          <cell r="Q8">
            <v>11.535131535131535</v>
          </cell>
        </row>
        <row r="9">
          <cell r="A9" t="str">
            <v>Lost Items</v>
          </cell>
          <cell r="Q9">
            <v>9.8701298701298708</v>
          </cell>
        </row>
        <row r="10">
          <cell r="A10" t="str">
            <v>Assault</v>
          </cell>
          <cell r="Q10">
            <v>4.3689643689643693</v>
          </cell>
        </row>
        <row r="11">
          <cell r="A11" t="str">
            <v>Vandalism</v>
          </cell>
          <cell r="Q11">
            <v>4.0892440892440893</v>
          </cell>
        </row>
        <row r="12">
          <cell r="A12" t="str">
            <v>Robbery</v>
          </cell>
          <cell r="Q12">
            <v>3.1834831834831836</v>
          </cell>
        </row>
        <row r="13">
          <cell r="A13" t="str">
            <v>Sexual offences</v>
          </cell>
          <cell r="Q13">
            <v>1.9247419247419246</v>
          </cell>
        </row>
        <row r="14">
          <cell r="A14" t="str">
            <v>Embezzlement</v>
          </cell>
          <cell r="Q14">
            <v>5.0149850149850153</v>
          </cell>
        </row>
        <row r="15">
          <cell r="A15" t="str">
            <v>Domestic violence</v>
          </cell>
          <cell r="Q15">
            <v>1.4851814851814853</v>
          </cell>
        </row>
        <row r="16">
          <cell r="A16" t="str">
            <v>Counterfeit and forgery</v>
          </cell>
          <cell r="Q16">
            <v>0.85248085248085248</v>
          </cell>
        </row>
        <row r="17">
          <cell r="A17" t="str">
            <v>Others</v>
          </cell>
          <cell r="Q17">
            <v>16.896436896436899</v>
          </cell>
        </row>
      </sheetData>
      <sheetData sheetId="1">
        <row r="7">
          <cell r="AD7">
            <v>11043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92D050"/>
  </sheetPr>
  <dimension ref="A1:R40"/>
  <sheetViews>
    <sheetView tabSelected="1" zoomScale="89" zoomScaleNormal="89" workbookViewId="0">
      <selection activeCell="N35" sqref="N35"/>
    </sheetView>
  </sheetViews>
  <sheetFormatPr defaultColWidth="15.42578125" defaultRowHeight="15"/>
  <cols>
    <col min="1" max="1" width="23.42578125" style="1" customWidth="1"/>
    <col min="2" max="9" width="9.85546875" style="1" customWidth="1"/>
    <col min="10" max="10" width="11.5703125" style="1" customWidth="1"/>
    <col min="11" max="11" width="17.42578125" style="1" customWidth="1"/>
    <col min="12" max="12" width="21.140625" style="1" customWidth="1"/>
    <col min="13" max="13" width="2.85546875" style="1" customWidth="1"/>
    <col min="14" max="14" width="22.140625" style="1" bestFit="1" customWidth="1"/>
    <col min="15" max="16384" width="15.42578125" style="1"/>
  </cols>
  <sheetData>
    <row r="1" spans="1:18" ht="18.75">
      <c r="A1" s="54" t="s">
        <v>21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8" ht="21.75" customHeight="1">
      <c r="A2" s="47" t="s">
        <v>20</v>
      </c>
      <c r="B2" s="47"/>
      <c r="C2" s="47"/>
      <c r="D2" s="47"/>
      <c r="E2" s="48"/>
      <c r="F2" s="48"/>
      <c r="G2" s="47"/>
      <c r="H2" s="45"/>
      <c r="I2" s="45"/>
      <c r="J2" s="47"/>
      <c r="K2" s="47"/>
      <c r="L2" s="47"/>
      <c r="N2" s="2"/>
    </row>
    <row r="3" spans="1:18" ht="51.75">
      <c r="A3" s="52" t="s">
        <v>4</v>
      </c>
      <c r="B3" s="50">
        <v>2016</v>
      </c>
      <c r="C3" s="50">
        <v>2017</v>
      </c>
      <c r="D3" s="50">
        <v>2018</v>
      </c>
      <c r="E3" s="50">
        <v>2019</v>
      </c>
      <c r="F3" s="50">
        <v>2020</v>
      </c>
      <c r="G3" s="50">
        <v>2021</v>
      </c>
      <c r="H3" s="50">
        <v>2022</v>
      </c>
      <c r="I3" s="50">
        <v>2023</v>
      </c>
      <c r="J3" s="30" t="s">
        <v>19</v>
      </c>
      <c r="K3" s="32" t="s">
        <v>6</v>
      </c>
      <c r="L3" s="49" t="s">
        <v>5</v>
      </c>
      <c r="O3" s="3"/>
      <c r="P3" s="3"/>
      <c r="Q3" s="3"/>
      <c r="R3" s="3"/>
    </row>
    <row r="4" spans="1:18" ht="24">
      <c r="A4" s="53"/>
      <c r="B4" s="51"/>
      <c r="C4" s="51"/>
      <c r="D4" s="51"/>
      <c r="E4" s="51"/>
      <c r="F4" s="51"/>
      <c r="G4" s="51"/>
      <c r="H4" s="51"/>
      <c r="I4" s="51"/>
      <c r="J4" s="29" t="s">
        <v>7</v>
      </c>
      <c r="K4" s="20" t="s">
        <v>18</v>
      </c>
      <c r="L4" s="46"/>
      <c r="O4" s="3"/>
      <c r="P4" s="3"/>
      <c r="Q4" s="3"/>
      <c r="R4" s="3"/>
    </row>
    <row r="5" spans="1:18" s="14" customFormat="1" ht="18.75">
      <c r="A5" s="5" t="s">
        <v>0</v>
      </c>
      <c r="B5" s="34">
        <f t="shared" ref="B5:H5" si="0">B6+B10</f>
        <v>781</v>
      </c>
      <c r="C5" s="34">
        <f t="shared" si="0"/>
        <v>770</v>
      </c>
      <c r="D5" s="34">
        <f t="shared" si="0"/>
        <v>753</v>
      </c>
      <c r="E5" s="34">
        <f t="shared" si="0"/>
        <v>631</v>
      </c>
      <c r="F5" s="34">
        <f t="shared" si="0"/>
        <v>661</v>
      </c>
      <c r="G5" s="34">
        <f t="shared" si="0"/>
        <v>610</v>
      </c>
      <c r="H5" s="34">
        <f t="shared" si="0"/>
        <v>521</v>
      </c>
      <c r="I5" s="34">
        <v>656</v>
      </c>
      <c r="J5" s="35">
        <f t="shared" ref="J5:J10" si="1">I5/I$5*100</f>
        <v>100</v>
      </c>
      <c r="K5" s="36">
        <f t="shared" ref="K5:K10" si="2">((I5-H5)/H5*100)</f>
        <v>25.911708253358924</v>
      </c>
      <c r="L5" s="23" t="s">
        <v>3</v>
      </c>
      <c r="M5" s="21"/>
      <c r="N5" s="21"/>
      <c r="O5" s="15"/>
      <c r="P5" s="15"/>
      <c r="Q5" s="15"/>
      <c r="R5" s="15"/>
    </row>
    <row r="6" spans="1:18" s="14" customFormat="1" ht="18.75">
      <c r="A6" s="5" t="s">
        <v>8</v>
      </c>
      <c r="B6" s="33">
        <f t="shared" ref="B6:I6" si="3">SUM(B7:B9)</f>
        <v>215</v>
      </c>
      <c r="C6" s="33">
        <f t="shared" si="3"/>
        <v>219</v>
      </c>
      <c r="D6" s="33">
        <f t="shared" si="3"/>
        <v>223</v>
      </c>
      <c r="E6" s="33">
        <f t="shared" si="3"/>
        <v>131</v>
      </c>
      <c r="F6" s="33">
        <f t="shared" si="3"/>
        <v>151</v>
      </c>
      <c r="G6" s="33">
        <f t="shared" si="3"/>
        <v>106</v>
      </c>
      <c r="H6" s="33">
        <f t="shared" si="3"/>
        <v>67</v>
      </c>
      <c r="I6" s="33">
        <f t="shared" si="3"/>
        <v>59</v>
      </c>
      <c r="J6" s="37">
        <f t="shared" si="1"/>
        <v>8.9939024390243905</v>
      </c>
      <c r="K6" s="38">
        <f t="shared" si="2"/>
        <v>-11.940298507462686</v>
      </c>
      <c r="L6" s="23" t="s">
        <v>9</v>
      </c>
      <c r="M6" s="6"/>
      <c r="N6" s="6"/>
      <c r="O6" s="15"/>
      <c r="P6" s="15"/>
      <c r="Q6" s="15"/>
      <c r="R6" s="15"/>
    </row>
    <row r="7" spans="1:18" s="19" customFormat="1" ht="18.75">
      <c r="A7" s="16" t="s">
        <v>10</v>
      </c>
      <c r="B7" s="39">
        <v>22</v>
      </c>
      <c r="C7" s="39">
        <v>17</v>
      </c>
      <c r="D7" s="39">
        <v>26</v>
      </c>
      <c r="E7" s="39">
        <v>6</v>
      </c>
      <c r="F7" s="39">
        <v>12</v>
      </c>
      <c r="G7" s="39">
        <v>4</v>
      </c>
      <c r="H7" s="39">
        <v>5</v>
      </c>
      <c r="I7" s="43">
        <v>2</v>
      </c>
      <c r="J7" s="37">
        <f t="shared" si="1"/>
        <v>0.3048780487804878</v>
      </c>
      <c r="K7" s="38">
        <f t="shared" si="2"/>
        <v>-60</v>
      </c>
      <c r="L7" s="8" t="s">
        <v>11</v>
      </c>
      <c r="M7" s="22"/>
      <c r="N7" s="22"/>
      <c r="O7" s="15"/>
      <c r="P7" s="17"/>
      <c r="Q7" s="17"/>
      <c r="R7" s="17"/>
    </row>
    <row r="8" spans="1:18" s="19" customFormat="1" ht="18.75">
      <c r="A8" s="16" t="s">
        <v>12</v>
      </c>
      <c r="B8" s="39">
        <v>24</v>
      </c>
      <c r="C8" s="39">
        <v>34</v>
      </c>
      <c r="D8" s="39">
        <v>48</v>
      </c>
      <c r="E8" s="39">
        <v>16</v>
      </c>
      <c r="F8" s="39">
        <v>7</v>
      </c>
      <c r="G8" s="39">
        <v>10</v>
      </c>
      <c r="H8" s="39">
        <v>10</v>
      </c>
      <c r="I8" s="43">
        <v>12</v>
      </c>
      <c r="J8" s="37">
        <f t="shared" si="1"/>
        <v>1.8292682926829267</v>
      </c>
      <c r="K8" s="38">
        <f t="shared" si="2"/>
        <v>20</v>
      </c>
      <c r="L8" s="8" t="s">
        <v>13</v>
      </c>
      <c r="M8" s="22"/>
      <c r="N8" s="22"/>
      <c r="O8" s="15"/>
      <c r="P8" s="17"/>
      <c r="Q8" s="17"/>
      <c r="R8" s="17"/>
    </row>
    <row r="9" spans="1:18" s="19" customFormat="1" ht="18.75">
      <c r="A9" s="16" t="s">
        <v>14</v>
      </c>
      <c r="B9" s="39">
        <v>169</v>
      </c>
      <c r="C9" s="39">
        <v>168</v>
      </c>
      <c r="D9" s="39">
        <v>149</v>
      </c>
      <c r="E9" s="39">
        <v>109</v>
      </c>
      <c r="F9" s="39">
        <v>132</v>
      </c>
      <c r="G9" s="39">
        <v>92</v>
      </c>
      <c r="H9" s="39">
        <v>52</v>
      </c>
      <c r="I9" s="43">
        <v>45</v>
      </c>
      <c r="J9" s="37">
        <f t="shared" si="1"/>
        <v>6.8597560975609762</v>
      </c>
      <c r="K9" s="38">
        <f t="shared" si="2"/>
        <v>-13.461538461538462</v>
      </c>
      <c r="L9" s="8" t="s">
        <v>15</v>
      </c>
      <c r="M9" s="22"/>
      <c r="N9" s="22"/>
      <c r="O9" s="15"/>
      <c r="P9" s="17"/>
      <c r="Q9" s="17"/>
      <c r="R9" s="17"/>
    </row>
    <row r="10" spans="1:18" s="25" customFormat="1" ht="18.75">
      <c r="A10" s="4" t="s">
        <v>16</v>
      </c>
      <c r="B10" s="40">
        <v>566</v>
      </c>
      <c r="C10" s="40">
        <v>551</v>
      </c>
      <c r="D10" s="40">
        <v>530</v>
      </c>
      <c r="E10" s="40">
        <v>500</v>
      </c>
      <c r="F10" s="40">
        <v>510</v>
      </c>
      <c r="G10" s="40">
        <v>504</v>
      </c>
      <c r="H10" s="40">
        <v>454</v>
      </c>
      <c r="I10" s="44">
        <f>I5-I6</f>
        <v>597</v>
      </c>
      <c r="J10" s="41">
        <f t="shared" si="1"/>
        <v>91.006097560975604</v>
      </c>
      <c r="K10" s="42">
        <f t="shared" si="2"/>
        <v>31.497797356828194</v>
      </c>
      <c r="L10" s="24" t="s">
        <v>17</v>
      </c>
      <c r="M10" s="6"/>
      <c r="N10" s="6"/>
      <c r="O10" s="15"/>
      <c r="P10" s="15"/>
      <c r="Q10" s="15"/>
      <c r="R10" s="15"/>
    </row>
    <row r="11" spans="1:18">
      <c r="A11" s="11" t="s">
        <v>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1" t="s">
        <v>2</v>
      </c>
      <c r="O11" s="3"/>
      <c r="P11" s="3"/>
      <c r="Q11" s="3"/>
      <c r="R11" s="3"/>
    </row>
    <row r="12" spans="1:18">
      <c r="O12" s="3"/>
      <c r="P12" s="3"/>
      <c r="Q12" s="3"/>
      <c r="R12" s="3"/>
    </row>
    <row r="13" spans="1:18">
      <c r="A13" s="18"/>
      <c r="O13" s="3"/>
      <c r="P13" s="3"/>
      <c r="Q13" s="3"/>
      <c r="R13" s="3"/>
    </row>
    <row r="14" spans="1:18">
      <c r="O14" s="3"/>
      <c r="P14" s="3"/>
      <c r="Q14" s="3"/>
      <c r="R14" s="3"/>
    </row>
    <row r="15" spans="1:18">
      <c r="O15" s="3"/>
      <c r="P15" s="3"/>
      <c r="Q15" s="3"/>
      <c r="R15" s="3"/>
    </row>
    <row r="16" spans="1:18">
      <c r="O16" s="3"/>
      <c r="P16" s="3"/>
      <c r="Q16" s="3"/>
      <c r="R16" s="3"/>
    </row>
    <row r="17" spans="1:18">
      <c r="O17" s="3"/>
      <c r="P17" s="3"/>
      <c r="Q17" s="3"/>
      <c r="R17" s="3"/>
    </row>
    <row r="18" spans="1:18" ht="17.25">
      <c r="A18" s="12"/>
      <c r="B18" s="7"/>
      <c r="C18" s="7"/>
      <c r="D18" s="7"/>
      <c r="E18" s="7"/>
      <c r="F18" s="7"/>
      <c r="G18" s="7"/>
      <c r="H18" s="7"/>
      <c r="I18" s="7"/>
      <c r="J18" s="7"/>
      <c r="K18" s="9"/>
      <c r="L18" s="13"/>
      <c r="O18" s="3"/>
      <c r="P18" s="3"/>
      <c r="Q18" s="3"/>
      <c r="R18" s="3"/>
    </row>
    <row r="19" spans="1:18">
      <c r="O19" s="3"/>
      <c r="P19" s="3"/>
      <c r="Q19" s="3"/>
      <c r="R19" s="3"/>
    </row>
    <row r="20" spans="1:18">
      <c r="O20" s="3"/>
      <c r="P20" s="3"/>
      <c r="Q20" s="3"/>
      <c r="R20" s="3"/>
    </row>
    <row r="27" spans="1:18">
      <c r="M27" s="26"/>
      <c r="N27" s="26"/>
      <c r="O27" s="26"/>
    </row>
    <row r="28" spans="1:18">
      <c r="M28" s="14"/>
      <c r="N28" s="14"/>
      <c r="O28" s="26"/>
    </row>
    <row r="29" spans="1:18">
      <c r="M29" s="14"/>
      <c r="N29" s="14"/>
      <c r="O29" s="26"/>
    </row>
    <row r="30" spans="1:18">
      <c r="M30" s="14"/>
      <c r="N30" s="14"/>
      <c r="O30" s="26"/>
    </row>
    <row r="31" spans="1:18">
      <c r="M31" s="14"/>
      <c r="N31" s="14"/>
      <c r="O31" s="26"/>
    </row>
    <row r="32" spans="1:18">
      <c r="M32" s="14"/>
      <c r="N32" s="14"/>
      <c r="O32" s="26"/>
    </row>
    <row r="33" spans="13:18">
      <c r="M33" s="14"/>
      <c r="N33" s="14"/>
      <c r="O33" s="26"/>
    </row>
    <row r="34" spans="13:18">
      <c r="P34" s="27"/>
      <c r="Q34" s="28"/>
      <c r="R34" s="26"/>
    </row>
    <row r="35" spans="13:18">
      <c r="P35" s="27"/>
      <c r="Q35" s="28"/>
      <c r="R35" s="26"/>
    </row>
    <row r="36" spans="13:18">
      <c r="M36" s="26"/>
      <c r="N36" s="26"/>
      <c r="O36" s="26"/>
      <c r="Q36" s="5"/>
      <c r="R36" s="6"/>
    </row>
    <row r="37" spans="13:18">
      <c r="M37" s="26"/>
      <c r="N37" s="26"/>
      <c r="O37" s="26"/>
    </row>
    <row r="38" spans="13:18">
      <c r="M38" s="26"/>
      <c r="N38" s="26"/>
      <c r="O38" s="26"/>
    </row>
    <row r="39" spans="13:18">
      <c r="M39" s="26"/>
      <c r="N39" s="26"/>
      <c r="O39" s="26"/>
    </row>
    <row r="40" spans="13:18">
      <c r="M40" s="26"/>
      <c r="N40" s="26"/>
      <c r="O40" s="26"/>
    </row>
  </sheetData>
  <mergeCells count="12">
    <mergeCell ref="G3:G4"/>
    <mergeCell ref="H3:H4"/>
    <mergeCell ref="I3:I4"/>
    <mergeCell ref="D3:D4"/>
    <mergeCell ref="L3:L4"/>
    <mergeCell ref="A1:L1"/>
    <mergeCell ref="A2:L2"/>
    <mergeCell ref="A3:A4"/>
    <mergeCell ref="B3:B4"/>
    <mergeCell ref="C3:C4"/>
    <mergeCell ref="E3:E4"/>
    <mergeCell ref="F3:F4"/>
  </mergeCells>
  <pageMargins left="0.7" right="0.7" top="0.75" bottom="0.75" header="0.3" footer="0.3"/>
  <pageSetup paperSize="9" scale="56" orientation="portrait" r:id="rId1"/>
  <colBreaks count="1" manualBreakCount="1">
    <brk id="13" max="59" man="1"/>
  </colBreaks>
  <ignoredErrors>
    <ignoredError sqref="B6:H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8.10</vt:lpstr>
      <vt:lpstr>'8.10'!Print_Area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2024-10-06T03:33:48Z</cp:lastPrinted>
  <dcterms:created xsi:type="dcterms:W3CDTF">2019-06-30T04:22:49Z</dcterms:created>
  <dcterms:modified xsi:type="dcterms:W3CDTF">2024-10-06T03:33:54Z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