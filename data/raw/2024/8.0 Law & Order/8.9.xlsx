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527A2AB8-504A-4E17-9821-6E48256E8AAF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9" sheetId="9" r:id="rId1"/>
  </sheets>
  <externalReferences>
    <externalReference r:id="rId2"/>
  </externalReferences>
  <definedNames>
    <definedName name="_xlnm.Print_Area" localSheetId="0">'8.9'!$A$1:$M$33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9" l="1"/>
  <c r="I6" i="9" l="1"/>
  <c r="H6" i="9" l="1"/>
  <c r="G6" i="9" l="1"/>
  <c r="F6" i="9" l="1"/>
  <c r="E6" i="9"/>
  <c r="D6" i="9"/>
  <c r="C6" i="9"/>
  <c r="B6" i="9"/>
</calcChain>
</file>

<file path=xl/sharedStrings.xml><?xml version="1.0" encoding="utf-8"?>
<sst xmlns="http://schemas.openxmlformats.org/spreadsheetml/2006/main" count="34" uniqueCount="26">
  <si>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</si>
  <si>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</si>
  <si>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</si>
  <si>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</si>
  <si>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</si>
  <si>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</si>
  <si>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</si>
  <si>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</si>
  <si>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</si>
  <si>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</si>
  <si>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</si>
  <si>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</si>
  <si>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</si>
  <si>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</si>
  <si>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</si>
  <si>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</si>
  <si>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</si>
  <si>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</si>
  <si>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 xml:space="preserve">   Quantity ( grams )                                                                              </t>
  </si>
  <si>
    <t>cocaine</t>
  </si>
  <si>
    <t>ކޮކެއިން</t>
  </si>
  <si>
    <t>Tetrahydrocannabinol</t>
  </si>
  <si>
    <t>DiMaorphine</t>
  </si>
  <si>
    <t>MDMA</t>
  </si>
  <si>
    <t>ތާވަލު 8.9: މޯލްޑިވްސް ޕޮލިސް ސަރވިސްގެ ފަރާތުން އަތުލައިގަތް މަސްތުވާތަކެތީގެ އަދަދު، 2014 - 2023</t>
  </si>
  <si>
    <t>Table 8.9: DRUG SEIZED  BY MALDIVES POLICE SERVICE, 2014 - 2023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</si>
</sst>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5" applyNumberFormat="0" applyFill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0" fontId="19" fillId="0" borderId="0"/>
    <xf numFmtId="1" fontId="20" fillId="0" borderId="6" applyNumberFormat="0"/>
    <xf numFmtId="0" fontId="16" fillId="0" borderId="0"/>
    <xf numFmtId="0" fontId="1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8" fillId="0" borderId="0"/>
    <xf numFmtId="40" fontId="18" fillId="0" borderId="0" applyFont="0" applyFill="0" applyBorder="0" applyAlignment="0" applyProtection="0"/>
    <xf numFmtId="0" fontId="18" fillId="0" borderId="0"/>
    <xf numFmtId="0" fontId="16" fillId="0" borderId="0"/>
    <xf numFmtId="1" fontId="20" fillId="0" borderId="6" applyNumberFormat="0"/>
    <xf numFmtId="0" fontId="1" fillId="0" borderId="0"/>
    <xf numFmtId="0" fontId="18" fillId="0" borderId="0"/>
    <xf numFmtId="0" fontId="8" fillId="0" borderId="0" applyFill="0" applyProtection="0"/>
    <xf numFmtId="1" fontId="20" fillId="0" borderId="6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18" fillId="0" borderId="0"/>
    <xf numFmtId="0" fontId="8" fillId="0" borderId="0" applyFill="0" applyProtection="0"/>
    <xf numFmtId="1" fontId="20" fillId="0" borderId="6" applyNumberFormat="0"/>
    <xf numFmtId="0" fontId="1" fillId="0" borderId="0"/>
    <xf numFmtId="0" fontId="16" fillId="0" borderId="0"/>
    <xf numFmtId="0" fontId="21" fillId="0" borderId="0"/>
    <xf numFmtId="0" fontId="22" fillId="0" borderId="0"/>
    <xf numFmtId="0" fontId="1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20" fillId="0" borderId="6" applyNumberFormat="0"/>
    <xf numFmtId="1" fontId="20" fillId="0" borderId="6" applyNumberFormat="0"/>
    <xf numFmtId="1" fontId="20" fillId="0" borderId="6" applyNumberFormat="0"/>
    <xf numFmtId="1" fontId="20" fillId="0" borderId="6" applyNumberFormat="0"/>
    <xf numFmtId="0" fontId="24" fillId="0" borderId="0"/>
    <xf numFmtId="0" fontId="24" fillId="0" borderId="0"/>
  </cellStyleXfs>
  <cellXfs count="38">
    <xf numFmtId="0" fontId="0" fillId="0" borderId="0" xfId="0"/>
    <xf numFmtId="164" fontId="0" fillId="2" borderId="0" xfId="0" applyNumberFormat="1" applyFill="1"/>
    <xf numFmtId="0" fontId="0" fillId="2" borderId="0" xfId="0" applyFill="1"/>
    <xf numFmtId="164" fontId="0" fillId="2" borderId="0" xfId="0" applyNumberForma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3" fontId="3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Alignment="1">
      <alignment vertical="top"/>
    </xf>
    <xf numFmtId="164" fontId="15" fillId="2" borderId="0" xfId="0" applyNumberFormat="1" applyFont="1" applyFill="1"/>
    <xf numFmtId="0" fontId="6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4" xfId="0" applyFont="1" applyFill="1" applyBorder="1" applyAlignment="1">
      <alignment vertical="center"/>
    </xf>
    <xf numFmtId="166" fontId="4" fillId="2" borderId="0" xfId="2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right" vertical="center"/>
    </xf>
    <xf numFmtId="166" fontId="4" fillId="2" borderId="2" xfId="2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0" fontId="25" fillId="3" borderId="8" xfId="0" applyFont="1" applyFill="1" applyBorder="1" applyAlignment="1">
      <alignment horizontal="right" vertical="center"/>
    </xf>
    <xf numFmtId="3" fontId="26" fillId="3" borderId="0" xfId="0" applyNumberFormat="1" applyFont="1" applyFill="1" applyAlignment="1">
      <alignment horizontal="right" vertical="center"/>
    </xf>
    <xf numFmtId="3" fontId="27" fillId="4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left" vertical="center" indent="3"/>
    </xf>
  </cellXfs>
  <cellStyles count="71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18" xfId="69" xr:uid="{CF87BC40-E55D-4F82-AE28-8FA1017CE6B1}"/>
    <cellStyle name="Normal 19" xfId="70" xr:uid="{FA237C1A-38D9-46F9-9E54-DD0D4DE6F649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2014 - 2023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cat>
            <c:numRef>
              <c:f>'8.9'!$B$5:$K$5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'8.9'!$B$8:$K$8</c:f>
              <c:numCache>
                <c:formatCode>#,##0</c:formatCode>
                <c:ptCount val="10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  <c:pt idx="8">
                  <c:v>107321.61</c:v>
                </c:pt>
                <c:pt idx="9">
                  <c:v>30017.503840000001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'8.9'!$B$9:$K$9</c:f>
              <c:numCache>
                <c:formatCode>#,##0</c:formatCode>
                <c:ptCount val="10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  <c:pt idx="8">
                  <c:v>50794.7644</c:v>
                </c:pt>
                <c:pt idx="9">
                  <c:v>25026.446499999998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rgbClr val="003F3E"/>
            </a:solidFill>
            <a:ln>
              <a:noFill/>
            </a:ln>
            <a:effectLst/>
          </c:spPr>
          <c:invertIfNegative val="0"/>
          <c:cat>
            <c:numRef>
              <c:f>'8.9'!$B$5:$K$5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'8.9'!$B$10:$K$10</c:f>
              <c:numCache>
                <c:formatCode>_-* #,##0_-;\-* #,##0_-;_-*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  <c:pt idx="8" formatCode="#,##0">
                  <c:v>16244.001099999999</c:v>
                </c:pt>
                <c:pt idx="9" formatCode="#,##0">
                  <c:v>6377.8678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'8.9'!$B$5:$K$5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'8.9'!$B$14:$K$14</c:f>
              <c:numCache>
                <c:formatCode>_-* #,##0_-;\-* #,##0_-;_-*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  <c:pt idx="8" formatCode="#,##0">
                  <c:v>42253.625200000002</c:v>
                </c:pt>
                <c:pt idx="9" formatCode="#,##0">
                  <c:v>19922.747899999998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17</xdr:row>
      <xdr:rowOff>90487</xdr:rowOff>
    </xdr:from>
    <xdr:to>
      <xdr:col>11</xdr:col>
      <xdr:colOff>781049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U32"/>
  <sheetViews>
    <sheetView tabSelected="1" topLeftCell="B1" zoomScale="130" zoomScaleNormal="130" workbookViewId="0">
      <selection activeCell="R16" sqref="R16"/>
    </sheetView>
  </sheetViews>
  <sheetFormatPr defaultColWidth="9.140625" defaultRowHeight="15"/>
  <cols>
    <col min="1" max="1" width="13.5703125" style="1" customWidth="1"/>
    <col min="2" max="11" width="11.28515625" style="1" customWidth="1"/>
    <col min="12" max="12" width="15.5703125" style="1" customWidth="1"/>
    <col min="13" max="13" width="6.7109375" style="1" customWidth="1"/>
    <col min="14" max="16384" width="9.140625" style="1"/>
  </cols>
  <sheetData>
    <row r="1" spans="1:13" ht="21">
      <c r="A1" s="30" t="s">
        <v>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3" ht="17.25" customHeight="1">
      <c r="A2" s="31" t="s">
        <v>25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4"/>
    </row>
    <row r="3" spans="1:13" ht="6" hidden="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4"/>
    </row>
    <row r="4" spans="1:13" ht="18.75" customHeight="1">
      <c r="A4" s="32" t="s">
        <v>7</v>
      </c>
      <c r="B4" s="36" t="s">
        <v>18</v>
      </c>
      <c r="C4" s="36"/>
      <c r="D4" s="36"/>
      <c r="E4" s="36"/>
      <c r="F4" s="37" t="s">
        <v>8</v>
      </c>
      <c r="G4" s="37"/>
      <c r="H4" s="37"/>
      <c r="I4" s="37"/>
      <c r="J4" s="37"/>
      <c r="K4" s="37"/>
      <c r="L4" s="34" t="s">
        <v>9</v>
      </c>
      <c r="M4" s="5"/>
    </row>
    <row r="5" spans="1:13" ht="23.25" customHeight="1">
      <c r="A5" s="33"/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27">
        <v>2023</v>
      </c>
      <c r="L5" s="35"/>
    </row>
    <row r="6" spans="1:13" ht="25.5" customHeight="1">
      <c r="A6" s="7" t="s">
        <v>0</v>
      </c>
      <c r="B6" s="8">
        <f t="shared" ref="B6:F6" si="0">SUM(B7:B15)</f>
        <v>26925.248299999999</v>
      </c>
      <c r="C6" s="8">
        <f t="shared" si="0"/>
        <v>7901</v>
      </c>
      <c r="D6" s="8">
        <f t="shared" si="0"/>
        <v>114278.9142</v>
      </c>
      <c r="E6" s="8">
        <f t="shared" si="0"/>
        <v>65503.018799999998</v>
      </c>
      <c r="F6" s="8">
        <f t="shared" si="0"/>
        <v>104661.29379999994</v>
      </c>
      <c r="G6" s="8">
        <f>SUM(G7:G14)</f>
        <v>408255.53896000207</v>
      </c>
      <c r="H6" s="8">
        <f>SUM(H7:H14)</f>
        <v>148265.30670000025</v>
      </c>
      <c r="I6" s="8">
        <f>SUM(I7:I14)</f>
        <v>463357.12455000001</v>
      </c>
      <c r="J6" s="8">
        <f>SUM(J7:J14)</f>
        <v>216614.0007</v>
      </c>
      <c r="K6" s="28">
        <v>81344.566040000005</v>
      </c>
      <c r="L6" s="24" t="s">
        <v>5</v>
      </c>
    </row>
    <row r="7" spans="1:13" ht="15" hidden="1" customHeight="1">
      <c r="A7" s="9" t="s">
        <v>10</v>
      </c>
      <c r="B7" s="10">
        <v>0</v>
      </c>
      <c r="C7" s="10">
        <v>0</v>
      </c>
      <c r="D7" s="10">
        <v>0</v>
      </c>
      <c r="E7" s="10" t="s">
        <v>4</v>
      </c>
      <c r="F7" s="10" t="s">
        <v>4</v>
      </c>
      <c r="G7" s="10" t="s">
        <v>4</v>
      </c>
      <c r="H7" s="10" t="s">
        <v>4</v>
      </c>
      <c r="I7" s="10"/>
      <c r="J7" s="10"/>
      <c r="K7" s="29">
        <v>30017.503840000001</v>
      </c>
      <c r="L7" s="11" t="s">
        <v>11</v>
      </c>
    </row>
    <row r="8" spans="1:13" ht="15" customHeight="1">
      <c r="A8" s="12" t="s">
        <v>12</v>
      </c>
      <c r="B8" s="10">
        <v>21947.937300000001</v>
      </c>
      <c r="C8" s="10">
        <v>2359</v>
      </c>
      <c r="D8" s="10">
        <v>46885.842600000004</v>
      </c>
      <c r="E8" s="10">
        <v>17064.1921</v>
      </c>
      <c r="F8" s="10">
        <v>75799.18469999994</v>
      </c>
      <c r="G8" s="10">
        <v>221508.68388000206</v>
      </c>
      <c r="H8" s="10">
        <v>132964.03650000022</v>
      </c>
      <c r="I8" s="10">
        <v>409944.88545</v>
      </c>
      <c r="J8" s="10">
        <v>107321.61</v>
      </c>
      <c r="K8" s="10">
        <v>30017.503840000001</v>
      </c>
      <c r="L8" s="11" t="s">
        <v>13</v>
      </c>
    </row>
    <row r="9" spans="1:13" ht="15" customHeight="1">
      <c r="A9" s="12" t="s">
        <v>14</v>
      </c>
      <c r="B9" s="10">
        <v>4977.3109999999997</v>
      </c>
      <c r="C9" s="10">
        <v>5542</v>
      </c>
      <c r="D9" s="10">
        <v>67393.071599999996</v>
      </c>
      <c r="E9" s="10">
        <v>48438.826699999998</v>
      </c>
      <c r="F9" s="10">
        <v>28862.109100000005</v>
      </c>
      <c r="G9" s="10">
        <v>146538.08030000003</v>
      </c>
      <c r="H9" s="10">
        <v>14409.403600000011</v>
      </c>
      <c r="I9" s="10">
        <v>13745.461599999995</v>
      </c>
      <c r="J9" s="10">
        <v>50794.7644</v>
      </c>
      <c r="K9" s="10">
        <v>25026.446499999998</v>
      </c>
      <c r="L9" s="11" t="s">
        <v>15</v>
      </c>
    </row>
    <row r="10" spans="1:13" ht="15" customHeight="1">
      <c r="A10" s="12" t="s">
        <v>19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10">
        <v>31034.909600000014</v>
      </c>
      <c r="H10" s="10">
        <v>891.86660000000018</v>
      </c>
      <c r="I10" s="10">
        <v>31505.142199999995</v>
      </c>
      <c r="J10" s="10">
        <v>16244.001099999999</v>
      </c>
      <c r="K10" s="10">
        <v>6377.8678</v>
      </c>
      <c r="L10" s="11" t="s">
        <v>20</v>
      </c>
    </row>
    <row r="11" spans="1:13" ht="15" hidden="1" customHeight="1">
      <c r="A11" s="12" t="s">
        <v>21</v>
      </c>
      <c r="B11" s="22"/>
      <c r="C11" s="22"/>
      <c r="D11" s="22"/>
      <c r="E11" s="22"/>
      <c r="F11" s="22"/>
      <c r="G11" s="10"/>
      <c r="H11" s="10"/>
      <c r="I11" s="10"/>
      <c r="J11" s="10"/>
      <c r="K11" s="10"/>
      <c r="L11" s="11"/>
    </row>
    <row r="12" spans="1:13" ht="18" hidden="1" customHeight="1">
      <c r="A12" s="12" t="s">
        <v>22</v>
      </c>
      <c r="B12" s="22"/>
      <c r="C12" s="22"/>
      <c r="D12" s="22"/>
      <c r="E12" s="22"/>
      <c r="F12" s="22"/>
      <c r="G12" s="10"/>
      <c r="H12" s="10"/>
      <c r="I12" s="10"/>
      <c r="J12" s="10"/>
      <c r="K12" s="10"/>
      <c r="L12" s="11"/>
    </row>
    <row r="13" spans="1:13" ht="18" hidden="1" customHeight="1">
      <c r="A13" s="12" t="s">
        <v>23</v>
      </c>
      <c r="B13" s="22"/>
      <c r="C13" s="22"/>
      <c r="D13" s="22"/>
      <c r="E13" s="22"/>
      <c r="F13" s="22"/>
      <c r="G13" s="10"/>
      <c r="H13" s="10"/>
      <c r="I13" s="10"/>
      <c r="J13" s="10"/>
      <c r="K13" s="10"/>
      <c r="L13" s="11"/>
    </row>
    <row r="14" spans="1:13" ht="15" customHeight="1">
      <c r="A14" s="13" t="s">
        <v>1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14">
        <v>9173.8651799999898</v>
      </c>
      <c r="H14" s="14" t="s">
        <v>4</v>
      </c>
      <c r="I14" s="14">
        <v>8161.6353000000008</v>
      </c>
      <c r="J14" s="14">
        <v>42253.625200000002</v>
      </c>
      <c r="K14" s="14">
        <v>19922.747899999998</v>
      </c>
      <c r="L14" s="16" t="s">
        <v>2</v>
      </c>
    </row>
    <row r="15" spans="1:13" ht="15" hidden="1" customHeight="1">
      <c r="A15" s="13" t="s">
        <v>16</v>
      </c>
      <c r="B15" s="15">
        <v>0</v>
      </c>
      <c r="C15" s="15">
        <v>0</v>
      </c>
      <c r="D15" s="15">
        <v>0</v>
      </c>
      <c r="E15" s="15" t="s">
        <v>4</v>
      </c>
      <c r="F15" s="15" t="s">
        <v>4</v>
      </c>
      <c r="G15" s="15" t="s">
        <v>4</v>
      </c>
      <c r="H15" s="14" t="s">
        <v>4</v>
      </c>
      <c r="I15" s="15"/>
      <c r="J15" s="15"/>
      <c r="K15" s="26"/>
      <c r="L15" s="16" t="s">
        <v>17</v>
      </c>
    </row>
    <row r="16" spans="1:13" s="18" customFormat="1" ht="17.25">
      <c r="A16" s="20" t="s">
        <v>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21" t="s">
        <v>6</v>
      </c>
    </row>
    <row r="17" spans="1:21">
      <c r="A17" s="1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21">
      <c r="A18" s="1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21">
      <c r="A19" s="1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U19" s="3"/>
    </row>
    <row r="20" spans="1:21">
      <c r="A20" s="1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21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7" spans="1:21">
      <c r="M27" s="2"/>
    </row>
    <row r="32" spans="1:21">
      <c r="E32" s="2"/>
      <c r="F32" s="2"/>
      <c r="G32" s="2"/>
      <c r="H32" s="2"/>
      <c r="I32" s="2"/>
      <c r="J32" s="2"/>
      <c r="K32" s="2"/>
    </row>
  </sheetData>
  <mergeCells count="6">
    <mergeCell ref="A1:L1"/>
    <mergeCell ref="A2:L2"/>
    <mergeCell ref="A4:A5"/>
    <mergeCell ref="L4:L5"/>
    <mergeCell ref="B4:E4"/>
    <mergeCell ref="F4:K4"/>
  </mergeCells>
  <pageMargins left="0.7" right="0.7" top="0.75" bottom="0.75" header="0.3" footer="0.3"/>
  <pageSetup paperSize="9" scale="58" orientation="portrait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2024-10-06T03:30:38Z</cp:lastPrinted>
  <dcterms:created xsi:type="dcterms:W3CDTF">2019-06-30T04:22:49Z</dcterms:created>
  <dcterms:modified xsi:type="dcterms:W3CDTF">2024-10-06T03:31:09Z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