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law and Order\"/>
    </mc:Choice>
  </mc:AlternateContent>
  <xr:revisionPtr revIDLastSave="0" documentId="13_ncr:1_{BB60C4BC-6DF7-4725-97A8-6BF0EFFA6F8C}" xr6:coauthVersionLast="47" xr6:coauthVersionMax="47" xr10:uidLastSave="{00000000-0000-0000-0000-000000000000}"/>
  <bookViews>
    <workbookView xWindow="-120" yWindow="-120" windowWidth="29040" windowHeight="15720" tabRatio="860" xr2:uid="{00000000-000D-0000-FFFF-FFFF00000000}"/>
  </bookViews>
  <sheets>
    <sheet name="8.2" sheetId="2" r:id="rId1"/>
  </sheets>
  <externalReferences>
    <externalReference r:id="rId2"/>
  </externalReferences>
  <definedNames>
    <definedName name="_xlnm.Print_Area" localSheetId="0">'8.2'!$A$1:$X$49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" i="2" l="1"/>
  <c r="V8" i="2"/>
  <c r="U9" i="2"/>
  <c r="V9" i="2"/>
  <c r="U10" i="2"/>
  <c r="V10" i="2"/>
  <c r="U11" i="2"/>
  <c r="V11" i="2"/>
  <c r="U12" i="2"/>
  <c r="V12" i="2"/>
  <c r="U13" i="2"/>
  <c r="V13" i="2"/>
  <c r="U14" i="2"/>
  <c r="V14" i="2"/>
  <c r="U15" i="2"/>
  <c r="V15" i="2"/>
  <c r="U16" i="2"/>
  <c r="V16" i="2"/>
  <c r="U17" i="2"/>
  <c r="V17" i="2"/>
  <c r="U18" i="2"/>
  <c r="V18" i="2"/>
  <c r="U19" i="2"/>
  <c r="V19" i="2"/>
  <c r="U20" i="2"/>
  <c r="V20" i="2"/>
  <c r="U21" i="2"/>
  <c r="V21" i="2"/>
  <c r="U22" i="2"/>
  <c r="V22" i="2"/>
  <c r="U23" i="2"/>
  <c r="V23" i="2"/>
  <c r="U24" i="2"/>
  <c r="V24" i="2"/>
  <c r="U25" i="2"/>
  <c r="V25" i="2"/>
  <c r="U26" i="2"/>
  <c r="V26" i="2"/>
  <c r="U27" i="2"/>
  <c r="V27" i="2"/>
  <c r="U28" i="2"/>
  <c r="V28" i="2"/>
  <c r="U29" i="2"/>
  <c r="V29" i="2"/>
  <c r="U30" i="2"/>
  <c r="V30" i="2"/>
  <c r="Q19" i="2"/>
  <c r="Q18" i="2"/>
  <c r="Q17" i="2"/>
  <c r="Q16" i="2"/>
  <c r="Q15" i="2"/>
  <c r="Q14" i="2"/>
  <c r="Q13" i="2"/>
  <c r="Q12" i="2"/>
  <c r="Q11" i="2"/>
  <c r="Q10" i="2"/>
  <c r="Q9" i="2"/>
  <c r="Q7" i="2" s="1"/>
  <c r="Q8" i="2"/>
  <c r="S7" i="2"/>
  <c r="R7" i="2"/>
  <c r="N30" i="2" l="1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P7" i="2"/>
  <c r="V7" i="2" s="1"/>
  <c r="O7" i="2"/>
  <c r="U7" i="2" s="1"/>
  <c r="N7" i="2" l="1"/>
  <c r="T7" i="2" s="1"/>
  <c r="K30" i="2" l="1"/>
  <c r="K29" i="2"/>
  <c r="K28" i="2"/>
  <c r="K27" i="2"/>
  <c r="K26" i="2"/>
  <c r="K25" i="2"/>
  <c r="K24" i="2"/>
  <c r="K23" i="2"/>
  <c r="K22" i="2"/>
  <c r="K21" i="2"/>
  <c r="K20" i="2"/>
  <c r="M7" i="2"/>
  <c r="L7" i="2"/>
  <c r="K19" i="2"/>
  <c r="T19" i="2" s="1"/>
  <c r="K18" i="2"/>
  <c r="T18" i="2" s="1"/>
  <c r="K17" i="2"/>
  <c r="T17" i="2" s="1"/>
  <c r="K16" i="2"/>
  <c r="T16" i="2" s="1"/>
  <c r="K15" i="2"/>
  <c r="T15" i="2" s="1"/>
  <c r="K14" i="2"/>
  <c r="T14" i="2" s="1"/>
  <c r="K13" i="2"/>
  <c r="T13" i="2" s="1"/>
  <c r="K12" i="2"/>
  <c r="T12" i="2" s="1"/>
  <c r="K11" i="2"/>
  <c r="T11" i="2" s="1"/>
  <c r="K10" i="2"/>
  <c r="T10" i="2" s="1"/>
  <c r="K9" i="2"/>
  <c r="T9" i="2" s="1"/>
  <c r="K8" i="2"/>
  <c r="T8" i="2" s="1"/>
  <c r="K7" i="2" l="1"/>
  <c r="J19" i="2" l="1"/>
  <c r="J7" i="2" s="1"/>
  <c r="I19" i="2"/>
  <c r="H30" i="2"/>
  <c r="T30" i="2" s="1"/>
  <c r="H29" i="2"/>
  <c r="T29" i="2" s="1"/>
  <c r="H28" i="2"/>
  <c r="T28" i="2" s="1"/>
  <c r="H27" i="2"/>
  <c r="T27" i="2" s="1"/>
  <c r="H26" i="2"/>
  <c r="T26" i="2" s="1"/>
  <c r="H25" i="2"/>
  <c r="T25" i="2" s="1"/>
  <c r="H24" i="2"/>
  <c r="T24" i="2" s="1"/>
  <c r="H23" i="2"/>
  <c r="T23" i="2" s="1"/>
  <c r="H22" i="2"/>
  <c r="T22" i="2" s="1"/>
  <c r="H21" i="2"/>
  <c r="T21" i="2" s="1"/>
  <c r="H20" i="2"/>
  <c r="T20" i="2" s="1"/>
  <c r="H18" i="2"/>
  <c r="H17" i="2"/>
  <c r="H16" i="2"/>
  <c r="H15" i="2"/>
  <c r="H14" i="2"/>
  <c r="H13" i="2"/>
  <c r="H12" i="2"/>
  <c r="H11" i="2"/>
  <c r="H10" i="2"/>
  <c r="H9" i="2"/>
  <c r="H8" i="2"/>
  <c r="I7" i="2" l="1"/>
  <c r="H19" i="2"/>
  <c r="H7" i="2" l="1"/>
  <c r="E30" i="2" l="1"/>
  <c r="E29" i="2"/>
  <c r="E28" i="2"/>
  <c r="E27" i="2"/>
  <c r="E26" i="2"/>
  <c r="E25" i="2"/>
  <c r="E24" i="2"/>
  <c r="E23" i="2"/>
  <c r="E22" i="2"/>
  <c r="E21" i="2"/>
  <c r="E20" i="2"/>
  <c r="E18" i="2"/>
  <c r="E17" i="2"/>
  <c r="E16" i="2"/>
  <c r="E15" i="2"/>
  <c r="E14" i="2"/>
  <c r="E13" i="2"/>
  <c r="E12" i="2"/>
  <c r="E11" i="2"/>
  <c r="E10" i="2"/>
  <c r="E9" i="2"/>
  <c r="E8" i="2"/>
  <c r="G7" i="2"/>
  <c r="E19" i="2" l="1"/>
  <c r="F7" i="2"/>
  <c r="E7" i="2" l="1"/>
  <c r="B30" i="2" l="1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D7" i="2"/>
  <c r="C7" i="2"/>
  <c r="B7" i="2" l="1"/>
</calcChain>
</file>

<file path=xl/sharedStrings.xml><?xml version="1.0" encoding="utf-8"?>
<sst xmlns="http://schemas.openxmlformats.org/spreadsheetml/2006/main" count="98" uniqueCount="60">
  <si>
    <t>ހުށަހެޅިފައިވާ މައްސަލަތައް</t>
  </si>
  <si>
    <t>Theft</t>
  </si>
  <si>
    <t>Total</t>
  </si>
  <si>
    <t>wlcmuj</t>
  </si>
  <si>
    <t>ވައްކަން</t>
  </si>
  <si>
    <t>Drugs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</si>
  <si>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</si>
  <si>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</si>
  <si>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</si>
  <si>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</si>
  <si>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</si>
  <si>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</si>
  <si>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</si>
  <si>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</si>
  <si>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</si>
  <si>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</si>
  <si>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</si>
  <si>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</si>
  <si>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</si>
  <si>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</si>
  <si>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</si>
  <si>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</si>
  <si>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</si>
  <si>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ވަގުފައިސާ އަދި ފޯރޖްކުރުން</t>
  </si>
  <si>
    <t>އެހެނިހެން</t>
  </si>
  <si>
    <t>Arson</t>
  </si>
  <si>
    <t>ހުޅުޖެހުން</t>
  </si>
  <si>
    <t>Lost items</t>
  </si>
  <si>
    <t>އަމިއްލައަށް މަރުވާން އުޅުން</t>
  </si>
  <si>
    <t>Source: Maldives Police Service</t>
  </si>
  <si>
    <t>csivrws csilop cscviDclOm :Ivcaed utWmUluAwm</t>
  </si>
  <si>
    <t>Type of case</t>
  </si>
  <si>
    <t>ކުރީ އަހަރާއި  އަޅާ ބަލާއިރު އިތުރުވި މިންވަރު</t>
  </si>
  <si>
    <t>ރާއްޖެ</t>
  </si>
  <si>
    <t>މާލެ</t>
  </si>
  <si>
    <t>އަތޮޅުތައް</t>
  </si>
  <si>
    <t>Republic</t>
  </si>
  <si>
    <t>Male'</t>
  </si>
  <si>
    <t>Atolls</t>
  </si>
  <si>
    <t>ޓްރެފިކް އެކްސިޑެންޓްސް</t>
  </si>
  <si>
    <t>Threatening</t>
  </si>
  <si>
    <t xml:space="preserve">  ބިރުދެއްކުން</t>
  </si>
  <si>
    <t>Fire incidents</t>
  </si>
  <si>
    <t xml:space="preserve">  އަލިފާނުގެ ހާދިސާ</t>
  </si>
  <si>
    <t>Environmental offences</t>
  </si>
  <si>
    <t>ތިމާވެއްޓާއި ގުޅުންހުރި މައްސަލަތައް</t>
  </si>
  <si>
    <t>Illegal immigration</t>
  </si>
  <si>
    <t>ރާއްޖެއަށް ނުވަތަ ރާއްޖޭގެ ސަރަހައްދަކަށް ޤަވާއިދާއި ހިލާފަށް ވަނުން</t>
  </si>
  <si>
    <t>Obstruction of Justice</t>
  </si>
  <si>
    <t>ފުލުހުންގެ ވާޖިބަށް ހުރަސް އެޅުން</t>
  </si>
  <si>
    <t>Illegally entering households</t>
  </si>
  <si>
    <t>ޤަވާއިދާއި ޚިލާފަށް ގޯތިގެދޮރަށް ވަނުން</t>
  </si>
  <si>
    <t>Sudden death</t>
  </si>
  <si>
    <t>ކުއްލި މަރު</t>
  </si>
  <si>
    <t>Attempt to suicide</t>
  </si>
  <si>
    <t>Unlawful posession of weapons</t>
  </si>
  <si>
    <t>ހަތިޔާރު ގެންގުޅުން</t>
  </si>
  <si>
    <t>% change over 2022</t>
  </si>
  <si>
    <t>ތާވަލު 8.2: މާލެ އަދި އަތޮޅުތަކުން ހުށަހެޅިފައިވާ މައްސަލަތަކުގެ ޢަދަދު އަދި ބާވަތް، 2018- 2023</t>
  </si>
  <si>
    <t>TABLE 8.2  : NUMBER OF  LOGGED CASES BY  LOCALITY &amp; TYPE OF CASES, 2018 - 2023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</si>
</sst>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70" formatCode="0.00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Faruma"/>
      <family val="3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i/>
      <sz val="10"/>
      <name val="Calibri"/>
      <family val="2"/>
      <scheme val="minor"/>
    </font>
    <font>
      <sz val="9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167" fontId="23" fillId="0" borderId="0"/>
    <xf numFmtId="0" fontId="28" fillId="0" borderId="14" applyNumberFormat="0" applyFill="0" applyAlignment="0" applyProtection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170" fontId="32" fillId="0" borderId="0"/>
    <xf numFmtId="1" fontId="33" fillId="0" borderId="20" applyNumberFormat="0"/>
    <xf numFmtId="0" fontId="27" fillId="0" borderId="0"/>
    <xf numFmtId="0" fontId="1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31" fillId="0" borderId="0"/>
    <xf numFmtId="40" fontId="31" fillId="0" borderId="0" applyFont="0" applyFill="0" applyBorder="0" applyAlignment="0" applyProtection="0"/>
    <xf numFmtId="0" fontId="31" fillId="0" borderId="0"/>
    <xf numFmtId="0" fontId="27" fillId="0" borderId="0"/>
    <xf numFmtId="1" fontId="33" fillId="0" borderId="20" applyNumberFormat="0"/>
    <xf numFmtId="0" fontId="1" fillId="0" borderId="0"/>
    <xf numFmtId="0" fontId="31" fillId="0" borderId="0"/>
    <xf numFmtId="0" fontId="22" fillId="0" borderId="0" applyFill="0" applyProtection="0"/>
    <xf numFmtId="1" fontId="33" fillId="0" borderId="20" applyNumberFormat="0"/>
    <xf numFmtId="43" fontId="1" fillId="0" borderId="0" applyFont="0" applyFill="0" applyBorder="0" applyAlignment="0" applyProtection="0"/>
    <xf numFmtId="0" fontId="1" fillId="0" borderId="0"/>
    <xf numFmtId="0" fontId="34" fillId="0" borderId="0"/>
    <xf numFmtId="0" fontId="35" fillId="0" borderId="0"/>
    <xf numFmtId="0" fontId="34" fillId="0" borderId="0"/>
    <xf numFmtId="0" fontId="1" fillId="0" borderId="0"/>
    <xf numFmtId="0" fontId="31" fillId="0" borderId="0"/>
    <xf numFmtId="0" fontId="22" fillId="0" borderId="0" applyFill="0" applyProtection="0"/>
    <xf numFmtId="1" fontId="33" fillId="0" borderId="20" applyNumberFormat="0"/>
    <xf numFmtId="0" fontId="1" fillId="0" borderId="0"/>
    <xf numFmtId="0" fontId="27" fillId="0" borderId="0"/>
    <xf numFmtId="0" fontId="34" fillId="0" borderId="0"/>
    <xf numFmtId="0" fontId="35" fillId="0" borderId="0"/>
    <xf numFmtId="0" fontId="27" fillId="0" borderId="0"/>
    <xf numFmtId="0" fontId="34" fillId="0" borderId="0"/>
    <xf numFmtId="0" fontId="36" fillId="0" borderId="0"/>
    <xf numFmtId="0" fontId="34" fillId="0" borderId="0"/>
    <xf numFmtId="0" fontId="34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1" fillId="0" borderId="0" applyFont="0" applyFill="0" applyBorder="0" applyAlignment="0" applyProtection="0"/>
    <xf numFmtId="0" fontId="1" fillId="0" borderId="0"/>
    <xf numFmtId="0" fontId="36" fillId="0" borderId="0" applyBorder="0"/>
    <xf numFmtId="0" fontId="1" fillId="0" borderId="0"/>
    <xf numFmtId="40" fontId="3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6" fillId="0" borderId="0" applyBorder="0"/>
    <xf numFmtId="0" fontId="1" fillId="0" borderId="0"/>
    <xf numFmtId="0" fontId="1" fillId="0" borderId="0"/>
    <xf numFmtId="1" fontId="33" fillId="0" borderId="20" applyNumberFormat="0"/>
    <xf numFmtId="1" fontId="33" fillId="0" borderId="20" applyNumberFormat="0"/>
    <xf numFmtId="1" fontId="33" fillId="0" borderId="20" applyNumberFormat="0"/>
    <xf numFmtId="1" fontId="33" fillId="0" borderId="20" applyNumberFormat="0"/>
    <xf numFmtId="0" fontId="37" fillId="0" borderId="0"/>
    <xf numFmtId="0" fontId="37" fillId="0" borderId="0"/>
  </cellStyleXfs>
  <cellXfs count="82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9" fillId="2" borderId="0" xfId="0" applyNumberFormat="1" applyFont="1" applyFill="1"/>
    <xf numFmtId="164" fontId="5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4" fontId="10" fillId="2" borderId="0" xfId="0" applyNumberFormat="1" applyFont="1" applyFill="1" applyAlignment="1">
      <alignment horizontal="right" vertical="center"/>
    </xf>
    <xf numFmtId="167" fontId="18" fillId="2" borderId="0" xfId="1" applyNumberFormat="1" applyFont="1" applyFill="1" applyBorder="1" applyAlignment="1">
      <alignment horizontal="right"/>
    </xf>
    <xf numFmtId="164" fontId="21" fillId="2" borderId="3" xfId="0" applyNumberFormat="1" applyFont="1" applyFill="1" applyBorder="1" applyAlignment="1">
      <alignment horizontal="right" vertical="center" wrapText="1"/>
    </xf>
    <xf numFmtId="164" fontId="21" fillId="2" borderId="6" xfId="0" applyNumberFormat="1" applyFont="1" applyFill="1" applyBorder="1" applyAlignment="1">
      <alignment horizontal="right" vertical="center" wrapText="1"/>
    </xf>
    <xf numFmtId="164" fontId="21" fillId="2" borderId="7" xfId="0" applyNumberFormat="1" applyFont="1" applyFill="1" applyBorder="1" applyAlignment="1">
      <alignment horizontal="right" vertical="center" wrapText="1"/>
    </xf>
    <xf numFmtId="164" fontId="5" fillId="2" borderId="8" xfId="0" applyNumberFormat="1" applyFont="1" applyFill="1" applyBorder="1" applyAlignment="1">
      <alignment horizontal="right" vertical="center" wrapText="1"/>
    </xf>
    <xf numFmtId="164" fontId="5" fillId="2" borderId="9" xfId="0" applyNumberFormat="1" applyFont="1" applyFill="1" applyBorder="1" applyAlignment="1">
      <alignment horizontal="right" vertical="center" wrapText="1"/>
    </xf>
    <xf numFmtId="166" fontId="5" fillId="2" borderId="0" xfId="3" applyFont="1" applyFill="1" applyBorder="1" applyAlignment="1">
      <alignment horizontal="center" vertical="center"/>
    </xf>
    <xf numFmtId="166" fontId="5" fillId="2" borderId="7" xfId="3" applyFont="1" applyFill="1" applyBorder="1" applyAlignment="1">
      <alignment horizontal="center" vertical="center"/>
    </xf>
    <xf numFmtId="164" fontId="24" fillId="2" borderId="0" xfId="0" applyNumberFormat="1" applyFont="1" applyFill="1"/>
    <xf numFmtId="166" fontId="6" fillId="2" borderId="0" xfId="3" applyFont="1" applyFill="1" applyBorder="1" applyAlignment="1">
      <alignment horizontal="center" vertical="center"/>
    </xf>
    <xf numFmtId="166" fontId="14" fillId="2" borderId="0" xfId="3" applyFont="1" applyFill="1" applyBorder="1" applyAlignment="1">
      <alignment horizontal="center" vertical="center"/>
    </xf>
    <xf numFmtId="166" fontId="13" fillId="2" borderId="0" xfId="3" applyFont="1" applyFill="1" applyBorder="1" applyAlignment="1">
      <alignment horizontal="center" vertical="center"/>
    </xf>
    <xf numFmtId="166" fontId="13" fillId="2" borderId="11" xfId="3" applyFont="1" applyFill="1" applyBorder="1" applyAlignment="1">
      <alignment horizontal="center" vertical="center"/>
    </xf>
    <xf numFmtId="164" fontId="16" fillId="2" borderId="0" xfId="0" applyNumberFormat="1" applyFont="1" applyFill="1" applyAlignment="1">
      <alignment horizontal="left" vertical="center" indent="1"/>
    </xf>
    <xf numFmtId="164" fontId="10" fillId="2" borderId="0" xfId="0" applyNumberFormat="1" applyFont="1" applyFill="1" applyAlignment="1">
      <alignment horizontal="right" vertical="center" indent="1"/>
    </xf>
    <xf numFmtId="164" fontId="10" fillId="2" borderId="0" xfId="0" applyNumberFormat="1" applyFont="1" applyFill="1" applyAlignment="1">
      <alignment horizontal="right" vertical="center" wrapText="1"/>
    </xf>
    <xf numFmtId="164" fontId="25" fillId="2" borderId="4" xfId="0" applyNumberFormat="1" applyFont="1" applyFill="1" applyBorder="1" applyAlignment="1">
      <alignment horizontal="left" vertical="center" indent="1"/>
    </xf>
    <xf numFmtId="166" fontId="13" fillId="2" borderId="4" xfId="3" applyFont="1" applyFill="1" applyBorder="1" applyAlignment="1">
      <alignment horizontal="center" vertical="center"/>
    </xf>
    <xf numFmtId="166" fontId="13" fillId="2" borderId="8" xfId="3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>
      <alignment horizontal="right" vertical="center" indent="1"/>
    </xf>
    <xf numFmtId="164" fontId="17" fillId="2" borderId="0" xfId="0" applyNumberFormat="1" applyFont="1" applyFill="1"/>
    <xf numFmtId="164" fontId="19" fillId="2" borderId="5" xfId="0" applyNumberFormat="1" applyFont="1" applyFill="1" applyBorder="1" applyAlignment="1">
      <alignment vertical="center"/>
    </xf>
    <xf numFmtId="164" fontId="13" fillId="2" borderId="0" xfId="0" applyNumberFormat="1" applyFont="1" applyFill="1"/>
    <xf numFmtId="164" fontId="14" fillId="2" borderId="0" xfId="0" applyNumberFormat="1" applyFont="1" applyFill="1"/>
    <xf numFmtId="164" fontId="26" fillId="2" borderId="0" xfId="0" applyNumberFormat="1" applyFont="1" applyFill="1" applyAlignment="1">
      <alignment horizontal="right" vertical="center"/>
    </xf>
    <xf numFmtId="164" fontId="11" fillId="2" borderId="0" xfId="0" applyNumberFormat="1" applyFont="1" applyFill="1" applyAlignment="1">
      <alignment vertical="center"/>
    </xf>
    <xf numFmtId="3" fontId="5" fillId="2" borderId="12" xfId="3" applyNumberFormat="1" applyFont="1" applyFill="1" applyBorder="1" applyAlignment="1">
      <alignment horizontal="right" vertical="center"/>
    </xf>
    <xf numFmtId="3" fontId="13" fillId="2" borderId="0" xfId="3" applyNumberFormat="1" applyFont="1" applyFill="1" applyBorder="1" applyAlignment="1">
      <alignment horizontal="right" vertical="center"/>
    </xf>
    <xf numFmtId="3" fontId="13" fillId="2" borderId="11" xfId="3" applyNumberFormat="1" applyFont="1" applyFill="1" applyBorder="1" applyAlignment="1">
      <alignment horizontal="right" vertical="center"/>
    </xf>
    <xf numFmtId="3" fontId="5" fillId="2" borderId="9" xfId="3" applyNumberFormat="1" applyFont="1" applyFill="1" applyBorder="1" applyAlignment="1">
      <alignment horizontal="right" vertical="center"/>
    </xf>
    <xf numFmtId="3" fontId="13" fillId="2" borderId="4" xfId="3" applyNumberFormat="1" applyFont="1" applyFill="1" applyBorder="1" applyAlignment="1">
      <alignment horizontal="right" vertical="center"/>
    </xf>
    <xf numFmtId="3" fontId="13" fillId="2" borderId="8" xfId="3" applyNumberFormat="1" applyFont="1" applyFill="1" applyBorder="1" applyAlignment="1">
      <alignment horizontal="right" vertical="center"/>
    </xf>
    <xf numFmtId="164" fontId="13" fillId="2" borderId="4" xfId="0" applyNumberFormat="1" applyFont="1" applyFill="1" applyBorder="1" applyAlignment="1">
      <alignment vertical="center"/>
    </xf>
    <xf numFmtId="164" fontId="10" fillId="2" borderId="4" xfId="0" applyNumberFormat="1" applyFont="1" applyFill="1" applyBorder="1" applyAlignment="1">
      <alignment horizontal="right" vertical="center"/>
    </xf>
    <xf numFmtId="165" fontId="15" fillId="2" borderId="0" xfId="4" applyNumberFormat="1" applyFont="1" applyFill="1" applyBorder="1" applyAlignment="1" applyProtection="1">
      <alignment horizontal="right" vertical="center"/>
      <protection locked="0"/>
    </xf>
    <xf numFmtId="165" fontId="15" fillId="2" borderId="4" xfId="4" applyNumberFormat="1" applyFont="1" applyFill="1" applyBorder="1" applyAlignment="1" applyProtection="1">
      <alignment horizontal="right" vertical="center"/>
      <protection locked="0"/>
    </xf>
    <xf numFmtId="164" fontId="29" fillId="2" borderId="13" xfId="0" applyNumberFormat="1" applyFont="1" applyFill="1" applyBorder="1" applyAlignment="1">
      <alignment horizontal="right"/>
    </xf>
    <xf numFmtId="164" fontId="30" fillId="2" borderId="10" xfId="0" applyNumberFormat="1" applyFont="1" applyFill="1" applyBorder="1" applyAlignment="1">
      <alignment horizontal="right" vertical="center"/>
    </xf>
    <xf numFmtId="164" fontId="5" fillId="2" borderId="4" xfId="0" applyNumberFormat="1" applyFont="1" applyFill="1" applyBorder="1" applyAlignment="1">
      <alignment horizontal="right" vertical="center" wrapText="1"/>
    </xf>
    <xf numFmtId="164" fontId="21" fillId="2" borderId="16" xfId="0" applyNumberFormat="1" applyFont="1" applyFill="1" applyBorder="1" applyAlignment="1">
      <alignment horizontal="right" vertical="center" wrapText="1"/>
    </xf>
    <xf numFmtId="166" fontId="5" fillId="2" borderId="11" xfId="3" applyFont="1" applyFill="1" applyBorder="1" applyAlignment="1">
      <alignment horizontal="center" vertical="center"/>
    </xf>
    <xf numFmtId="165" fontId="15" fillId="2" borderId="9" xfId="4" applyNumberFormat="1" applyFont="1" applyFill="1" applyBorder="1" applyAlignment="1" applyProtection="1">
      <alignment horizontal="right" vertical="center"/>
      <protection locked="0"/>
    </xf>
    <xf numFmtId="165" fontId="12" fillId="2" borderId="18" xfId="4" applyNumberFormat="1" applyFont="1" applyFill="1" applyBorder="1" applyAlignment="1" applyProtection="1">
      <alignment horizontal="right" vertical="center"/>
      <protection locked="0"/>
    </xf>
    <xf numFmtId="165" fontId="12" fillId="2" borderId="12" xfId="4" applyNumberFormat="1" applyFont="1" applyFill="1" applyBorder="1" applyAlignment="1" applyProtection="1">
      <alignment horizontal="right" vertical="center"/>
      <protection locked="0"/>
    </xf>
    <xf numFmtId="165" fontId="12" fillId="2" borderId="9" xfId="4" applyNumberFormat="1" applyFont="1" applyFill="1" applyBorder="1" applyAlignment="1" applyProtection="1">
      <alignment horizontal="right" vertical="center"/>
      <protection locked="0"/>
    </xf>
    <xf numFmtId="164" fontId="21" fillId="2" borderId="23" xfId="0" applyNumberFormat="1" applyFont="1" applyFill="1" applyBorder="1" applyAlignment="1">
      <alignment horizontal="right" vertical="center" wrapText="1"/>
    </xf>
    <xf numFmtId="164" fontId="21" fillId="2" borderId="21" xfId="0" applyNumberFormat="1" applyFont="1" applyFill="1" applyBorder="1" applyAlignment="1">
      <alignment horizontal="right" vertical="center" wrapText="1"/>
    </xf>
    <xf numFmtId="164" fontId="21" fillId="2" borderId="22" xfId="0" applyNumberFormat="1" applyFont="1" applyFill="1" applyBorder="1" applyAlignment="1">
      <alignment horizontal="right" vertical="center" wrapText="1"/>
    </xf>
    <xf numFmtId="166" fontId="5" fillId="2" borderId="21" xfId="3" applyFont="1" applyFill="1" applyBorder="1" applyAlignment="1">
      <alignment horizontal="center" vertical="center"/>
    </xf>
    <xf numFmtId="165" fontId="12" fillId="2" borderId="21" xfId="4" applyNumberFormat="1" applyFont="1" applyFill="1" applyBorder="1" applyAlignment="1" applyProtection="1">
      <alignment horizontal="right" vertical="center"/>
      <protection locked="0"/>
    </xf>
    <xf numFmtId="165" fontId="12" fillId="2" borderId="23" xfId="4" applyNumberFormat="1" applyFont="1" applyFill="1" applyBorder="1" applyAlignment="1" applyProtection="1">
      <alignment horizontal="right" vertical="center"/>
      <protection locked="0"/>
    </xf>
    <xf numFmtId="164" fontId="3" fillId="2" borderId="19" xfId="0" applyNumberFormat="1" applyFont="1" applyFill="1" applyBorder="1" applyAlignment="1">
      <alignment horizontal="center" vertical="top"/>
    </xf>
    <xf numFmtId="164" fontId="5" fillId="2" borderId="4" xfId="0" applyNumberFormat="1" applyFont="1" applyFill="1" applyBorder="1" applyAlignment="1">
      <alignment horizontal="left" vertical="center" wrapText="1"/>
    </xf>
    <xf numFmtId="164" fontId="8" fillId="2" borderId="3" xfId="0" applyNumberFormat="1" applyFont="1" applyFill="1" applyBorder="1" applyAlignment="1">
      <alignment horizontal="right" vertical="center" wrapText="1"/>
    </xf>
    <xf numFmtId="164" fontId="8" fillId="2" borderId="0" xfId="0" applyNumberFormat="1" applyFont="1" applyFill="1" applyAlignment="1">
      <alignment horizontal="right" vertical="center" wrapText="1"/>
    </xf>
    <xf numFmtId="164" fontId="8" fillId="2" borderId="4" xfId="0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164" fontId="20" fillId="2" borderId="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15" xfId="0" applyNumberFormat="1" applyFont="1" applyFill="1" applyBorder="1" applyAlignment="1">
      <alignment horizontal="center" vertical="top"/>
    </xf>
    <xf numFmtId="164" fontId="3" fillId="2" borderId="17" xfId="0" applyNumberFormat="1" applyFont="1" applyFill="1" applyBorder="1" applyAlignment="1">
      <alignment horizontal="center" vertical="top"/>
    </xf>
    <xf numFmtId="164" fontId="5" fillId="2" borderId="3" xfId="0" applyNumberFormat="1" applyFont="1" applyFill="1" applyBorder="1" applyAlignment="1">
      <alignment horizontal="left" vertical="center" wrapText="1"/>
    </xf>
    <xf numFmtId="164" fontId="5" fillId="2" borderId="0" xfId="0" applyNumberFormat="1" applyFont="1" applyFill="1" applyAlignment="1">
      <alignment horizontal="left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7" fillId="2" borderId="16" xfId="0" applyNumberFormat="1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center" vertical="center" wrapText="1"/>
    </xf>
    <xf numFmtId="164" fontId="5" fillId="2" borderId="16" xfId="0" applyNumberFormat="1" applyFont="1" applyFill="1" applyBorder="1" applyAlignment="1">
      <alignment horizontal="center" vertical="center" wrapText="1"/>
    </xf>
    <xf numFmtId="164" fontId="5" fillId="2" borderId="21" xfId="0" applyNumberFormat="1" applyFont="1" applyFill="1" applyBorder="1" applyAlignment="1">
      <alignment horizontal="center" vertical="center" wrapText="1"/>
    </xf>
    <xf numFmtId="164" fontId="5" fillId="2" borderId="23" xfId="0" applyNumberFormat="1" applyFont="1" applyFill="1" applyBorder="1" applyAlignment="1">
      <alignment horizontal="center" vertical="center" wrapText="1"/>
    </xf>
    <xf numFmtId="164" fontId="5" fillId="2" borderId="22" xfId="0" applyNumberFormat="1" applyFont="1" applyFill="1" applyBorder="1" applyAlignment="1">
      <alignment horizontal="center" vertical="center" wrapText="1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33CCCC"/>
      <color rgb="FF008080"/>
      <color rgb="FFCCF4F2"/>
      <color rgb="FFC5FFFF"/>
      <color rgb="FFEAFAFA"/>
      <color rgb="FF003F3E"/>
      <color rgb="FFFF6969"/>
      <color rgb="FFFFC5C5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554202331622758E-2"/>
          <c:y val="0.1784770735971532"/>
          <c:w val="0.89173231707112144"/>
          <c:h val="0.521512249891598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'8.2'!$R$6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'8.2'!$R$8:$R$19</c:f>
              <c:numCache>
                <c:formatCode>_-* #,##0_-;\-* #,##0_-;_-* "-"??_-;_-@_-</c:formatCode>
                <c:ptCount val="12"/>
                <c:pt idx="0">
                  <c:v>3088</c:v>
                </c:pt>
                <c:pt idx="1">
                  <c:v>2216</c:v>
                </c:pt>
                <c:pt idx="2">
                  <c:v>978</c:v>
                </c:pt>
                <c:pt idx="3">
                  <c:v>1039</c:v>
                </c:pt>
                <c:pt idx="4">
                  <c:v>347</c:v>
                </c:pt>
                <c:pt idx="5">
                  <c:v>449</c:v>
                </c:pt>
                <c:pt idx="6">
                  <c:v>439</c:v>
                </c:pt>
                <c:pt idx="7">
                  <c:v>129</c:v>
                </c:pt>
                <c:pt idx="8">
                  <c:v>537</c:v>
                </c:pt>
                <c:pt idx="9">
                  <c:v>129</c:v>
                </c:pt>
                <c:pt idx="10">
                  <c:v>119</c:v>
                </c:pt>
                <c:pt idx="11">
                  <c:v>1573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C-4970-B6B5-D76371007392}"/>
            </c:ext>
          </c:extLst>
        </c:ser>
        <c:ser>
          <c:idx val="1"/>
          <c:order val="1"/>
          <c:tx>
            <c:strRef>
              <c:f>'8.2'!$S$6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'8.2'!$S$8:$S$19</c:f>
              <c:numCache>
                <c:formatCode>_-* #,##0_-;\-* #,##0_-;_-* "-"??_-;_-@_-</c:formatCode>
                <c:ptCount val="12"/>
                <c:pt idx="0">
                  <c:v>737</c:v>
                </c:pt>
                <c:pt idx="1">
                  <c:v>82</c:v>
                </c:pt>
                <c:pt idx="2">
                  <c:v>754</c:v>
                </c:pt>
                <c:pt idx="3">
                  <c:v>443</c:v>
                </c:pt>
                <c:pt idx="4">
                  <c:v>309</c:v>
                </c:pt>
                <c:pt idx="5">
                  <c:v>165</c:v>
                </c:pt>
                <c:pt idx="6">
                  <c:v>39</c:v>
                </c:pt>
                <c:pt idx="7">
                  <c:v>160</c:v>
                </c:pt>
                <c:pt idx="8">
                  <c:v>216</c:v>
                </c:pt>
                <c:pt idx="9">
                  <c:v>94</c:v>
                </c:pt>
                <c:pt idx="10">
                  <c:v>9</c:v>
                </c:pt>
                <c:pt idx="11">
                  <c:v>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8C-4970-B6B5-D76371007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axId val="403490688"/>
        <c:axId val="403492224"/>
      </c:barChart>
      <c:catAx>
        <c:axId val="403490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403492224"/>
        <c:crosses val="autoZero"/>
        <c:auto val="1"/>
        <c:lblAlgn val="ctr"/>
        <c:lblOffset val="100"/>
        <c:noMultiLvlLbl val="0"/>
      </c:catAx>
      <c:valAx>
        <c:axId val="4034922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  <a:r>
                  <a:rPr lang="en-US" baseline="0"/>
                  <a:t> of cases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9.8808255778023608E-3"/>
              <c:y val="0.25301070299482753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3490688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0513524056367918"/>
          <c:y val="0.2454842030394257"/>
          <c:w val="0.18600515524547906"/>
          <c:h val="0.10312697613318542"/>
        </c:manualLayout>
      </c:layout>
      <c:overlay val="0"/>
      <c:txPr>
        <a:bodyPr/>
        <a:lstStyle/>
        <a:p>
          <a:pPr>
            <a:defRPr sz="1050" b="0"/>
          </a:pPr>
          <a:endParaRPr lang="en-US"/>
        </a:p>
      </c:txPr>
    </c:legend>
    <c:plotVisOnly val="1"/>
    <c:dispBlanksAs val="gap"/>
    <c:showDLblsOverMax val="0"/>
  </c:chart>
  <c:spPr>
    <a:noFill/>
    <a:ln>
      <a:solidFill>
        <a:schemeClr val="bg1">
          <a:lumMod val="75000"/>
        </a:schemeClr>
      </a:solidFill>
    </a:ln>
  </c:spPr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40029912908872"/>
          <c:y val="0.18141358627834758"/>
          <c:w val="0.38882937296076686"/>
          <c:h val="0.7924713536842497"/>
        </c:manualLayout>
      </c:layout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0-F12E-401D-BAD4-2A9A4187EC46}"/>
              </c:ext>
            </c:extLst>
          </c:dPt>
          <c:dPt>
            <c:idx val="1"/>
            <c:bubble3D val="0"/>
            <c:spPr>
              <a:solidFill>
                <a:srgbClr val="C5FFFF"/>
              </a:solidFill>
            </c:spPr>
            <c:extLst>
              <c:ext xmlns:c16="http://schemas.microsoft.com/office/drawing/2014/chart" uri="{C3380CC4-5D6E-409C-BE32-E72D297353CC}">
                <c16:uniqueId val="{00000001-F12E-401D-BAD4-2A9A4187EC46}"/>
              </c:ext>
            </c:extLst>
          </c:dPt>
          <c:dLbls>
            <c:dLbl>
              <c:idx val="0"/>
              <c:layout>
                <c:manualLayout>
                  <c:x val="-6.7755689470126362E-2"/>
                  <c:y val="-0.2430632564691237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12E-401D-BAD4-2A9A4187EC46}"/>
                </c:ext>
              </c:extLst>
            </c:dLbl>
            <c:dLbl>
              <c:idx val="1"/>
              <c:layout>
                <c:manualLayout>
                  <c:x val="7.5978735860182389E-2"/>
                  <c:y val="0.1662278859277539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2E-401D-BAD4-2A9A4187EC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'8.2'!$R$6:$S$6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'8.2'!$R$7:$S$7</c:f>
              <c:numCache>
                <c:formatCode>_-* #,##0_-;\-* #,##0_-;_-* "-"??_-;_-@_-</c:formatCode>
                <c:ptCount val="2"/>
                <c:pt idx="0">
                  <c:v>11043</c:v>
                </c:pt>
                <c:pt idx="1">
                  <c:v>3972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33-4BA7-AE15-317750693BE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926402</xdr:colOff>
      <xdr:row>31</xdr:row>
      <xdr:rowOff>141441</xdr:rowOff>
    </xdr:from>
    <xdr:to>
      <xdr:col>11</xdr:col>
      <xdr:colOff>591207</xdr:colOff>
      <xdr:row>48</xdr:row>
      <xdr:rowOff>12396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317500</xdr:colOff>
      <xdr:row>31</xdr:row>
      <xdr:rowOff>183128</xdr:rowOff>
    </xdr:from>
    <xdr:to>
      <xdr:col>22</xdr:col>
      <xdr:colOff>2244246</xdr:colOff>
      <xdr:row>48</xdr:row>
      <xdr:rowOff>26095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1539657</xdr:colOff>
      <xdr:row>32</xdr:row>
      <xdr:rowOff>86138</xdr:rowOff>
    </xdr:from>
    <xdr:to>
      <xdr:col>10</xdr:col>
      <xdr:colOff>159223</xdr:colOff>
      <xdr:row>33</xdr:row>
      <xdr:rowOff>182672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539657" y="4874734"/>
          <a:ext cx="5926415" cy="29225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8.3: Number of logged cases for Male' and Atolls by type, 202</a:t>
          </a:r>
          <a:r>
            <a:rPr lang="dv-MV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3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pPr algn="ctr"/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14</xdr:col>
      <xdr:colOff>394138</xdr:colOff>
      <xdr:row>32</xdr:row>
      <xdr:rowOff>56818</xdr:rowOff>
    </xdr:from>
    <xdr:to>
      <xdr:col>22</xdr:col>
      <xdr:colOff>1487466</xdr:colOff>
      <xdr:row>34</xdr:row>
      <xdr:rowOff>65240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0149052" y="4917852"/>
          <a:ext cx="6031000" cy="3806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8.4: Percentage share of logged cases for Male' and Atolls, 202</a:t>
          </a:r>
          <a:r>
            <a:rPr lang="dv-MV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3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4\8.%20LAW%20AND%20ORDER_MPS%20-%20FILLED.xlsx" TargetMode="External"/><Relationship Id="rId1" Type="http://schemas.openxmlformats.org/officeDocument/2006/relationships/externalLinkPath" Target="/Dissemination/Publications/Statistical%20Year%20Book/YEARBOOK%202024/8.%20LAW%20AND%20ORDER_MPS%20-%20FILL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2.28"/>
      <sheetName val="2.29"/>
      <sheetName val="Sheet1"/>
    </sheetNames>
    <sheetDataSet>
      <sheetData sheetId="0">
        <row r="6">
          <cell r="A6" t="str">
            <v>Theft</v>
          </cell>
          <cell r="Q6">
            <v>25.474525474525471</v>
          </cell>
        </row>
        <row r="7">
          <cell r="A7" t="str">
            <v>Traffic accidents</v>
          </cell>
          <cell r="Q7">
            <v>15.304695304695304</v>
          </cell>
        </row>
        <row r="8">
          <cell r="A8" t="str">
            <v>Drugs</v>
          </cell>
          <cell r="Q8">
            <v>11.535131535131535</v>
          </cell>
        </row>
        <row r="9">
          <cell r="A9" t="str">
            <v>Lost Items</v>
          </cell>
          <cell r="Q9">
            <v>9.8701298701298708</v>
          </cell>
        </row>
        <row r="10">
          <cell r="A10" t="str">
            <v>Assault</v>
          </cell>
          <cell r="Q10">
            <v>4.3689643689643693</v>
          </cell>
        </row>
        <row r="11">
          <cell r="A11" t="str">
            <v>Vandalism</v>
          </cell>
          <cell r="Q11">
            <v>4.0892440892440893</v>
          </cell>
        </row>
        <row r="12">
          <cell r="A12" t="str">
            <v>Robbery</v>
          </cell>
          <cell r="Q12">
            <v>3.1834831834831836</v>
          </cell>
        </row>
        <row r="13">
          <cell r="A13" t="str">
            <v>Sexual offences</v>
          </cell>
          <cell r="Q13">
            <v>1.9247419247419246</v>
          </cell>
        </row>
        <row r="14">
          <cell r="A14" t="str">
            <v>Embezzlement</v>
          </cell>
          <cell r="Q14">
            <v>5.0149850149850153</v>
          </cell>
        </row>
        <row r="15">
          <cell r="A15" t="str">
            <v>Domestic violence</v>
          </cell>
          <cell r="Q15">
            <v>1.4851814851814853</v>
          </cell>
        </row>
        <row r="16">
          <cell r="A16" t="str">
            <v>Counterfeit and forgery</v>
          </cell>
          <cell r="Q16">
            <v>0.85248085248085248</v>
          </cell>
        </row>
        <row r="17">
          <cell r="A17" t="str">
            <v>Others</v>
          </cell>
          <cell r="Q17">
            <v>16.896436896436899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2D050"/>
  </sheetPr>
  <dimension ref="A1:AG41"/>
  <sheetViews>
    <sheetView tabSelected="1" topLeftCell="B1" zoomScale="87" zoomScaleNormal="87" workbookViewId="0">
      <selection activeCell="AD16" sqref="AD16"/>
    </sheetView>
  </sheetViews>
  <sheetFormatPr defaultColWidth="9.140625" defaultRowHeight="15"/>
  <cols>
    <col min="1" max="1" width="26.7109375" style="1" customWidth="1"/>
    <col min="2" max="19" width="9.140625" style="1" customWidth="1"/>
    <col min="20" max="21" width="9.42578125" style="1" customWidth="1"/>
    <col min="22" max="22" width="9.28515625" style="1" customWidth="1"/>
    <col min="23" max="23" width="35.140625" style="1" customWidth="1"/>
    <col min="24" max="24" width="10.7109375" style="1" customWidth="1"/>
    <col min="25" max="25" width="9.140625" style="1"/>
    <col min="26" max="26" width="22.140625" style="1" bestFit="1" customWidth="1"/>
    <col min="27" max="16384" width="9.140625" style="1"/>
  </cols>
  <sheetData>
    <row r="1" spans="1:33" ht="21">
      <c r="A1" s="64" t="s">
        <v>58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</row>
    <row r="2" spans="1:33" ht="21.75" customHeight="1">
      <c r="A2" s="65" t="s">
        <v>59</v>
      </c>
      <c r="B2" s="65"/>
      <c r="C2" s="65"/>
      <c r="D2" s="65"/>
      <c r="E2" s="66"/>
      <c r="F2" s="66"/>
      <c r="G2" s="66"/>
      <c r="H2" s="66"/>
      <c r="I2" s="66"/>
      <c r="J2" s="66"/>
      <c r="K2" s="67"/>
      <c r="L2" s="67"/>
      <c r="M2" s="67"/>
      <c r="N2" s="58"/>
      <c r="O2" s="58"/>
      <c r="P2" s="58"/>
      <c r="Q2" s="58"/>
      <c r="R2" s="58"/>
      <c r="S2" s="58"/>
      <c r="T2" s="65"/>
      <c r="U2" s="65"/>
      <c r="V2" s="65"/>
      <c r="W2" s="65"/>
      <c r="Z2" s="2"/>
    </row>
    <row r="3" spans="1:33" ht="17.25" customHeight="1">
      <c r="A3" s="68" t="s">
        <v>31</v>
      </c>
      <c r="B3" s="70">
        <v>2018</v>
      </c>
      <c r="C3" s="71"/>
      <c r="D3" s="72"/>
      <c r="E3" s="70">
        <v>2019</v>
      </c>
      <c r="F3" s="71"/>
      <c r="G3" s="72"/>
      <c r="H3" s="70">
        <v>2020</v>
      </c>
      <c r="I3" s="78"/>
      <c r="J3" s="72"/>
      <c r="K3" s="70">
        <v>2021</v>
      </c>
      <c r="L3" s="78"/>
      <c r="M3" s="72"/>
      <c r="N3" s="70">
        <v>2022</v>
      </c>
      <c r="O3" s="78"/>
      <c r="P3" s="72"/>
      <c r="Q3" s="79">
        <v>2023</v>
      </c>
      <c r="R3" s="80"/>
      <c r="S3" s="81"/>
      <c r="T3" s="76" t="s">
        <v>32</v>
      </c>
      <c r="U3" s="77"/>
      <c r="V3" s="77"/>
      <c r="W3" s="60" t="s">
        <v>0</v>
      </c>
    </row>
    <row r="4" spans="1:33" ht="16.5" customHeight="1">
      <c r="A4" s="69"/>
      <c r="B4" s="73"/>
      <c r="C4" s="74"/>
      <c r="D4" s="75"/>
      <c r="E4" s="73"/>
      <c r="F4" s="74"/>
      <c r="G4" s="75"/>
      <c r="H4" s="73"/>
      <c r="I4" s="74"/>
      <c r="J4" s="75"/>
      <c r="K4" s="73"/>
      <c r="L4" s="74"/>
      <c r="M4" s="75"/>
      <c r="N4" s="73"/>
      <c r="O4" s="74"/>
      <c r="P4" s="75"/>
      <c r="Q4" s="73"/>
      <c r="R4" s="74"/>
      <c r="S4" s="75"/>
      <c r="T4" s="63" t="s">
        <v>57</v>
      </c>
      <c r="U4" s="63"/>
      <c r="V4" s="63"/>
      <c r="W4" s="61"/>
      <c r="Z4" s="3"/>
      <c r="AA4" s="3"/>
      <c r="AB4" s="3"/>
      <c r="AC4" s="3"/>
      <c r="AD4" s="3"/>
      <c r="AE4" s="3"/>
    </row>
    <row r="5" spans="1:33" ht="18.75">
      <c r="A5" s="69"/>
      <c r="B5" s="10" t="s">
        <v>33</v>
      </c>
      <c r="C5" s="8" t="s">
        <v>34</v>
      </c>
      <c r="D5" s="9" t="s">
        <v>35</v>
      </c>
      <c r="E5" s="10" t="s">
        <v>33</v>
      </c>
      <c r="F5" s="8" t="s">
        <v>34</v>
      </c>
      <c r="G5" s="9" t="s">
        <v>35</v>
      </c>
      <c r="H5" s="10" t="s">
        <v>33</v>
      </c>
      <c r="I5" s="46" t="s">
        <v>34</v>
      </c>
      <c r="J5" s="9" t="s">
        <v>35</v>
      </c>
      <c r="K5" s="10" t="s">
        <v>33</v>
      </c>
      <c r="L5" s="46" t="s">
        <v>34</v>
      </c>
      <c r="M5" s="9" t="s">
        <v>35</v>
      </c>
      <c r="N5" s="10" t="s">
        <v>33</v>
      </c>
      <c r="O5" s="46" t="s">
        <v>34</v>
      </c>
      <c r="P5" s="9" t="s">
        <v>35</v>
      </c>
      <c r="Q5" s="53" t="s">
        <v>33</v>
      </c>
      <c r="R5" s="52" t="s">
        <v>34</v>
      </c>
      <c r="S5" s="54" t="s">
        <v>35</v>
      </c>
      <c r="T5" s="46" t="s">
        <v>33</v>
      </c>
      <c r="U5" s="8" t="s">
        <v>34</v>
      </c>
      <c r="V5" s="8" t="s">
        <v>35</v>
      </c>
      <c r="W5" s="61"/>
      <c r="Z5" s="3"/>
      <c r="AA5" s="3"/>
      <c r="AB5" s="3"/>
      <c r="AC5" s="3"/>
      <c r="AD5" s="3"/>
      <c r="AE5" s="3"/>
    </row>
    <row r="6" spans="1:33" ht="13.5" customHeight="1">
      <c r="A6" s="59"/>
      <c r="B6" s="12" t="s">
        <v>36</v>
      </c>
      <c r="C6" s="45" t="s">
        <v>37</v>
      </c>
      <c r="D6" s="11" t="s">
        <v>38</v>
      </c>
      <c r="E6" s="12" t="s">
        <v>36</v>
      </c>
      <c r="F6" s="45" t="s">
        <v>37</v>
      </c>
      <c r="G6" s="11" t="s">
        <v>38</v>
      </c>
      <c r="H6" s="12" t="s">
        <v>36</v>
      </c>
      <c r="I6" s="45" t="s">
        <v>37</v>
      </c>
      <c r="J6" s="11" t="s">
        <v>38</v>
      </c>
      <c r="K6" s="12" t="s">
        <v>36</v>
      </c>
      <c r="L6" s="45" t="s">
        <v>37</v>
      </c>
      <c r="M6" s="11" t="s">
        <v>38</v>
      </c>
      <c r="N6" s="12" t="s">
        <v>36</v>
      </c>
      <c r="O6" s="45" t="s">
        <v>37</v>
      </c>
      <c r="P6" s="11" t="s">
        <v>38</v>
      </c>
      <c r="Q6" s="12" t="s">
        <v>36</v>
      </c>
      <c r="R6" s="45" t="s">
        <v>37</v>
      </c>
      <c r="S6" s="11" t="s">
        <v>38</v>
      </c>
      <c r="T6" s="45" t="s">
        <v>36</v>
      </c>
      <c r="U6" s="45" t="s">
        <v>37</v>
      </c>
      <c r="V6" s="45" t="s">
        <v>38</v>
      </c>
      <c r="W6" s="62"/>
      <c r="Z6" s="3"/>
      <c r="AA6" s="3"/>
      <c r="AB6" s="3"/>
      <c r="AC6" s="3"/>
      <c r="AD6" s="3"/>
      <c r="AE6" s="3"/>
    </row>
    <row r="7" spans="1:33" s="15" customFormat="1" ht="15.75">
      <c r="A7" s="4" t="s">
        <v>2</v>
      </c>
      <c r="B7" s="14">
        <f t="shared" ref="B7:M7" si="0">SUM(B8:B19)</f>
        <v>14811</v>
      </c>
      <c r="C7" s="13">
        <f t="shared" si="0"/>
        <v>10203</v>
      </c>
      <c r="D7" s="13">
        <f t="shared" si="0"/>
        <v>4608</v>
      </c>
      <c r="E7" s="14">
        <f t="shared" si="0"/>
        <v>16480</v>
      </c>
      <c r="F7" s="13">
        <f t="shared" si="0"/>
        <v>11459</v>
      </c>
      <c r="G7" s="13">
        <f t="shared" si="0"/>
        <v>5021</v>
      </c>
      <c r="H7" s="14">
        <f t="shared" si="0"/>
        <v>12787</v>
      </c>
      <c r="I7" s="13">
        <f t="shared" si="0"/>
        <v>7852</v>
      </c>
      <c r="J7" s="47">
        <f t="shared" si="0"/>
        <v>4935</v>
      </c>
      <c r="K7" s="14">
        <f t="shared" si="0"/>
        <v>14143</v>
      </c>
      <c r="L7" s="13">
        <f t="shared" si="0"/>
        <v>10188</v>
      </c>
      <c r="M7" s="47">
        <f t="shared" si="0"/>
        <v>3955</v>
      </c>
      <c r="N7" s="14">
        <f>SUM(N8:N19)</f>
        <v>13543</v>
      </c>
      <c r="O7" s="13">
        <f>SUM(O8:O19)</f>
        <v>9478</v>
      </c>
      <c r="P7" s="47">
        <f>SUM(P8:P19)</f>
        <v>4065</v>
      </c>
      <c r="Q7" s="55">
        <f t="shared" ref="Q7:S7" si="1">SUM(Q8:Q19)</f>
        <v>15015</v>
      </c>
      <c r="R7" s="13">
        <f t="shared" si="1"/>
        <v>11043</v>
      </c>
      <c r="S7" s="47">
        <f t="shared" si="1"/>
        <v>3972</v>
      </c>
      <c r="T7" s="56">
        <f>(Q7-N7)/N7*100</f>
        <v>10.869083659455068</v>
      </c>
      <c r="U7" s="57">
        <f>(R7-O7)/O7*100</f>
        <v>16.511922346486603</v>
      </c>
      <c r="V7" s="57">
        <f>(S7-P7)/P7*100</f>
        <v>-2.2878228782287824</v>
      </c>
      <c r="W7" s="44" t="s">
        <v>3</v>
      </c>
      <c r="Y7" s="16"/>
      <c r="Z7" s="17"/>
      <c r="AA7" s="17"/>
      <c r="AB7" s="16"/>
      <c r="AC7" s="17"/>
      <c r="AD7" s="17"/>
      <c r="AE7" s="4"/>
      <c r="AF7" s="4"/>
      <c r="AG7" s="4"/>
    </row>
    <row r="8" spans="1:33" ht="18.75">
      <c r="A8" s="32" t="s">
        <v>1</v>
      </c>
      <c r="B8" s="33">
        <f>SUM(C8:D8)</f>
        <v>3270</v>
      </c>
      <c r="C8" s="34">
        <v>2141</v>
      </c>
      <c r="D8" s="35">
        <v>1129</v>
      </c>
      <c r="E8" s="33">
        <f>SUM(F8:G8)</f>
        <v>4554</v>
      </c>
      <c r="F8" s="18">
        <v>3289</v>
      </c>
      <c r="G8" s="19">
        <v>1265</v>
      </c>
      <c r="H8" s="33">
        <f>SUM(I8:J8)</f>
        <v>3581</v>
      </c>
      <c r="I8" s="18">
        <v>2341</v>
      </c>
      <c r="J8" s="19">
        <v>1240</v>
      </c>
      <c r="K8" s="33">
        <f>SUM(L8:M8)</f>
        <v>4662</v>
      </c>
      <c r="L8" s="18">
        <v>3841</v>
      </c>
      <c r="M8" s="19">
        <v>821</v>
      </c>
      <c r="N8" s="33">
        <f>SUM(O8:P8)</f>
        <v>3982</v>
      </c>
      <c r="O8" s="18">
        <v>3030</v>
      </c>
      <c r="P8" s="19">
        <v>952</v>
      </c>
      <c r="Q8" s="33">
        <f>SUM(R8:S8)</f>
        <v>3825</v>
      </c>
      <c r="R8" s="18">
        <v>3088</v>
      </c>
      <c r="S8" s="18">
        <v>737</v>
      </c>
      <c r="T8" s="50">
        <f t="shared" ref="T8:T19" si="2">(N8-K8)/K8*100</f>
        <v>-14.586014586014587</v>
      </c>
      <c r="U8" s="41">
        <f t="shared" ref="U8:U30" si="3">(R8-O8)/O8*100</f>
        <v>1.914191419141914</v>
      </c>
      <c r="V8" s="41">
        <f t="shared" ref="V8:V30" si="4">(S8-P8)/P8*100</f>
        <v>-22.584033613445378</v>
      </c>
      <c r="W8" s="6" t="s">
        <v>4</v>
      </c>
      <c r="X8" s="5"/>
      <c r="Y8" s="16"/>
      <c r="Z8" s="17"/>
      <c r="AA8" s="17"/>
      <c r="AB8" s="16"/>
      <c r="AC8" s="17"/>
      <c r="AD8" s="17"/>
      <c r="AE8" s="4"/>
      <c r="AF8" s="4"/>
      <c r="AG8" s="4"/>
    </row>
    <row r="9" spans="1:33" ht="18.75">
      <c r="A9" s="32" t="s">
        <v>15</v>
      </c>
      <c r="B9" s="33">
        <f t="shared" ref="B9:B18" si="5">SUM(C9:D9)</f>
        <v>2007</v>
      </c>
      <c r="C9" s="34">
        <v>1849</v>
      </c>
      <c r="D9" s="35">
        <v>158</v>
      </c>
      <c r="E9" s="33">
        <f t="shared" ref="E9:E18" si="6">SUM(F9:G9)</f>
        <v>2324</v>
      </c>
      <c r="F9" s="18">
        <v>2132</v>
      </c>
      <c r="G9" s="19">
        <v>192</v>
      </c>
      <c r="H9" s="33">
        <f t="shared" ref="H9:H18" si="7">SUM(I9:J9)</f>
        <v>1390</v>
      </c>
      <c r="I9" s="18">
        <v>1269</v>
      </c>
      <c r="J9" s="19">
        <v>121</v>
      </c>
      <c r="K9" s="33">
        <f t="shared" ref="K9:K18" si="8">SUM(L9:M9)</f>
        <v>1553</v>
      </c>
      <c r="L9" s="18">
        <v>1426</v>
      </c>
      <c r="M9" s="19">
        <v>127</v>
      </c>
      <c r="N9" s="33">
        <f t="shared" ref="N9:N18" si="9">SUM(O9:P9)</f>
        <v>1618</v>
      </c>
      <c r="O9" s="18">
        <v>1469</v>
      </c>
      <c r="P9" s="19">
        <v>149</v>
      </c>
      <c r="Q9" s="33">
        <f t="shared" ref="Q9:Q18" si="10">SUM(R9:S9)</f>
        <v>2298</v>
      </c>
      <c r="R9" s="18">
        <v>2216</v>
      </c>
      <c r="S9" s="18">
        <v>82</v>
      </c>
      <c r="T9" s="50">
        <f t="shared" si="2"/>
        <v>4.1854475209272382</v>
      </c>
      <c r="U9" s="41">
        <f t="shared" si="3"/>
        <v>50.850918992511914</v>
      </c>
      <c r="V9" s="41">
        <f t="shared" si="4"/>
        <v>-44.966442953020135</v>
      </c>
      <c r="W9" s="6" t="s">
        <v>39</v>
      </c>
      <c r="X9" s="5"/>
      <c r="Y9" s="16"/>
      <c r="Z9" s="17"/>
      <c r="AA9" s="17"/>
      <c r="AB9" s="16"/>
      <c r="AC9" s="17"/>
      <c r="AD9" s="17"/>
      <c r="AE9" s="4"/>
      <c r="AF9" s="4"/>
      <c r="AG9" s="4"/>
    </row>
    <row r="10" spans="1:33" ht="18.75">
      <c r="A10" s="32" t="s">
        <v>5</v>
      </c>
      <c r="B10" s="33">
        <f t="shared" si="5"/>
        <v>2230</v>
      </c>
      <c r="C10" s="34">
        <v>1390</v>
      </c>
      <c r="D10" s="35">
        <v>840</v>
      </c>
      <c r="E10" s="33">
        <f t="shared" si="6"/>
        <v>2188</v>
      </c>
      <c r="F10" s="18">
        <v>1102</v>
      </c>
      <c r="G10" s="19">
        <v>1086</v>
      </c>
      <c r="H10" s="33">
        <f t="shared" si="7"/>
        <v>1425</v>
      </c>
      <c r="I10" s="18">
        <v>482</v>
      </c>
      <c r="J10" s="19">
        <v>943</v>
      </c>
      <c r="K10" s="33">
        <f t="shared" si="8"/>
        <v>1440</v>
      </c>
      <c r="L10" s="18">
        <v>864</v>
      </c>
      <c r="M10" s="19">
        <v>576</v>
      </c>
      <c r="N10" s="33">
        <f t="shared" si="9"/>
        <v>1429</v>
      </c>
      <c r="O10" s="18">
        <v>784</v>
      </c>
      <c r="P10" s="19">
        <v>645</v>
      </c>
      <c r="Q10" s="33">
        <f t="shared" si="10"/>
        <v>1732</v>
      </c>
      <c r="R10" s="18">
        <v>978</v>
      </c>
      <c r="S10" s="18">
        <v>754</v>
      </c>
      <c r="T10" s="50">
        <f t="shared" si="2"/>
        <v>-0.76388888888888884</v>
      </c>
      <c r="U10" s="41">
        <f t="shared" si="3"/>
        <v>24.744897959183675</v>
      </c>
      <c r="V10" s="41">
        <f t="shared" si="4"/>
        <v>16.899224806201552</v>
      </c>
      <c r="W10" s="6" t="s">
        <v>8</v>
      </c>
      <c r="X10" s="5"/>
      <c r="Y10" s="16"/>
      <c r="Z10" s="17"/>
      <c r="AA10" s="17"/>
      <c r="AB10" s="16"/>
      <c r="AC10" s="17"/>
      <c r="AD10" s="17"/>
      <c r="AE10" s="4"/>
      <c r="AF10" s="4"/>
      <c r="AG10" s="4"/>
    </row>
    <row r="11" spans="1:33" ht="18.75">
      <c r="A11" s="32" t="s">
        <v>27</v>
      </c>
      <c r="B11" s="33">
        <f t="shared" si="5"/>
        <v>1787</v>
      </c>
      <c r="C11" s="34">
        <v>1442</v>
      </c>
      <c r="D11" s="35">
        <v>345</v>
      </c>
      <c r="E11" s="33">
        <f t="shared" si="6"/>
        <v>1814</v>
      </c>
      <c r="F11" s="18">
        <v>1412</v>
      </c>
      <c r="G11" s="19">
        <v>402</v>
      </c>
      <c r="H11" s="33">
        <f t="shared" si="7"/>
        <v>744</v>
      </c>
      <c r="I11" s="18">
        <v>544</v>
      </c>
      <c r="J11" s="19">
        <v>200</v>
      </c>
      <c r="K11" s="33">
        <f t="shared" si="8"/>
        <v>974</v>
      </c>
      <c r="L11" s="18">
        <v>722</v>
      </c>
      <c r="M11" s="19">
        <v>252</v>
      </c>
      <c r="N11" s="33">
        <f t="shared" si="9"/>
        <v>1412</v>
      </c>
      <c r="O11" s="18">
        <v>962</v>
      </c>
      <c r="P11" s="19">
        <v>450</v>
      </c>
      <c r="Q11" s="33">
        <f t="shared" si="10"/>
        <v>1482</v>
      </c>
      <c r="R11" s="18">
        <v>1039</v>
      </c>
      <c r="S11" s="18">
        <v>443</v>
      </c>
      <c r="T11" s="50">
        <f t="shared" si="2"/>
        <v>44.969199178644764</v>
      </c>
      <c r="U11" s="41">
        <f t="shared" si="3"/>
        <v>8.004158004158004</v>
      </c>
      <c r="V11" s="41">
        <f t="shared" si="4"/>
        <v>-1.5555555555555556</v>
      </c>
      <c r="W11" s="6" t="s">
        <v>9</v>
      </c>
      <c r="X11" s="5"/>
      <c r="Y11" s="16"/>
      <c r="Z11" s="17"/>
      <c r="AA11" s="17"/>
      <c r="AB11" s="16"/>
      <c r="AC11" s="17"/>
      <c r="AD11" s="17"/>
      <c r="AE11" s="4"/>
      <c r="AF11" s="4"/>
      <c r="AG11" s="4"/>
    </row>
    <row r="12" spans="1:33" ht="18.75">
      <c r="A12" s="32" t="s">
        <v>6</v>
      </c>
      <c r="B12" s="33">
        <f t="shared" si="5"/>
        <v>753</v>
      </c>
      <c r="C12" s="34">
        <v>338</v>
      </c>
      <c r="D12" s="35">
        <v>415</v>
      </c>
      <c r="E12" s="33">
        <f t="shared" si="6"/>
        <v>631</v>
      </c>
      <c r="F12" s="18">
        <v>294</v>
      </c>
      <c r="G12" s="19">
        <v>337</v>
      </c>
      <c r="H12" s="33">
        <f t="shared" si="7"/>
        <v>661</v>
      </c>
      <c r="I12" s="18">
        <v>272</v>
      </c>
      <c r="J12" s="19">
        <v>389</v>
      </c>
      <c r="K12" s="33">
        <f t="shared" si="8"/>
        <v>610</v>
      </c>
      <c r="L12" s="18">
        <v>312</v>
      </c>
      <c r="M12" s="19">
        <v>298</v>
      </c>
      <c r="N12" s="33">
        <f t="shared" si="9"/>
        <v>521</v>
      </c>
      <c r="O12" s="18">
        <v>265</v>
      </c>
      <c r="P12" s="19">
        <v>256</v>
      </c>
      <c r="Q12" s="33">
        <f t="shared" si="10"/>
        <v>656</v>
      </c>
      <c r="R12" s="18">
        <v>347</v>
      </c>
      <c r="S12" s="18">
        <v>309</v>
      </c>
      <c r="T12" s="50">
        <f t="shared" si="2"/>
        <v>-14.590163934426229</v>
      </c>
      <c r="U12" s="41">
        <f t="shared" si="3"/>
        <v>30.943396226415093</v>
      </c>
      <c r="V12" s="41">
        <f t="shared" si="4"/>
        <v>20.703125</v>
      </c>
      <c r="W12" s="6" t="s">
        <v>11</v>
      </c>
      <c r="X12" s="5"/>
      <c r="Y12" s="16"/>
      <c r="Z12" s="17"/>
      <c r="AA12" s="17"/>
      <c r="AB12" s="16"/>
      <c r="AC12" s="17"/>
      <c r="AD12" s="17"/>
      <c r="AE12" s="4"/>
      <c r="AF12" s="4"/>
      <c r="AG12" s="4"/>
    </row>
    <row r="13" spans="1:33" ht="18.75">
      <c r="A13" s="32" t="s">
        <v>12</v>
      </c>
      <c r="B13" s="33">
        <f t="shared" si="5"/>
        <v>472</v>
      </c>
      <c r="C13" s="34">
        <v>294</v>
      </c>
      <c r="D13" s="35">
        <v>178</v>
      </c>
      <c r="E13" s="33">
        <f t="shared" si="6"/>
        <v>467</v>
      </c>
      <c r="F13" s="18">
        <v>305</v>
      </c>
      <c r="G13" s="19">
        <v>162</v>
      </c>
      <c r="H13" s="33">
        <f t="shared" si="7"/>
        <v>395</v>
      </c>
      <c r="I13" s="18">
        <v>214</v>
      </c>
      <c r="J13" s="19">
        <v>181</v>
      </c>
      <c r="K13" s="33">
        <f t="shared" si="8"/>
        <v>503</v>
      </c>
      <c r="L13" s="18">
        <v>327</v>
      </c>
      <c r="M13" s="19">
        <v>176</v>
      </c>
      <c r="N13" s="33">
        <f t="shared" si="9"/>
        <v>482</v>
      </c>
      <c r="O13" s="18">
        <v>346</v>
      </c>
      <c r="P13" s="19">
        <v>136</v>
      </c>
      <c r="Q13" s="33">
        <f t="shared" si="10"/>
        <v>614</v>
      </c>
      <c r="R13" s="18">
        <v>449</v>
      </c>
      <c r="S13" s="18">
        <v>165</v>
      </c>
      <c r="T13" s="50">
        <f t="shared" si="2"/>
        <v>-4.1749502982107352</v>
      </c>
      <c r="U13" s="41">
        <f t="shared" si="3"/>
        <v>29.76878612716763</v>
      </c>
      <c r="V13" s="41">
        <f t="shared" si="4"/>
        <v>21.323529411764707</v>
      </c>
      <c r="W13" s="6" t="s">
        <v>13</v>
      </c>
      <c r="X13" s="5"/>
      <c r="Y13" s="16"/>
      <c r="Z13" s="17"/>
      <c r="AA13" s="17"/>
      <c r="AB13" s="16"/>
      <c r="AC13" s="17"/>
      <c r="AD13" s="17"/>
      <c r="AE13" s="4"/>
      <c r="AF13" s="4"/>
      <c r="AG13" s="4"/>
    </row>
    <row r="14" spans="1:33" ht="18.75">
      <c r="A14" s="32" t="s">
        <v>10</v>
      </c>
      <c r="B14" s="33">
        <f t="shared" si="5"/>
        <v>537</v>
      </c>
      <c r="C14" s="34">
        <v>491</v>
      </c>
      <c r="D14" s="35">
        <v>46</v>
      </c>
      <c r="E14" s="33">
        <f t="shared" si="6"/>
        <v>483</v>
      </c>
      <c r="F14" s="18">
        <v>436</v>
      </c>
      <c r="G14" s="19">
        <v>47</v>
      </c>
      <c r="H14" s="33">
        <f t="shared" si="7"/>
        <v>348</v>
      </c>
      <c r="I14" s="18">
        <v>302</v>
      </c>
      <c r="J14" s="19">
        <v>46</v>
      </c>
      <c r="K14" s="33">
        <f t="shared" si="8"/>
        <v>377</v>
      </c>
      <c r="L14" s="18">
        <v>345</v>
      </c>
      <c r="M14" s="19">
        <v>32</v>
      </c>
      <c r="N14" s="33">
        <f t="shared" si="9"/>
        <v>372</v>
      </c>
      <c r="O14" s="18">
        <v>345</v>
      </c>
      <c r="P14" s="19">
        <v>27</v>
      </c>
      <c r="Q14" s="33">
        <f t="shared" si="10"/>
        <v>478</v>
      </c>
      <c r="R14" s="18">
        <v>439</v>
      </c>
      <c r="S14" s="18">
        <v>39</v>
      </c>
      <c r="T14" s="50">
        <f t="shared" si="2"/>
        <v>-1.3262599469496021</v>
      </c>
      <c r="U14" s="41">
        <f t="shared" si="3"/>
        <v>27.246376811594203</v>
      </c>
      <c r="V14" s="41">
        <f t="shared" si="4"/>
        <v>44.444444444444443</v>
      </c>
      <c r="W14" s="6" t="s">
        <v>14</v>
      </c>
      <c r="X14" s="5"/>
      <c r="Y14" s="16"/>
      <c r="Z14" s="17"/>
      <c r="AA14" s="17"/>
      <c r="AB14" s="16"/>
      <c r="AC14" s="17"/>
      <c r="AD14" s="17"/>
      <c r="AE14" s="4"/>
      <c r="AF14" s="4"/>
      <c r="AG14" s="4"/>
    </row>
    <row r="15" spans="1:33" ht="18.75">
      <c r="A15" s="5" t="s">
        <v>17</v>
      </c>
      <c r="B15" s="33">
        <f t="shared" si="5"/>
        <v>361</v>
      </c>
      <c r="C15" s="34">
        <v>114</v>
      </c>
      <c r="D15" s="35">
        <v>247</v>
      </c>
      <c r="E15" s="33">
        <f t="shared" si="6"/>
        <v>405</v>
      </c>
      <c r="F15" s="18">
        <v>144</v>
      </c>
      <c r="G15" s="19">
        <v>261</v>
      </c>
      <c r="H15" s="33">
        <f t="shared" si="7"/>
        <v>490</v>
      </c>
      <c r="I15" s="18">
        <v>177</v>
      </c>
      <c r="J15" s="19">
        <v>313</v>
      </c>
      <c r="K15" s="33">
        <f t="shared" si="8"/>
        <v>342</v>
      </c>
      <c r="L15" s="18">
        <v>116</v>
      </c>
      <c r="M15" s="19">
        <v>226</v>
      </c>
      <c r="N15" s="33">
        <f t="shared" si="9"/>
        <v>334</v>
      </c>
      <c r="O15" s="18">
        <v>146</v>
      </c>
      <c r="P15" s="19">
        <v>188</v>
      </c>
      <c r="Q15" s="33">
        <f t="shared" si="10"/>
        <v>289</v>
      </c>
      <c r="R15" s="18">
        <v>129</v>
      </c>
      <c r="S15" s="18">
        <v>160</v>
      </c>
      <c r="T15" s="50">
        <f t="shared" si="2"/>
        <v>-2.3391812865497075</v>
      </c>
      <c r="U15" s="41">
        <f t="shared" si="3"/>
        <v>-11.643835616438356</v>
      </c>
      <c r="V15" s="41">
        <f t="shared" si="4"/>
        <v>-14.893617021276595</v>
      </c>
      <c r="W15" s="6" t="s">
        <v>18</v>
      </c>
      <c r="X15" s="5"/>
      <c r="Y15" s="16"/>
      <c r="Z15" s="17"/>
      <c r="AA15" s="17"/>
      <c r="AB15" s="16"/>
      <c r="AC15" s="17"/>
      <c r="AD15" s="17"/>
      <c r="AE15" s="4"/>
      <c r="AF15" s="4"/>
      <c r="AG15" s="4"/>
    </row>
    <row r="16" spans="1:33" ht="18.75">
      <c r="A16" s="5" t="s">
        <v>16</v>
      </c>
      <c r="B16" s="33">
        <f t="shared" si="5"/>
        <v>516</v>
      </c>
      <c r="C16" s="34">
        <v>373</v>
      </c>
      <c r="D16" s="35">
        <v>143</v>
      </c>
      <c r="E16" s="33">
        <f t="shared" si="6"/>
        <v>494</v>
      </c>
      <c r="F16" s="18">
        <v>380</v>
      </c>
      <c r="G16" s="19">
        <v>114</v>
      </c>
      <c r="H16" s="33">
        <f t="shared" si="7"/>
        <v>609</v>
      </c>
      <c r="I16" s="18">
        <v>470</v>
      </c>
      <c r="J16" s="19">
        <v>139</v>
      </c>
      <c r="K16" s="33">
        <f t="shared" si="8"/>
        <v>987</v>
      </c>
      <c r="L16" s="18">
        <v>703</v>
      </c>
      <c r="M16" s="19">
        <v>284</v>
      </c>
      <c r="N16" s="33">
        <f t="shared" si="9"/>
        <v>914</v>
      </c>
      <c r="O16" s="18">
        <v>627</v>
      </c>
      <c r="P16" s="19">
        <v>287</v>
      </c>
      <c r="Q16" s="33">
        <f t="shared" si="10"/>
        <v>753</v>
      </c>
      <c r="R16" s="18">
        <v>537</v>
      </c>
      <c r="S16" s="18">
        <v>216</v>
      </c>
      <c r="T16" s="50">
        <f t="shared" si="2"/>
        <v>-7.3961499493414395</v>
      </c>
      <c r="U16" s="41">
        <f t="shared" si="3"/>
        <v>-14.354066985645932</v>
      </c>
      <c r="V16" s="41">
        <f t="shared" si="4"/>
        <v>-24.738675958188153</v>
      </c>
      <c r="W16" s="6" t="s">
        <v>20</v>
      </c>
      <c r="X16" s="5"/>
      <c r="Y16" s="16"/>
      <c r="Z16" s="17"/>
      <c r="AA16" s="17"/>
      <c r="AB16" s="16"/>
      <c r="AC16" s="17"/>
      <c r="AD16" s="17"/>
      <c r="AE16" s="4"/>
      <c r="AF16" s="4"/>
      <c r="AG16" s="4"/>
    </row>
    <row r="17" spans="1:33" ht="18.75">
      <c r="A17" s="5" t="s">
        <v>19</v>
      </c>
      <c r="B17" s="33">
        <f t="shared" si="5"/>
        <v>240</v>
      </c>
      <c r="C17" s="34">
        <v>116</v>
      </c>
      <c r="D17" s="35">
        <v>124</v>
      </c>
      <c r="E17" s="33">
        <f t="shared" si="6"/>
        <v>219</v>
      </c>
      <c r="F17" s="18">
        <v>120</v>
      </c>
      <c r="G17" s="19">
        <v>99</v>
      </c>
      <c r="H17" s="33">
        <f t="shared" si="7"/>
        <v>245</v>
      </c>
      <c r="I17" s="18">
        <v>118</v>
      </c>
      <c r="J17" s="19">
        <v>127</v>
      </c>
      <c r="K17" s="33">
        <f t="shared" si="8"/>
        <v>267</v>
      </c>
      <c r="L17" s="18">
        <v>139</v>
      </c>
      <c r="M17" s="19">
        <v>128</v>
      </c>
      <c r="N17" s="33">
        <f t="shared" si="9"/>
        <v>228</v>
      </c>
      <c r="O17" s="18">
        <v>132</v>
      </c>
      <c r="P17" s="19">
        <v>96</v>
      </c>
      <c r="Q17" s="33">
        <f t="shared" si="10"/>
        <v>223</v>
      </c>
      <c r="R17" s="18">
        <v>129</v>
      </c>
      <c r="S17" s="18">
        <v>94</v>
      </c>
      <c r="T17" s="50">
        <f t="shared" si="2"/>
        <v>-14.606741573033707</v>
      </c>
      <c r="U17" s="41">
        <f t="shared" si="3"/>
        <v>-2.2727272727272729</v>
      </c>
      <c r="V17" s="41">
        <f t="shared" si="4"/>
        <v>-2.083333333333333</v>
      </c>
      <c r="W17" s="6" t="s">
        <v>22</v>
      </c>
      <c r="X17" s="5"/>
      <c r="Y17" s="16"/>
      <c r="Z17" s="17"/>
      <c r="AA17" s="17"/>
      <c r="AB17" s="16"/>
      <c r="AC17" s="17"/>
      <c r="AD17" s="17"/>
      <c r="AE17" s="4"/>
      <c r="AF17" s="4"/>
      <c r="AG17" s="4"/>
    </row>
    <row r="18" spans="1:33" ht="18.75">
      <c r="A18" s="5" t="s">
        <v>21</v>
      </c>
      <c r="B18" s="33">
        <f t="shared" si="5"/>
        <v>71</v>
      </c>
      <c r="C18" s="34">
        <v>64</v>
      </c>
      <c r="D18" s="35">
        <v>7</v>
      </c>
      <c r="E18" s="33">
        <f t="shared" si="6"/>
        <v>86</v>
      </c>
      <c r="F18" s="18">
        <v>79</v>
      </c>
      <c r="G18" s="19">
        <v>7</v>
      </c>
      <c r="H18" s="33">
        <f t="shared" si="7"/>
        <v>108</v>
      </c>
      <c r="I18" s="18">
        <v>92</v>
      </c>
      <c r="J18" s="19">
        <v>16</v>
      </c>
      <c r="K18" s="33">
        <f t="shared" si="8"/>
        <v>150</v>
      </c>
      <c r="L18" s="18">
        <v>132</v>
      </c>
      <c r="M18" s="19">
        <v>18</v>
      </c>
      <c r="N18" s="33">
        <f t="shared" si="9"/>
        <v>116</v>
      </c>
      <c r="O18" s="18">
        <v>101</v>
      </c>
      <c r="P18" s="19">
        <v>15</v>
      </c>
      <c r="Q18" s="33">
        <f t="shared" si="10"/>
        <v>128</v>
      </c>
      <c r="R18" s="18">
        <v>119</v>
      </c>
      <c r="S18" s="18">
        <v>9</v>
      </c>
      <c r="T18" s="50">
        <f t="shared" si="2"/>
        <v>-22.666666666666664</v>
      </c>
      <c r="U18" s="41">
        <f t="shared" si="3"/>
        <v>17.82178217821782</v>
      </c>
      <c r="V18" s="41">
        <f t="shared" si="4"/>
        <v>-40</v>
      </c>
      <c r="W18" s="6" t="s">
        <v>23</v>
      </c>
      <c r="X18" s="5"/>
      <c r="Y18" s="16"/>
      <c r="Z18" s="17"/>
      <c r="AA18" s="17"/>
      <c r="AB18" s="16"/>
      <c r="AC18" s="17"/>
      <c r="AD18" s="17"/>
      <c r="AE18" s="4"/>
      <c r="AF18" s="4"/>
      <c r="AG18" s="4"/>
    </row>
    <row r="19" spans="1:33" ht="18.75">
      <c r="A19" s="39" t="s">
        <v>7</v>
      </c>
      <c r="B19" s="36">
        <f>SUM(C19:D19)</f>
        <v>2567</v>
      </c>
      <c r="C19" s="37">
        <v>1591</v>
      </c>
      <c r="D19" s="38">
        <v>976</v>
      </c>
      <c r="E19" s="36">
        <f>SUM(F19:G19)</f>
        <v>2815</v>
      </c>
      <c r="F19" s="24">
        <v>1766</v>
      </c>
      <c r="G19" s="25">
        <v>1049</v>
      </c>
      <c r="H19" s="36">
        <f>SUM(I19:J19)</f>
        <v>2791</v>
      </c>
      <c r="I19" s="24">
        <f>SUM(I20:I30)</f>
        <v>1571</v>
      </c>
      <c r="J19" s="25">
        <f>SUM(J20:J30)</f>
        <v>1220</v>
      </c>
      <c r="K19" s="36">
        <f>SUM(L19:M19)</f>
        <v>2278</v>
      </c>
      <c r="L19" s="24">
        <v>1261</v>
      </c>
      <c r="M19" s="25">
        <v>1017</v>
      </c>
      <c r="N19" s="36">
        <f>SUM(O19:P19)</f>
        <v>2135</v>
      </c>
      <c r="O19" s="24">
        <v>1271</v>
      </c>
      <c r="P19" s="25">
        <v>864</v>
      </c>
      <c r="Q19" s="36">
        <f>SUM(R19:S19)</f>
        <v>2537</v>
      </c>
      <c r="R19" s="24">
        <v>1573</v>
      </c>
      <c r="S19" s="25">
        <v>964</v>
      </c>
      <c r="T19" s="51">
        <f t="shared" si="2"/>
        <v>-6.2774363476733974</v>
      </c>
      <c r="U19" s="42">
        <f t="shared" si="3"/>
        <v>23.760818253343825</v>
      </c>
      <c r="V19" s="42">
        <f t="shared" si="4"/>
        <v>11.574074074074074</v>
      </c>
      <c r="W19" s="40" t="s">
        <v>24</v>
      </c>
      <c r="X19" s="5"/>
      <c r="Y19" s="16"/>
      <c r="Z19" s="17"/>
      <c r="AA19" s="17"/>
      <c r="AB19" s="16"/>
      <c r="AC19" s="17"/>
      <c r="AD19" s="17"/>
      <c r="AE19" s="4"/>
      <c r="AF19" s="4"/>
      <c r="AG19" s="4"/>
    </row>
    <row r="20" spans="1:33" ht="18.75" hidden="1">
      <c r="A20" s="20" t="s">
        <v>40</v>
      </c>
      <c r="B20" s="33">
        <f t="shared" ref="B20:B30" si="11">C20+D20</f>
        <v>542</v>
      </c>
      <c r="C20" s="34">
        <v>327</v>
      </c>
      <c r="D20" s="35">
        <v>215</v>
      </c>
      <c r="E20" s="33">
        <f t="shared" ref="E20:E30" si="12">F20+G20</f>
        <v>485</v>
      </c>
      <c r="F20" s="18">
        <v>323</v>
      </c>
      <c r="G20" s="19">
        <v>162</v>
      </c>
      <c r="H20" s="33">
        <f t="shared" ref="H20:H30" si="13">I20+J20</f>
        <v>621</v>
      </c>
      <c r="I20" s="18">
        <v>341</v>
      </c>
      <c r="J20" s="19">
        <v>280</v>
      </c>
      <c r="K20" s="33">
        <f t="shared" ref="K20:K30" si="14">L20+M20</f>
        <v>0</v>
      </c>
      <c r="L20" s="18"/>
      <c r="M20" s="19"/>
      <c r="N20" s="33">
        <f t="shared" ref="N20:N30" si="15">O20+P20</f>
        <v>0</v>
      </c>
      <c r="O20" s="18"/>
      <c r="P20" s="19"/>
      <c r="Q20" s="18"/>
      <c r="R20" s="18"/>
      <c r="S20" s="18"/>
      <c r="T20" s="41">
        <f t="shared" ref="T20:T30" si="16">(K20-H20)/H20*100</f>
        <v>-100</v>
      </c>
      <c r="U20" s="49" t="e">
        <f t="shared" si="3"/>
        <v>#DIV/0!</v>
      </c>
      <c r="V20" s="49" t="e">
        <f t="shared" si="4"/>
        <v>#DIV/0!</v>
      </c>
      <c r="W20" s="6" t="s">
        <v>41</v>
      </c>
      <c r="Z20" s="3"/>
      <c r="AA20" s="3"/>
      <c r="AB20" s="3"/>
      <c r="AC20" s="3"/>
      <c r="AD20" s="3"/>
      <c r="AE20" s="3"/>
    </row>
    <row r="21" spans="1:33" ht="18.75" hidden="1">
      <c r="A21" s="20" t="s">
        <v>42</v>
      </c>
      <c r="B21" s="33">
        <f t="shared" si="11"/>
        <v>64</v>
      </c>
      <c r="C21" s="34">
        <v>18</v>
      </c>
      <c r="D21" s="35">
        <v>46</v>
      </c>
      <c r="E21" s="33">
        <f t="shared" si="12"/>
        <v>52</v>
      </c>
      <c r="F21" s="18">
        <v>19</v>
      </c>
      <c r="G21" s="19">
        <v>33</v>
      </c>
      <c r="H21" s="33">
        <f t="shared" si="13"/>
        <v>48</v>
      </c>
      <c r="I21" s="18">
        <v>13</v>
      </c>
      <c r="J21" s="19">
        <v>35</v>
      </c>
      <c r="K21" s="33">
        <f t="shared" si="14"/>
        <v>0</v>
      </c>
      <c r="L21" s="18"/>
      <c r="M21" s="19"/>
      <c r="N21" s="33">
        <f t="shared" si="15"/>
        <v>0</v>
      </c>
      <c r="O21" s="18"/>
      <c r="P21" s="19"/>
      <c r="Q21" s="18"/>
      <c r="R21" s="18"/>
      <c r="S21" s="18"/>
      <c r="T21" s="41">
        <f t="shared" si="16"/>
        <v>-100</v>
      </c>
      <c r="U21" s="49" t="e">
        <f t="shared" si="3"/>
        <v>#DIV/0!</v>
      </c>
      <c r="V21" s="49" t="e">
        <f t="shared" si="4"/>
        <v>#DIV/0!</v>
      </c>
      <c r="W21" s="6" t="s">
        <v>43</v>
      </c>
      <c r="Z21" s="3"/>
      <c r="AA21" s="3"/>
      <c r="AB21" s="3"/>
      <c r="AC21" s="3"/>
      <c r="AD21" s="3"/>
      <c r="AE21" s="3"/>
    </row>
    <row r="22" spans="1:33" ht="18.75" hidden="1">
      <c r="A22" s="20" t="s">
        <v>44</v>
      </c>
      <c r="B22" s="33">
        <f t="shared" si="11"/>
        <v>5</v>
      </c>
      <c r="C22" s="34">
        <v>0</v>
      </c>
      <c r="D22" s="35">
        <v>5</v>
      </c>
      <c r="E22" s="33">
        <f t="shared" si="12"/>
        <v>10</v>
      </c>
      <c r="F22" s="34">
        <v>0</v>
      </c>
      <c r="G22" s="19">
        <v>10</v>
      </c>
      <c r="H22" s="33">
        <f t="shared" si="13"/>
        <v>11</v>
      </c>
      <c r="I22" s="34">
        <v>2</v>
      </c>
      <c r="J22" s="19">
        <v>9</v>
      </c>
      <c r="K22" s="33">
        <f t="shared" si="14"/>
        <v>0</v>
      </c>
      <c r="L22" s="34"/>
      <c r="M22" s="19"/>
      <c r="N22" s="33">
        <f t="shared" si="15"/>
        <v>0</v>
      </c>
      <c r="O22" s="34"/>
      <c r="P22" s="19"/>
      <c r="Q22" s="18"/>
      <c r="R22" s="18"/>
      <c r="S22" s="18"/>
      <c r="T22" s="41">
        <f t="shared" si="16"/>
        <v>-100</v>
      </c>
      <c r="U22" s="49" t="e">
        <f t="shared" si="3"/>
        <v>#DIV/0!</v>
      </c>
      <c r="V22" s="49" t="e">
        <f t="shared" si="4"/>
        <v>#DIV/0!</v>
      </c>
      <c r="W22" s="21" t="s">
        <v>45</v>
      </c>
      <c r="Z22" s="3"/>
      <c r="AA22" s="3"/>
      <c r="AB22" s="3"/>
      <c r="AC22" s="3"/>
      <c r="AD22" s="3"/>
      <c r="AE22" s="3"/>
    </row>
    <row r="23" spans="1:33" ht="37.5" hidden="1">
      <c r="A23" s="20" t="s">
        <v>46</v>
      </c>
      <c r="B23" s="33">
        <f t="shared" si="11"/>
        <v>12</v>
      </c>
      <c r="C23" s="34">
        <v>5</v>
      </c>
      <c r="D23" s="35">
        <v>7</v>
      </c>
      <c r="E23" s="33">
        <f t="shared" si="12"/>
        <v>16</v>
      </c>
      <c r="F23" s="18">
        <v>10</v>
      </c>
      <c r="G23" s="19">
        <v>6</v>
      </c>
      <c r="H23" s="33">
        <f t="shared" si="13"/>
        <v>22</v>
      </c>
      <c r="I23" s="18">
        <v>10</v>
      </c>
      <c r="J23" s="19">
        <v>12</v>
      </c>
      <c r="K23" s="33">
        <f t="shared" si="14"/>
        <v>0</v>
      </c>
      <c r="L23" s="18"/>
      <c r="M23" s="19"/>
      <c r="N23" s="33">
        <f t="shared" si="15"/>
        <v>0</v>
      </c>
      <c r="O23" s="18"/>
      <c r="P23" s="19"/>
      <c r="Q23" s="18"/>
      <c r="R23" s="18"/>
      <c r="S23" s="18"/>
      <c r="T23" s="41">
        <f t="shared" si="16"/>
        <v>-100</v>
      </c>
      <c r="U23" s="49" t="e">
        <f t="shared" si="3"/>
        <v>#DIV/0!</v>
      </c>
      <c r="V23" s="49" t="e">
        <f t="shared" si="4"/>
        <v>#DIV/0!</v>
      </c>
      <c r="W23" s="22" t="s">
        <v>47</v>
      </c>
      <c r="Z23" s="3"/>
      <c r="AA23" s="3"/>
      <c r="AB23" s="3"/>
      <c r="AC23" s="3"/>
      <c r="AD23" s="3"/>
      <c r="AE23" s="3"/>
    </row>
    <row r="24" spans="1:33" ht="18.75" hidden="1">
      <c r="A24" s="20" t="s">
        <v>25</v>
      </c>
      <c r="B24" s="33">
        <f t="shared" si="11"/>
        <v>24</v>
      </c>
      <c r="C24" s="34">
        <v>6</v>
      </c>
      <c r="D24" s="35">
        <v>18</v>
      </c>
      <c r="E24" s="33">
        <f t="shared" si="12"/>
        <v>23</v>
      </c>
      <c r="F24" s="18">
        <v>7</v>
      </c>
      <c r="G24" s="19">
        <v>16</v>
      </c>
      <c r="H24" s="33">
        <f t="shared" si="13"/>
        <v>24</v>
      </c>
      <c r="I24" s="18">
        <v>1</v>
      </c>
      <c r="J24" s="19">
        <v>23</v>
      </c>
      <c r="K24" s="33">
        <f t="shared" si="14"/>
        <v>0</v>
      </c>
      <c r="L24" s="18"/>
      <c r="M24" s="19"/>
      <c r="N24" s="33">
        <f t="shared" si="15"/>
        <v>0</v>
      </c>
      <c r="O24" s="18"/>
      <c r="P24" s="19"/>
      <c r="Q24" s="18"/>
      <c r="R24" s="18"/>
      <c r="S24" s="18"/>
      <c r="T24" s="41">
        <f t="shared" si="16"/>
        <v>-100</v>
      </c>
      <c r="U24" s="49" t="e">
        <f t="shared" si="3"/>
        <v>#DIV/0!</v>
      </c>
      <c r="V24" s="49" t="e">
        <f t="shared" si="4"/>
        <v>#DIV/0!</v>
      </c>
      <c r="W24" s="21" t="s">
        <v>26</v>
      </c>
      <c r="Z24" s="3"/>
      <c r="AA24" s="3"/>
      <c r="AB24" s="3"/>
      <c r="AC24" s="3"/>
      <c r="AD24" s="3"/>
      <c r="AE24" s="3"/>
    </row>
    <row r="25" spans="1:33" ht="18.75" hidden="1">
      <c r="A25" s="20" t="s">
        <v>48</v>
      </c>
      <c r="B25" s="33">
        <f t="shared" si="11"/>
        <v>89</v>
      </c>
      <c r="C25" s="34">
        <v>30</v>
      </c>
      <c r="D25" s="35">
        <v>59</v>
      </c>
      <c r="E25" s="33">
        <f t="shared" si="12"/>
        <v>73</v>
      </c>
      <c r="F25" s="18">
        <v>25</v>
      </c>
      <c r="G25" s="19">
        <v>48</v>
      </c>
      <c r="H25" s="33">
        <f t="shared" si="13"/>
        <v>124</v>
      </c>
      <c r="I25" s="18">
        <v>37</v>
      </c>
      <c r="J25" s="19">
        <v>87</v>
      </c>
      <c r="K25" s="33">
        <f t="shared" si="14"/>
        <v>0</v>
      </c>
      <c r="L25" s="18"/>
      <c r="M25" s="19"/>
      <c r="N25" s="33">
        <f t="shared" si="15"/>
        <v>0</v>
      </c>
      <c r="O25" s="18"/>
      <c r="P25" s="19"/>
      <c r="Q25" s="18"/>
      <c r="R25" s="18"/>
      <c r="S25" s="18"/>
      <c r="T25" s="41">
        <f t="shared" si="16"/>
        <v>-100</v>
      </c>
      <c r="U25" s="49" t="e">
        <f t="shared" si="3"/>
        <v>#DIV/0!</v>
      </c>
      <c r="V25" s="49" t="e">
        <f t="shared" si="4"/>
        <v>#DIV/0!</v>
      </c>
      <c r="W25" s="21" t="s">
        <v>49</v>
      </c>
      <c r="Z25" s="3"/>
      <c r="AA25" s="3"/>
      <c r="AB25" s="3"/>
      <c r="AC25" s="3"/>
      <c r="AD25" s="3"/>
      <c r="AE25" s="3"/>
    </row>
    <row r="26" spans="1:33" ht="18.75" hidden="1">
      <c r="A26" s="20" t="s">
        <v>50</v>
      </c>
      <c r="B26" s="33">
        <f t="shared" si="11"/>
        <v>92</v>
      </c>
      <c r="C26" s="34">
        <v>47</v>
      </c>
      <c r="D26" s="35">
        <v>45</v>
      </c>
      <c r="E26" s="33">
        <f t="shared" si="12"/>
        <v>112</v>
      </c>
      <c r="F26" s="18">
        <v>58</v>
      </c>
      <c r="G26" s="19">
        <v>54</v>
      </c>
      <c r="H26" s="33">
        <f t="shared" si="13"/>
        <v>72</v>
      </c>
      <c r="I26" s="18">
        <v>34</v>
      </c>
      <c r="J26" s="19">
        <v>38</v>
      </c>
      <c r="K26" s="33">
        <f t="shared" si="14"/>
        <v>0</v>
      </c>
      <c r="L26" s="18"/>
      <c r="M26" s="19"/>
      <c r="N26" s="33">
        <f t="shared" si="15"/>
        <v>0</v>
      </c>
      <c r="O26" s="18"/>
      <c r="P26" s="19"/>
      <c r="Q26" s="18"/>
      <c r="R26" s="18"/>
      <c r="S26" s="18"/>
      <c r="T26" s="41">
        <f t="shared" si="16"/>
        <v>-100</v>
      </c>
      <c r="U26" s="49" t="e">
        <f t="shared" si="3"/>
        <v>#DIV/0!</v>
      </c>
      <c r="V26" s="49" t="e">
        <f t="shared" si="4"/>
        <v>#DIV/0!</v>
      </c>
      <c r="W26" s="21" t="s">
        <v>51</v>
      </c>
      <c r="Z26" s="3"/>
      <c r="AA26" s="3"/>
      <c r="AB26" s="3"/>
      <c r="AC26" s="3"/>
      <c r="AD26" s="3"/>
      <c r="AE26" s="3"/>
    </row>
    <row r="27" spans="1:33" ht="18.75" hidden="1">
      <c r="A27" s="20" t="s">
        <v>52</v>
      </c>
      <c r="B27" s="33">
        <f t="shared" si="11"/>
        <v>8</v>
      </c>
      <c r="C27" s="34">
        <v>0</v>
      </c>
      <c r="D27" s="35">
        <v>8</v>
      </c>
      <c r="E27" s="33">
        <f t="shared" si="12"/>
        <v>21</v>
      </c>
      <c r="F27" s="18">
        <v>9</v>
      </c>
      <c r="G27" s="19">
        <v>12</v>
      </c>
      <c r="H27" s="33">
        <f t="shared" si="13"/>
        <v>6</v>
      </c>
      <c r="I27" s="18">
        <v>1</v>
      </c>
      <c r="J27" s="19">
        <v>5</v>
      </c>
      <c r="K27" s="33">
        <f t="shared" si="14"/>
        <v>0</v>
      </c>
      <c r="L27" s="18"/>
      <c r="M27" s="19"/>
      <c r="N27" s="33">
        <f t="shared" si="15"/>
        <v>0</v>
      </c>
      <c r="O27" s="18"/>
      <c r="P27" s="19"/>
      <c r="Q27" s="18"/>
      <c r="R27" s="18"/>
      <c r="S27" s="18"/>
      <c r="T27" s="41">
        <f t="shared" si="16"/>
        <v>-100</v>
      </c>
      <c r="U27" s="49" t="e">
        <f t="shared" si="3"/>
        <v>#DIV/0!</v>
      </c>
      <c r="V27" s="49" t="e">
        <f t="shared" si="4"/>
        <v>#DIV/0!</v>
      </c>
      <c r="W27" s="21" t="s">
        <v>53</v>
      </c>
      <c r="Z27" s="3"/>
      <c r="AA27" s="3"/>
      <c r="AB27" s="3"/>
      <c r="AC27" s="3"/>
      <c r="AD27" s="3"/>
      <c r="AE27" s="3"/>
    </row>
    <row r="28" spans="1:33" ht="18.75" hidden="1">
      <c r="A28" s="20" t="s">
        <v>54</v>
      </c>
      <c r="B28" s="33">
        <f t="shared" si="11"/>
        <v>36</v>
      </c>
      <c r="C28" s="34">
        <v>16</v>
      </c>
      <c r="D28" s="35">
        <v>20</v>
      </c>
      <c r="E28" s="33">
        <f t="shared" si="12"/>
        <v>56</v>
      </c>
      <c r="F28" s="18">
        <v>26</v>
      </c>
      <c r="G28" s="19">
        <v>30</v>
      </c>
      <c r="H28" s="33">
        <f t="shared" si="13"/>
        <v>63</v>
      </c>
      <c r="I28" s="18">
        <v>27</v>
      </c>
      <c r="J28" s="19">
        <v>36</v>
      </c>
      <c r="K28" s="33">
        <f t="shared" si="14"/>
        <v>0</v>
      </c>
      <c r="L28" s="18"/>
      <c r="M28" s="19"/>
      <c r="N28" s="33">
        <f t="shared" si="15"/>
        <v>0</v>
      </c>
      <c r="O28" s="18"/>
      <c r="P28" s="19"/>
      <c r="Q28" s="18"/>
      <c r="R28" s="18"/>
      <c r="S28" s="18"/>
      <c r="T28" s="41">
        <f t="shared" si="16"/>
        <v>-100</v>
      </c>
      <c r="U28" s="49" t="e">
        <f t="shared" si="3"/>
        <v>#DIV/0!</v>
      </c>
      <c r="V28" s="49" t="e">
        <f t="shared" si="4"/>
        <v>#DIV/0!</v>
      </c>
      <c r="W28" s="21" t="s">
        <v>28</v>
      </c>
      <c r="Z28" s="3"/>
      <c r="AA28" s="3"/>
      <c r="AB28" s="3"/>
      <c r="AC28" s="3"/>
      <c r="AD28" s="3"/>
      <c r="AE28" s="3"/>
    </row>
    <row r="29" spans="1:33" ht="18.75" hidden="1">
      <c r="A29" s="20" t="s">
        <v>55</v>
      </c>
      <c r="B29" s="33">
        <f t="shared" si="11"/>
        <v>36</v>
      </c>
      <c r="C29" s="34">
        <v>24</v>
      </c>
      <c r="D29" s="35">
        <v>12</v>
      </c>
      <c r="E29" s="33">
        <f t="shared" si="12"/>
        <v>17</v>
      </c>
      <c r="F29" s="18">
        <v>9</v>
      </c>
      <c r="G29" s="19">
        <v>8</v>
      </c>
      <c r="H29" s="33">
        <f t="shared" si="13"/>
        <v>6</v>
      </c>
      <c r="I29" s="18">
        <v>1</v>
      </c>
      <c r="J29" s="19">
        <v>5</v>
      </c>
      <c r="K29" s="33">
        <f t="shared" si="14"/>
        <v>0</v>
      </c>
      <c r="L29" s="18"/>
      <c r="M29" s="19"/>
      <c r="N29" s="33">
        <f t="shared" si="15"/>
        <v>0</v>
      </c>
      <c r="O29" s="18"/>
      <c r="P29" s="19"/>
      <c r="Q29" s="18"/>
      <c r="R29" s="18"/>
      <c r="S29" s="18"/>
      <c r="T29" s="41">
        <f t="shared" si="16"/>
        <v>-100</v>
      </c>
      <c r="U29" s="49" t="e">
        <f t="shared" si="3"/>
        <v>#DIV/0!</v>
      </c>
      <c r="V29" s="49" t="e">
        <f t="shared" si="4"/>
        <v>#DIV/0!</v>
      </c>
      <c r="W29" s="21" t="s">
        <v>56</v>
      </c>
      <c r="Y29" s="6"/>
      <c r="Z29" s="3"/>
      <c r="AA29" s="3"/>
      <c r="AB29" s="3"/>
      <c r="AC29" s="3"/>
      <c r="AD29" s="3"/>
      <c r="AE29" s="3"/>
    </row>
    <row r="30" spans="1:33" ht="18.75" hidden="1">
      <c r="A30" s="23" t="s">
        <v>7</v>
      </c>
      <c r="B30" s="36">
        <f t="shared" si="11"/>
        <v>248</v>
      </c>
      <c r="C30" s="37">
        <v>151</v>
      </c>
      <c r="D30" s="38">
        <v>97</v>
      </c>
      <c r="E30" s="36">
        <f t="shared" si="12"/>
        <v>1950</v>
      </c>
      <c r="F30" s="24">
        <v>1280</v>
      </c>
      <c r="G30" s="25">
        <v>670</v>
      </c>
      <c r="H30" s="36">
        <f t="shared" si="13"/>
        <v>1794</v>
      </c>
      <c r="I30" s="24">
        <v>1104</v>
      </c>
      <c r="J30" s="25">
        <v>690</v>
      </c>
      <c r="K30" s="36">
        <f t="shared" si="14"/>
        <v>0</v>
      </c>
      <c r="L30" s="24"/>
      <c r="M30" s="25"/>
      <c r="N30" s="36">
        <f t="shared" si="15"/>
        <v>0</v>
      </c>
      <c r="O30" s="24"/>
      <c r="P30" s="25"/>
      <c r="Q30" s="24"/>
      <c r="R30" s="24"/>
      <c r="S30" s="24"/>
      <c r="T30" s="48">
        <f t="shared" si="16"/>
        <v>-100</v>
      </c>
      <c r="U30" s="49" t="e">
        <f t="shared" si="3"/>
        <v>#DIV/0!</v>
      </c>
      <c r="V30" s="49" t="e">
        <f t="shared" si="4"/>
        <v>#DIV/0!</v>
      </c>
      <c r="W30" s="26" t="s">
        <v>24</v>
      </c>
      <c r="Z30" s="3"/>
      <c r="AA30" s="3"/>
      <c r="AB30" s="3"/>
      <c r="AC30" s="3"/>
      <c r="AD30" s="3"/>
      <c r="AE30" s="3"/>
    </row>
    <row r="31" spans="1:33" ht="16.5">
      <c r="A31" s="28" t="s">
        <v>29</v>
      </c>
      <c r="B31" s="27"/>
      <c r="E31" s="27"/>
      <c r="H31" s="27"/>
      <c r="K31" s="27"/>
      <c r="N31" s="27"/>
      <c r="T31" s="27"/>
      <c r="U31" s="27"/>
      <c r="V31" s="27"/>
      <c r="W31" s="43" t="s">
        <v>30</v>
      </c>
      <c r="Z31" s="3"/>
      <c r="AA31" s="3"/>
      <c r="AB31" s="3"/>
      <c r="AC31" s="3"/>
      <c r="AD31" s="3"/>
      <c r="AE31" s="3"/>
    </row>
    <row r="32" spans="1:33">
      <c r="C32" s="29"/>
      <c r="D32" s="29"/>
      <c r="F32" s="29"/>
      <c r="G32" s="29"/>
      <c r="I32" s="29"/>
      <c r="J32" s="29"/>
      <c r="L32" s="29"/>
      <c r="M32" s="29"/>
      <c r="O32" s="29"/>
      <c r="P32" s="29"/>
      <c r="Q32" s="29"/>
      <c r="R32" s="29"/>
      <c r="S32" s="29"/>
    </row>
    <row r="33" spans="1:3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Z33" s="3"/>
      <c r="AA33" s="3"/>
      <c r="AB33" s="3"/>
      <c r="AC33" s="3"/>
      <c r="AD33" s="3"/>
      <c r="AE33" s="3"/>
    </row>
    <row r="34" spans="1:31">
      <c r="A34" s="29"/>
      <c r="B34" s="29"/>
      <c r="E34" s="29"/>
      <c r="H34" s="29"/>
      <c r="K34" s="29"/>
      <c r="N34" s="29"/>
      <c r="T34" s="29"/>
      <c r="U34" s="29"/>
      <c r="V34" s="29"/>
      <c r="W34" s="29"/>
      <c r="Z34" s="3"/>
      <c r="AA34" s="3"/>
      <c r="AB34" s="3"/>
      <c r="AC34" s="3"/>
      <c r="AD34" s="3"/>
      <c r="AE34" s="3"/>
    </row>
    <row r="35" spans="1:31">
      <c r="Z35" s="3"/>
      <c r="AA35" s="3"/>
      <c r="AB35" s="3"/>
      <c r="AC35" s="3"/>
      <c r="AD35" s="3"/>
      <c r="AE35" s="3"/>
    </row>
    <row r="36" spans="1:31">
      <c r="Z36" s="3"/>
      <c r="AA36" s="3"/>
      <c r="AB36" s="3"/>
      <c r="AC36" s="3"/>
      <c r="AD36" s="3"/>
      <c r="AE36" s="3"/>
    </row>
    <row r="37" spans="1:31">
      <c r="Z37" s="3"/>
      <c r="AA37" s="3"/>
      <c r="AB37" s="3"/>
      <c r="AC37" s="3"/>
      <c r="AD37" s="3"/>
      <c r="AE37" s="3"/>
    </row>
    <row r="38" spans="1:31">
      <c r="C38" s="7"/>
      <c r="D38" s="7"/>
      <c r="F38" s="7"/>
      <c r="G38" s="7"/>
      <c r="I38" s="7"/>
      <c r="J38" s="7"/>
      <c r="L38" s="7"/>
      <c r="M38" s="7"/>
      <c r="O38" s="7"/>
      <c r="P38" s="7"/>
      <c r="Q38" s="7"/>
      <c r="R38" s="7"/>
      <c r="S38" s="7"/>
      <c r="Z38" s="3"/>
      <c r="AA38" s="3"/>
      <c r="AB38" s="3"/>
      <c r="AC38" s="3"/>
      <c r="AD38" s="3"/>
      <c r="AE38" s="3"/>
    </row>
    <row r="39" spans="1:31" ht="17.25">
      <c r="A39" s="30"/>
      <c r="B39" s="7"/>
      <c r="E39" s="7"/>
      <c r="H39" s="7"/>
      <c r="K39" s="7"/>
      <c r="N39" s="7"/>
      <c r="T39" s="7"/>
      <c r="U39" s="7"/>
      <c r="V39" s="7"/>
      <c r="W39" s="31"/>
      <c r="Z39" s="3"/>
      <c r="AA39" s="3"/>
      <c r="AB39" s="3"/>
      <c r="AC39" s="3"/>
      <c r="AD39" s="3"/>
      <c r="AE39" s="3"/>
    </row>
    <row r="40" spans="1:31">
      <c r="Z40" s="3"/>
      <c r="AA40" s="3"/>
      <c r="AB40" s="3"/>
      <c r="AC40" s="3"/>
      <c r="AD40" s="3"/>
      <c r="AE40" s="3"/>
    </row>
    <row r="41" spans="1:31">
      <c r="Z41" s="3"/>
      <c r="AA41" s="3"/>
      <c r="AB41" s="3"/>
      <c r="AC41" s="3"/>
      <c r="AD41" s="3"/>
      <c r="AE41" s="3"/>
    </row>
  </sheetData>
  <mergeCells count="12">
    <mergeCell ref="W3:W6"/>
    <mergeCell ref="T4:V4"/>
    <mergeCell ref="A1:W1"/>
    <mergeCell ref="A2:W2"/>
    <mergeCell ref="A3:A6"/>
    <mergeCell ref="B3:D4"/>
    <mergeCell ref="T3:V3"/>
    <mergeCell ref="E3:G4"/>
    <mergeCell ref="H3:J4"/>
    <mergeCell ref="K3:M4"/>
    <mergeCell ref="N3:P4"/>
    <mergeCell ref="Q3:S4"/>
  </mergeCells>
  <pageMargins left="0.7" right="0.7" top="0.75" bottom="0.75" header="0.3" footer="0.3"/>
  <pageSetup paperSize="9" scale="31" orientation="portrait" horizontalDpi="4294967295" verticalDpi="4294967295" r:id="rId1"/>
  <ignoredErrors>
    <ignoredError sqref="T7:V19" unlockedFormula="1"/>
    <ignoredError sqref="C7:G7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</vt:lpstr>
      <vt:lpstr>'8.2'!Print_Area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2024-10-06T03:04:12Z</cp:lastPrinted>
  <dcterms:created xsi:type="dcterms:W3CDTF">2019-06-30T04:22:49Z</dcterms:created>
  <dcterms:modified xsi:type="dcterms:W3CDTF">2024-10-06T03:04:18Z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