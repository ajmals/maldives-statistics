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law and Order\"/>
    </mc:Choice>
  </mc:AlternateContent>
  <xr:revisionPtr revIDLastSave="0" documentId="13_ncr:1_{F773D5C7-7ED6-4D7E-8F12-43E5495E24B5}" xr6:coauthVersionLast="47" xr6:coauthVersionMax="47" xr10:uidLastSave="{00000000-0000-0000-0000-000000000000}"/>
  <bookViews>
    <workbookView xWindow="-120" yWindow="-120" windowWidth="29040" windowHeight="15720" tabRatio="860" xr2:uid="{00000000-000D-0000-FFFF-FFFF00000000}"/>
  </bookViews>
  <sheets>
    <sheet name="8.1" sheetId="1" r:id="rId1"/>
  </sheets>
  <externalReferences>
    <externalReference r:id="rId2"/>
  </externalReferences>
  <definedNames>
    <definedName name="_xlnm.Print_Area" localSheetId="0">'8.1'!$A$1:$S$68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T48" i="1" l="1"/>
  <c r="AS48" i="1"/>
  <c r="AR48" i="1"/>
  <c r="AQ48" i="1"/>
  <c r="AP48" i="1"/>
  <c r="AO48" i="1"/>
  <c r="AN48" i="1"/>
  <c r="AM48" i="1"/>
  <c r="AU47" i="1"/>
  <c r="AT47" i="1"/>
  <c r="AS47" i="1"/>
  <c r="AR47" i="1"/>
  <c r="AQ47" i="1"/>
  <c r="AP47" i="1"/>
  <c r="AO47" i="1"/>
  <c r="AN47" i="1"/>
  <c r="AM47" i="1"/>
  <c r="AT46" i="1"/>
  <c r="AS46" i="1"/>
  <c r="AR46" i="1"/>
  <c r="AQ46" i="1"/>
  <c r="AP46" i="1"/>
  <c r="AO46" i="1"/>
  <c r="AN46" i="1"/>
  <c r="AM46" i="1"/>
  <c r="AT45" i="1"/>
  <c r="AS45" i="1"/>
  <c r="AR45" i="1"/>
  <c r="AQ45" i="1"/>
  <c r="AP45" i="1"/>
  <c r="AO45" i="1"/>
  <c r="AN45" i="1"/>
  <c r="AM45" i="1"/>
  <c r="AT44" i="1"/>
  <c r="AS44" i="1"/>
  <c r="AR44" i="1"/>
  <c r="AQ44" i="1"/>
  <c r="AP44" i="1"/>
  <c r="AO44" i="1"/>
  <c r="AN44" i="1"/>
  <c r="AM44" i="1"/>
  <c r="R30" i="1"/>
  <c r="AJ29" i="1"/>
  <c r="R29" i="1"/>
  <c r="R28" i="1"/>
  <c r="R27" i="1"/>
  <c r="R26" i="1"/>
  <c r="Q26" i="1"/>
  <c r="R25" i="1"/>
  <c r="Q25" i="1"/>
  <c r="R24" i="1"/>
  <c r="R23" i="1"/>
  <c r="R22" i="1"/>
  <c r="R21" i="1"/>
  <c r="R20" i="1"/>
  <c r="Q20" i="1"/>
  <c r="R19" i="1"/>
  <c r="Q19" i="1"/>
  <c r="R18" i="1"/>
  <c r="R17" i="1"/>
  <c r="M17" i="1"/>
  <c r="L17" i="1"/>
  <c r="R16" i="1"/>
  <c r="Q16" i="1"/>
  <c r="R15" i="1"/>
  <c r="Q15" i="1"/>
  <c r="R14" i="1"/>
  <c r="Q14" i="1"/>
  <c r="R13" i="1"/>
  <c r="R12" i="1"/>
  <c r="R11" i="1"/>
  <c r="R10" i="1"/>
  <c r="AU48" i="1" s="1"/>
  <c r="Q10" i="1"/>
  <c r="R9" i="1"/>
  <c r="Q9" i="1"/>
  <c r="R8" i="1"/>
  <c r="AU46" i="1" s="1"/>
  <c r="Q8" i="1"/>
  <c r="R7" i="1"/>
  <c r="AU45" i="1" s="1"/>
  <c r="R6" i="1"/>
  <c r="AU44" i="1" s="1"/>
  <c r="P5" i="1"/>
  <c r="Q13" i="1" s="1"/>
  <c r="O5" i="1"/>
  <c r="N5" i="1"/>
  <c r="Q30" i="1" s="1"/>
  <c r="M5" i="1"/>
  <c r="L5" i="1"/>
  <c r="K5" i="1"/>
  <c r="J5" i="1"/>
  <c r="I5" i="1"/>
  <c r="H5" i="1"/>
  <c r="G5" i="1"/>
  <c r="F5" i="1"/>
  <c r="E5" i="1"/>
  <c r="D5" i="1"/>
  <c r="Q21" i="1" l="1"/>
  <c r="Q27" i="1"/>
  <c r="Q5" i="1"/>
  <c r="Q11" i="1"/>
  <c r="Q22" i="1"/>
  <c r="Q28" i="1"/>
  <c r="R5" i="1"/>
  <c r="Q6" i="1"/>
  <c r="Q12" i="1"/>
  <c r="Q17" i="1"/>
  <c r="Q23" i="1"/>
  <c r="Q29" i="1"/>
  <c r="Q7" i="1"/>
  <c r="Q18" i="1"/>
  <c r="Q24" i="1"/>
</calcChain>
</file>

<file path=xl/sharedStrings.xml><?xml version="1.0" encoding="utf-8"?>
<sst xmlns="http://schemas.openxmlformats.org/spreadsheetml/2006/main" count="93" uniqueCount="60">
  <si>
    <t>Logged Cases</t>
  </si>
  <si>
    <t>ބެހިފައިވާ ގޮތް އިންސައްތައިން</t>
  </si>
  <si>
    <t>ހުށަހެޅިފައިވާ މައްސަލަތައް</t>
  </si>
  <si>
    <t>Theft</t>
  </si>
  <si>
    <t>Total</t>
  </si>
  <si>
    <t>wlcmuj</t>
  </si>
  <si>
    <t>Traffic accidents</t>
  </si>
  <si>
    <t>ވައްކަން</t>
  </si>
  <si>
    <t>Drugs</t>
  </si>
  <si>
    <t>ޓްރެފިކް</t>
  </si>
  <si>
    <t>Assault</t>
  </si>
  <si>
    <t>Others</t>
  </si>
  <si>
    <t>މަސްތުވާތަކެތި</t>
  </si>
  <si>
    <t>Lost Items</t>
  </si>
  <si>
    <t>ގެއްލޭތަކެތި</t>
  </si>
  <si>
    <t>Robbery</t>
  </si>
  <si>
    <t>މާރާމާރީ</t>
  </si>
  <si>
    <t>Vandalism</t>
  </si>
  <si>
    <t>މުދަލަށް ގެއްލުންދިނުން</t>
  </si>
  <si>
    <t>Threats; False Alarms</t>
  </si>
  <si>
    <t>ފޭރުން</t>
  </si>
  <si>
    <t>Embezzlement</t>
  </si>
  <si>
    <t>Sexual offences</t>
  </si>
  <si>
    <t>ބަދުއަޙްލާޤީ</t>
  </si>
  <si>
    <t>Domestic violence</t>
  </si>
  <si>
    <t>މަކަރާއި ޙީލަތް</t>
  </si>
  <si>
    <t>Counterfeit and forgery</t>
  </si>
  <si>
    <t>އާއިލީ</t>
  </si>
  <si>
    <t>Disorderly Conduct</t>
  </si>
  <si>
    <t>ވަގުފައިސާ އަދި ފޯރޖްކުރުން</t>
  </si>
  <si>
    <t>Deceptive Practices</t>
  </si>
  <si>
    <t>އެހެނިހެން</t>
  </si>
  <si>
    <t>Arson</t>
  </si>
  <si>
    <t>ހުޅުޖެހުން</t>
  </si>
  <si>
    <t>Attempted Suicides</t>
  </si>
  <si>
    <t>އަމިއްލައަށް މަރުވާން އުޅުން</t>
  </si>
  <si>
    <t>Obstructing Justice</t>
  </si>
  <si>
    <t>Causing, Aiding or Soliciting Suicide</t>
  </si>
  <si>
    <t>އަމިއްލައަށް /  އެހެނިހެން ގޮތްގޮތަށް މަރުވުން</t>
  </si>
  <si>
    <t>Child Abandonment and Parental Duty of Care</t>
  </si>
  <si>
    <t>ދަރިންނަށް އިޙްމާލުވުން ފަދަ މައްސަލަތައް</t>
  </si>
  <si>
    <t>މަކަރުހެދުމާއި އޮޅުވާލުން</t>
  </si>
  <si>
    <t>އަޚްލާޤީ ގޮތުން ދަށުދަރަޖައިގެ ޢަމަލުތައް</t>
  </si>
  <si>
    <t>އަމުރަށް ނުކިޔަމަންތެރިވުމާއި ވާޖިބަށް ހުރަސްއެޅުން</t>
  </si>
  <si>
    <t>Producing or Distributing Obscene Material</t>
  </si>
  <si>
    <t>އޮރިޔާން ފޮޓޯ / ފިލްމުގެ މައްސަލަތައް</t>
  </si>
  <si>
    <t>Theft by Deception</t>
  </si>
  <si>
    <t>ޓެކުން އަދި ފްރޯޑް</t>
  </si>
  <si>
    <t>ބިރުދެއްކުމާއި އިންޒާރުދިނުން</t>
  </si>
  <si>
    <t>Trafficking, Manufacture, Sale, or Possession of Firearms or Catastrophic Agents</t>
  </si>
  <si>
    <t>ހަތިޔާރު / ގޮވާތަކެތީގެ މައްސަލަތައް</t>
  </si>
  <si>
    <t>Use of a Dangerous Weapon During an Offense</t>
  </si>
  <si>
    <t>ހަތިޔާރު ބޭނުންކުރުން</t>
  </si>
  <si>
    <t>Source: Maldives Police Service</t>
  </si>
  <si>
    <t>csivrws csilop cscviDclOm :Ivcaed utWmUluAwm</t>
  </si>
  <si>
    <t>ތާވަލު 8.1: ހުށަހެޅިފައިވާ މައްސަލަތައް، 2016- 2023</t>
  </si>
  <si>
    <t>Table 8.1: LOGGED CASES FROM THE YEAR, 2016 - 2023</t>
  </si>
  <si>
    <t>2022އާއި އަޅާބަލާއިރު 2023ގައި އިތުރުވި މިންވަރު (%)</t>
  </si>
  <si>
    <t>% share 2023</t>
  </si>
  <si>
    <t>% change over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</si>
</sst>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General_)"/>
    <numFmt numFmtId="165" formatCode="0.0"/>
    <numFmt numFmtId="166" formatCode="_-* #,##0_-;\-* #,##0_-;_-* &quot;-&quot;??_-;_-@_-"/>
    <numFmt numFmtId="167" formatCode="#,##0.0"/>
    <numFmt numFmtId="168" formatCode="_(* #,##0.0_);_(* \(#,##0.0\);_(* &quot;-&quot;??_);_(@_)"/>
    <numFmt numFmtId="169" formatCode="_(* #,##0_);_(* \(#,##0\);_(* &quot;-&quot;??_);_(@_)"/>
    <numFmt numFmtId="170" formatCode="0.00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Faruma"/>
      <family val="3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10"/>
      <name val="Faruma"/>
      <family val="3"/>
    </font>
    <font>
      <sz val="10"/>
      <color rgb="FFFF0000"/>
      <name val="Courier"/>
      <family val="3"/>
    </font>
    <font>
      <b/>
      <sz val="9.5"/>
      <color rgb="FF000000"/>
      <name val="Calibri"/>
      <family val="2"/>
      <scheme val="minor"/>
    </font>
    <font>
      <sz val="10"/>
      <name val="Faruma"/>
      <family val="3"/>
    </font>
    <font>
      <sz val="10"/>
      <color theme="1"/>
      <name val="Calibri"/>
      <family val="2"/>
      <scheme val="minor"/>
    </font>
    <font>
      <sz val="10"/>
      <color theme="1"/>
      <name val="Courier"/>
      <family val="3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9"/>
      <name val="Courier"/>
      <family val="3"/>
    </font>
    <font>
      <i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1"/>
      <name val="Calibri"/>
      <family val="2"/>
      <scheme val="minor"/>
    </font>
    <font>
      <sz val="10"/>
      <name val="Arial"/>
      <family val="2"/>
    </font>
    <font>
      <b/>
      <sz val="15"/>
      <color theme="3"/>
      <name val="Arial Mäori"/>
      <family val="2"/>
    </font>
    <font>
      <sz val="9"/>
      <name val="A_Faseyha"/>
    </font>
    <font>
      <b/>
      <sz val="10"/>
      <name val="A_Faseyha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2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6" fontId="28" fillId="0" borderId="0" applyFont="0" applyFill="0" applyBorder="0" applyAlignment="0" applyProtection="0"/>
    <xf numFmtId="9" fontId="29" fillId="0" borderId="0" applyFont="0" applyFill="0" applyBorder="0" applyAlignment="0" applyProtection="0"/>
    <xf numFmtId="167" fontId="29" fillId="0" borderId="0"/>
    <xf numFmtId="0" fontId="32" fillId="0" borderId="5" applyNumberFormat="0" applyFill="0" applyAlignment="0" applyProtection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170" fontId="36" fillId="0" borderId="0"/>
    <xf numFmtId="1" fontId="37" fillId="0" borderId="7" applyNumberFormat="0"/>
    <xf numFmtId="0" fontId="31" fillId="0" borderId="0"/>
    <xf numFmtId="0" fontId="1" fillId="0" borderId="0"/>
    <xf numFmtId="0" fontId="31" fillId="0" borderId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5" fillId="0" borderId="0"/>
    <xf numFmtId="40" fontId="35" fillId="0" borderId="0" applyFont="0" applyFill="0" applyBorder="0" applyAlignment="0" applyProtection="0"/>
    <xf numFmtId="0" fontId="35" fillId="0" borderId="0"/>
    <xf numFmtId="0" fontId="31" fillId="0" borderId="0"/>
    <xf numFmtId="1" fontId="37" fillId="0" borderId="7" applyNumberFormat="0"/>
    <xf numFmtId="0" fontId="1" fillId="0" borderId="0"/>
    <xf numFmtId="0" fontId="35" fillId="0" borderId="0"/>
    <xf numFmtId="0" fontId="28" fillId="0" borderId="0" applyFill="0" applyProtection="0"/>
    <xf numFmtId="1" fontId="37" fillId="0" borderId="7" applyNumberFormat="0"/>
    <xf numFmtId="43" fontId="1" fillId="0" borderId="0" applyFont="0" applyFill="0" applyBorder="0" applyAlignment="0" applyProtection="0"/>
    <xf numFmtId="0" fontId="1" fillId="0" borderId="0"/>
    <xf numFmtId="0" fontId="38" fillId="0" borderId="0"/>
    <xf numFmtId="0" fontId="39" fillId="0" borderId="0"/>
    <xf numFmtId="0" fontId="38" fillId="0" borderId="0"/>
    <xf numFmtId="0" fontId="1" fillId="0" borderId="0"/>
    <xf numFmtId="0" fontId="35" fillId="0" borderId="0"/>
    <xf numFmtId="0" fontId="28" fillId="0" borderId="0" applyFill="0" applyProtection="0"/>
    <xf numFmtId="1" fontId="37" fillId="0" borderId="7" applyNumberFormat="0"/>
    <xf numFmtId="0" fontId="1" fillId="0" borderId="0"/>
    <xf numFmtId="0" fontId="31" fillId="0" borderId="0"/>
    <xf numFmtId="0" fontId="38" fillId="0" borderId="0"/>
    <xf numFmtId="0" fontId="39" fillId="0" borderId="0"/>
    <xf numFmtId="0" fontId="31" fillId="0" borderId="0"/>
    <xf numFmtId="0" fontId="38" fillId="0" borderId="0"/>
    <xf numFmtId="0" fontId="40" fillId="0" borderId="0"/>
    <xf numFmtId="0" fontId="38" fillId="0" borderId="0"/>
    <xf numFmtId="0" fontId="3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35" fillId="0" borderId="0" applyFont="0" applyFill="0" applyBorder="0" applyAlignment="0" applyProtection="0"/>
    <xf numFmtId="0" fontId="1" fillId="0" borderId="0"/>
    <xf numFmtId="0" fontId="40" fillId="0" borderId="0" applyBorder="0"/>
    <xf numFmtId="0" fontId="1" fillId="0" borderId="0"/>
    <xf numFmtId="40" fontId="3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0" fillId="0" borderId="0" applyBorder="0"/>
    <xf numFmtId="0" fontId="1" fillId="0" borderId="0"/>
    <xf numFmtId="0" fontId="1" fillId="0" borderId="0"/>
    <xf numFmtId="1" fontId="37" fillId="0" borderId="7" applyNumberFormat="0"/>
    <xf numFmtId="1" fontId="37" fillId="0" borderId="7" applyNumberFormat="0"/>
    <xf numFmtId="1" fontId="37" fillId="0" borderId="7" applyNumberFormat="0"/>
    <xf numFmtId="1" fontId="37" fillId="0" borderId="7" applyNumberFormat="0"/>
    <xf numFmtId="0" fontId="41" fillId="0" borderId="0"/>
    <xf numFmtId="0" fontId="41" fillId="0" borderId="0"/>
  </cellStyleXfs>
  <cellXfs count="73">
    <xf numFmtId="0" fontId="0" fillId="0" borderId="0" xfId="0"/>
    <xf numFmtId="164" fontId="0" fillId="2" borderId="0" xfId="0" applyNumberFormat="1" applyFill="1"/>
    <xf numFmtId="164" fontId="2" fillId="2" borderId="0" xfId="2" applyNumberFormat="1" applyFont="1" applyFill="1" applyAlignment="1">
      <alignment vertical="center"/>
    </xf>
    <xf numFmtId="164" fontId="11" fillId="2" borderId="0" xfId="0" applyNumberFormat="1" applyFont="1" applyFill="1"/>
    <xf numFmtId="164" fontId="12" fillId="2" borderId="2" xfId="0" applyNumberFormat="1" applyFont="1" applyFill="1" applyBorder="1" applyAlignment="1">
      <alignment horizontal="center" vertical="center" wrapText="1"/>
    </xf>
    <xf numFmtId="164" fontId="14" fillId="2" borderId="0" xfId="0" applyNumberFormat="1" applyFont="1" applyFill="1" applyAlignment="1">
      <alignment horizontal="left" vertical="center"/>
    </xf>
    <xf numFmtId="165" fontId="15" fillId="2" borderId="0" xfId="0" applyNumberFormat="1" applyFont="1" applyFill="1"/>
    <xf numFmtId="164" fontId="7" fillId="2" borderId="0" xfId="0" applyNumberFormat="1" applyFont="1" applyFill="1" applyAlignment="1">
      <alignment vertical="center"/>
    </xf>
    <xf numFmtId="166" fontId="8" fillId="2" borderId="0" xfId="1" applyNumberFormat="1" applyFont="1" applyFill="1" applyBorder="1" applyAlignment="1">
      <alignment horizontal="center"/>
    </xf>
    <xf numFmtId="166" fontId="5" fillId="2" borderId="0" xfId="1" applyNumberFormat="1" applyFont="1" applyFill="1" applyBorder="1" applyAlignment="1">
      <alignment horizontal="center"/>
    </xf>
    <xf numFmtId="3" fontId="7" fillId="2" borderId="0" xfId="1" applyNumberFormat="1" applyFont="1" applyFill="1" applyBorder="1" applyAlignment="1">
      <alignment horizontal="right" vertical="center"/>
    </xf>
    <xf numFmtId="167" fontId="16" fillId="2" borderId="0" xfId="1" applyNumberFormat="1" applyFont="1" applyFill="1" applyBorder="1" applyAlignment="1">
      <alignment horizontal="right" vertical="center" indent="3"/>
    </xf>
    <xf numFmtId="167" fontId="16" fillId="2" borderId="0" xfId="1" applyNumberFormat="1" applyFont="1" applyFill="1" applyBorder="1" applyAlignment="1" applyProtection="1">
      <alignment horizontal="right" vertical="center" indent="3"/>
      <protection locked="0"/>
    </xf>
    <xf numFmtId="2" fontId="11" fillId="2" borderId="0" xfId="0" applyNumberFormat="1" applyFont="1" applyFill="1"/>
    <xf numFmtId="165" fontId="11" fillId="2" borderId="0" xfId="0" applyNumberFormat="1" applyFont="1" applyFill="1"/>
    <xf numFmtId="165" fontId="14" fillId="2" borderId="0" xfId="0" applyNumberFormat="1" applyFont="1" applyFill="1" applyAlignment="1">
      <alignment horizontal="right" vertical="top"/>
    </xf>
    <xf numFmtId="164" fontId="17" fillId="2" borderId="0" xfId="0" applyNumberFormat="1" applyFont="1" applyFill="1" applyAlignment="1">
      <alignment vertical="center"/>
    </xf>
    <xf numFmtId="166" fontId="18" fillId="2" borderId="0" xfId="1" applyNumberFormat="1" applyFont="1" applyFill="1" applyBorder="1" applyAlignment="1">
      <alignment horizontal="center"/>
    </xf>
    <xf numFmtId="166" fontId="19" fillId="2" borderId="0" xfId="1" applyNumberFormat="1" applyFont="1" applyFill="1" applyBorder="1" applyAlignment="1">
      <alignment horizontal="center"/>
    </xf>
    <xf numFmtId="3" fontId="17" fillId="2" borderId="0" xfId="1" applyNumberFormat="1" applyFont="1" applyFill="1" applyBorder="1" applyAlignment="1">
      <alignment horizontal="right" vertical="center"/>
    </xf>
    <xf numFmtId="3" fontId="20" fillId="2" borderId="0" xfId="0" applyNumberFormat="1" applyFont="1" applyFill="1" applyAlignment="1">
      <alignment horizontal="right" vertical="top"/>
    </xf>
    <xf numFmtId="167" fontId="20" fillId="2" borderId="0" xfId="1" applyNumberFormat="1" applyFont="1" applyFill="1" applyBorder="1" applyAlignment="1">
      <alignment horizontal="right" vertical="center" indent="3"/>
    </xf>
    <xf numFmtId="164" fontId="13" fillId="2" borderId="0" xfId="0" applyNumberFormat="1" applyFont="1" applyFill="1" applyAlignment="1">
      <alignment horizontal="right" vertical="center"/>
    </xf>
    <xf numFmtId="164" fontId="11" fillId="2" borderId="0" xfId="0" applyNumberFormat="1" applyFont="1" applyFill="1" applyAlignment="1">
      <alignment horizontal="center" vertical="top"/>
    </xf>
    <xf numFmtId="165" fontId="11" fillId="2" borderId="0" xfId="0" applyNumberFormat="1" applyFont="1" applyFill="1" applyAlignment="1">
      <alignment horizontal="center" vertical="top"/>
    </xf>
    <xf numFmtId="164" fontId="15" fillId="2" borderId="0" xfId="0" applyNumberFormat="1" applyFont="1" applyFill="1"/>
    <xf numFmtId="3" fontId="20" fillId="2" borderId="0" xfId="1" applyNumberFormat="1" applyFont="1" applyFill="1" applyAlignment="1">
      <alignment horizontal="right" vertical="center"/>
    </xf>
    <xf numFmtId="165" fontId="0" fillId="2" borderId="0" xfId="0" applyNumberFormat="1" applyFill="1"/>
    <xf numFmtId="164" fontId="21" fillId="2" borderId="0" xfId="0" applyNumberFormat="1" applyFont="1" applyFill="1" applyAlignment="1">
      <alignment horizontal="left" vertical="center" indent="2"/>
    </xf>
    <xf numFmtId="164" fontId="22" fillId="2" borderId="0" xfId="0" applyNumberFormat="1" applyFont="1" applyFill="1" applyAlignment="1">
      <alignment horizontal="left" vertical="center" indent="2"/>
    </xf>
    <xf numFmtId="164" fontId="23" fillId="2" borderId="0" xfId="0" applyNumberFormat="1" applyFont="1" applyFill="1" applyAlignment="1">
      <alignment horizontal="center" vertical="top"/>
    </xf>
    <xf numFmtId="164" fontId="13" fillId="2" borderId="0" xfId="0" applyNumberFormat="1" applyFont="1" applyFill="1" applyAlignment="1">
      <alignment horizontal="right" vertical="center" indent="2"/>
    </xf>
    <xf numFmtId="164" fontId="24" fillId="2" borderId="0" xfId="0" applyNumberFormat="1" applyFont="1" applyFill="1" applyAlignment="1">
      <alignment horizontal="left" vertical="center" indent="2"/>
    </xf>
    <xf numFmtId="165" fontId="25" fillId="2" borderId="0" xfId="0" applyNumberFormat="1" applyFont="1" applyFill="1" applyAlignment="1">
      <alignment horizontal="right" vertical="top"/>
    </xf>
    <xf numFmtId="164" fontId="25" fillId="2" borderId="0" xfId="0" applyNumberFormat="1" applyFont="1" applyFill="1" applyAlignment="1">
      <alignment horizontal="left" vertical="center"/>
    </xf>
    <xf numFmtId="165" fontId="3" fillId="2" borderId="0" xfId="0" applyNumberFormat="1" applyFont="1" applyFill="1"/>
    <xf numFmtId="167" fontId="26" fillId="2" borderId="0" xfId="1" applyNumberFormat="1" applyFont="1" applyFill="1" applyBorder="1" applyAlignment="1">
      <alignment horizontal="right"/>
    </xf>
    <xf numFmtId="164" fontId="0" fillId="2" borderId="0" xfId="0" applyNumberFormat="1" applyFill="1" applyAlignment="1">
      <alignment horizontal="center" vertical="top"/>
    </xf>
    <xf numFmtId="164" fontId="24" fillId="2" borderId="2" xfId="0" applyNumberFormat="1" applyFont="1" applyFill="1" applyBorder="1" applyAlignment="1">
      <alignment horizontal="left" vertical="center" indent="2"/>
    </xf>
    <xf numFmtId="164" fontId="18" fillId="2" borderId="0" xfId="0" applyNumberFormat="1" applyFont="1" applyFill="1" applyAlignment="1">
      <alignment vertical="center"/>
    </xf>
    <xf numFmtId="164" fontId="22" fillId="2" borderId="2" xfId="0" applyNumberFormat="1" applyFont="1" applyFill="1" applyBorder="1" applyAlignment="1">
      <alignment horizontal="left" vertical="center" indent="2"/>
    </xf>
    <xf numFmtId="164" fontId="0" fillId="2" borderId="2" xfId="0" applyNumberFormat="1" applyFill="1" applyBorder="1"/>
    <xf numFmtId="3" fontId="20" fillId="2" borderId="2" xfId="0" applyNumberFormat="1" applyFont="1" applyFill="1" applyBorder="1" applyAlignment="1">
      <alignment horizontal="right" vertical="top"/>
    </xf>
    <xf numFmtId="164" fontId="13" fillId="2" borderId="2" xfId="0" applyNumberFormat="1" applyFont="1" applyFill="1" applyBorder="1" applyAlignment="1">
      <alignment horizontal="right" vertical="center" indent="2"/>
    </xf>
    <xf numFmtId="164" fontId="3" fillId="2" borderId="0" xfId="0" applyNumberFormat="1" applyFont="1" applyFill="1"/>
    <xf numFmtId="164" fontId="25" fillId="2" borderId="0" xfId="0" applyNumberFormat="1" applyFont="1" applyFill="1" applyAlignment="1">
      <alignment vertical="center"/>
    </xf>
    <xf numFmtId="164" fontId="27" fillId="2" borderId="4" xfId="0" applyNumberFormat="1" applyFont="1" applyFill="1" applyBorder="1" applyAlignment="1">
      <alignment horizontal="left" vertical="center"/>
    </xf>
    <xf numFmtId="167" fontId="20" fillId="2" borderId="0" xfId="1" applyNumberFormat="1" applyFont="1" applyFill="1" applyBorder="1" applyAlignment="1" applyProtection="1">
      <alignment vertical="center"/>
      <protection locked="0"/>
    </xf>
    <xf numFmtId="164" fontId="17" fillId="2" borderId="2" xfId="0" applyNumberFormat="1" applyFont="1" applyFill="1" applyBorder="1" applyAlignment="1">
      <alignment vertical="center"/>
    </xf>
    <xf numFmtId="164" fontId="13" fillId="2" borderId="2" xfId="0" applyNumberFormat="1" applyFont="1" applyFill="1" applyBorder="1" applyAlignment="1">
      <alignment horizontal="right" vertical="center"/>
    </xf>
    <xf numFmtId="164" fontId="33" fillId="2" borderId="4" xfId="0" applyNumberFormat="1" applyFont="1" applyFill="1" applyBorder="1" applyAlignment="1">
      <alignment horizontal="right"/>
    </xf>
    <xf numFmtId="164" fontId="34" fillId="2" borderId="3" xfId="0" applyNumberFormat="1" applyFont="1" applyFill="1" applyBorder="1" applyAlignment="1">
      <alignment horizontal="right" vertical="center"/>
    </xf>
    <xf numFmtId="167" fontId="20" fillId="2" borderId="0" xfId="1" applyNumberFormat="1" applyFont="1" applyFill="1" applyBorder="1" applyAlignment="1" applyProtection="1">
      <alignment horizontal="right" vertical="center" indent="3"/>
      <protection locked="0"/>
    </xf>
    <xf numFmtId="167" fontId="20" fillId="2" borderId="2" xfId="1" applyNumberFormat="1" applyFont="1" applyFill="1" applyBorder="1" applyAlignment="1" applyProtection="1">
      <alignment horizontal="right" vertical="center" indent="3"/>
      <protection locked="0"/>
    </xf>
    <xf numFmtId="0" fontId="31" fillId="2" borderId="0" xfId="0" applyFont="1" applyFill="1" applyAlignment="1" applyProtection="1">
      <alignment vertical="center"/>
      <protection hidden="1"/>
    </xf>
    <xf numFmtId="168" fontId="30" fillId="2" borderId="0" xfId="1" applyNumberFormat="1" applyFont="1" applyFill="1" applyBorder="1" applyAlignment="1" applyProtection="1">
      <alignment vertical="center"/>
      <protection locked="0"/>
    </xf>
    <xf numFmtId="169" fontId="20" fillId="2" borderId="0" xfId="8" applyNumberFormat="1" applyFont="1" applyFill="1" applyAlignment="1">
      <alignment horizontal="left" vertical="center" indent="1"/>
    </xf>
    <xf numFmtId="3" fontId="20" fillId="2" borderId="2" xfId="1" applyNumberFormat="1" applyFont="1" applyFill="1" applyBorder="1" applyAlignment="1">
      <alignment horizontal="right" vertical="center"/>
    </xf>
    <xf numFmtId="166" fontId="18" fillId="2" borderId="2" xfId="1" applyNumberFormat="1" applyFont="1" applyFill="1" applyBorder="1" applyAlignment="1">
      <alignment horizontal="center"/>
    </xf>
    <xf numFmtId="166" fontId="19" fillId="2" borderId="2" xfId="1" applyNumberFormat="1" applyFont="1" applyFill="1" applyBorder="1" applyAlignment="1">
      <alignment horizontal="center"/>
    </xf>
    <xf numFmtId="3" fontId="17" fillId="2" borderId="2" xfId="1" applyNumberFormat="1" applyFont="1" applyFill="1" applyBorder="1" applyAlignment="1">
      <alignment horizontal="right" vertical="center"/>
    </xf>
    <xf numFmtId="167" fontId="20" fillId="2" borderId="2" xfId="1" applyNumberFormat="1" applyFont="1" applyFill="1" applyBorder="1" applyAlignment="1">
      <alignment horizontal="right" vertical="center" indent="3"/>
    </xf>
    <xf numFmtId="164" fontId="9" fillId="2" borderId="8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/>
    </xf>
    <xf numFmtId="164" fontId="5" fillId="2" borderId="6" xfId="0" applyNumberFormat="1" applyFont="1" applyFill="1" applyBorder="1" applyAlignment="1">
      <alignment horizontal="center" vertical="top"/>
    </xf>
    <xf numFmtId="164" fontId="7" fillId="2" borderId="8" xfId="0" applyNumberFormat="1" applyFont="1" applyFill="1" applyBorder="1" applyAlignment="1">
      <alignment horizontal="right" vertical="center"/>
    </xf>
    <xf numFmtId="164" fontId="7" fillId="2" borderId="2" xfId="0" applyNumberFormat="1" applyFont="1" applyFill="1" applyBorder="1" applyAlignment="1">
      <alignment horizontal="right" vertical="center"/>
    </xf>
    <xf numFmtId="164" fontId="10" fillId="2" borderId="8" xfId="0" applyNumberFormat="1" applyFont="1" applyFill="1" applyBorder="1" applyAlignment="1">
      <alignment horizontal="right" vertical="center" wrapText="1"/>
    </xf>
    <xf numFmtId="164" fontId="13" fillId="2" borderId="2" xfId="0" applyNumberFormat="1" applyFont="1" applyFill="1" applyBorder="1" applyAlignment="1">
      <alignment horizontal="right" vertical="center" wrapText="1"/>
    </xf>
    <xf numFmtId="164" fontId="7" fillId="2" borderId="8" xfId="0" applyNumberFormat="1" applyFont="1" applyFill="1" applyBorder="1" applyAlignment="1">
      <alignment horizontal="left" vertical="center" wrapText="1"/>
    </xf>
    <xf numFmtId="164" fontId="7" fillId="2" borderId="2" xfId="0" applyNumberFormat="1" applyFont="1" applyFill="1" applyBorder="1" applyAlignment="1">
      <alignment horizontal="left" vertical="center" wrapText="1"/>
    </xf>
    <xf numFmtId="164" fontId="8" fillId="2" borderId="8" xfId="0" applyNumberFormat="1" applyFont="1" applyFill="1" applyBorder="1" applyAlignment="1">
      <alignment horizontal="right" vertical="center"/>
    </xf>
    <xf numFmtId="164" fontId="8" fillId="2" borderId="2" xfId="0" applyNumberFormat="1" applyFont="1" applyFill="1" applyBorder="1" applyAlignment="1">
      <alignment horizontal="right" vertical="center"/>
    </xf>
  </cellXfs>
  <cellStyles count="72">
    <cellStyle name="1" xfId="8" xr:uid="{00000000-0005-0000-0000-000000000000}"/>
    <cellStyle name="Comma" xfId="1" builtinId="3"/>
    <cellStyle name="Comma 2" xfId="3" xr:uid="{00000000-0005-0000-0000-000002000000}"/>
    <cellStyle name="Comma 2 2" xfId="52" xr:uid="{9A84C4CD-F55D-4D7F-A24D-2331BEF12D2F}"/>
    <cellStyle name="Comma 2 2 2 5" xfId="33" xr:uid="{72CAE074-9478-48BE-827F-7C347CA8E33E}"/>
    <cellStyle name="Comma 2 3" xfId="59" xr:uid="{48917DD4-5850-420F-B56E-6D1242EC9C7D}"/>
    <cellStyle name="Comma 2 4" xfId="25" xr:uid="{25E79544-726A-40BC-9B88-F4040A358A37}"/>
    <cellStyle name="Comma 3" xfId="12" xr:uid="{B8EE6C01-62F8-4757-AEA0-A8E2BB20DD32}"/>
    <cellStyle name="Comma 3 2" xfId="55" xr:uid="{32AB1500-45AA-4601-AE5B-CC2189D86C97}"/>
    <cellStyle name="Heading 1 2" xfId="6" xr:uid="{00000000-0005-0000-0000-000003000000}"/>
    <cellStyle name="Hyperlink" xfId="2" builtinId="8"/>
    <cellStyle name="Normal" xfId="0" builtinId="0"/>
    <cellStyle name="Normal - Style1" xfId="13" xr:uid="{643D6BAF-51F0-40E9-A034-4148317B748D}"/>
    <cellStyle name="Normal 10" xfId="19" xr:uid="{53C320C8-74A4-4753-953E-745E7CA03BF9}"/>
    <cellStyle name="Normal 11" xfId="30" xr:uid="{C334F9A6-404A-429F-AAC8-A64A5D797F6B}"/>
    <cellStyle name="Normal 12" xfId="32" xr:uid="{AD19A09E-E36B-4581-9623-F54EE49DE1A7}"/>
    <cellStyle name="Normal 13" xfId="41" xr:uid="{8F3E15E1-866E-4642-A160-6EC78A16082E}"/>
    <cellStyle name="Normal 14" xfId="66" xr:uid="{38102293-679E-4BC4-8C21-B50A9352FE0D}"/>
    <cellStyle name="Normal 15" xfId="67" xr:uid="{DDD174B3-A44D-4519-9D5A-E09E51F6BD36}"/>
    <cellStyle name="Normal 16" xfId="68" xr:uid="{2B037F2C-6E53-4DFC-BCEF-4BAE4D22C99F}"/>
    <cellStyle name="Normal 17" xfId="69" xr:uid="{862E1F38-3D0E-4A33-9EDA-CE90F84B8E45}"/>
    <cellStyle name="Normal 18" xfId="70" xr:uid="{CF87BC40-E55D-4F82-AE28-8FA1017CE6B1}"/>
    <cellStyle name="Normal 19" xfId="71" xr:uid="{FA237C1A-38D9-46F9-9E54-DD0D4DE6F649}"/>
    <cellStyle name="Normal 2" xfId="7" xr:uid="{00000000-0005-0000-0000-000006000000}"/>
    <cellStyle name="Normal 2 2" xfId="14" xr:uid="{E1B4ADD7-AF9F-4C31-814B-2F7CCD24FB28}"/>
    <cellStyle name="Normal 2 2 2" xfId="26" xr:uid="{86D4674A-12DC-467D-8791-E9A1C7FC3D5C}"/>
    <cellStyle name="Normal 2 2 2 2" xfId="50" xr:uid="{E5E93CD8-FF9A-48B1-ADA9-AB3C731E6334}"/>
    <cellStyle name="Normal 2 2 3" xfId="27" xr:uid="{A9406696-2B5F-40B4-B07A-9A75502DB3A9}"/>
    <cellStyle name="Normal 2 2 3 2" xfId="48" xr:uid="{F69FCC6A-DC9B-4565-AD31-066A6C2F5064}"/>
    <cellStyle name="Normal 2 2 4" xfId="44" xr:uid="{6F0840CA-9553-405D-ACE5-D01A72852DAD}"/>
    <cellStyle name="Normal 2 3" xfId="29" xr:uid="{E13F57EA-1139-4D18-983A-599F278AD76F}"/>
    <cellStyle name="Normal 2 3 2" xfId="40" xr:uid="{0043EE02-D5BD-4812-AD16-BFACC7EF42A8}"/>
    <cellStyle name="Normal 2 3 3" xfId="43" xr:uid="{0A8706C9-91EC-4327-A8A0-F2E5BA34A857}"/>
    <cellStyle name="Normal 2 4" xfId="31" xr:uid="{20B2D89D-D384-47E8-A9EE-FCD14F76982F}"/>
    <cellStyle name="Normal 2 4 2" xfId="51" xr:uid="{3F0CEA5C-059B-43A9-859D-A965B48327F7}"/>
    <cellStyle name="Normal 2 5" xfId="35" xr:uid="{CE7AC479-92A4-4367-8F5E-D56B9C5A1031}"/>
    <cellStyle name="Normal 3" xfId="5" xr:uid="{00000000-0005-0000-0000-000007000000}"/>
    <cellStyle name="Normal 3 2" xfId="28" xr:uid="{D8C0391F-9AA5-43CD-9EDF-E1CEE95293DA}"/>
    <cellStyle name="Normal 3 2 2" xfId="37" xr:uid="{519BA7B2-00D0-4BC8-9FC5-2049B7FF832F}"/>
    <cellStyle name="Normal 3 2 2 2" xfId="62" xr:uid="{FFD9FBF6-074E-4300-A11B-1E9E248674A4}"/>
    <cellStyle name="Normal 3 3" xfId="46" xr:uid="{96442A53-EA32-4F89-842D-FC2B3500B36F}"/>
    <cellStyle name="Normal 3 3 2" xfId="65" xr:uid="{FC90F908-F2F6-489E-BDC8-B211A625F9C1}"/>
    <cellStyle name="Normal 3 4" xfId="56" xr:uid="{8D94B436-169A-4EF4-AF1F-BD2D38E48701}"/>
    <cellStyle name="Normal 3 5" xfId="60" xr:uid="{20B92D94-623A-4A41-B83E-988C78EE9919}"/>
    <cellStyle name="Normal 3 6" xfId="15" xr:uid="{2260A489-F0D9-40BA-A22E-29EA47F1B2F4}"/>
    <cellStyle name="Normal 4" xfId="20" xr:uid="{D3B53A52-2AD8-4381-AB54-845A42EF1FF2}"/>
    <cellStyle name="Normal 4 2" xfId="16" xr:uid="{861AA663-ADE1-4537-934E-8307E5FD8F74}"/>
    <cellStyle name="Normal 4 2 2" xfId="21" xr:uid="{E8677BA3-8211-444C-BEC4-9A07A188675B}"/>
    <cellStyle name="Normal 4 2 3" xfId="45" xr:uid="{A1A62C66-066C-4E8B-898C-FFCDC593C940}"/>
    <cellStyle name="Normal 4 3" xfId="36" xr:uid="{41EDC26E-37D1-45EB-B40D-C33CA90D2064}"/>
    <cellStyle name="Normal 4 3 2" xfId="53" xr:uid="{F0BD437D-A11C-4FCC-8D12-ECC542C171DB}"/>
    <cellStyle name="Normal 4 4" xfId="58" xr:uid="{644A2FD9-99FD-44AF-AD6A-7DA7696F10CB}"/>
    <cellStyle name="Normal 5" xfId="17" xr:uid="{497704D6-52EF-4ABE-A3CD-97569A2A33A7}"/>
    <cellStyle name="Normal 5 2" xfId="10" xr:uid="{00CB0B8C-510E-4BED-8B9B-553F22BD15C7}"/>
    <cellStyle name="Normal 5 2 2" xfId="61" xr:uid="{C310ED55-448A-4742-B398-B242C3A89A52}"/>
    <cellStyle name="Normal 5 3" xfId="34" xr:uid="{B6E770DA-49EF-4C68-912F-2AD9E34AB464}"/>
    <cellStyle name="Normal 5 4" xfId="47" xr:uid="{439C9414-9BA2-497D-BF7E-0C5A82DE1171}"/>
    <cellStyle name="Normal 6" xfId="22" xr:uid="{FF1D5E57-8C3F-43A7-8100-05F86404E24E}"/>
    <cellStyle name="Normal 6 2" xfId="38" xr:uid="{BF19C48D-9054-4CB1-8B26-C788F7386A5B}"/>
    <cellStyle name="Normal 6 2 2" xfId="63" xr:uid="{8DCBD4A4-A7DB-4626-B9AE-A2DBD111A1EA}"/>
    <cellStyle name="Normal 6 3" xfId="49" xr:uid="{EF61BC19-A02A-4B29-B5E5-F8ADBFFE6AF9}"/>
    <cellStyle name="Normal 7" xfId="23" xr:uid="{5E137597-5161-4D95-90E4-F6DC879E5B22}"/>
    <cellStyle name="Normal 7 2" xfId="39" xr:uid="{AF7B1DEB-2498-4714-A82C-DA80CF2C533D}"/>
    <cellStyle name="Normal 7 2 2" xfId="54" xr:uid="{72B3ACED-6426-4333-A31F-F7A584556C09}"/>
    <cellStyle name="Normal 7 3" xfId="64" xr:uid="{479EC22B-EFA4-4A4A-859B-B213AB646001}"/>
    <cellStyle name="Normal 7 4" xfId="42" xr:uid="{2E7F84E1-ECE1-404D-A212-C39658E7599D}"/>
    <cellStyle name="Normal 8" xfId="24" xr:uid="{CEB51C94-2E45-4D5B-9F0F-359FEE19D53C}"/>
    <cellStyle name="Normal 8 2" xfId="57" xr:uid="{286B7DE3-B5D9-42D4-91CA-A0F00AB06695}"/>
    <cellStyle name="Normal 9" xfId="11" xr:uid="{585AC317-7540-4658-AB5A-C34FB49F1152}"/>
    <cellStyle name="Percent 2" xfId="4" xr:uid="{00000000-0005-0000-0000-00000E000000}"/>
    <cellStyle name="Percent 2 2" xfId="9" xr:uid="{67C19ACC-B2FB-4E73-ACA6-0EF4958B92CE}"/>
    <cellStyle name="Percent 2 3" xfId="18" xr:uid="{2ABB9611-6919-4949-B383-4EF485E15F01}"/>
  </cellStyles>
  <dxfs count="0"/>
  <tableStyles count="0" defaultTableStyle="TableStyleMedium2" defaultPivotStyle="PivotStyleLight16"/>
  <colors>
    <mruColors>
      <color rgb="FF33CCCC"/>
      <color rgb="FF008080"/>
      <color rgb="FFCCF4F2"/>
      <color rgb="FFC5FFFF"/>
      <color rgb="FFEAFAFA"/>
      <color rgb="FF003F3E"/>
      <color rgb="FFFF6969"/>
      <color rgb="FFFFC5C5"/>
      <color rgb="FFFFEFEF"/>
      <color rgb="FFFFE5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506272507044544E-2"/>
          <c:y val="0.12093906494282317"/>
          <c:w val="0.90162456892497678"/>
          <c:h val="0.84970562454668452"/>
        </c:manualLayout>
      </c:layout>
      <c:lineChart>
        <c:grouping val="standard"/>
        <c:varyColors val="0"/>
        <c:ser>
          <c:idx val="0"/>
          <c:order val="0"/>
          <c:tx>
            <c:strRef>
              <c:f>'8.1'!$AG$44</c:f>
              <c:strCache>
                <c:ptCount val="1"/>
                <c:pt idx="0">
                  <c:v>Theft</c:v>
                </c:pt>
              </c:strCache>
            </c:strRef>
          </c:tx>
          <c:spPr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  <c:marker>
            <c:symbol val="triangle"/>
            <c:size val="5"/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accent1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'8.1'!$AQ$43:$AU$43</c:f>
              <c:numCache>
                <c:formatCode>General_)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'8.1'!$AQ$44:$AU$44</c:f>
              <c:numCache>
                <c:formatCode>#,##0.0</c:formatCode>
                <c:ptCount val="5"/>
                <c:pt idx="0">
                  <c:v>39.26605504587156</c:v>
                </c:pt>
                <c:pt idx="1">
                  <c:v>-21.365832235397452</c:v>
                </c:pt>
                <c:pt idx="2">
                  <c:v>30.187098575816812</c:v>
                </c:pt>
                <c:pt idx="3">
                  <c:v>-14.586014586014587</c:v>
                </c:pt>
                <c:pt idx="4" formatCode="General_)">
                  <c:v>-3.942742340532396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F7-466B-9B1B-F14E1D8FAF48}"/>
            </c:ext>
          </c:extLst>
        </c:ser>
        <c:ser>
          <c:idx val="1"/>
          <c:order val="1"/>
          <c:tx>
            <c:strRef>
              <c:f>'8.1'!$AG$45</c:f>
              <c:strCache>
                <c:ptCount val="1"/>
                <c:pt idx="0">
                  <c:v>Traffic accidents</c:v>
                </c:pt>
              </c:strCache>
            </c:strRef>
          </c:tx>
          <c:spPr>
            <a:ln w="28575">
              <a:solidFill>
                <a:schemeClr val="bg1">
                  <a:lumMod val="75000"/>
                </a:schemeClr>
              </a:solidFill>
            </a:ln>
          </c:spPr>
          <c:marker>
            <c:symbol val="diamond"/>
            <c:size val="5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'8.1'!$AQ$43:$AU$43</c:f>
              <c:numCache>
                <c:formatCode>General_)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'8.1'!$AQ$45:$AU$45</c:f>
              <c:numCache>
                <c:formatCode>#,##0.0</c:formatCode>
                <c:ptCount val="5"/>
                <c:pt idx="0">
                  <c:v>15.794718485301445</c:v>
                </c:pt>
                <c:pt idx="1">
                  <c:v>-40.189328743545609</c:v>
                </c:pt>
                <c:pt idx="2">
                  <c:v>11.726618705035971</c:v>
                </c:pt>
                <c:pt idx="3">
                  <c:v>4.1854475209272382</c:v>
                </c:pt>
                <c:pt idx="4" formatCode="General_)">
                  <c:v>42.027194066749075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F7-466B-9B1B-F14E1D8FAF48}"/>
            </c:ext>
          </c:extLst>
        </c:ser>
        <c:ser>
          <c:idx val="2"/>
          <c:order val="2"/>
          <c:tx>
            <c:strRef>
              <c:f>'8.1'!$AG$46</c:f>
              <c:strCache>
                <c:ptCount val="1"/>
                <c:pt idx="0">
                  <c:v>Drugs</c:v>
                </c:pt>
              </c:strCache>
            </c:strRef>
          </c:tx>
          <c:spPr>
            <a:ln w="25400">
              <a:solidFill>
                <a:srgbClr val="008080"/>
              </a:solidFill>
            </a:ln>
          </c:spPr>
          <c:marker>
            <c:symbol val="square"/>
            <c:size val="5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accent5">
                    <a:lumMod val="50000"/>
                  </a:schemeClr>
                </a:solidFill>
              </a:ln>
            </c:spPr>
          </c:marker>
          <c:cat>
            <c:numRef>
              <c:f>'8.1'!$AQ$43:$AU$43</c:f>
              <c:numCache>
                <c:formatCode>General_)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'8.1'!$AQ$46:$AU$46</c:f>
              <c:numCache>
                <c:formatCode>#,##0.0</c:formatCode>
                <c:ptCount val="5"/>
                <c:pt idx="0">
                  <c:v>-1.883408071748879</c:v>
                </c:pt>
                <c:pt idx="1">
                  <c:v>-34.872029250457039</c:v>
                </c:pt>
                <c:pt idx="2">
                  <c:v>1.0526315789473684</c:v>
                </c:pt>
                <c:pt idx="3">
                  <c:v>-0.76388888888888884</c:v>
                </c:pt>
                <c:pt idx="4" formatCode="General_)">
                  <c:v>21.203638908327502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F7-466B-9B1B-F14E1D8FAF48}"/>
            </c:ext>
          </c:extLst>
        </c:ser>
        <c:ser>
          <c:idx val="3"/>
          <c:order val="3"/>
          <c:tx>
            <c:strRef>
              <c:f>'8.1'!$AG$47</c:f>
              <c:strCache>
                <c:ptCount val="1"/>
                <c:pt idx="0">
                  <c:v>Lost Items</c:v>
                </c:pt>
              </c:strCache>
            </c:strRef>
          </c:tx>
          <c:spPr>
            <a:ln w="25400">
              <a:solidFill>
                <a:srgbClr val="33CCCC"/>
              </a:solidFill>
            </a:ln>
          </c:spPr>
          <c:marker>
            <c:symbol val="x"/>
            <c:size val="5"/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</c:spPr>
          </c:marker>
          <c:cat>
            <c:numRef>
              <c:f>'8.1'!$AQ$43:$AU$43</c:f>
              <c:numCache>
                <c:formatCode>General_)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'8.1'!$AQ$47:$AU$47</c:f>
              <c:numCache>
                <c:formatCode>#,##0.0</c:formatCode>
                <c:ptCount val="5"/>
                <c:pt idx="0">
                  <c:v>1.5109121432568551</c:v>
                </c:pt>
                <c:pt idx="1">
                  <c:v>-58.985667034178611</c:v>
                </c:pt>
                <c:pt idx="2">
                  <c:v>30.913978494623656</c:v>
                </c:pt>
                <c:pt idx="3">
                  <c:v>44.969199178644764</c:v>
                </c:pt>
                <c:pt idx="4" formatCode="General_)">
                  <c:v>4.9575070821529748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F7-466B-9B1B-F14E1D8FAF48}"/>
            </c:ext>
          </c:extLst>
        </c:ser>
        <c:ser>
          <c:idx val="4"/>
          <c:order val="4"/>
          <c:tx>
            <c:strRef>
              <c:f>'8.1'!$AG$48</c:f>
              <c:strCache>
                <c:ptCount val="1"/>
                <c:pt idx="0">
                  <c:v>Assault</c:v>
                </c:pt>
              </c:strCache>
            </c:strRef>
          </c:tx>
          <c:spPr>
            <a:ln w="25400">
              <a:solidFill>
                <a:srgbClr val="003F3E"/>
              </a:solidFill>
            </a:ln>
          </c:spPr>
          <c:marker>
            <c:symbol val="circle"/>
            <c:size val="5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</c:spPr>
          </c:marker>
          <c:cat>
            <c:numRef>
              <c:f>'8.1'!$AQ$43:$AU$43</c:f>
              <c:numCache>
                <c:formatCode>General_)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'8.1'!$AQ$48:$AU$48</c:f>
              <c:numCache>
                <c:formatCode>#,##0.0</c:formatCode>
                <c:ptCount val="5"/>
                <c:pt idx="0">
                  <c:v>-16.201859229747676</c:v>
                </c:pt>
                <c:pt idx="1">
                  <c:v>4.7543581616481774</c:v>
                </c:pt>
                <c:pt idx="2">
                  <c:v>-7.7155824508320734</c:v>
                </c:pt>
                <c:pt idx="3">
                  <c:v>-14.590163934426229</c:v>
                </c:pt>
                <c:pt idx="4" formatCode="General_)">
                  <c:v>25.911708253358924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F7-466B-9B1B-F14E1D8FA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514624"/>
        <c:axId val="139517312"/>
      </c:lineChart>
      <c:catAx>
        <c:axId val="139514624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crossAx val="139517312"/>
        <c:crosses val="autoZero"/>
        <c:auto val="1"/>
        <c:lblAlgn val="ctr"/>
        <c:lblOffset val="100"/>
        <c:noMultiLvlLbl val="0"/>
      </c:catAx>
      <c:valAx>
        <c:axId val="139517312"/>
        <c:scaling>
          <c:orientation val="minMax"/>
          <c:min val="-8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</a:t>
                </a:r>
              </a:p>
            </c:rich>
          </c:tx>
          <c:layout>
            <c:manualLayout>
              <c:xMode val="edge"/>
              <c:yMode val="edge"/>
              <c:x val="1.0039534863014074E-2"/>
              <c:y val="0.36723912469521192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</c:spPr>
        <c:crossAx val="139514624"/>
        <c:crosses val="autoZero"/>
        <c:crossBetween val="between"/>
      </c:valAx>
      <c:spPr>
        <a:solidFill>
          <a:srgbClr val="EAFAFA"/>
        </a:solidFill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4713172687031714"/>
          <c:y val="0.88243555088738201"/>
          <c:w val="0.71180633842386576"/>
          <c:h val="5.858759639138806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8.1: Percentage share of logged cases, 2023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30523158461399547"/>
          <c:y val="6.99055105183568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331972626984068"/>
          <c:y val="0.2132323846121818"/>
          <c:w val="0.34283815301612403"/>
          <c:h val="0.7572534206749603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DE-4557-B383-4C38864D7D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0DE-4557-B383-4C38864D7D7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0DE-4557-B383-4C38864D7D7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0DE-4557-B383-4C38864D7D7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0DE-4557-B383-4C38864D7D7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0DE-4557-B383-4C38864D7D7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0DE-4557-B383-4C38864D7D7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0DE-4557-B383-4C38864D7D7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0DE-4557-B383-4C38864D7D7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0DE-4557-B383-4C38864D7D7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80DE-4557-B383-4C38864D7D7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80DE-4557-B383-4C38864D7D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'8.1'!$A$6:$A$17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'8.1'!$Q$6:$Q$17</c:f>
              <c:numCache>
                <c:formatCode>#,##0.0</c:formatCode>
                <c:ptCount val="12"/>
                <c:pt idx="0">
                  <c:v>25.474525474525471</c:v>
                </c:pt>
                <c:pt idx="1">
                  <c:v>15.304695304695304</c:v>
                </c:pt>
                <c:pt idx="2">
                  <c:v>11.535131535131535</c:v>
                </c:pt>
                <c:pt idx="3">
                  <c:v>9.8701298701298708</c:v>
                </c:pt>
                <c:pt idx="4">
                  <c:v>4.3689643689643693</c:v>
                </c:pt>
                <c:pt idx="5">
                  <c:v>4.0892440892440893</c:v>
                </c:pt>
                <c:pt idx="6">
                  <c:v>3.1834831834831836</c:v>
                </c:pt>
                <c:pt idx="7">
                  <c:v>1.9247419247419246</c:v>
                </c:pt>
                <c:pt idx="8">
                  <c:v>5.0149850149850153</c:v>
                </c:pt>
                <c:pt idx="9">
                  <c:v>1.4851814851814853</c:v>
                </c:pt>
                <c:pt idx="10">
                  <c:v>0.85248085248085248</c:v>
                </c:pt>
                <c:pt idx="11">
                  <c:v>16.896436896436899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0DE-4557-B383-4C38864D7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208359</xdr:colOff>
      <xdr:row>46</xdr:row>
      <xdr:rowOff>161131</xdr:rowOff>
    </xdr:from>
    <xdr:to>
      <xdr:col>17</xdr:col>
      <xdr:colOff>902891</xdr:colOff>
      <xdr:row>63</xdr:row>
      <xdr:rowOff>142081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212678</xdr:colOff>
      <xdr:row>30</xdr:row>
      <xdr:rowOff>174112</xdr:rowOff>
    </xdr:from>
    <xdr:to>
      <xdr:col>17</xdr:col>
      <xdr:colOff>901290</xdr:colOff>
      <xdr:row>45</xdr:row>
      <xdr:rowOff>178883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A4B4BF-EC70-4EA4-9C07-57D7769FBD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0.19766</cdr:x>
      <cdr:y>0.02663</cdr:y>
    </cdr:from>
    <cdr:to>
      <cdr:x>0.8212</cdr:x>
      <cdr:y>0.09075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48765" y="86195"/>
          <a:ext cx="4885787" cy="2075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8.2: Percentage change in selected crimes, 2019 - 2023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\ST4\Dissemination\Publications\Statistical%20Year%20Book\YEARBOOK%202024\8.%20LAW%20AND%20ORDER_MPS%20-%20FILLED.xlsx" TargetMode="External"/><Relationship Id="rId1" Type="http://schemas.openxmlformats.org/officeDocument/2006/relationships/externalLinkPath" Target="/Dissemination/Publications/Statistical%20Year%20Book/YEARBOOK%202024/8.%20LAW%20AND%20ORDER_MPS%20-%20FILL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2.28"/>
      <sheetName val="2.29"/>
      <sheetName val="Sheet1"/>
    </sheetNames>
    <sheetDataSet>
      <sheetData sheetId="0">
        <row r="5">
          <cell r="P5">
            <v>15015</v>
          </cell>
        </row>
        <row r="6">
          <cell r="A6" t="str">
            <v>Theft</v>
          </cell>
          <cell r="Q6">
            <v>25.474525474525471</v>
          </cell>
        </row>
        <row r="7">
          <cell r="A7" t="str">
            <v>Traffic accidents</v>
          </cell>
          <cell r="Q7">
            <v>15.304695304695304</v>
          </cell>
        </row>
        <row r="8">
          <cell r="A8" t="str">
            <v>Drugs</v>
          </cell>
          <cell r="Q8">
            <v>11.535131535131535</v>
          </cell>
        </row>
        <row r="9">
          <cell r="A9" t="str">
            <v>Lost Items</v>
          </cell>
          <cell r="Q9">
            <v>9.8701298701298708</v>
          </cell>
        </row>
        <row r="10">
          <cell r="A10" t="str">
            <v>Assault</v>
          </cell>
          <cell r="Q10">
            <v>4.3689643689643693</v>
          </cell>
        </row>
        <row r="11">
          <cell r="A11" t="str">
            <v>Vandalism</v>
          </cell>
          <cell r="Q11">
            <v>4.0892440892440893</v>
          </cell>
        </row>
        <row r="12">
          <cell r="A12" t="str">
            <v>Robbery</v>
          </cell>
          <cell r="Q12">
            <v>3.1834831834831836</v>
          </cell>
        </row>
        <row r="13">
          <cell r="A13" t="str">
            <v>Sexual offences</v>
          </cell>
          <cell r="Q13">
            <v>1.9247419247419246</v>
          </cell>
        </row>
        <row r="14">
          <cell r="A14" t="str">
            <v>Embezzlement</v>
          </cell>
          <cell r="Q14">
            <v>5.0149850149850153</v>
          </cell>
        </row>
        <row r="15">
          <cell r="A15" t="str">
            <v>Domestic violence</v>
          </cell>
          <cell r="Q15">
            <v>1.4851814851814853</v>
          </cell>
        </row>
        <row r="16">
          <cell r="A16" t="str">
            <v>Counterfeit and forgery</v>
          </cell>
          <cell r="Q16">
            <v>0.85248085248085248</v>
          </cell>
        </row>
        <row r="17">
          <cell r="A17" t="str">
            <v>Others</v>
          </cell>
          <cell r="Q17">
            <v>16.896436896436899</v>
          </cell>
        </row>
      </sheetData>
      <sheetData sheetId="1">
        <row r="7">
          <cell r="AD7">
            <v>11043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2D050"/>
  </sheetPr>
  <dimension ref="A1:AU48"/>
  <sheetViews>
    <sheetView tabSelected="1" zoomScale="98" zoomScaleNormal="98" zoomScaleSheetLayoutView="96" workbookViewId="0">
      <selection activeCell="S46" sqref="S46"/>
    </sheetView>
  </sheetViews>
  <sheetFormatPr defaultColWidth="9.140625" defaultRowHeight="15"/>
  <cols>
    <col min="1" max="1" width="22" style="1" customWidth="1"/>
    <col min="2" max="2" width="12" style="1" hidden="1" customWidth="1"/>
    <col min="3" max="3" width="8.42578125" style="1" hidden="1" customWidth="1"/>
    <col min="4" max="4" width="9.42578125" style="1" hidden="1" customWidth="1"/>
    <col min="5" max="5" width="9.7109375" style="1" hidden="1" customWidth="1"/>
    <col min="6" max="6" width="9.42578125" style="1" hidden="1" customWidth="1"/>
    <col min="7" max="7" width="11.85546875" style="1" hidden="1" customWidth="1"/>
    <col min="8" max="8" width="8.7109375" style="1" hidden="1" customWidth="1"/>
    <col min="9" max="16" width="11.85546875" style="1" customWidth="1"/>
    <col min="17" max="17" width="15.5703125" style="1" customWidth="1"/>
    <col min="18" max="18" width="18.28515625" style="1" customWidth="1"/>
    <col min="19" max="19" width="29.42578125" style="1" customWidth="1"/>
    <col min="20" max="21" width="2.140625" style="1" customWidth="1"/>
    <col min="22" max="22" width="9.140625" style="1"/>
    <col min="23" max="23" width="22.140625" style="1" bestFit="1" customWidth="1"/>
    <col min="24" max="33" width="9.140625" style="1"/>
    <col min="34" max="34" width="13.28515625" style="1" customWidth="1"/>
    <col min="35" max="16384" width="9.140625" style="1"/>
  </cols>
  <sheetData>
    <row r="1" spans="1:36" ht="21.75">
      <c r="A1" s="63" t="s">
        <v>55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</row>
    <row r="2" spans="1:36" ht="21.75" customHeight="1">
      <c r="A2" s="64" t="s">
        <v>56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W2" s="2"/>
    </row>
    <row r="3" spans="1:36" ht="51.75">
      <c r="A3" s="69" t="s">
        <v>0</v>
      </c>
      <c r="B3" s="71">
        <v>2008</v>
      </c>
      <c r="C3" s="71">
        <v>2009</v>
      </c>
      <c r="D3" s="65">
        <v>2011</v>
      </c>
      <c r="E3" s="65">
        <v>2012</v>
      </c>
      <c r="F3" s="65">
        <v>2013</v>
      </c>
      <c r="G3" s="65">
        <v>2014</v>
      </c>
      <c r="H3" s="65">
        <v>2015</v>
      </c>
      <c r="I3" s="65">
        <v>2016</v>
      </c>
      <c r="J3" s="65">
        <v>2017</v>
      </c>
      <c r="K3" s="65">
        <v>2018</v>
      </c>
      <c r="L3" s="65">
        <v>2019</v>
      </c>
      <c r="M3" s="65">
        <v>2020</v>
      </c>
      <c r="N3" s="65">
        <v>2021</v>
      </c>
      <c r="O3" s="65">
        <v>2022</v>
      </c>
      <c r="P3" s="65">
        <v>2023</v>
      </c>
      <c r="Q3" s="62" t="s">
        <v>1</v>
      </c>
      <c r="R3" s="62" t="s">
        <v>57</v>
      </c>
      <c r="S3" s="67" t="s">
        <v>2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6">
      <c r="A4" s="70"/>
      <c r="B4" s="72"/>
      <c r="C4" s="72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4" t="s">
        <v>58</v>
      </c>
      <c r="R4" s="4" t="s">
        <v>59</v>
      </c>
      <c r="S4" s="68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I4" s="5" t="s">
        <v>3</v>
      </c>
      <c r="AJ4" s="6">
        <v>22.549082716446701</v>
      </c>
    </row>
    <row r="5" spans="1:36" ht="15.75">
      <c r="A5" s="7" t="s">
        <v>4</v>
      </c>
      <c r="B5" s="8">
        <v>17674</v>
      </c>
      <c r="C5" s="9">
        <v>19259</v>
      </c>
      <c r="D5" s="10">
        <f>SUM(D6:D24)</f>
        <v>17803</v>
      </c>
      <c r="E5" s="10">
        <f>SUM(E6:E24)</f>
        <v>20512</v>
      </c>
      <c r="F5" s="10">
        <f>SUM(F6:F24)</f>
        <v>21885</v>
      </c>
      <c r="G5" s="10">
        <f>SUM(G6:G24)</f>
        <v>18193</v>
      </c>
      <c r="H5" s="10">
        <f t="shared" ref="H5:O5" si="0">SUM(H6:H17)</f>
        <v>16362</v>
      </c>
      <c r="I5" s="10">
        <f t="shared" si="0"/>
        <v>16287</v>
      </c>
      <c r="J5" s="10">
        <f t="shared" si="0"/>
        <v>15535</v>
      </c>
      <c r="K5" s="10">
        <f t="shared" si="0"/>
        <v>14811</v>
      </c>
      <c r="L5" s="10">
        <f t="shared" si="0"/>
        <v>16480</v>
      </c>
      <c r="M5" s="10">
        <f t="shared" si="0"/>
        <v>12787</v>
      </c>
      <c r="N5" s="10">
        <f t="shared" si="0"/>
        <v>14143</v>
      </c>
      <c r="O5" s="10">
        <f t="shared" si="0"/>
        <v>13543</v>
      </c>
      <c r="P5" s="10">
        <f>SUM(P6:P17)</f>
        <v>15015</v>
      </c>
      <c r="Q5" s="11">
        <f>P5/$P$5*100</f>
        <v>100</v>
      </c>
      <c r="R5" s="12">
        <f>((P5-O5)/O5)*100</f>
        <v>10.869083659455068</v>
      </c>
      <c r="S5" s="51" t="s">
        <v>5</v>
      </c>
      <c r="Y5" s="3"/>
      <c r="Z5" s="3"/>
      <c r="AA5" s="3"/>
      <c r="AB5" s="3"/>
      <c r="AC5" s="3"/>
      <c r="AD5" s="3"/>
      <c r="AE5" s="3"/>
      <c r="AF5" s="13"/>
      <c r="AG5" s="3"/>
      <c r="AH5" s="14"/>
      <c r="AI5" s="5" t="s">
        <v>6</v>
      </c>
      <c r="AJ5" s="15">
        <v>13.55004827808175</v>
      </c>
    </row>
    <row r="6" spans="1:36" ht="18.75">
      <c r="A6" s="16" t="s">
        <v>3</v>
      </c>
      <c r="B6" s="17">
        <v>3903</v>
      </c>
      <c r="C6" s="18">
        <v>4007</v>
      </c>
      <c r="D6" s="19">
        <v>4734</v>
      </c>
      <c r="E6" s="19">
        <v>6571</v>
      </c>
      <c r="F6" s="19">
        <v>6683</v>
      </c>
      <c r="G6" s="19">
        <v>5080</v>
      </c>
      <c r="H6" s="19">
        <v>4008</v>
      </c>
      <c r="I6" s="19">
        <v>3616</v>
      </c>
      <c r="J6" s="20">
        <v>3503</v>
      </c>
      <c r="K6" s="20">
        <v>3270</v>
      </c>
      <c r="L6" s="20">
        <v>4554</v>
      </c>
      <c r="M6" s="20">
        <v>3581</v>
      </c>
      <c r="N6" s="20">
        <v>4662</v>
      </c>
      <c r="O6" s="20">
        <v>3982</v>
      </c>
      <c r="P6" s="20">
        <v>3825</v>
      </c>
      <c r="Q6" s="21">
        <f>P6/$P$5*100</f>
        <v>25.474525474525471</v>
      </c>
      <c r="R6" s="52">
        <f>((P6-O6)/O6)*100</f>
        <v>-3.942742340532396</v>
      </c>
      <c r="S6" s="22" t="s">
        <v>7</v>
      </c>
      <c r="V6" s="20"/>
      <c r="Y6" s="3"/>
      <c r="Z6" s="3"/>
      <c r="AA6" s="3"/>
      <c r="AB6" s="3"/>
      <c r="AC6" s="3"/>
      <c r="AD6" s="3"/>
      <c r="AE6" s="3"/>
      <c r="AF6" s="13"/>
      <c r="AG6" s="23"/>
      <c r="AH6" s="24"/>
      <c r="AI6" s="5" t="s">
        <v>8</v>
      </c>
      <c r="AJ6" s="6">
        <v>13.118764081107177</v>
      </c>
    </row>
    <row r="7" spans="1:36" ht="18.75">
      <c r="A7" s="16" t="s">
        <v>6</v>
      </c>
      <c r="B7" s="17">
        <v>3838</v>
      </c>
      <c r="C7" s="18">
        <v>3013</v>
      </c>
      <c r="D7" s="19">
        <v>2251</v>
      </c>
      <c r="E7" s="19">
        <v>1974</v>
      </c>
      <c r="F7" s="19">
        <v>1930</v>
      </c>
      <c r="G7" s="19">
        <v>2137</v>
      </c>
      <c r="H7" s="19">
        <v>2044</v>
      </c>
      <c r="I7" s="19">
        <v>2242</v>
      </c>
      <c r="J7" s="20">
        <v>2105</v>
      </c>
      <c r="K7" s="20">
        <v>2007</v>
      </c>
      <c r="L7" s="20">
        <v>2324</v>
      </c>
      <c r="M7" s="20">
        <v>1390</v>
      </c>
      <c r="N7" s="20">
        <v>1553</v>
      </c>
      <c r="O7" s="20">
        <v>1618</v>
      </c>
      <c r="P7" s="20">
        <v>2298</v>
      </c>
      <c r="Q7" s="21">
        <f>P7/$P$5*100</f>
        <v>15.304695304695304</v>
      </c>
      <c r="R7" s="52">
        <f t="shared" ref="R7:R30" si="1">((P7-O7)/O7)*100</f>
        <v>42.027194066749075</v>
      </c>
      <c r="S7" s="22" t="s">
        <v>9</v>
      </c>
      <c r="V7" s="20"/>
      <c r="Y7" s="3"/>
      <c r="Z7" s="3"/>
      <c r="AA7" s="3"/>
      <c r="AB7" s="3"/>
      <c r="AC7" s="3"/>
      <c r="AD7" s="3"/>
      <c r="AE7" s="3"/>
      <c r="AF7" s="13"/>
      <c r="AG7" s="3"/>
      <c r="AH7" s="14"/>
      <c r="AI7" s="16" t="s">
        <v>11</v>
      </c>
      <c r="AJ7" s="1">
        <v>12.095268747988413</v>
      </c>
    </row>
    <row r="8" spans="1:36" ht="18.75">
      <c r="A8" s="16" t="s">
        <v>8</v>
      </c>
      <c r="B8" s="17">
        <v>2484</v>
      </c>
      <c r="C8" s="18">
        <v>2366</v>
      </c>
      <c r="D8" s="19">
        <v>1823</v>
      </c>
      <c r="E8" s="19">
        <v>2534</v>
      </c>
      <c r="F8" s="19">
        <v>3965</v>
      </c>
      <c r="G8" s="19">
        <v>3140</v>
      </c>
      <c r="H8" s="19">
        <v>2079</v>
      </c>
      <c r="I8" s="19">
        <v>2375</v>
      </c>
      <c r="J8" s="20">
        <v>2038</v>
      </c>
      <c r="K8" s="20">
        <v>2230</v>
      </c>
      <c r="L8" s="20">
        <v>2188</v>
      </c>
      <c r="M8" s="20">
        <v>1425</v>
      </c>
      <c r="N8" s="20">
        <v>1440</v>
      </c>
      <c r="O8" s="20">
        <v>1429</v>
      </c>
      <c r="P8" s="20">
        <v>1732</v>
      </c>
      <c r="Q8" s="21">
        <f t="shared" ref="Q8:Q16" si="2">P8/$P$5*100</f>
        <v>11.535131535131535</v>
      </c>
      <c r="R8" s="52">
        <f t="shared" si="1"/>
        <v>21.203638908327502</v>
      </c>
      <c r="S8" s="22" t="s">
        <v>12</v>
      </c>
      <c r="V8" s="20"/>
      <c r="Y8" s="3"/>
      <c r="Z8" s="3"/>
      <c r="AA8" s="3"/>
      <c r="AB8" s="3"/>
      <c r="AC8" s="3"/>
      <c r="AD8" s="3"/>
      <c r="AE8" s="3"/>
      <c r="AF8" s="13"/>
      <c r="AG8" s="3"/>
      <c r="AH8" s="14"/>
      <c r="AI8" s="5" t="s">
        <v>13</v>
      </c>
      <c r="AJ8" s="25">
        <v>10.653363373028645</v>
      </c>
    </row>
    <row r="9" spans="1:36" ht="18.75">
      <c r="A9" s="16" t="s">
        <v>13</v>
      </c>
      <c r="B9" s="17">
        <v>1520</v>
      </c>
      <c r="C9" s="18">
        <v>2139</v>
      </c>
      <c r="D9" s="26">
        <v>1480</v>
      </c>
      <c r="E9" s="26">
        <v>1508</v>
      </c>
      <c r="F9" s="26">
        <v>1983</v>
      </c>
      <c r="G9" s="26">
        <v>2014</v>
      </c>
      <c r="H9" s="19">
        <v>1712</v>
      </c>
      <c r="I9" s="26">
        <v>1829</v>
      </c>
      <c r="J9" s="20">
        <v>1655</v>
      </c>
      <c r="K9" s="20">
        <v>1787</v>
      </c>
      <c r="L9" s="20">
        <v>1814</v>
      </c>
      <c r="M9" s="20">
        <v>744</v>
      </c>
      <c r="N9" s="20">
        <v>974</v>
      </c>
      <c r="O9" s="20">
        <v>1412</v>
      </c>
      <c r="P9" s="20">
        <v>1482</v>
      </c>
      <c r="Q9" s="21">
        <f t="shared" si="2"/>
        <v>9.8701298701298708</v>
      </c>
      <c r="R9" s="52">
        <f t="shared" si="1"/>
        <v>4.9575070821529748</v>
      </c>
      <c r="S9" s="22" t="s">
        <v>14</v>
      </c>
      <c r="V9" s="20"/>
      <c r="Y9" s="3"/>
      <c r="Z9" s="3"/>
      <c r="AA9" s="3"/>
      <c r="AB9" s="3"/>
      <c r="AC9" s="3"/>
      <c r="AD9" s="3"/>
      <c r="AE9" s="3"/>
      <c r="AF9" s="13"/>
      <c r="AG9" s="3"/>
      <c r="AH9" s="14"/>
      <c r="AI9" s="5" t="s">
        <v>10</v>
      </c>
      <c r="AJ9" s="27">
        <v>4.9565497264242033</v>
      </c>
    </row>
    <row r="10" spans="1:36" ht="18.75">
      <c r="A10" s="16" t="s">
        <v>10</v>
      </c>
      <c r="B10" s="17">
        <v>1602</v>
      </c>
      <c r="C10" s="18">
        <v>2000</v>
      </c>
      <c r="D10" s="19">
        <v>1320</v>
      </c>
      <c r="E10" s="19">
        <v>1264</v>
      </c>
      <c r="F10" s="19">
        <v>1289</v>
      </c>
      <c r="G10" s="19">
        <v>1062</v>
      </c>
      <c r="H10" s="19">
        <v>944</v>
      </c>
      <c r="I10" s="19">
        <v>781</v>
      </c>
      <c r="J10" s="20">
        <v>770</v>
      </c>
      <c r="K10" s="20">
        <v>753</v>
      </c>
      <c r="L10" s="20">
        <v>631</v>
      </c>
      <c r="M10" s="20">
        <v>661</v>
      </c>
      <c r="N10" s="20">
        <v>610</v>
      </c>
      <c r="O10" s="20">
        <v>521</v>
      </c>
      <c r="P10" s="20">
        <v>656</v>
      </c>
      <c r="Q10" s="21">
        <f t="shared" si="2"/>
        <v>4.3689643689643693</v>
      </c>
      <c r="R10" s="52">
        <f t="shared" si="1"/>
        <v>25.911708253358924</v>
      </c>
      <c r="S10" s="22" t="s">
        <v>16</v>
      </c>
      <c r="V10" s="20"/>
      <c r="Z10" s="3"/>
      <c r="AA10" s="3"/>
      <c r="AB10" s="3"/>
      <c r="AC10" s="3"/>
      <c r="AD10" s="3"/>
      <c r="AE10" s="3"/>
      <c r="AF10" s="13"/>
      <c r="AG10" s="3"/>
      <c r="AH10" s="14"/>
      <c r="AI10" s="5" t="s">
        <v>15</v>
      </c>
      <c r="AJ10" s="6">
        <v>4.2613453492114584</v>
      </c>
    </row>
    <row r="11" spans="1:36" ht="18.75">
      <c r="A11" s="16" t="s">
        <v>17</v>
      </c>
      <c r="B11" s="17">
        <v>648</v>
      </c>
      <c r="C11" s="18">
        <v>902</v>
      </c>
      <c r="D11" s="19">
        <v>775</v>
      </c>
      <c r="E11" s="19">
        <v>880</v>
      </c>
      <c r="F11" s="19">
        <v>728</v>
      </c>
      <c r="G11" s="19">
        <v>520</v>
      </c>
      <c r="H11" s="19">
        <v>541</v>
      </c>
      <c r="I11" s="19">
        <v>359</v>
      </c>
      <c r="J11" s="20">
        <v>455</v>
      </c>
      <c r="K11" s="20">
        <v>472</v>
      </c>
      <c r="L11" s="20">
        <v>467</v>
      </c>
      <c r="M11" s="20">
        <v>395</v>
      </c>
      <c r="N11" s="20">
        <v>503</v>
      </c>
      <c r="O11" s="20">
        <v>482</v>
      </c>
      <c r="P11" s="20">
        <v>614</v>
      </c>
      <c r="Q11" s="21">
        <f t="shared" si="2"/>
        <v>4.0892440892440893</v>
      </c>
      <c r="R11" s="52">
        <f t="shared" si="1"/>
        <v>27.385892116182575</v>
      </c>
      <c r="S11" s="22" t="s">
        <v>18</v>
      </c>
      <c r="V11" s="20"/>
      <c r="Y11" s="3"/>
      <c r="Z11" s="3"/>
      <c r="AA11" s="3"/>
      <c r="AB11" s="3"/>
      <c r="AC11" s="3"/>
      <c r="AD11" s="3"/>
      <c r="AE11" s="3"/>
      <c r="AF11" s="13"/>
      <c r="AG11" s="3"/>
      <c r="AH11" s="14"/>
      <c r="AI11" s="28" t="s">
        <v>19</v>
      </c>
      <c r="AJ11" s="27">
        <v>4.119729642742195</v>
      </c>
    </row>
    <row r="12" spans="1:36" ht="18.75">
      <c r="A12" s="16" t="s">
        <v>15</v>
      </c>
      <c r="B12" s="17">
        <v>596</v>
      </c>
      <c r="C12" s="18">
        <v>589</v>
      </c>
      <c r="D12" s="19">
        <v>718</v>
      </c>
      <c r="E12" s="19">
        <v>972</v>
      </c>
      <c r="F12" s="19">
        <v>729</v>
      </c>
      <c r="G12" s="19">
        <v>620</v>
      </c>
      <c r="H12" s="19">
        <v>546</v>
      </c>
      <c r="I12" s="19">
        <v>716</v>
      </c>
      <c r="J12" s="20">
        <v>662</v>
      </c>
      <c r="K12" s="20">
        <v>537</v>
      </c>
      <c r="L12" s="20">
        <v>483</v>
      </c>
      <c r="M12" s="20">
        <v>348</v>
      </c>
      <c r="N12" s="20">
        <v>377</v>
      </c>
      <c r="O12" s="20">
        <v>372</v>
      </c>
      <c r="P12" s="20">
        <v>478</v>
      </c>
      <c r="Q12" s="21">
        <f t="shared" si="2"/>
        <v>3.1834831834831836</v>
      </c>
      <c r="R12" s="52">
        <f t="shared" si="1"/>
        <v>28.49462365591398</v>
      </c>
      <c r="S12" s="22" t="s">
        <v>20</v>
      </c>
      <c r="V12" s="20"/>
      <c r="Y12" s="3"/>
      <c r="Z12" s="3"/>
      <c r="AA12" s="3"/>
      <c r="AB12" s="3"/>
      <c r="AC12" s="3"/>
      <c r="AD12" s="3"/>
      <c r="AE12" s="3"/>
      <c r="AF12" s="13"/>
      <c r="AG12" s="3"/>
      <c r="AH12" s="14"/>
      <c r="AI12" s="5" t="s">
        <v>21</v>
      </c>
      <c r="AJ12" s="15">
        <v>3.3344061795944637</v>
      </c>
    </row>
    <row r="13" spans="1:36" ht="18.75">
      <c r="A13" s="16" t="s">
        <v>22</v>
      </c>
      <c r="B13" s="17">
        <v>455</v>
      </c>
      <c r="C13" s="18">
        <v>563</v>
      </c>
      <c r="D13" s="19">
        <v>642</v>
      </c>
      <c r="E13" s="19">
        <v>577</v>
      </c>
      <c r="F13" s="19">
        <v>573</v>
      </c>
      <c r="G13" s="19">
        <v>475</v>
      </c>
      <c r="H13" s="19">
        <v>540</v>
      </c>
      <c r="I13" s="19">
        <v>467</v>
      </c>
      <c r="J13" s="20">
        <v>417</v>
      </c>
      <c r="K13" s="20">
        <v>361</v>
      </c>
      <c r="L13" s="20">
        <v>405</v>
      </c>
      <c r="M13" s="20">
        <v>490</v>
      </c>
      <c r="N13" s="20">
        <v>342</v>
      </c>
      <c r="O13" s="20">
        <v>334</v>
      </c>
      <c r="P13" s="20">
        <v>289</v>
      </c>
      <c r="Q13" s="21">
        <f t="shared" si="2"/>
        <v>1.9247419247419246</v>
      </c>
      <c r="R13" s="52">
        <f t="shared" si="1"/>
        <v>-13.473053892215569</v>
      </c>
      <c r="S13" s="22" t="s">
        <v>23</v>
      </c>
      <c r="V13" s="20"/>
      <c r="Y13" s="3"/>
      <c r="Z13" s="3"/>
      <c r="AA13" s="3"/>
      <c r="AB13" s="3"/>
      <c r="AC13" s="3"/>
      <c r="AD13" s="3"/>
      <c r="AE13" s="3"/>
      <c r="AF13" s="13"/>
      <c r="AG13" s="3"/>
      <c r="AH13" s="14"/>
      <c r="AI13" s="5" t="s">
        <v>17</v>
      </c>
      <c r="AJ13" s="27">
        <v>2.9288702928870292</v>
      </c>
    </row>
    <row r="14" spans="1:36" ht="18.75">
      <c r="A14" s="16" t="s">
        <v>21</v>
      </c>
      <c r="B14" s="17">
        <v>313</v>
      </c>
      <c r="C14" s="18">
        <v>391</v>
      </c>
      <c r="D14" s="19">
        <v>364</v>
      </c>
      <c r="E14" s="19">
        <v>311</v>
      </c>
      <c r="F14" s="19">
        <v>391</v>
      </c>
      <c r="G14" s="19">
        <v>377</v>
      </c>
      <c r="H14" s="19">
        <v>744</v>
      </c>
      <c r="I14" s="19">
        <v>523</v>
      </c>
      <c r="J14" s="20">
        <v>518</v>
      </c>
      <c r="K14" s="20">
        <v>516</v>
      </c>
      <c r="L14" s="20">
        <v>494</v>
      </c>
      <c r="M14" s="20">
        <v>609</v>
      </c>
      <c r="N14" s="20">
        <v>987</v>
      </c>
      <c r="O14" s="20">
        <v>914</v>
      </c>
      <c r="P14" s="20">
        <v>753</v>
      </c>
      <c r="Q14" s="21">
        <f t="shared" si="2"/>
        <v>5.0149850149850153</v>
      </c>
      <c r="R14" s="52">
        <f t="shared" si="1"/>
        <v>-17.61487964989059</v>
      </c>
      <c r="S14" s="22" t="s">
        <v>25</v>
      </c>
      <c r="V14" s="20"/>
      <c r="Y14" s="3"/>
      <c r="Z14" s="3"/>
      <c r="AA14" s="3"/>
      <c r="AB14" s="3"/>
      <c r="AC14" s="3"/>
      <c r="AD14" s="3"/>
      <c r="AE14" s="3"/>
      <c r="AF14" s="13"/>
      <c r="AG14" s="3"/>
      <c r="AH14" s="14"/>
      <c r="AI14" s="5" t="s">
        <v>22</v>
      </c>
      <c r="AJ14" s="15">
        <v>2.6842613453492112</v>
      </c>
    </row>
    <row r="15" spans="1:36" ht="18.75">
      <c r="A15" s="16" t="s">
        <v>24</v>
      </c>
      <c r="B15" s="17">
        <v>172</v>
      </c>
      <c r="C15" s="18">
        <v>156</v>
      </c>
      <c r="D15" s="19">
        <v>146</v>
      </c>
      <c r="E15" s="19">
        <v>179</v>
      </c>
      <c r="F15" s="19">
        <v>207</v>
      </c>
      <c r="G15" s="19">
        <v>186</v>
      </c>
      <c r="H15" s="19">
        <v>346</v>
      </c>
      <c r="I15" s="19">
        <v>305</v>
      </c>
      <c r="J15" s="20">
        <v>279</v>
      </c>
      <c r="K15" s="20">
        <v>240</v>
      </c>
      <c r="L15" s="20">
        <v>219</v>
      </c>
      <c r="M15" s="20">
        <v>245</v>
      </c>
      <c r="N15" s="20">
        <v>267</v>
      </c>
      <c r="O15" s="20">
        <v>228</v>
      </c>
      <c r="P15" s="20">
        <v>223</v>
      </c>
      <c r="Q15" s="21">
        <f t="shared" si="2"/>
        <v>1.4851814851814853</v>
      </c>
      <c r="R15" s="52">
        <f t="shared" si="1"/>
        <v>-2.1929824561403506</v>
      </c>
      <c r="S15" s="22" t="s">
        <v>27</v>
      </c>
      <c r="V15" s="20"/>
      <c r="Y15" s="3"/>
      <c r="Z15" s="3"/>
      <c r="AA15" s="3"/>
      <c r="AB15" s="3"/>
      <c r="AC15" s="3"/>
      <c r="AD15" s="3"/>
      <c r="AE15" s="3"/>
      <c r="AF15" s="13"/>
      <c r="AG15" s="3"/>
      <c r="AH15" s="14"/>
      <c r="AI15" s="28" t="s">
        <v>28</v>
      </c>
      <c r="AJ15" s="15">
        <v>1.9826198905696812</v>
      </c>
    </row>
    <row r="16" spans="1:36" ht="18.75">
      <c r="A16" s="16" t="s">
        <v>26</v>
      </c>
      <c r="B16" s="17">
        <v>98</v>
      </c>
      <c r="C16" s="18">
        <v>133</v>
      </c>
      <c r="D16" s="19">
        <v>136</v>
      </c>
      <c r="E16" s="19">
        <v>126</v>
      </c>
      <c r="F16" s="19">
        <v>97</v>
      </c>
      <c r="G16" s="19">
        <v>77</v>
      </c>
      <c r="H16" s="19">
        <v>91</v>
      </c>
      <c r="I16" s="19">
        <v>97</v>
      </c>
      <c r="J16" s="20">
        <v>86</v>
      </c>
      <c r="K16" s="20">
        <v>71</v>
      </c>
      <c r="L16" s="20">
        <v>86</v>
      </c>
      <c r="M16" s="20">
        <v>108</v>
      </c>
      <c r="N16" s="20">
        <v>150</v>
      </c>
      <c r="O16" s="20">
        <v>116</v>
      </c>
      <c r="P16" s="20">
        <v>128</v>
      </c>
      <c r="Q16" s="21">
        <f t="shared" si="2"/>
        <v>0.85248085248085248</v>
      </c>
      <c r="R16" s="52">
        <f t="shared" si="1"/>
        <v>10.344827586206897</v>
      </c>
      <c r="S16" s="22" t="s">
        <v>29</v>
      </c>
      <c r="V16" s="20"/>
      <c r="Y16" s="3"/>
      <c r="Z16" s="3"/>
      <c r="AA16" s="3"/>
      <c r="AB16" s="3"/>
      <c r="AC16" s="3"/>
      <c r="AD16" s="3"/>
      <c r="AE16" s="3"/>
      <c r="AF16" s="13"/>
      <c r="AG16" s="3"/>
      <c r="AH16" s="14"/>
      <c r="AI16" s="28" t="s">
        <v>30</v>
      </c>
      <c r="AJ16" s="15">
        <v>1.9697457354361119</v>
      </c>
    </row>
    <row r="17" spans="1:36" ht="18.75">
      <c r="A17" s="48" t="s">
        <v>11</v>
      </c>
      <c r="B17" s="58">
        <v>1763</v>
      </c>
      <c r="C17" s="59">
        <v>2399</v>
      </c>
      <c r="D17" s="57">
        <v>3414</v>
      </c>
      <c r="E17" s="57">
        <v>3616</v>
      </c>
      <c r="F17" s="57">
        <v>3310</v>
      </c>
      <c r="G17" s="57">
        <v>2505</v>
      </c>
      <c r="H17" s="60">
        <v>2767</v>
      </c>
      <c r="I17" s="60">
        <v>2977</v>
      </c>
      <c r="J17" s="60">
        <v>3047</v>
      </c>
      <c r="K17" s="42">
        <v>2567</v>
      </c>
      <c r="L17" s="42">
        <f>SUM(L18:L30)</f>
        <v>2815</v>
      </c>
      <c r="M17" s="42">
        <f>SUM(M18:M30)</f>
        <v>2791</v>
      </c>
      <c r="N17" s="42">
        <v>2278</v>
      </c>
      <c r="O17" s="42">
        <v>2135</v>
      </c>
      <c r="P17" s="42">
        <v>2537</v>
      </c>
      <c r="Q17" s="61">
        <f>P17/$P$5*100</f>
        <v>16.896436896436899</v>
      </c>
      <c r="R17" s="53">
        <f t="shared" si="1"/>
        <v>18.829039812646371</v>
      </c>
      <c r="S17" s="49" t="s">
        <v>31</v>
      </c>
      <c r="V17" s="20"/>
      <c r="Y17" s="3"/>
      <c r="Z17" s="3"/>
      <c r="AA17" s="3"/>
      <c r="AB17" s="3"/>
      <c r="AC17" s="3"/>
      <c r="AD17" s="3"/>
      <c r="AE17" s="3"/>
      <c r="AF17" s="13"/>
      <c r="AG17" s="3"/>
      <c r="AH17" s="14"/>
      <c r="AI17" s="5" t="s">
        <v>24</v>
      </c>
      <c r="AJ17" s="27">
        <v>1.7959446411329256</v>
      </c>
    </row>
    <row r="18" spans="1:36" ht="11.25" hidden="1" customHeight="1">
      <c r="A18" s="29" t="s">
        <v>32</v>
      </c>
      <c r="B18" s="30"/>
      <c r="C18" s="30"/>
      <c r="D18" s="30"/>
      <c r="E18" s="30"/>
      <c r="F18" s="30"/>
      <c r="G18" s="30"/>
      <c r="H18" s="20">
        <v>123</v>
      </c>
      <c r="I18" s="20">
        <v>101</v>
      </c>
      <c r="J18" s="20">
        <v>105</v>
      </c>
      <c r="K18" s="20">
        <v>29</v>
      </c>
      <c r="L18" s="20">
        <v>29</v>
      </c>
      <c r="M18" s="20">
        <v>24</v>
      </c>
      <c r="N18" s="20"/>
      <c r="O18" s="20"/>
      <c r="P18" s="20"/>
      <c r="Q18" s="21">
        <f t="shared" ref="Q18:Q30" si="3">N18/$N$5*100</f>
        <v>0</v>
      </c>
      <c r="R18" s="52" t="e">
        <f t="shared" si="1"/>
        <v>#DIV/0!</v>
      </c>
      <c r="S18" s="31" t="s">
        <v>33</v>
      </c>
      <c r="V18" s="20"/>
      <c r="Y18" s="3"/>
      <c r="Z18" s="3"/>
      <c r="AA18" s="3"/>
      <c r="AB18" s="3"/>
      <c r="AC18" s="3"/>
      <c r="AD18" s="3"/>
      <c r="AE18" s="3"/>
      <c r="AF18" s="13"/>
      <c r="AG18" s="3"/>
      <c r="AH18" s="14"/>
    </row>
    <row r="19" spans="1:36" ht="11.25" hidden="1" customHeight="1">
      <c r="A19" s="29" t="s">
        <v>34</v>
      </c>
      <c r="B19" s="30"/>
      <c r="C19" s="30"/>
      <c r="D19" s="30"/>
      <c r="E19" s="30"/>
      <c r="F19" s="30"/>
      <c r="G19" s="30"/>
      <c r="H19" s="20">
        <v>62</v>
      </c>
      <c r="I19" s="20">
        <v>59</v>
      </c>
      <c r="J19" s="20">
        <v>70</v>
      </c>
      <c r="K19" s="20">
        <v>36</v>
      </c>
      <c r="L19" s="20">
        <v>56</v>
      </c>
      <c r="M19" s="20">
        <v>63</v>
      </c>
      <c r="N19" s="20"/>
      <c r="O19" s="20"/>
      <c r="P19" s="20"/>
      <c r="Q19" s="21">
        <f t="shared" si="3"/>
        <v>0</v>
      </c>
      <c r="R19" s="52" t="e">
        <f t="shared" si="1"/>
        <v>#DIV/0!</v>
      </c>
      <c r="S19" s="31" t="s">
        <v>35</v>
      </c>
      <c r="V19" s="20"/>
      <c r="Y19" s="3"/>
      <c r="Z19" s="3"/>
      <c r="AA19" s="3"/>
      <c r="AB19" s="3"/>
      <c r="AC19" s="3"/>
      <c r="AD19" s="3"/>
      <c r="AE19" s="3"/>
      <c r="AF19" s="13"/>
      <c r="AG19" s="3"/>
      <c r="AH19" s="14"/>
      <c r="AI19" s="32" t="s">
        <v>36</v>
      </c>
      <c r="AJ19" s="33">
        <v>0.90762793691663979</v>
      </c>
    </row>
    <row r="20" spans="1:36" ht="11.25" hidden="1" customHeight="1">
      <c r="A20" s="29" t="s">
        <v>37</v>
      </c>
      <c r="H20" s="20">
        <v>50</v>
      </c>
      <c r="I20" s="20">
        <v>47</v>
      </c>
      <c r="J20" s="20">
        <v>54</v>
      </c>
      <c r="K20" s="20">
        <v>55</v>
      </c>
      <c r="L20" s="20">
        <v>60</v>
      </c>
      <c r="M20" s="20">
        <v>40</v>
      </c>
      <c r="N20" s="20"/>
      <c r="O20" s="20"/>
      <c r="P20" s="20"/>
      <c r="Q20" s="21">
        <f t="shared" si="3"/>
        <v>0</v>
      </c>
      <c r="R20" s="52" t="e">
        <f t="shared" si="1"/>
        <v>#DIV/0!</v>
      </c>
      <c r="S20" s="31" t="s">
        <v>38</v>
      </c>
      <c r="V20" s="20"/>
      <c r="Y20" s="3"/>
      <c r="Z20" s="3"/>
      <c r="AA20" s="3"/>
      <c r="AB20" s="3"/>
      <c r="AC20" s="3"/>
      <c r="AD20" s="3"/>
      <c r="AE20" s="3"/>
      <c r="AF20" s="13"/>
      <c r="AG20" s="3"/>
      <c r="AH20" s="14"/>
      <c r="AI20" s="32" t="s">
        <v>32</v>
      </c>
      <c r="AJ20" s="33">
        <v>0.67589314451239135</v>
      </c>
    </row>
    <row r="21" spans="1:36" ht="11.25" hidden="1" customHeight="1">
      <c r="A21" s="29" t="s">
        <v>39</v>
      </c>
      <c r="H21" s="20">
        <v>108</v>
      </c>
      <c r="I21" s="20">
        <v>77</v>
      </c>
      <c r="J21" s="20">
        <v>71</v>
      </c>
      <c r="K21" s="20">
        <v>58</v>
      </c>
      <c r="L21" s="20">
        <v>68</v>
      </c>
      <c r="M21" s="20">
        <v>74</v>
      </c>
      <c r="N21" s="20"/>
      <c r="O21" s="20"/>
      <c r="P21" s="20"/>
      <c r="Q21" s="21">
        <f t="shared" si="3"/>
        <v>0</v>
      </c>
      <c r="R21" s="52" t="e">
        <f t="shared" si="1"/>
        <v>#DIV/0!</v>
      </c>
      <c r="S21" s="31" t="s">
        <v>40</v>
      </c>
      <c r="V21" s="20"/>
      <c r="Y21" s="3"/>
      <c r="Z21" s="3"/>
      <c r="AA21" s="3"/>
      <c r="AB21" s="3"/>
      <c r="AC21" s="3"/>
      <c r="AD21" s="3"/>
      <c r="AE21" s="3"/>
      <c r="AF21" s="13"/>
      <c r="AG21" s="3"/>
      <c r="AH21" s="14"/>
      <c r="AI21" s="34" t="s">
        <v>26</v>
      </c>
      <c r="AJ21" s="33">
        <v>0.5535886707434825</v>
      </c>
    </row>
    <row r="22" spans="1:36" ht="11.25" hidden="1" customHeight="1">
      <c r="A22" s="29" t="s">
        <v>30</v>
      </c>
      <c r="H22" s="20">
        <v>201</v>
      </c>
      <c r="I22" s="20">
        <v>275</v>
      </c>
      <c r="J22" s="20">
        <v>306</v>
      </c>
      <c r="K22" s="20">
        <v>246</v>
      </c>
      <c r="L22" s="20">
        <v>218</v>
      </c>
      <c r="M22" s="20">
        <v>112</v>
      </c>
      <c r="N22" s="20"/>
      <c r="O22" s="20"/>
      <c r="P22" s="20"/>
      <c r="Q22" s="21">
        <f t="shared" si="3"/>
        <v>0</v>
      </c>
      <c r="R22" s="52" t="e">
        <f t="shared" si="1"/>
        <v>#DIV/0!</v>
      </c>
      <c r="S22" s="31" t="s">
        <v>41</v>
      </c>
      <c r="V22" s="20"/>
      <c r="Y22" s="3"/>
      <c r="Z22" s="3"/>
      <c r="AA22" s="3"/>
      <c r="AB22" s="3"/>
      <c r="AC22" s="3"/>
      <c r="AD22" s="3"/>
      <c r="AE22" s="3"/>
      <c r="AF22" s="13"/>
      <c r="AG22" s="3"/>
      <c r="AH22" s="14"/>
      <c r="AI22" s="32" t="s">
        <v>39</v>
      </c>
      <c r="AJ22" s="33">
        <v>0.45703250724171229</v>
      </c>
    </row>
    <row r="23" spans="1:36" ht="11.25" hidden="1" customHeight="1">
      <c r="A23" s="29" t="s">
        <v>28</v>
      </c>
      <c r="H23" s="20">
        <v>320</v>
      </c>
      <c r="I23" s="20">
        <v>286</v>
      </c>
      <c r="J23" s="20">
        <v>308</v>
      </c>
      <c r="K23" s="20">
        <v>213</v>
      </c>
      <c r="L23" s="20">
        <v>185</v>
      </c>
      <c r="M23" s="20">
        <v>153</v>
      </c>
      <c r="N23" s="20"/>
      <c r="O23" s="20"/>
      <c r="P23" s="20"/>
      <c r="Q23" s="21">
        <f t="shared" si="3"/>
        <v>0</v>
      </c>
      <c r="R23" s="52" t="e">
        <f t="shared" si="1"/>
        <v>#DIV/0!</v>
      </c>
      <c r="S23" s="31" t="s">
        <v>42</v>
      </c>
      <c r="V23" s="20"/>
      <c r="Y23" s="3"/>
      <c r="Z23" s="3"/>
      <c r="AA23" s="3"/>
      <c r="AB23" s="3"/>
      <c r="AC23" s="3"/>
      <c r="AD23" s="3"/>
      <c r="AE23" s="3"/>
      <c r="AF23" s="13"/>
      <c r="AG23" s="3"/>
      <c r="AH23" s="14"/>
      <c r="AI23" s="32" t="s">
        <v>34</v>
      </c>
      <c r="AJ23" s="35">
        <v>0.45059542967492755</v>
      </c>
    </row>
    <row r="24" spans="1:36" ht="11.25" hidden="1" customHeight="1">
      <c r="A24" s="29" t="s">
        <v>36</v>
      </c>
      <c r="H24" s="20">
        <v>100</v>
      </c>
      <c r="I24" s="20">
        <v>147</v>
      </c>
      <c r="J24" s="20">
        <v>141</v>
      </c>
      <c r="K24" s="20">
        <v>92</v>
      </c>
      <c r="L24" s="20">
        <v>79</v>
      </c>
      <c r="M24" s="20">
        <v>121</v>
      </c>
      <c r="N24" s="20"/>
      <c r="O24" s="20"/>
      <c r="P24" s="20"/>
      <c r="Q24" s="21">
        <f t="shared" si="3"/>
        <v>0</v>
      </c>
      <c r="R24" s="52" t="e">
        <f t="shared" si="1"/>
        <v>#DIV/0!</v>
      </c>
      <c r="S24" s="31" t="s">
        <v>43</v>
      </c>
      <c r="V24" s="20"/>
      <c r="Y24" s="3"/>
      <c r="Z24" s="3"/>
      <c r="AA24" s="3"/>
      <c r="AB24" s="3"/>
      <c r="AC24" s="3"/>
      <c r="AD24" s="3"/>
      <c r="AE24" s="3"/>
      <c r="AF24" s="3"/>
      <c r="AI24" s="32" t="s">
        <v>44</v>
      </c>
      <c r="AJ24" s="33">
        <v>0.41841004184100417</v>
      </c>
    </row>
    <row r="25" spans="1:36" s="37" customFormat="1" ht="11.25" hidden="1" customHeight="1">
      <c r="A25" s="29" t="s">
        <v>44</v>
      </c>
      <c r="B25" s="17"/>
      <c r="C25" s="17"/>
      <c r="D25" s="17"/>
      <c r="E25" s="17"/>
      <c r="F25" s="36"/>
      <c r="G25" s="36"/>
      <c r="H25" s="20">
        <v>83</v>
      </c>
      <c r="I25" s="20">
        <v>72</v>
      </c>
      <c r="J25" s="20">
        <v>65</v>
      </c>
      <c r="K25" s="20">
        <v>87</v>
      </c>
      <c r="L25" s="20">
        <v>73</v>
      </c>
      <c r="M25" s="20">
        <v>104</v>
      </c>
      <c r="N25" s="20"/>
      <c r="O25" s="20"/>
      <c r="P25" s="20"/>
      <c r="Q25" s="21">
        <f t="shared" si="3"/>
        <v>0</v>
      </c>
      <c r="R25" s="52" t="e">
        <f t="shared" si="1"/>
        <v>#DIV/0!</v>
      </c>
      <c r="S25" s="31" t="s">
        <v>45</v>
      </c>
      <c r="V25" s="20"/>
      <c r="Y25" s="23"/>
      <c r="Z25" s="23"/>
      <c r="AA25" s="23"/>
      <c r="AB25" s="23"/>
      <c r="AC25" s="23"/>
      <c r="AD25" s="23"/>
      <c r="AE25" s="23"/>
      <c r="AF25" s="23"/>
      <c r="AG25" s="23"/>
      <c r="AI25" s="32" t="s">
        <v>37</v>
      </c>
      <c r="AJ25" s="35">
        <v>0.34760218860637271</v>
      </c>
    </row>
    <row r="26" spans="1:36" s="37" customFormat="1" ht="11.25" hidden="1" customHeight="1">
      <c r="A26" s="29" t="s">
        <v>46</v>
      </c>
      <c r="B26" s="1"/>
      <c r="C26" s="1"/>
      <c r="D26" s="1"/>
      <c r="E26" s="1"/>
      <c r="F26" s="1"/>
      <c r="G26" s="1"/>
      <c r="H26" s="20">
        <v>53</v>
      </c>
      <c r="I26" s="20">
        <v>55</v>
      </c>
      <c r="J26" s="20">
        <v>52</v>
      </c>
      <c r="K26" s="20">
        <v>28</v>
      </c>
      <c r="L26" s="20">
        <v>72</v>
      </c>
      <c r="M26" s="20">
        <v>56</v>
      </c>
      <c r="N26" s="20"/>
      <c r="O26" s="20"/>
      <c r="P26" s="20"/>
      <c r="Q26" s="21">
        <f t="shared" si="3"/>
        <v>0</v>
      </c>
      <c r="R26" s="52" t="e">
        <f t="shared" si="1"/>
        <v>#DIV/0!</v>
      </c>
      <c r="S26" s="31" t="s">
        <v>47</v>
      </c>
      <c r="V26" s="20"/>
      <c r="Y26" s="23"/>
      <c r="Z26" s="23"/>
      <c r="AA26" s="23"/>
      <c r="AB26" s="23"/>
      <c r="AC26" s="23"/>
      <c r="AD26" s="23"/>
      <c r="AE26" s="23"/>
      <c r="AF26" s="23"/>
      <c r="AG26" s="23"/>
      <c r="AI26" s="32" t="s">
        <v>46</v>
      </c>
      <c r="AJ26" s="35">
        <v>0.33472803347280333</v>
      </c>
    </row>
    <row r="27" spans="1:36" ht="11.25" hidden="1" customHeight="1">
      <c r="A27" s="29" t="s">
        <v>19</v>
      </c>
      <c r="H27" s="20">
        <v>515</v>
      </c>
      <c r="I27" s="20">
        <v>599</v>
      </c>
      <c r="J27" s="20">
        <v>640</v>
      </c>
      <c r="K27" s="20">
        <v>536</v>
      </c>
      <c r="L27" s="20">
        <v>492</v>
      </c>
      <c r="M27" s="20">
        <v>623</v>
      </c>
      <c r="N27" s="20"/>
      <c r="O27" s="20"/>
      <c r="P27" s="20"/>
      <c r="Q27" s="21">
        <f t="shared" si="3"/>
        <v>0</v>
      </c>
      <c r="R27" s="52" t="e">
        <f t="shared" si="1"/>
        <v>#DIV/0!</v>
      </c>
      <c r="S27" s="31" t="s">
        <v>48</v>
      </c>
      <c r="V27" s="20"/>
      <c r="AI27" s="32" t="s">
        <v>49</v>
      </c>
      <c r="AJ27" s="33">
        <v>0.23817186997103315</v>
      </c>
    </row>
    <row r="28" spans="1:36" ht="11.25" hidden="1" customHeight="1">
      <c r="A28" s="29" t="s">
        <v>49</v>
      </c>
      <c r="H28" s="20">
        <v>57</v>
      </c>
      <c r="I28" s="20">
        <v>41</v>
      </c>
      <c r="J28" s="20">
        <v>37</v>
      </c>
      <c r="K28" s="20">
        <v>39</v>
      </c>
      <c r="L28" s="20">
        <v>19</v>
      </c>
      <c r="M28" s="20">
        <v>8</v>
      </c>
      <c r="N28" s="20"/>
      <c r="O28" s="20"/>
      <c r="P28" s="20"/>
      <c r="Q28" s="21">
        <f t="shared" si="3"/>
        <v>0</v>
      </c>
      <c r="R28" s="52" t="e">
        <f t="shared" si="1"/>
        <v>#DIV/0!</v>
      </c>
      <c r="S28" s="31" t="s">
        <v>50</v>
      </c>
      <c r="V28" s="20"/>
      <c r="AI28" s="38" t="s">
        <v>51</v>
      </c>
      <c r="AJ28" s="14">
        <v>0.14805278403604766</v>
      </c>
    </row>
    <row r="29" spans="1:36" ht="11.25" hidden="1" customHeight="1">
      <c r="A29" s="29" t="s">
        <v>51</v>
      </c>
      <c r="H29" s="20">
        <v>28</v>
      </c>
      <c r="I29" s="20">
        <v>20</v>
      </c>
      <c r="J29" s="20">
        <v>23</v>
      </c>
      <c r="K29" s="20">
        <v>27</v>
      </c>
      <c r="L29" s="20">
        <v>15</v>
      </c>
      <c r="M29" s="20">
        <v>17</v>
      </c>
      <c r="N29" s="20"/>
      <c r="O29" s="20"/>
      <c r="P29" s="20"/>
      <c r="Q29" s="21">
        <f t="shared" si="3"/>
        <v>0</v>
      </c>
      <c r="R29" s="52" t="e">
        <f t="shared" si="1"/>
        <v>#DIV/0!</v>
      </c>
      <c r="S29" s="31" t="s">
        <v>52</v>
      </c>
      <c r="V29" s="20"/>
      <c r="Y29" s="3"/>
      <c r="Z29" s="3"/>
      <c r="AA29" s="3"/>
      <c r="AB29" s="3"/>
      <c r="AC29" s="3"/>
      <c r="AD29" s="3"/>
      <c r="AE29" s="3"/>
      <c r="AF29" s="3"/>
      <c r="AI29" s="39"/>
      <c r="AJ29" s="27">
        <f>SUM(AJ19:AJ28)</f>
        <v>4.5317026070164141</v>
      </c>
    </row>
    <row r="30" spans="1:36" ht="11.25" hidden="1" customHeight="1">
      <c r="A30" s="40" t="s">
        <v>11</v>
      </c>
      <c r="B30" s="41"/>
      <c r="C30" s="41"/>
      <c r="D30" s="41"/>
      <c r="E30" s="41"/>
      <c r="F30" s="41"/>
      <c r="G30" s="41"/>
      <c r="H30" s="42">
        <v>1067</v>
      </c>
      <c r="I30" s="42">
        <v>1198</v>
      </c>
      <c r="J30" s="42">
        <v>1175</v>
      </c>
      <c r="K30" s="42">
        <v>1121</v>
      </c>
      <c r="L30" s="42">
        <v>1449</v>
      </c>
      <c r="M30" s="42">
        <v>1396</v>
      </c>
      <c r="N30" s="42"/>
      <c r="O30" s="42"/>
      <c r="P30" s="42"/>
      <c r="Q30" s="61">
        <f t="shared" si="3"/>
        <v>0</v>
      </c>
      <c r="R30" s="53" t="e">
        <f t="shared" si="1"/>
        <v>#DIV/0!</v>
      </c>
      <c r="S30" s="43" t="s">
        <v>31</v>
      </c>
      <c r="V30" s="20"/>
      <c r="Y30" s="3"/>
      <c r="Z30" s="3"/>
      <c r="AA30" s="3"/>
      <c r="AB30" s="3"/>
      <c r="AC30" s="3"/>
      <c r="AD30" s="3"/>
      <c r="AE30" s="3"/>
      <c r="AF30" s="3"/>
      <c r="AI30" s="29" t="s">
        <v>11</v>
      </c>
      <c r="AJ30" s="1">
        <v>7.5635661409719983</v>
      </c>
    </row>
    <row r="31" spans="1:36" s="44" customFormat="1" ht="16.5">
      <c r="A31" s="46" t="s">
        <v>53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50" t="s">
        <v>54</v>
      </c>
      <c r="V31" s="20"/>
      <c r="Z31" s="3"/>
      <c r="AA31" s="3"/>
      <c r="AB31" s="3"/>
      <c r="AC31" s="3"/>
      <c r="AD31" s="3"/>
      <c r="AE31" s="3"/>
      <c r="AF31" s="3"/>
      <c r="AG31" s="3"/>
      <c r="AI31" s="45" t="s">
        <v>11</v>
      </c>
      <c r="AJ31" s="33">
        <v>19.61377534599292</v>
      </c>
    </row>
    <row r="32" spans="1:36">
      <c r="Y32" s="3"/>
      <c r="Z32" s="3"/>
      <c r="AA32" s="3"/>
      <c r="AB32" s="3"/>
      <c r="AC32" s="3"/>
      <c r="AD32" s="3"/>
      <c r="AE32" s="3"/>
      <c r="AF32" s="3"/>
      <c r="AG32" s="3"/>
    </row>
    <row r="33" spans="23:47" ht="19.5" customHeight="1">
      <c r="W33" s="29"/>
      <c r="X33" s="29"/>
    </row>
    <row r="34" spans="23:47" ht="19.5" customHeight="1">
      <c r="W34" s="29"/>
      <c r="X34" s="29"/>
    </row>
    <row r="35" spans="23:47" ht="19.5" customHeight="1">
      <c r="W35" s="54"/>
      <c r="X35" s="29"/>
    </row>
    <row r="36" spans="23:47" ht="19.5" customHeight="1">
      <c r="W36" s="55"/>
      <c r="X36" s="29"/>
    </row>
    <row r="37" spans="23:47">
      <c r="W37" s="55"/>
      <c r="X37" s="29"/>
    </row>
    <row r="38" spans="23:47">
      <c r="W38" s="55"/>
      <c r="X38" s="29"/>
    </row>
    <row r="39" spans="23:47">
      <c r="W39" s="55"/>
    </row>
    <row r="40" spans="23:47">
      <c r="W40" s="55"/>
    </row>
    <row r="41" spans="23:47">
      <c r="W41" s="55"/>
    </row>
    <row r="42" spans="23:47">
      <c r="W42" s="55"/>
    </row>
    <row r="43" spans="23:47">
      <c r="W43" s="55"/>
      <c r="AH43" s="1">
        <v>2010</v>
      </c>
      <c r="AI43" s="1">
        <v>2011</v>
      </c>
      <c r="AJ43" s="1">
        <v>2012</v>
      </c>
      <c r="AK43" s="1">
        <v>2013</v>
      </c>
      <c r="AL43" s="1">
        <v>2014</v>
      </c>
      <c r="AM43" s="1">
        <v>2015</v>
      </c>
      <c r="AN43" s="1">
        <v>2016</v>
      </c>
      <c r="AO43" s="1">
        <v>2017</v>
      </c>
      <c r="AP43" s="1">
        <v>2018</v>
      </c>
      <c r="AQ43" s="1">
        <v>2019</v>
      </c>
      <c r="AR43" s="1">
        <v>2020</v>
      </c>
      <c r="AS43" s="1">
        <v>2021</v>
      </c>
      <c r="AT43" s="1">
        <v>2022</v>
      </c>
      <c r="AU43" s="1">
        <v>2023</v>
      </c>
    </row>
    <row r="44" spans="23:47">
      <c r="W44" s="56"/>
      <c r="AG44" s="16" t="s">
        <v>3</v>
      </c>
      <c r="AH44" s="47">
        <v>-0.149737958572498</v>
      </c>
      <c r="AI44" s="47">
        <v>18.320419895026244</v>
      </c>
      <c r="AJ44" s="47">
        <v>38.804393747359526</v>
      </c>
      <c r="AK44" s="47">
        <v>1.7044589864556383</v>
      </c>
      <c r="AL44" s="47">
        <v>-23.986233727367949</v>
      </c>
      <c r="AM44" s="47">
        <f t="shared" ref="AM44:AT48" si="4">((H6-G6)/G6)*100</f>
        <v>-21.102362204724407</v>
      </c>
      <c r="AN44" s="47">
        <f t="shared" si="4"/>
        <v>-9.780439121756487</v>
      </c>
      <c r="AO44" s="47">
        <f t="shared" si="4"/>
        <v>-3.125</v>
      </c>
      <c r="AP44" s="47">
        <f>((K6-J6)/J6)*100</f>
        <v>-6.6514416214673133</v>
      </c>
      <c r="AQ44" s="47">
        <f>((L6-K6)/K6)*100</f>
        <v>39.26605504587156</v>
      </c>
      <c r="AR44" s="47">
        <f>((M6-L6)/L6)*100</f>
        <v>-21.365832235397452</v>
      </c>
      <c r="AS44" s="47">
        <f>((N6-M6)/M6)*100</f>
        <v>30.187098575816812</v>
      </c>
      <c r="AT44" s="47">
        <f>((O6-N6)/N6)*100</f>
        <v>-14.586014586014587</v>
      </c>
      <c r="AU44" s="1">
        <f>R6</f>
        <v>-3.942742340532396</v>
      </c>
    </row>
    <row r="45" spans="23:47">
      <c r="AG45" s="16" t="s">
        <v>6</v>
      </c>
      <c r="AH45" s="47">
        <v>-19.349485562562201</v>
      </c>
      <c r="AI45" s="47">
        <v>-7.3662551440329223</v>
      </c>
      <c r="AJ45" s="47">
        <v>-12.305641936916926</v>
      </c>
      <c r="AK45" s="47">
        <v>-2.2289766970618032</v>
      </c>
      <c r="AL45" s="47">
        <v>10.725388601036268</v>
      </c>
      <c r="AM45" s="47">
        <f t="shared" si="4"/>
        <v>-4.3518951801591017</v>
      </c>
      <c r="AN45" s="47">
        <f t="shared" si="4"/>
        <v>9.6868884540117417</v>
      </c>
      <c r="AO45" s="47">
        <f t="shared" si="4"/>
        <v>-6.1106155218554861</v>
      </c>
      <c r="AP45" s="47">
        <f t="shared" si="4"/>
        <v>-4.6555819477434683</v>
      </c>
      <c r="AQ45" s="47">
        <f t="shared" si="4"/>
        <v>15.794718485301445</v>
      </c>
      <c r="AR45" s="47">
        <f t="shared" si="4"/>
        <v>-40.189328743545609</v>
      </c>
      <c r="AS45" s="47">
        <f t="shared" si="4"/>
        <v>11.726618705035971</v>
      </c>
      <c r="AT45" s="47">
        <f t="shared" si="4"/>
        <v>4.1854475209272382</v>
      </c>
      <c r="AU45" s="1">
        <f t="shared" ref="AU45:AU48" si="5">R7</f>
        <v>42.027194066749075</v>
      </c>
    </row>
    <row r="46" spans="23:47">
      <c r="AG46" s="16" t="s">
        <v>8</v>
      </c>
      <c r="AH46" s="47">
        <v>-31.65680473372781</v>
      </c>
      <c r="AI46" s="47">
        <v>12.739641311069882</v>
      </c>
      <c r="AJ46" s="47">
        <v>39.001645639056498</v>
      </c>
      <c r="AK46" s="47">
        <v>56.471981057616418</v>
      </c>
      <c r="AL46" s="47">
        <v>-20.807061790668349</v>
      </c>
      <c r="AM46" s="47">
        <f t="shared" si="4"/>
        <v>-33.789808917197448</v>
      </c>
      <c r="AN46" s="47">
        <f t="shared" si="4"/>
        <v>14.237614237614238</v>
      </c>
      <c r="AO46" s="47">
        <f t="shared" si="4"/>
        <v>-14.189473684210526</v>
      </c>
      <c r="AP46" s="47">
        <f t="shared" si="4"/>
        <v>9.4210009813542683</v>
      </c>
      <c r="AQ46" s="47">
        <f t="shared" si="4"/>
        <v>-1.883408071748879</v>
      </c>
      <c r="AR46" s="47">
        <f t="shared" si="4"/>
        <v>-34.872029250457039</v>
      </c>
      <c r="AS46" s="47">
        <f t="shared" si="4"/>
        <v>1.0526315789473684</v>
      </c>
      <c r="AT46" s="47">
        <f t="shared" si="4"/>
        <v>-0.76388888888888884</v>
      </c>
      <c r="AU46" s="1">
        <f t="shared" si="5"/>
        <v>21.203638908327502</v>
      </c>
    </row>
    <row r="47" spans="23:47">
      <c r="AG47" s="16" t="s">
        <v>13</v>
      </c>
      <c r="AH47" s="47">
        <v>-19.91584852734923</v>
      </c>
      <c r="AI47" s="47">
        <v>-13.601868067717454</v>
      </c>
      <c r="AJ47" s="47">
        <v>1.8918918918918921</v>
      </c>
      <c r="AK47" s="47">
        <v>31.49867374005305</v>
      </c>
      <c r="AL47" s="47">
        <v>1.5632879475542107</v>
      </c>
      <c r="AM47" s="47">
        <f t="shared" si="4"/>
        <v>-14.995034756703079</v>
      </c>
      <c r="AN47" s="47">
        <f t="shared" si="4"/>
        <v>6.83411214953271</v>
      </c>
      <c r="AO47" s="47">
        <f t="shared" si="4"/>
        <v>-9.5133952979770378</v>
      </c>
      <c r="AP47" s="47">
        <f t="shared" si="4"/>
        <v>7.9758308157099691</v>
      </c>
      <c r="AQ47" s="47">
        <f t="shared" si="4"/>
        <v>1.5109121432568551</v>
      </c>
      <c r="AR47" s="47">
        <f t="shared" si="4"/>
        <v>-58.985667034178611</v>
      </c>
      <c r="AS47" s="47">
        <f t="shared" si="4"/>
        <v>30.913978494623656</v>
      </c>
      <c r="AT47" s="47">
        <f t="shared" si="4"/>
        <v>44.969199178644764</v>
      </c>
      <c r="AU47" s="1">
        <f t="shared" si="5"/>
        <v>4.9575070821529748</v>
      </c>
    </row>
    <row r="48" spans="23:47">
      <c r="AG48" s="16" t="s">
        <v>10</v>
      </c>
      <c r="AH48" s="47">
        <v>-23.7</v>
      </c>
      <c r="AI48" s="47">
        <v>-13.499344692005241</v>
      </c>
      <c r="AJ48" s="47">
        <v>-4.2424242424242431</v>
      </c>
      <c r="AK48" s="47">
        <v>1.9778481012658229</v>
      </c>
      <c r="AL48" s="47">
        <v>-17.610550814584951</v>
      </c>
      <c r="AM48" s="47">
        <f t="shared" si="4"/>
        <v>-11.111111111111111</v>
      </c>
      <c r="AN48" s="47">
        <f t="shared" si="4"/>
        <v>-17.266949152542374</v>
      </c>
      <c r="AO48" s="47">
        <f t="shared" si="4"/>
        <v>-1.4084507042253522</v>
      </c>
      <c r="AP48" s="47">
        <f t="shared" si="4"/>
        <v>-2.2077922077922079</v>
      </c>
      <c r="AQ48" s="47">
        <f t="shared" si="4"/>
        <v>-16.201859229747676</v>
      </c>
      <c r="AR48" s="47">
        <f t="shared" si="4"/>
        <v>4.7543581616481774</v>
      </c>
      <c r="AS48" s="47">
        <f t="shared" si="4"/>
        <v>-7.7155824508320734</v>
      </c>
      <c r="AT48" s="47">
        <f t="shared" si="4"/>
        <v>-14.590163934426229</v>
      </c>
      <c r="AU48" s="1">
        <f t="shared" si="5"/>
        <v>25.911708253358924</v>
      </c>
    </row>
  </sheetData>
  <mergeCells count="19">
    <mergeCell ref="M3:M4"/>
    <mergeCell ref="N3:N4"/>
    <mergeCell ref="O3:O4"/>
    <mergeCell ref="A1:S1"/>
    <mergeCell ref="A2:S2"/>
    <mergeCell ref="P3:P4"/>
    <mergeCell ref="S3:S4"/>
    <mergeCell ref="I3:I4"/>
    <mergeCell ref="J3:J4"/>
    <mergeCell ref="A3:A4"/>
    <mergeCell ref="B3:B4"/>
    <mergeCell ref="C3:C4"/>
    <mergeCell ref="D3:D4"/>
    <mergeCell ref="E3:E4"/>
    <mergeCell ref="F3:F4"/>
    <mergeCell ref="G3:G4"/>
    <mergeCell ref="H3:H4"/>
    <mergeCell ref="K3:K4"/>
    <mergeCell ref="L3:L4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W36:W43" xr:uid="{CD3D224A-4238-47B3-956D-40CCC58B2C17}">
      <formula1>0</formula1>
      <formula2>1000</formula2>
    </dataValidation>
  </dataValidations>
  <pageMargins left="0.7" right="0.7" top="0.75" bottom="0.75" header="0.3" footer="0.3"/>
  <pageSetup scale="49" orientation="portrait" horizontalDpi="4294967295" verticalDpi="4294967295" r:id="rId1"/>
  <ignoredErrors>
    <ignoredError sqref="R5:R17" unlockedFormula="1"/>
    <ignoredError sqref="I5:N5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</vt:lpstr>
      <vt:lpstr>'8.1'!Print_Area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2024-10-05T11:41:27Z</cp:lastPrinted>
  <dcterms:created xsi:type="dcterms:W3CDTF">2019-06-30T04:22:49Z</dcterms:created>
  <dcterms:modified xsi:type="dcterms:W3CDTF">2024-10-06T03:02:48Z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