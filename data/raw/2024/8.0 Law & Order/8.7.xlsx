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law and Order\"/>
    </mc:Choice>
  </mc:AlternateContent>
  <xr:revisionPtr revIDLastSave="0" documentId="13_ncr:1_{E077B4D4-E114-4B5D-9CA9-D14901669744}" xr6:coauthVersionLast="47" xr6:coauthVersionMax="47" xr10:uidLastSave="{00000000-0000-0000-0000-000000000000}"/>
  <bookViews>
    <workbookView xWindow="-120" yWindow="-120" windowWidth="29040" windowHeight="15720" tabRatio="860" xr2:uid="{00000000-000D-0000-FFFF-FFFF00000000}"/>
  </bookViews>
  <sheets>
    <sheet name="8.7" sheetId="7" r:id="rId1"/>
  </sheets>
  <externalReferences>
    <externalReference r:id="rId2"/>
  </externalReferences>
  <definedNames>
    <definedName name="_xlnm.Print_Area" localSheetId="0">'8.7'!$A$1:$N$32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7" l="1"/>
  <c r="K7" i="7"/>
  <c r="K8" i="7"/>
  <c r="K9" i="7"/>
  <c r="K11" i="7"/>
  <c r="K12" i="7"/>
  <c r="K13" i="7"/>
  <c r="I6" i="7"/>
  <c r="L11" i="7" s="1"/>
  <c r="L6" i="7" l="1"/>
  <c r="K6" i="7"/>
  <c r="L10" i="7"/>
  <c r="L9" i="7"/>
  <c r="L8" i="7"/>
  <c r="L7" i="7"/>
  <c r="L13" i="7"/>
  <c r="L12" i="7"/>
  <c r="H6" i="7"/>
  <c r="G6" i="7" l="1"/>
  <c r="F6" i="7" l="1"/>
  <c r="E6" i="7" l="1"/>
  <c r="D6" i="7" l="1"/>
  <c r="C6" i="7" l="1"/>
  <c r="B6" i="7"/>
</calcChain>
</file>

<file path=xl/sharedStrings.xml><?xml version="1.0" encoding="utf-8"?>
<sst xmlns="http://schemas.openxmlformats.org/spreadsheetml/2006/main" count="27" uniqueCount="27">
  <si>
    <t>Total</t>
  </si>
  <si>
    <t>Source: Maldives Police Service</t>
  </si>
  <si>
    <t>csivrws csilop cscviDclOm :Ivcaed utWmUluAwm</t>
  </si>
  <si>
    <t>ކުރީ އަހަރާއި  އަޅާ</t>
  </si>
  <si>
    <t>ބަލާއިރު އިތުރުވި މިންވަރު</t>
  </si>
  <si>
    <t>ޖުމްލަ</t>
  </si>
  <si>
    <t xml:space="preserve">Type </t>
  </si>
  <si>
    <t>އިންސައްތަ</t>
  </si>
  <si>
    <t xml:space="preserve"> މައްސަލައިގެ ބާވަތް</t>
  </si>
  <si>
    <t>Percentage share</t>
  </si>
  <si>
    <t>Theft from  places (not by forced entry)</t>
  </si>
  <si>
    <t>ތަންތަނުން ކޮށްފައިވާ ވައްކަން (ފަޅާލައިގެންނޫން ގޮތްގޮތަށް)</t>
  </si>
  <si>
    <t>Vehicles</t>
  </si>
  <si>
    <t>ދުއްވާތަކެތީގެ ވައްކަން</t>
  </si>
  <si>
    <t>Mobile phones</t>
  </si>
  <si>
    <t>މޯބަލް ފޯން</t>
  </si>
  <si>
    <t>Money</t>
  </si>
  <si>
    <t>ފައިސާ</t>
  </si>
  <si>
    <t>Electronic items (except mobile phones)</t>
  </si>
  <si>
    <t>އިލެކްޓްރޯނިކް ސާމާނު</t>
  </si>
  <si>
    <t>Theft from  places (by forced  entry)</t>
  </si>
  <si>
    <t>ފަޅާލައިގެންވަދެ ތަންތަނުން ކޮށްފައިވާ ވައްކަން</t>
  </si>
  <si>
    <t>Other theft</t>
  </si>
  <si>
    <t>އެހެނިހެން ވައްކަން</t>
  </si>
  <si>
    <t>%change over 2022</t>
  </si>
  <si>
    <t>Table 8.7:  THEFT CASES LOGGED BY TYPE, 2016 - 2023</t>
  </si>
  <si>
    <t>ތާވަލު 8.7: ހުށަހެޅިފައިވާ ވައްކަމުގެ މައްސަލަތަކުގެ ބާވަތް، 2016- 2023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</si>
</sst>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70" formatCode="0.00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name val="Faruma"/>
      <family val="3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b/>
      <sz val="9"/>
      <name val="Faruma"/>
      <family val="3"/>
    </font>
    <font>
      <b/>
      <sz val="10"/>
      <color rgb="FFFF0000"/>
      <name val="Courier"/>
      <family val="3"/>
    </font>
    <font>
      <i/>
      <sz val="10"/>
      <name val="Courier"/>
      <family val="3"/>
    </font>
    <font>
      <b/>
      <sz val="9"/>
      <name val="Faruma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2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6" fontId="18" fillId="0" borderId="0" applyFont="0" applyFill="0" applyBorder="0" applyAlignment="0" applyProtection="0"/>
    <xf numFmtId="9" fontId="19" fillId="0" borderId="0" applyFont="0" applyFill="0" applyBorder="0" applyAlignment="0" applyProtection="0"/>
    <xf numFmtId="167" fontId="19" fillId="0" borderId="0"/>
    <xf numFmtId="0" fontId="27" fillId="0" borderId="7" applyNumberFormat="0" applyFill="0" applyAlignment="0" applyProtection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170" fontId="30" fillId="0" borderId="0"/>
    <xf numFmtId="1" fontId="31" fillId="0" borderId="11" applyNumberFormat="0"/>
    <xf numFmtId="0" fontId="26" fillId="0" borderId="0"/>
    <xf numFmtId="0" fontId="1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9" fillId="0" borderId="0"/>
    <xf numFmtId="40" fontId="29" fillId="0" borderId="0" applyFont="0" applyFill="0" applyBorder="0" applyAlignment="0" applyProtection="0"/>
    <xf numFmtId="0" fontId="29" fillId="0" borderId="0"/>
    <xf numFmtId="0" fontId="26" fillId="0" borderId="0"/>
    <xf numFmtId="1" fontId="31" fillId="0" borderId="11" applyNumberFormat="0"/>
    <xf numFmtId="0" fontId="1" fillId="0" borderId="0"/>
    <xf numFmtId="0" fontId="29" fillId="0" borderId="0"/>
    <xf numFmtId="0" fontId="18" fillId="0" borderId="0" applyFill="0" applyProtection="0"/>
    <xf numFmtId="1" fontId="31" fillId="0" borderId="11" applyNumberFormat="0"/>
    <xf numFmtId="43" fontId="1" fillId="0" borderId="0" applyFont="0" applyFill="0" applyBorder="0" applyAlignment="0" applyProtection="0"/>
    <xf numFmtId="0" fontId="1" fillId="0" borderId="0"/>
    <xf numFmtId="0" fontId="32" fillId="0" borderId="0"/>
    <xf numFmtId="0" fontId="33" fillId="0" borderId="0"/>
    <xf numFmtId="0" fontId="32" fillId="0" borderId="0"/>
    <xf numFmtId="0" fontId="1" fillId="0" borderId="0"/>
    <xf numFmtId="0" fontId="29" fillId="0" borderId="0"/>
    <xf numFmtId="0" fontId="18" fillId="0" borderId="0" applyFill="0" applyProtection="0"/>
    <xf numFmtId="1" fontId="31" fillId="0" borderId="11" applyNumberFormat="0"/>
    <xf numFmtId="0" fontId="1" fillId="0" borderId="0"/>
    <xf numFmtId="0" fontId="26" fillId="0" borderId="0"/>
    <xf numFmtId="0" fontId="32" fillId="0" borderId="0"/>
    <xf numFmtId="0" fontId="33" fillId="0" borderId="0"/>
    <xf numFmtId="0" fontId="26" fillId="0" borderId="0"/>
    <xf numFmtId="0" fontId="32" fillId="0" borderId="0"/>
    <xf numFmtId="0" fontId="34" fillId="0" borderId="0"/>
    <xf numFmtId="0" fontId="32" fillId="0" borderId="0"/>
    <xf numFmtId="0" fontId="3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29" fillId="0" borderId="0" applyFont="0" applyFill="0" applyBorder="0" applyAlignment="0" applyProtection="0"/>
    <xf numFmtId="0" fontId="1" fillId="0" borderId="0"/>
    <xf numFmtId="0" fontId="34" fillId="0" borderId="0" applyBorder="0"/>
    <xf numFmtId="0" fontId="1" fillId="0" borderId="0"/>
    <xf numFmtId="40" fontId="2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4" fillId="0" borderId="0" applyBorder="0"/>
    <xf numFmtId="0" fontId="1" fillId="0" borderId="0"/>
    <xf numFmtId="0" fontId="1" fillId="0" borderId="0"/>
    <xf numFmtId="1" fontId="31" fillId="0" borderId="11" applyNumberFormat="0"/>
    <xf numFmtId="1" fontId="31" fillId="0" borderId="11" applyNumberFormat="0"/>
    <xf numFmtId="1" fontId="31" fillId="0" borderId="11" applyNumberFormat="0"/>
    <xf numFmtId="1" fontId="31" fillId="0" borderId="11" applyNumberFormat="0"/>
    <xf numFmtId="0" fontId="35" fillId="0" borderId="0"/>
    <xf numFmtId="0" fontId="35" fillId="0" borderId="0"/>
  </cellStyleXfs>
  <cellXfs count="53">
    <xf numFmtId="0" fontId="0" fillId="0" borderId="0" xfId="0"/>
    <xf numFmtId="164" fontId="0" fillId="2" borderId="0" xfId="0" applyNumberFormat="1" applyFill="1"/>
    <xf numFmtId="164" fontId="2" fillId="2" borderId="0" xfId="2" applyNumberFormat="1" applyFont="1" applyFill="1" applyAlignment="1">
      <alignment vertical="center"/>
    </xf>
    <xf numFmtId="164" fontId="8" fillId="2" borderId="0" xfId="0" applyNumberFormat="1" applyFont="1" applyFill="1"/>
    <xf numFmtId="164" fontId="5" fillId="2" borderId="0" xfId="0" applyNumberFormat="1" applyFont="1" applyFill="1" applyAlignment="1">
      <alignment vertical="center"/>
    </xf>
    <xf numFmtId="167" fontId="15" fillId="2" borderId="0" xfId="1" applyNumberFormat="1" applyFont="1" applyFill="1" applyBorder="1" applyAlignment="1">
      <alignment horizontal="right"/>
    </xf>
    <xf numFmtId="164" fontId="9" fillId="2" borderId="0" xfId="0" applyNumberFormat="1" applyFont="1" applyFill="1" applyAlignment="1">
      <alignment horizontal="right" vertical="center" indent="1"/>
    </xf>
    <xf numFmtId="164" fontId="9" fillId="2" borderId="4" xfId="0" applyNumberFormat="1" applyFont="1" applyFill="1" applyBorder="1" applyAlignment="1">
      <alignment horizontal="right" vertical="center" indent="1"/>
    </xf>
    <xf numFmtId="164" fontId="14" fillId="2" borderId="0" xfId="0" applyNumberFormat="1" applyFont="1" applyFill="1"/>
    <xf numFmtId="164" fontId="16" fillId="2" borderId="5" xfId="0" applyNumberFormat="1" applyFont="1" applyFill="1" applyBorder="1" applyAlignment="1">
      <alignment vertical="center"/>
    </xf>
    <xf numFmtId="164" fontId="12" fillId="2" borderId="0" xfId="0" applyNumberFormat="1" applyFont="1" applyFill="1"/>
    <xf numFmtId="164" fontId="21" fillId="2" borderId="0" xfId="0" applyNumberFormat="1" applyFont="1" applyFill="1" applyAlignment="1">
      <alignment horizontal="right" vertical="center"/>
    </xf>
    <xf numFmtId="164" fontId="20" fillId="2" borderId="0" xfId="0" applyNumberFormat="1" applyFont="1" applyFill="1" applyAlignment="1">
      <alignment vertical="center"/>
    </xf>
    <xf numFmtId="164" fontId="23" fillId="2" borderId="0" xfId="0" applyNumberFormat="1" applyFont="1" applyFill="1" applyAlignment="1">
      <alignment vertical="center"/>
    </xf>
    <xf numFmtId="164" fontId="11" fillId="2" borderId="0" xfId="0" applyNumberFormat="1" applyFont="1" applyFill="1" applyAlignment="1">
      <alignment horizontal="left" vertical="center" indent="1"/>
    </xf>
    <xf numFmtId="164" fontId="8" fillId="2" borderId="0" xfId="0" applyNumberFormat="1" applyFont="1" applyFill="1" applyAlignment="1">
      <alignment vertical="center"/>
    </xf>
    <xf numFmtId="164" fontId="11" fillId="2" borderId="4" xfId="0" applyNumberFormat="1" applyFont="1" applyFill="1" applyBorder="1" applyAlignment="1">
      <alignment horizontal="left" vertical="center" indent="1"/>
    </xf>
    <xf numFmtId="164" fontId="24" fillId="2" borderId="0" xfId="0" applyNumberFormat="1" applyFont="1" applyFill="1"/>
    <xf numFmtId="164" fontId="0" fillId="2" borderId="0" xfId="0" applyNumberFormat="1" applyFill="1" applyAlignment="1">
      <alignment vertical="center"/>
    </xf>
    <xf numFmtId="164" fontId="7" fillId="2" borderId="0" xfId="0" applyNumberFormat="1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top" wrapText="1"/>
    </xf>
    <xf numFmtId="164" fontId="6" fillId="2" borderId="0" xfId="0" applyNumberFormat="1" applyFont="1" applyFill="1" applyAlignment="1">
      <alignment horizontal="center" vertical="center" wrapText="1"/>
    </xf>
    <xf numFmtId="164" fontId="6" fillId="2" borderId="4" xfId="0" applyNumberFormat="1" applyFont="1" applyFill="1" applyBorder="1" applyAlignment="1">
      <alignment horizontal="center" vertical="center" wrapText="1"/>
    </xf>
    <xf numFmtId="3" fontId="10" fillId="2" borderId="0" xfId="0" applyNumberFormat="1" applyFont="1" applyFill="1" applyAlignment="1">
      <alignment horizontal="right" vertical="center"/>
    </xf>
    <xf numFmtId="3" fontId="13" fillId="2" borderId="0" xfId="0" applyNumberFormat="1" applyFont="1" applyFill="1" applyAlignment="1">
      <alignment horizontal="right" vertical="center"/>
    </xf>
    <xf numFmtId="3" fontId="13" fillId="2" borderId="4" xfId="0" applyNumberFormat="1" applyFont="1" applyFill="1" applyBorder="1" applyAlignment="1">
      <alignment horizontal="right" vertical="center"/>
    </xf>
    <xf numFmtId="3" fontId="10" fillId="2" borderId="0" xfId="0" applyNumberFormat="1" applyFont="1" applyFill="1" applyAlignment="1">
      <alignment horizontal="center" vertical="center"/>
    </xf>
    <xf numFmtId="164" fontId="28" fillId="2" borderId="5" xfId="0" applyNumberFormat="1" applyFont="1" applyFill="1" applyBorder="1" applyAlignment="1">
      <alignment horizontal="right" vertical="center"/>
    </xf>
    <xf numFmtId="164" fontId="7" fillId="2" borderId="3" xfId="0" applyNumberFormat="1" applyFont="1" applyFill="1" applyBorder="1" applyAlignment="1">
      <alignment horizontal="center" vertical="center" wrapText="1"/>
    </xf>
    <xf numFmtId="164" fontId="7" fillId="2" borderId="3" xfId="0" applyNumberFormat="1" applyFont="1" applyFill="1" applyBorder="1" applyAlignment="1">
      <alignment horizontal="right" vertical="center" wrapText="1"/>
    </xf>
    <xf numFmtId="164" fontId="7" fillId="2" borderId="0" xfId="0" applyNumberFormat="1" applyFont="1" applyFill="1" applyAlignment="1">
      <alignment horizontal="right" vertical="center" wrapText="1"/>
    </xf>
    <xf numFmtId="164" fontId="7" fillId="2" borderId="4" xfId="0" applyNumberFormat="1" applyFont="1" applyFill="1" applyBorder="1" applyAlignment="1">
      <alignment horizontal="right" vertical="center" wrapText="1"/>
    </xf>
    <xf numFmtId="164" fontId="25" fillId="2" borderId="6" xfId="0" applyNumberFormat="1" applyFont="1" applyFill="1" applyBorder="1" applyAlignment="1">
      <alignment horizontal="right" vertical="center"/>
    </xf>
    <xf numFmtId="3" fontId="13" fillId="2" borderId="0" xfId="0" applyNumberFormat="1" applyFont="1" applyFill="1" applyAlignment="1">
      <alignment horizontal="center" vertical="center"/>
    </xf>
    <xf numFmtId="3" fontId="13" fillId="2" borderId="4" xfId="0" applyNumberFormat="1" applyFont="1" applyFill="1" applyBorder="1" applyAlignment="1">
      <alignment horizontal="center" vertical="center"/>
    </xf>
    <xf numFmtId="167" fontId="13" fillId="2" borderId="0" xfId="0" applyNumberFormat="1" applyFont="1" applyFill="1" applyAlignment="1">
      <alignment horizontal="right" vertical="center" indent="5"/>
    </xf>
    <xf numFmtId="167" fontId="13" fillId="2" borderId="4" xfId="0" applyNumberFormat="1" applyFont="1" applyFill="1" applyBorder="1" applyAlignment="1">
      <alignment horizontal="right" vertical="center" indent="5"/>
    </xf>
    <xf numFmtId="167" fontId="13" fillId="2" borderId="12" xfId="0" applyNumberFormat="1" applyFont="1" applyFill="1" applyBorder="1" applyAlignment="1">
      <alignment horizontal="right" vertical="center" indent="5"/>
    </xf>
    <xf numFmtId="164" fontId="3" fillId="2" borderId="10" xfId="0" applyNumberFormat="1" applyFont="1" applyFill="1" applyBorder="1" applyAlignment="1">
      <alignment horizontal="center" vertical="top"/>
    </xf>
    <xf numFmtId="164" fontId="9" fillId="2" borderId="4" xfId="0" applyNumberFormat="1" applyFont="1" applyFill="1" applyBorder="1" applyAlignment="1">
      <alignment horizontal="right" vertical="center" wrapText="1"/>
    </xf>
    <xf numFmtId="164" fontId="17" fillId="2" borderId="1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top"/>
    </xf>
    <xf numFmtId="164" fontId="3" fillId="2" borderId="8" xfId="0" applyNumberFormat="1" applyFont="1" applyFill="1" applyBorder="1" applyAlignment="1">
      <alignment horizontal="center" vertical="top"/>
    </xf>
    <xf numFmtId="164" fontId="3" fillId="2" borderId="9" xfId="0" applyNumberFormat="1" applyFont="1" applyFill="1" applyBorder="1" applyAlignment="1">
      <alignment horizontal="center" vertical="top"/>
    </xf>
    <xf numFmtId="164" fontId="22" fillId="2" borderId="3" xfId="0" applyNumberFormat="1" applyFont="1" applyFill="1" applyBorder="1" applyAlignment="1">
      <alignment horizontal="right" vertical="center" wrapText="1"/>
    </xf>
    <xf numFmtId="164" fontId="22" fillId="2" borderId="0" xfId="0" applyNumberFormat="1" applyFont="1" applyFill="1" applyAlignment="1">
      <alignment horizontal="right" vertical="center" wrapText="1"/>
    </xf>
    <xf numFmtId="164" fontId="5" fillId="2" borderId="3" xfId="0" applyNumberFormat="1" applyFont="1" applyFill="1" applyBorder="1" applyAlignment="1">
      <alignment horizontal="right" vertical="center" wrapText="1"/>
    </xf>
    <xf numFmtId="164" fontId="5" fillId="2" borderId="0" xfId="0" applyNumberFormat="1" applyFont="1" applyFill="1" applyAlignment="1">
      <alignment horizontal="right" vertical="center" wrapText="1"/>
    </xf>
    <xf numFmtId="164" fontId="5" fillId="2" borderId="4" xfId="0" applyNumberFormat="1" applyFont="1" applyFill="1" applyBorder="1" applyAlignment="1">
      <alignment horizontal="right" vertical="center" wrapText="1"/>
    </xf>
    <xf numFmtId="164" fontId="5" fillId="2" borderId="12" xfId="0" applyNumberFormat="1" applyFont="1" applyFill="1" applyBorder="1" applyAlignment="1">
      <alignment horizontal="right" vertical="center" wrapText="1"/>
    </xf>
    <xf numFmtId="164" fontId="6" fillId="2" borderId="3" xfId="0" applyNumberFormat="1" applyFont="1" applyFill="1" applyBorder="1" applyAlignment="1">
      <alignment horizontal="left" vertical="center" wrapText="1"/>
    </xf>
    <xf numFmtId="164" fontId="6" fillId="2" borderId="0" xfId="0" applyNumberFormat="1" applyFont="1" applyFill="1" applyAlignment="1">
      <alignment horizontal="left" vertical="center" wrapText="1"/>
    </xf>
    <xf numFmtId="164" fontId="6" fillId="2" borderId="4" xfId="0" applyNumberFormat="1" applyFont="1" applyFill="1" applyBorder="1" applyAlignment="1">
      <alignment horizontal="left" vertical="center" wrapText="1"/>
    </xf>
  </cellXfs>
  <cellStyles count="72">
    <cellStyle name="1" xfId="8" xr:uid="{00000000-0005-0000-0000-000000000000}"/>
    <cellStyle name="Comma" xfId="1" builtinId="3"/>
    <cellStyle name="Comma 2" xfId="3" xr:uid="{00000000-0005-0000-0000-000002000000}"/>
    <cellStyle name="Comma 2 2" xfId="52" xr:uid="{9A84C4CD-F55D-4D7F-A24D-2331BEF12D2F}"/>
    <cellStyle name="Comma 2 2 2 5" xfId="33" xr:uid="{72CAE074-9478-48BE-827F-7C347CA8E33E}"/>
    <cellStyle name="Comma 2 3" xfId="59" xr:uid="{48917DD4-5850-420F-B56E-6D1242EC9C7D}"/>
    <cellStyle name="Comma 2 4" xfId="25" xr:uid="{25E79544-726A-40BC-9B88-F4040A358A37}"/>
    <cellStyle name="Comma 3" xfId="12" xr:uid="{B8EE6C01-62F8-4757-AEA0-A8E2BB20DD32}"/>
    <cellStyle name="Comma 3 2" xfId="55" xr:uid="{32AB1500-45AA-4601-AE5B-CC2189D86C97}"/>
    <cellStyle name="Heading 1 2" xfId="6" xr:uid="{00000000-0005-0000-0000-000003000000}"/>
    <cellStyle name="Hyperlink" xfId="2" builtinId="8"/>
    <cellStyle name="Normal" xfId="0" builtinId="0"/>
    <cellStyle name="Normal - Style1" xfId="13" xr:uid="{643D6BAF-51F0-40E9-A034-4148317B748D}"/>
    <cellStyle name="Normal 10" xfId="19" xr:uid="{53C320C8-74A4-4753-953E-745E7CA03BF9}"/>
    <cellStyle name="Normal 11" xfId="30" xr:uid="{C334F9A6-404A-429F-AAC8-A64A5D797F6B}"/>
    <cellStyle name="Normal 12" xfId="32" xr:uid="{AD19A09E-E36B-4581-9623-F54EE49DE1A7}"/>
    <cellStyle name="Normal 13" xfId="41" xr:uid="{8F3E15E1-866E-4642-A160-6EC78A16082E}"/>
    <cellStyle name="Normal 14" xfId="66" xr:uid="{38102293-679E-4BC4-8C21-B50A9352FE0D}"/>
    <cellStyle name="Normal 15" xfId="67" xr:uid="{DDD174B3-A44D-4519-9D5A-E09E51F6BD36}"/>
    <cellStyle name="Normal 16" xfId="68" xr:uid="{2B037F2C-6E53-4DFC-BCEF-4BAE4D22C99F}"/>
    <cellStyle name="Normal 17" xfId="69" xr:uid="{862E1F38-3D0E-4A33-9EDA-CE90F84B8E45}"/>
    <cellStyle name="Normal 18" xfId="70" xr:uid="{CF87BC40-E55D-4F82-AE28-8FA1017CE6B1}"/>
    <cellStyle name="Normal 19" xfId="71" xr:uid="{FA237C1A-38D9-46F9-9E54-DD0D4DE6F649}"/>
    <cellStyle name="Normal 2" xfId="7" xr:uid="{00000000-0005-0000-0000-000006000000}"/>
    <cellStyle name="Normal 2 2" xfId="14" xr:uid="{E1B4ADD7-AF9F-4C31-814B-2F7CCD24FB28}"/>
    <cellStyle name="Normal 2 2 2" xfId="26" xr:uid="{86D4674A-12DC-467D-8791-E9A1C7FC3D5C}"/>
    <cellStyle name="Normal 2 2 2 2" xfId="50" xr:uid="{E5E93CD8-FF9A-48B1-ADA9-AB3C731E6334}"/>
    <cellStyle name="Normal 2 2 3" xfId="27" xr:uid="{A9406696-2B5F-40B4-B07A-9A75502DB3A9}"/>
    <cellStyle name="Normal 2 2 3 2" xfId="48" xr:uid="{F69FCC6A-DC9B-4565-AD31-066A6C2F5064}"/>
    <cellStyle name="Normal 2 2 4" xfId="44" xr:uid="{6F0840CA-9553-405D-ACE5-D01A72852DAD}"/>
    <cellStyle name="Normal 2 3" xfId="29" xr:uid="{E13F57EA-1139-4D18-983A-599F278AD76F}"/>
    <cellStyle name="Normal 2 3 2" xfId="40" xr:uid="{0043EE02-D5BD-4812-AD16-BFACC7EF42A8}"/>
    <cellStyle name="Normal 2 3 3" xfId="43" xr:uid="{0A8706C9-91EC-4327-A8A0-F2E5BA34A857}"/>
    <cellStyle name="Normal 2 4" xfId="31" xr:uid="{20B2D89D-D384-47E8-A9EE-FCD14F76982F}"/>
    <cellStyle name="Normal 2 4 2" xfId="51" xr:uid="{3F0CEA5C-059B-43A9-859D-A965B48327F7}"/>
    <cellStyle name="Normal 2 5" xfId="35" xr:uid="{CE7AC479-92A4-4367-8F5E-D56B9C5A1031}"/>
    <cellStyle name="Normal 3" xfId="5" xr:uid="{00000000-0005-0000-0000-000007000000}"/>
    <cellStyle name="Normal 3 2" xfId="28" xr:uid="{D8C0391F-9AA5-43CD-9EDF-E1CEE95293DA}"/>
    <cellStyle name="Normal 3 2 2" xfId="37" xr:uid="{519BA7B2-00D0-4BC8-9FC5-2049B7FF832F}"/>
    <cellStyle name="Normal 3 2 2 2" xfId="62" xr:uid="{FFD9FBF6-074E-4300-A11B-1E9E248674A4}"/>
    <cellStyle name="Normal 3 3" xfId="46" xr:uid="{96442A53-EA32-4F89-842D-FC2B3500B36F}"/>
    <cellStyle name="Normal 3 3 2" xfId="65" xr:uid="{FC90F908-F2F6-489E-BDC8-B211A625F9C1}"/>
    <cellStyle name="Normal 3 4" xfId="56" xr:uid="{8D94B436-169A-4EF4-AF1F-BD2D38E48701}"/>
    <cellStyle name="Normal 3 5" xfId="60" xr:uid="{20B92D94-623A-4A41-B83E-988C78EE9919}"/>
    <cellStyle name="Normal 3 6" xfId="15" xr:uid="{2260A489-F0D9-40BA-A22E-29EA47F1B2F4}"/>
    <cellStyle name="Normal 4" xfId="20" xr:uid="{D3B53A52-2AD8-4381-AB54-845A42EF1FF2}"/>
    <cellStyle name="Normal 4 2" xfId="16" xr:uid="{861AA663-ADE1-4537-934E-8307E5FD8F74}"/>
    <cellStyle name="Normal 4 2 2" xfId="21" xr:uid="{E8677BA3-8211-444C-BEC4-9A07A188675B}"/>
    <cellStyle name="Normal 4 2 3" xfId="45" xr:uid="{A1A62C66-066C-4E8B-898C-FFCDC593C940}"/>
    <cellStyle name="Normal 4 3" xfId="36" xr:uid="{41EDC26E-37D1-45EB-B40D-C33CA90D2064}"/>
    <cellStyle name="Normal 4 3 2" xfId="53" xr:uid="{F0BD437D-A11C-4FCC-8D12-ECC542C171DB}"/>
    <cellStyle name="Normal 4 4" xfId="58" xr:uid="{644A2FD9-99FD-44AF-AD6A-7DA7696F10CB}"/>
    <cellStyle name="Normal 5" xfId="17" xr:uid="{497704D6-52EF-4ABE-A3CD-97569A2A33A7}"/>
    <cellStyle name="Normal 5 2" xfId="10" xr:uid="{00CB0B8C-510E-4BED-8B9B-553F22BD15C7}"/>
    <cellStyle name="Normal 5 2 2" xfId="61" xr:uid="{C310ED55-448A-4742-B398-B242C3A89A52}"/>
    <cellStyle name="Normal 5 3" xfId="34" xr:uid="{B6E770DA-49EF-4C68-912F-2AD9E34AB464}"/>
    <cellStyle name="Normal 5 4" xfId="47" xr:uid="{439C9414-9BA2-497D-BF7E-0C5A82DE1171}"/>
    <cellStyle name="Normal 6" xfId="22" xr:uid="{FF1D5E57-8C3F-43A7-8100-05F86404E24E}"/>
    <cellStyle name="Normal 6 2" xfId="38" xr:uid="{BF19C48D-9054-4CB1-8B26-C788F7386A5B}"/>
    <cellStyle name="Normal 6 2 2" xfId="63" xr:uid="{8DCBD4A4-A7DB-4626-B9AE-A2DBD111A1EA}"/>
    <cellStyle name="Normal 6 3" xfId="49" xr:uid="{EF61BC19-A02A-4B29-B5E5-F8ADBFFE6AF9}"/>
    <cellStyle name="Normal 7" xfId="23" xr:uid="{5E137597-5161-4D95-90E4-F6DC879E5B22}"/>
    <cellStyle name="Normal 7 2" xfId="39" xr:uid="{AF7B1DEB-2498-4714-A82C-DA80CF2C533D}"/>
    <cellStyle name="Normal 7 2 2" xfId="54" xr:uid="{72B3ACED-6426-4333-A31F-F7A584556C09}"/>
    <cellStyle name="Normal 7 3" xfId="64" xr:uid="{479EC22B-EFA4-4A4A-859B-B213AB646001}"/>
    <cellStyle name="Normal 7 4" xfId="42" xr:uid="{2E7F84E1-ECE1-404D-A212-C39658E7599D}"/>
    <cellStyle name="Normal 8" xfId="24" xr:uid="{CEB51C94-2E45-4D5B-9F0F-359FEE19D53C}"/>
    <cellStyle name="Normal 8 2" xfId="57" xr:uid="{286B7DE3-B5D9-42D4-91CA-A0F00AB06695}"/>
    <cellStyle name="Normal 9" xfId="11" xr:uid="{585AC317-7540-4658-AB5A-C34FB49F1152}"/>
    <cellStyle name="Percent 2" xfId="4" xr:uid="{00000000-0005-0000-0000-00000E000000}"/>
    <cellStyle name="Percent 2 2" xfId="9" xr:uid="{67C19ACC-B2FB-4E73-ACA6-0EF4958B92CE}"/>
    <cellStyle name="Percent 2 3" xfId="18" xr:uid="{2ABB9611-6919-4949-B383-4EF485E15F01}"/>
  </cellStyles>
  <dxfs count="0"/>
  <tableStyles count="0" defaultTableStyle="TableStyleMedium2" defaultPivotStyle="PivotStyleLight16"/>
  <colors>
    <mruColors>
      <color rgb="FF33CCCC"/>
      <color rgb="FF008080"/>
      <color rgb="FFCCF4F2"/>
      <color rgb="FFC5FFFF"/>
      <color rgb="FFEAFAFA"/>
      <color rgb="FF003F3E"/>
      <color rgb="FFFF6969"/>
      <color rgb="FFFFC5C5"/>
      <color rgb="FFFFEFEF"/>
      <color rgb="FFFF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839368213964375E-2"/>
          <c:y val="0.1772514214065041"/>
          <c:w val="0.90921450982037544"/>
          <c:h val="0.650202935449558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'8.7'!$F$3:$F$5</c:f>
              <c:strCache>
                <c:ptCount val="3"/>
                <c:pt idx="0">
                  <c:v>2020 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'8.7'!$F$7:$F$13</c:f>
              <c:numCache>
                <c:formatCode>#,##0</c:formatCode>
                <c:ptCount val="7"/>
                <c:pt idx="0">
                  <c:v>1609</c:v>
                </c:pt>
                <c:pt idx="1">
                  <c:v>479</c:v>
                </c:pt>
                <c:pt idx="2">
                  <c:v>583</c:v>
                </c:pt>
                <c:pt idx="3">
                  <c:v>129</c:v>
                </c:pt>
                <c:pt idx="4">
                  <c:v>73</c:v>
                </c:pt>
                <c:pt idx="5">
                  <c:v>190</c:v>
                </c:pt>
                <c:pt idx="6">
                  <c:v>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2-432D-B48E-6D73FF7657F3}"/>
            </c:ext>
          </c:extLst>
        </c:ser>
        <c:ser>
          <c:idx val="1"/>
          <c:order val="1"/>
          <c:tx>
            <c:strRef>
              <c:f>'8.7'!$G$3:$G$5</c:f>
              <c:strCache>
                <c:ptCount val="3"/>
                <c:pt idx="0">
                  <c:v>2021 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'8.7'!$G$7:$G$13</c:f>
              <c:numCache>
                <c:formatCode>#,##0</c:formatCode>
                <c:ptCount val="7"/>
                <c:pt idx="0">
                  <c:v>2251</c:v>
                </c:pt>
                <c:pt idx="1">
                  <c:v>685</c:v>
                </c:pt>
                <c:pt idx="2">
                  <c:v>705</c:v>
                </c:pt>
                <c:pt idx="3">
                  <c:v>105</c:v>
                </c:pt>
                <c:pt idx="4">
                  <c:v>53</c:v>
                </c:pt>
                <c:pt idx="5">
                  <c:v>236</c:v>
                </c:pt>
                <c:pt idx="6">
                  <c:v>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E2-432D-B48E-6D73FF7657F3}"/>
            </c:ext>
          </c:extLst>
        </c:ser>
        <c:ser>
          <c:idx val="2"/>
          <c:order val="2"/>
          <c:tx>
            <c:strRef>
              <c:f>'8.7'!$H$3:$H$5</c:f>
              <c:strCache>
                <c:ptCount val="3"/>
                <c:pt idx="0">
                  <c:v>2022 </c:v>
                </c:pt>
              </c:strCache>
            </c:strRef>
          </c:tx>
          <c:spPr>
            <a:solidFill>
              <a:srgbClr val="003F3E"/>
            </a:solidFill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'8.7'!$H$7:$H$13</c:f>
              <c:numCache>
                <c:formatCode>#,##0</c:formatCode>
                <c:ptCount val="7"/>
                <c:pt idx="0">
                  <c:v>1989</c:v>
                </c:pt>
                <c:pt idx="1">
                  <c:v>493</c:v>
                </c:pt>
                <c:pt idx="2">
                  <c:v>561</c:v>
                </c:pt>
                <c:pt idx="3">
                  <c:v>276</c:v>
                </c:pt>
                <c:pt idx="4">
                  <c:v>43</c:v>
                </c:pt>
                <c:pt idx="5">
                  <c:v>156</c:v>
                </c:pt>
                <c:pt idx="6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F-4895-86B0-AB7221C2C9A5}"/>
            </c:ext>
          </c:extLst>
        </c:ser>
        <c:ser>
          <c:idx val="3"/>
          <c:order val="3"/>
          <c:tx>
            <c:strRef>
              <c:f>'8.7'!$I$3:$I$5</c:f>
              <c:strCache>
                <c:ptCount val="3"/>
                <c:pt idx="0">
                  <c:v>2023 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invertIfNegative val="0"/>
          <c:cat>
            <c:strRef>
              <c:f>'8.7'!$A$7:$A$13</c:f>
              <c:strCache>
                <c:ptCount val="7"/>
                <c:pt idx="0">
                  <c:v>Theft from  places (not by forced entry)</c:v>
                </c:pt>
                <c:pt idx="1">
                  <c:v>Vehicles</c:v>
                </c:pt>
                <c:pt idx="2">
                  <c:v>Mobile phones</c:v>
                </c:pt>
                <c:pt idx="3">
                  <c:v>Money</c:v>
                </c:pt>
                <c:pt idx="4">
                  <c:v>Electronic items (except mobile phones)</c:v>
                </c:pt>
                <c:pt idx="5">
                  <c:v>Theft from  places (by forced  entry)</c:v>
                </c:pt>
                <c:pt idx="6">
                  <c:v>Other theft</c:v>
                </c:pt>
              </c:strCache>
            </c:strRef>
          </c:cat>
          <c:val>
            <c:numRef>
              <c:f>'8.7'!$I$7:$I$13</c:f>
              <c:numCache>
                <c:formatCode>#,##0</c:formatCode>
                <c:ptCount val="7"/>
                <c:pt idx="0">
                  <c:v>1881</c:v>
                </c:pt>
                <c:pt idx="1">
                  <c:v>535</c:v>
                </c:pt>
                <c:pt idx="2">
                  <c:v>547</c:v>
                </c:pt>
                <c:pt idx="3">
                  <c:v>161</c:v>
                </c:pt>
                <c:pt idx="4">
                  <c:v>24</c:v>
                </c:pt>
                <c:pt idx="5">
                  <c:v>214</c:v>
                </c:pt>
                <c:pt idx="6">
                  <c:v>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A9-4DFD-89BE-D47AD10A8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31680"/>
        <c:axId val="43833216"/>
      </c:barChart>
      <c:catAx>
        <c:axId val="438316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3833216"/>
        <c:crosses val="autoZero"/>
        <c:auto val="1"/>
        <c:lblAlgn val="ctr"/>
        <c:lblOffset val="100"/>
        <c:noMultiLvlLbl val="0"/>
      </c:catAx>
      <c:valAx>
        <c:axId val="4383321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 sz="800" b="0"/>
                </a:pPr>
                <a:r>
                  <a:rPr lang="en-US" sz="800" b="0"/>
                  <a:t>in  Numbers</a:t>
                </a:r>
              </a:p>
            </c:rich>
          </c:tx>
          <c:layout>
            <c:manualLayout>
              <c:xMode val="edge"/>
              <c:yMode val="edge"/>
              <c:x val="4.4909331656092562E-3"/>
              <c:y val="0.10897722886349255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3831680"/>
        <c:crosses val="autoZero"/>
        <c:crossBetween val="between"/>
      </c:valAx>
      <c:spPr>
        <a:solidFill>
          <a:srgbClr val="EAFAFA"/>
        </a:solidFill>
        <a:ln w="9525">
          <a:solidFill>
            <a:schemeClr val="bg1">
              <a:lumMod val="6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74567069360232408"/>
          <c:y val="0.2739347952256852"/>
          <c:w val="0.2152022471614318"/>
          <c:h val="7.5817040503235011E-2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866775</xdr:colOff>
      <xdr:row>15</xdr:row>
      <xdr:rowOff>76108</xdr:rowOff>
    </xdr:from>
    <xdr:to>
      <xdr:col>12</xdr:col>
      <xdr:colOff>809625</xdr:colOff>
      <xdr:row>31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0.34213</cdr:x>
      <cdr:y>0.04276</cdr:y>
    </cdr:from>
    <cdr:to>
      <cdr:x>0.76074</cdr:x>
      <cdr:y>0.12895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805825" y="129536"/>
          <a:ext cx="3433050" cy="2610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8.10: Number of Theft cases  by type, 2020 - 2023</a:t>
          </a:r>
          <a:endParaRPr lang="en-US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4\8.%20LAW%20AND%20ORDER_MPS%20-%20FILLED.xlsx" TargetMode="External"/><Relationship Id="rId1" Type="http://schemas.openxmlformats.org/officeDocument/2006/relationships/externalLinkPath" Target="/Dissemination/Publications/Statistical%20Year%20Book/YEARBOOK%202024/8.%20LAW%20AND%20ORDER_MPS%20-%20FILL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2.28"/>
      <sheetName val="2.29"/>
      <sheetName val="Sheet1"/>
    </sheetNames>
    <sheetDataSet>
      <sheetData sheetId="0">
        <row r="6">
          <cell r="A6" t="str">
            <v>Theft</v>
          </cell>
          <cell r="Q6">
            <v>25.474525474525471</v>
          </cell>
        </row>
        <row r="7">
          <cell r="A7" t="str">
            <v>Traffic accidents</v>
          </cell>
          <cell r="Q7">
            <v>15.304695304695304</v>
          </cell>
        </row>
        <row r="8">
          <cell r="A8" t="str">
            <v>Drugs</v>
          </cell>
          <cell r="Q8">
            <v>11.535131535131535</v>
          </cell>
        </row>
        <row r="9">
          <cell r="A9" t="str">
            <v>Lost Items</v>
          </cell>
          <cell r="Q9">
            <v>9.8701298701298708</v>
          </cell>
        </row>
        <row r="10">
          <cell r="A10" t="str">
            <v>Assault</v>
          </cell>
          <cell r="Q10">
            <v>4.3689643689643693</v>
          </cell>
        </row>
        <row r="11">
          <cell r="A11" t="str">
            <v>Vandalism</v>
          </cell>
          <cell r="Q11">
            <v>4.0892440892440893</v>
          </cell>
        </row>
        <row r="12">
          <cell r="A12" t="str">
            <v>Robbery</v>
          </cell>
          <cell r="Q12">
            <v>3.1834831834831836</v>
          </cell>
        </row>
        <row r="13">
          <cell r="A13" t="str">
            <v>Sexual offences</v>
          </cell>
          <cell r="Q13">
            <v>1.9247419247419246</v>
          </cell>
        </row>
        <row r="14">
          <cell r="A14" t="str">
            <v>Embezzlement</v>
          </cell>
          <cell r="Q14">
            <v>5.0149850149850153</v>
          </cell>
        </row>
        <row r="15">
          <cell r="A15" t="str">
            <v>Domestic violence</v>
          </cell>
          <cell r="Q15">
            <v>1.4851814851814853</v>
          </cell>
        </row>
        <row r="16">
          <cell r="A16" t="str">
            <v>Counterfeit and forgery</v>
          </cell>
          <cell r="Q16">
            <v>0.85248085248085248</v>
          </cell>
        </row>
        <row r="17">
          <cell r="A17" t="str">
            <v>Others</v>
          </cell>
          <cell r="Q17">
            <v>16.896436896436899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92D050"/>
  </sheetPr>
  <dimension ref="A1:U23"/>
  <sheetViews>
    <sheetView tabSelected="1" zoomScaleNormal="100" workbookViewId="0">
      <selection activeCell="R7" sqref="R7"/>
    </sheetView>
  </sheetViews>
  <sheetFormatPr defaultColWidth="9.140625" defaultRowHeight="15"/>
  <cols>
    <col min="1" max="1" width="33" style="1" customWidth="1"/>
    <col min="2" max="9" width="9.7109375" style="1" customWidth="1"/>
    <col min="10" max="10" width="2.7109375" style="1" customWidth="1"/>
    <col min="11" max="11" width="15.5703125" style="1" customWidth="1"/>
    <col min="12" max="12" width="14.28515625" style="1" customWidth="1"/>
    <col min="13" max="13" width="34.5703125" style="1" customWidth="1"/>
    <col min="14" max="14" width="5.42578125" style="1" customWidth="1"/>
    <col min="15" max="15" width="22.140625" style="1" bestFit="1" customWidth="1"/>
    <col min="16" max="16384" width="9.140625" style="1"/>
  </cols>
  <sheetData>
    <row r="1" spans="1:21" ht="21">
      <c r="A1" s="40" t="s">
        <v>26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21" ht="15.75" customHeight="1">
      <c r="A2" s="41" t="s">
        <v>25</v>
      </c>
      <c r="B2" s="41"/>
      <c r="C2" s="41"/>
      <c r="D2" s="41"/>
      <c r="E2" s="42"/>
      <c r="F2" s="42"/>
      <c r="G2" s="43"/>
      <c r="H2" s="38"/>
      <c r="I2" s="38"/>
      <c r="J2" s="41"/>
      <c r="K2" s="42"/>
      <c r="L2" s="42"/>
      <c r="M2" s="41"/>
      <c r="O2" s="2"/>
    </row>
    <row r="3" spans="1:21" ht="17.25">
      <c r="A3" s="50" t="s">
        <v>6</v>
      </c>
      <c r="B3" s="46">
        <v>2016</v>
      </c>
      <c r="C3" s="46">
        <v>2017</v>
      </c>
      <c r="D3" s="46">
        <v>2018</v>
      </c>
      <c r="E3" s="46">
        <v>2019</v>
      </c>
      <c r="F3" s="46">
        <v>2020</v>
      </c>
      <c r="G3" s="46">
        <v>2021</v>
      </c>
      <c r="H3" s="46">
        <v>2022</v>
      </c>
      <c r="I3" s="49">
        <v>2023</v>
      </c>
      <c r="J3" s="29"/>
      <c r="K3" s="28" t="s">
        <v>3</v>
      </c>
      <c r="L3" s="19" t="s">
        <v>7</v>
      </c>
      <c r="M3" s="44" t="s">
        <v>8</v>
      </c>
      <c r="P3" s="3"/>
      <c r="Q3" s="3"/>
      <c r="R3" s="3"/>
      <c r="S3" s="3"/>
      <c r="T3" s="3"/>
      <c r="U3" s="3"/>
    </row>
    <row r="4" spans="1:21" ht="34.5">
      <c r="A4" s="51"/>
      <c r="B4" s="47"/>
      <c r="C4" s="47"/>
      <c r="D4" s="47"/>
      <c r="E4" s="47"/>
      <c r="F4" s="47"/>
      <c r="G4" s="47"/>
      <c r="H4" s="47"/>
      <c r="I4" s="47"/>
      <c r="J4" s="30"/>
      <c r="K4" s="20" t="s">
        <v>4</v>
      </c>
      <c r="L4" s="21" t="s">
        <v>9</v>
      </c>
      <c r="M4" s="45"/>
      <c r="P4" s="3"/>
      <c r="Q4" s="3"/>
      <c r="R4" s="3"/>
      <c r="S4" s="3"/>
      <c r="T4" s="3"/>
      <c r="U4" s="3"/>
    </row>
    <row r="5" spans="1:21" ht="17.25">
      <c r="A5" s="52"/>
      <c r="B5" s="48"/>
      <c r="C5" s="48"/>
      <c r="D5" s="48"/>
      <c r="E5" s="48"/>
      <c r="F5" s="48"/>
      <c r="G5" s="48"/>
      <c r="H5" s="48"/>
      <c r="I5" s="48"/>
      <c r="J5" s="31"/>
      <c r="K5" s="22" t="s">
        <v>24</v>
      </c>
      <c r="L5" s="22">
        <v>2023</v>
      </c>
      <c r="M5" s="39"/>
      <c r="P5" s="3"/>
      <c r="Q5" s="3"/>
      <c r="R5" s="3"/>
      <c r="S5" s="3"/>
      <c r="T5" s="3"/>
      <c r="U5" s="3"/>
    </row>
    <row r="6" spans="1:21" s="12" customFormat="1" ht="17.25">
      <c r="A6" s="4" t="s">
        <v>0</v>
      </c>
      <c r="B6" s="23">
        <f t="shared" ref="B6:F6" si="0">SUM(B7:B13)</f>
        <v>3616</v>
      </c>
      <c r="C6" s="23">
        <f t="shared" si="0"/>
        <v>3503</v>
      </c>
      <c r="D6" s="23">
        <f t="shared" si="0"/>
        <v>3270</v>
      </c>
      <c r="E6" s="23">
        <f t="shared" si="0"/>
        <v>4554</v>
      </c>
      <c r="F6" s="23">
        <f t="shared" si="0"/>
        <v>3581</v>
      </c>
      <c r="G6" s="23">
        <f>SUM(G7:G13)</f>
        <v>4662</v>
      </c>
      <c r="H6" s="23">
        <f>SUM(H7:H13)</f>
        <v>3982</v>
      </c>
      <c r="I6" s="23">
        <f>SUM(I7:I13)</f>
        <v>3825</v>
      </c>
      <c r="J6" s="23"/>
      <c r="K6" s="37">
        <f>((I6-H6)/H6*100)</f>
        <v>-3.942742340532396</v>
      </c>
      <c r="L6" s="26">
        <f>I6/$I$6*100</f>
        <v>100</v>
      </c>
      <c r="M6" s="32" t="s">
        <v>5</v>
      </c>
      <c r="O6" s="23"/>
      <c r="P6" s="13"/>
      <c r="Q6" s="13"/>
      <c r="R6" s="13"/>
      <c r="S6" s="13"/>
      <c r="T6" s="13"/>
      <c r="U6" s="13"/>
    </row>
    <row r="7" spans="1:21" s="18" customFormat="1" ht="18.75">
      <c r="A7" s="14" t="s">
        <v>10</v>
      </c>
      <c r="B7" s="24">
        <v>1054</v>
      </c>
      <c r="C7" s="24">
        <v>1217</v>
      </c>
      <c r="D7" s="24">
        <v>1290</v>
      </c>
      <c r="E7" s="24">
        <v>1777</v>
      </c>
      <c r="F7" s="24">
        <v>1609</v>
      </c>
      <c r="G7" s="24">
        <v>2251</v>
      </c>
      <c r="H7" s="24">
        <v>1989</v>
      </c>
      <c r="I7" s="24">
        <v>1881</v>
      </c>
      <c r="J7" s="24"/>
      <c r="K7" s="35">
        <f t="shared" ref="K7:K13" si="1">((I7-H7)/H7*100)</f>
        <v>-5.4298642533936654</v>
      </c>
      <c r="L7" s="33">
        <f>I7/$I$6*100</f>
        <v>49.176470588235297</v>
      </c>
      <c r="M7" s="6" t="s">
        <v>11</v>
      </c>
      <c r="O7" s="23"/>
      <c r="P7" s="13"/>
      <c r="Q7" s="13"/>
      <c r="R7" s="15"/>
      <c r="S7" s="15"/>
      <c r="T7" s="15"/>
      <c r="U7" s="15"/>
    </row>
    <row r="8" spans="1:21" s="18" customFormat="1" ht="18.75">
      <c r="A8" s="14" t="s">
        <v>12</v>
      </c>
      <c r="B8" s="24">
        <v>650</v>
      </c>
      <c r="C8" s="24">
        <v>666</v>
      </c>
      <c r="D8" s="24">
        <v>494</v>
      </c>
      <c r="E8" s="24">
        <v>777</v>
      </c>
      <c r="F8" s="24">
        <v>479</v>
      </c>
      <c r="G8" s="24">
        <v>685</v>
      </c>
      <c r="H8" s="24">
        <v>493</v>
      </c>
      <c r="I8" s="24">
        <v>535</v>
      </c>
      <c r="J8" s="24"/>
      <c r="K8" s="35">
        <f t="shared" si="1"/>
        <v>8.5192697768762677</v>
      </c>
      <c r="L8" s="33">
        <f t="shared" ref="L8:L13" si="2">I8/$I$6*100</f>
        <v>13.986928104575163</v>
      </c>
      <c r="M8" s="6" t="s">
        <v>13</v>
      </c>
      <c r="O8" s="23"/>
      <c r="P8" s="24"/>
      <c r="Q8" s="13"/>
      <c r="R8" s="15"/>
      <c r="S8" s="15"/>
      <c r="T8" s="15"/>
      <c r="U8" s="15"/>
    </row>
    <row r="9" spans="1:21" s="18" customFormat="1" ht="18.75">
      <c r="A9" s="14" t="s">
        <v>14</v>
      </c>
      <c r="B9" s="24">
        <v>778</v>
      </c>
      <c r="C9" s="24">
        <v>606</v>
      </c>
      <c r="D9" s="24">
        <v>523</v>
      </c>
      <c r="E9" s="24">
        <v>757</v>
      </c>
      <c r="F9" s="24">
        <v>583</v>
      </c>
      <c r="G9" s="24">
        <v>705</v>
      </c>
      <c r="H9" s="24">
        <v>561</v>
      </c>
      <c r="I9" s="24">
        <v>547</v>
      </c>
      <c r="J9" s="24"/>
      <c r="K9" s="35">
        <f t="shared" si="1"/>
        <v>-2.4955436720142603</v>
      </c>
      <c r="L9" s="33">
        <f t="shared" si="2"/>
        <v>14.300653594771243</v>
      </c>
      <c r="M9" s="6" t="s">
        <v>15</v>
      </c>
      <c r="O9" s="23"/>
      <c r="P9" s="24"/>
      <c r="Q9" s="13"/>
      <c r="R9" s="15"/>
      <c r="S9" s="15"/>
      <c r="T9" s="15"/>
      <c r="U9" s="15"/>
    </row>
    <row r="10" spans="1:21" s="18" customFormat="1" ht="18.75">
      <c r="A10" s="14" t="s">
        <v>16</v>
      </c>
      <c r="B10" s="24">
        <v>278</v>
      </c>
      <c r="C10" s="24">
        <v>237</v>
      </c>
      <c r="D10" s="24">
        <v>223</v>
      </c>
      <c r="E10" s="24">
        <v>232</v>
      </c>
      <c r="F10" s="24">
        <v>129</v>
      </c>
      <c r="G10" s="24">
        <v>105</v>
      </c>
      <c r="H10" s="24">
        <v>276</v>
      </c>
      <c r="I10" s="24">
        <v>161</v>
      </c>
      <c r="J10" s="24"/>
      <c r="K10" s="35">
        <f>((I10-H10)/H10*100)</f>
        <v>-41.666666666666671</v>
      </c>
      <c r="L10" s="33">
        <f t="shared" si="2"/>
        <v>4.2091503267973858</v>
      </c>
      <c r="M10" s="6" t="s">
        <v>17</v>
      </c>
      <c r="P10" s="24"/>
      <c r="Q10" s="13"/>
      <c r="R10" s="15"/>
      <c r="S10" s="15"/>
      <c r="T10" s="15"/>
      <c r="U10" s="15"/>
    </row>
    <row r="11" spans="1:21" s="18" customFormat="1" ht="18.75">
      <c r="A11" s="14" t="s">
        <v>18</v>
      </c>
      <c r="B11" s="24">
        <v>181</v>
      </c>
      <c r="C11" s="24">
        <v>135</v>
      </c>
      <c r="D11" s="24">
        <v>92</v>
      </c>
      <c r="E11" s="24">
        <v>94</v>
      </c>
      <c r="F11" s="24">
        <v>73</v>
      </c>
      <c r="G11" s="24">
        <v>53</v>
      </c>
      <c r="H11" s="24">
        <v>43</v>
      </c>
      <c r="I11" s="24">
        <v>24</v>
      </c>
      <c r="J11" s="24"/>
      <c r="K11" s="35">
        <f t="shared" si="1"/>
        <v>-44.186046511627907</v>
      </c>
      <c r="L11" s="33">
        <f t="shared" si="2"/>
        <v>0.62745098039215685</v>
      </c>
      <c r="M11" s="6" t="s">
        <v>19</v>
      </c>
      <c r="O11" s="23"/>
      <c r="P11" s="24"/>
      <c r="Q11" s="13"/>
      <c r="R11" s="24"/>
      <c r="S11" s="15"/>
      <c r="T11" s="15"/>
      <c r="U11" s="15"/>
    </row>
    <row r="12" spans="1:21" s="18" customFormat="1" ht="18.75">
      <c r="A12" s="14" t="s">
        <v>20</v>
      </c>
      <c r="B12" s="24">
        <v>258</v>
      </c>
      <c r="C12" s="24">
        <v>174</v>
      </c>
      <c r="D12" s="24">
        <v>227</v>
      </c>
      <c r="E12" s="24">
        <v>306</v>
      </c>
      <c r="F12" s="24">
        <v>190</v>
      </c>
      <c r="G12" s="24">
        <v>236</v>
      </c>
      <c r="H12" s="24">
        <v>156</v>
      </c>
      <c r="I12" s="24">
        <v>214</v>
      </c>
      <c r="J12" s="24"/>
      <c r="K12" s="35">
        <f t="shared" si="1"/>
        <v>37.179487179487182</v>
      </c>
      <c r="L12" s="33">
        <f t="shared" si="2"/>
        <v>5.594771241830065</v>
      </c>
      <c r="M12" s="6" t="s">
        <v>21</v>
      </c>
      <c r="O12" s="23"/>
      <c r="P12" s="24"/>
      <c r="Q12" s="13"/>
      <c r="R12" s="24"/>
      <c r="S12" s="15"/>
      <c r="T12" s="15"/>
      <c r="U12" s="15"/>
    </row>
    <row r="13" spans="1:21" s="18" customFormat="1" ht="18.75">
      <c r="A13" s="16" t="s">
        <v>22</v>
      </c>
      <c r="B13" s="25">
        <v>417</v>
      </c>
      <c r="C13" s="25">
        <v>468</v>
      </c>
      <c r="D13" s="25">
        <v>421</v>
      </c>
      <c r="E13" s="25">
        <v>611</v>
      </c>
      <c r="F13" s="25">
        <v>518</v>
      </c>
      <c r="G13" s="25">
        <v>627</v>
      </c>
      <c r="H13" s="25">
        <v>464</v>
      </c>
      <c r="I13" s="25">
        <v>463</v>
      </c>
      <c r="J13" s="25"/>
      <c r="K13" s="36">
        <f t="shared" si="1"/>
        <v>-0.21551724137931033</v>
      </c>
      <c r="L13" s="34">
        <f t="shared" si="2"/>
        <v>12.104575163398692</v>
      </c>
      <c r="M13" s="7" t="s">
        <v>23</v>
      </c>
      <c r="O13" s="23"/>
      <c r="P13" s="24"/>
      <c r="Q13" s="13"/>
      <c r="R13" s="24"/>
      <c r="S13" s="15"/>
      <c r="T13" s="15"/>
      <c r="U13" s="15"/>
    </row>
    <row r="14" spans="1:21">
      <c r="A14" s="9" t="s">
        <v>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27" t="s">
        <v>2</v>
      </c>
      <c r="O14" s="23"/>
      <c r="P14" s="24"/>
      <c r="Q14" s="13"/>
      <c r="R14" s="24"/>
      <c r="S14" s="3"/>
      <c r="T14" s="3"/>
      <c r="U14" s="3"/>
    </row>
    <row r="15" spans="1:21">
      <c r="O15" s="23"/>
      <c r="P15" s="13"/>
      <c r="Q15" s="13"/>
      <c r="R15" s="24"/>
      <c r="S15" s="3"/>
      <c r="T15" s="3"/>
      <c r="U15" s="3"/>
    </row>
    <row r="16" spans="1:21">
      <c r="A16" s="17"/>
      <c r="O16" s="23"/>
      <c r="P16" s="13"/>
      <c r="Q16" s="13"/>
      <c r="R16" s="24"/>
      <c r="S16" s="3"/>
      <c r="T16" s="3"/>
      <c r="U16" s="3"/>
    </row>
    <row r="17" spans="1:21">
      <c r="O17" s="23"/>
      <c r="P17" s="13"/>
      <c r="Q17" s="13"/>
      <c r="R17" s="24"/>
      <c r="S17" s="3"/>
      <c r="T17" s="3"/>
      <c r="U17" s="3"/>
    </row>
    <row r="18" spans="1:21">
      <c r="O18" s="23"/>
      <c r="P18" s="13"/>
      <c r="Q18" s="13"/>
      <c r="R18" s="3"/>
      <c r="S18" s="3"/>
      <c r="T18" s="3"/>
      <c r="U18" s="3"/>
    </row>
    <row r="19" spans="1:21">
      <c r="P19" s="3"/>
      <c r="Q19" s="3"/>
      <c r="R19" s="3"/>
      <c r="S19" s="3"/>
      <c r="T19" s="3"/>
      <c r="U19" s="3"/>
    </row>
    <row r="20" spans="1:21">
      <c r="P20" s="3"/>
      <c r="Q20" s="3"/>
      <c r="R20" s="3"/>
      <c r="S20" s="3"/>
      <c r="T20" s="3"/>
      <c r="U20" s="3"/>
    </row>
    <row r="21" spans="1:21" ht="17.25">
      <c r="A21" s="10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11"/>
      <c r="P21" s="3"/>
      <c r="Q21" s="3"/>
      <c r="R21" s="3"/>
      <c r="S21" s="3"/>
      <c r="T21" s="3"/>
      <c r="U21" s="3"/>
    </row>
    <row r="22" spans="1:21">
      <c r="P22" s="3"/>
      <c r="Q22" s="3"/>
      <c r="R22" s="3"/>
      <c r="S22" s="3"/>
      <c r="T22" s="3"/>
      <c r="U22" s="3"/>
    </row>
    <row r="23" spans="1:21">
      <c r="P23" s="3"/>
      <c r="Q23" s="3"/>
      <c r="R23" s="3"/>
      <c r="S23" s="3"/>
      <c r="T23" s="3"/>
      <c r="U23" s="3"/>
    </row>
  </sheetData>
  <mergeCells count="12">
    <mergeCell ref="A1:M1"/>
    <mergeCell ref="A2:M2"/>
    <mergeCell ref="A3:A5"/>
    <mergeCell ref="B3:B5"/>
    <mergeCell ref="C3:C5"/>
    <mergeCell ref="E3:E5"/>
    <mergeCell ref="F3:F5"/>
    <mergeCell ref="G3:G5"/>
    <mergeCell ref="H3:H5"/>
    <mergeCell ref="I3:I5"/>
    <mergeCell ref="D3:D5"/>
    <mergeCell ref="M3:M5"/>
  </mergeCells>
  <pageMargins left="0.7" right="0.7" top="0.75" bottom="0.75" header="0.3" footer="0.3"/>
  <pageSetup paperSize="9" scale="47" orientation="portrait" horizontalDpi="4294967295" verticalDpi="4294967295" r:id="rId1"/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8.7</vt:lpstr>
      <vt:lpstr>'8.7'!Print_Area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2024-10-06T03:14:13Z</cp:lastPrinted>
  <dcterms:created xsi:type="dcterms:W3CDTF">2019-06-30T04:22:49Z</dcterms:created>
  <dcterms:modified xsi:type="dcterms:W3CDTF">2024-10-06T03:14:27Z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