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law and Order\"/>
    </mc:Choice>
  </mc:AlternateContent>
  <xr:revisionPtr revIDLastSave="0" documentId="13_ncr:1_{82396D26-653A-470E-9767-961BCE253A3B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8.4" sheetId="4" r:id="rId1"/>
  </sheets>
  <externalReferences>
    <externalReference r:id="rId2"/>
  </externalReferences>
  <definedNames>
    <definedName name="_xlnm.Print_Area" localSheetId="0">'8.4'!$A$1:$W$36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B16" i="4"/>
  <c r="B15" i="4"/>
  <c r="B14" i="4"/>
  <c r="B13" i="4"/>
  <c r="B12" i="4"/>
  <c r="B11" i="4"/>
  <c r="B10" i="4"/>
  <c r="B9" i="4"/>
  <c r="B8" i="4"/>
  <c r="B7" i="4"/>
  <c r="B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 l="1"/>
</calcChain>
</file>

<file path=xl/sharedStrings.xml><?xml version="1.0" encoding="utf-8"?>
<sst xmlns="http://schemas.openxmlformats.org/spreadsheetml/2006/main" count="86" uniqueCount="69">
  <si>
    <t>ހުށަހެޅިފައިވާ މައްސަލަތައް</t>
  </si>
  <si>
    <t>Theft</t>
  </si>
  <si>
    <t>Total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</si>
  <si>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</si>
  <si>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</si>
  <si>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</si>
  <si>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</si>
  <si>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</si>
  <si>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</si>
  <si>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</si>
  <si>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</si>
  <si>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</si>
  <si>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</si>
  <si>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</si>
  <si>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</si>
  <si>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</si>
  <si>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</si>
  <si>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</si>
  <si>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</si>
  <si>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</si>
  <si>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</si>
  <si>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</si>
  <si>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</si>
  <si>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</si>
  <si>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</si>
  <si>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</si>
  <si>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</si>
  <si>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</si>
  <si>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</si>
  <si>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</si>
  <si>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</si>
  <si>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</si>
  <si>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</si>
  <si>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</si>
  <si>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</si>
  <si>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</si>
  <si>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</si>
  <si>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</si>
  <si>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</si>
  <si>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</si>
  <si>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</si>
  <si>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</si>
  <si>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</si>
  <si>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</si>
  <si>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</si>
  <si>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</si>
  <si>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</si>
  <si>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</si>
  <si>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</si>
  <si>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</si>
  <si>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</si>
  <si>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</si>
  <si>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</si>
  <si>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</si>
  <si>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</si>
  <si>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</si>
  <si>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</si>
  <si>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</si>
  <si>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</si>
  <si>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</si>
  <si>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</si>
  <si>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</si>
  <si>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</si>
  <si>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</si>
  <si>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</si>
  <si>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ޖުމްލަ</t>
  </si>
  <si>
    <t>ވަގުފައިސާ</t>
  </si>
  <si>
    <t>Table 8.4 : LOGGED CASES BY TYPE AND ATOLL,  2023</t>
  </si>
  <si>
    <t>ތާވަލު 8.4: އަތޮޅުތަކުން ހުށަހެޅިފައިވާ މައްސަލަތައް،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</si>
</sst>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0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i/>
      <sz val="9"/>
      <color theme="1"/>
      <name val="Calibri"/>
      <family val="2"/>
      <scheme val="minor"/>
    </font>
    <font>
      <i/>
      <sz val="10"/>
      <name val="Courier"/>
      <family val="3"/>
    </font>
    <font>
      <sz val="9"/>
      <color theme="1"/>
      <name val="Courier"/>
      <family val="3"/>
    </font>
    <font>
      <sz val="8"/>
      <color theme="1"/>
      <name val="A_Randhoo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color theme="1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6" fillId="0" borderId="7" applyNumberFormat="0" applyFill="0" applyAlignment="0" applyProtection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170" fontId="30" fillId="0" borderId="0"/>
    <xf numFmtId="1" fontId="31" fillId="0" borderId="8" applyNumberFormat="0"/>
    <xf numFmtId="0" fontId="25" fillId="0" borderId="0"/>
    <xf numFmtId="0" fontId="1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9" fillId="0" borderId="0"/>
    <xf numFmtId="40" fontId="29" fillId="0" borderId="0" applyFont="0" applyFill="0" applyBorder="0" applyAlignment="0" applyProtection="0"/>
    <xf numFmtId="0" fontId="29" fillId="0" borderId="0"/>
    <xf numFmtId="0" fontId="25" fillId="0" borderId="0"/>
    <xf numFmtId="1" fontId="31" fillId="0" borderId="8" applyNumberFormat="0"/>
    <xf numFmtId="0" fontId="1" fillId="0" borderId="0"/>
    <xf numFmtId="0" fontId="29" fillId="0" borderId="0"/>
    <xf numFmtId="0" fontId="17" fillId="0" borderId="0" applyFill="0" applyProtection="0"/>
    <xf numFmtId="1" fontId="31" fillId="0" borderId="8" applyNumberFormat="0"/>
    <xf numFmtId="43" fontId="1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  <xf numFmtId="0" fontId="32" fillId="0" borderId="0"/>
    <xf numFmtId="0" fontId="1" fillId="0" borderId="0"/>
    <xf numFmtId="0" fontId="29" fillId="0" borderId="0"/>
    <xf numFmtId="0" fontId="17" fillId="0" borderId="0" applyFill="0" applyProtection="0"/>
    <xf numFmtId="1" fontId="31" fillId="0" borderId="8" applyNumberFormat="0"/>
    <xf numFmtId="0" fontId="1" fillId="0" borderId="0"/>
    <xf numFmtId="0" fontId="25" fillId="0" borderId="0"/>
    <xf numFmtId="0" fontId="32" fillId="0" borderId="0"/>
    <xf numFmtId="0" fontId="33" fillId="0" borderId="0"/>
    <xf numFmtId="0" fontId="25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34" fillId="0" borderId="0" applyBorder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 applyBorder="0"/>
    <xf numFmtId="0" fontId="1" fillId="0" borderId="0"/>
    <xf numFmtId="0" fontId="1" fillId="0" borderId="0"/>
    <xf numFmtId="1" fontId="31" fillId="0" borderId="8" applyNumberFormat="0"/>
    <xf numFmtId="1" fontId="31" fillId="0" borderId="8" applyNumberFormat="0"/>
    <xf numFmtId="1" fontId="31" fillId="0" borderId="8" applyNumberFormat="0"/>
    <xf numFmtId="1" fontId="31" fillId="0" borderId="8" applyNumberFormat="0"/>
    <xf numFmtId="0" fontId="35" fillId="0" borderId="0"/>
    <xf numFmtId="0" fontId="35" fillId="0" borderId="0"/>
  </cellStyleXfs>
  <cellXfs count="42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6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/>
    <xf numFmtId="167" fontId="15" fillId="2" borderId="0" xfId="1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 vertical="center" indent="1"/>
    </xf>
    <xf numFmtId="164" fontId="10" fillId="2" borderId="4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/>
    <xf numFmtId="164" fontId="20" fillId="2" borderId="0" xfId="0" applyNumberFormat="1" applyFont="1" applyFill="1" applyAlignment="1">
      <alignment horizontal="right" vertical="center"/>
    </xf>
    <xf numFmtId="164" fontId="19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horizontal="left" vertical="center" indent="1"/>
    </xf>
    <xf numFmtId="164" fontId="13" fillId="2" borderId="4" xfId="0" applyNumberFormat="1" applyFont="1" applyFill="1" applyBorder="1" applyAlignment="1">
      <alignment horizontal="left" vertical="center" indent="1"/>
    </xf>
    <xf numFmtId="164" fontId="22" fillId="2" borderId="0" xfId="0" applyNumberFormat="1" applyFont="1" applyFill="1"/>
    <xf numFmtId="166" fontId="6" fillId="2" borderId="0" xfId="3" applyFont="1" applyFill="1" applyBorder="1" applyAlignment="1">
      <alignment vertical="center"/>
    </xf>
    <xf numFmtId="164" fontId="16" fillId="2" borderId="6" xfId="0" applyNumberFormat="1" applyFont="1" applyFill="1" applyBorder="1" applyAlignment="1">
      <alignment horizontal="right" vertical="center" wrapText="1"/>
    </xf>
    <xf numFmtId="164" fontId="0" fillId="2" borderId="0" xfId="0" applyNumberFormat="1" applyFill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4" fontId="13" fillId="2" borderId="4" xfId="0" applyNumberFormat="1" applyFont="1" applyFill="1" applyBorder="1" applyAlignment="1">
      <alignment vertical="center"/>
    </xf>
    <xf numFmtId="166" fontId="6" fillId="2" borderId="4" xfId="3" applyFont="1" applyFill="1" applyBorder="1" applyAlignment="1">
      <alignment vertical="center"/>
    </xf>
    <xf numFmtId="164" fontId="21" fillId="2" borderId="5" xfId="0" applyNumberFormat="1" applyFont="1" applyFill="1" applyBorder="1" applyAlignment="1">
      <alignment vertical="center"/>
    </xf>
    <xf numFmtId="164" fontId="21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21" fillId="2" borderId="1" xfId="0" applyNumberFormat="1" applyFont="1" applyFill="1" applyBorder="1" applyAlignment="1">
      <alignment vertical="center"/>
    </xf>
    <xf numFmtId="164" fontId="24" fillId="2" borderId="1" xfId="0" applyNumberFormat="1" applyFont="1" applyFill="1" applyBorder="1" applyAlignment="1">
      <alignment horizontal="right" vertical="center"/>
    </xf>
    <xf numFmtId="0" fontId="15" fillId="2" borderId="0" xfId="0" applyFont="1" applyFill="1"/>
    <xf numFmtId="0" fontId="15" fillId="2" borderId="4" xfId="0" applyFont="1" applyFill="1" applyBorder="1"/>
    <xf numFmtId="164" fontId="27" fillId="2" borderId="6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left" vertical="center" wrapText="1"/>
    </xf>
    <xf numFmtId="164" fontId="8" fillId="2" borderId="3" xfId="0" applyNumberFormat="1" applyFont="1" applyFill="1" applyBorder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top"/>
    </xf>
    <xf numFmtId="164" fontId="6" fillId="2" borderId="3" xfId="0" applyNumberFormat="1" applyFont="1" applyFill="1" applyBorder="1" applyAlignment="1">
      <alignment horizontal="left" vertical="center" wrapText="1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CCCC"/>
      <color rgb="FF008080"/>
      <color rgb="FFCCF4F2"/>
      <color rgb="FFC5FFFF"/>
      <color rgb="FFEAFAFA"/>
      <color rgb="FF003F3E"/>
      <color rgb="FFFF6969"/>
      <color rgb="FFFFC5C5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5023356954308E-2"/>
          <c:y val="0.1406773150530894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'8.4'!$AL$1:$AL$11</c:f>
              <c:strCache>
                <c:ptCount val="11"/>
                <c:pt idx="0">
                  <c:v>Drugs</c:v>
                </c:pt>
                <c:pt idx="1">
                  <c:v>Theft</c:v>
                </c:pt>
                <c:pt idx="2">
                  <c:v>Lost items</c:v>
                </c:pt>
                <c:pt idx="3">
                  <c:v>Assault</c:v>
                </c:pt>
                <c:pt idx="4">
                  <c:v>Embezzlement</c:v>
                </c:pt>
                <c:pt idx="5">
                  <c:v>Vandalism</c:v>
                </c:pt>
                <c:pt idx="6">
                  <c:v>Sexual offences</c:v>
                </c:pt>
                <c:pt idx="7">
                  <c:v>Domestic violence</c:v>
                </c:pt>
                <c:pt idx="8">
                  <c:v>Traffic Accidents</c:v>
                </c:pt>
                <c:pt idx="9">
                  <c:v>Robbery</c:v>
                </c:pt>
                <c:pt idx="10">
                  <c:v>Counterfeit and forgery</c:v>
                </c:pt>
              </c:strCache>
            </c:strRef>
          </c:cat>
          <c:val>
            <c:numRef>
              <c:f>'8.4'!$AM$1:$AM$11</c:f>
              <c:numCache>
                <c:formatCode>_-* #,##0_-;\-* #,##0_-;_-* "-"??_-;_-@_-</c:formatCode>
                <c:ptCount val="11"/>
                <c:pt idx="0">
                  <c:v>754</c:v>
                </c:pt>
                <c:pt idx="1">
                  <c:v>737</c:v>
                </c:pt>
                <c:pt idx="2">
                  <c:v>443</c:v>
                </c:pt>
                <c:pt idx="3">
                  <c:v>309</c:v>
                </c:pt>
                <c:pt idx="4">
                  <c:v>216</c:v>
                </c:pt>
                <c:pt idx="5">
                  <c:v>165</c:v>
                </c:pt>
                <c:pt idx="6">
                  <c:v>160</c:v>
                </c:pt>
                <c:pt idx="7">
                  <c:v>94</c:v>
                </c:pt>
                <c:pt idx="8">
                  <c:v>82</c:v>
                </c:pt>
                <c:pt idx="9">
                  <c:v>39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FE9-8E73-57B6E4F3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42799872"/>
        <c:axId val="42801408"/>
      </c:barChart>
      <c:catAx>
        <c:axId val="4279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2801408"/>
        <c:crosses val="autoZero"/>
        <c:auto val="1"/>
        <c:lblAlgn val="ctr"/>
        <c:lblOffset val="100"/>
        <c:noMultiLvlLbl val="0"/>
      </c:catAx>
      <c:valAx>
        <c:axId val="42801408"/>
        <c:scaling>
          <c:orientation val="minMax"/>
          <c:max val="1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799872"/>
        <c:crosses val="autoZero"/>
        <c:crossBetween val="between"/>
      </c:valAx>
      <c:spPr>
        <a:solidFill>
          <a:srgbClr val="EAFAFA"/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69757</xdr:colOff>
      <xdr:row>18</xdr:row>
      <xdr:rowOff>144780</xdr:rowOff>
    </xdr:from>
    <xdr:to>
      <xdr:col>22</xdr:col>
      <xdr:colOff>367262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0.76586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28128" y="46112"/>
          <a:ext cx="3982934" cy="249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8.7: Number of logged cases in Atolls by type, 2023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8.%20LAW%20AND%20ORDER_MPS%20-%20FILLED.xlsx" TargetMode="External"/><Relationship Id="rId1" Type="http://schemas.openxmlformats.org/officeDocument/2006/relationships/externalLinkPath" Target="/Dissemination/Publications/Statistical%20Year%20Book/YEARBOOK%202024/8.%20LAW%20AND%20ORDER_MPS%20-%20FIL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Sheet1"/>
    </sheetNames>
    <sheetDataSet>
      <sheetData sheetId="0">
        <row r="5">
          <cell r="P5">
            <v>15015</v>
          </cell>
        </row>
        <row r="6">
          <cell r="A6" t="str">
            <v>Theft</v>
          </cell>
          <cell r="Q6">
            <v>25.474525474525471</v>
          </cell>
        </row>
        <row r="7">
          <cell r="A7" t="str">
            <v>Traffic accidents</v>
          </cell>
          <cell r="Q7">
            <v>15.304695304695304</v>
          </cell>
        </row>
        <row r="8">
          <cell r="A8" t="str">
            <v>Drugs</v>
          </cell>
          <cell r="Q8">
            <v>11.535131535131535</v>
          </cell>
        </row>
        <row r="9">
          <cell r="A9" t="str">
            <v>Lost Items</v>
          </cell>
          <cell r="Q9">
            <v>9.8701298701298708</v>
          </cell>
        </row>
        <row r="10">
          <cell r="A10" t="str">
            <v>Assault</v>
          </cell>
          <cell r="Q10">
            <v>4.3689643689643693</v>
          </cell>
        </row>
        <row r="11">
          <cell r="A11" t="str">
            <v>Vandalism</v>
          </cell>
          <cell r="Q11">
            <v>4.0892440892440893</v>
          </cell>
        </row>
        <row r="12">
          <cell r="A12" t="str">
            <v>Robbery</v>
          </cell>
          <cell r="Q12">
            <v>3.1834831834831836</v>
          </cell>
        </row>
        <row r="13">
          <cell r="A13" t="str">
            <v>Sexual offences</v>
          </cell>
          <cell r="Q13">
            <v>1.9247419247419246</v>
          </cell>
        </row>
        <row r="14">
          <cell r="A14" t="str">
            <v>Embezzlement</v>
          </cell>
          <cell r="Q14">
            <v>5.0149850149850153</v>
          </cell>
        </row>
        <row r="15">
          <cell r="A15" t="str">
            <v>Domestic violence</v>
          </cell>
          <cell r="Q15">
            <v>1.4851814851814853</v>
          </cell>
        </row>
        <row r="16">
          <cell r="A16" t="str">
            <v>Counterfeit and forgery</v>
          </cell>
          <cell r="Q16">
            <v>0.85248085248085248</v>
          </cell>
        </row>
        <row r="17">
          <cell r="A17" t="str">
            <v>Others</v>
          </cell>
          <cell r="Q17">
            <v>16.896436896436899</v>
          </cell>
        </row>
      </sheetData>
      <sheetData sheetId="1">
        <row r="7">
          <cell r="AD7">
            <v>11043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1:AN32"/>
  <sheetViews>
    <sheetView tabSelected="1" zoomScaleNormal="100" workbookViewId="0">
      <selection activeCell="Y2" sqref="Y2"/>
    </sheetView>
  </sheetViews>
  <sheetFormatPr defaultColWidth="9.140625" defaultRowHeight="15"/>
  <cols>
    <col min="1" max="1" width="19.140625" style="1" customWidth="1"/>
    <col min="2" max="2" width="10.140625" style="1" customWidth="1"/>
    <col min="3" max="22" width="6" style="1" customWidth="1"/>
    <col min="23" max="23" width="19.28515625" style="1" customWidth="1"/>
    <col min="24" max="24" width="1.140625" style="1" customWidth="1"/>
    <col min="25" max="25" width="22.42578125" style="1" bestFit="1" customWidth="1"/>
    <col min="26" max="16384" width="9.140625" style="1"/>
  </cols>
  <sheetData>
    <row r="1" spans="1:40" ht="21.75">
      <c r="A1" s="36" t="s">
        <v>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AL1" s="5" t="s">
        <v>4</v>
      </c>
      <c r="AM1" s="17">
        <v>754</v>
      </c>
    </row>
    <row r="2" spans="1:40">
      <c r="A2" s="40" t="s">
        <v>67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Y2" s="2"/>
      <c r="AL2" s="5" t="s">
        <v>1</v>
      </c>
      <c r="AM2" s="17">
        <v>737</v>
      </c>
    </row>
    <row r="3" spans="1:40" ht="18.75">
      <c r="A3" s="41" t="s">
        <v>26</v>
      </c>
      <c r="B3" s="18" t="s">
        <v>65</v>
      </c>
      <c r="C3" s="32" t="s">
        <v>29</v>
      </c>
      <c r="D3" s="32" t="s">
        <v>31</v>
      </c>
      <c r="E3" s="32" t="s">
        <v>33</v>
      </c>
      <c r="F3" s="32" t="s">
        <v>35</v>
      </c>
      <c r="G3" s="32" t="s">
        <v>37</v>
      </c>
      <c r="H3" s="32" t="s">
        <v>39</v>
      </c>
      <c r="I3" s="32" t="s">
        <v>41</v>
      </c>
      <c r="J3" s="32" t="s">
        <v>43</v>
      </c>
      <c r="K3" s="32" t="s">
        <v>45</v>
      </c>
      <c r="L3" s="32" t="s">
        <v>47</v>
      </c>
      <c r="M3" s="32" t="s">
        <v>49</v>
      </c>
      <c r="N3" s="32" t="s">
        <v>51</v>
      </c>
      <c r="O3" s="32" t="s">
        <v>53</v>
      </c>
      <c r="P3" s="32" t="s">
        <v>55</v>
      </c>
      <c r="Q3" s="32" t="s">
        <v>57</v>
      </c>
      <c r="R3" s="32" t="s">
        <v>58</v>
      </c>
      <c r="S3" s="32" t="s">
        <v>60</v>
      </c>
      <c r="T3" s="32" t="s">
        <v>62</v>
      </c>
      <c r="U3" s="32" t="s">
        <v>34</v>
      </c>
      <c r="V3" s="32" t="s">
        <v>64</v>
      </c>
      <c r="W3" s="38" t="s">
        <v>0</v>
      </c>
      <c r="AL3" s="5" t="s">
        <v>23</v>
      </c>
      <c r="AM3" s="17">
        <v>443</v>
      </c>
    </row>
    <row r="4" spans="1:40" s="19" customFormat="1" ht="15" customHeight="1">
      <c r="A4" s="37"/>
      <c r="B4" s="35" t="s">
        <v>2</v>
      </c>
      <c r="C4" s="34" t="s">
        <v>28</v>
      </c>
      <c r="D4" s="34" t="s">
        <v>30</v>
      </c>
      <c r="E4" s="34" t="s">
        <v>32</v>
      </c>
      <c r="F4" s="34" t="s">
        <v>34</v>
      </c>
      <c r="G4" s="34" t="s">
        <v>36</v>
      </c>
      <c r="H4" s="34" t="s">
        <v>38</v>
      </c>
      <c r="I4" s="34" t="s">
        <v>40</v>
      </c>
      <c r="J4" s="34" t="s">
        <v>42</v>
      </c>
      <c r="K4" s="34" t="s">
        <v>44</v>
      </c>
      <c r="L4" s="34" t="s">
        <v>46</v>
      </c>
      <c r="M4" s="34" t="s">
        <v>48</v>
      </c>
      <c r="N4" s="34" t="s">
        <v>50</v>
      </c>
      <c r="O4" s="34" t="s">
        <v>52</v>
      </c>
      <c r="P4" s="34" t="s">
        <v>54</v>
      </c>
      <c r="Q4" s="34" t="s">
        <v>56</v>
      </c>
      <c r="R4" s="34" t="s">
        <v>41</v>
      </c>
      <c r="S4" s="34" t="s">
        <v>59</v>
      </c>
      <c r="T4" s="34" t="s">
        <v>61</v>
      </c>
      <c r="U4" s="34" t="s">
        <v>63</v>
      </c>
      <c r="V4" s="34" t="s">
        <v>33</v>
      </c>
      <c r="W4" s="39"/>
      <c r="AL4" s="5" t="s">
        <v>5</v>
      </c>
      <c r="AM4" s="17">
        <v>309</v>
      </c>
      <c r="AN4" s="1"/>
    </row>
    <row r="5" spans="1:40" s="13" customFormat="1" ht="18.75">
      <c r="A5" s="4" t="s">
        <v>2</v>
      </c>
      <c r="B5" s="20">
        <f>SUM(B6:B17)</f>
        <v>3972</v>
      </c>
      <c r="C5" s="20">
        <f t="shared" ref="C5:V5" si="0">SUM(C6:C17)</f>
        <v>126</v>
      </c>
      <c r="D5" s="20">
        <f t="shared" si="0"/>
        <v>352</v>
      </c>
      <c r="E5" s="20">
        <f t="shared" si="0"/>
        <v>101</v>
      </c>
      <c r="F5" s="20">
        <f t="shared" si="0"/>
        <v>221</v>
      </c>
      <c r="G5" s="20">
        <f t="shared" si="0"/>
        <v>202</v>
      </c>
      <c r="H5" s="20">
        <f t="shared" si="0"/>
        <v>155</v>
      </c>
      <c r="I5" s="20">
        <f t="shared" si="0"/>
        <v>175</v>
      </c>
      <c r="J5" s="20">
        <f t="shared" si="0"/>
        <v>243</v>
      </c>
      <c r="K5" s="20">
        <f t="shared" si="0"/>
        <v>174</v>
      </c>
      <c r="L5" s="20">
        <f t="shared" si="0"/>
        <v>217</v>
      </c>
      <c r="M5" s="20">
        <f t="shared" si="0"/>
        <v>29</v>
      </c>
      <c r="N5" s="20">
        <f t="shared" si="0"/>
        <v>82</v>
      </c>
      <c r="O5" s="20">
        <f t="shared" si="0"/>
        <v>72</v>
      </c>
      <c r="P5" s="20">
        <f t="shared" si="0"/>
        <v>87</v>
      </c>
      <c r="Q5" s="20">
        <f t="shared" si="0"/>
        <v>140</v>
      </c>
      <c r="R5" s="20">
        <f t="shared" si="0"/>
        <v>264</v>
      </c>
      <c r="S5" s="20">
        <f t="shared" si="0"/>
        <v>178</v>
      </c>
      <c r="T5" s="20">
        <f t="shared" si="0"/>
        <v>228</v>
      </c>
      <c r="U5" s="20">
        <f t="shared" si="0"/>
        <v>353</v>
      </c>
      <c r="V5" s="20">
        <f t="shared" si="0"/>
        <v>573</v>
      </c>
      <c r="W5" s="21" t="s">
        <v>65</v>
      </c>
      <c r="AL5" s="5" t="s">
        <v>15</v>
      </c>
      <c r="AM5" s="17">
        <v>216</v>
      </c>
      <c r="AN5" s="1"/>
    </row>
    <row r="6" spans="1:40" s="22" customFormat="1" ht="18.75">
      <c r="A6" s="14" t="s">
        <v>1</v>
      </c>
      <c r="B6" s="17">
        <f t="shared" ref="B6:B17" si="1">SUM(C6:V6)</f>
        <v>737</v>
      </c>
      <c r="C6" s="30">
        <v>30</v>
      </c>
      <c r="D6" s="30">
        <v>86</v>
      </c>
      <c r="E6" s="30">
        <v>10</v>
      </c>
      <c r="F6" s="30">
        <v>50</v>
      </c>
      <c r="G6" s="30">
        <v>32</v>
      </c>
      <c r="H6" s="30">
        <v>17</v>
      </c>
      <c r="I6" s="30">
        <v>47</v>
      </c>
      <c r="J6" s="30">
        <v>39</v>
      </c>
      <c r="K6" s="30">
        <v>29</v>
      </c>
      <c r="L6" s="30">
        <v>22</v>
      </c>
      <c r="M6" s="30">
        <v>3</v>
      </c>
      <c r="N6" s="30">
        <v>8</v>
      </c>
      <c r="O6" s="30">
        <v>8</v>
      </c>
      <c r="P6" s="30">
        <v>4</v>
      </c>
      <c r="Q6" s="30">
        <v>25</v>
      </c>
      <c r="R6" s="30">
        <v>61</v>
      </c>
      <c r="S6" s="30">
        <v>31</v>
      </c>
      <c r="T6" s="30">
        <v>47</v>
      </c>
      <c r="U6" s="30">
        <v>80</v>
      </c>
      <c r="V6" s="30">
        <v>108</v>
      </c>
      <c r="W6" s="9" t="s">
        <v>3</v>
      </c>
      <c r="Y6" s="5"/>
      <c r="AL6" s="5" t="s">
        <v>11</v>
      </c>
      <c r="AM6" s="17">
        <v>165</v>
      </c>
      <c r="AN6" s="1"/>
    </row>
    <row r="7" spans="1:40" s="22" customFormat="1" ht="18.75">
      <c r="A7" s="14" t="s">
        <v>14</v>
      </c>
      <c r="B7" s="17">
        <f t="shared" si="1"/>
        <v>82</v>
      </c>
      <c r="C7" s="30">
        <v>2</v>
      </c>
      <c r="D7" s="30">
        <v>13</v>
      </c>
      <c r="E7" s="30">
        <v>0</v>
      </c>
      <c r="F7" s="30">
        <v>1</v>
      </c>
      <c r="G7" s="30">
        <v>0</v>
      </c>
      <c r="H7" s="30">
        <v>1</v>
      </c>
      <c r="I7" s="30">
        <v>1</v>
      </c>
      <c r="J7" s="30">
        <v>3</v>
      </c>
      <c r="K7" s="30">
        <v>1</v>
      </c>
      <c r="L7" s="30">
        <v>0</v>
      </c>
      <c r="M7" s="30">
        <v>0</v>
      </c>
      <c r="N7" s="30">
        <v>1</v>
      </c>
      <c r="O7" s="30">
        <v>1</v>
      </c>
      <c r="P7" s="30">
        <v>1</v>
      </c>
      <c r="Q7" s="30">
        <v>0</v>
      </c>
      <c r="R7" s="30">
        <v>5</v>
      </c>
      <c r="S7" s="30">
        <v>0</v>
      </c>
      <c r="T7" s="30">
        <v>5</v>
      </c>
      <c r="U7" s="30">
        <v>23</v>
      </c>
      <c r="V7" s="30">
        <v>24</v>
      </c>
      <c r="W7" s="9" t="s">
        <v>27</v>
      </c>
      <c r="Y7" s="5"/>
      <c r="AL7" s="5" t="s">
        <v>16</v>
      </c>
      <c r="AM7" s="17">
        <v>160</v>
      </c>
      <c r="AN7" s="1"/>
    </row>
    <row r="8" spans="1:40" s="22" customFormat="1" ht="18.75">
      <c r="A8" s="14" t="s">
        <v>4</v>
      </c>
      <c r="B8" s="17">
        <f t="shared" si="1"/>
        <v>754</v>
      </c>
      <c r="C8" s="30">
        <v>29</v>
      </c>
      <c r="D8" s="30">
        <v>47</v>
      </c>
      <c r="E8" s="30">
        <v>43</v>
      </c>
      <c r="F8" s="30">
        <v>57</v>
      </c>
      <c r="G8" s="30">
        <v>57</v>
      </c>
      <c r="H8" s="30">
        <v>13</v>
      </c>
      <c r="I8" s="30">
        <v>32</v>
      </c>
      <c r="J8" s="30">
        <v>45</v>
      </c>
      <c r="K8" s="30">
        <v>17</v>
      </c>
      <c r="L8" s="30">
        <v>26</v>
      </c>
      <c r="M8" s="30">
        <v>0</v>
      </c>
      <c r="N8" s="30">
        <v>13</v>
      </c>
      <c r="O8" s="30">
        <v>16</v>
      </c>
      <c r="P8" s="30">
        <v>13</v>
      </c>
      <c r="Q8" s="30">
        <v>35</v>
      </c>
      <c r="R8" s="30">
        <v>29</v>
      </c>
      <c r="S8" s="30">
        <v>53</v>
      </c>
      <c r="T8" s="30">
        <v>49</v>
      </c>
      <c r="U8" s="30">
        <v>54</v>
      </c>
      <c r="V8" s="30">
        <v>126</v>
      </c>
      <c r="W8" s="9" t="s">
        <v>7</v>
      </c>
      <c r="Y8" s="5"/>
      <c r="AL8" s="5" t="s">
        <v>18</v>
      </c>
      <c r="AM8" s="17">
        <v>94</v>
      </c>
      <c r="AN8" s="1"/>
    </row>
    <row r="9" spans="1:40" s="22" customFormat="1" ht="18.75">
      <c r="A9" s="14" t="s">
        <v>23</v>
      </c>
      <c r="B9" s="17">
        <f t="shared" si="1"/>
        <v>443</v>
      </c>
      <c r="C9" s="30">
        <v>18</v>
      </c>
      <c r="D9" s="30">
        <v>42</v>
      </c>
      <c r="E9" s="30">
        <v>10</v>
      </c>
      <c r="F9" s="30">
        <v>26</v>
      </c>
      <c r="G9" s="30">
        <v>23</v>
      </c>
      <c r="H9" s="30">
        <v>36</v>
      </c>
      <c r="I9" s="30">
        <v>18</v>
      </c>
      <c r="J9" s="30">
        <v>11</v>
      </c>
      <c r="K9" s="30">
        <v>21</v>
      </c>
      <c r="L9" s="30">
        <v>57</v>
      </c>
      <c r="M9" s="30">
        <v>9</v>
      </c>
      <c r="N9" s="30">
        <v>15</v>
      </c>
      <c r="O9" s="30">
        <v>6</v>
      </c>
      <c r="P9" s="30">
        <v>18</v>
      </c>
      <c r="Q9" s="30">
        <v>16</v>
      </c>
      <c r="R9" s="30">
        <v>25</v>
      </c>
      <c r="S9" s="30">
        <v>22</v>
      </c>
      <c r="T9" s="30">
        <v>15</v>
      </c>
      <c r="U9" s="30">
        <v>28</v>
      </c>
      <c r="V9" s="30">
        <v>27</v>
      </c>
      <c r="W9" s="9" t="s">
        <v>8</v>
      </c>
      <c r="Y9" s="5"/>
      <c r="AL9" s="5" t="s">
        <v>14</v>
      </c>
      <c r="AM9" s="17">
        <v>82</v>
      </c>
      <c r="AN9" s="1"/>
    </row>
    <row r="10" spans="1:40" s="22" customFormat="1" ht="18.75">
      <c r="A10" s="14" t="s">
        <v>5</v>
      </c>
      <c r="B10" s="17">
        <f t="shared" si="1"/>
        <v>309</v>
      </c>
      <c r="C10" s="30">
        <v>5</v>
      </c>
      <c r="D10" s="30">
        <v>22</v>
      </c>
      <c r="E10" s="30">
        <v>6</v>
      </c>
      <c r="F10" s="30">
        <v>14</v>
      </c>
      <c r="G10" s="30">
        <v>18</v>
      </c>
      <c r="H10" s="30">
        <v>12</v>
      </c>
      <c r="I10" s="30">
        <v>9</v>
      </c>
      <c r="J10" s="30">
        <v>25</v>
      </c>
      <c r="K10" s="30">
        <v>12</v>
      </c>
      <c r="L10" s="30">
        <v>15</v>
      </c>
      <c r="M10" s="30">
        <v>2</v>
      </c>
      <c r="N10" s="30">
        <v>4</v>
      </c>
      <c r="O10" s="30">
        <v>7</v>
      </c>
      <c r="P10" s="30">
        <v>2</v>
      </c>
      <c r="Q10" s="30">
        <v>10</v>
      </c>
      <c r="R10" s="30">
        <v>24</v>
      </c>
      <c r="S10" s="30">
        <v>16</v>
      </c>
      <c r="T10" s="30">
        <v>22</v>
      </c>
      <c r="U10" s="30">
        <v>24</v>
      </c>
      <c r="V10" s="30">
        <v>60</v>
      </c>
      <c r="W10" s="9" t="s">
        <v>10</v>
      </c>
      <c r="Y10" s="5"/>
      <c r="AL10" s="5" t="s">
        <v>9</v>
      </c>
      <c r="AM10" s="17">
        <v>39</v>
      </c>
      <c r="AN10" s="1"/>
    </row>
    <row r="11" spans="1:40" s="22" customFormat="1" ht="18.75">
      <c r="A11" s="14" t="s">
        <v>11</v>
      </c>
      <c r="B11" s="17">
        <f t="shared" si="1"/>
        <v>165</v>
      </c>
      <c r="C11" s="30">
        <v>3</v>
      </c>
      <c r="D11" s="30">
        <v>15</v>
      </c>
      <c r="E11" s="30">
        <v>2</v>
      </c>
      <c r="F11" s="30">
        <v>7</v>
      </c>
      <c r="G11" s="30">
        <v>4</v>
      </c>
      <c r="H11" s="30">
        <v>8</v>
      </c>
      <c r="I11" s="30">
        <v>8</v>
      </c>
      <c r="J11" s="30">
        <v>9</v>
      </c>
      <c r="K11" s="30">
        <v>5</v>
      </c>
      <c r="L11" s="30">
        <v>4</v>
      </c>
      <c r="M11" s="30">
        <v>2</v>
      </c>
      <c r="N11" s="30">
        <v>5</v>
      </c>
      <c r="O11" s="30">
        <v>2</v>
      </c>
      <c r="P11" s="30">
        <v>3</v>
      </c>
      <c r="Q11" s="30">
        <v>5</v>
      </c>
      <c r="R11" s="30">
        <v>11</v>
      </c>
      <c r="S11" s="30">
        <v>5</v>
      </c>
      <c r="T11" s="30">
        <v>6</v>
      </c>
      <c r="U11" s="30">
        <v>20</v>
      </c>
      <c r="V11" s="30">
        <v>41</v>
      </c>
      <c r="W11" s="9" t="s">
        <v>12</v>
      </c>
      <c r="Y11" s="5"/>
      <c r="AL11" s="23" t="s">
        <v>20</v>
      </c>
      <c r="AM11" s="17">
        <v>9</v>
      </c>
      <c r="AN11" s="1"/>
    </row>
    <row r="12" spans="1:40" s="22" customFormat="1" ht="18.75">
      <c r="A12" s="14" t="s">
        <v>9</v>
      </c>
      <c r="B12" s="17">
        <f t="shared" si="1"/>
        <v>39</v>
      </c>
      <c r="C12" s="30">
        <v>0</v>
      </c>
      <c r="D12" s="30">
        <v>5</v>
      </c>
      <c r="E12" s="30">
        <v>0</v>
      </c>
      <c r="F12" s="30">
        <v>1</v>
      </c>
      <c r="G12" s="30">
        <v>2</v>
      </c>
      <c r="H12" s="30">
        <v>0</v>
      </c>
      <c r="I12" s="30">
        <v>1</v>
      </c>
      <c r="J12" s="30">
        <v>0</v>
      </c>
      <c r="K12" s="30">
        <v>0</v>
      </c>
      <c r="L12" s="30">
        <v>2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2</v>
      </c>
      <c r="S12" s="30">
        <v>1</v>
      </c>
      <c r="T12" s="30">
        <v>2</v>
      </c>
      <c r="U12" s="30">
        <v>9</v>
      </c>
      <c r="V12" s="30">
        <v>14</v>
      </c>
      <c r="W12" s="9" t="s">
        <v>13</v>
      </c>
      <c r="Y12" s="5"/>
      <c r="AL12" s="5" t="s">
        <v>6</v>
      </c>
      <c r="AM12" s="17">
        <v>964</v>
      </c>
      <c r="AN12" s="1"/>
    </row>
    <row r="13" spans="1:40" s="22" customFormat="1" ht="18.75">
      <c r="A13" s="14" t="s">
        <v>16</v>
      </c>
      <c r="B13" s="17">
        <f t="shared" si="1"/>
        <v>160</v>
      </c>
      <c r="C13" s="30">
        <v>8</v>
      </c>
      <c r="D13" s="30">
        <v>15</v>
      </c>
      <c r="E13" s="30">
        <v>3</v>
      </c>
      <c r="F13" s="30">
        <v>8</v>
      </c>
      <c r="G13" s="30">
        <v>11</v>
      </c>
      <c r="H13" s="30">
        <v>4</v>
      </c>
      <c r="I13" s="30">
        <v>4</v>
      </c>
      <c r="J13" s="30">
        <v>7</v>
      </c>
      <c r="K13" s="30">
        <v>10</v>
      </c>
      <c r="L13" s="30">
        <v>4</v>
      </c>
      <c r="M13" s="30">
        <v>3</v>
      </c>
      <c r="N13" s="30">
        <v>2</v>
      </c>
      <c r="O13" s="30">
        <v>4</v>
      </c>
      <c r="P13" s="30">
        <v>5</v>
      </c>
      <c r="Q13" s="30">
        <v>7</v>
      </c>
      <c r="R13" s="30">
        <v>15</v>
      </c>
      <c r="S13" s="30">
        <v>7</v>
      </c>
      <c r="T13" s="30">
        <v>17</v>
      </c>
      <c r="U13" s="30">
        <v>8</v>
      </c>
      <c r="V13" s="30">
        <v>18</v>
      </c>
      <c r="W13" s="9" t="s">
        <v>17</v>
      </c>
      <c r="Y13" s="5"/>
      <c r="AL13" s="1"/>
      <c r="AM13" s="1"/>
      <c r="AN13" s="1"/>
    </row>
    <row r="14" spans="1:40" s="22" customFormat="1" ht="18.75">
      <c r="A14" s="14" t="s">
        <v>15</v>
      </c>
      <c r="B14" s="17">
        <f t="shared" si="1"/>
        <v>216</v>
      </c>
      <c r="C14" s="30">
        <v>2</v>
      </c>
      <c r="D14" s="30">
        <v>13</v>
      </c>
      <c r="E14" s="30">
        <v>7</v>
      </c>
      <c r="F14" s="30">
        <v>10</v>
      </c>
      <c r="G14" s="30">
        <v>6</v>
      </c>
      <c r="H14" s="30">
        <v>15</v>
      </c>
      <c r="I14" s="30">
        <v>7</v>
      </c>
      <c r="J14" s="30">
        <v>17</v>
      </c>
      <c r="K14" s="30">
        <v>17</v>
      </c>
      <c r="L14" s="30">
        <v>20</v>
      </c>
      <c r="M14" s="30">
        <v>1</v>
      </c>
      <c r="N14" s="30">
        <v>9</v>
      </c>
      <c r="O14" s="30">
        <v>3</v>
      </c>
      <c r="P14" s="30">
        <v>9</v>
      </c>
      <c r="Q14" s="30">
        <v>5</v>
      </c>
      <c r="R14" s="30">
        <v>23</v>
      </c>
      <c r="S14" s="30">
        <v>8</v>
      </c>
      <c r="T14" s="30">
        <v>15</v>
      </c>
      <c r="U14" s="30">
        <v>7</v>
      </c>
      <c r="V14" s="30">
        <v>22</v>
      </c>
      <c r="W14" s="9" t="s">
        <v>19</v>
      </c>
      <c r="Y14" s="5"/>
    </row>
    <row r="15" spans="1:40" s="22" customFormat="1" ht="18.75">
      <c r="A15" s="14" t="s">
        <v>18</v>
      </c>
      <c r="B15" s="17">
        <f t="shared" si="1"/>
        <v>94</v>
      </c>
      <c r="C15" s="30">
        <v>5</v>
      </c>
      <c r="D15" s="30">
        <v>7</v>
      </c>
      <c r="E15" s="30">
        <v>2</v>
      </c>
      <c r="F15" s="30">
        <v>5</v>
      </c>
      <c r="G15" s="30">
        <v>4</v>
      </c>
      <c r="H15" s="30">
        <v>9</v>
      </c>
      <c r="I15" s="30">
        <v>6</v>
      </c>
      <c r="J15" s="30">
        <v>5</v>
      </c>
      <c r="K15" s="30">
        <v>6</v>
      </c>
      <c r="L15" s="30">
        <v>5</v>
      </c>
      <c r="M15" s="30">
        <v>0</v>
      </c>
      <c r="N15" s="30">
        <v>0</v>
      </c>
      <c r="O15" s="30">
        <v>4</v>
      </c>
      <c r="P15" s="30">
        <v>1</v>
      </c>
      <c r="Q15" s="30">
        <v>2</v>
      </c>
      <c r="R15" s="30">
        <v>8</v>
      </c>
      <c r="S15" s="30">
        <v>6</v>
      </c>
      <c r="T15" s="30">
        <v>3</v>
      </c>
      <c r="U15" s="30">
        <v>8</v>
      </c>
      <c r="V15" s="30">
        <v>8</v>
      </c>
      <c r="W15" s="9" t="s">
        <v>21</v>
      </c>
      <c r="Y15" s="5"/>
    </row>
    <row r="16" spans="1:40" s="22" customFormat="1" ht="18.75">
      <c r="A16" s="14" t="s">
        <v>20</v>
      </c>
      <c r="B16" s="17">
        <f t="shared" si="1"/>
        <v>9</v>
      </c>
      <c r="C16" s="30">
        <v>1</v>
      </c>
      <c r="D16" s="30">
        <v>1</v>
      </c>
      <c r="E16" s="30">
        <v>0</v>
      </c>
      <c r="F16" s="30">
        <v>1</v>
      </c>
      <c r="G16" s="30">
        <v>0</v>
      </c>
      <c r="H16" s="30">
        <v>1</v>
      </c>
      <c r="I16" s="30">
        <v>0</v>
      </c>
      <c r="J16" s="30">
        <v>1</v>
      </c>
      <c r="K16" s="30">
        <v>0</v>
      </c>
      <c r="L16" s="30">
        <v>0</v>
      </c>
      <c r="M16" s="30">
        <v>0</v>
      </c>
      <c r="N16" s="30">
        <v>0</v>
      </c>
      <c r="O16" s="30">
        <v>1</v>
      </c>
      <c r="P16" s="30">
        <v>0</v>
      </c>
      <c r="Q16" s="30">
        <v>0</v>
      </c>
      <c r="R16" s="30">
        <v>1</v>
      </c>
      <c r="S16" s="30">
        <v>0</v>
      </c>
      <c r="T16" s="30">
        <v>0</v>
      </c>
      <c r="U16" s="30">
        <v>1</v>
      </c>
      <c r="V16" s="30">
        <v>1</v>
      </c>
      <c r="W16" s="9" t="s">
        <v>66</v>
      </c>
      <c r="Y16" s="5"/>
    </row>
    <row r="17" spans="1:25" s="22" customFormat="1" ht="18.75">
      <c r="A17" s="15" t="s">
        <v>6</v>
      </c>
      <c r="B17" s="24">
        <f t="shared" si="1"/>
        <v>964</v>
      </c>
      <c r="C17" s="31">
        <v>23</v>
      </c>
      <c r="D17" s="31">
        <v>86</v>
      </c>
      <c r="E17" s="31">
        <v>18</v>
      </c>
      <c r="F17" s="31">
        <v>41</v>
      </c>
      <c r="G17" s="31">
        <v>45</v>
      </c>
      <c r="H17" s="31">
        <v>39</v>
      </c>
      <c r="I17" s="31">
        <v>42</v>
      </c>
      <c r="J17" s="31">
        <v>81</v>
      </c>
      <c r="K17" s="31">
        <v>56</v>
      </c>
      <c r="L17" s="31">
        <v>62</v>
      </c>
      <c r="M17" s="31">
        <v>9</v>
      </c>
      <c r="N17" s="31">
        <v>25</v>
      </c>
      <c r="O17" s="31">
        <v>20</v>
      </c>
      <c r="P17" s="31">
        <v>31</v>
      </c>
      <c r="Q17" s="31">
        <v>35</v>
      </c>
      <c r="R17" s="31">
        <v>60</v>
      </c>
      <c r="S17" s="31">
        <v>29</v>
      </c>
      <c r="T17" s="31">
        <v>47</v>
      </c>
      <c r="U17" s="31">
        <v>91</v>
      </c>
      <c r="V17" s="31">
        <v>124</v>
      </c>
      <c r="W17" s="10" t="s">
        <v>22</v>
      </c>
      <c r="Y17" s="5"/>
    </row>
    <row r="18" spans="1:25" ht="13.15" customHeight="1">
      <c r="A18" s="25" t="s">
        <v>24</v>
      </c>
      <c r="B18" s="26"/>
      <c r="C18" s="27"/>
      <c r="D18" s="27"/>
      <c r="E18" s="27"/>
      <c r="F18" s="27"/>
      <c r="G18" s="27"/>
      <c r="H18" s="27"/>
      <c r="I18" s="27"/>
      <c r="J18" s="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33" t="s">
        <v>25</v>
      </c>
    </row>
    <row r="19" spans="1:25" ht="13.15" customHeight="1">
      <c r="A19" s="28"/>
      <c r="B19" s="26"/>
      <c r="C19" s="27"/>
      <c r="D19" s="27"/>
      <c r="E19" s="27"/>
      <c r="F19" s="27"/>
      <c r="G19" s="27"/>
      <c r="H19" s="27"/>
      <c r="I19" s="27"/>
      <c r="J19" s="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9"/>
    </row>
    <row r="20" spans="1:25" ht="13.15" customHeight="1">
      <c r="A20" s="28"/>
      <c r="B20" s="26"/>
      <c r="C20" s="27"/>
      <c r="D20" s="27"/>
      <c r="E20" s="27"/>
      <c r="F20" s="27"/>
      <c r="G20" s="27"/>
      <c r="H20" s="27"/>
      <c r="I20" s="27"/>
      <c r="J20" s="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9"/>
    </row>
    <row r="21" spans="1:25" ht="13.15" customHeight="1">
      <c r="A21" s="28"/>
      <c r="B21" s="26"/>
      <c r="C21" s="27"/>
      <c r="D21" s="27"/>
      <c r="E21" s="27"/>
      <c r="F21" s="27"/>
      <c r="G21" s="27"/>
      <c r="H21" s="27"/>
      <c r="I21" s="27"/>
      <c r="J21" s="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9"/>
    </row>
    <row r="22" spans="1:25" ht="13.15" customHeight="1">
      <c r="A22" s="28"/>
      <c r="B22" s="26"/>
      <c r="C22" s="27"/>
      <c r="D22" s="27"/>
      <c r="E22" s="27"/>
      <c r="F22" s="27"/>
      <c r="G22" s="27"/>
      <c r="H22" s="27"/>
      <c r="I22" s="27"/>
      <c r="J22" s="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9"/>
    </row>
    <row r="23" spans="1:25" ht="13.15" customHeight="1">
      <c r="A23" s="28"/>
      <c r="B23" s="26"/>
      <c r="C23" s="27"/>
      <c r="D23" s="27"/>
      <c r="E23" s="27"/>
      <c r="F23" s="27"/>
      <c r="G23" s="27"/>
      <c r="H23" s="27"/>
      <c r="I23" s="27"/>
      <c r="J23" s="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9"/>
    </row>
    <row r="24" spans="1:25" ht="13.15" customHeight="1">
      <c r="A24" s="28"/>
      <c r="B24" s="26"/>
      <c r="C24" s="27"/>
      <c r="D24" s="27"/>
      <c r="E24" s="27"/>
      <c r="F24" s="27"/>
      <c r="G24" s="27"/>
      <c r="H24" s="27"/>
      <c r="I24" s="27"/>
      <c r="J24" s="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9"/>
    </row>
    <row r="25" spans="1:25" ht="13.15" customHeight="1">
      <c r="A25" s="28"/>
      <c r="B25" s="26"/>
      <c r="C25" s="27"/>
      <c r="D25" s="27"/>
      <c r="E25" s="27"/>
      <c r="F25" s="27"/>
      <c r="G25" s="27"/>
      <c r="H25" s="27"/>
      <c r="I25" s="27"/>
      <c r="J25" s="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9"/>
    </row>
    <row r="26" spans="1:25">
      <c r="J26" s="3"/>
    </row>
    <row r="27" spans="1:25">
      <c r="A27" s="16"/>
      <c r="B27" s="16"/>
    </row>
    <row r="32" spans="1:25" ht="17.25">
      <c r="A32" s="11"/>
      <c r="B32" s="11"/>
      <c r="C32" s="6"/>
      <c r="D32" s="6"/>
      <c r="E32" s="6"/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2"/>
    </row>
  </sheetData>
  <sortState xmlns:xlrd2="http://schemas.microsoft.com/office/spreadsheetml/2017/richdata2" ref="AL1:AM11">
    <sortCondition descending="1" ref="AM1:AM11"/>
  </sortState>
  <mergeCells count="4">
    <mergeCell ref="A1:W1"/>
    <mergeCell ref="A2:W2"/>
    <mergeCell ref="A3:A4"/>
    <mergeCell ref="W3:W4"/>
  </mergeCells>
  <pageMargins left="0.7" right="0.7" top="0.75" bottom="0.75" header="0.3" footer="0.3"/>
  <pageSetup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</vt:lpstr>
      <vt:lpstr>'8.4'!Print_Area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2024-10-06T03:10:32Z</cp:lastPrinted>
  <dcterms:created xsi:type="dcterms:W3CDTF">2019-06-30T04:22:49Z</dcterms:created>
  <dcterms:modified xsi:type="dcterms:W3CDTF">2024-10-06T03:10:40Z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