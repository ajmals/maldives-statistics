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3.Population\"/>
    </mc:Choice>
  </mc:AlternateContent>
  <bookViews>
    <workbookView xWindow="-105" yWindow="-105" windowWidth="19425" windowHeight="10425" tabRatio="612"/>
  </bookViews>
  <sheets>
    <sheet name="3.7" sheetId="7" r:id="rId1"/>
  </sheets>
  <externalReferences>
    <externalReference r:id="rId2"/>
  </externalReferences>
  <definedNames>
    <definedName name="_xlnm.Print_Area" localSheetId="0">'3.7'!$A$1:$P$55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7" l="1"/>
  <c r="J18" i="7"/>
  <c r="G18" i="7"/>
  <c r="D18" i="7"/>
  <c r="M17" i="7"/>
  <c r="J17" i="7"/>
  <c r="G17" i="7"/>
  <c r="D17" i="7"/>
  <c r="M16" i="7"/>
  <c r="J16" i="7"/>
  <c r="G16" i="7"/>
  <c r="D16" i="7"/>
  <c r="M15" i="7"/>
  <c r="J15" i="7"/>
  <c r="G15" i="7"/>
  <c r="D15" i="7"/>
  <c r="M14" i="7"/>
  <c r="J14" i="7"/>
  <c r="G14" i="7"/>
  <c r="D14" i="7"/>
  <c r="M13" i="7"/>
  <c r="J13" i="7"/>
  <c r="G13" i="7"/>
  <c r="D13" i="7"/>
  <c r="M12" i="7"/>
  <c r="J12" i="7"/>
  <c r="G12" i="7"/>
  <c r="D12" i="7"/>
  <c r="M11" i="7"/>
  <c r="J11" i="7"/>
  <c r="G11" i="7"/>
  <c r="D11" i="7"/>
  <c r="M10" i="7"/>
  <c r="J10" i="7"/>
  <c r="G10" i="7"/>
  <c r="D10" i="7"/>
  <c r="M9" i="7"/>
  <c r="J9" i="7"/>
  <c r="G9" i="7"/>
  <c r="D9" i="7"/>
  <c r="M8" i="7"/>
  <c r="J8" i="7"/>
  <c r="G8" i="7"/>
  <c r="D8" i="7"/>
  <c r="M7" i="7"/>
  <c r="M6" i="7" s="1"/>
  <c r="J7" i="7"/>
  <c r="G7" i="7"/>
  <c r="G6" i="7" s="1"/>
  <c r="D7" i="7"/>
  <c r="D6" i="7" s="1"/>
  <c r="L6" i="7"/>
  <c r="K6" i="7"/>
  <c r="I6" i="7"/>
  <c r="H6" i="7"/>
  <c r="F6" i="7"/>
  <c r="E6" i="7"/>
  <c r="C6" i="7"/>
  <c r="B6" i="7"/>
  <c r="J6" i="7" l="1"/>
</calcChain>
</file>

<file path=xl/sharedStrings.xml><?xml version="1.0" encoding="utf-8"?>
<sst xmlns="http://schemas.openxmlformats.org/spreadsheetml/2006/main" count="89" uniqueCount="56">
  <si>
    <t>October</t>
  </si>
  <si>
    <t>Total</t>
  </si>
  <si>
    <t>މަސް</t>
  </si>
  <si>
    <t>ivcnwfua</t>
  </si>
  <si>
    <t>ivurwm</t>
  </si>
  <si>
    <t>ivurutia</t>
  </si>
  <si>
    <t>Month</t>
  </si>
  <si>
    <t>Births</t>
  </si>
  <si>
    <t>Deaths</t>
  </si>
  <si>
    <t>Natural Increase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</si>
  <si>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</si>
  <si>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</si>
  <si>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</si>
  <si>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</si>
  <si>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</si>
  <si>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</si>
  <si>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</si>
  <si>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</si>
  <si>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</si>
  <si>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Jan</t>
  </si>
  <si>
    <t>May</t>
  </si>
  <si>
    <t>މެއި</t>
  </si>
  <si>
    <t>Feb</t>
  </si>
  <si>
    <t>June</t>
  </si>
  <si>
    <t>ޖޫން</t>
  </si>
  <si>
    <t>Mar</t>
  </si>
  <si>
    <t>July</t>
  </si>
  <si>
    <t>ޖުލައި</t>
  </si>
  <si>
    <t>Apr</t>
  </si>
  <si>
    <t>August</t>
  </si>
  <si>
    <t>އޮގަސްޓް</t>
  </si>
  <si>
    <t>September</t>
  </si>
  <si>
    <t>ސެޕްޓެމްބަރ</t>
  </si>
  <si>
    <t>Jun</t>
  </si>
  <si>
    <t>އޮކްޓޯބަރ</t>
  </si>
  <si>
    <t>Jul</t>
  </si>
  <si>
    <t>November</t>
  </si>
  <si>
    <t>ނޮވެމްބަރ</t>
  </si>
  <si>
    <t>Aug</t>
  </si>
  <si>
    <t>December</t>
  </si>
  <si>
    <t>ޑިސެމްބަރ</t>
  </si>
  <si>
    <t>Sep</t>
  </si>
  <si>
    <t>Oct</t>
  </si>
  <si>
    <r>
      <rPr>
        <b/>
        <i/>
        <sz val="10"/>
        <rFont val="Calibri"/>
        <family val="2"/>
      </rPr>
      <t>Source:</t>
    </r>
    <r>
      <rPr>
        <i/>
        <sz val="10"/>
        <rFont val="Calibri"/>
        <family val="2"/>
      </rPr>
      <t xml:space="preserve"> Ministry of Health </t>
    </r>
  </si>
  <si>
    <t>Nov</t>
  </si>
  <si>
    <t>Dec</t>
  </si>
  <si>
    <t xml:space="preserve">މަޢުލޫމާތު ދެއްވީ: މިނިސްޓްރީ އޮފް ހެލްތު </t>
  </si>
  <si>
    <t>2020 - 2017 ,cniduk iaWncnuhImivurwm ,iaWncniduk ivcnwfua uhwmcswmikea : 3.7 ulwvWt</t>
  </si>
  <si>
    <t>Table 3.7 :  MONTHLY RECORDS OF BIRTHS AND DEATHS, 2017 - 2020</t>
  </si>
  <si>
    <r>
      <t>2020</t>
    </r>
    <r>
      <rPr>
        <b/>
        <vertAlign val="superscript"/>
        <sz val="11"/>
        <rFont val="Calibri"/>
        <family val="2"/>
      </rPr>
      <t>1_/</t>
    </r>
  </si>
  <si>
    <t xml:space="preserve">Note: </t>
  </si>
  <si>
    <t>ނޯޓް:</t>
  </si>
  <si>
    <t xml:space="preserve">        1_/: 2020 figures are tentative and is expected to change</t>
  </si>
  <si>
    <r>
      <rPr>
        <sz val="1"/>
        <rFont val="Faruma"/>
      </rPr>
      <t>ނ</t>
    </r>
    <r>
      <rPr>
        <sz val="11"/>
        <rFont val="Faruma"/>
      </rPr>
      <t xml:space="preserve">2020 ވަނަ އަހަރުގެ މައުލޫމާތު ރިވައިޒުކުރަމުންދާތީވެ މިއަދަދުތަކަށް ބަދަލުއައުން އެކަށީގެންވެއެވެ. </t>
    </r>
  </si>
  <si>
    <t xml:space="preserve">Total (Births  and Deaths)  include foreigners </t>
  </si>
  <si>
    <t>އުފަންވި ކުދިންނާއި އަދި މަރުވި މީހުން / ކުދިންގެ ތެރޭގައި ރާއްޖޭގައި އުފަންވި އަދި މަރުވި ބިދޭސީން ހިމެނޭނެ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</si>
</sst>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ރ_._-;_-* #,##0.00\ _ރ_.\-;_-* &quot;-&quot;??\ _ރ_._-;_-@_-"/>
    <numFmt numFmtId="164" formatCode="_-* #,##0.00_-;\-* #,##0.00_-;_-* &quot;-&quot;??_-;_-@_-"/>
    <numFmt numFmtId="165" formatCode="_(* #,##0.00_);_(* \(#,##0.00\);_(* &quot;-&quot;??_);_(@_)"/>
    <numFmt numFmtId="166" formatCode="General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Faruma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ourier"/>
      <family val="3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sz val="11"/>
      <name val="Faruma"/>
    </font>
    <font>
      <sz val="10"/>
      <color indexed="10"/>
      <name val="Courier"/>
      <family val="3"/>
    </font>
    <font>
      <b/>
      <sz val="10"/>
      <name val="Courier"/>
      <family val="3"/>
    </font>
    <font>
      <sz val="10"/>
      <color rgb="FFFF0000"/>
      <name val="Courier"/>
      <family val="3"/>
    </font>
    <font>
      <b/>
      <i/>
      <sz val="10"/>
      <name val="Calibri"/>
      <family val="2"/>
    </font>
    <font>
      <sz val="10"/>
      <name val="Faruma"/>
    </font>
    <font>
      <sz val="10"/>
      <name val="Calibri"/>
      <family val="2"/>
      <scheme val="minor"/>
    </font>
    <font>
      <sz val="10"/>
      <name val="A_Faseyha"/>
    </font>
    <font>
      <b/>
      <sz val="11"/>
      <name val="A_Faseyha"/>
    </font>
    <font>
      <b/>
      <sz val="12"/>
      <name val="A_Faseyha"/>
    </font>
    <font>
      <b/>
      <vertAlign val="superscript"/>
      <sz val="11"/>
      <name val="Calibri"/>
      <family val="2"/>
    </font>
    <font>
      <i/>
      <sz val="11"/>
      <name val="Calibri"/>
      <family val="2"/>
    </font>
    <font>
      <sz val="1"/>
      <name val="Faruma"/>
    </font>
    <font>
      <i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5" fillId="0" borderId="0"/>
    <xf numFmtId="0" fontId="10" fillId="0" borderId="0"/>
    <xf numFmtId="0" fontId="10" fillId="0" borderId="0"/>
    <xf numFmtId="0" fontId="1" fillId="0" borderId="0"/>
    <xf numFmtId="166" fontId="2" fillId="0" borderId="0"/>
    <xf numFmtId="166" fontId="2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80">
    <xf numFmtId="0" fontId="0" fillId="0" borderId="0" xfId="0"/>
    <xf numFmtId="166" fontId="2" fillId="2" borderId="0" xfId="11" applyFill="1"/>
    <xf numFmtId="166" fontId="2" fillId="3" borderId="0" xfId="11" applyFill="1"/>
    <xf numFmtId="166" fontId="2" fillId="3" borderId="0" xfId="11" applyFill="1" applyAlignment="1">
      <alignment horizontal="right"/>
    </xf>
    <xf numFmtId="166" fontId="5" fillId="2" borderId="0" xfId="11" applyFont="1" applyFill="1" applyBorder="1" applyAlignment="1" applyProtection="1">
      <alignment horizontal="left" vertical="center"/>
      <protection hidden="1"/>
    </xf>
    <xf numFmtId="166" fontId="5" fillId="2" borderId="2" xfId="11" applyFont="1" applyFill="1" applyBorder="1" applyAlignment="1" applyProtection="1">
      <alignment horizontal="center" vertical="center"/>
      <protection hidden="1"/>
    </xf>
    <xf numFmtId="166" fontId="13" fillId="2" borderId="0" xfId="11" applyFont="1" applyFill="1"/>
    <xf numFmtId="166" fontId="13" fillId="3" borderId="0" xfId="11" applyFont="1" applyFill="1"/>
    <xf numFmtId="166" fontId="13" fillId="3" borderId="0" xfId="11" applyFont="1" applyFill="1" applyAlignment="1">
      <alignment horizontal="right"/>
    </xf>
    <xf numFmtId="166" fontId="5" fillId="2" borderId="1" xfId="11" applyFont="1" applyFill="1" applyBorder="1" applyAlignment="1" applyProtection="1">
      <alignment horizontal="left" vertical="center"/>
      <protection hidden="1"/>
    </xf>
    <xf numFmtId="166" fontId="5" fillId="2" borderId="4" xfId="11" applyFont="1" applyFill="1" applyBorder="1" applyAlignment="1" applyProtection="1">
      <alignment horizontal="right"/>
      <protection hidden="1"/>
    </xf>
    <xf numFmtId="166" fontId="5" fillId="2" borderId="1" xfId="11" applyFont="1" applyFill="1" applyBorder="1" applyAlignment="1" applyProtection="1">
      <alignment horizontal="right"/>
      <protection hidden="1"/>
    </xf>
    <xf numFmtId="166" fontId="5" fillId="2" borderId="1" xfId="11" applyFont="1" applyFill="1" applyBorder="1" applyAlignment="1" applyProtection="1">
      <alignment horizontal="right" wrapText="1"/>
      <protection hidden="1"/>
    </xf>
    <xf numFmtId="166" fontId="5" fillId="2" borderId="0" xfId="11" applyFont="1" applyFill="1" applyAlignment="1" applyProtection="1">
      <alignment horizontal="left" vertical="center"/>
      <protection hidden="1"/>
    </xf>
    <xf numFmtId="3" fontId="5" fillId="2" borderId="3" xfId="0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Alignment="1" applyProtection="1">
      <alignment vertical="center"/>
      <protection hidden="1"/>
    </xf>
    <xf numFmtId="166" fontId="6" fillId="2" borderId="0" xfId="11" applyFont="1" applyFill="1"/>
    <xf numFmtId="166" fontId="9" fillId="2" borderId="0" xfId="11" applyFont="1" applyFill="1" applyAlignment="1" applyProtection="1">
      <alignment horizontal="left" vertical="center" indent="1"/>
      <protection hidden="1"/>
    </xf>
    <xf numFmtId="3" fontId="9" fillId="2" borderId="3" xfId="0" applyNumberFormat="1" applyFont="1" applyFill="1" applyBorder="1" applyAlignment="1" applyProtection="1">
      <alignment vertical="center"/>
      <protection hidden="1"/>
    </xf>
    <xf numFmtId="3" fontId="9" fillId="2" borderId="0" xfId="0" applyNumberFormat="1" applyFont="1" applyFill="1" applyBorder="1" applyAlignment="1" applyProtection="1">
      <alignment vertical="center"/>
      <protection hidden="1"/>
    </xf>
    <xf numFmtId="166" fontId="18" fillId="2" borderId="0" xfId="10" applyFont="1" applyFill="1" applyAlignment="1" applyProtection="1">
      <alignment horizontal="right" vertical="center" indent="1"/>
      <protection hidden="1"/>
    </xf>
    <xf numFmtId="166" fontId="19" fillId="3" borderId="0" xfId="11" applyFont="1" applyFill="1" applyAlignment="1">
      <alignment horizontal="right"/>
    </xf>
    <xf numFmtId="166" fontId="2" fillId="3" borderId="7" xfId="11" applyFont="1" applyFill="1" applyBorder="1" applyAlignment="1">
      <alignment horizontal="center" vertical="center"/>
    </xf>
    <xf numFmtId="166" fontId="20" fillId="3" borderId="7" xfId="11" applyFont="1" applyFill="1" applyBorder="1" applyAlignment="1">
      <alignment horizontal="center" vertical="center"/>
    </xf>
    <xf numFmtId="166" fontId="13" fillId="3" borderId="7" xfId="11" applyFont="1" applyFill="1" applyBorder="1" applyAlignment="1" applyProtection="1">
      <alignment horizontal="center" vertical="center"/>
      <protection hidden="1"/>
    </xf>
    <xf numFmtId="3" fontId="13" fillId="3" borderId="7" xfId="0" applyNumberFormat="1" applyFont="1" applyFill="1" applyBorder="1" applyAlignment="1" applyProtection="1">
      <alignment horizontal="center" vertical="center"/>
      <protection hidden="1"/>
    </xf>
    <xf numFmtId="166" fontId="9" fillId="2" borderId="1" xfId="11" applyFont="1" applyFill="1" applyBorder="1" applyAlignment="1" applyProtection="1">
      <alignment horizontal="left" vertical="center" indent="1"/>
      <protection hidden="1"/>
    </xf>
    <xf numFmtId="3" fontId="9" fillId="2" borderId="4" xfId="0" applyNumberFormat="1" applyFont="1" applyFill="1" applyBorder="1" applyAlignment="1" applyProtection="1">
      <alignment vertical="center"/>
      <protection hidden="1"/>
    </xf>
    <xf numFmtId="3" fontId="9" fillId="2" borderId="1" xfId="0" applyNumberFormat="1" applyFont="1" applyFill="1" applyBorder="1" applyAlignment="1" applyProtection="1">
      <alignment vertical="center"/>
      <protection hidden="1"/>
    </xf>
    <xf numFmtId="166" fontId="18" fillId="2" borderId="1" xfId="10" applyFont="1" applyFill="1" applyBorder="1" applyAlignment="1" applyProtection="1">
      <alignment horizontal="right" vertical="center" indent="1"/>
      <protection hidden="1"/>
    </xf>
    <xf numFmtId="166" fontId="21" fillId="2" borderId="0" xfId="11" applyFont="1" applyFill="1"/>
    <xf numFmtId="166" fontId="11" fillId="2" borderId="0" xfId="0" applyNumberFormat="1" applyFont="1" applyFill="1" applyAlignment="1" applyProtection="1">
      <alignment horizontal="left" vertical="center"/>
    </xf>
    <xf numFmtId="166" fontId="14" fillId="2" borderId="0" xfId="11" applyFont="1" applyFill="1"/>
    <xf numFmtId="166" fontId="18" fillId="2" borderId="0" xfId="10" applyFont="1" applyFill="1" applyAlignment="1" applyProtection="1">
      <alignment horizontal="right" vertical="center"/>
      <protection hidden="1"/>
    </xf>
    <xf numFmtId="166" fontId="2" fillId="2" borderId="0" xfId="11" applyFill="1" applyAlignment="1">
      <alignment horizontal="center" vertical="center"/>
    </xf>
    <xf numFmtId="166" fontId="2" fillId="3" borderId="0" xfId="11" applyFill="1" applyAlignment="1">
      <alignment horizontal="center" vertical="center"/>
    </xf>
    <xf numFmtId="166" fontId="23" fillId="2" borderId="0" xfId="11" applyFont="1" applyFill="1"/>
    <xf numFmtId="3" fontId="8" fillId="2" borderId="0" xfId="10" applyNumberFormat="1" applyFont="1" applyFill="1" applyBorder="1" applyAlignment="1" applyProtection="1">
      <alignment vertical="center"/>
      <protection hidden="1"/>
    </xf>
    <xf numFmtId="3" fontId="8" fillId="2" borderId="0" xfId="0" applyNumberFormat="1" applyFont="1" applyFill="1" applyBorder="1" applyAlignment="1" applyProtection="1">
      <alignment vertical="center"/>
      <protection hidden="1"/>
    </xf>
    <xf numFmtId="166" fontId="2" fillId="2" borderId="0" xfId="11" applyFill="1" applyBorder="1"/>
    <xf numFmtId="166" fontId="16" fillId="2" borderId="0" xfId="11" applyFont="1" applyFill="1" applyAlignment="1" applyProtection="1">
      <alignment horizontal="left" vertical="center"/>
      <protection hidden="1"/>
    </xf>
    <xf numFmtId="3" fontId="16" fillId="2" borderId="0" xfId="0" applyNumberFormat="1" applyFont="1" applyFill="1" applyAlignment="1" applyProtection="1">
      <alignment vertical="center"/>
      <protection hidden="1"/>
    </xf>
    <xf numFmtId="3" fontId="16" fillId="3" borderId="0" xfId="0" applyNumberFormat="1" applyFont="1" applyFill="1" applyAlignment="1" applyProtection="1">
      <alignment vertical="center"/>
      <protection hidden="1"/>
    </xf>
    <xf numFmtId="166" fontId="20" fillId="2" borderId="0" xfId="11" applyFont="1" applyFill="1" applyAlignment="1">
      <alignment horizontal="center" vertical="center"/>
    </xf>
    <xf numFmtId="166" fontId="17" fillId="2" borderId="0" xfId="11" applyFont="1" applyFill="1" applyAlignment="1" applyProtection="1">
      <alignment horizontal="left" vertical="center"/>
      <protection hidden="1"/>
    </xf>
    <xf numFmtId="166" fontId="20" fillId="3" borderId="0" xfId="11" applyFont="1" applyFill="1" applyAlignment="1">
      <alignment horizontal="center" vertical="center"/>
    </xf>
    <xf numFmtId="166" fontId="17" fillId="2" borderId="0" xfId="11" applyFont="1" applyFill="1" applyBorder="1" applyAlignment="1" applyProtection="1">
      <alignment horizontal="left" vertical="center"/>
      <protection hidden="1"/>
    </xf>
    <xf numFmtId="166" fontId="2" fillId="3" borderId="0" xfId="11" applyFill="1" applyBorder="1"/>
    <xf numFmtId="166" fontId="23" fillId="2" borderId="0" xfId="11" applyFont="1" applyFill="1" applyBorder="1"/>
    <xf numFmtId="166" fontId="7" fillId="2" borderId="0" xfId="10" applyFont="1" applyFill="1" applyBorder="1" applyAlignment="1" applyProtection="1">
      <alignment horizontal="right" vertical="center"/>
      <protection hidden="1"/>
    </xf>
    <xf numFmtId="166" fontId="16" fillId="2" borderId="0" xfId="11" applyFont="1" applyFill="1" applyBorder="1" applyAlignment="1" applyProtection="1">
      <alignment horizontal="right"/>
      <protection hidden="1"/>
    </xf>
    <xf numFmtId="166" fontId="16" fillId="2" borderId="0" xfId="11" applyFont="1" applyFill="1" applyBorder="1" applyAlignment="1" applyProtection="1">
      <alignment horizontal="right" wrapText="1"/>
      <protection hidden="1"/>
    </xf>
    <xf numFmtId="3" fontId="16" fillId="2" borderId="0" xfId="0" applyNumberFormat="1" applyFont="1" applyFill="1" applyBorder="1" applyAlignment="1" applyProtection="1">
      <alignment vertical="center"/>
      <protection hidden="1"/>
    </xf>
    <xf numFmtId="3" fontId="17" fillId="2" borderId="0" xfId="0" applyNumberFormat="1" applyFont="1" applyFill="1" applyBorder="1" applyAlignment="1" applyProtection="1">
      <alignment vertical="center"/>
      <protection hidden="1"/>
    </xf>
    <xf numFmtId="166" fontId="2" fillId="3" borderId="0" xfId="11" applyFill="1" applyBorder="1" applyAlignment="1">
      <alignment horizontal="right"/>
    </xf>
    <xf numFmtId="166" fontId="16" fillId="3" borderId="0" xfId="11" applyFont="1" applyFill="1" applyBorder="1" applyAlignment="1" applyProtection="1">
      <alignment horizontal="right" vertical="center"/>
      <protection hidden="1"/>
    </xf>
    <xf numFmtId="166" fontId="17" fillId="3" borderId="0" xfId="11" applyFont="1" applyFill="1" applyBorder="1" applyAlignment="1" applyProtection="1">
      <alignment horizontal="right" vertical="center"/>
      <protection hidden="1"/>
    </xf>
    <xf numFmtId="166" fontId="26" fillId="2" borderId="0" xfId="11" applyFont="1" applyFill="1" applyBorder="1" applyAlignment="1" applyProtection="1">
      <alignment horizontal="left" vertical="center"/>
      <protection hidden="1"/>
    </xf>
    <xf numFmtId="166" fontId="26" fillId="2" borderId="3" xfId="10" applyFont="1" applyFill="1" applyBorder="1" applyAlignment="1" applyProtection="1">
      <alignment horizontal="right" vertical="center"/>
      <protection hidden="1"/>
    </xf>
    <xf numFmtId="166" fontId="26" fillId="2" borderId="0" xfId="10" applyFont="1" applyFill="1" applyBorder="1" applyAlignment="1" applyProtection="1">
      <alignment horizontal="right" vertical="center"/>
      <protection hidden="1"/>
    </xf>
    <xf numFmtId="166" fontId="26" fillId="2" borderId="0" xfId="10" applyFont="1" applyFill="1" applyAlignment="1" applyProtection="1">
      <alignment horizontal="right" vertical="center"/>
      <protection hidden="1"/>
    </xf>
    <xf numFmtId="166" fontId="25" fillId="2" borderId="0" xfId="11" applyFont="1" applyFill="1"/>
    <xf numFmtId="166" fontId="25" fillId="3" borderId="0" xfId="11" applyFont="1" applyFill="1"/>
    <xf numFmtId="166" fontId="25" fillId="3" borderId="0" xfId="11" applyFont="1" applyFill="1" applyAlignment="1">
      <alignment horizontal="right"/>
    </xf>
    <xf numFmtId="166" fontId="18" fillId="2" borderId="0" xfId="10" applyFont="1" applyFill="1" applyBorder="1" applyAlignment="1" applyProtection="1">
      <alignment horizontal="right" vertical="center" indent="1"/>
      <protection hidden="1"/>
    </xf>
    <xf numFmtId="166" fontId="29" fillId="2" borderId="0" xfId="11" applyFont="1" applyFill="1" applyBorder="1" applyAlignment="1" applyProtection="1">
      <alignment vertical="center"/>
      <protection hidden="1"/>
    </xf>
    <xf numFmtId="3" fontId="9" fillId="3" borderId="0" xfId="0" applyNumberFormat="1" applyFont="1" applyFill="1" applyBorder="1" applyAlignment="1" applyProtection="1">
      <alignment vertical="center"/>
      <protection hidden="1"/>
    </xf>
    <xf numFmtId="166" fontId="2" fillId="2" borderId="1" xfId="11" applyFill="1" applyBorder="1"/>
    <xf numFmtId="166" fontId="24" fillId="2" borderId="0" xfId="11" applyFont="1" applyFill="1" applyAlignment="1">
      <alignment vertical="center"/>
    </xf>
    <xf numFmtId="166" fontId="6" fillId="2" borderId="2" xfId="11" applyFont="1" applyFill="1" applyBorder="1" applyAlignment="1">
      <alignment horizontal="center" vertical="center"/>
    </xf>
    <xf numFmtId="166" fontId="6" fillId="2" borderId="0" xfId="11" applyFont="1" applyFill="1" applyBorder="1" applyAlignment="1">
      <alignment horizontal="center" vertical="center"/>
    </xf>
    <xf numFmtId="166" fontId="6" fillId="2" borderId="1" xfId="11" applyFont="1" applyFill="1" applyBorder="1" applyAlignment="1">
      <alignment horizontal="center" vertical="center"/>
    </xf>
    <xf numFmtId="166" fontId="12" fillId="2" borderId="0" xfId="11" applyFont="1" applyFill="1" applyBorder="1" applyAlignment="1" applyProtection="1">
      <alignment horizontal="center" vertical="center"/>
      <protection hidden="1"/>
    </xf>
    <xf numFmtId="166" fontId="27" fillId="2" borderId="0" xfId="10" applyFont="1" applyFill="1" applyAlignment="1" applyProtection="1">
      <alignment horizontal="center"/>
      <protection hidden="1"/>
    </xf>
    <xf numFmtId="166" fontId="4" fillId="2" borderId="1" xfId="11" applyFont="1" applyFill="1" applyBorder="1" applyAlignment="1" applyProtection="1">
      <alignment horizontal="center" vertical="center"/>
      <protection hidden="1"/>
    </xf>
    <xf numFmtId="166" fontId="5" fillId="2" borderId="6" xfId="11" applyFont="1" applyFill="1" applyBorder="1" applyAlignment="1" applyProtection="1">
      <alignment horizontal="center" vertical="center"/>
      <protection hidden="1"/>
    </xf>
    <xf numFmtId="166" fontId="5" fillId="2" borderId="5" xfId="11" applyFont="1" applyFill="1" applyBorder="1" applyAlignment="1" applyProtection="1">
      <alignment horizontal="center" vertical="center"/>
      <protection hidden="1"/>
    </xf>
    <xf numFmtId="166" fontId="11" fillId="2" borderId="0" xfId="11" applyFont="1" applyFill="1" applyBorder="1" applyAlignment="1" applyProtection="1">
      <alignment vertical="center"/>
      <protection hidden="1"/>
    </xf>
    <xf numFmtId="166" fontId="31" fillId="3" borderId="0" xfId="0" applyNumberFormat="1" applyFont="1" applyFill="1" applyAlignment="1">
      <alignment horizontal="left" vertical="center" indent="3"/>
    </xf>
  </cellXfs>
  <cellStyles count="17">
    <cellStyle name="1" xfId="14"/>
    <cellStyle name="Comma 2" xfId="13"/>
    <cellStyle name="Comma 3" xfId="5"/>
    <cellStyle name="Comma 3 2" xfId="16"/>
    <cellStyle name="Comma 4" xfId="3"/>
    <cellStyle name="Comma 7" xfId="15"/>
    <cellStyle name="Normal" xfId="0" builtinId="0"/>
    <cellStyle name="Normal 11" xfId="6"/>
    <cellStyle name="Normal 2" xfId="4"/>
    <cellStyle name="Normal 20" xfId="2"/>
    <cellStyle name="Normal 3" xfId="12"/>
    <cellStyle name="Normal 32" xfId="7"/>
    <cellStyle name="Normal 4" xfId="10"/>
    <cellStyle name="Normal 44" xfId="8"/>
    <cellStyle name="Normal 48" xfId="9"/>
    <cellStyle name="Normal 5" xfId="1"/>
    <cellStyle name="Normal_Stat Year Book 2007 tables" xfId="11"/>
  </cellStyles>
  <dxfs count="0"/>
  <tableStyles count="0" defaultTableStyle="TableStyleMedium2" defaultPivotStyle="PivotStyleLight16"/>
  <colors>
    <mruColors>
      <color rgb="FF33CCCC"/>
      <color rgb="FFBEF1F0"/>
      <color rgb="FFFF9900"/>
      <color rgb="FF196563"/>
      <color rgb="FF249390"/>
      <color rgb="FFEAFAFA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3.10: Monthly records of Births, 2018</a:t>
            </a:r>
            <a:r>
              <a:rPr lang="en-US" baseline="0"/>
              <a:t> - 2020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8522054928033847E-2"/>
          <c:y val="0.16301834440955423"/>
          <c:w val="0.89385276763362975"/>
          <c:h val="0.728638070146976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'3.7'!$BN$33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'3.7'!$BJ$34:$BJ$45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'3.7'!$BN$34:$BN$45</c:f>
              <c:numCache>
                <c:formatCode>#,##0</c:formatCode>
                <c:ptCount val="12"/>
                <c:pt idx="0">
                  <c:v>541</c:v>
                </c:pt>
                <c:pt idx="1">
                  <c:v>535</c:v>
                </c:pt>
                <c:pt idx="2">
                  <c:v>577</c:v>
                </c:pt>
                <c:pt idx="3">
                  <c:v>521</c:v>
                </c:pt>
                <c:pt idx="4">
                  <c:v>608</c:v>
                </c:pt>
                <c:pt idx="5">
                  <c:v>489</c:v>
                </c:pt>
                <c:pt idx="6">
                  <c:v>528</c:v>
                </c:pt>
                <c:pt idx="7">
                  <c:v>574</c:v>
                </c:pt>
                <c:pt idx="8">
                  <c:v>554</c:v>
                </c:pt>
                <c:pt idx="9">
                  <c:v>577</c:v>
                </c:pt>
                <c:pt idx="10">
                  <c:v>520</c:v>
                </c:pt>
                <c:pt idx="11">
                  <c:v>540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969-4AD9-A03A-8EB1BCB781E9}"/>
            </c:ext>
          </c:extLst>
        </c:ser>
        <c:ser>
          <c:idx val="2"/>
          <c:order val="1"/>
          <c:tx>
            <c:strRef>
              <c:f>'3.7'!$BO$33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BEF1F0"/>
            </a:solidFill>
          </c:spPr>
          <c:invertIfNegative val="0"/>
          <c:cat>
            <c:strRef>
              <c:f>'3.7'!$BJ$34:$BJ$45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'3.7'!$BO$34:$BO$45</c:f>
              <c:numCache>
                <c:formatCode>#,##0</c:formatCode>
                <c:ptCount val="12"/>
                <c:pt idx="0">
                  <c:v>526</c:v>
                </c:pt>
                <c:pt idx="1">
                  <c:v>449</c:v>
                </c:pt>
                <c:pt idx="2">
                  <c:v>539</c:v>
                </c:pt>
                <c:pt idx="3">
                  <c:v>477</c:v>
                </c:pt>
                <c:pt idx="4">
                  <c:v>604</c:v>
                </c:pt>
                <c:pt idx="5">
                  <c:v>499</c:v>
                </c:pt>
                <c:pt idx="6">
                  <c:v>491</c:v>
                </c:pt>
                <c:pt idx="7">
                  <c:v>511</c:v>
                </c:pt>
                <c:pt idx="8">
                  <c:v>513</c:v>
                </c:pt>
                <c:pt idx="9">
                  <c:v>525</c:v>
                </c:pt>
                <c:pt idx="10">
                  <c:v>474</c:v>
                </c:pt>
                <c:pt idx="11">
                  <c:v>519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969-4AD9-A03A-8EB1BCB781E9}"/>
            </c:ext>
          </c:extLst>
        </c:ser>
        <c:ser>
          <c:idx val="0"/>
          <c:order val="2"/>
          <c:tx>
            <c:strRef>
              <c:f>'3.7'!$BP$33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'3.7'!$BJ$34:$BJ$45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'3.7'!$BP$34:$BP$45</c:f>
              <c:numCache>
                <c:formatCode>General_)</c:formatCode>
                <c:ptCount val="12"/>
                <c:pt idx="0">
                  <c:v>540</c:v>
                </c:pt>
                <c:pt idx="1">
                  <c:v>548</c:v>
                </c:pt>
                <c:pt idx="2">
                  <c:v>485</c:v>
                </c:pt>
                <c:pt idx="3">
                  <c:v>541</c:v>
                </c:pt>
                <c:pt idx="4">
                  <c:v>492</c:v>
                </c:pt>
                <c:pt idx="5">
                  <c:v>462</c:v>
                </c:pt>
                <c:pt idx="6">
                  <c:v>522</c:v>
                </c:pt>
                <c:pt idx="7">
                  <c:v>508</c:v>
                </c:pt>
                <c:pt idx="8">
                  <c:v>573</c:v>
                </c:pt>
                <c:pt idx="9">
                  <c:v>514</c:v>
                </c:pt>
                <c:pt idx="10">
                  <c:v>540</c:v>
                </c:pt>
                <c:pt idx="11">
                  <c:v>568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6F-47A9-88F1-372C9EC8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567771752"/>
        <c:axId val="612732592"/>
      </c:barChart>
      <c:catAx>
        <c:axId val="5677717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2732592"/>
        <c:crosses val="autoZero"/>
        <c:auto val="1"/>
        <c:lblAlgn val="ctr"/>
        <c:lblOffset val="100"/>
        <c:noMultiLvlLbl val="0"/>
      </c:catAx>
      <c:valAx>
        <c:axId val="612732592"/>
        <c:scaling>
          <c:orientation val="minMax"/>
          <c:max val="6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909911877348151E-3"/>
              <c:y val="0.3162886218170097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7771752"/>
        <c:crosses val="autoZero"/>
        <c:crossBetween val="between"/>
        <c:majorUnit val="15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236538248624091"/>
          <c:y val="0.177811186929691"/>
          <c:w val="0.19527741682475866"/>
          <c:h val="9.0477496759091849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3.11: Monthly records of Deaths, 2018 -2020</a:t>
            </a:r>
          </a:p>
        </c:rich>
      </c:tx>
      <c:layout>
        <c:manualLayout>
          <c:xMode val="edge"/>
          <c:yMode val="edge"/>
          <c:x val="0.2628107474879543"/>
          <c:y val="5.36391680799159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23304259162584"/>
          <c:y val="0.19235818774645982"/>
          <c:w val="0.8640818117549548"/>
          <c:h val="0.691619294197106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'3.7'!$BF$33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'3.7'!$BB$34:$BB$45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'3.7'!$BF$34:$BF$45</c:f>
              <c:numCache>
                <c:formatCode>#,##0</c:formatCode>
                <c:ptCount val="12"/>
                <c:pt idx="0">
                  <c:v>114</c:v>
                </c:pt>
                <c:pt idx="1">
                  <c:v>98</c:v>
                </c:pt>
                <c:pt idx="2">
                  <c:v>117</c:v>
                </c:pt>
                <c:pt idx="3">
                  <c:v>99</c:v>
                </c:pt>
                <c:pt idx="4">
                  <c:v>113</c:v>
                </c:pt>
                <c:pt idx="5">
                  <c:v>89</c:v>
                </c:pt>
                <c:pt idx="6">
                  <c:v>100</c:v>
                </c:pt>
                <c:pt idx="7">
                  <c:v>91</c:v>
                </c:pt>
                <c:pt idx="8">
                  <c:v>93</c:v>
                </c:pt>
                <c:pt idx="9">
                  <c:v>100</c:v>
                </c:pt>
                <c:pt idx="10">
                  <c:v>90</c:v>
                </c:pt>
                <c:pt idx="11">
                  <c:v>112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7F-41DA-8E2D-3D3D3C463BCE}"/>
            </c:ext>
          </c:extLst>
        </c:ser>
        <c:ser>
          <c:idx val="2"/>
          <c:order val="1"/>
          <c:tx>
            <c:strRef>
              <c:f>'3.7'!$BG$33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BEF1F0"/>
            </a:solidFill>
          </c:spPr>
          <c:invertIfNegative val="0"/>
          <c:cat>
            <c:strRef>
              <c:f>'3.7'!$BB$34:$BB$45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'3.7'!$BG$34:$BG$45</c:f>
              <c:numCache>
                <c:formatCode>#,##0</c:formatCode>
                <c:ptCount val="12"/>
                <c:pt idx="0">
                  <c:v>110</c:v>
                </c:pt>
                <c:pt idx="1">
                  <c:v>78</c:v>
                </c:pt>
                <c:pt idx="2">
                  <c:v>101</c:v>
                </c:pt>
                <c:pt idx="3">
                  <c:v>87</c:v>
                </c:pt>
                <c:pt idx="4">
                  <c:v>89</c:v>
                </c:pt>
                <c:pt idx="5">
                  <c:v>80</c:v>
                </c:pt>
                <c:pt idx="6">
                  <c:v>98</c:v>
                </c:pt>
                <c:pt idx="7">
                  <c:v>85</c:v>
                </c:pt>
                <c:pt idx="8">
                  <c:v>78</c:v>
                </c:pt>
                <c:pt idx="9">
                  <c:v>91</c:v>
                </c:pt>
                <c:pt idx="10">
                  <c:v>86</c:v>
                </c:pt>
                <c:pt idx="11">
                  <c:v>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47F-41DA-8E2D-3D3D3C463BCE}"/>
            </c:ext>
          </c:extLst>
        </c:ser>
        <c:ser>
          <c:idx val="0"/>
          <c:order val="2"/>
          <c:tx>
            <c:strRef>
              <c:f>'3.7'!$BH$33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'3.7'!$BB$34:$BB$45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'3.7'!$BH$34:$BH$45</c:f>
              <c:numCache>
                <c:formatCode>General_)</c:formatCode>
                <c:ptCount val="12"/>
                <c:pt idx="0">
                  <c:v>114</c:v>
                </c:pt>
                <c:pt idx="1">
                  <c:v>96</c:v>
                </c:pt>
                <c:pt idx="2">
                  <c:v>109</c:v>
                </c:pt>
                <c:pt idx="3">
                  <c:v>91</c:v>
                </c:pt>
                <c:pt idx="4">
                  <c:v>109</c:v>
                </c:pt>
                <c:pt idx="5">
                  <c:v>91</c:v>
                </c:pt>
                <c:pt idx="6">
                  <c:v>115</c:v>
                </c:pt>
                <c:pt idx="7">
                  <c:v>129</c:v>
                </c:pt>
                <c:pt idx="8">
                  <c:v>112</c:v>
                </c:pt>
                <c:pt idx="9">
                  <c:v>103</c:v>
                </c:pt>
                <c:pt idx="10">
                  <c:v>110</c:v>
                </c:pt>
                <c:pt idx="11">
                  <c:v>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52C-4120-AF80-56536D1C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2"/>
        <c:axId val="564284520"/>
        <c:axId val="564284912"/>
      </c:barChart>
      <c:catAx>
        <c:axId val="5642845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4284912"/>
        <c:crosses val="autoZero"/>
        <c:auto val="1"/>
        <c:lblAlgn val="ctr"/>
        <c:lblOffset val="100"/>
        <c:noMultiLvlLbl val="0"/>
      </c:catAx>
      <c:valAx>
        <c:axId val="564284912"/>
        <c:scaling>
          <c:orientation val="minMax"/>
          <c:max val="14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50"/>
                  <a:t>in numbers</a:t>
                </a:r>
              </a:p>
            </c:rich>
          </c:tx>
          <c:layout>
            <c:manualLayout>
              <c:xMode val="edge"/>
              <c:yMode val="edge"/>
              <c:x val="9.8009962376993907E-3"/>
              <c:y val="0.38485384532412897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42845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730930551715419"/>
          <c:y val="0.20671799383944314"/>
          <c:w val="0.20433983135813935"/>
          <c:h val="8.2583097852229698E-2"/>
        </c:manualLayout>
      </c:layout>
      <c:overlay val="0"/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777327</xdr:colOff>
      <xdr:row>23</xdr:row>
      <xdr:rowOff>129519</xdr:rowOff>
    </xdr:from>
    <xdr:to>
      <xdr:col>11</xdr:col>
      <xdr:colOff>700690</xdr:colOff>
      <xdr:row>38</xdr:row>
      <xdr:rowOff>3832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810172</xdr:colOff>
      <xdr:row>38</xdr:row>
      <xdr:rowOff>215682</xdr:rowOff>
    </xdr:from>
    <xdr:to>
      <xdr:col>12</xdr:col>
      <xdr:colOff>32845</xdr:colOff>
      <xdr:row>52</xdr:row>
      <xdr:rowOff>236590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FINAL%20TABLES/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3.25"/>
    </sheetNames>
    <sheetDataSet>
      <sheetData sheetId="0"/>
      <sheetData sheetId="1"/>
      <sheetData sheetId="2"/>
      <sheetData sheetId="3"/>
      <sheetData sheetId="4"/>
      <sheetData sheetId="5"/>
      <sheetData sheetId="6">
        <row r="33">
          <cell r="BX33">
            <v>2018</v>
          </cell>
          <cell r="BY33">
            <v>2019</v>
          </cell>
          <cell r="BZ33">
            <v>2020</v>
          </cell>
          <cell r="CF33">
            <v>2018</v>
          </cell>
          <cell r="CG33">
            <v>2019</v>
          </cell>
          <cell r="CH33">
            <v>2020</v>
          </cell>
        </row>
        <row r="34">
          <cell r="BT34" t="str">
            <v>Jan</v>
          </cell>
          <cell r="BX34">
            <v>114</v>
          </cell>
          <cell r="BY34">
            <v>110</v>
          </cell>
          <cell r="BZ34">
            <v>114</v>
          </cell>
          <cell r="CB34" t="str">
            <v>Jan</v>
          </cell>
          <cell r="CF34">
            <v>541</v>
          </cell>
          <cell r="CG34">
            <v>526</v>
          </cell>
          <cell r="CH34">
            <v>540</v>
          </cell>
        </row>
        <row r="35">
          <cell r="BT35" t="str">
            <v>Feb</v>
          </cell>
          <cell r="BX35">
            <v>98</v>
          </cell>
          <cell r="BY35">
            <v>78</v>
          </cell>
          <cell r="BZ35">
            <v>96</v>
          </cell>
          <cell r="CB35" t="str">
            <v>Feb</v>
          </cell>
          <cell r="CF35">
            <v>535</v>
          </cell>
          <cell r="CG35">
            <v>449</v>
          </cell>
          <cell r="CH35">
            <v>548</v>
          </cell>
        </row>
        <row r="36">
          <cell r="BT36" t="str">
            <v>Mar</v>
          </cell>
          <cell r="BX36">
            <v>117</v>
          </cell>
          <cell r="BY36">
            <v>101</v>
          </cell>
          <cell r="BZ36">
            <v>109</v>
          </cell>
          <cell r="CB36" t="str">
            <v>Mar</v>
          </cell>
          <cell r="CF36">
            <v>577</v>
          </cell>
          <cell r="CG36">
            <v>539</v>
          </cell>
          <cell r="CH36">
            <v>485</v>
          </cell>
        </row>
        <row r="37">
          <cell r="BT37" t="str">
            <v>Apr</v>
          </cell>
          <cell r="BX37">
            <v>99</v>
          </cell>
          <cell r="BY37">
            <v>87</v>
          </cell>
          <cell r="BZ37">
            <v>91</v>
          </cell>
          <cell r="CB37" t="str">
            <v>Apr</v>
          </cell>
          <cell r="CF37">
            <v>521</v>
          </cell>
          <cell r="CG37">
            <v>477</v>
          </cell>
          <cell r="CH37">
            <v>541</v>
          </cell>
        </row>
        <row r="38">
          <cell r="BT38" t="str">
            <v>May</v>
          </cell>
          <cell r="BX38">
            <v>113</v>
          </cell>
          <cell r="BY38">
            <v>89</v>
          </cell>
          <cell r="BZ38">
            <v>109</v>
          </cell>
          <cell r="CB38" t="str">
            <v>May</v>
          </cell>
          <cell r="CF38">
            <v>608</v>
          </cell>
          <cell r="CG38">
            <v>604</v>
          </cell>
          <cell r="CH38">
            <v>492</v>
          </cell>
        </row>
        <row r="39">
          <cell r="BT39" t="str">
            <v>Jun</v>
          </cell>
          <cell r="BX39">
            <v>89</v>
          </cell>
          <cell r="BY39">
            <v>80</v>
          </cell>
          <cell r="BZ39">
            <v>91</v>
          </cell>
          <cell r="CB39" t="str">
            <v>Jun</v>
          </cell>
          <cell r="CF39">
            <v>489</v>
          </cell>
          <cell r="CG39">
            <v>499</v>
          </cell>
          <cell r="CH39">
            <v>462</v>
          </cell>
        </row>
        <row r="40">
          <cell r="BT40" t="str">
            <v>Jul</v>
          </cell>
          <cell r="BX40">
            <v>100</v>
          </cell>
          <cell r="BY40">
            <v>98</v>
          </cell>
          <cell r="BZ40">
            <v>115</v>
          </cell>
          <cell r="CB40" t="str">
            <v>Jul</v>
          </cell>
          <cell r="CF40">
            <v>528</v>
          </cell>
          <cell r="CG40">
            <v>491</v>
          </cell>
          <cell r="CH40">
            <v>522</v>
          </cell>
        </row>
        <row r="41">
          <cell r="BT41" t="str">
            <v>Aug</v>
          </cell>
          <cell r="BX41">
            <v>91</v>
          </cell>
          <cell r="BY41">
            <v>85</v>
          </cell>
          <cell r="BZ41">
            <v>129</v>
          </cell>
          <cell r="CB41" t="str">
            <v>Aug</v>
          </cell>
          <cell r="CF41">
            <v>574</v>
          </cell>
          <cell r="CG41">
            <v>511</v>
          </cell>
          <cell r="CH41">
            <v>508</v>
          </cell>
        </row>
        <row r="42">
          <cell r="BT42" t="str">
            <v>Sep</v>
          </cell>
          <cell r="BX42">
            <v>93</v>
          </cell>
          <cell r="BY42">
            <v>78</v>
          </cell>
          <cell r="BZ42">
            <v>112</v>
          </cell>
          <cell r="CB42" t="str">
            <v>Sep</v>
          </cell>
          <cell r="CF42">
            <v>554</v>
          </cell>
          <cell r="CG42">
            <v>513</v>
          </cell>
          <cell r="CH42">
            <v>573</v>
          </cell>
        </row>
        <row r="43">
          <cell r="BT43" t="str">
            <v>Oct</v>
          </cell>
          <cell r="BX43">
            <v>100</v>
          </cell>
          <cell r="BY43">
            <v>91</v>
          </cell>
          <cell r="BZ43">
            <v>103</v>
          </cell>
          <cell r="CB43" t="str">
            <v>Oct</v>
          </cell>
          <cell r="CF43">
            <v>577</v>
          </cell>
          <cell r="CG43">
            <v>525</v>
          </cell>
          <cell r="CH43">
            <v>514</v>
          </cell>
        </row>
        <row r="44">
          <cell r="BT44" t="str">
            <v>Nov</v>
          </cell>
          <cell r="BX44">
            <v>90</v>
          </cell>
          <cell r="BY44">
            <v>86</v>
          </cell>
          <cell r="BZ44">
            <v>110</v>
          </cell>
          <cell r="CB44" t="str">
            <v>Nov</v>
          </cell>
          <cell r="CF44">
            <v>520</v>
          </cell>
          <cell r="CG44">
            <v>474</v>
          </cell>
          <cell r="CH44">
            <v>540</v>
          </cell>
        </row>
        <row r="45">
          <cell r="BT45" t="str">
            <v>Dec</v>
          </cell>
          <cell r="BX45">
            <v>112</v>
          </cell>
          <cell r="BY45">
            <v>58</v>
          </cell>
          <cell r="BZ45">
            <v>96</v>
          </cell>
          <cell r="CB45" t="str">
            <v>Dec</v>
          </cell>
          <cell r="CF45">
            <v>540</v>
          </cell>
          <cell r="CG45">
            <v>519</v>
          </cell>
          <cell r="CH45">
            <v>568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P59"/>
  <sheetViews>
    <sheetView tabSelected="1" zoomScale="87" zoomScaleNormal="87" workbookViewId="0">
      <selection activeCell="R5" sqref="R5"/>
    </sheetView>
  </sheetViews>
  <sheetFormatPr defaultColWidth="10.28515625" defaultRowHeight="18.75"/>
  <cols>
    <col min="1" max="1" width="14" style="1" customWidth="1"/>
    <col min="2" max="6" width="11.5703125" style="1" customWidth="1"/>
    <col min="7" max="7" width="9.42578125" style="1" customWidth="1"/>
    <col min="8" max="9" width="11.5703125" style="1" customWidth="1"/>
    <col min="10" max="10" width="9.42578125" style="1" customWidth="1"/>
    <col min="11" max="12" width="11.5703125" style="1" customWidth="1"/>
    <col min="13" max="13" width="9.42578125" style="1" customWidth="1"/>
    <col min="14" max="14" width="10.140625" style="1" customWidth="1"/>
    <col min="15" max="15" width="8.85546875" style="37" customWidth="1"/>
    <col min="16" max="16" width="2.140625" style="1" customWidth="1"/>
    <col min="17" max="17" width="14.5703125" style="1" customWidth="1"/>
    <col min="18" max="20" width="10.42578125" style="1" customWidth="1"/>
    <col min="21" max="50" width="5.7109375" style="1" customWidth="1"/>
    <col min="51" max="52" width="10.28515625" style="1"/>
    <col min="53" max="53" width="10.28515625" style="2"/>
    <col min="54" max="54" width="10.28515625" style="3"/>
    <col min="55" max="57" width="10.28515625" style="2"/>
    <col min="58" max="244" width="10.28515625" style="1"/>
    <col min="245" max="245" width="14" style="1" customWidth="1"/>
    <col min="246" max="257" width="0" style="1" hidden="1" customWidth="1"/>
    <col min="258" max="266" width="11.5703125" style="1" customWidth="1"/>
    <col min="267" max="269" width="0" style="1" hidden="1" customWidth="1"/>
    <col min="270" max="270" width="10.140625" style="1" customWidth="1"/>
    <col min="271" max="271" width="8.85546875" style="1" customWidth="1"/>
    <col min="272" max="272" width="2.140625" style="1" customWidth="1"/>
    <col min="273" max="273" width="14.5703125" style="1" customWidth="1"/>
    <col min="274" max="276" width="10.42578125" style="1" customWidth="1"/>
    <col min="277" max="305" width="2.85546875" style="1" customWidth="1"/>
    <col min="306" max="500" width="10.28515625" style="1"/>
    <col min="501" max="501" width="14" style="1" customWidth="1"/>
    <col min="502" max="513" width="0" style="1" hidden="1" customWidth="1"/>
    <col min="514" max="522" width="11.5703125" style="1" customWidth="1"/>
    <col min="523" max="525" width="0" style="1" hidden="1" customWidth="1"/>
    <col min="526" max="526" width="10.140625" style="1" customWidth="1"/>
    <col min="527" max="527" width="8.85546875" style="1" customWidth="1"/>
    <col min="528" max="528" width="2.140625" style="1" customWidth="1"/>
    <col min="529" max="529" width="14.5703125" style="1" customWidth="1"/>
    <col min="530" max="532" width="10.42578125" style="1" customWidth="1"/>
    <col min="533" max="561" width="2.85546875" style="1" customWidth="1"/>
    <col min="562" max="756" width="10.28515625" style="1"/>
    <col min="757" max="757" width="14" style="1" customWidth="1"/>
    <col min="758" max="769" width="0" style="1" hidden="1" customWidth="1"/>
    <col min="770" max="778" width="11.5703125" style="1" customWidth="1"/>
    <col min="779" max="781" width="0" style="1" hidden="1" customWidth="1"/>
    <col min="782" max="782" width="10.140625" style="1" customWidth="1"/>
    <col min="783" max="783" width="8.85546875" style="1" customWidth="1"/>
    <col min="784" max="784" width="2.140625" style="1" customWidth="1"/>
    <col min="785" max="785" width="14.5703125" style="1" customWidth="1"/>
    <col min="786" max="788" width="10.42578125" style="1" customWidth="1"/>
    <col min="789" max="817" width="2.85546875" style="1" customWidth="1"/>
    <col min="818" max="1012" width="10.28515625" style="1"/>
    <col min="1013" max="1013" width="14" style="1" customWidth="1"/>
    <col min="1014" max="1025" width="0" style="1" hidden="1" customWidth="1"/>
    <col min="1026" max="1034" width="11.5703125" style="1" customWidth="1"/>
    <col min="1035" max="1037" width="0" style="1" hidden="1" customWidth="1"/>
    <col min="1038" max="1038" width="10.140625" style="1" customWidth="1"/>
    <col min="1039" max="1039" width="8.85546875" style="1" customWidth="1"/>
    <col min="1040" max="1040" width="2.140625" style="1" customWidth="1"/>
    <col min="1041" max="1041" width="14.5703125" style="1" customWidth="1"/>
    <col min="1042" max="1044" width="10.42578125" style="1" customWidth="1"/>
    <col min="1045" max="1073" width="2.85546875" style="1" customWidth="1"/>
    <col min="1074" max="1268" width="10.28515625" style="1"/>
    <col min="1269" max="1269" width="14" style="1" customWidth="1"/>
    <col min="1270" max="1281" width="0" style="1" hidden="1" customWidth="1"/>
    <col min="1282" max="1290" width="11.5703125" style="1" customWidth="1"/>
    <col min="1291" max="1293" width="0" style="1" hidden="1" customWidth="1"/>
    <col min="1294" max="1294" width="10.140625" style="1" customWidth="1"/>
    <col min="1295" max="1295" width="8.85546875" style="1" customWidth="1"/>
    <col min="1296" max="1296" width="2.140625" style="1" customWidth="1"/>
    <col min="1297" max="1297" width="14.5703125" style="1" customWidth="1"/>
    <col min="1298" max="1300" width="10.42578125" style="1" customWidth="1"/>
    <col min="1301" max="1329" width="2.85546875" style="1" customWidth="1"/>
    <col min="1330" max="1524" width="10.28515625" style="1"/>
    <col min="1525" max="1525" width="14" style="1" customWidth="1"/>
    <col min="1526" max="1537" width="0" style="1" hidden="1" customWidth="1"/>
    <col min="1538" max="1546" width="11.5703125" style="1" customWidth="1"/>
    <col min="1547" max="1549" width="0" style="1" hidden="1" customWidth="1"/>
    <col min="1550" max="1550" width="10.140625" style="1" customWidth="1"/>
    <col min="1551" max="1551" width="8.85546875" style="1" customWidth="1"/>
    <col min="1552" max="1552" width="2.140625" style="1" customWidth="1"/>
    <col min="1553" max="1553" width="14.5703125" style="1" customWidth="1"/>
    <col min="1554" max="1556" width="10.42578125" style="1" customWidth="1"/>
    <col min="1557" max="1585" width="2.85546875" style="1" customWidth="1"/>
    <col min="1586" max="1780" width="10.28515625" style="1"/>
    <col min="1781" max="1781" width="14" style="1" customWidth="1"/>
    <col min="1782" max="1793" width="0" style="1" hidden="1" customWidth="1"/>
    <col min="1794" max="1802" width="11.5703125" style="1" customWidth="1"/>
    <col min="1803" max="1805" width="0" style="1" hidden="1" customWidth="1"/>
    <col min="1806" max="1806" width="10.140625" style="1" customWidth="1"/>
    <col min="1807" max="1807" width="8.85546875" style="1" customWidth="1"/>
    <col min="1808" max="1808" width="2.140625" style="1" customWidth="1"/>
    <col min="1809" max="1809" width="14.5703125" style="1" customWidth="1"/>
    <col min="1810" max="1812" width="10.42578125" style="1" customWidth="1"/>
    <col min="1813" max="1841" width="2.85546875" style="1" customWidth="1"/>
    <col min="1842" max="2036" width="10.28515625" style="1"/>
    <col min="2037" max="2037" width="14" style="1" customWidth="1"/>
    <col min="2038" max="2049" width="0" style="1" hidden="1" customWidth="1"/>
    <col min="2050" max="2058" width="11.5703125" style="1" customWidth="1"/>
    <col min="2059" max="2061" width="0" style="1" hidden="1" customWidth="1"/>
    <col min="2062" max="2062" width="10.140625" style="1" customWidth="1"/>
    <col min="2063" max="2063" width="8.85546875" style="1" customWidth="1"/>
    <col min="2064" max="2064" width="2.140625" style="1" customWidth="1"/>
    <col min="2065" max="2065" width="14.5703125" style="1" customWidth="1"/>
    <col min="2066" max="2068" width="10.42578125" style="1" customWidth="1"/>
    <col min="2069" max="2097" width="2.85546875" style="1" customWidth="1"/>
    <col min="2098" max="2292" width="10.28515625" style="1"/>
    <col min="2293" max="2293" width="14" style="1" customWidth="1"/>
    <col min="2294" max="2305" width="0" style="1" hidden="1" customWidth="1"/>
    <col min="2306" max="2314" width="11.5703125" style="1" customWidth="1"/>
    <col min="2315" max="2317" width="0" style="1" hidden="1" customWidth="1"/>
    <col min="2318" max="2318" width="10.140625" style="1" customWidth="1"/>
    <col min="2319" max="2319" width="8.85546875" style="1" customWidth="1"/>
    <col min="2320" max="2320" width="2.140625" style="1" customWidth="1"/>
    <col min="2321" max="2321" width="14.5703125" style="1" customWidth="1"/>
    <col min="2322" max="2324" width="10.42578125" style="1" customWidth="1"/>
    <col min="2325" max="2353" width="2.85546875" style="1" customWidth="1"/>
    <col min="2354" max="2548" width="10.28515625" style="1"/>
    <col min="2549" max="2549" width="14" style="1" customWidth="1"/>
    <col min="2550" max="2561" width="0" style="1" hidden="1" customWidth="1"/>
    <col min="2562" max="2570" width="11.5703125" style="1" customWidth="1"/>
    <col min="2571" max="2573" width="0" style="1" hidden="1" customWidth="1"/>
    <col min="2574" max="2574" width="10.140625" style="1" customWidth="1"/>
    <col min="2575" max="2575" width="8.85546875" style="1" customWidth="1"/>
    <col min="2576" max="2576" width="2.140625" style="1" customWidth="1"/>
    <col min="2577" max="2577" width="14.5703125" style="1" customWidth="1"/>
    <col min="2578" max="2580" width="10.42578125" style="1" customWidth="1"/>
    <col min="2581" max="2609" width="2.85546875" style="1" customWidth="1"/>
    <col min="2610" max="2804" width="10.28515625" style="1"/>
    <col min="2805" max="2805" width="14" style="1" customWidth="1"/>
    <col min="2806" max="2817" width="0" style="1" hidden="1" customWidth="1"/>
    <col min="2818" max="2826" width="11.5703125" style="1" customWidth="1"/>
    <col min="2827" max="2829" width="0" style="1" hidden="1" customWidth="1"/>
    <col min="2830" max="2830" width="10.140625" style="1" customWidth="1"/>
    <col min="2831" max="2831" width="8.85546875" style="1" customWidth="1"/>
    <col min="2832" max="2832" width="2.140625" style="1" customWidth="1"/>
    <col min="2833" max="2833" width="14.5703125" style="1" customWidth="1"/>
    <col min="2834" max="2836" width="10.42578125" style="1" customWidth="1"/>
    <col min="2837" max="2865" width="2.85546875" style="1" customWidth="1"/>
    <col min="2866" max="3060" width="10.28515625" style="1"/>
    <col min="3061" max="3061" width="14" style="1" customWidth="1"/>
    <col min="3062" max="3073" width="0" style="1" hidden="1" customWidth="1"/>
    <col min="3074" max="3082" width="11.5703125" style="1" customWidth="1"/>
    <col min="3083" max="3085" width="0" style="1" hidden="1" customWidth="1"/>
    <col min="3086" max="3086" width="10.140625" style="1" customWidth="1"/>
    <col min="3087" max="3087" width="8.85546875" style="1" customWidth="1"/>
    <col min="3088" max="3088" width="2.140625" style="1" customWidth="1"/>
    <col min="3089" max="3089" width="14.5703125" style="1" customWidth="1"/>
    <col min="3090" max="3092" width="10.42578125" style="1" customWidth="1"/>
    <col min="3093" max="3121" width="2.85546875" style="1" customWidth="1"/>
    <col min="3122" max="3316" width="10.28515625" style="1"/>
    <col min="3317" max="3317" width="14" style="1" customWidth="1"/>
    <col min="3318" max="3329" width="0" style="1" hidden="1" customWidth="1"/>
    <col min="3330" max="3338" width="11.5703125" style="1" customWidth="1"/>
    <col min="3339" max="3341" width="0" style="1" hidden="1" customWidth="1"/>
    <col min="3342" max="3342" width="10.140625" style="1" customWidth="1"/>
    <col min="3343" max="3343" width="8.85546875" style="1" customWidth="1"/>
    <col min="3344" max="3344" width="2.140625" style="1" customWidth="1"/>
    <col min="3345" max="3345" width="14.5703125" style="1" customWidth="1"/>
    <col min="3346" max="3348" width="10.42578125" style="1" customWidth="1"/>
    <col min="3349" max="3377" width="2.85546875" style="1" customWidth="1"/>
    <col min="3378" max="3572" width="10.28515625" style="1"/>
    <col min="3573" max="3573" width="14" style="1" customWidth="1"/>
    <col min="3574" max="3585" width="0" style="1" hidden="1" customWidth="1"/>
    <col min="3586" max="3594" width="11.5703125" style="1" customWidth="1"/>
    <col min="3595" max="3597" width="0" style="1" hidden="1" customWidth="1"/>
    <col min="3598" max="3598" width="10.140625" style="1" customWidth="1"/>
    <col min="3599" max="3599" width="8.85546875" style="1" customWidth="1"/>
    <col min="3600" max="3600" width="2.140625" style="1" customWidth="1"/>
    <col min="3601" max="3601" width="14.5703125" style="1" customWidth="1"/>
    <col min="3602" max="3604" width="10.42578125" style="1" customWidth="1"/>
    <col min="3605" max="3633" width="2.85546875" style="1" customWidth="1"/>
    <col min="3634" max="3828" width="10.28515625" style="1"/>
    <col min="3829" max="3829" width="14" style="1" customWidth="1"/>
    <col min="3830" max="3841" width="0" style="1" hidden="1" customWidth="1"/>
    <col min="3842" max="3850" width="11.5703125" style="1" customWidth="1"/>
    <col min="3851" max="3853" width="0" style="1" hidden="1" customWidth="1"/>
    <col min="3854" max="3854" width="10.140625" style="1" customWidth="1"/>
    <col min="3855" max="3855" width="8.85546875" style="1" customWidth="1"/>
    <col min="3856" max="3856" width="2.140625" style="1" customWidth="1"/>
    <col min="3857" max="3857" width="14.5703125" style="1" customWidth="1"/>
    <col min="3858" max="3860" width="10.42578125" style="1" customWidth="1"/>
    <col min="3861" max="3889" width="2.85546875" style="1" customWidth="1"/>
    <col min="3890" max="4084" width="10.28515625" style="1"/>
    <col min="4085" max="4085" width="14" style="1" customWidth="1"/>
    <col min="4086" max="4097" width="0" style="1" hidden="1" customWidth="1"/>
    <col min="4098" max="4106" width="11.5703125" style="1" customWidth="1"/>
    <col min="4107" max="4109" width="0" style="1" hidden="1" customWidth="1"/>
    <col min="4110" max="4110" width="10.140625" style="1" customWidth="1"/>
    <col min="4111" max="4111" width="8.85546875" style="1" customWidth="1"/>
    <col min="4112" max="4112" width="2.140625" style="1" customWidth="1"/>
    <col min="4113" max="4113" width="14.5703125" style="1" customWidth="1"/>
    <col min="4114" max="4116" width="10.42578125" style="1" customWidth="1"/>
    <col min="4117" max="4145" width="2.85546875" style="1" customWidth="1"/>
    <col min="4146" max="4340" width="10.28515625" style="1"/>
    <col min="4341" max="4341" width="14" style="1" customWidth="1"/>
    <col min="4342" max="4353" width="0" style="1" hidden="1" customWidth="1"/>
    <col min="4354" max="4362" width="11.5703125" style="1" customWidth="1"/>
    <col min="4363" max="4365" width="0" style="1" hidden="1" customWidth="1"/>
    <col min="4366" max="4366" width="10.140625" style="1" customWidth="1"/>
    <col min="4367" max="4367" width="8.85546875" style="1" customWidth="1"/>
    <col min="4368" max="4368" width="2.140625" style="1" customWidth="1"/>
    <col min="4369" max="4369" width="14.5703125" style="1" customWidth="1"/>
    <col min="4370" max="4372" width="10.42578125" style="1" customWidth="1"/>
    <col min="4373" max="4401" width="2.85546875" style="1" customWidth="1"/>
    <col min="4402" max="4596" width="10.28515625" style="1"/>
    <col min="4597" max="4597" width="14" style="1" customWidth="1"/>
    <col min="4598" max="4609" width="0" style="1" hidden="1" customWidth="1"/>
    <col min="4610" max="4618" width="11.5703125" style="1" customWidth="1"/>
    <col min="4619" max="4621" width="0" style="1" hidden="1" customWidth="1"/>
    <col min="4622" max="4622" width="10.140625" style="1" customWidth="1"/>
    <col min="4623" max="4623" width="8.85546875" style="1" customWidth="1"/>
    <col min="4624" max="4624" width="2.140625" style="1" customWidth="1"/>
    <col min="4625" max="4625" width="14.5703125" style="1" customWidth="1"/>
    <col min="4626" max="4628" width="10.42578125" style="1" customWidth="1"/>
    <col min="4629" max="4657" width="2.85546875" style="1" customWidth="1"/>
    <col min="4658" max="4852" width="10.28515625" style="1"/>
    <col min="4853" max="4853" width="14" style="1" customWidth="1"/>
    <col min="4854" max="4865" width="0" style="1" hidden="1" customWidth="1"/>
    <col min="4866" max="4874" width="11.5703125" style="1" customWidth="1"/>
    <col min="4875" max="4877" width="0" style="1" hidden="1" customWidth="1"/>
    <col min="4878" max="4878" width="10.140625" style="1" customWidth="1"/>
    <col min="4879" max="4879" width="8.85546875" style="1" customWidth="1"/>
    <col min="4880" max="4880" width="2.140625" style="1" customWidth="1"/>
    <col min="4881" max="4881" width="14.5703125" style="1" customWidth="1"/>
    <col min="4882" max="4884" width="10.42578125" style="1" customWidth="1"/>
    <col min="4885" max="4913" width="2.85546875" style="1" customWidth="1"/>
    <col min="4914" max="5108" width="10.28515625" style="1"/>
    <col min="5109" max="5109" width="14" style="1" customWidth="1"/>
    <col min="5110" max="5121" width="0" style="1" hidden="1" customWidth="1"/>
    <col min="5122" max="5130" width="11.5703125" style="1" customWidth="1"/>
    <col min="5131" max="5133" width="0" style="1" hidden="1" customWidth="1"/>
    <col min="5134" max="5134" width="10.140625" style="1" customWidth="1"/>
    <col min="5135" max="5135" width="8.85546875" style="1" customWidth="1"/>
    <col min="5136" max="5136" width="2.140625" style="1" customWidth="1"/>
    <col min="5137" max="5137" width="14.5703125" style="1" customWidth="1"/>
    <col min="5138" max="5140" width="10.42578125" style="1" customWidth="1"/>
    <col min="5141" max="5169" width="2.85546875" style="1" customWidth="1"/>
    <col min="5170" max="5364" width="10.28515625" style="1"/>
    <col min="5365" max="5365" width="14" style="1" customWidth="1"/>
    <col min="5366" max="5377" width="0" style="1" hidden="1" customWidth="1"/>
    <col min="5378" max="5386" width="11.5703125" style="1" customWidth="1"/>
    <col min="5387" max="5389" width="0" style="1" hidden="1" customWidth="1"/>
    <col min="5390" max="5390" width="10.140625" style="1" customWidth="1"/>
    <col min="5391" max="5391" width="8.85546875" style="1" customWidth="1"/>
    <col min="5392" max="5392" width="2.140625" style="1" customWidth="1"/>
    <col min="5393" max="5393" width="14.5703125" style="1" customWidth="1"/>
    <col min="5394" max="5396" width="10.42578125" style="1" customWidth="1"/>
    <col min="5397" max="5425" width="2.85546875" style="1" customWidth="1"/>
    <col min="5426" max="5620" width="10.28515625" style="1"/>
    <col min="5621" max="5621" width="14" style="1" customWidth="1"/>
    <col min="5622" max="5633" width="0" style="1" hidden="1" customWidth="1"/>
    <col min="5634" max="5642" width="11.5703125" style="1" customWidth="1"/>
    <col min="5643" max="5645" width="0" style="1" hidden="1" customWidth="1"/>
    <col min="5646" max="5646" width="10.140625" style="1" customWidth="1"/>
    <col min="5647" max="5647" width="8.85546875" style="1" customWidth="1"/>
    <col min="5648" max="5648" width="2.140625" style="1" customWidth="1"/>
    <col min="5649" max="5649" width="14.5703125" style="1" customWidth="1"/>
    <col min="5650" max="5652" width="10.42578125" style="1" customWidth="1"/>
    <col min="5653" max="5681" width="2.85546875" style="1" customWidth="1"/>
    <col min="5682" max="5876" width="10.28515625" style="1"/>
    <col min="5877" max="5877" width="14" style="1" customWidth="1"/>
    <col min="5878" max="5889" width="0" style="1" hidden="1" customWidth="1"/>
    <col min="5890" max="5898" width="11.5703125" style="1" customWidth="1"/>
    <col min="5899" max="5901" width="0" style="1" hidden="1" customWidth="1"/>
    <col min="5902" max="5902" width="10.140625" style="1" customWidth="1"/>
    <col min="5903" max="5903" width="8.85546875" style="1" customWidth="1"/>
    <col min="5904" max="5904" width="2.140625" style="1" customWidth="1"/>
    <col min="5905" max="5905" width="14.5703125" style="1" customWidth="1"/>
    <col min="5906" max="5908" width="10.42578125" style="1" customWidth="1"/>
    <col min="5909" max="5937" width="2.85546875" style="1" customWidth="1"/>
    <col min="5938" max="6132" width="10.28515625" style="1"/>
    <col min="6133" max="6133" width="14" style="1" customWidth="1"/>
    <col min="6134" max="6145" width="0" style="1" hidden="1" customWidth="1"/>
    <col min="6146" max="6154" width="11.5703125" style="1" customWidth="1"/>
    <col min="6155" max="6157" width="0" style="1" hidden="1" customWidth="1"/>
    <col min="6158" max="6158" width="10.140625" style="1" customWidth="1"/>
    <col min="6159" max="6159" width="8.85546875" style="1" customWidth="1"/>
    <col min="6160" max="6160" width="2.140625" style="1" customWidth="1"/>
    <col min="6161" max="6161" width="14.5703125" style="1" customWidth="1"/>
    <col min="6162" max="6164" width="10.42578125" style="1" customWidth="1"/>
    <col min="6165" max="6193" width="2.85546875" style="1" customWidth="1"/>
    <col min="6194" max="6388" width="10.28515625" style="1"/>
    <col min="6389" max="6389" width="14" style="1" customWidth="1"/>
    <col min="6390" max="6401" width="0" style="1" hidden="1" customWidth="1"/>
    <col min="6402" max="6410" width="11.5703125" style="1" customWidth="1"/>
    <col min="6411" max="6413" width="0" style="1" hidden="1" customWidth="1"/>
    <col min="6414" max="6414" width="10.140625" style="1" customWidth="1"/>
    <col min="6415" max="6415" width="8.85546875" style="1" customWidth="1"/>
    <col min="6416" max="6416" width="2.140625" style="1" customWidth="1"/>
    <col min="6417" max="6417" width="14.5703125" style="1" customWidth="1"/>
    <col min="6418" max="6420" width="10.42578125" style="1" customWidth="1"/>
    <col min="6421" max="6449" width="2.85546875" style="1" customWidth="1"/>
    <col min="6450" max="6644" width="10.28515625" style="1"/>
    <col min="6645" max="6645" width="14" style="1" customWidth="1"/>
    <col min="6646" max="6657" width="0" style="1" hidden="1" customWidth="1"/>
    <col min="6658" max="6666" width="11.5703125" style="1" customWidth="1"/>
    <col min="6667" max="6669" width="0" style="1" hidden="1" customWidth="1"/>
    <col min="6670" max="6670" width="10.140625" style="1" customWidth="1"/>
    <col min="6671" max="6671" width="8.85546875" style="1" customWidth="1"/>
    <col min="6672" max="6672" width="2.140625" style="1" customWidth="1"/>
    <col min="6673" max="6673" width="14.5703125" style="1" customWidth="1"/>
    <col min="6674" max="6676" width="10.42578125" style="1" customWidth="1"/>
    <col min="6677" max="6705" width="2.85546875" style="1" customWidth="1"/>
    <col min="6706" max="6900" width="10.28515625" style="1"/>
    <col min="6901" max="6901" width="14" style="1" customWidth="1"/>
    <col min="6902" max="6913" width="0" style="1" hidden="1" customWidth="1"/>
    <col min="6914" max="6922" width="11.5703125" style="1" customWidth="1"/>
    <col min="6923" max="6925" width="0" style="1" hidden="1" customWidth="1"/>
    <col min="6926" max="6926" width="10.140625" style="1" customWidth="1"/>
    <col min="6927" max="6927" width="8.85546875" style="1" customWidth="1"/>
    <col min="6928" max="6928" width="2.140625" style="1" customWidth="1"/>
    <col min="6929" max="6929" width="14.5703125" style="1" customWidth="1"/>
    <col min="6930" max="6932" width="10.42578125" style="1" customWidth="1"/>
    <col min="6933" max="6961" width="2.85546875" style="1" customWidth="1"/>
    <col min="6962" max="7156" width="10.28515625" style="1"/>
    <col min="7157" max="7157" width="14" style="1" customWidth="1"/>
    <col min="7158" max="7169" width="0" style="1" hidden="1" customWidth="1"/>
    <col min="7170" max="7178" width="11.5703125" style="1" customWidth="1"/>
    <col min="7179" max="7181" width="0" style="1" hidden="1" customWidth="1"/>
    <col min="7182" max="7182" width="10.140625" style="1" customWidth="1"/>
    <col min="7183" max="7183" width="8.85546875" style="1" customWidth="1"/>
    <col min="7184" max="7184" width="2.140625" style="1" customWidth="1"/>
    <col min="7185" max="7185" width="14.5703125" style="1" customWidth="1"/>
    <col min="7186" max="7188" width="10.42578125" style="1" customWidth="1"/>
    <col min="7189" max="7217" width="2.85546875" style="1" customWidth="1"/>
    <col min="7218" max="7412" width="10.28515625" style="1"/>
    <col min="7413" max="7413" width="14" style="1" customWidth="1"/>
    <col min="7414" max="7425" width="0" style="1" hidden="1" customWidth="1"/>
    <col min="7426" max="7434" width="11.5703125" style="1" customWidth="1"/>
    <col min="7435" max="7437" width="0" style="1" hidden="1" customWidth="1"/>
    <col min="7438" max="7438" width="10.140625" style="1" customWidth="1"/>
    <col min="7439" max="7439" width="8.85546875" style="1" customWidth="1"/>
    <col min="7440" max="7440" width="2.140625" style="1" customWidth="1"/>
    <col min="7441" max="7441" width="14.5703125" style="1" customWidth="1"/>
    <col min="7442" max="7444" width="10.42578125" style="1" customWidth="1"/>
    <col min="7445" max="7473" width="2.85546875" style="1" customWidth="1"/>
    <col min="7474" max="7668" width="10.28515625" style="1"/>
    <col min="7669" max="7669" width="14" style="1" customWidth="1"/>
    <col min="7670" max="7681" width="0" style="1" hidden="1" customWidth="1"/>
    <col min="7682" max="7690" width="11.5703125" style="1" customWidth="1"/>
    <col min="7691" max="7693" width="0" style="1" hidden="1" customWidth="1"/>
    <col min="7694" max="7694" width="10.140625" style="1" customWidth="1"/>
    <col min="7695" max="7695" width="8.85546875" style="1" customWidth="1"/>
    <col min="7696" max="7696" width="2.140625" style="1" customWidth="1"/>
    <col min="7697" max="7697" width="14.5703125" style="1" customWidth="1"/>
    <col min="7698" max="7700" width="10.42578125" style="1" customWidth="1"/>
    <col min="7701" max="7729" width="2.85546875" style="1" customWidth="1"/>
    <col min="7730" max="7924" width="10.28515625" style="1"/>
    <col min="7925" max="7925" width="14" style="1" customWidth="1"/>
    <col min="7926" max="7937" width="0" style="1" hidden="1" customWidth="1"/>
    <col min="7938" max="7946" width="11.5703125" style="1" customWidth="1"/>
    <col min="7947" max="7949" width="0" style="1" hidden="1" customWidth="1"/>
    <col min="7950" max="7950" width="10.140625" style="1" customWidth="1"/>
    <col min="7951" max="7951" width="8.85546875" style="1" customWidth="1"/>
    <col min="7952" max="7952" width="2.140625" style="1" customWidth="1"/>
    <col min="7953" max="7953" width="14.5703125" style="1" customWidth="1"/>
    <col min="7954" max="7956" width="10.42578125" style="1" customWidth="1"/>
    <col min="7957" max="7985" width="2.85546875" style="1" customWidth="1"/>
    <col min="7986" max="8180" width="10.28515625" style="1"/>
    <col min="8181" max="8181" width="14" style="1" customWidth="1"/>
    <col min="8182" max="8193" width="0" style="1" hidden="1" customWidth="1"/>
    <col min="8194" max="8202" width="11.5703125" style="1" customWidth="1"/>
    <col min="8203" max="8205" width="0" style="1" hidden="1" customWidth="1"/>
    <col min="8206" max="8206" width="10.140625" style="1" customWidth="1"/>
    <col min="8207" max="8207" width="8.85546875" style="1" customWidth="1"/>
    <col min="8208" max="8208" width="2.140625" style="1" customWidth="1"/>
    <col min="8209" max="8209" width="14.5703125" style="1" customWidth="1"/>
    <col min="8210" max="8212" width="10.42578125" style="1" customWidth="1"/>
    <col min="8213" max="8241" width="2.85546875" style="1" customWidth="1"/>
    <col min="8242" max="8436" width="10.28515625" style="1"/>
    <col min="8437" max="8437" width="14" style="1" customWidth="1"/>
    <col min="8438" max="8449" width="0" style="1" hidden="1" customWidth="1"/>
    <col min="8450" max="8458" width="11.5703125" style="1" customWidth="1"/>
    <col min="8459" max="8461" width="0" style="1" hidden="1" customWidth="1"/>
    <col min="8462" max="8462" width="10.140625" style="1" customWidth="1"/>
    <col min="8463" max="8463" width="8.85546875" style="1" customWidth="1"/>
    <col min="8464" max="8464" width="2.140625" style="1" customWidth="1"/>
    <col min="8465" max="8465" width="14.5703125" style="1" customWidth="1"/>
    <col min="8466" max="8468" width="10.42578125" style="1" customWidth="1"/>
    <col min="8469" max="8497" width="2.85546875" style="1" customWidth="1"/>
    <col min="8498" max="8692" width="10.28515625" style="1"/>
    <col min="8693" max="8693" width="14" style="1" customWidth="1"/>
    <col min="8694" max="8705" width="0" style="1" hidden="1" customWidth="1"/>
    <col min="8706" max="8714" width="11.5703125" style="1" customWidth="1"/>
    <col min="8715" max="8717" width="0" style="1" hidden="1" customWidth="1"/>
    <col min="8718" max="8718" width="10.140625" style="1" customWidth="1"/>
    <col min="8719" max="8719" width="8.85546875" style="1" customWidth="1"/>
    <col min="8720" max="8720" width="2.140625" style="1" customWidth="1"/>
    <col min="8721" max="8721" width="14.5703125" style="1" customWidth="1"/>
    <col min="8722" max="8724" width="10.42578125" style="1" customWidth="1"/>
    <col min="8725" max="8753" width="2.85546875" style="1" customWidth="1"/>
    <col min="8754" max="8948" width="10.28515625" style="1"/>
    <col min="8949" max="8949" width="14" style="1" customWidth="1"/>
    <col min="8950" max="8961" width="0" style="1" hidden="1" customWidth="1"/>
    <col min="8962" max="8970" width="11.5703125" style="1" customWidth="1"/>
    <col min="8971" max="8973" width="0" style="1" hidden="1" customWidth="1"/>
    <col min="8974" max="8974" width="10.140625" style="1" customWidth="1"/>
    <col min="8975" max="8975" width="8.85546875" style="1" customWidth="1"/>
    <col min="8976" max="8976" width="2.140625" style="1" customWidth="1"/>
    <col min="8977" max="8977" width="14.5703125" style="1" customWidth="1"/>
    <col min="8978" max="8980" width="10.42578125" style="1" customWidth="1"/>
    <col min="8981" max="9009" width="2.85546875" style="1" customWidth="1"/>
    <col min="9010" max="9204" width="10.28515625" style="1"/>
    <col min="9205" max="9205" width="14" style="1" customWidth="1"/>
    <col min="9206" max="9217" width="0" style="1" hidden="1" customWidth="1"/>
    <col min="9218" max="9226" width="11.5703125" style="1" customWidth="1"/>
    <col min="9227" max="9229" width="0" style="1" hidden="1" customWidth="1"/>
    <col min="9230" max="9230" width="10.140625" style="1" customWidth="1"/>
    <col min="9231" max="9231" width="8.85546875" style="1" customWidth="1"/>
    <col min="9232" max="9232" width="2.140625" style="1" customWidth="1"/>
    <col min="9233" max="9233" width="14.5703125" style="1" customWidth="1"/>
    <col min="9234" max="9236" width="10.42578125" style="1" customWidth="1"/>
    <col min="9237" max="9265" width="2.85546875" style="1" customWidth="1"/>
    <col min="9266" max="9460" width="10.28515625" style="1"/>
    <col min="9461" max="9461" width="14" style="1" customWidth="1"/>
    <col min="9462" max="9473" width="0" style="1" hidden="1" customWidth="1"/>
    <col min="9474" max="9482" width="11.5703125" style="1" customWidth="1"/>
    <col min="9483" max="9485" width="0" style="1" hidden="1" customWidth="1"/>
    <col min="9486" max="9486" width="10.140625" style="1" customWidth="1"/>
    <col min="9487" max="9487" width="8.85546875" style="1" customWidth="1"/>
    <col min="9488" max="9488" width="2.140625" style="1" customWidth="1"/>
    <col min="9489" max="9489" width="14.5703125" style="1" customWidth="1"/>
    <col min="9490" max="9492" width="10.42578125" style="1" customWidth="1"/>
    <col min="9493" max="9521" width="2.85546875" style="1" customWidth="1"/>
    <col min="9522" max="9716" width="10.28515625" style="1"/>
    <col min="9717" max="9717" width="14" style="1" customWidth="1"/>
    <col min="9718" max="9729" width="0" style="1" hidden="1" customWidth="1"/>
    <col min="9730" max="9738" width="11.5703125" style="1" customWidth="1"/>
    <col min="9739" max="9741" width="0" style="1" hidden="1" customWidth="1"/>
    <col min="9742" max="9742" width="10.140625" style="1" customWidth="1"/>
    <col min="9743" max="9743" width="8.85546875" style="1" customWidth="1"/>
    <col min="9744" max="9744" width="2.140625" style="1" customWidth="1"/>
    <col min="9745" max="9745" width="14.5703125" style="1" customWidth="1"/>
    <col min="9746" max="9748" width="10.42578125" style="1" customWidth="1"/>
    <col min="9749" max="9777" width="2.85546875" style="1" customWidth="1"/>
    <col min="9778" max="9972" width="10.28515625" style="1"/>
    <col min="9973" max="9973" width="14" style="1" customWidth="1"/>
    <col min="9974" max="9985" width="0" style="1" hidden="1" customWidth="1"/>
    <col min="9986" max="9994" width="11.5703125" style="1" customWidth="1"/>
    <col min="9995" max="9997" width="0" style="1" hidden="1" customWidth="1"/>
    <col min="9998" max="9998" width="10.140625" style="1" customWidth="1"/>
    <col min="9999" max="9999" width="8.85546875" style="1" customWidth="1"/>
    <col min="10000" max="10000" width="2.140625" style="1" customWidth="1"/>
    <col min="10001" max="10001" width="14.5703125" style="1" customWidth="1"/>
    <col min="10002" max="10004" width="10.42578125" style="1" customWidth="1"/>
    <col min="10005" max="10033" width="2.85546875" style="1" customWidth="1"/>
    <col min="10034" max="10228" width="10.28515625" style="1"/>
    <col min="10229" max="10229" width="14" style="1" customWidth="1"/>
    <col min="10230" max="10241" width="0" style="1" hidden="1" customWidth="1"/>
    <col min="10242" max="10250" width="11.5703125" style="1" customWidth="1"/>
    <col min="10251" max="10253" width="0" style="1" hidden="1" customWidth="1"/>
    <col min="10254" max="10254" width="10.140625" style="1" customWidth="1"/>
    <col min="10255" max="10255" width="8.85546875" style="1" customWidth="1"/>
    <col min="10256" max="10256" width="2.140625" style="1" customWidth="1"/>
    <col min="10257" max="10257" width="14.5703125" style="1" customWidth="1"/>
    <col min="10258" max="10260" width="10.42578125" style="1" customWidth="1"/>
    <col min="10261" max="10289" width="2.85546875" style="1" customWidth="1"/>
    <col min="10290" max="10484" width="10.28515625" style="1"/>
    <col min="10485" max="10485" width="14" style="1" customWidth="1"/>
    <col min="10486" max="10497" width="0" style="1" hidden="1" customWidth="1"/>
    <col min="10498" max="10506" width="11.5703125" style="1" customWidth="1"/>
    <col min="10507" max="10509" width="0" style="1" hidden="1" customWidth="1"/>
    <col min="10510" max="10510" width="10.140625" style="1" customWidth="1"/>
    <col min="10511" max="10511" width="8.85546875" style="1" customWidth="1"/>
    <col min="10512" max="10512" width="2.140625" style="1" customWidth="1"/>
    <col min="10513" max="10513" width="14.5703125" style="1" customWidth="1"/>
    <col min="10514" max="10516" width="10.42578125" style="1" customWidth="1"/>
    <col min="10517" max="10545" width="2.85546875" style="1" customWidth="1"/>
    <col min="10546" max="10740" width="10.28515625" style="1"/>
    <col min="10741" max="10741" width="14" style="1" customWidth="1"/>
    <col min="10742" max="10753" width="0" style="1" hidden="1" customWidth="1"/>
    <col min="10754" max="10762" width="11.5703125" style="1" customWidth="1"/>
    <col min="10763" max="10765" width="0" style="1" hidden="1" customWidth="1"/>
    <col min="10766" max="10766" width="10.140625" style="1" customWidth="1"/>
    <col min="10767" max="10767" width="8.85546875" style="1" customWidth="1"/>
    <col min="10768" max="10768" width="2.140625" style="1" customWidth="1"/>
    <col min="10769" max="10769" width="14.5703125" style="1" customWidth="1"/>
    <col min="10770" max="10772" width="10.42578125" style="1" customWidth="1"/>
    <col min="10773" max="10801" width="2.85546875" style="1" customWidth="1"/>
    <col min="10802" max="10996" width="10.28515625" style="1"/>
    <col min="10997" max="10997" width="14" style="1" customWidth="1"/>
    <col min="10998" max="11009" width="0" style="1" hidden="1" customWidth="1"/>
    <col min="11010" max="11018" width="11.5703125" style="1" customWidth="1"/>
    <col min="11019" max="11021" width="0" style="1" hidden="1" customWidth="1"/>
    <col min="11022" max="11022" width="10.140625" style="1" customWidth="1"/>
    <col min="11023" max="11023" width="8.85546875" style="1" customWidth="1"/>
    <col min="11024" max="11024" width="2.140625" style="1" customWidth="1"/>
    <col min="11025" max="11025" width="14.5703125" style="1" customWidth="1"/>
    <col min="11026" max="11028" width="10.42578125" style="1" customWidth="1"/>
    <col min="11029" max="11057" width="2.85546875" style="1" customWidth="1"/>
    <col min="11058" max="11252" width="10.28515625" style="1"/>
    <col min="11253" max="11253" width="14" style="1" customWidth="1"/>
    <col min="11254" max="11265" width="0" style="1" hidden="1" customWidth="1"/>
    <col min="11266" max="11274" width="11.5703125" style="1" customWidth="1"/>
    <col min="11275" max="11277" width="0" style="1" hidden="1" customWidth="1"/>
    <col min="11278" max="11278" width="10.140625" style="1" customWidth="1"/>
    <col min="11279" max="11279" width="8.85546875" style="1" customWidth="1"/>
    <col min="11280" max="11280" width="2.140625" style="1" customWidth="1"/>
    <col min="11281" max="11281" width="14.5703125" style="1" customWidth="1"/>
    <col min="11282" max="11284" width="10.42578125" style="1" customWidth="1"/>
    <col min="11285" max="11313" width="2.85546875" style="1" customWidth="1"/>
    <col min="11314" max="11508" width="10.28515625" style="1"/>
    <col min="11509" max="11509" width="14" style="1" customWidth="1"/>
    <col min="11510" max="11521" width="0" style="1" hidden="1" customWidth="1"/>
    <col min="11522" max="11530" width="11.5703125" style="1" customWidth="1"/>
    <col min="11531" max="11533" width="0" style="1" hidden="1" customWidth="1"/>
    <col min="11534" max="11534" width="10.140625" style="1" customWidth="1"/>
    <col min="11535" max="11535" width="8.85546875" style="1" customWidth="1"/>
    <col min="11536" max="11536" width="2.140625" style="1" customWidth="1"/>
    <col min="11537" max="11537" width="14.5703125" style="1" customWidth="1"/>
    <col min="11538" max="11540" width="10.42578125" style="1" customWidth="1"/>
    <col min="11541" max="11569" width="2.85546875" style="1" customWidth="1"/>
    <col min="11570" max="11764" width="10.28515625" style="1"/>
    <col min="11765" max="11765" width="14" style="1" customWidth="1"/>
    <col min="11766" max="11777" width="0" style="1" hidden="1" customWidth="1"/>
    <col min="11778" max="11786" width="11.5703125" style="1" customWidth="1"/>
    <col min="11787" max="11789" width="0" style="1" hidden="1" customWidth="1"/>
    <col min="11790" max="11790" width="10.140625" style="1" customWidth="1"/>
    <col min="11791" max="11791" width="8.85546875" style="1" customWidth="1"/>
    <col min="11792" max="11792" width="2.140625" style="1" customWidth="1"/>
    <col min="11793" max="11793" width="14.5703125" style="1" customWidth="1"/>
    <col min="11794" max="11796" width="10.42578125" style="1" customWidth="1"/>
    <col min="11797" max="11825" width="2.85546875" style="1" customWidth="1"/>
    <col min="11826" max="12020" width="10.28515625" style="1"/>
    <col min="12021" max="12021" width="14" style="1" customWidth="1"/>
    <col min="12022" max="12033" width="0" style="1" hidden="1" customWidth="1"/>
    <col min="12034" max="12042" width="11.5703125" style="1" customWidth="1"/>
    <col min="12043" max="12045" width="0" style="1" hidden="1" customWidth="1"/>
    <col min="12046" max="12046" width="10.140625" style="1" customWidth="1"/>
    <col min="12047" max="12047" width="8.85546875" style="1" customWidth="1"/>
    <col min="12048" max="12048" width="2.140625" style="1" customWidth="1"/>
    <col min="12049" max="12049" width="14.5703125" style="1" customWidth="1"/>
    <col min="12050" max="12052" width="10.42578125" style="1" customWidth="1"/>
    <col min="12053" max="12081" width="2.85546875" style="1" customWidth="1"/>
    <col min="12082" max="12276" width="10.28515625" style="1"/>
    <col min="12277" max="12277" width="14" style="1" customWidth="1"/>
    <col min="12278" max="12289" width="0" style="1" hidden="1" customWidth="1"/>
    <col min="12290" max="12298" width="11.5703125" style="1" customWidth="1"/>
    <col min="12299" max="12301" width="0" style="1" hidden="1" customWidth="1"/>
    <col min="12302" max="12302" width="10.140625" style="1" customWidth="1"/>
    <col min="12303" max="12303" width="8.85546875" style="1" customWidth="1"/>
    <col min="12304" max="12304" width="2.140625" style="1" customWidth="1"/>
    <col min="12305" max="12305" width="14.5703125" style="1" customWidth="1"/>
    <col min="12306" max="12308" width="10.42578125" style="1" customWidth="1"/>
    <col min="12309" max="12337" width="2.85546875" style="1" customWidth="1"/>
    <col min="12338" max="12532" width="10.28515625" style="1"/>
    <col min="12533" max="12533" width="14" style="1" customWidth="1"/>
    <col min="12534" max="12545" width="0" style="1" hidden="1" customWidth="1"/>
    <col min="12546" max="12554" width="11.5703125" style="1" customWidth="1"/>
    <col min="12555" max="12557" width="0" style="1" hidden="1" customWidth="1"/>
    <col min="12558" max="12558" width="10.140625" style="1" customWidth="1"/>
    <col min="12559" max="12559" width="8.85546875" style="1" customWidth="1"/>
    <col min="12560" max="12560" width="2.140625" style="1" customWidth="1"/>
    <col min="12561" max="12561" width="14.5703125" style="1" customWidth="1"/>
    <col min="12562" max="12564" width="10.42578125" style="1" customWidth="1"/>
    <col min="12565" max="12593" width="2.85546875" style="1" customWidth="1"/>
    <col min="12594" max="12788" width="10.28515625" style="1"/>
    <col min="12789" max="12789" width="14" style="1" customWidth="1"/>
    <col min="12790" max="12801" width="0" style="1" hidden="1" customWidth="1"/>
    <col min="12802" max="12810" width="11.5703125" style="1" customWidth="1"/>
    <col min="12811" max="12813" width="0" style="1" hidden="1" customWidth="1"/>
    <col min="12814" max="12814" width="10.140625" style="1" customWidth="1"/>
    <col min="12815" max="12815" width="8.85546875" style="1" customWidth="1"/>
    <col min="12816" max="12816" width="2.140625" style="1" customWidth="1"/>
    <col min="12817" max="12817" width="14.5703125" style="1" customWidth="1"/>
    <col min="12818" max="12820" width="10.42578125" style="1" customWidth="1"/>
    <col min="12821" max="12849" width="2.85546875" style="1" customWidth="1"/>
    <col min="12850" max="13044" width="10.28515625" style="1"/>
    <col min="13045" max="13045" width="14" style="1" customWidth="1"/>
    <col min="13046" max="13057" width="0" style="1" hidden="1" customWidth="1"/>
    <col min="13058" max="13066" width="11.5703125" style="1" customWidth="1"/>
    <col min="13067" max="13069" width="0" style="1" hidden="1" customWidth="1"/>
    <col min="13070" max="13070" width="10.140625" style="1" customWidth="1"/>
    <col min="13071" max="13071" width="8.85546875" style="1" customWidth="1"/>
    <col min="13072" max="13072" width="2.140625" style="1" customWidth="1"/>
    <col min="13073" max="13073" width="14.5703125" style="1" customWidth="1"/>
    <col min="13074" max="13076" width="10.42578125" style="1" customWidth="1"/>
    <col min="13077" max="13105" width="2.85546875" style="1" customWidth="1"/>
    <col min="13106" max="13300" width="10.28515625" style="1"/>
    <col min="13301" max="13301" width="14" style="1" customWidth="1"/>
    <col min="13302" max="13313" width="0" style="1" hidden="1" customWidth="1"/>
    <col min="13314" max="13322" width="11.5703125" style="1" customWidth="1"/>
    <col min="13323" max="13325" width="0" style="1" hidden="1" customWidth="1"/>
    <col min="13326" max="13326" width="10.140625" style="1" customWidth="1"/>
    <col min="13327" max="13327" width="8.85546875" style="1" customWidth="1"/>
    <col min="13328" max="13328" width="2.140625" style="1" customWidth="1"/>
    <col min="13329" max="13329" width="14.5703125" style="1" customWidth="1"/>
    <col min="13330" max="13332" width="10.42578125" style="1" customWidth="1"/>
    <col min="13333" max="13361" width="2.85546875" style="1" customWidth="1"/>
    <col min="13362" max="13556" width="10.28515625" style="1"/>
    <col min="13557" max="13557" width="14" style="1" customWidth="1"/>
    <col min="13558" max="13569" width="0" style="1" hidden="1" customWidth="1"/>
    <col min="13570" max="13578" width="11.5703125" style="1" customWidth="1"/>
    <col min="13579" max="13581" width="0" style="1" hidden="1" customWidth="1"/>
    <col min="13582" max="13582" width="10.140625" style="1" customWidth="1"/>
    <col min="13583" max="13583" width="8.85546875" style="1" customWidth="1"/>
    <col min="13584" max="13584" width="2.140625" style="1" customWidth="1"/>
    <col min="13585" max="13585" width="14.5703125" style="1" customWidth="1"/>
    <col min="13586" max="13588" width="10.42578125" style="1" customWidth="1"/>
    <col min="13589" max="13617" width="2.85546875" style="1" customWidth="1"/>
    <col min="13618" max="13812" width="10.28515625" style="1"/>
    <col min="13813" max="13813" width="14" style="1" customWidth="1"/>
    <col min="13814" max="13825" width="0" style="1" hidden="1" customWidth="1"/>
    <col min="13826" max="13834" width="11.5703125" style="1" customWidth="1"/>
    <col min="13835" max="13837" width="0" style="1" hidden="1" customWidth="1"/>
    <col min="13838" max="13838" width="10.140625" style="1" customWidth="1"/>
    <col min="13839" max="13839" width="8.85546875" style="1" customWidth="1"/>
    <col min="13840" max="13840" width="2.140625" style="1" customWidth="1"/>
    <col min="13841" max="13841" width="14.5703125" style="1" customWidth="1"/>
    <col min="13842" max="13844" width="10.42578125" style="1" customWidth="1"/>
    <col min="13845" max="13873" width="2.85546875" style="1" customWidth="1"/>
    <col min="13874" max="14068" width="10.28515625" style="1"/>
    <col min="14069" max="14069" width="14" style="1" customWidth="1"/>
    <col min="14070" max="14081" width="0" style="1" hidden="1" customWidth="1"/>
    <col min="14082" max="14090" width="11.5703125" style="1" customWidth="1"/>
    <col min="14091" max="14093" width="0" style="1" hidden="1" customWidth="1"/>
    <col min="14094" max="14094" width="10.140625" style="1" customWidth="1"/>
    <col min="14095" max="14095" width="8.85546875" style="1" customWidth="1"/>
    <col min="14096" max="14096" width="2.140625" style="1" customWidth="1"/>
    <col min="14097" max="14097" width="14.5703125" style="1" customWidth="1"/>
    <col min="14098" max="14100" width="10.42578125" style="1" customWidth="1"/>
    <col min="14101" max="14129" width="2.85546875" style="1" customWidth="1"/>
    <col min="14130" max="14324" width="10.28515625" style="1"/>
    <col min="14325" max="14325" width="14" style="1" customWidth="1"/>
    <col min="14326" max="14337" width="0" style="1" hidden="1" customWidth="1"/>
    <col min="14338" max="14346" width="11.5703125" style="1" customWidth="1"/>
    <col min="14347" max="14349" width="0" style="1" hidden="1" customWidth="1"/>
    <col min="14350" max="14350" width="10.140625" style="1" customWidth="1"/>
    <col min="14351" max="14351" width="8.85546875" style="1" customWidth="1"/>
    <col min="14352" max="14352" width="2.140625" style="1" customWidth="1"/>
    <col min="14353" max="14353" width="14.5703125" style="1" customWidth="1"/>
    <col min="14354" max="14356" width="10.42578125" style="1" customWidth="1"/>
    <col min="14357" max="14385" width="2.85546875" style="1" customWidth="1"/>
    <col min="14386" max="14580" width="10.28515625" style="1"/>
    <col min="14581" max="14581" width="14" style="1" customWidth="1"/>
    <col min="14582" max="14593" width="0" style="1" hidden="1" customWidth="1"/>
    <col min="14594" max="14602" width="11.5703125" style="1" customWidth="1"/>
    <col min="14603" max="14605" width="0" style="1" hidden="1" customWidth="1"/>
    <col min="14606" max="14606" width="10.140625" style="1" customWidth="1"/>
    <col min="14607" max="14607" width="8.85546875" style="1" customWidth="1"/>
    <col min="14608" max="14608" width="2.140625" style="1" customWidth="1"/>
    <col min="14609" max="14609" width="14.5703125" style="1" customWidth="1"/>
    <col min="14610" max="14612" width="10.42578125" style="1" customWidth="1"/>
    <col min="14613" max="14641" width="2.85546875" style="1" customWidth="1"/>
    <col min="14642" max="14836" width="10.28515625" style="1"/>
    <col min="14837" max="14837" width="14" style="1" customWidth="1"/>
    <col min="14838" max="14849" width="0" style="1" hidden="1" customWidth="1"/>
    <col min="14850" max="14858" width="11.5703125" style="1" customWidth="1"/>
    <col min="14859" max="14861" width="0" style="1" hidden="1" customWidth="1"/>
    <col min="14862" max="14862" width="10.140625" style="1" customWidth="1"/>
    <col min="14863" max="14863" width="8.85546875" style="1" customWidth="1"/>
    <col min="14864" max="14864" width="2.140625" style="1" customWidth="1"/>
    <col min="14865" max="14865" width="14.5703125" style="1" customWidth="1"/>
    <col min="14866" max="14868" width="10.42578125" style="1" customWidth="1"/>
    <col min="14869" max="14897" width="2.85546875" style="1" customWidth="1"/>
    <col min="14898" max="15092" width="10.28515625" style="1"/>
    <col min="15093" max="15093" width="14" style="1" customWidth="1"/>
    <col min="15094" max="15105" width="0" style="1" hidden="1" customWidth="1"/>
    <col min="15106" max="15114" width="11.5703125" style="1" customWidth="1"/>
    <col min="15115" max="15117" width="0" style="1" hidden="1" customWidth="1"/>
    <col min="15118" max="15118" width="10.140625" style="1" customWidth="1"/>
    <col min="15119" max="15119" width="8.85546875" style="1" customWidth="1"/>
    <col min="15120" max="15120" width="2.140625" style="1" customWidth="1"/>
    <col min="15121" max="15121" width="14.5703125" style="1" customWidth="1"/>
    <col min="15122" max="15124" width="10.42578125" style="1" customWidth="1"/>
    <col min="15125" max="15153" width="2.85546875" style="1" customWidth="1"/>
    <col min="15154" max="15348" width="10.28515625" style="1"/>
    <col min="15349" max="15349" width="14" style="1" customWidth="1"/>
    <col min="15350" max="15361" width="0" style="1" hidden="1" customWidth="1"/>
    <col min="15362" max="15370" width="11.5703125" style="1" customWidth="1"/>
    <col min="15371" max="15373" width="0" style="1" hidden="1" customWidth="1"/>
    <col min="15374" max="15374" width="10.140625" style="1" customWidth="1"/>
    <col min="15375" max="15375" width="8.85546875" style="1" customWidth="1"/>
    <col min="15376" max="15376" width="2.140625" style="1" customWidth="1"/>
    <col min="15377" max="15377" width="14.5703125" style="1" customWidth="1"/>
    <col min="15378" max="15380" width="10.42578125" style="1" customWidth="1"/>
    <col min="15381" max="15409" width="2.85546875" style="1" customWidth="1"/>
    <col min="15410" max="15604" width="10.28515625" style="1"/>
    <col min="15605" max="15605" width="14" style="1" customWidth="1"/>
    <col min="15606" max="15617" width="0" style="1" hidden="1" customWidth="1"/>
    <col min="15618" max="15626" width="11.5703125" style="1" customWidth="1"/>
    <col min="15627" max="15629" width="0" style="1" hidden="1" customWidth="1"/>
    <col min="15630" max="15630" width="10.140625" style="1" customWidth="1"/>
    <col min="15631" max="15631" width="8.85546875" style="1" customWidth="1"/>
    <col min="15632" max="15632" width="2.140625" style="1" customWidth="1"/>
    <col min="15633" max="15633" width="14.5703125" style="1" customWidth="1"/>
    <col min="15634" max="15636" width="10.42578125" style="1" customWidth="1"/>
    <col min="15637" max="15665" width="2.85546875" style="1" customWidth="1"/>
    <col min="15666" max="15860" width="10.28515625" style="1"/>
    <col min="15861" max="15861" width="14" style="1" customWidth="1"/>
    <col min="15862" max="15873" width="0" style="1" hidden="1" customWidth="1"/>
    <col min="15874" max="15882" width="11.5703125" style="1" customWidth="1"/>
    <col min="15883" max="15885" width="0" style="1" hidden="1" customWidth="1"/>
    <col min="15886" max="15886" width="10.140625" style="1" customWidth="1"/>
    <col min="15887" max="15887" width="8.85546875" style="1" customWidth="1"/>
    <col min="15888" max="15888" width="2.140625" style="1" customWidth="1"/>
    <col min="15889" max="15889" width="14.5703125" style="1" customWidth="1"/>
    <col min="15890" max="15892" width="10.42578125" style="1" customWidth="1"/>
    <col min="15893" max="15921" width="2.85546875" style="1" customWidth="1"/>
    <col min="15922" max="16116" width="10.28515625" style="1"/>
    <col min="16117" max="16117" width="14" style="1" customWidth="1"/>
    <col min="16118" max="16129" width="0" style="1" hidden="1" customWidth="1"/>
    <col min="16130" max="16138" width="11.5703125" style="1" customWidth="1"/>
    <col min="16139" max="16141" width="0" style="1" hidden="1" customWidth="1"/>
    <col min="16142" max="16142" width="10.140625" style="1" customWidth="1"/>
    <col min="16143" max="16143" width="8.85546875" style="1" customWidth="1"/>
    <col min="16144" max="16144" width="2.140625" style="1" customWidth="1"/>
    <col min="16145" max="16145" width="14.5703125" style="1" customWidth="1"/>
    <col min="16146" max="16148" width="10.42578125" style="1" customWidth="1"/>
    <col min="16149" max="16177" width="2.85546875" style="1" customWidth="1"/>
    <col min="16178" max="16384" width="10.28515625" style="1"/>
  </cols>
  <sheetData>
    <row r="1" spans="1:57" ht="20.25" customHeight="1">
      <c r="A1" s="74" t="s">
        <v>47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57" ht="18" customHeight="1">
      <c r="A2" s="75" t="s">
        <v>48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57" s="6" customFormat="1" ht="15.75" customHeight="1">
      <c r="A3" s="4"/>
      <c r="B3" s="76">
        <v>2017</v>
      </c>
      <c r="C3" s="77"/>
      <c r="D3" s="77"/>
      <c r="E3" s="76">
        <v>2018</v>
      </c>
      <c r="F3" s="77"/>
      <c r="G3" s="77"/>
      <c r="H3" s="76">
        <v>2019</v>
      </c>
      <c r="I3" s="77"/>
      <c r="J3" s="77"/>
      <c r="K3" s="76" t="s">
        <v>49</v>
      </c>
      <c r="L3" s="77"/>
      <c r="M3" s="77"/>
      <c r="N3" s="5"/>
      <c r="O3" s="70" t="s">
        <v>2</v>
      </c>
      <c r="BA3" s="7"/>
      <c r="BB3" s="8"/>
      <c r="BC3" s="7"/>
      <c r="BD3" s="7"/>
      <c r="BE3" s="7"/>
    </row>
    <row r="4" spans="1:57" s="62" customFormat="1" ht="21.75" customHeight="1">
      <c r="A4" s="58"/>
      <c r="B4" s="59" t="s">
        <v>3</v>
      </c>
      <c r="C4" s="60" t="s">
        <v>4</v>
      </c>
      <c r="D4" s="60" t="s">
        <v>5</v>
      </c>
      <c r="E4" s="59" t="s">
        <v>3</v>
      </c>
      <c r="F4" s="60" t="s">
        <v>4</v>
      </c>
      <c r="G4" s="60" t="s">
        <v>5</v>
      </c>
      <c r="H4" s="59" t="s">
        <v>3</v>
      </c>
      <c r="I4" s="60" t="s">
        <v>4</v>
      </c>
      <c r="J4" s="60" t="s">
        <v>5</v>
      </c>
      <c r="K4" s="59" t="s">
        <v>3</v>
      </c>
      <c r="L4" s="60" t="s">
        <v>4</v>
      </c>
      <c r="M4" s="60" t="s">
        <v>5</v>
      </c>
      <c r="N4" s="61"/>
      <c r="O4" s="71"/>
      <c r="BA4" s="63"/>
      <c r="BB4" s="64"/>
      <c r="BC4" s="63"/>
      <c r="BD4" s="63"/>
      <c r="BE4" s="63"/>
    </row>
    <row r="5" spans="1:57" ht="25.5" customHeight="1">
      <c r="A5" s="9" t="s">
        <v>6</v>
      </c>
      <c r="B5" s="10" t="s">
        <v>7</v>
      </c>
      <c r="C5" s="11" t="s">
        <v>8</v>
      </c>
      <c r="D5" s="12" t="s">
        <v>9</v>
      </c>
      <c r="E5" s="10" t="s">
        <v>7</v>
      </c>
      <c r="F5" s="11" t="s">
        <v>8</v>
      </c>
      <c r="G5" s="12" t="s">
        <v>9</v>
      </c>
      <c r="H5" s="10" t="s">
        <v>7</v>
      </c>
      <c r="I5" s="11" t="s">
        <v>8</v>
      </c>
      <c r="J5" s="12" t="s">
        <v>9</v>
      </c>
      <c r="K5" s="10" t="s">
        <v>7</v>
      </c>
      <c r="L5" s="11" t="s">
        <v>8</v>
      </c>
      <c r="M5" s="12" t="s">
        <v>9</v>
      </c>
      <c r="N5" s="12"/>
      <c r="O5" s="72"/>
    </row>
    <row r="6" spans="1:57" ht="18.75" customHeight="1">
      <c r="A6" s="13" t="s">
        <v>1</v>
      </c>
      <c r="B6" s="14">
        <f t="shared" ref="B6:M6" si="0">SUM(B7:B18)</f>
        <v>6723</v>
      </c>
      <c r="C6" s="15">
        <f t="shared" si="0"/>
        <v>1241</v>
      </c>
      <c r="D6" s="15">
        <f t="shared" si="0"/>
        <v>5482</v>
      </c>
      <c r="E6" s="14">
        <f t="shared" si="0"/>
        <v>6564</v>
      </c>
      <c r="F6" s="15">
        <f t="shared" si="0"/>
        <v>1216</v>
      </c>
      <c r="G6" s="15">
        <f t="shared" si="0"/>
        <v>5348</v>
      </c>
      <c r="H6" s="14">
        <f t="shared" si="0"/>
        <v>6127</v>
      </c>
      <c r="I6" s="15">
        <f t="shared" si="0"/>
        <v>1041</v>
      </c>
      <c r="J6" s="15">
        <f t="shared" si="0"/>
        <v>5086</v>
      </c>
      <c r="K6" s="14">
        <f t="shared" si="0"/>
        <v>6293</v>
      </c>
      <c r="L6" s="15">
        <f t="shared" si="0"/>
        <v>1275</v>
      </c>
      <c r="M6" s="15">
        <f t="shared" si="0"/>
        <v>5018</v>
      </c>
      <c r="N6" s="16"/>
      <c r="O6" s="17" t="s">
        <v>10</v>
      </c>
    </row>
    <row r="7" spans="1:57" ht="18.75" customHeight="1">
      <c r="A7" s="18" t="s">
        <v>11</v>
      </c>
      <c r="B7" s="19">
        <v>550</v>
      </c>
      <c r="C7" s="20">
        <v>97</v>
      </c>
      <c r="D7" s="20">
        <f t="shared" ref="D7:D18" si="1">B7-C7</f>
        <v>453</v>
      </c>
      <c r="E7" s="19">
        <v>541</v>
      </c>
      <c r="F7" s="20">
        <v>114</v>
      </c>
      <c r="G7" s="20">
        <f t="shared" ref="G7:G18" si="2">E7-F7</f>
        <v>427</v>
      </c>
      <c r="H7" s="19">
        <v>526</v>
      </c>
      <c r="I7" s="20">
        <v>110</v>
      </c>
      <c r="J7" s="20">
        <f t="shared" ref="J7:J18" si="3">H7-I7</f>
        <v>416</v>
      </c>
      <c r="K7" s="19">
        <v>540</v>
      </c>
      <c r="L7" s="20">
        <v>114</v>
      </c>
      <c r="M7" s="20">
        <f t="shared" ref="M7:M18" si="4">K7-L7</f>
        <v>426</v>
      </c>
      <c r="N7" s="20"/>
      <c r="O7" s="21" t="s">
        <v>12</v>
      </c>
    </row>
    <row r="8" spans="1:57" ht="18.75" customHeight="1">
      <c r="A8" s="18" t="s">
        <v>13</v>
      </c>
      <c r="B8" s="19">
        <v>511</v>
      </c>
      <c r="C8" s="20">
        <v>104</v>
      </c>
      <c r="D8" s="20">
        <f t="shared" si="1"/>
        <v>407</v>
      </c>
      <c r="E8" s="19">
        <v>535</v>
      </c>
      <c r="F8" s="20">
        <v>98</v>
      </c>
      <c r="G8" s="20">
        <f t="shared" si="2"/>
        <v>437</v>
      </c>
      <c r="H8" s="19">
        <v>449</v>
      </c>
      <c r="I8" s="20">
        <v>78</v>
      </c>
      <c r="J8" s="20">
        <f t="shared" si="3"/>
        <v>371</v>
      </c>
      <c r="K8" s="19">
        <v>548</v>
      </c>
      <c r="L8" s="20">
        <v>96</v>
      </c>
      <c r="M8" s="20">
        <f t="shared" si="4"/>
        <v>452</v>
      </c>
      <c r="N8" s="20"/>
      <c r="O8" s="21" t="s">
        <v>14</v>
      </c>
    </row>
    <row r="9" spans="1:57" ht="18.75" customHeight="1">
      <c r="A9" s="18" t="s">
        <v>15</v>
      </c>
      <c r="B9" s="19">
        <v>598</v>
      </c>
      <c r="C9" s="20">
        <v>134</v>
      </c>
      <c r="D9" s="20">
        <f t="shared" si="1"/>
        <v>464</v>
      </c>
      <c r="E9" s="19">
        <v>577</v>
      </c>
      <c r="F9" s="20">
        <v>117</v>
      </c>
      <c r="G9" s="20">
        <f t="shared" si="2"/>
        <v>460</v>
      </c>
      <c r="H9" s="19">
        <v>539</v>
      </c>
      <c r="I9" s="20">
        <v>101</v>
      </c>
      <c r="J9" s="20">
        <f t="shared" si="3"/>
        <v>438</v>
      </c>
      <c r="K9" s="19">
        <v>485</v>
      </c>
      <c r="L9" s="20">
        <v>109</v>
      </c>
      <c r="M9" s="20">
        <f t="shared" si="4"/>
        <v>376</v>
      </c>
      <c r="N9" s="20"/>
      <c r="O9" s="21" t="s">
        <v>16</v>
      </c>
    </row>
    <row r="10" spans="1:57" ht="18.75" customHeight="1">
      <c r="A10" s="18" t="s">
        <v>17</v>
      </c>
      <c r="B10" s="19">
        <v>573</v>
      </c>
      <c r="C10" s="20">
        <v>109</v>
      </c>
      <c r="D10" s="20">
        <f t="shared" si="1"/>
        <v>464</v>
      </c>
      <c r="E10" s="19">
        <v>521</v>
      </c>
      <c r="F10" s="20">
        <v>99</v>
      </c>
      <c r="G10" s="20">
        <f t="shared" si="2"/>
        <v>422</v>
      </c>
      <c r="H10" s="19">
        <v>477</v>
      </c>
      <c r="I10" s="20">
        <v>87</v>
      </c>
      <c r="J10" s="20">
        <f t="shared" si="3"/>
        <v>390</v>
      </c>
      <c r="K10" s="19">
        <v>541</v>
      </c>
      <c r="L10" s="20">
        <v>91</v>
      </c>
      <c r="M10" s="20">
        <f t="shared" si="4"/>
        <v>450</v>
      </c>
      <c r="N10" s="20"/>
      <c r="O10" s="21" t="s">
        <v>18</v>
      </c>
    </row>
    <row r="11" spans="1:57" ht="18.75" customHeight="1">
      <c r="A11" s="18" t="s">
        <v>20</v>
      </c>
      <c r="B11" s="19">
        <v>582</v>
      </c>
      <c r="C11" s="20">
        <v>94</v>
      </c>
      <c r="D11" s="20">
        <f t="shared" si="1"/>
        <v>488</v>
      </c>
      <c r="E11" s="19">
        <v>608</v>
      </c>
      <c r="F11" s="20">
        <v>113</v>
      </c>
      <c r="G11" s="20">
        <f t="shared" si="2"/>
        <v>495</v>
      </c>
      <c r="H11" s="19">
        <v>604</v>
      </c>
      <c r="I11" s="20">
        <v>89</v>
      </c>
      <c r="J11" s="20">
        <f t="shared" si="3"/>
        <v>515</v>
      </c>
      <c r="K11" s="19">
        <v>492</v>
      </c>
      <c r="L11" s="20">
        <v>109</v>
      </c>
      <c r="M11" s="20">
        <f t="shared" si="4"/>
        <v>383</v>
      </c>
      <c r="N11" s="20"/>
      <c r="O11" s="21" t="s">
        <v>21</v>
      </c>
    </row>
    <row r="12" spans="1:57" ht="18.75" customHeight="1">
      <c r="A12" s="18" t="s">
        <v>23</v>
      </c>
      <c r="B12" s="19">
        <v>581</v>
      </c>
      <c r="C12" s="20">
        <v>103</v>
      </c>
      <c r="D12" s="20">
        <f t="shared" si="1"/>
        <v>478</v>
      </c>
      <c r="E12" s="19">
        <v>489</v>
      </c>
      <c r="F12" s="20">
        <v>89</v>
      </c>
      <c r="G12" s="20">
        <f t="shared" si="2"/>
        <v>400</v>
      </c>
      <c r="H12" s="19">
        <v>499</v>
      </c>
      <c r="I12" s="20">
        <v>80</v>
      </c>
      <c r="J12" s="20">
        <f t="shared" si="3"/>
        <v>419</v>
      </c>
      <c r="K12" s="19">
        <v>462</v>
      </c>
      <c r="L12" s="20">
        <v>91</v>
      </c>
      <c r="M12" s="20">
        <f t="shared" si="4"/>
        <v>371</v>
      </c>
      <c r="N12" s="20"/>
      <c r="O12" s="21" t="s">
        <v>24</v>
      </c>
    </row>
    <row r="13" spans="1:57" ht="18.75" customHeight="1">
      <c r="A13" s="18" t="s">
        <v>26</v>
      </c>
      <c r="B13" s="19">
        <v>547</v>
      </c>
      <c r="C13" s="20">
        <v>105</v>
      </c>
      <c r="D13" s="20">
        <f t="shared" si="1"/>
        <v>442</v>
      </c>
      <c r="E13" s="19">
        <v>528</v>
      </c>
      <c r="F13" s="20">
        <v>100</v>
      </c>
      <c r="G13" s="20">
        <f t="shared" si="2"/>
        <v>428</v>
      </c>
      <c r="H13" s="19">
        <v>491</v>
      </c>
      <c r="I13" s="20">
        <v>98</v>
      </c>
      <c r="J13" s="20">
        <f t="shared" si="3"/>
        <v>393</v>
      </c>
      <c r="K13" s="19">
        <v>522</v>
      </c>
      <c r="L13" s="20">
        <v>115</v>
      </c>
      <c r="M13" s="20">
        <f t="shared" si="4"/>
        <v>407</v>
      </c>
      <c r="N13" s="20"/>
      <c r="O13" s="21" t="s">
        <v>27</v>
      </c>
    </row>
    <row r="14" spans="1:57" ht="18.75" customHeight="1">
      <c r="A14" s="18" t="s">
        <v>29</v>
      </c>
      <c r="B14" s="19">
        <v>623</v>
      </c>
      <c r="C14" s="20">
        <v>88</v>
      </c>
      <c r="D14" s="20">
        <f t="shared" si="1"/>
        <v>535</v>
      </c>
      <c r="E14" s="19">
        <v>574</v>
      </c>
      <c r="F14" s="20">
        <v>91</v>
      </c>
      <c r="G14" s="20">
        <f t="shared" si="2"/>
        <v>483</v>
      </c>
      <c r="H14" s="19">
        <v>511</v>
      </c>
      <c r="I14" s="20">
        <v>85</v>
      </c>
      <c r="J14" s="20">
        <f t="shared" si="3"/>
        <v>426</v>
      </c>
      <c r="K14" s="19">
        <v>508</v>
      </c>
      <c r="L14" s="20">
        <v>129</v>
      </c>
      <c r="M14" s="20">
        <f t="shared" si="4"/>
        <v>379</v>
      </c>
      <c r="N14" s="20"/>
      <c r="O14" s="21" t="s">
        <v>30</v>
      </c>
    </row>
    <row r="15" spans="1:57" ht="18.75" customHeight="1">
      <c r="A15" s="18" t="s">
        <v>31</v>
      </c>
      <c r="B15" s="19">
        <v>559</v>
      </c>
      <c r="C15" s="20">
        <v>90</v>
      </c>
      <c r="D15" s="20">
        <f t="shared" si="1"/>
        <v>469</v>
      </c>
      <c r="E15" s="19">
        <v>554</v>
      </c>
      <c r="F15" s="20">
        <v>93</v>
      </c>
      <c r="G15" s="20">
        <f t="shared" si="2"/>
        <v>461</v>
      </c>
      <c r="H15" s="19">
        <v>513</v>
      </c>
      <c r="I15" s="20">
        <v>78</v>
      </c>
      <c r="J15" s="20">
        <f t="shared" si="3"/>
        <v>435</v>
      </c>
      <c r="K15" s="19">
        <v>573</v>
      </c>
      <c r="L15" s="20">
        <v>112</v>
      </c>
      <c r="M15" s="20">
        <f t="shared" si="4"/>
        <v>461</v>
      </c>
      <c r="N15" s="20"/>
      <c r="O15" s="21" t="s">
        <v>32</v>
      </c>
    </row>
    <row r="16" spans="1:57" ht="18.75" customHeight="1">
      <c r="A16" s="18" t="s">
        <v>0</v>
      </c>
      <c r="B16" s="19">
        <v>570</v>
      </c>
      <c r="C16" s="20">
        <v>106</v>
      </c>
      <c r="D16" s="20">
        <f t="shared" si="1"/>
        <v>464</v>
      </c>
      <c r="E16" s="19">
        <v>577</v>
      </c>
      <c r="F16" s="20">
        <v>100</v>
      </c>
      <c r="G16" s="20">
        <f t="shared" si="2"/>
        <v>477</v>
      </c>
      <c r="H16" s="19">
        <v>525</v>
      </c>
      <c r="I16" s="20">
        <v>91</v>
      </c>
      <c r="J16" s="20">
        <f t="shared" si="3"/>
        <v>434</v>
      </c>
      <c r="K16" s="19">
        <v>514</v>
      </c>
      <c r="L16" s="20">
        <v>103</v>
      </c>
      <c r="M16" s="20">
        <f t="shared" si="4"/>
        <v>411</v>
      </c>
      <c r="N16" s="20"/>
      <c r="O16" s="21" t="s">
        <v>34</v>
      </c>
      <c r="BA16" s="1"/>
      <c r="BB16" s="1"/>
      <c r="BC16" s="1"/>
      <c r="BD16" s="1"/>
      <c r="BE16" s="1"/>
    </row>
    <row r="17" spans="1:65" ht="18.75" customHeight="1">
      <c r="A17" s="18" t="s">
        <v>36</v>
      </c>
      <c r="B17" s="19">
        <v>520</v>
      </c>
      <c r="C17" s="20">
        <v>94</v>
      </c>
      <c r="D17" s="20">
        <f t="shared" si="1"/>
        <v>426</v>
      </c>
      <c r="E17" s="19">
        <v>520</v>
      </c>
      <c r="F17" s="20">
        <v>90</v>
      </c>
      <c r="G17" s="20">
        <f t="shared" si="2"/>
        <v>430</v>
      </c>
      <c r="H17" s="19">
        <v>474</v>
      </c>
      <c r="I17" s="20">
        <v>86</v>
      </c>
      <c r="J17" s="20">
        <f t="shared" si="3"/>
        <v>388</v>
      </c>
      <c r="K17" s="19">
        <v>540</v>
      </c>
      <c r="L17" s="20">
        <v>110</v>
      </c>
      <c r="M17" s="20">
        <f t="shared" si="4"/>
        <v>430</v>
      </c>
      <c r="N17" s="20"/>
      <c r="O17" s="21" t="s">
        <v>37</v>
      </c>
    </row>
    <row r="18" spans="1:65" ht="18.75" customHeight="1">
      <c r="A18" s="27" t="s">
        <v>39</v>
      </c>
      <c r="B18" s="28">
        <v>509</v>
      </c>
      <c r="C18" s="29">
        <v>117</v>
      </c>
      <c r="D18" s="29">
        <f t="shared" si="1"/>
        <v>392</v>
      </c>
      <c r="E18" s="28">
        <v>540</v>
      </c>
      <c r="F18" s="29">
        <v>112</v>
      </c>
      <c r="G18" s="29">
        <f t="shared" si="2"/>
        <v>428</v>
      </c>
      <c r="H18" s="28">
        <v>519</v>
      </c>
      <c r="I18" s="29">
        <v>58</v>
      </c>
      <c r="J18" s="29">
        <f t="shared" si="3"/>
        <v>461</v>
      </c>
      <c r="K18" s="28">
        <v>568</v>
      </c>
      <c r="L18" s="29">
        <v>96</v>
      </c>
      <c r="M18" s="29">
        <f t="shared" si="4"/>
        <v>472</v>
      </c>
      <c r="N18" s="29"/>
      <c r="O18" s="30" t="s">
        <v>40</v>
      </c>
      <c r="P18" s="68"/>
      <c r="BA18" s="1"/>
      <c r="BB18" s="1"/>
      <c r="BC18" s="1"/>
      <c r="BD18" s="1"/>
      <c r="BE18" s="1"/>
    </row>
    <row r="19" spans="1:65" ht="21.75" customHeight="1">
      <c r="A19" s="66" t="s">
        <v>50</v>
      </c>
      <c r="B19" s="20"/>
      <c r="C19" s="20"/>
      <c r="D19" s="20"/>
      <c r="E19" s="20"/>
      <c r="F19" s="20"/>
      <c r="G19" s="20"/>
      <c r="H19" s="67"/>
      <c r="I19" s="67"/>
      <c r="J19" s="67"/>
      <c r="K19" s="67"/>
      <c r="L19" s="67"/>
      <c r="M19" s="67"/>
      <c r="N19" s="20"/>
      <c r="O19" s="1"/>
      <c r="P19" s="65" t="s">
        <v>51</v>
      </c>
      <c r="BA19" s="1"/>
      <c r="BB19" s="1"/>
      <c r="BC19" s="1"/>
      <c r="BD19" s="1"/>
      <c r="BE19" s="1"/>
    </row>
    <row r="20" spans="1:65" ht="21.75" customHeight="1">
      <c r="A20" s="78" t="s">
        <v>52</v>
      </c>
      <c r="B20" s="20"/>
      <c r="C20" s="20"/>
      <c r="D20" s="20"/>
      <c r="E20" s="20"/>
      <c r="F20" s="20"/>
      <c r="G20" s="20"/>
      <c r="H20" s="67"/>
      <c r="I20" s="67"/>
      <c r="J20" s="67"/>
      <c r="K20" s="67"/>
      <c r="L20" s="67"/>
      <c r="M20" s="67"/>
      <c r="N20" s="20"/>
      <c r="O20" s="65" t="s">
        <v>53</v>
      </c>
      <c r="P20" s="69"/>
      <c r="BA20" s="1"/>
      <c r="BB20" s="1"/>
      <c r="BC20" s="1"/>
      <c r="BD20" s="1"/>
      <c r="BE20" s="1"/>
    </row>
    <row r="21" spans="1:65" s="35" customFormat="1" ht="17.25" customHeight="1">
      <c r="A21" s="79" t="s">
        <v>54</v>
      </c>
      <c r="B21" s="31"/>
      <c r="C21" s="31"/>
      <c r="D21" s="31"/>
      <c r="E21" s="31"/>
      <c r="F21" s="31"/>
      <c r="G21" s="31"/>
      <c r="H21" s="31"/>
      <c r="I21" s="33"/>
      <c r="J21" s="33"/>
      <c r="K21" s="31"/>
      <c r="L21" s="33"/>
      <c r="M21" s="33"/>
      <c r="N21" s="33"/>
      <c r="O21" s="65" t="s">
        <v>55</v>
      </c>
      <c r="R21" s="1"/>
      <c r="S21" s="1"/>
      <c r="T21" s="1"/>
    </row>
    <row r="22" spans="1:65" ht="21">
      <c r="A22" s="32" t="s">
        <v>43</v>
      </c>
      <c r="O22" s="34" t="s">
        <v>46</v>
      </c>
      <c r="P22" s="38"/>
      <c r="Q22" s="38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40"/>
      <c r="BA22" s="1"/>
      <c r="BB22" s="1"/>
      <c r="BC22" s="1"/>
      <c r="BD22" s="1"/>
      <c r="BE22" s="1"/>
    </row>
    <row r="23" spans="1:65">
      <c r="P23" s="38"/>
      <c r="Q23" s="38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40"/>
      <c r="BA23" s="1"/>
      <c r="BB23" s="1"/>
      <c r="BC23" s="1"/>
      <c r="BD23" s="1"/>
      <c r="BE23" s="1"/>
    </row>
    <row r="24" spans="1:65">
      <c r="P24" s="38"/>
      <c r="Q24" s="38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40"/>
    </row>
    <row r="25" spans="1:65">
      <c r="P25" s="38"/>
      <c r="Q25" s="38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40"/>
    </row>
    <row r="26" spans="1:65">
      <c r="P26" s="38"/>
      <c r="Q26" s="38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40"/>
    </row>
    <row r="27" spans="1:65"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</row>
    <row r="29" spans="1:65" ht="12">
      <c r="O29" s="1"/>
    </row>
    <row r="30" spans="1:65" ht="12">
      <c r="A30" s="41"/>
      <c r="O30" s="1"/>
      <c r="BB30" s="22" t="s">
        <v>8</v>
      </c>
    </row>
    <row r="31" spans="1:65" ht="12">
      <c r="O31" s="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2"/>
      <c r="AY31" s="42"/>
      <c r="AZ31" s="42"/>
      <c r="BA31" s="43"/>
    </row>
    <row r="32" spans="1:65" ht="12">
      <c r="A32" s="44"/>
      <c r="O32" s="1"/>
      <c r="BI32" s="2"/>
      <c r="BJ32" s="22" t="s">
        <v>7</v>
      </c>
      <c r="BK32" s="2"/>
      <c r="BL32" s="2"/>
      <c r="BM32" s="2"/>
    </row>
    <row r="33" spans="1:68" s="44" customFormat="1" ht="12">
      <c r="A33" s="45"/>
      <c r="BA33" s="46"/>
      <c r="BB33" s="23"/>
      <c r="BC33" s="23">
        <v>2015</v>
      </c>
      <c r="BD33" s="23">
        <v>2016</v>
      </c>
      <c r="BE33" s="24">
        <v>2017</v>
      </c>
      <c r="BF33" s="23">
        <v>2018</v>
      </c>
      <c r="BG33" s="24">
        <v>2019</v>
      </c>
      <c r="BH33" s="23">
        <v>2020</v>
      </c>
      <c r="BI33" s="2"/>
      <c r="BJ33" s="23"/>
      <c r="BK33" s="23">
        <v>2015</v>
      </c>
      <c r="BL33" s="23">
        <v>2016</v>
      </c>
      <c r="BM33" s="24">
        <v>2017</v>
      </c>
      <c r="BN33" s="23">
        <v>2018</v>
      </c>
      <c r="BO33" s="24">
        <v>2019</v>
      </c>
      <c r="BP33" s="23">
        <v>2020</v>
      </c>
    </row>
    <row r="34" spans="1:68" ht="15">
      <c r="A34" s="45"/>
      <c r="O34" s="1"/>
      <c r="BB34" s="25" t="s">
        <v>19</v>
      </c>
      <c r="BC34" s="26">
        <v>94</v>
      </c>
      <c r="BD34" s="23">
        <v>122</v>
      </c>
      <c r="BE34" s="23">
        <v>97</v>
      </c>
      <c r="BF34" s="20">
        <v>114</v>
      </c>
      <c r="BG34" s="20">
        <v>110</v>
      </c>
      <c r="BH34" s="1">
        <v>114</v>
      </c>
      <c r="BI34" s="2"/>
      <c r="BJ34" s="25" t="s">
        <v>19</v>
      </c>
      <c r="BK34" s="26">
        <v>517</v>
      </c>
      <c r="BL34" s="23">
        <v>560</v>
      </c>
      <c r="BM34" s="23">
        <v>550</v>
      </c>
      <c r="BN34" s="19">
        <v>541</v>
      </c>
      <c r="BO34" s="19">
        <v>526</v>
      </c>
      <c r="BP34" s="1">
        <v>540</v>
      </c>
    </row>
    <row r="35" spans="1:68" ht="15">
      <c r="A35" s="45"/>
      <c r="O35" s="1"/>
      <c r="BB35" s="25" t="s">
        <v>22</v>
      </c>
      <c r="BC35" s="26">
        <v>91</v>
      </c>
      <c r="BD35" s="23">
        <v>121</v>
      </c>
      <c r="BE35" s="23">
        <v>104</v>
      </c>
      <c r="BF35" s="20">
        <v>98</v>
      </c>
      <c r="BG35" s="20">
        <v>78</v>
      </c>
      <c r="BH35" s="1">
        <v>96</v>
      </c>
      <c r="BI35" s="2"/>
      <c r="BJ35" s="25" t="s">
        <v>22</v>
      </c>
      <c r="BK35" s="26">
        <v>496</v>
      </c>
      <c r="BL35" s="23">
        <v>524</v>
      </c>
      <c r="BM35" s="23">
        <v>511</v>
      </c>
      <c r="BN35" s="19">
        <v>535</v>
      </c>
      <c r="BO35" s="19">
        <v>449</v>
      </c>
      <c r="BP35" s="1">
        <v>548</v>
      </c>
    </row>
    <row r="36" spans="1:68" s="40" customFormat="1" ht="8.25" customHeight="1">
      <c r="A36" s="47"/>
      <c r="BA36" s="48"/>
      <c r="BB36" s="25" t="s">
        <v>25</v>
      </c>
      <c r="BC36" s="26">
        <v>107</v>
      </c>
      <c r="BD36" s="23">
        <v>129</v>
      </c>
      <c r="BE36" s="23">
        <v>134</v>
      </c>
      <c r="BF36" s="20">
        <v>117</v>
      </c>
      <c r="BG36" s="20">
        <v>101</v>
      </c>
      <c r="BH36" s="1">
        <v>109</v>
      </c>
      <c r="BI36" s="2"/>
      <c r="BJ36" s="25" t="s">
        <v>25</v>
      </c>
      <c r="BK36" s="26">
        <v>538</v>
      </c>
      <c r="BL36" s="23">
        <v>582</v>
      </c>
      <c r="BM36" s="23">
        <v>598</v>
      </c>
      <c r="BN36" s="19">
        <v>577</v>
      </c>
      <c r="BO36" s="19">
        <v>539</v>
      </c>
      <c r="BP36" s="1">
        <v>485</v>
      </c>
    </row>
    <row r="37" spans="1:68" s="40" customFormat="1">
      <c r="A37" s="47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49"/>
      <c r="BA37" s="48"/>
      <c r="BB37" s="25" t="s">
        <v>28</v>
      </c>
      <c r="BC37" s="26">
        <v>114</v>
      </c>
      <c r="BD37" s="23">
        <v>97</v>
      </c>
      <c r="BE37" s="23">
        <v>109</v>
      </c>
      <c r="BF37" s="20">
        <v>99</v>
      </c>
      <c r="BG37" s="20">
        <v>87</v>
      </c>
      <c r="BH37" s="1">
        <v>91</v>
      </c>
      <c r="BI37" s="2"/>
      <c r="BJ37" s="25" t="s">
        <v>28</v>
      </c>
      <c r="BK37" s="26">
        <v>599</v>
      </c>
      <c r="BL37" s="23">
        <v>628</v>
      </c>
      <c r="BM37" s="23">
        <v>573</v>
      </c>
      <c r="BN37" s="19">
        <v>521</v>
      </c>
      <c r="BO37" s="19">
        <v>477</v>
      </c>
      <c r="BP37" s="1">
        <v>541</v>
      </c>
    </row>
    <row r="38" spans="1:68" s="40" customFormat="1">
      <c r="A38" s="47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49"/>
      <c r="BA38" s="48"/>
      <c r="BB38" s="25" t="s">
        <v>20</v>
      </c>
      <c r="BC38" s="26">
        <v>87</v>
      </c>
      <c r="BD38" s="23">
        <v>104</v>
      </c>
      <c r="BE38" s="23">
        <v>94</v>
      </c>
      <c r="BF38" s="20">
        <v>113</v>
      </c>
      <c r="BG38" s="20">
        <v>89</v>
      </c>
      <c r="BH38" s="1">
        <v>109</v>
      </c>
      <c r="BI38" s="2"/>
      <c r="BJ38" s="25" t="s">
        <v>20</v>
      </c>
      <c r="BK38" s="26">
        <v>635</v>
      </c>
      <c r="BL38" s="23">
        <v>585</v>
      </c>
      <c r="BM38" s="23">
        <v>582</v>
      </c>
      <c r="BN38" s="19">
        <v>608</v>
      </c>
      <c r="BO38" s="19">
        <v>604</v>
      </c>
      <c r="BP38" s="1">
        <v>492</v>
      </c>
    </row>
    <row r="39" spans="1:68" s="40" customFormat="1">
      <c r="A39" s="47"/>
      <c r="B39" s="52"/>
      <c r="C39" s="51"/>
      <c r="D39" s="51"/>
      <c r="E39" s="52"/>
      <c r="F39" s="51"/>
      <c r="G39" s="51"/>
      <c r="H39" s="52"/>
      <c r="I39" s="51"/>
      <c r="J39" s="51"/>
      <c r="K39" s="52"/>
      <c r="L39" s="51"/>
      <c r="M39" s="51"/>
      <c r="N39" s="52"/>
      <c r="O39" s="49"/>
      <c r="BA39" s="48"/>
      <c r="BB39" s="25" t="s">
        <v>33</v>
      </c>
      <c r="BC39" s="26">
        <v>88</v>
      </c>
      <c r="BD39" s="23">
        <v>98</v>
      </c>
      <c r="BE39" s="23">
        <v>103</v>
      </c>
      <c r="BF39" s="20">
        <v>89</v>
      </c>
      <c r="BG39" s="20">
        <v>80</v>
      </c>
      <c r="BH39" s="1">
        <v>91</v>
      </c>
      <c r="BI39" s="2"/>
      <c r="BJ39" s="25" t="s">
        <v>33</v>
      </c>
      <c r="BK39" s="26">
        <v>601</v>
      </c>
      <c r="BL39" s="23">
        <v>532</v>
      </c>
      <c r="BM39" s="23">
        <v>581</v>
      </c>
      <c r="BN39" s="19">
        <v>489</v>
      </c>
      <c r="BO39" s="19">
        <v>499</v>
      </c>
      <c r="BP39" s="1">
        <v>462</v>
      </c>
    </row>
    <row r="40" spans="1:68" s="40" customFormat="1">
      <c r="A40" s="47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49"/>
      <c r="BA40" s="48"/>
      <c r="BB40" s="25" t="s">
        <v>35</v>
      </c>
      <c r="BC40" s="26">
        <v>73</v>
      </c>
      <c r="BD40" s="23">
        <v>83</v>
      </c>
      <c r="BE40" s="23">
        <v>105</v>
      </c>
      <c r="BF40" s="20">
        <v>100</v>
      </c>
      <c r="BG40" s="20">
        <v>98</v>
      </c>
      <c r="BH40" s="1">
        <v>115</v>
      </c>
      <c r="BI40" s="2"/>
      <c r="BJ40" s="25" t="s">
        <v>35</v>
      </c>
      <c r="BK40" s="26">
        <v>574</v>
      </c>
      <c r="BL40" s="23">
        <v>518</v>
      </c>
      <c r="BM40" s="23">
        <v>547</v>
      </c>
      <c r="BN40" s="19">
        <v>528</v>
      </c>
      <c r="BO40" s="19">
        <v>491</v>
      </c>
      <c r="BP40" s="1">
        <v>522</v>
      </c>
    </row>
    <row r="41" spans="1:68" s="40" customFormat="1">
      <c r="A41" s="47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9"/>
      <c r="BA41" s="48"/>
      <c r="BB41" s="25" t="s">
        <v>38</v>
      </c>
      <c r="BC41" s="26">
        <v>91</v>
      </c>
      <c r="BD41" s="23">
        <v>109</v>
      </c>
      <c r="BE41" s="23">
        <v>88</v>
      </c>
      <c r="BF41" s="20">
        <v>91</v>
      </c>
      <c r="BG41" s="20">
        <v>85</v>
      </c>
      <c r="BH41" s="1">
        <v>129</v>
      </c>
      <c r="BI41" s="2"/>
      <c r="BJ41" s="25" t="s">
        <v>38</v>
      </c>
      <c r="BK41" s="26">
        <v>585</v>
      </c>
      <c r="BL41" s="23">
        <v>565</v>
      </c>
      <c r="BM41" s="23">
        <v>623</v>
      </c>
      <c r="BN41" s="19">
        <v>574</v>
      </c>
      <c r="BO41" s="19">
        <v>511</v>
      </c>
      <c r="BP41" s="1">
        <v>508</v>
      </c>
    </row>
    <row r="42" spans="1:68" s="40" customFormat="1">
      <c r="A42" s="47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49"/>
      <c r="BA42" s="48"/>
      <c r="BB42" s="25" t="s">
        <v>41</v>
      </c>
      <c r="BC42" s="26">
        <v>92</v>
      </c>
      <c r="BD42" s="23">
        <v>94</v>
      </c>
      <c r="BE42" s="23">
        <v>90</v>
      </c>
      <c r="BF42" s="20">
        <v>93</v>
      </c>
      <c r="BG42" s="20">
        <v>78</v>
      </c>
      <c r="BH42" s="1">
        <v>112</v>
      </c>
      <c r="BI42" s="2"/>
      <c r="BJ42" s="25" t="s">
        <v>41</v>
      </c>
      <c r="BK42" s="26">
        <v>647</v>
      </c>
      <c r="BL42" s="23">
        <v>543</v>
      </c>
      <c r="BM42" s="23">
        <v>559</v>
      </c>
      <c r="BN42" s="19">
        <v>554</v>
      </c>
      <c r="BO42" s="19">
        <v>513</v>
      </c>
      <c r="BP42" s="1">
        <v>573</v>
      </c>
    </row>
    <row r="43" spans="1:68" s="40" customFormat="1">
      <c r="A43" s="47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49"/>
      <c r="BA43" s="48"/>
      <c r="BB43" s="25" t="s">
        <v>42</v>
      </c>
      <c r="BC43" s="26">
        <v>97</v>
      </c>
      <c r="BD43" s="23">
        <v>80</v>
      </c>
      <c r="BE43" s="23">
        <v>106</v>
      </c>
      <c r="BF43" s="20">
        <v>100</v>
      </c>
      <c r="BG43" s="20">
        <v>91</v>
      </c>
      <c r="BH43" s="1">
        <v>103</v>
      </c>
      <c r="BI43" s="2"/>
      <c r="BJ43" s="25" t="s">
        <v>42</v>
      </c>
      <c r="BK43" s="26">
        <v>628</v>
      </c>
      <c r="BL43" s="23">
        <v>601</v>
      </c>
      <c r="BM43" s="23">
        <v>570</v>
      </c>
      <c r="BN43" s="19">
        <v>577</v>
      </c>
      <c r="BO43" s="19">
        <v>525</v>
      </c>
      <c r="BP43" s="1">
        <v>514</v>
      </c>
    </row>
    <row r="44" spans="1:68" s="40" customFormat="1">
      <c r="A44" s="47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49"/>
      <c r="BA44" s="48"/>
      <c r="BB44" s="25" t="s">
        <v>44</v>
      </c>
      <c r="BC44" s="26">
        <v>98</v>
      </c>
      <c r="BD44" s="23">
        <v>88</v>
      </c>
      <c r="BE44" s="23">
        <v>94</v>
      </c>
      <c r="BF44" s="20">
        <v>90</v>
      </c>
      <c r="BG44" s="20">
        <v>86</v>
      </c>
      <c r="BH44" s="1">
        <v>110</v>
      </c>
      <c r="BI44" s="36"/>
      <c r="BJ44" s="25" t="s">
        <v>44</v>
      </c>
      <c r="BK44" s="26">
        <v>626</v>
      </c>
      <c r="BL44" s="23">
        <v>553</v>
      </c>
      <c r="BM44" s="23">
        <v>520</v>
      </c>
      <c r="BN44" s="19">
        <v>520</v>
      </c>
      <c r="BO44" s="19">
        <v>474</v>
      </c>
      <c r="BP44" s="1">
        <v>540</v>
      </c>
    </row>
    <row r="45" spans="1:68" s="40" customFormat="1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9"/>
      <c r="BA45" s="48"/>
      <c r="BB45" s="25" t="s">
        <v>45</v>
      </c>
      <c r="BC45" s="26">
        <v>98</v>
      </c>
      <c r="BD45" s="23">
        <v>101</v>
      </c>
      <c r="BE45" s="23">
        <v>117</v>
      </c>
      <c r="BF45" s="20">
        <v>112</v>
      </c>
      <c r="BG45" s="20">
        <v>58</v>
      </c>
      <c r="BH45" s="1">
        <v>96</v>
      </c>
      <c r="BI45" s="2"/>
      <c r="BJ45" s="25" t="s">
        <v>45</v>
      </c>
      <c r="BK45" s="26">
        <v>540</v>
      </c>
      <c r="BL45" s="23">
        <v>565</v>
      </c>
      <c r="BM45" s="23">
        <v>509</v>
      </c>
      <c r="BN45" s="19">
        <v>540</v>
      </c>
      <c r="BO45" s="19">
        <v>519</v>
      </c>
      <c r="BP45" s="1">
        <v>568</v>
      </c>
    </row>
    <row r="46" spans="1:68" s="40" customFormat="1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49"/>
      <c r="BA46" s="48"/>
      <c r="BB46" s="55"/>
      <c r="BC46" s="48"/>
      <c r="BD46" s="48"/>
      <c r="BE46" s="48"/>
      <c r="BI46" s="2"/>
      <c r="BJ46" s="3"/>
      <c r="BK46" s="2"/>
      <c r="BL46" s="2"/>
      <c r="BM46" s="2"/>
      <c r="BN46" s="1"/>
    </row>
    <row r="47" spans="1:68" s="40" customFormat="1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49"/>
      <c r="BA47" s="48"/>
      <c r="BB47" s="56"/>
      <c r="BC47" s="48"/>
      <c r="BD47" s="48"/>
      <c r="BE47" s="48"/>
    </row>
    <row r="48" spans="1:68" s="40" customFormat="1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49"/>
      <c r="BA48" s="48"/>
      <c r="BB48" s="57"/>
      <c r="BC48" s="48"/>
      <c r="BD48" s="48"/>
      <c r="BE48" s="48"/>
    </row>
    <row r="49" spans="2:57" s="40" customFormat="1"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49"/>
      <c r="BA49" s="48"/>
      <c r="BB49" s="57"/>
      <c r="BC49" s="48"/>
      <c r="BD49" s="48"/>
      <c r="BE49" s="48"/>
    </row>
    <row r="50" spans="2:57" s="40" customFormat="1"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49"/>
      <c r="BA50" s="48"/>
      <c r="BB50" s="57"/>
      <c r="BC50" s="48"/>
      <c r="BD50" s="48"/>
      <c r="BE50" s="48"/>
    </row>
    <row r="51" spans="2:57" s="40" customFormat="1"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49"/>
      <c r="BA51" s="48"/>
      <c r="BB51" s="57"/>
      <c r="BC51" s="48"/>
      <c r="BD51" s="48"/>
      <c r="BE51" s="48"/>
    </row>
    <row r="52" spans="2:57" s="40" customFormat="1"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49"/>
      <c r="BA52" s="48"/>
      <c r="BB52" s="57"/>
      <c r="BC52" s="48"/>
      <c r="BD52" s="48"/>
      <c r="BE52" s="48"/>
    </row>
    <row r="53" spans="2:57" s="40" customFormat="1">
      <c r="O53" s="49"/>
      <c r="BA53" s="48"/>
      <c r="BB53" s="57"/>
      <c r="BC53" s="48"/>
      <c r="BD53" s="48"/>
      <c r="BE53" s="48"/>
    </row>
    <row r="54" spans="2:57" s="40" customFormat="1">
      <c r="O54" s="49"/>
      <c r="BA54" s="48"/>
      <c r="BB54" s="57"/>
      <c r="BC54" s="48"/>
      <c r="BD54" s="48"/>
      <c r="BE54" s="48"/>
    </row>
    <row r="55" spans="2:57" s="40" customFormat="1">
      <c r="O55" s="49"/>
      <c r="BA55" s="48"/>
      <c r="BB55" s="57"/>
      <c r="BC55" s="48"/>
      <c r="BD55" s="48"/>
      <c r="BE55" s="48"/>
    </row>
    <row r="56" spans="2:57" s="40" customFormat="1">
      <c r="O56" s="49"/>
      <c r="BA56" s="48"/>
      <c r="BB56" s="57"/>
      <c r="BC56" s="48"/>
      <c r="BD56" s="48"/>
      <c r="BE56" s="48"/>
    </row>
    <row r="57" spans="2:57" s="40" customFormat="1">
      <c r="O57" s="49"/>
      <c r="BA57" s="48"/>
      <c r="BB57" s="57"/>
      <c r="BC57" s="48"/>
      <c r="BD57" s="48"/>
      <c r="BE57" s="48"/>
    </row>
    <row r="58" spans="2:57">
      <c r="BA58" s="48"/>
      <c r="BB58" s="57"/>
    </row>
    <row r="59" spans="2:57">
      <c r="BA59" s="48"/>
      <c r="BB59" s="57"/>
    </row>
  </sheetData>
  <mergeCells count="8">
    <mergeCell ref="O3:O5"/>
    <mergeCell ref="B37:N37"/>
    <mergeCell ref="A1:O1"/>
    <mergeCell ref="A2:O2"/>
    <mergeCell ref="B3:D3"/>
    <mergeCell ref="E3:G3"/>
    <mergeCell ref="H3:J3"/>
    <mergeCell ref="K3:M3"/>
  </mergeCells>
  <pageMargins left="0.7" right="0.7" top="0.75" bottom="0.75" header="0.3" footer="0.3"/>
  <pageSetup scale="4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3.7</vt:lpstr>
      <vt:lpstr>'3.7'!Print_Area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2021-12-13T20:44:03Z</cp:lastPrinted>
  <dcterms:created xsi:type="dcterms:W3CDTF">2019-07-22T06:02:33Z</dcterms:created>
  <dcterms:modified xsi:type="dcterms:W3CDTF">2021-12-13T20:44:47Z</dcterms:modified>
</cp:coreProperties>
</file>