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3.Population\"/>
    </mc:Choice>
  </mc:AlternateContent>
  <bookViews>
    <workbookView xWindow="-105" yWindow="-105" windowWidth="19425" windowHeight="10425" tabRatio="751"/>
  </bookViews>
  <sheets>
    <sheet name="3.9" sheetId="8" r:id="rId1"/>
  </sheets>
  <definedNames>
    <definedName name="_xlnm.Print_Area" localSheetId="0">'3.9'!$A$1:$WVK$44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8" l="1"/>
  <c r="N11" i="8"/>
  <c r="N10" i="8"/>
  <c r="Q9" i="8"/>
  <c r="P9" i="8"/>
  <c r="O9" i="8"/>
  <c r="N7" i="8"/>
  <c r="N6" i="8"/>
  <c r="Q5" i="8"/>
  <c r="P5" i="8"/>
  <c r="O5" i="8"/>
  <c r="N5" i="8" s="1"/>
  <c r="P14" i="8" l="1"/>
  <c r="O14" i="8"/>
  <c r="N9" i="8"/>
  <c r="N14" i="8" s="1"/>
  <c r="I5" i="8" l="1"/>
  <c r="H5" i="8"/>
  <c r="G5" i="8"/>
  <c r="I9" i="8"/>
  <c r="H9" i="8"/>
  <c r="G9" i="8"/>
  <c r="F12" i="8"/>
  <c r="F8" i="8"/>
  <c r="H14" i="8" l="1"/>
  <c r="G14" i="8"/>
  <c r="F9" i="8"/>
  <c r="J8" i="8" l="1"/>
  <c r="L16" i="8"/>
  <c r="K16" i="8"/>
  <c r="L15" i="8"/>
  <c r="K15" i="8"/>
  <c r="J11" i="8"/>
  <c r="J10" i="8"/>
  <c r="J15" i="8" s="1"/>
  <c r="M9" i="8"/>
  <c r="L9" i="8"/>
  <c r="K9" i="8"/>
  <c r="J9" i="8"/>
  <c r="J7" i="8"/>
  <c r="J6" i="8"/>
  <c r="M5" i="8"/>
  <c r="L5" i="8"/>
  <c r="K5" i="8"/>
  <c r="J16" i="8" l="1"/>
  <c r="J5" i="8"/>
  <c r="J14" i="8" s="1"/>
  <c r="K14" i="8"/>
  <c r="AQ22" i="8" s="1"/>
  <c r="L14" i="8"/>
  <c r="AQ23" i="8" s="1"/>
  <c r="F11" i="8" l="1"/>
  <c r="H16" i="8" l="1"/>
  <c r="G16" i="8"/>
  <c r="D16" i="8"/>
  <c r="C16" i="8"/>
  <c r="H15" i="8"/>
  <c r="G15" i="8"/>
  <c r="D15" i="8"/>
  <c r="C15" i="8"/>
  <c r="B11" i="8"/>
  <c r="F10" i="8"/>
  <c r="B10" i="8"/>
  <c r="E9" i="8"/>
  <c r="D9" i="8"/>
  <c r="C9" i="8"/>
  <c r="F7" i="8"/>
  <c r="B7" i="8"/>
  <c r="F6" i="8"/>
  <c r="B6" i="8"/>
  <c r="E5" i="8"/>
  <c r="D5" i="8"/>
  <c r="C5" i="8"/>
  <c r="F5" i="8" l="1"/>
  <c r="AP23" i="8"/>
  <c r="D14" i="8"/>
  <c r="AO23" i="8" s="1"/>
  <c r="B15" i="8"/>
  <c r="C14" i="8"/>
  <c r="AO22" i="8" s="1"/>
  <c r="B16" i="8"/>
  <c r="F16" i="8"/>
  <c r="F15" i="8"/>
  <c r="B5" i="8"/>
  <c r="B9" i="8"/>
  <c r="AP22" i="8"/>
  <c r="F14" i="8" l="1"/>
  <c r="B14" i="8"/>
</calcChain>
</file>

<file path=xl/sharedStrings.xml><?xml version="1.0" encoding="utf-8"?>
<sst xmlns="http://schemas.openxmlformats.org/spreadsheetml/2006/main" count="79" uniqueCount="29">
  <si>
    <t>Republic</t>
  </si>
  <si>
    <t>-</t>
  </si>
  <si>
    <t>Male'</t>
  </si>
  <si>
    <t>Atolls</t>
  </si>
  <si>
    <t xml:space="preserve">މިނިސްޓްރީ އޮފް ހެލްތު </t>
  </si>
  <si>
    <t>Particulars</t>
  </si>
  <si>
    <t>clIBcfwt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</si>
  <si>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</si>
  <si>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</si>
  <si>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1- / cniduk ibitiriduriaivcnwfua   </t>
  </si>
  <si>
    <t xml:space="preserve">     Male</t>
  </si>
  <si>
    <t xml:space="preserve">cnehirif     </t>
  </si>
  <si>
    <t xml:space="preserve">     Female</t>
  </si>
  <si>
    <t xml:space="preserve">cnehcnwa     </t>
  </si>
  <si>
    <t>Infant Deaths</t>
  </si>
  <si>
    <t xml:space="preserve">cnidukwDukivurwm   </t>
  </si>
  <si>
    <t xml:space="preserve">  -uriaivcnwfua ) cTErWvurwm cnidukwDuk   </t>
  </si>
  <si>
    <t xml:space="preserve">( cSokctwbcsin cSwkwjcauk / 000 emcnok iruhirid   </t>
  </si>
  <si>
    <t>ނޯޓް: ޖުމްލައިގެތެރޭގައި ރާއްޖެއިން ބޭރުގައި އުފަންވިކުދިން ހިމެނިފައި</t>
  </si>
  <si>
    <t>Not stated</t>
  </si>
  <si>
    <t>Infant Mortality Rate  (IMR)</t>
  </si>
  <si>
    <t>('000) Live Births</t>
  </si>
  <si>
    <r>
      <t>2020</t>
    </r>
    <r>
      <rPr>
        <b/>
        <vertAlign val="superscript"/>
        <sz val="9"/>
        <rFont val="Calibri"/>
        <family val="2"/>
      </rPr>
      <t>1_/</t>
    </r>
  </si>
  <si>
    <t>2020-2017 ,cnidukwDukivurwm iaWncnidukwDuk ibitirid uriaivcnwfua  : 3.9  ulwvWt</t>
  </si>
  <si>
    <t>Table 3.9 :  LIVE BIRTHS AND INFANT DEATHS, 2017 - 2020</t>
  </si>
  <si>
    <r>
      <t xml:space="preserve">Note: </t>
    </r>
    <r>
      <rPr>
        <i/>
        <vertAlign val="superscript"/>
        <sz val="10"/>
        <rFont val="Calibri"/>
        <family val="2"/>
      </rPr>
      <t xml:space="preserve"> 1_/</t>
    </r>
    <r>
      <rPr>
        <i/>
        <sz val="10"/>
        <rFont val="Calibri"/>
        <family val="2"/>
      </rPr>
      <t xml:space="preserve"> Total include Maldivians born abroad</t>
    </r>
  </si>
  <si>
    <t>2020 figures are tentative and is expected to change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</si>
  <si>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</si>
  <si>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r>
      <rPr>
        <sz val="2"/>
        <rFont val="Faruma"/>
      </rPr>
      <t>ނ</t>
    </r>
    <r>
      <rPr>
        <sz val="10"/>
        <rFont val="Faruma"/>
      </rPr>
      <t xml:space="preserve"> 2020 ވަނަ އަހަރުގެ މައުލޫމާތު ރިވައިޒުކުރަމުންދާތީވެ މިއަދަދުތަކަށް ބަދަލުއައުން އެކަށީގެންވެއެވެ.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</si>
</sst>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  <numFmt numFmtId="168" formatCode="_(* #,##0_);_(* \(#,##0\);_(* &quot;-&quot;??_);_(@_)"/>
    <numFmt numFmtId="169" formatCode="_(* #,##0.0_);_(* \(#,##0.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b/>
      <sz val="10"/>
      <name val="Calibri"/>
      <family val="2"/>
      <scheme val="minor"/>
    </font>
    <font>
      <sz val="11"/>
      <name val="Faruma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omic Sans MS"/>
      <family val="4"/>
    </font>
    <font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vertAlign val="superscript"/>
      <sz val="9"/>
      <name val="Calibri"/>
      <family val="2"/>
    </font>
    <font>
      <i/>
      <sz val="10"/>
      <name val="Calibri"/>
      <family val="2"/>
      <scheme val="minor"/>
    </font>
    <font>
      <i/>
      <sz val="10"/>
      <name val="Calibri"/>
      <family val="2"/>
    </font>
    <font>
      <i/>
      <vertAlign val="superscript"/>
      <sz val="10"/>
      <name val="Calibri"/>
      <family val="2"/>
    </font>
    <font>
      <b/>
      <i/>
      <sz val="10"/>
      <name val="Calibri"/>
      <family val="2"/>
    </font>
    <font>
      <sz val="10"/>
      <name val="Faruma"/>
    </font>
    <font>
      <sz val="2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7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11" fillId="0" borderId="0"/>
    <xf numFmtId="0" fontId="3" fillId="0" borderId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82">
    <xf numFmtId="0" fontId="0" fillId="0" borderId="0" xfId="0"/>
    <xf numFmtId="167" fontId="2" fillId="3" borderId="0" xfId="11" applyFill="1"/>
    <xf numFmtId="167" fontId="13" fillId="3" borderId="0" xfId="11" applyFont="1" applyFill="1"/>
    <xf numFmtId="167" fontId="20" fillId="2" borderId="0" xfId="10" applyFont="1" applyFill="1" applyAlignment="1" applyProtection="1">
      <alignment horizontal="right" vertical="center"/>
      <protection hidden="1"/>
    </xf>
    <xf numFmtId="3" fontId="22" fillId="3" borderId="0" xfId="10" applyNumberFormat="1" applyFont="1" applyFill="1" applyBorder="1" applyAlignment="1">
      <alignment horizontal="right" vertical="center"/>
    </xf>
    <xf numFmtId="3" fontId="23" fillId="3" borderId="0" xfId="10" applyNumberFormat="1" applyFont="1" applyFill="1" applyBorder="1" applyAlignment="1">
      <alignment horizontal="right" vertical="center"/>
    </xf>
    <xf numFmtId="1" fontId="23" fillId="3" borderId="0" xfId="10" applyNumberFormat="1" applyFont="1" applyFill="1" applyBorder="1" applyAlignment="1">
      <alignment horizontal="right" vertical="center"/>
    </xf>
    <xf numFmtId="3" fontId="23" fillId="3" borderId="0" xfId="10" applyNumberFormat="1" applyFont="1" applyFill="1" applyBorder="1" applyAlignment="1" applyProtection="1">
      <alignment horizontal="right" vertical="center"/>
      <protection locked="0"/>
    </xf>
    <xf numFmtId="1" fontId="22" fillId="3" borderId="0" xfId="10" applyNumberFormat="1" applyFont="1" applyFill="1" applyBorder="1" applyAlignment="1">
      <alignment horizontal="right" vertical="center"/>
    </xf>
    <xf numFmtId="167" fontId="11" fillId="3" borderId="0" xfId="11" applyFont="1" applyFill="1"/>
    <xf numFmtId="167" fontId="5" fillId="3" borderId="0" xfId="11" applyFont="1" applyFill="1" applyAlignment="1">
      <alignment vertical="center"/>
    </xf>
    <xf numFmtId="167" fontId="18" fillId="3" borderId="8" xfId="11" applyFont="1" applyFill="1" applyBorder="1" applyAlignment="1">
      <alignment horizontal="right" vertical="center"/>
    </xf>
    <xf numFmtId="167" fontId="18" fillId="3" borderId="9" xfId="11" applyFont="1" applyFill="1" applyBorder="1" applyAlignment="1">
      <alignment horizontal="right" vertical="center"/>
    </xf>
    <xf numFmtId="1" fontId="12" fillId="3" borderId="0" xfId="11" applyNumberFormat="1" applyFont="1" applyFill="1" applyAlignment="1" applyProtection="1">
      <alignment vertical="center"/>
    </xf>
    <xf numFmtId="1" fontId="5" fillId="3" borderId="0" xfId="11" applyNumberFormat="1" applyFont="1" applyFill="1" applyAlignment="1">
      <alignment horizontal="center" vertical="center"/>
    </xf>
    <xf numFmtId="1" fontId="13" fillId="3" borderId="0" xfId="11" applyNumberFormat="1" applyFont="1" applyFill="1" applyAlignment="1" applyProtection="1">
      <alignment horizontal="left" vertical="center"/>
    </xf>
    <xf numFmtId="1" fontId="11" fillId="3" borderId="0" xfId="11" applyNumberFormat="1" applyFont="1" applyFill="1" applyAlignment="1">
      <alignment horizontal="center" vertical="center"/>
    </xf>
    <xf numFmtId="1" fontId="18" fillId="3" borderId="0" xfId="10" applyNumberFormat="1" applyFont="1" applyFill="1" applyBorder="1" applyAlignment="1">
      <alignment horizontal="right" vertical="center"/>
    </xf>
    <xf numFmtId="1" fontId="12" fillId="3" borderId="0" xfId="11" applyNumberFormat="1" applyFont="1" applyFill="1" applyAlignment="1" applyProtection="1">
      <alignment horizontal="left" vertical="center"/>
    </xf>
    <xf numFmtId="1" fontId="15" fillId="3" borderId="0" xfId="10" applyNumberFormat="1" applyFont="1" applyFill="1" applyBorder="1" applyAlignment="1">
      <alignment horizontal="right" vertical="center"/>
    </xf>
    <xf numFmtId="1" fontId="13" fillId="3" borderId="1" xfId="11" applyNumberFormat="1" applyFont="1" applyFill="1" applyBorder="1" applyAlignment="1" applyProtection="1">
      <alignment horizontal="left" vertical="center"/>
    </xf>
    <xf numFmtId="167" fontId="7" fillId="3" borderId="0" xfId="11" applyFont="1" applyFill="1" applyAlignment="1">
      <alignment vertical="center"/>
    </xf>
    <xf numFmtId="167" fontId="8" fillId="3" borderId="0" xfId="11" applyFont="1" applyFill="1" applyAlignment="1">
      <alignment vertical="center"/>
    </xf>
    <xf numFmtId="167" fontId="10" fillId="3" borderId="0" xfId="0" applyNumberFormat="1" applyFont="1" applyFill="1" applyAlignment="1" applyProtection="1">
      <alignment horizontal="left" vertical="center"/>
    </xf>
    <xf numFmtId="167" fontId="14" fillId="3" borderId="0" xfId="11" applyFont="1" applyFill="1" applyAlignment="1">
      <alignment vertical="center"/>
    </xf>
    <xf numFmtId="167" fontId="11" fillId="3" borderId="0" xfId="11" applyFont="1" applyFill="1" applyAlignment="1">
      <alignment vertical="center"/>
    </xf>
    <xf numFmtId="167" fontId="9" fillId="3" borderId="0" xfId="11" applyFont="1" applyFill="1"/>
    <xf numFmtId="0" fontId="11" fillId="3" borderId="0" xfId="12" applyFill="1"/>
    <xf numFmtId="0" fontId="11" fillId="3" borderId="0" xfId="12" applyFont="1" applyFill="1"/>
    <xf numFmtId="1" fontId="7" fillId="3" borderId="0" xfId="11" applyNumberFormat="1" applyFont="1" applyFill="1" applyBorder="1" applyAlignment="1">
      <alignment horizontal="right" vertical="center"/>
    </xf>
    <xf numFmtId="1" fontId="11" fillId="3" borderId="0" xfId="11" applyNumberFormat="1" applyFont="1" applyFill="1"/>
    <xf numFmtId="1" fontId="11" fillId="3" borderId="0" xfId="12" applyNumberFormat="1" applyFont="1" applyFill="1"/>
    <xf numFmtId="167" fontId="2" fillId="3" borderId="0" xfId="11" applyFont="1" applyFill="1"/>
    <xf numFmtId="167" fontId="24" fillId="3" borderId="0" xfId="11" applyFont="1" applyFill="1"/>
    <xf numFmtId="3" fontId="19" fillId="3" borderId="0" xfId="0" applyNumberFormat="1" applyFont="1" applyFill="1" applyBorder="1" applyAlignment="1">
      <alignment horizontal="right" vertical="center"/>
    </xf>
    <xf numFmtId="3" fontId="19" fillId="3" borderId="2" xfId="0" applyNumberFormat="1" applyFont="1" applyFill="1" applyBorder="1" applyAlignment="1">
      <alignment horizontal="right" vertical="center"/>
    </xf>
    <xf numFmtId="1" fontId="26" fillId="3" borderId="0" xfId="10" applyNumberFormat="1" applyFont="1" applyFill="1" applyAlignment="1">
      <alignment horizontal="right" vertical="center"/>
    </xf>
    <xf numFmtId="1" fontId="27" fillId="3" borderId="0" xfId="10" applyNumberFormat="1" applyFont="1" applyFill="1" applyAlignment="1">
      <alignment horizontal="right" vertical="center"/>
    </xf>
    <xf numFmtId="1" fontId="27" fillId="3" borderId="1" xfId="10" applyNumberFormat="1" applyFont="1" applyFill="1" applyBorder="1" applyAlignment="1">
      <alignment horizontal="right" vertical="center"/>
    </xf>
    <xf numFmtId="167" fontId="7" fillId="3" borderId="0" xfId="11" applyFont="1" applyFill="1" applyBorder="1" applyAlignment="1">
      <alignment vertical="center"/>
    </xf>
    <xf numFmtId="1" fontId="6" fillId="3" borderId="0" xfId="10" applyNumberFormat="1" applyFont="1" applyFill="1" applyBorder="1" applyAlignment="1">
      <alignment vertical="center"/>
    </xf>
    <xf numFmtId="167" fontId="11" fillId="3" borderId="0" xfId="11" applyFont="1" applyFill="1" applyBorder="1"/>
    <xf numFmtId="3" fontId="25" fillId="3" borderId="2" xfId="10" applyNumberFormat="1" applyFont="1" applyFill="1" applyBorder="1" applyAlignment="1">
      <alignment horizontal="right" vertical="center"/>
    </xf>
    <xf numFmtId="169" fontId="15" fillId="3" borderId="2" xfId="15" applyNumberFormat="1" applyFont="1" applyFill="1" applyBorder="1" applyAlignment="1">
      <alignment horizontal="right" vertical="center"/>
    </xf>
    <xf numFmtId="169" fontId="15" fillId="3" borderId="0" xfId="15" applyNumberFormat="1" applyFont="1" applyFill="1" applyBorder="1" applyAlignment="1">
      <alignment horizontal="right" vertical="center"/>
    </xf>
    <xf numFmtId="169" fontId="15" fillId="3" borderId="5" xfId="15" applyNumberFormat="1" applyFont="1" applyFill="1" applyBorder="1" applyAlignment="1">
      <alignment horizontal="right" vertical="center"/>
    </xf>
    <xf numFmtId="1" fontId="16" fillId="3" borderId="0" xfId="15" applyNumberFormat="1" applyFont="1" applyFill="1" applyBorder="1" applyAlignment="1">
      <alignment horizontal="right" vertical="center"/>
    </xf>
    <xf numFmtId="3" fontId="16" fillId="3" borderId="2" xfId="15" applyNumberFormat="1" applyFont="1" applyFill="1" applyBorder="1" applyAlignment="1">
      <alignment horizontal="right" vertical="center"/>
    </xf>
    <xf numFmtId="3" fontId="16" fillId="3" borderId="0" xfId="15" applyNumberFormat="1" applyFont="1" applyFill="1" applyBorder="1" applyAlignment="1">
      <alignment horizontal="right" vertical="center"/>
    </xf>
    <xf numFmtId="3" fontId="19" fillId="3" borderId="2" xfId="10" applyNumberFormat="1" applyFont="1" applyFill="1" applyBorder="1" applyAlignment="1">
      <alignment horizontal="right" vertical="center"/>
    </xf>
    <xf numFmtId="3" fontId="19" fillId="3" borderId="0" xfId="10" applyNumberFormat="1" applyFont="1" applyFill="1" applyBorder="1" applyAlignment="1">
      <alignment horizontal="right" vertical="center"/>
    </xf>
    <xf numFmtId="3" fontId="25" fillId="3" borderId="2" xfId="10" applyNumberFormat="1" applyFont="1" applyFill="1" applyBorder="1" applyAlignment="1" applyProtection="1">
      <alignment horizontal="right" vertical="center"/>
      <protection locked="0"/>
    </xf>
    <xf numFmtId="168" fontId="16" fillId="3" borderId="0" xfId="15" applyNumberFormat="1" applyFont="1" applyFill="1" applyBorder="1" applyAlignment="1">
      <alignment horizontal="right" vertical="center"/>
    </xf>
    <xf numFmtId="1" fontId="16" fillId="3" borderId="5" xfId="15" applyNumberFormat="1" applyFont="1" applyFill="1" applyBorder="1" applyAlignment="1">
      <alignment horizontal="right" vertical="center"/>
    </xf>
    <xf numFmtId="1" fontId="19" fillId="3" borderId="2" xfId="10" applyNumberFormat="1" applyFont="1" applyFill="1" applyBorder="1" applyAlignment="1">
      <alignment horizontal="right" vertical="center"/>
    </xf>
    <xf numFmtId="1" fontId="19" fillId="3" borderId="0" xfId="10" applyNumberFormat="1" applyFont="1" applyFill="1" applyBorder="1" applyAlignment="1">
      <alignment horizontal="right" vertical="center"/>
    </xf>
    <xf numFmtId="1" fontId="25" fillId="3" borderId="2" xfId="10" applyNumberFormat="1" applyFont="1" applyFill="1" applyBorder="1" applyAlignment="1">
      <alignment horizontal="right" vertical="center"/>
    </xf>
    <xf numFmtId="1" fontId="25" fillId="3" borderId="0" xfId="10" applyNumberFormat="1" applyFont="1" applyFill="1" applyBorder="1" applyAlignment="1">
      <alignment horizontal="right" vertical="center"/>
    </xf>
    <xf numFmtId="1" fontId="25" fillId="3" borderId="3" xfId="10" applyNumberFormat="1" applyFont="1" applyFill="1" applyBorder="1" applyAlignment="1">
      <alignment horizontal="right" vertical="center"/>
    </xf>
    <xf numFmtId="1" fontId="25" fillId="3" borderId="1" xfId="10" applyNumberFormat="1" applyFont="1" applyFill="1" applyBorder="1" applyAlignment="1">
      <alignment horizontal="right" vertical="center"/>
    </xf>
    <xf numFmtId="169" fontId="15" fillId="3" borderId="7" xfId="15" applyNumberFormat="1" applyFont="1" applyFill="1" applyBorder="1" applyAlignment="1">
      <alignment horizontal="right" vertical="center"/>
    </xf>
    <xf numFmtId="169" fontId="15" fillId="3" borderId="1" xfId="15" applyNumberFormat="1" applyFont="1" applyFill="1" applyBorder="1" applyAlignment="1">
      <alignment horizontal="right" vertical="center"/>
    </xf>
    <xf numFmtId="3" fontId="25" fillId="3" borderId="0" xfId="10" applyNumberFormat="1" applyFont="1" applyFill="1" applyBorder="1" applyAlignment="1">
      <alignment horizontal="right" vertical="center"/>
    </xf>
    <xf numFmtId="3" fontId="25" fillId="3" borderId="0" xfId="10" applyNumberFormat="1" applyFont="1" applyFill="1" applyBorder="1" applyAlignment="1" applyProtection="1">
      <alignment horizontal="right" vertical="center"/>
      <protection locked="0"/>
    </xf>
    <xf numFmtId="1" fontId="12" fillId="3" borderId="0" xfId="11" applyNumberFormat="1" applyFont="1" applyFill="1" applyAlignment="1" applyProtection="1">
      <alignment horizontal="left" vertical="center" indent="2"/>
    </xf>
    <xf numFmtId="167" fontId="26" fillId="3" borderId="0" xfId="10" applyFont="1" applyFill="1" applyBorder="1" applyAlignment="1">
      <alignment horizontal="right" vertical="center"/>
    </xf>
    <xf numFmtId="167" fontId="26" fillId="3" borderId="1" xfId="10" applyFont="1" applyFill="1" applyBorder="1" applyAlignment="1">
      <alignment horizontal="right" vertical="center"/>
    </xf>
    <xf numFmtId="1" fontId="22" fillId="3" borderId="0" xfId="10" applyNumberFormat="1" applyFont="1" applyFill="1" applyBorder="1" applyAlignment="1">
      <alignment horizontal="center" vertical="center"/>
    </xf>
    <xf numFmtId="167" fontId="26" fillId="3" borderId="0" xfId="10" applyFont="1" applyFill="1" applyAlignment="1">
      <alignment horizontal="center" vertical="center" wrapText="1"/>
    </xf>
    <xf numFmtId="167" fontId="4" fillId="3" borderId="1" xfId="11" applyFont="1" applyFill="1" applyBorder="1" applyAlignment="1" applyProtection="1">
      <alignment horizontal="center" vertical="center"/>
    </xf>
    <xf numFmtId="167" fontId="12" fillId="3" borderId="0" xfId="11" applyFont="1" applyFill="1" applyBorder="1" applyAlignment="1" applyProtection="1">
      <alignment horizontal="left" vertical="center"/>
    </xf>
    <xf numFmtId="167" fontId="12" fillId="3" borderId="1" xfId="11" applyFont="1" applyFill="1" applyBorder="1" applyAlignment="1" applyProtection="1">
      <alignment horizontal="left" vertical="center"/>
    </xf>
    <xf numFmtId="167" fontId="18" fillId="3" borderId="6" xfId="11" applyFont="1" applyFill="1" applyBorder="1" applyAlignment="1" applyProtection="1">
      <alignment horizontal="center" vertical="center"/>
    </xf>
    <xf numFmtId="167" fontId="18" fillId="3" borderId="4" xfId="11" applyFont="1" applyFill="1" applyBorder="1" applyAlignment="1" applyProtection="1">
      <alignment horizontal="center" vertical="center"/>
    </xf>
    <xf numFmtId="167" fontId="3" fillId="3" borderId="0" xfId="11" applyFont="1" applyFill="1" applyAlignment="1">
      <alignment vertical="center"/>
    </xf>
    <xf numFmtId="167" fontId="3" fillId="3" borderId="0" xfId="11" applyFont="1" applyFill="1"/>
    <xf numFmtId="167" fontId="30" fillId="3" borderId="0" xfId="10" applyFont="1" applyFill="1" applyAlignment="1" applyProtection="1">
      <alignment vertical="center"/>
    </xf>
    <xf numFmtId="167" fontId="29" fillId="3" borderId="0" xfId="10" applyFont="1" applyFill="1" applyAlignment="1" applyProtection="1">
      <alignment horizontal="left" vertical="center" indent="4"/>
    </xf>
    <xf numFmtId="167" fontId="30" fillId="3" borderId="0" xfId="0" applyNumberFormat="1" applyFont="1" applyFill="1" applyAlignment="1" applyProtection="1">
      <alignment horizontal="left" vertical="center"/>
    </xf>
    <xf numFmtId="167" fontId="33" fillId="3" borderId="0" xfId="10" applyFont="1" applyFill="1" applyAlignment="1" applyProtection="1">
      <alignment horizontal="right" vertical="center"/>
      <protection hidden="1"/>
    </xf>
    <xf numFmtId="167" fontId="33" fillId="2" borderId="0" xfId="10" applyFont="1" applyFill="1" applyBorder="1" applyAlignment="1" applyProtection="1">
      <alignment horizontal="right" vertical="center" indent="1"/>
      <protection hidden="1"/>
    </xf>
    <xf numFmtId="1" fontId="3" fillId="3" borderId="0" xfId="11" applyNumberFormat="1" applyFont="1" applyFill="1"/>
  </cellXfs>
  <cellStyles count="19">
    <cellStyle name="1" xfId="16"/>
    <cellStyle name="Comma" xfId="15" builtinId="3"/>
    <cellStyle name="Comma 2" xfId="14"/>
    <cellStyle name="Comma 3" xfId="5"/>
    <cellStyle name="Comma 3 2" xfId="18"/>
    <cellStyle name="Comma 4" xfId="3"/>
    <cellStyle name="Comma 7" xfId="17"/>
    <cellStyle name="Normal" xfId="0" builtinId="0"/>
    <cellStyle name="Normal 11" xfId="6"/>
    <cellStyle name="Normal 2" xfId="4"/>
    <cellStyle name="Normal 20" xfId="2"/>
    <cellStyle name="Normal 3" xfId="13"/>
    <cellStyle name="Normal 32" xfId="7"/>
    <cellStyle name="Normal 4" xfId="10"/>
    <cellStyle name="Normal 44" xfId="8"/>
    <cellStyle name="Normal 48" xfId="9"/>
    <cellStyle name="Normal 5" xfId="1"/>
    <cellStyle name="Normal_fig7" xfId="12"/>
    <cellStyle name="Normal_Stat Year Book 2007 tables" xfId="1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45117971364692E-2"/>
          <c:y val="0.14806549537179739"/>
          <c:w val="0.93207094822359482"/>
          <c:h val="0.72861901159152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'3.9'!$AA$22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BEF1F0"/>
            </a:solidFill>
          </c:spPr>
          <c:invertIfNegative val="0"/>
          <c:cat>
            <c:numRef>
              <c:f>'3.9'!$AH$21:$AR$21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 formatCode="General">
                  <c:v>2012</c:v>
                </c:pt>
                <c:pt idx="3">
                  <c:v>2013</c:v>
                </c:pt>
                <c:pt idx="4">
                  <c:v>2014</c:v>
                </c:pt>
                <c:pt idx="5" formatCode="General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'3.9'!$AH$22:$AR$22</c:f>
              <c:numCache>
                <c:formatCode>0</c:formatCode>
                <c:ptCount val="11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5.1085568326947639</c:v>
                </c:pt>
                <c:pt idx="4">
                  <c:v>8.4388185654008439</c:v>
                </c:pt>
                <c:pt idx="5">
                  <c:v>9.7949886104783594</c:v>
                </c:pt>
                <c:pt idx="6">
                  <c:v>8.2063305978898011</c:v>
                </c:pt>
                <c:pt idx="7">
                  <c:v>10.526315789473683</c:v>
                </c:pt>
                <c:pt idx="8">
                  <c:v>7.5029308323563892</c:v>
                </c:pt>
                <c:pt idx="9">
                  <c:v>5.6417489421720735</c:v>
                </c:pt>
                <c:pt idx="10">
                  <c:v>11.424944462075532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22-430D-A178-ABC8C9D55230}"/>
            </c:ext>
          </c:extLst>
        </c:ser>
        <c:ser>
          <c:idx val="1"/>
          <c:order val="1"/>
          <c:tx>
            <c:strRef>
              <c:f>'3.9'!$AA$23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9900"/>
            </a:solidFill>
          </c:spPr>
          <c:invertIfNegative val="1"/>
          <c:cat>
            <c:numRef>
              <c:f>'3.9'!$AH$21:$AR$21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 formatCode="General">
                  <c:v>2012</c:v>
                </c:pt>
                <c:pt idx="3">
                  <c:v>2013</c:v>
                </c:pt>
                <c:pt idx="4">
                  <c:v>2014</c:v>
                </c:pt>
                <c:pt idx="5" formatCode="General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'3.9'!$AH$23:$AR$23</c:f>
              <c:numCache>
                <c:formatCode>0</c:formatCode>
                <c:ptCount val="11"/>
                <c:pt idx="0">
                  <c:v>10</c:v>
                </c:pt>
                <c:pt idx="1">
                  <c:v>6</c:v>
                </c:pt>
                <c:pt idx="2">
                  <c:v>7</c:v>
                </c:pt>
                <c:pt idx="3">
                  <c:v>6.9060773480662982</c:v>
                </c:pt>
                <c:pt idx="4">
                  <c:v>4.6296296296296298</c:v>
                </c:pt>
                <c:pt idx="5">
                  <c:v>5.84795321637427</c:v>
                </c:pt>
                <c:pt idx="6">
                  <c:v>6.5207265952491849</c:v>
                </c:pt>
                <c:pt idx="7">
                  <c:v>6.381039197812215</c:v>
                </c:pt>
                <c:pt idx="8">
                  <c:v>5.8852378616969103</c:v>
                </c:pt>
                <c:pt idx="9">
                  <c:v>4.3431053203040175</c:v>
                </c:pt>
                <c:pt idx="10">
                  <c:v>2.2816166883963493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22-430D-A178-ABC8C9D5523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568273928"/>
        <c:axId val="568273536"/>
      </c:barChart>
      <c:catAx>
        <c:axId val="56827392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8273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68273536"/>
        <c:scaling>
          <c:orientation val="minMax"/>
        </c:scaling>
        <c:delete val="0"/>
        <c:axPos val="l"/>
        <c:majorGridlines>
          <c:spPr>
            <a:ln>
              <a:solidFill>
                <a:srgbClr val="EDDBC9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 '000 Live Births</a:t>
                </a:r>
              </a:p>
            </c:rich>
          </c:tx>
          <c:layout>
            <c:manualLayout>
              <c:xMode val="edge"/>
              <c:yMode val="edge"/>
              <c:x val="5.5661626367500524E-3"/>
              <c:y val="5.9941528661230509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8273928"/>
        <c:crosses val="autoZero"/>
        <c:crossBetween val="between"/>
        <c:majorUnit val="4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27067893017670791"/>
          <c:y val="0.16742992568966855"/>
          <c:w val="0.14873600976869042"/>
          <c:h val="8.933297894725184E-2"/>
        </c:manualLayout>
      </c:layout>
      <c:overlay val="0"/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123825</xdr:rowOff>
    </xdr:from>
    <xdr:to>
      <xdr:col>17</xdr:col>
      <xdr:colOff>676275</xdr:colOff>
      <xdr:row>43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0.20432</cdr:x>
      <cdr:y>0.02673</cdr:y>
    </cdr:from>
    <cdr:to>
      <cdr:x>0.82671</cdr:x>
      <cdr:y>0.11388</cdr:y>
    </cdr:to>
    <cdr:sp macro="" textlink="">
      <cdr:nvSpPr>
        <cdr:cNvPr id="378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2045" y="71782"/>
          <a:ext cx="4484172" cy="234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3.12: Infant mortality rate, 2010 - 2020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2"/>
  <sheetViews>
    <sheetView tabSelected="1" zoomScaleNormal="100" zoomScaleSheetLayoutView="93" workbookViewId="0">
      <selection activeCell="R32" sqref="R32"/>
    </sheetView>
  </sheetViews>
  <sheetFormatPr defaultColWidth="17.85546875" defaultRowHeight="16.5" customHeight="1"/>
  <cols>
    <col min="1" max="1" width="21.7109375" style="9" customWidth="1"/>
    <col min="2" max="13" width="8.7109375" style="9" customWidth="1"/>
    <col min="14" max="17" width="8.7109375" style="75" customWidth="1"/>
    <col min="18" max="18" width="45.140625" style="9" customWidth="1"/>
    <col min="19" max="26" width="17.85546875" style="9"/>
    <col min="27" max="35" width="5.42578125" style="9" customWidth="1"/>
    <col min="36" max="40" width="6" style="9" customWidth="1"/>
    <col min="41" max="41" width="6.85546875" style="9" customWidth="1"/>
    <col min="42" max="42" width="5.42578125" style="9" customWidth="1"/>
    <col min="43" max="43" width="6.5703125" style="9" customWidth="1"/>
    <col min="44" max="44" width="6.28515625" style="9" customWidth="1"/>
    <col min="45" max="237" width="17.85546875" style="9"/>
    <col min="238" max="238" width="18.7109375" style="9" customWidth="1"/>
    <col min="239" max="239" width="1.7109375" style="9" customWidth="1"/>
    <col min="240" max="240" width="0.85546875" style="9" customWidth="1"/>
    <col min="241" max="261" width="0" style="9" hidden="1" customWidth="1"/>
    <col min="262" max="273" width="8.7109375" style="9" customWidth="1"/>
    <col min="274" max="277" width="0" style="9" hidden="1" customWidth="1"/>
    <col min="278" max="278" width="45.140625" style="9" customWidth="1"/>
    <col min="279" max="282" width="17.85546875" style="9"/>
    <col min="283" max="291" width="5.42578125" style="9" customWidth="1"/>
    <col min="292" max="296" width="6" style="9" customWidth="1"/>
    <col min="297" max="297" width="6.85546875" style="9" customWidth="1"/>
    <col min="298" max="298" width="5.42578125" style="9" customWidth="1"/>
    <col min="299" max="493" width="17.85546875" style="9"/>
    <col min="494" max="494" width="18.7109375" style="9" customWidth="1"/>
    <col min="495" max="495" width="1.7109375" style="9" customWidth="1"/>
    <col min="496" max="496" width="0.85546875" style="9" customWidth="1"/>
    <col min="497" max="517" width="0" style="9" hidden="1" customWidth="1"/>
    <col min="518" max="529" width="8.7109375" style="9" customWidth="1"/>
    <col min="530" max="533" width="0" style="9" hidden="1" customWidth="1"/>
    <col min="534" max="534" width="45.140625" style="9" customWidth="1"/>
    <col min="535" max="538" width="17.85546875" style="9"/>
    <col min="539" max="547" width="5.42578125" style="9" customWidth="1"/>
    <col min="548" max="552" width="6" style="9" customWidth="1"/>
    <col min="553" max="553" width="6.85546875" style="9" customWidth="1"/>
    <col min="554" max="554" width="5.42578125" style="9" customWidth="1"/>
    <col min="555" max="749" width="17.85546875" style="9"/>
    <col min="750" max="750" width="18.7109375" style="9" customWidth="1"/>
    <col min="751" max="751" width="1.7109375" style="9" customWidth="1"/>
    <col min="752" max="752" width="0.85546875" style="9" customWidth="1"/>
    <col min="753" max="773" width="0" style="9" hidden="1" customWidth="1"/>
    <col min="774" max="785" width="8.7109375" style="9" customWidth="1"/>
    <col min="786" max="789" width="0" style="9" hidden="1" customWidth="1"/>
    <col min="790" max="790" width="45.140625" style="9" customWidth="1"/>
    <col min="791" max="794" width="17.85546875" style="9"/>
    <col min="795" max="803" width="5.42578125" style="9" customWidth="1"/>
    <col min="804" max="808" width="6" style="9" customWidth="1"/>
    <col min="809" max="809" width="6.85546875" style="9" customWidth="1"/>
    <col min="810" max="810" width="5.42578125" style="9" customWidth="1"/>
    <col min="811" max="1005" width="17.85546875" style="9"/>
    <col min="1006" max="1006" width="18.7109375" style="9" customWidth="1"/>
    <col min="1007" max="1007" width="1.7109375" style="9" customWidth="1"/>
    <col min="1008" max="1008" width="0.85546875" style="9" customWidth="1"/>
    <col min="1009" max="1029" width="0" style="9" hidden="1" customWidth="1"/>
    <col min="1030" max="1041" width="8.7109375" style="9" customWidth="1"/>
    <col min="1042" max="1045" width="0" style="9" hidden="1" customWidth="1"/>
    <col min="1046" max="1046" width="45.140625" style="9" customWidth="1"/>
    <col min="1047" max="1050" width="17.85546875" style="9"/>
    <col min="1051" max="1059" width="5.42578125" style="9" customWidth="1"/>
    <col min="1060" max="1064" width="6" style="9" customWidth="1"/>
    <col min="1065" max="1065" width="6.85546875" style="9" customWidth="1"/>
    <col min="1066" max="1066" width="5.42578125" style="9" customWidth="1"/>
    <col min="1067" max="1261" width="17.85546875" style="9"/>
    <col min="1262" max="1262" width="18.7109375" style="9" customWidth="1"/>
    <col min="1263" max="1263" width="1.7109375" style="9" customWidth="1"/>
    <col min="1264" max="1264" width="0.85546875" style="9" customWidth="1"/>
    <col min="1265" max="1285" width="0" style="9" hidden="1" customWidth="1"/>
    <col min="1286" max="1297" width="8.7109375" style="9" customWidth="1"/>
    <col min="1298" max="1301" width="0" style="9" hidden="1" customWidth="1"/>
    <col min="1302" max="1302" width="45.140625" style="9" customWidth="1"/>
    <col min="1303" max="1306" width="17.85546875" style="9"/>
    <col min="1307" max="1315" width="5.42578125" style="9" customWidth="1"/>
    <col min="1316" max="1320" width="6" style="9" customWidth="1"/>
    <col min="1321" max="1321" width="6.85546875" style="9" customWidth="1"/>
    <col min="1322" max="1322" width="5.42578125" style="9" customWidth="1"/>
    <col min="1323" max="1517" width="17.85546875" style="9"/>
    <col min="1518" max="1518" width="18.7109375" style="9" customWidth="1"/>
    <col min="1519" max="1519" width="1.7109375" style="9" customWidth="1"/>
    <col min="1520" max="1520" width="0.85546875" style="9" customWidth="1"/>
    <col min="1521" max="1541" width="0" style="9" hidden="1" customWidth="1"/>
    <col min="1542" max="1553" width="8.7109375" style="9" customWidth="1"/>
    <col min="1554" max="1557" width="0" style="9" hidden="1" customWidth="1"/>
    <col min="1558" max="1558" width="45.140625" style="9" customWidth="1"/>
    <col min="1559" max="1562" width="17.85546875" style="9"/>
    <col min="1563" max="1571" width="5.42578125" style="9" customWidth="1"/>
    <col min="1572" max="1576" width="6" style="9" customWidth="1"/>
    <col min="1577" max="1577" width="6.85546875" style="9" customWidth="1"/>
    <col min="1578" max="1578" width="5.42578125" style="9" customWidth="1"/>
    <col min="1579" max="1773" width="17.85546875" style="9"/>
    <col min="1774" max="1774" width="18.7109375" style="9" customWidth="1"/>
    <col min="1775" max="1775" width="1.7109375" style="9" customWidth="1"/>
    <col min="1776" max="1776" width="0.85546875" style="9" customWidth="1"/>
    <col min="1777" max="1797" width="0" style="9" hidden="1" customWidth="1"/>
    <col min="1798" max="1809" width="8.7109375" style="9" customWidth="1"/>
    <col min="1810" max="1813" width="0" style="9" hidden="1" customWidth="1"/>
    <col min="1814" max="1814" width="45.140625" style="9" customWidth="1"/>
    <col min="1815" max="1818" width="17.85546875" style="9"/>
    <col min="1819" max="1827" width="5.42578125" style="9" customWidth="1"/>
    <col min="1828" max="1832" width="6" style="9" customWidth="1"/>
    <col min="1833" max="1833" width="6.85546875" style="9" customWidth="1"/>
    <col min="1834" max="1834" width="5.42578125" style="9" customWidth="1"/>
    <col min="1835" max="2029" width="17.85546875" style="9"/>
    <col min="2030" max="2030" width="18.7109375" style="9" customWidth="1"/>
    <col min="2031" max="2031" width="1.7109375" style="9" customWidth="1"/>
    <col min="2032" max="2032" width="0.85546875" style="9" customWidth="1"/>
    <col min="2033" max="2053" width="0" style="9" hidden="1" customWidth="1"/>
    <col min="2054" max="2065" width="8.7109375" style="9" customWidth="1"/>
    <col min="2066" max="2069" width="0" style="9" hidden="1" customWidth="1"/>
    <col min="2070" max="2070" width="45.140625" style="9" customWidth="1"/>
    <col min="2071" max="2074" width="17.85546875" style="9"/>
    <col min="2075" max="2083" width="5.42578125" style="9" customWidth="1"/>
    <col min="2084" max="2088" width="6" style="9" customWidth="1"/>
    <col min="2089" max="2089" width="6.85546875" style="9" customWidth="1"/>
    <col min="2090" max="2090" width="5.42578125" style="9" customWidth="1"/>
    <col min="2091" max="2285" width="17.85546875" style="9"/>
    <col min="2286" max="2286" width="18.7109375" style="9" customWidth="1"/>
    <col min="2287" max="2287" width="1.7109375" style="9" customWidth="1"/>
    <col min="2288" max="2288" width="0.85546875" style="9" customWidth="1"/>
    <col min="2289" max="2309" width="0" style="9" hidden="1" customWidth="1"/>
    <col min="2310" max="2321" width="8.7109375" style="9" customWidth="1"/>
    <col min="2322" max="2325" width="0" style="9" hidden="1" customWidth="1"/>
    <col min="2326" max="2326" width="45.140625" style="9" customWidth="1"/>
    <col min="2327" max="2330" width="17.85546875" style="9"/>
    <col min="2331" max="2339" width="5.42578125" style="9" customWidth="1"/>
    <col min="2340" max="2344" width="6" style="9" customWidth="1"/>
    <col min="2345" max="2345" width="6.85546875" style="9" customWidth="1"/>
    <col min="2346" max="2346" width="5.42578125" style="9" customWidth="1"/>
    <col min="2347" max="2541" width="17.85546875" style="9"/>
    <col min="2542" max="2542" width="18.7109375" style="9" customWidth="1"/>
    <col min="2543" max="2543" width="1.7109375" style="9" customWidth="1"/>
    <col min="2544" max="2544" width="0.85546875" style="9" customWidth="1"/>
    <col min="2545" max="2565" width="0" style="9" hidden="1" customWidth="1"/>
    <col min="2566" max="2577" width="8.7109375" style="9" customWidth="1"/>
    <col min="2578" max="2581" width="0" style="9" hidden="1" customWidth="1"/>
    <col min="2582" max="2582" width="45.140625" style="9" customWidth="1"/>
    <col min="2583" max="2586" width="17.85546875" style="9"/>
    <col min="2587" max="2595" width="5.42578125" style="9" customWidth="1"/>
    <col min="2596" max="2600" width="6" style="9" customWidth="1"/>
    <col min="2601" max="2601" width="6.85546875" style="9" customWidth="1"/>
    <col min="2602" max="2602" width="5.42578125" style="9" customWidth="1"/>
    <col min="2603" max="2797" width="17.85546875" style="9"/>
    <col min="2798" max="2798" width="18.7109375" style="9" customWidth="1"/>
    <col min="2799" max="2799" width="1.7109375" style="9" customWidth="1"/>
    <col min="2800" max="2800" width="0.85546875" style="9" customWidth="1"/>
    <col min="2801" max="2821" width="0" style="9" hidden="1" customWidth="1"/>
    <col min="2822" max="2833" width="8.7109375" style="9" customWidth="1"/>
    <col min="2834" max="2837" width="0" style="9" hidden="1" customWidth="1"/>
    <col min="2838" max="2838" width="45.140625" style="9" customWidth="1"/>
    <col min="2839" max="2842" width="17.85546875" style="9"/>
    <col min="2843" max="2851" width="5.42578125" style="9" customWidth="1"/>
    <col min="2852" max="2856" width="6" style="9" customWidth="1"/>
    <col min="2857" max="2857" width="6.85546875" style="9" customWidth="1"/>
    <col min="2858" max="2858" width="5.42578125" style="9" customWidth="1"/>
    <col min="2859" max="3053" width="17.85546875" style="9"/>
    <col min="3054" max="3054" width="18.7109375" style="9" customWidth="1"/>
    <col min="3055" max="3055" width="1.7109375" style="9" customWidth="1"/>
    <col min="3056" max="3056" width="0.85546875" style="9" customWidth="1"/>
    <col min="3057" max="3077" width="0" style="9" hidden="1" customWidth="1"/>
    <col min="3078" max="3089" width="8.7109375" style="9" customWidth="1"/>
    <col min="3090" max="3093" width="0" style="9" hidden="1" customWidth="1"/>
    <col min="3094" max="3094" width="45.140625" style="9" customWidth="1"/>
    <col min="3095" max="3098" width="17.85546875" style="9"/>
    <col min="3099" max="3107" width="5.42578125" style="9" customWidth="1"/>
    <col min="3108" max="3112" width="6" style="9" customWidth="1"/>
    <col min="3113" max="3113" width="6.85546875" style="9" customWidth="1"/>
    <col min="3114" max="3114" width="5.42578125" style="9" customWidth="1"/>
    <col min="3115" max="3309" width="17.85546875" style="9"/>
    <col min="3310" max="3310" width="18.7109375" style="9" customWidth="1"/>
    <col min="3311" max="3311" width="1.7109375" style="9" customWidth="1"/>
    <col min="3312" max="3312" width="0.85546875" style="9" customWidth="1"/>
    <col min="3313" max="3333" width="0" style="9" hidden="1" customWidth="1"/>
    <col min="3334" max="3345" width="8.7109375" style="9" customWidth="1"/>
    <col min="3346" max="3349" width="0" style="9" hidden="1" customWidth="1"/>
    <col min="3350" max="3350" width="45.140625" style="9" customWidth="1"/>
    <col min="3351" max="3354" width="17.85546875" style="9"/>
    <col min="3355" max="3363" width="5.42578125" style="9" customWidth="1"/>
    <col min="3364" max="3368" width="6" style="9" customWidth="1"/>
    <col min="3369" max="3369" width="6.85546875" style="9" customWidth="1"/>
    <col min="3370" max="3370" width="5.42578125" style="9" customWidth="1"/>
    <col min="3371" max="3565" width="17.85546875" style="9"/>
    <col min="3566" max="3566" width="18.7109375" style="9" customWidth="1"/>
    <col min="3567" max="3567" width="1.7109375" style="9" customWidth="1"/>
    <col min="3568" max="3568" width="0.85546875" style="9" customWidth="1"/>
    <col min="3569" max="3589" width="0" style="9" hidden="1" customWidth="1"/>
    <col min="3590" max="3601" width="8.7109375" style="9" customWidth="1"/>
    <col min="3602" max="3605" width="0" style="9" hidden="1" customWidth="1"/>
    <col min="3606" max="3606" width="45.140625" style="9" customWidth="1"/>
    <col min="3607" max="3610" width="17.85546875" style="9"/>
    <col min="3611" max="3619" width="5.42578125" style="9" customWidth="1"/>
    <col min="3620" max="3624" width="6" style="9" customWidth="1"/>
    <col min="3625" max="3625" width="6.85546875" style="9" customWidth="1"/>
    <col min="3626" max="3626" width="5.42578125" style="9" customWidth="1"/>
    <col min="3627" max="3821" width="17.85546875" style="9"/>
    <col min="3822" max="3822" width="18.7109375" style="9" customWidth="1"/>
    <col min="3823" max="3823" width="1.7109375" style="9" customWidth="1"/>
    <col min="3824" max="3824" width="0.85546875" style="9" customWidth="1"/>
    <col min="3825" max="3845" width="0" style="9" hidden="1" customWidth="1"/>
    <col min="3846" max="3857" width="8.7109375" style="9" customWidth="1"/>
    <col min="3858" max="3861" width="0" style="9" hidden="1" customWidth="1"/>
    <col min="3862" max="3862" width="45.140625" style="9" customWidth="1"/>
    <col min="3863" max="3866" width="17.85546875" style="9"/>
    <col min="3867" max="3875" width="5.42578125" style="9" customWidth="1"/>
    <col min="3876" max="3880" width="6" style="9" customWidth="1"/>
    <col min="3881" max="3881" width="6.85546875" style="9" customWidth="1"/>
    <col min="3882" max="3882" width="5.42578125" style="9" customWidth="1"/>
    <col min="3883" max="4077" width="17.85546875" style="9"/>
    <col min="4078" max="4078" width="18.7109375" style="9" customWidth="1"/>
    <col min="4079" max="4079" width="1.7109375" style="9" customWidth="1"/>
    <col min="4080" max="4080" width="0.85546875" style="9" customWidth="1"/>
    <col min="4081" max="4101" width="0" style="9" hidden="1" customWidth="1"/>
    <col min="4102" max="4113" width="8.7109375" style="9" customWidth="1"/>
    <col min="4114" max="4117" width="0" style="9" hidden="1" customWidth="1"/>
    <col min="4118" max="4118" width="45.140625" style="9" customWidth="1"/>
    <col min="4119" max="4122" width="17.85546875" style="9"/>
    <col min="4123" max="4131" width="5.42578125" style="9" customWidth="1"/>
    <col min="4132" max="4136" width="6" style="9" customWidth="1"/>
    <col min="4137" max="4137" width="6.85546875" style="9" customWidth="1"/>
    <col min="4138" max="4138" width="5.42578125" style="9" customWidth="1"/>
    <col min="4139" max="4333" width="17.85546875" style="9"/>
    <col min="4334" max="4334" width="18.7109375" style="9" customWidth="1"/>
    <col min="4335" max="4335" width="1.7109375" style="9" customWidth="1"/>
    <col min="4336" max="4336" width="0.85546875" style="9" customWidth="1"/>
    <col min="4337" max="4357" width="0" style="9" hidden="1" customWidth="1"/>
    <col min="4358" max="4369" width="8.7109375" style="9" customWidth="1"/>
    <col min="4370" max="4373" width="0" style="9" hidden="1" customWidth="1"/>
    <col min="4374" max="4374" width="45.140625" style="9" customWidth="1"/>
    <col min="4375" max="4378" width="17.85546875" style="9"/>
    <col min="4379" max="4387" width="5.42578125" style="9" customWidth="1"/>
    <col min="4388" max="4392" width="6" style="9" customWidth="1"/>
    <col min="4393" max="4393" width="6.85546875" style="9" customWidth="1"/>
    <col min="4394" max="4394" width="5.42578125" style="9" customWidth="1"/>
    <col min="4395" max="4589" width="17.85546875" style="9"/>
    <col min="4590" max="4590" width="18.7109375" style="9" customWidth="1"/>
    <col min="4591" max="4591" width="1.7109375" style="9" customWidth="1"/>
    <col min="4592" max="4592" width="0.85546875" style="9" customWidth="1"/>
    <col min="4593" max="4613" width="0" style="9" hidden="1" customWidth="1"/>
    <col min="4614" max="4625" width="8.7109375" style="9" customWidth="1"/>
    <col min="4626" max="4629" width="0" style="9" hidden="1" customWidth="1"/>
    <col min="4630" max="4630" width="45.140625" style="9" customWidth="1"/>
    <col min="4631" max="4634" width="17.85546875" style="9"/>
    <col min="4635" max="4643" width="5.42578125" style="9" customWidth="1"/>
    <col min="4644" max="4648" width="6" style="9" customWidth="1"/>
    <col min="4649" max="4649" width="6.85546875" style="9" customWidth="1"/>
    <col min="4650" max="4650" width="5.42578125" style="9" customWidth="1"/>
    <col min="4651" max="4845" width="17.85546875" style="9"/>
    <col min="4846" max="4846" width="18.7109375" style="9" customWidth="1"/>
    <col min="4847" max="4847" width="1.7109375" style="9" customWidth="1"/>
    <col min="4848" max="4848" width="0.85546875" style="9" customWidth="1"/>
    <col min="4849" max="4869" width="0" style="9" hidden="1" customWidth="1"/>
    <col min="4870" max="4881" width="8.7109375" style="9" customWidth="1"/>
    <col min="4882" max="4885" width="0" style="9" hidden="1" customWidth="1"/>
    <col min="4886" max="4886" width="45.140625" style="9" customWidth="1"/>
    <col min="4887" max="4890" width="17.85546875" style="9"/>
    <col min="4891" max="4899" width="5.42578125" style="9" customWidth="1"/>
    <col min="4900" max="4904" width="6" style="9" customWidth="1"/>
    <col min="4905" max="4905" width="6.85546875" style="9" customWidth="1"/>
    <col min="4906" max="4906" width="5.42578125" style="9" customWidth="1"/>
    <col min="4907" max="5101" width="17.85546875" style="9"/>
    <col min="5102" max="5102" width="18.7109375" style="9" customWidth="1"/>
    <col min="5103" max="5103" width="1.7109375" style="9" customWidth="1"/>
    <col min="5104" max="5104" width="0.85546875" style="9" customWidth="1"/>
    <col min="5105" max="5125" width="0" style="9" hidden="1" customWidth="1"/>
    <col min="5126" max="5137" width="8.7109375" style="9" customWidth="1"/>
    <col min="5138" max="5141" width="0" style="9" hidden="1" customWidth="1"/>
    <col min="5142" max="5142" width="45.140625" style="9" customWidth="1"/>
    <col min="5143" max="5146" width="17.85546875" style="9"/>
    <col min="5147" max="5155" width="5.42578125" style="9" customWidth="1"/>
    <col min="5156" max="5160" width="6" style="9" customWidth="1"/>
    <col min="5161" max="5161" width="6.85546875" style="9" customWidth="1"/>
    <col min="5162" max="5162" width="5.42578125" style="9" customWidth="1"/>
    <col min="5163" max="5357" width="17.85546875" style="9"/>
    <col min="5358" max="5358" width="18.7109375" style="9" customWidth="1"/>
    <col min="5359" max="5359" width="1.7109375" style="9" customWidth="1"/>
    <col min="5360" max="5360" width="0.85546875" style="9" customWidth="1"/>
    <col min="5361" max="5381" width="0" style="9" hidden="1" customWidth="1"/>
    <col min="5382" max="5393" width="8.7109375" style="9" customWidth="1"/>
    <col min="5394" max="5397" width="0" style="9" hidden="1" customWidth="1"/>
    <col min="5398" max="5398" width="45.140625" style="9" customWidth="1"/>
    <col min="5399" max="5402" width="17.85546875" style="9"/>
    <col min="5403" max="5411" width="5.42578125" style="9" customWidth="1"/>
    <col min="5412" max="5416" width="6" style="9" customWidth="1"/>
    <col min="5417" max="5417" width="6.85546875" style="9" customWidth="1"/>
    <col min="5418" max="5418" width="5.42578125" style="9" customWidth="1"/>
    <col min="5419" max="5613" width="17.85546875" style="9"/>
    <col min="5614" max="5614" width="18.7109375" style="9" customWidth="1"/>
    <col min="5615" max="5615" width="1.7109375" style="9" customWidth="1"/>
    <col min="5616" max="5616" width="0.85546875" style="9" customWidth="1"/>
    <col min="5617" max="5637" width="0" style="9" hidden="1" customWidth="1"/>
    <col min="5638" max="5649" width="8.7109375" style="9" customWidth="1"/>
    <col min="5650" max="5653" width="0" style="9" hidden="1" customWidth="1"/>
    <col min="5654" max="5654" width="45.140625" style="9" customWidth="1"/>
    <col min="5655" max="5658" width="17.85546875" style="9"/>
    <col min="5659" max="5667" width="5.42578125" style="9" customWidth="1"/>
    <col min="5668" max="5672" width="6" style="9" customWidth="1"/>
    <col min="5673" max="5673" width="6.85546875" style="9" customWidth="1"/>
    <col min="5674" max="5674" width="5.42578125" style="9" customWidth="1"/>
    <col min="5675" max="5869" width="17.85546875" style="9"/>
    <col min="5870" max="5870" width="18.7109375" style="9" customWidth="1"/>
    <col min="5871" max="5871" width="1.7109375" style="9" customWidth="1"/>
    <col min="5872" max="5872" width="0.85546875" style="9" customWidth="1"/>
    <col min="5873" max="5893" width="0" style="9" hidden="1" customWidth="1"/>
    <col min="5894" max="5905" width="8.7109375" style="9" customWidth="1"/>
    <col min="5906" max="5909" width="0" style="9" hidden="1" customWidth="1"/>
    <col min="5910" max="5910" width="45.140625" style="9" customWidth="1"/>
    <col min="5911" max="5914" width="17.85546875" style="9"/>
    <col min="5915" max="5923" width="5.42578125" style="9" customWidth="1"/>
    <col min="5924" max="5928" width="6" style="9" customWidth="1"/>
    <col min="5929" max="5929" width="6.85546875" style="9" customWidth="1"/>
    <col min="5930" max="5930" width="5.42578125" style="9" customWidth="1"/>
    <col min="5931" max="6125" width="17.85546875" style="9"/>
    <col min="6126" max="6126" width="18.7109375" style="9" customWidth="1"/>
    <col min="6127" max="6127" width="1.7109375" style="9" customWidth="1"/>
    <col min="6128" max="6128" width="0.85546875" style="9" customWidth="1"/>
    <col min="6129" max="6149" width="0" style="9" hidden="1" customWidth="1"/>
    <col min="6150" max="6161" width="8.7109375" style="9" customWidth="1"/>
    <col min="6162" max="6165" width="0" style="9" hidden="1" customWidth="1"/>
    <col min="6166" max="6166" width="45.140625" style="9" customWidth="1"/>
    <col min="6167" max="6170" width="17.85546875" style="9"/>
    <col min="6171" max="6179" width="5.42578125" style="9" customWidth="1"/>
    <col min="6180" max="6184" width="6" style="9" customWidth="1"/>
    <col min="6185" max="6185" width="6.85546875" style="9" customWidth="1"/>
    <col min="6186" max="6186" width="5.42578125" style="9" customWidth="1"/>
    <col min="6187" max="6381" width="17.85546875" style="9"/>
    <col min="6382" max="6382" width="18.7109375" style="9" customWidth="1"/>
    <col min="6383" max="6383" width="1.7109375" style="9" customWidth="1"/>
    <col min="6384" max="6384" width="0.85546875" style="9" customWidth="1"/>
    <col min="6385" max="6405" width="0" style="9" hidden="1" customWidth="1"/>
    <col min="6406" max="6417" width="8.7109375" style="9" customWidth="1"/>
    <col min="6418" max="6421" width="0" style="9" hidden="1" customWidth="1"/>
    <col min="6422" max="6422" width="45.140625" style="9" customWidth="1"/>
    <col min="6423" max="6426" width="17.85546875" style="9"/>
    <col min="6427" max="6435" width="5.42578125" style="9" customWidth="1"/>
    <col min="6436" max="6440" width="6" style="9" customWidth="1"/>
    <col min="6441" max="6441" width="6.85546875" style="9" customWidth="1"/>
    <col min="6442" max="6442" width="5.42578125" style="9" customWidth="1"/>
    <col min="6443" max="6637" width="17.85546875" style="9"/>
    <col min="6638" max="6638" width="18.7109375" style="9" customWidth="1"/>
    <col min="6639" max="6639" width="1.7109375" style="9" customWidth="1"/>
    <col min="6640" max="6640" width="0.85546875" style="9" customWidth="1"/>
    <col min="6641" max="6661" width="0" style="9" hidden="1" customWidth="1"/>
    <col min="6662" max="6673" width="8.7109375" style="9" customWidth="1"/>
    <col min="6674" max="6677" width="0" style="9" hidden="1" customWidth="1"/>
    <col min="6678" max="6678" width="45.140625" style="9" customWidth="1"/>
    <col min="6679" max="6682" width="17.85546875" style="9"/>
    <col min="6683" max="6691" width="5.42578125" style="9" customWidth="1"/>
    <col min="6692" max="6696" width="6" style="9" customWidth="1"/>
    <col min="6697" max="6697" width="6.85546875" style="9" customWidth="1"/>
    <col min="6698" max="6698" width="5.42578125" style="9" customWidth="1"/>
    <col min="6699" max="6893" width="17.85546875" style="9"/>
    <col min="6894" max="6894" width="18.7109375" style="9" customWidth="1"/>
    <col min="6895" max="6895" width="1.7109375" style="9" customWidth="1"/>
    <col min="6896" max="6896" width="0.85546875" style="9" customWidth="1"/>
    <col min="6897" max="6917" width="0" style="9" hidden="1" customWidth="1"/>
    <col min="6918" max="6929" width="8.7109375" style="9" customWidth="1"/>
    <col min="6930" max="6933" width="0" style="9" hidden="1" customWidth="1"/>
    <col min="6934" max="6934" width="45.140625" style="9" customWidth="1"/>
    <col min="6935" max="6938" width="17.85546875" style="9"/>
    <col min="6939" max="6947" width="5.42578125" style="9" customWidth="1"/>
    <col min="6948" max="6952" width="6" style="9" customWidth="1"/>
    <col min="6953" max="6953" width="6.85546875" style="9" customWidth="1"/>
    <col min="6954" max="6954" width="5.42578125" style="9" customWidth="1"/>
    <col min="6955" max="7149" width="17.85546875" style="9"/>
    <col min="7150" max="7150" width="18.7109375" style="9" customWidth="1"/>
    <col min="7151" max="7151" width="1.7109375" style="9" customWidth="1"/>
    <col min="7152" max="7152" width="0.85546875" style="9" customWidth="1"/>
    <col min="7153" max="7173" width="0" style="9" hidden="1" customWidth="1"/>
    <col min="7174" max="7185" width="8.7109375" style="9" customWidth="1"/>
    <col min="7186" max="7189" width="0" style="9" hidden="1" customWidth="1"/>
    <col min="7190" max="7190" width="45.140625" style="9" customWidth="1"/>
    <col min="7191" max="7194" width="17.85546875" style="9"/>
    <col min="7195" max="7203" width="5.42578125" style="9" customWidth="1"/>
    <col min="7204" max="7208" width="6" style="9" customWidth="1"/>
    <col min="7209" max="7209" width="6.85546875" style="9" customWidth="1"/>
    <col min="7210" max="7210" width="5.42578125" style="9" customWidth="1"/>
    <col min="7211" max="7405" width="17.85546875" style="9"/>
    <col min="7406" max="7406" width="18.7109375" style="9" customWidth="1"/>
    <col min="7407" max="7407" width="1.7109375" style="9" customWidth="1"/>
    <col min="7408" max="7408" width="0.85546875" style="9" customWidth="1"/>
    <col min="7409" max="7429" width="0" style="9" hidden="1" customWidth="1"/>
    <col min="7430" max="7441" width="8.7109375" style="9" customWidth="1"/>
    <col min="7442" max="7445" width="0" style="9" hidden="1" customWidth="1"/>
    <col min="7446" max="7446" width="45.140625" style="9" customWidth="1"/>
    <col min="7447" max="7450" width="17.85546875" style="9"/>
    <col min="7451" max="7459" width="5.42578125" style="9" customWidth="1"/>
    <col min="7460" max="7464" width="6" style="9" customWidth="1"/>
    <col min="7465" max="7465" width="6.85546875" style="9" customWidth="1"/>
    <col min="7466" max="7466" width="5.42578125" style="9" customWidth="1"/>
    <col min="7467" max="7661" width="17.85546875" style="9"/>
    <col min="7662" max="7662" width="18.7109375" style="9" customWidth="1"/>
    <col min="7663" max="7663" width="1.7109375" style="9" customWidth="1"/>
    <col min="7664" max="7664" width="0.85546875" style="9" customWidth="1"/>
    <col min="7665" max="7685" width="0" style="9" hidden="1" customWidth="1"/>
    <col min="7686" max="7697" width="8.7109375" style="9" customWidth="1"/>
    <col min="7698" max="7701" width="0" style="9" hidden="1" customWidth="1"/>
    <col min="7702" max="7702" width="45.140625" style="9" customWidth="1"/>
    <col min="7703" max="7706" width="17.85546875" style="9"/>
    <col min="7707" max="7715" width="5.42578125" style="9" customWidth="1"/>
    <col min="7716" max="7720" width="6" style="9" customWidth="1"/>
    <col min="7721" max="7721" width="6.85546875" style="9" customWidth="1"/>
    <col min="7722" max="7722" width="5.42578125" style="9" customWidth="1"/>
    <col min="7723" max="7917" width="17.85546875" style="9"/>
    <col min="7918" max="7918" width="18.7109375" style="9" customWidth="1"/>
    <col min="7919" max="7919" width="1.7109375" style="9" customWidth="1"/>
    <col min="7920" max="7920" width="0.85546875" style="9" customWidth="1"/>
    <col min="7921" max="7941" width="0" style="9" hidden="1" customWidth="1"/>
    <col min="7942" max="7953" width="8.7109375" style="9" customWidth="1"/>
    <col min="7954" max="7957" width="0" style="9" hidden="1" customWidth="1"/>
    <col min="7958" max="7958" width="45.140625" style="9" customWidth="1"/>
    <col min="7959" max="7962" width="17.85546875" style="9"/>
    <col min="7963" max="7971" width="5.42578125" style="9" customWidth="1"/>
    <col min="7972" max="7976" width="6" style="9" customWidth="1"/>
    <col min="7977" max="7977" width="6.85546875" style="9" customWidth="1"/>
    <col min="7978" max="7978" width="5.42578125" style="9" customWidth="1"/>
    <col min="7979" max="8173" width="17.85546875" style="9"/>
    <col min="8174" max="8174" width="18.7109375" style="9" customWidth="1"/>
    <col min="8175" max="8175" width="1.7109375" style="9" customWidth="1"/>
    <col min="8176" max="8176" width="0.85546875" style="9" customWidth="1"/>
    <col min="8177" max="8197" width="0" style="9" hidden="1" customWidth="1"/>
    <col min="8198" max="8209" width="8.7109375" style="9" customWidth="1"/>
    <col min="8210" max="8213" width="0" style="9" hidden="1" customWidth="1"/>
    <col min="8214" max="8214" width="45.140625" style="9" customWidth="1"/>
    <col min="8215" max="8218" width="17.85546875" style="9"/>
    <col min="8219" max="8227" width="5.42578125" style="9" customWidth="1"/>
    <col min="8228" max="8232" width="6" style="9" customWidth="1"/>
    <col min="8233" max="8233" width="6.85546875" style="9" customWidth="1"/>
    <col min="8234" max="8234" width="5.42578125" style="9" customWidth="1"/>
    <col min="8235" max="8429" width="17.85546875" style="9"/>
    <col min="8430" max="8430" width="18.7109375" style="9" customWidth="1"/>
    <col min="8431" max="8431" width="1.7109375" style="9" customWidth="1"/>
    <col min="8432" max="8432" width="0.85546875" style="9" customWidth="1"/>
    <col min="8433" max="8453" width="0" style="9" hidden="1" customWidth="1"/>
    <col min="8454" max="8465" width="8.7109375" style="9" customWidth="1"/>
    <col min="8466" max="8469" width="0" style="9" hidden="1" customWidth="1"/>
    <col min="8470" max="8470" width="45.140625" style="9" customWidth="1"/>
    <col min="8471" max="8474" width="17.85546875" style="9"/>
    <col min="8475" max="8483" width="5.42578125" style="9" customWidth="1"/>
    <col min="8484" max="8488" width="6" style="9" customWidth="1"/>
    <col min="8489" max="8489" width="6.85546875" style="9" customWidth="1"/>
    <col min="8490" max="8490" width="5.42578125" style="9" customWidth="1"/>
    <col min="8491" max="8685" width="17.85546875" style="9"/>
    <col min="8686" max="8686" width="18.7109375" style="9" customWidth="1"/>
    <col min="8687" max="8687" width="1.7109375" style="9" customWidth="1"/>
    <col min="8688" max="8688" width="0.85546875" style="9" customWidth="1"/>
    <col min="8689" max="8709" width="0" style="9" hidden="1" customWidth="1"/>
    <col min="8710" max="8721" width="8.7109375" style="9" customWidth="1"/>
    <col min="8722" max="8725" width="0" style="9" hidden="1" customWidth="1"/>
    <col min="8726" max="8726" width="45.140625" style="9" customWidth="1"/>
    <col min="8727" max="8730" width="17.85546875" style="9"/>
    <col min="8731" max="8739" width="5.42578125" style="9" customWidth="1"/>
    <col min="8740" max="8744" width="6" style="9" customWidth="1"/>
    <col min="8745" max="8745" width="6.85546875" style="9" customWidth="1"/>
    <col min="8746" max="8746" width="5.42578125" style="9" customWidth="1"/>
    <col min="8747" max="8941" width="17.85546875" style="9"/>
    <col min="8942" max="8942" width="18.7109375" style="9" customWidth="1"/>
    <col min="8943" max="8943" width="1.7109375" style="9" customWidth="1"/>
    <col min="8944" max="8944" width="0.85546875" style="9" customWidth="1"/>
    <col min="8945" max="8965" width="0" style="9" hidden="1" customWidth="1"/>
    <col min="8966" max="8977" width="8.7109375" style="9" customWidth="1"/>
    <col min="8978" max="8981" width="0" style="9" hidden="1" customWidth="1"/>
    <col min="8982" max="8982" width="45.140625" style="9" customWidth="1"/>
    <col min="8983" max="8986" width="17.85546875" style="9"/>
    <col min="8987" max="8995" width="5.42578125" style="9" customWidth="1"/>
    <col min="8996" max="9000" width="6" style="9" customWidth="1"/>
    <col min="9001" max="9001" width="6.85546875" style="9" customWidth="1"/>
    <col min="9002" max="9002" width="5.42578125" style="9" customWidth="1"/>
    <col min="9003" max="9197" width="17.85546875" style="9"/>
    <col min="9198" max="9198" width="18.7109375" style="9" customWidth="1"/>
    <col min="9199" max="9199" width="1.7109375" style="9" customWidth="1"/>
    <col min="9200" max="9200" width="0.85546875" style="9" customWidth="1"/>
    <col min="9201" max="9221" width="0" style="9" hidden="1" customWidth="1"/>
    <col min="9222" max="9233" width="8.7109375" style="9" customWidth="1"/>
    <col min="9234" max="9237" width="0" style="9" hidden="1" customWidth="1"/>
    <col min="9238" max="9238" width="45.140625" style="9" customWidth="1"/>
    <col min="9239" max="9242" width="17.85546875" style="9"/>
    <col min="9243" max="9251" width="5.42578125" style="9" customWidth="1"/>
    <col min="9252" max="9256" width="6" style="9" customWidth="1"/>
    <col min="9257" max="9257" width="6.85546875" style="9" customWidth="1"/>
    <col min="9258" max="9258" width="5.42578125" style="9" customWidth="1"/>
    <col min="9259" max="9453" width="17.85546875" style="9"/>
    <col min="9454" max="9454" width="18.7109375" style="9" customWidth="1"/>
    <col min="9455" max="9455" width="1.7109375" style="9" customWidth="1"/>
    <col min="9456" max="9456" width="0.85546875" style="9" customWidth="1"/>
    <col min="9457" max="9477" width="0" style="9" hidden="1" customWidth="1"/>
    <col min="9478" max="9489" width="8.7109375" style="9" customWidth="1"/>
    <col min="9490" max="9493" width="0" style="9" hidden="1" customWidth="1"/>
    <col min="9494" max="9494" width="45.140625" style="9" customWidth="1"/>
    <col min="9495" max="9498" width="17.85546875" style="9"/>
    <col min="9499" max="9507" width="5.42578125" style="9" customWidth="1"/>
    <col min="9508" max="9512" width="6" style="9" customWidth="1"/>
    <col min="9513" max="9513" width="6.85546875" style="9" customWidth="1"/>
    <col min="9514" max="9514" width="5.42578125" style="9" customWidth="1"/>
    <col min="9515" max="9709" width="17.85546875" style="9"/>
    <col min="9710" max="9710" width="18.7109375" style="9" customWidth="1"/>
    <col min="9711" max="9711" width="1.7109375" style="9" customWidth="1"/>
    <col min="9712" max="9712" width="0.85546875" style="9" customWidth="1"/>
    <col min="9713" max="9733" width="0" style="9" hidden="1" customWidth="1"/>
    <col min="9734" max="9745" width="8.7109375" style="9" customWidth="1"/>
    <col min="9746" max="9749" width="0" style="9" hidden="1" customWidth="1"/>
    <col min="9750" max="9750" width="45.140625" style="9" customWidth="1"/>
    <col min="9751" max="9754" width="17.85546875" style="9"/>
    <col min="9755" max="9763" width="5.42578125" style="9" customWidth="1"/>
    <col min="9764" max="9768" width="6" style="9" customWidth="1"/>
    <col min="9769" max="9769" width="6.85546875" style="9" customWidth="1"/>
    <col min="9770" max="9770" width="5.42578125" style="9" customWidth="1"/>
    <col min="9771" max="9965" width="17.85546875" style="9"/>
    <col min="9966" max="9966" width="18.7109375" style="9" customWidth="1"/>
    <col min="9967" max="9967" width="1.7109375" style="9" customWidth="1"/>
    <col min="9968" max="9968" width="0.85546875" style="9" customWidth="1"/>
    <col min="9969" max="9989" width="0" style="9" hidden="1" customWidth="1"/>
    <col min="9990" max="10001" width="8.7109375" style="9" customWidth="1"/>
    <col min="10002" max="10005" width="0" style="9" hidden="1" customWidth="1"/>
    <col min="10006" max="10006" width="45.140625" style="9" customWidth="1"/>
    <col min="10007" max="10010" width="17.85546875" style="9"/>
    <col min="10011" max="10019" width="5.42578125" style="9" customWidth="1"/>
    <col min="10020" max="10024" width="6" style="9" customWidth="1"/>
    <col min="10025" max="10025" width="6.85546875" style="9" customWidth="1"/>
    <col min="10026" max="10026" width="5.42578125" style="9" customWidth="1"/>
    <col min="10027" max="10221" width="17.85546875" style="9"/>
    <col min="10222" max="10222" width="18.7109375" style="9" customWidth="1"/>
    <col min="10223" max="10223" width="1.7109375" style="9" customWidth="1"/>
    <col min="10224" max="10224" width="0.85546875" style="9" customWidth="1"/>
    <col min="10225" max="10245" width="0" style="9" hidden="1" customWidth="1"/>
    <col min="10246" max="10257" width="8.7109375" style="9" customWidth="1"/>
    <col min="10258" max="10261" width="0" style="9" hidden="1" customWidth="1"/>
    <col min="10262" max="10262" width="45.140625" style="9" customWidth="1"/>
    <col min="10263" max="10266" width="17.85546875" style="9"/>
    <col min="10267" max="10275" width="5.42578125" style="9" customWidth="1"/>
    <col min="10276" max="10280" width="6" style="9" customWidth="1"/>
    <col min="10281" max="10281" width="6.85546875" style="9" customWidth="1"/>
    <col min="10282" max="10282" width="5.42578125" style="9" customWidth="1"/>
    <col min="10283" max="10477" width="17.85546875" style="9"/>
    <col min="10478" max="10478" width="18.7109375" style="9" customWidth="1"/>
    <col min="10479" max="10479" width="1.7109375" style="9" customWidth="1"/>
    <col min="10480" max="10480" width="0.85546875" style="9" customWidth="1"/>
    <col min="10481" max="10501" width="0" style="9" hidden="1" customWidth="1"/>
    <col min="10502" max="10513" width="8.7109375" style="9" customWidth="1"/>
    <col min="10514" max="10517" width="0" style="9" hidden="1" customWidth="1"/>
    <col min="10518" max="10518" width="45.140625" style="9" customWidth="1"/>
    <col min="10519" max="10522" width="17.85546875" style="9"/>
    <col min="10523" max="10531" width="5.42578125" style="9" customWidth="1"/>
    <col min="10532" max="10536" width="6" style="9" customWidth="1"/>
    <col min="10537" max="10537" width="6.85546875" style="9" customWidth="1"/>
    <col min="10538" max="10538" width="5.42578125" style="9" customWidth="1"/>
    <col min="10539" max="10733" width="17.85546875" style="9"/>
    <col min="10734" max="10734" width="18.7109375" style="9" customWidth="1"/>
    <col min="10735" max="10735" width="1.7109375" style="9" customWidth="1"/>
    <col min="10736" max="10736" width="0.85546875" style="9" customWidth="1"/>
    <col min="10737" max="10757" width="0" style="9" hidden="1" customWidth="1"/>
    <col min="10758" max="10769" width="8.7109375" style="9" customWidth="1"/>
    <col min="10770" max="10773" width="0" style="9" hidden="1" customWidth="1"/>
    <col min="10774" max="10774" width="45.140625" style="9" customWidth="1"/>
    <col min="10775" max="10778" width="17.85546875" style="9"/>
    <col min="10779" max="10787" width="5.42578125" style="9" customWidth="1"/>
    <col min="10788" max="10792" width="6" style="9" customWidth="1"/>
    <col min="10793" max="10793" width="6.85546875" style="9" customWidth="1"/>
    <col min="10794" max="10794" width="5.42578125" style="9" customWidth="1"/>
    <col min="10795" max="10989" width="17.85546875" style="9"/>
    <col min="10990" max="10990" width="18.7109375" style="9" customWidth="1"/>
    <col min="10991" max="10991" width="1.7109375" style="9" customWidth="1"/>
    <col min="10992" max="10992" width="0.85546875" style="9" customWidth="1"/>
    <col min="10993" max="11013" width="0" style="9" hidden="1" customWidth="1"/>
    <col min="11014" max="11025" width="8.7109375" style="9" customWidth="1"/>
    <col min="11026" max="11029" width="0" style="9" hidden="1" customWidth="1"/>
    <col min="11030" max="11030" width="45.140625" style="9" customWidth="1"/>
    <col min="11031" max="11034" width="17.85546875" style="9"/>
    <col min="11035" max="11043" width="5.42578125" style="9" customWidth="1"/>
    <col min="11044" max="11048" width="6" style="9" customWidth="1"/>
    <col min="11049" max="11049" width="6.85546875" style="9" customWidth="1"/>
    <col min="11050" max="11050" width="5.42578125" style="9" customWidth="1"/>
    <col min="11051" max="11245" width="17.85546875" style="9"/>
    <col min="11246" max="11246" width="18.7109375" style="9" customWidth="1"/>
    <col min="11247" max="11247" width="1.7109375" style="9" customWidth="1"/>
    <col min="11248" max="11248" width="0.85546875" style="9" customWidth="1"/>
    <col min="11249" max="11269" width="0" style="9" hidden="1" customWidth="1"/>
    <col min="11270" max="11281" width="8.7109375" style="9" customWidth="1"/>
    <col min="11282" max="11285" width="0" style="9" hidden="1" customWidth="1"/>
    <col min="11286" max="11286" width="45.140625" style="9" customWidth="1"/>
    <col min="11287" max="11290" width="17.85546875" style="9"/>
    <col min="11291" max="11299" width="5.42578125" style="9" customWidth="1"/>
    <col min="11300" max="11304" width="6" style="9" customWidth="1"/>
    <col min="11305" max="11305" width="6.85546875" style="9" customWidth="1"/>
    <col min="11306" max="11306" width="5.42578125" style="9" customWidth="1"/>
    <col min="11307" max="11501" width="17.85546875" style="9"/>
    <col min="11502" max="11502" width="18.7109375" style="9" customWidth="1"/>
    <col min="11503" max="11503" width="1.7109375" style="9" customWidth="1"/>
    <col min="11504" max="11504" width="0.85546875" style="9" customWidth="1"/>
    <col min="11505" max="11525" width="0" style="9" hidden="1" customWidth="1"/>
    <col min="11526" max="11537" width="8.7109375" style="9" customWidth="1"/>
    <col min="11538" max="11541" width="0" style="9" hidden="1" customWidth="1"/>
    <col min="11542" max="11542" width="45.140625" style="9" customWidth="1"/>
    <col min="11543" max="11546" width="17.85546875" style="9"/>
    <col min="11547" max="11555" width="5.42578125" style="9" customWidth="1"/>
    <col min="11556" max="11560" width="6" style="9" customWidth="1"/>
    <col min="11561" max="11561" width="6.85546875" style="9" customWidth="1"/>
    <col min="11562" max="11562" width="5.42578125" style="9" customWidth="1"/>
    <col min="11563" max="11757" width="17.85546875" style="9"/>
    <col min="11758" max="11758" width="18.7109375" style="9" customWidth="1"/>
    <col min="11759" max="11759" width="1.7109375" style="9" customWidth="1"/>
    <col min="11760" max="11760" width="0.85546875" style="9" customWidth="1"/>
    <col min="11761" max="11781" width="0" style="9" hidden="1" customWidth="1"/>
    <col min="11782" max="11793" width="8.7109375" style="9" customWidth="1"/>
    <col min="11794" max="11797" width="0" style="9" hidden="1" customWidth="1"/>
    <col min="11798" max="11798" width="45.140625" style="9" customWidth="1"/>
    <col min="11799" max="11802" width="17.85546875" style="9"/>
    <col min="11803" max="11811" width="5.42578125" style="9" customWidth="1"/>
    <col min="11812" max="11816" width="6" style="9" customWidth="1"/>
    <col min="11817" max="11817" width="6.85546875" style="9" customWidth="1"/>
    <col min="11818" max="11818" width="5.42578125" style="9" customWidth="1"/>
    <col min="11819" max="12013" width="17.85546875" style="9"/>
    <col min="12014" max="12014" width="18.7109375" style="9" customWidth="1"/>
    <col min="12015" max="12015" width="1.7109375" style="9" customWidth="1"/>
    <col min="12016" max="12016" width="0.85546875" style="9" customWidth="1"/>
    <col min="12017" max="12037" width="0" style="9" hidden="1" customWidth="1"/>
    <col min="12038" max="12049" width="8.7109375" style="9" customWidth="1"/>
    <col min="12050" max="12053" width="0" style="9" hidden="1" customWidth="1"/>
    <col min="12054" max="12054" width="45.140625" style="9" customWidth="1"/>
    <col min="12055" max="12058" width="17.85546875" style="9"/>
    <col min="12059" max="12067" width="5.42578125" style="9" customWidth="1"/>
    <col min="12068" max="12072" width="6" style="9" customWidth="1"/>
    <col min="12073" max="12073" width="6.85546875" style="9" customWidth="1"/>
    <col min="12074" max="12074" width="5.42578125" style="9" customWidth="1"/>
    <col min="12075" max="12269" width="17.85546875" style="9"/>
    <col min="12270" max="12270" width="18.7109375" style="9" customWidth="1"/>
    <col min="12271" max="12271" width="1.7109375" style="9" customWidth="1"/>
    <col min="12272" max="12272" width="0.85546875" style="9" customWidth="1"/>
    <col min="12273" max="12293" width="0" style="9" hidden="1" customWidth="1"/>
    <col min="12294" max="12305" width="8.7109375" style="9" customWidth="1"/>
    <col min="12306" max="12309" width="0" style="9" hidden="1" customWidth="1"/>
    <col min="12310" max="12310" width="45.140625" style="9" customWidth="1"/>
    <col min="12311" max="12314" width="17.85546875" style="9"/>
    <col min="12315" max="12323" width="5.42578125" style="9" customWidth="1"/>
    <col min="12324" max="12328" width="6" style="9" customWidth="1"/>
    <col min="12329" max="12329" width="6.85546875" style="9" customWidth="1"/>
    <col min="12330" max="12330" width="5.42578125" style="9" customWidth="1"/>
    <col min="12331" max="12525" width="17.85546875" style="9"/>
    <col min="12526" max="12526" width="18.7109375" style="9" customWidth="1"/>
    <col min="12527" max="12527" width="1.7109375" style="9" customWidth="1"/>
    <col min="12528" max="12528" width="0.85546875" style="9" customWidth="1"/>
    <col min="12529" max="12549" width="0" style="9" hidden="1" customWidth="1"/>
    <col min="12550" max="12561" width="8.7109375" style="9" customWidth="1"/>
    <col min="12562" max="12565" width="0" style="9" hidden="1" customWidth="1"/>
    <col min="12566" max="12566" width="45.140625" style="9" customWidth="1"/>
    <col min="12567" max="12570" width="17.85546875" style="9"/>
    <col min="12571" max="12579" width="5.42578125" style="9" customWidth="1"/>
    <col min="12580" max="12584" width="6" style="9" customWidth="1"/>
    <col min="12585" max="12585" width="6.85546875" style="9" customWidth="1"/>
    <col min="12586" max="12586" width="5.42578125" style="9" customWidth="1"/>
    <col min="12587" max="12781" width="17.85546875" style="9"/>
    <col min="12782" max="12782" width="18.7109375" style="9" customWidth="1"/>
    <col min="12783" max="12783" width="1.7109375" style="9" customWidth="1"/>
    <col min="12784" max="12784" width="0.85546875" style="9" customWidth="1"/>
    <col min="12785" max="12805" width="0" style="9" hidden="1" customWidth="1"/>
    <col min="12806" max="12817" width="8.7109375" style="9" customWidth="1"/>
    <col min="12818" max="12821" width="0" style="9" hidden="1" customWidth="1"/>
    <col min="12822" max="12822" width="45.140625" style="9" customWidth="1"/>
    <col min="12823" max="12826" width="17.85546875" style="9"/>
    <col min="12827" max="12835" width="5.42578125" style="9" customWidth="1"/>
    <col min="12836" max="12840" width="6" style="9" customWidth="1"/>
    <col min="12841" max="12841" width="6.85546875" style="9" customWidth="1"/>
    <col min="12842" max="12842" width="5.42578125" style="9" customWidth="1"/>
    <col min="12843" max="13037" width="17.85546875" style="9"/>
    <col min="13038" max="13038" width="18.7109375" style="9" customWidth="1"/>
    <col min="13039" max="13039" width="1.7109375" style="9" customWidth="1"/>
    <col min="13040" max="13040" width="0.85546875" style="9" customWidth="1"/>
    <col min="13041" max="13061" width="0" style="9" hidden="1" customWidth="1"/>
    <col min="13062" max="13073" width="8.7109375" style="9" customWidth="1"/>
    <col min="13074" max="13077" width="0" style="9" hidden="1" customWidth="1"/>
    <col min="13078" max="13078" width="45.140625" style="9" customWidth="1"/>
    <col min="13079" max="13082" width="17.85546875" style="9"/>
    <col min="13083" max="13091" width="5.42578125" style="9" customWidth="1"/>
    <col min="13092" max="13096" width="6" style="9" customWidth="1"/>
    <col min="13097" max="13097" width="6.85546875" style="9" customWidth="1"/>
    <col min="13098" max="13098" width="5.42578125" style="9" customWidth="1"/>
    <col min="13099" max="13293" width="17.85546875" style="9"/>
    <col min="13294" max="13294" width="18.7109375" style="9" customWidth="1"/>
    <col min="13295" max="13295" width="1.7109375" style="9" customWidth="1"/>
    <col min="13296" max="13296" width="0.85546875" style="9" customWidth="1"/>
    <col min="13297" max="13317" width="0" style="9" hidden="1" customWidth="1"/>
    <col min="13318" max="13329" width="8.7109375" style="9" customWidth="1"/>
    <col min="13330" max="13333" width="0" style="9" hidden="1" customWidth="1"/>
    <col min="13334" max="13334" width="45.140625" style="9" customWidth="1"/>
    <col min="13335" max="13338" width="17.85546875" style="9"/>
    <col min="13339" max="13347" width="5.42578125" style="9" customWidth="1"/>
    <col min="13348" max="13352" width="6" style="9" customWidth="1"/>
    <col min="13353" max="13353" width="6.85546875" style="9" customWidth="1"/>
    <col min="13354" max="13354" width="5.42578125" style="9" customWidth="1"/>
    <col min="13355" max="13549" width="17.85546875" style="9"/>
    <col min="13550" max="13550" width="18.7109375" style="9" customWidth="1"/>
    <col min="13551" max="13551" width="1.7109375" style="9" customWidth="1"/>
    <col min="13552" max="13552" width="0.85546875" style="9" customWidth="1"/>
    <col min="13553" max="13573" width="0" style="9" hidden="1" customWidth="1"/>
    <col min="13574" max="13585" width="8.7109375" style="9" customWidth="1"/>
    <col min="13586" max="13589" width="0" style="9" hidden="1" customWidth="1"/>
    <col min="13590" max="13590" width="45.140625" style="9" customWidth="1"/>
    <col min="13591" max="13594" width="17.85546875" style="9"/>
    <col min="13595" max="13603" width="5.42578125" style="9" customWidth="1"/>
    <col min="13604" max="13608" width="6" style="9" customWidth="1"/>
    <col min="13609" max="13609" width="6.85546875" style="9" customWidth="1"/>
    <col min="13610" max="13610" width="5.42578125" style="9" customWidth="1"/>
    <col min="13611" max="13805" width="17.85546875" style="9"/>
    <col min="13806" max="13806" width="18.7109375" style="9" customWidth="1"/>
    <col min="13807" max="13807" width="1.7109375" style="9" customWidth="1"/>
    <col min="13808" max="13808" width="0.85546875" style="9" customWidth="1"/>
    <col min="13809" max="13829" width="0" style="9" hidden="1" customWidth="1"/>
    <col min="13830" max="13841" width="8.7109375" style="9" customWidth="1"/>
    <col min="13842" max="13845" width="0" style="9" hidden="1" customWidth="1"/>
    <col min="13846" max="13846" width="45.140625" style="9" customWidth="1"/>
    <col min="13847" max="13850" width="17.85546875" style="9"/>
    <col min="13851" max="13859" width="5.42578125" style="9" customWidth="1"/>
    <col min="13860" max="13864" width="6" style="9" customWidth="1"/>
    <col min="13865" max="13865" width="6.85546875" style="9" customWidth="1"/>
    <col min="13866" max="13866" width="5.42578125" style="9" customWidth="1"/>
    <col min="13867" max="14061" width="17.85546875" style="9"/>
    <col min="14062" max="14062" width="18.7109375" style="9" customWidth="1"/>
    <col min="14063" max="14063" width="1.7109375" style="9" customWidth="1"/>
    <col min="14064" max="14064" width="0.85546875" style="9" customWidth="1"/>
    <col min="14065" max="14085" width="0" style="9" hidden="1" customWidth="1"/>
    <col min="14086" max="14097" width="8.7109375" style="9" customWidth="1"/>
    <col min="14098" max="14101" width="0" style="9" hidden="1" customWidth="1"/>
    <col min="14102" max="14102" width="45.140625" style="9" customWidth="1"/>
    <col min="14103" max="14106" width="17.85546875" style="9"/>
    <col min="14107" max="14115" width="5.42578125" style="9" customWidth="1"/>
    <col min="14116" max="14120" width="6" style="9" customWidth="1"/>
    <col min="14121" max="14121" width="6.85546875" style="9" customWidth="1"/>
    <col min="14122" max="14122" width="5.42578125" style="9" customWidth="1"/>
    <col min="14123" max="14317" width="17.85546875" style="9"/>
    <col min="14318" max="14318" width="18.7109375" style="9" customWidth="1"/>
    <col min="14319" max="14319" width="1.7109375" style="9" customWidth="1"/>
    <col min="14320" max="14320" width="0.85546875" style="9" customWidth="1"/>
    <col min="14321" max="14341" width="0" style="9" hidden="1" customWidth="1"/>
    <col min="14342" max="14353" width="8.7109375" style="9" customWidth="1"/>
    <col min="14354" max="14357" width="0" style="9" hidden="1" customWidth="1"/>
    <col min="14358" max="14358" width="45.140625" style="9" customWidth="1"/>
    <col min="14359" max="14362" width="17.85546875" style="9"/>
    <col min="14363" max="14371" width="5.42578125" style="9" customWidth="1"/>
    <col min="14372" max="14376" width="6" style="9" customWidth="1"/>
    <col min="14377" max="14377" width="6.85546875" style="9" customWidth="1"/>
    <col min="14378" max="14378" width="5.42578125" style="9" customWidth="1"/>
    <col min="14379" max="14573" width="17.85546875" style="9"/>
    <col min="14574" max="14574" width="18.7109375" style="9" customWidth="1"/>
    <col min="14575" max="14575" width="1.7109375" style="9" customWidth="1"/>
    <col min="14576" max="14576" width="0.85546875" style="9" customWidth="1"/>
    <col min="14577" max="14597" width="0" style="9" hidden="1" customWidth="1"/>
    <col min="14598" max="14609" width="8.7109375" style="9" customWidth="1"/>
    <col min="14610" max="14613" width="0" style="9" hidden="1" customWidth="1"/>
    <col min="14614" max="14614" width="45.140625" style="9" customWidth="1"/>
    <col min="14615" max="14618" width="17.85546875" style="9"/>
    <col min="14619" max="14627" width="5.42578125" style="9" customWidth="1"/>
    <col min="14628" max="14632" width="6" style="9" customWidth="1"/>
    <col min="14633" max="14633" width="6.85546875" style="9" customWidth="1"/>
    <col min="14634" max="14634" width="5.42578125" style="9" customWidth="1"/>
    <col min="14635" max="14829" width="17.85546875" style="9"/>
    <col min="14830" max="14830" width="18.7109375" style="9" customWidth="1"/>
    <col min="14831" max="14831" width="1.7109375" style="9" customWidth="1"/>
    <col min="14832" max="14832" width="0.85546875" style="9" customWidth="1"/>
    <col min="14833" max="14853" width="0" style="9" hidden="1" customWidth="1"/>
    <col min="14854" max="14865" width="8.7109375" style="9" customWidth="1"/>
    <col min="14866" max="14869" width="0" style="9" hidden="1" customWidth="1"/>
    <col min="14870" max="14870" width="45.140625" style="9" customWidth="1"/>
    <col min="14871" max="14874" width="17.85546875" style="9"/>
    <col min="14875" max="14883" width="5.42578125" style="9" customWidth="1"/>
    <col min="14884" max="14888" width="6" style="9" customWidth="1"/>
    <col min="14889" max="14889" width="6.85546875" style="9" customWidth="1"/>
    <col min="14890" max="14890" width="5.42578125" style="9" customWidth="1"/>
    <col min="14891" max="15085" width="17.85546875" style="9"/>
    <col min="15086" max="15086" width="18.7109375" style="9" customWidth="1"/>
    <col min="15087" max="15087" width="1.7109375" style="9" customWidth="1"/>
    <col min="15088" max="15088" width="0.85546875" style="9" customWidth="1"/>
    <col min="15089" max="15109" width="0" style="9" hidden="1" customWidth="1"/>
    <col min="15110" max="15121" width="8.7109375" style="9" customWidth="1"/>
    <col min="15122" max="15125" width="0" style="9" hidden="1" customWidth="1"/>
    <col min="15126" max="15126" width="45.140625" style="9" customWidth="1"/>
    <col min="15127" max="15130" width="17.85546875" style="9"/>
    <col min="15131" max="15139" width="5.42578125" style="9" customWidth="1"/>
    <col min="15140" max="15144" width="6" style="9" customWidth="1"/>
    <col min="15145" max="15145" width="6.85546875" style="9" customWidth="1"/>
    <col min="15146" max="15146" width="5.42578125" style="9" customWidth="1"/>
    <col min="15147" max="15341" width="17.85546875" style="9"/>
    <col min="15342" max="15342" width="18.7109375" style="9" customWidth="1"/>
    <col min="15343" max="15343" width="1.7109375" style="9" customWidth="1"/>
    <col min="15344" max="15344" width="0.85546875" style="9" customWidth="1"/>
    <col min="15345" max="15365" width="0" style="9" hidden="1" customWidth="1"/>
    <col min="15366" max="15377" width="8.7109375" style="9" customWidth="1"/>
    <col min="15378" max="15381" width="0" style="9" hidden="1" customWidth="1"/>
    <col min="15382" max="15382" width="45.140625" style="9" customWidth="1"/>
    <col min="15383" max="15386" width="17.85546875" style="9"/>
    <col min="15387" max="15395" width="5.42578125" style="9" customWidth="1"/>
    <col min="15396" max="15400" width="6" style="9" customWidth="1"/>
    <col min="15401" max="15401" width="6.85546875" style="9" customWidth="1"/>
    <col min="15402" max="15402" width="5.42578125" style="9" customWidth="1"/>
    <col min="15403" max="15597" width="17.85546875" style="9"/>
    <col min="15598" max="15598" width="18.7109375" style="9" customWidth="1"/>
    <col min="15599" max="15599" width="1.7109375" style="9" customWidth="1"/>
    <col min="15600" max="15600" width="0.85546875" style="9" customWidth="1"/>
    <col min="15601" max="15621" width="0" style="9" hidden="1" customWidth="1"/>
    <col min="15622" max="15633" width="8.7109375" style="9" customWidth="1"/>
    <col min="15634" max="15637" width="0" style="9" hidden="1" customWidth="1"/>
    <col min="15638" max="15638" width="45.140625" style="9" customWidth="1"/>
    <col min="15639" max="15642" width="17.85546875" style="9"/>
    <col min="15643" max="15651" width="5.42578125" style="9" customWidth="1"/>
    <col min="15652" max="15656" width="6" style="9" customWidth="1"/>
    <col min="15657" max="15657" width="6.85546875" style="9" customWidth="1"/>
    <col min="15658" max="15658" width="5.42578125" style="9" customWidth="1"/>
    <col min="15659" max="15853" width="17.85546875" style="9"/>
    <col min="15854" max="15854" width="18.7109375" style="9" customWidth="1"/>
    <col min="15855" max="15855" width="1.7109375" style="9" customWidth="1"/>
    <col min="15856" max="15856" width="0.85546875" style="9" customWidth="1"/>
    <col min="15857" max="15877" width="0" style="9" hidden="1" customWidth="1"/>
    <col min="15878" max="15889" width="8.7109375" style="9" customWidth="1"/>
    <col min="15890" max="15893" width="0" style="9" hidden="1" customWidth="1"/>
    <col min="15894" max="15894" width="45.140625" style="9" customWidth="1"/>
    <col min="15895" max="15898" width="17.85546875" style="9"/>
    <col min="15899" max="15907" width="5.42578125" style="9" customWidth="1"/>
    <col min="15908" max="15912" width="6" style="9" customWidth="1"/>
    <col min="15913" max="15913" width="6.85546875" style="9" customWidth="1"/>
    <col min="15914" max="15914" width="5.42578125" style="9" customWidth="1"/>
    <col min="15915" max="16109" width="17.85546875" style="9"/>
    <col min="16110" max="16110" width="18.7109375" style="9" customWidth="1"/>
    <col min="16111" max="16111" width="1.7109375" style="9" customWidth="1"/>
    <col min="16112" max="16112" width="0.85546875" style="9" customWidth="1"/>
    <col min="16113" max="16133" width="0" style="9" hidden="1" customWidth="1"/>
    <col min="16134" max="16145" width="8.7109375" style="9" customWidth="1"/>
    <col min="16146" max="16149" width="0" style="9" hidden="1" customWidth="1"/>
    <col min="16150" max="16150" width="45.140625" style="9" customWidth="1"/>
    <col min="16151" max="16154" width="17.85546875" style="9"/>
    <col min="16155" max="16163" width="5.42578125" style="9" customWidth="1"/>
    <col min="16164" max="16168" width="6" style="9" customWidth="1"/>
    <col min="16169" max="16169" width="6.85546875" style="9" customWidth="1"/>
    <col min="16170" max="16170" width="5.42578125" style="9" customWidth="1"/>
    <col min="16171" max="16384" width="17.85546875" style="9"/>
  </cols>
  <sheetData>
    <row r="1" spans="1:26" ht="15.75">
      <c r="A1" s="68" t="s">
        <v>23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26" ht="21.75" customHeight="1">
      <c r="A2" s="69" t="s">
        <v>24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1:26" s="10" customFormat="1" ht="15" customHeight="1">
      <c r="A3" s="70" t="s">
        <v>5</v>
      </c>
      <c r="B3" s="72">
        <v>2017</v>
      </c>
      <c r="C3" s="73"/>
      <c r="D3" s="73"/>
      <c r="E3" s="73"/>
      <c r="F3" s="72">
        <v>2018</v>
      </c>
      <c r="G3" s="73"/>
      <c r="H3" s="73"/>
      <c r="I3" s="73"/>
      <c r="J3" s="72">
        <v>2019</v>
      </c>
      <c r="K3" s="73"/>
      <c r="L3" s="73"/>
      <c r="M3" s="73"/>
      <c r="N3" s="72" t="s">
        <v>22</v>
      </c>
      <c r="O3" s="73"/>
      <c r="P3" s="73"/>
      <c r="Q3" s="73"/>
      <c r="R3" s="65" t="s">
        <v>6</v>
      </c>
    </row>
    <row r="4" spans="1:26" s="10" customFormat="1" ht="21" customHeight="1">
      <c r="A4" s="71"/>
      <c r="B4" s="12" t="s">
        <v>0</v>
      </c>
      <c r="C4" s="11" t="s">
        <v>2</v>
      </c>
      <c r="D4" s="11" t="s">
        <v>3</v>
      </c>
      <c r="E4" s="11" t="s">
        <v>7</v>
      </c>
      <c r="F4" s="12" t="s">
        <v>0</v>
      </c>
      <c r="G4" s="11" t="s">
        <v>2</v>
      </c>
      <c r="H4" s="11" t="s">
        <v>3</v>
      </c>
      <c r="I4" s="11" t="s">
        <v>7</v>
      </c>
      <c r="J4" s="12" t="s">
        <v>0</v>
      </c>
      <c r="K4" s="11" t="s">
        <v>2</v>
      </c>
      <c r="L4" s="11" t="s">
        <v>3</v>
      </c>
      <c r="M4" s="11" t="s">
        <v>7</v>
      </c>
      <c r="N4" s="12" t="s">
        <v>0</v>
      </c>
      <c r="O4" s="11" t="s">
        <v>2</v>
      </c>
      <c r="P4" s="11" t="s">
        <v>3</v>
      </c>
      <c r="Q4" s="11" t="s">
        <v>7</v>
      </c>
      <c r="R4" s="66"/>
    </row>
    <row r="5" spans="1:26" s="14" customFormat="1" ht="15.75">
      <c r="A5" s="13" t="s">
        <v>8</v>
      </c>
      <c r="B5" s="35">
        <f t="shared" ref="B5:B11" si="0">SUM(C5:E5)</f>
        <v>6723</v>
      </c>
      <c r="C5" s="34">
        <f>SUM(C6:C7)</f>
        <v>4180</v>
      </c>
      <c r="D5" s="34">
        <f>SUM(D6:D7)</f>
        <v>2194</v>
      </c>
      <c r="E5" s="34">
        <f>SUM(E6:E7)</f>
        <v>349</v>
      </c>
      <c r="F5" s="35">
        <f>SUM(G5:I5)</f>
        <v>6564</v>
      </c>
      <c r="G5" s="34">
        <f>SUM(G6:G8)</f>
        <v>4265</v>
      </c>
      <c r="H5" s="34">
        <f>SUM(H6:H8)</f>
        <v>2039</v>
      </c>
      <c r="I5" s="34">
        <f>SUM(I6:I8)</f>
        <v>260</v>
      </c>
      <c r="J5" s="35">
        <f>SUM(K5:M5)</f>
        <v>6127</v>
      </c>
      <c r="K5" s="34">
        <f>SUM(K6:K7)</f>
        <v>4254</v>
      </c>
      <c r="L5" s="34">
        <f>SUM(L6:L8)</f>
        <v>1842</v>
      </c>
      <c r="M5" s="34">
        <f>SUM(M6:M7)</f>
        <v>31</v>
      </c>
      <c r="N5" s="35">
        <f>SUM(O5:Q5)</f>
        <v>6293</v>
      </c>
      <c r="O5" s="34">
        <f>SUM(O6:O7)</f>
        <v>3151</v>
      </c>
      <c r="P5" s="34">
        <f>SUM(P6:P8)</f>
        <v>3068</v>
      </c>
      <c r="Q5" s="34">
        <f>SUM(Q6:Q7)</f>
        <v>74</v>
      </c>
      <c r="R5" s="36" t="s">
        <v>9</v>
      </c>
      <c r="S5" s="4"/>
      <c r="T5" s="4"/>
      <c r="U5" s="4"/>
      <c r="V5" s="4"/>
      <c r="W5" s="4"/>
      <c r="X5" s="4"/>
      <c r="Y5" s="4"/>
      <c r="Z5" s="4"/>
    </row>
    <row r="6" spans="1:26" s="16" customFormat="1" ht="15.75">
      <c r="A6" s="15" t="s">
        <v>10</v>
      </c>
      <c r="B6" s="42">
        <f t="shared" si="0"/>
        <v>3403</v>
      </c>
      <c r="C6" s="62">
        <v>2151</v>
      </c>
      <c r="D6" s="62">
        <v>1097</v>
      </c>
      <c r="E6" s="62">
        <v>155</v>
      </c>
      <c r="F6" s="42">
        <f t="shared" ref="F6:F10" si="1">SUM(G6:I6)</f>
        <v>3411</v>
      </c>
      <c r="G6" s="62">
        <v>2229</v>
      </c>
      <c r="H6" s="62">
        <v>1039</v>
      </c>
      <c r="I6" s="62">
        <v>143</v>
      </c>
      <c r="J6" s="42">
        <f>SUM(K6:M6)</f>
        <v>3088</v>
      </c>
      <c r="K6" s="62">
        <v>2151</v>
      </c>
      <c r="L6" s="62">
        <v>922</v>
      </c>
      <c r="M6" s="62">
        <v>15</v>
      </c>
      <c r="N6" s="42">
        <f>SUM(O6:Q6)</f>
        <v>3204</v>
      </c>
      <c r="O6" s="62">
        <v>1590</v>
      </c>
      <c r="P6" s="62">
        <v>1580</v>
      </c>
      <c r="Q6" s="62">
        <v>34</v>
      </c>
      <c r="R6" s="37" t="s">
        <v>11</v>
      </c>
      <c r="S6" s="4"/>
      <c r="T6" s="5"/>
      <c r="U6" s="5"/>
      <c r="V6" s="5"/>
      <c r="W6" s="5"/>
      <c r="X6" s="5"/>
      <c r="Y6" s="5"/>
      <c r="Z6" s="5"/>
    </row>
    <row r="7" spans="1:26" s="16" customFormat="1" ht="15.75">
      <c r="A7" s="15" t="s">
        <v>12</v>
      </c>
      <c r="B7" s="42">
        <f t="shared" si="0"/>
        <v>3320</v>
      </c>
      <c r="C7" s="62">
        <v>2029</v>
      </c>
      <c r="D7" s="62">
        <v>1097</v>
      </c>
      <c r="E7" s="62">
        <v>194</v>
      </c>
      <c r="F7" s="42">
        <f t="shared" si="1"/>
        <v>3152</v>
      </c>
      <c r="G7" s="62">
        <v>2035</v>
      </c>
      <c r="H7" s="62">
        <v>1000</v>
      </c>
      <c r="I7" s="62">
        <v>117</v>
      </c>
      <c r="J7" s="42">
        <f>SUM(K7:M7)</f>
        <v>3038</v>
      </c>
      <c r="K7" s="62">
        <v>2103</v>
      </c>
      <c r="L7" s="62">
        <v>919</v>
      </c>
      <c r="M7" s="62">
        <v>16</v>
      </c>
      <c r="N7" s="42">
        <f>SUM(O7:Q7)</f>
        <v>3089</v>
      </c>
      <c r="O7" s="62">
        <v>1561</v>
      </c>
      <c r="P7" s="62">
        <v>1488</v>
      </c>
      <c r="Q7" s="62">
        <v>40</v>
      </c>
      <c r="R7" s="37" t="s">
        <v>13</v>
      </c>
      <c r="S7" s="4"/>
      <c r="T7" s="5"/>
      <c r="U7" s="5"/>
      <c r="V7" s="5"/>
      <c r="W7" s="5"/>
      <c r="X7" s="5"/>
      <c r="Y7" s="5"/>
      <c r="Z7" s="5"/>
    </row>
    <row r="8" spans="1:26" s="16" customFormat="1" ht="15.75">
      <c r="A8" s="15" t="s">
        <v>19</v>
      </c>
      <c r="B8" s="43" t="s">
        <v>1</v>
      </c>
      <c r="C8" s="44" t="s">
        <v>1</v>
      </c>
      <c r="D8" s="44" t="s">
        <v>1</v>
      </c>
      <c r="E8" s="45" t="s">
        <v>1</v>
      </c>
      <c r="F8" s="62">
        <f t="shared" si="1"/>
        <v>1</v>
      </c>
      <c r="G8" s="62">
        <v>1</v>
      </c>
      <c r="H8" s="62">
        <v>0</v>
      </c>
      <c r="I8" s="46">
        <v>0</v>
      </c>
      <c r="J8" s="47">
        <f>SUM(K8:M8)</f>
        <v>1</v>
      </c>
      <c r="K8" s="48">
        <v>0</v>
      </c>
      <c r="L8" s="48">
        <v>1</v>
      </c>
      <c r="M8" s="48">
        <v>0</v>
      </c>
      <c r="N8" s="47" t="s">
        <v>1</v>
      </c>
      <c r="O8" s="48" t="s">
        <v>1</v>
      </c>
      <c r="P8" s="48" t="s">
        <v>1</v>
      </c>
      <c r="Q8" s="48" t="s">
        <v>1</v>
      </c>
      <c r="R8" s="37"/>
      <c r="S8" s="4"/>
      <c r="T8" s="5"/>
      <c r="U8" s="5"/>
      <c r="V8" s="5"/>
      <c r="W8" s="5"/>
      <c r="X8" s="5"/>
      <c r="Y8" s="5"/>
      <c r="Z8" s="5"/>
    </row>
    <row r="9" spans="1:26" s="14" customFormat="1" ht="15.75">
      <c r="A9" s="64" t="s">
        <v>14</v>
      </c>
      <c r="B9" s="49">
        <f t="shared" si="0"/>
        <v>64</v>
      </c>
      <c r="C9" s="50">
        <f>SUM(C10:C11)</f>
        <v>44</v>
      </c>
      <c r="D9" s="50">
        <f>SUM(D10:D11)</f>
        <v>14</v>
      </c>
      <c r="E9" s="50">
        <f>SUM(E10:E11)</f>
        <v>6</v>
      </c>
      <c r="F9" s="49">
        <f>SUM(G9:I9)</f>
        <v>46</v>
      </c>
      <c r="G9" s="50">
        <f>SUM(G10:G12)</f>
        <v>32</v>
      </c>
      <c r="H9" s="50">
        <f>SUM(H10:H12)</f>
        <v>12</v>
      </c>
      <c r="I9" s="50">
        <f>SUM(I10:I12)</f>
        <v>2</v>
      </c>
      <c r="J9" s="49">
        <f>SUM(K11:M11)</f>
        <v>20</v>
      </c>
      <c r="K9" s="50">
        <f>SUM(K10:K11)</f>
        <v>24</v>
      </c>
      <c r="L9" s="50">
        <f>SUM(L10:L11)</f>
        <v>8</v>
      </c>
      <c r="M9" s="50">
        <f>SUM(M10:M11)</f>
        <v>11</v>
      </c>
      <c r="N9" s="49">
        <f>SUM(O9:Q9)</f>
        <v>45</v>
      </c>
      <c r="O9" s="50">
        <f>SUM(O10:O12)</f>
        <v>36</v>
      </c>
      <c r="P9" s="50">
        <f t="shared" ref="P9:Q9" si="2">SUM(P10:P12)</f>
        <v>7</v>
      </c>
      <c r="Q9" s="50">
        <f t="shared" si="2"/>
        <v>2</v>
      </c>
      <c r="R9" s="36" t="s">
        <v>15</v>
      </c>
      <c r="S9" s="4"/>
      <c r="T9" s="6"/>
      <c r="U9" s="6"/>
      <c r="V9" s="6"/>
      <c r="W9" s="6"/>
      <c r="X9" s="6"/>
      <c r="Y9" s="6"/>
      <c r="Z9" s="6"/>
    </row>
    <row r="10" spans="1:26" s="14" customFormat="1" ht="15.75">
      <c r="A10" s="15" t="s">
        <v>10</v>
      </c>
      <c r="B10" s="51">
        <f t="shared" si="0"/>
        <v>42</v>
      </c>
      <c r="C10" s="63">
        <v>31</v>
      </c>
      <c r="D10" s="63">
        <v>7</v>
      </c>
      <c r="E10" s="63">
        <v>4</v>
      </c>
      <c r="F10" s="51">
        <f t="shared" si="1"/>
        <v>24</v>
      </c>
      <c r="G10" s="63">
        <v>19</v>
      </c>
      <c r="H10" s="63">
        <v>4</v>
      </c>
      <c r="I10" s="63">
        <v>1</v>
      </c>
      <c r="J10" s="51">
        <f>SUM(K10:M10)</f>
        <v>23</v>
      </c>
      <c r="K10" s="63">
        <v>11</v>
      </c>
      <c r="L10" s="63">
        <v>4</v>
      </c>
      <c r="M10" s="63">
        <v>8</v>
      </c>
      <c r="N10" s="51">
        <f t="shared" ref="N10:N12" si="3">SUM(O10:Q10)</f>
        <v>12</v>
      </c>
      <c r="O10" s="63">
        <v>9</v>
      </c>
      <c r="P10" s="63">
        <v>2</v>
      </c>
      <c r="Q10" s="63">
        <v>1</v>
      </c>
      <c r="R10" s="37" t="s">
        <v>11</v>
      </c>
      <c r="S10" s="4"/>
      <c r="T10" s="4"/>
      <c r="U10" s="4"/>
      <c r="V10" s="4"/>
      <c r="W10" s="4"/>
      <c r="X10" s="4"/>
      <c r="Y10" s="4"/>
      <c r="Z10" s="4"/>
    </row>
    <row r="11" spans="1:26" s="14" customFormat="1" ht="15.75">
      <c r="A11" s="15" t="s">
        <v>12</v>
      </c>
      <c r="B11" s="51">
        <f t="shared" si="0"/>
        <v>22</v>
      </c>
      <c r="C11" s="63">
        <v>13</v>
      </c>
      <c r="D11" s="63">
        <v>7</v>
      </c>
      <c r="E11" s="63">
        <v>2</v>
      </c>
      <c r="F11" s="51">
        <f>SUM(G11:I11)</f>
        <v>21</v>
      </c>
      <c r="G11" s="63">
        <v>13</v>
      </c>
      <c r="H11" s="63">
        <v>7</v>
      </c>
      <c r="I11" s="63">
        <v>1</v>
      </c>
      <c r="J11" s="51">
        <f>SUM(M14:M14)</f>
        <v>0</v>
      </c>
      <c r="K11" s="63">
        <v>13</v>
      </c>
      <c r="L11" s="63">
        <v>4</v>
      </c>
      <c r="M11" s="63">
        <v>3</v>
      </c>
      <c r="N11" s="51">
        <f t="shared" si="3"/>
        <v>11</v>
      </c>
      <c r="O11" s="63">
        <v>10</v>
      </c>
      <c r="P11" s="63">
        <v>0</v>
      </c>
      <c r="Q11" s="63">
        <v>1</v>
      </c>
      <c r="R11" s="37" t="s">
        <v>13</v>
      </c>
      <c r="S11" s="4"/>
      <c r="T11" s="7"/>
      <c r="U11" s="7"/>
      <c r="V11" s="7"/>
      <c r="W11" s="7"/>
      <c r="X11" s="7"/>
      <c r="Y11" s="7"/>
      <c r="Z11" s="7"/>
    </row>
    <row r="12" spans="1:26" s="14" customFormat="1" ht="15.75">
      <c r="A12" s="15" t="s">
        <v>19</v>
      </c>
      <c r="B12" s="43" t="s">
        <v>1</v>
      </c>
      <c r="C12" s="44" t="s">
        <v>1</v>
      </c>
      <c r="D12" s="44" t="s">
        <v>1</v>
      </c>
      <c r="E12" s="45" t="s">
        <v>1</v>
      </c>
      <c r="F12" s="51">
        <f>SUM(G12:I12)</f>
        <v>1</v>
      </c>
      <c r="G12" s="46">
        <v>0</v>
      </c>
      <c r="H12" s="52">
        <v>1</v>
      </c>
      <c r="I12" s="53">
        <v>0</v>
      </c>
      <c r="J12" s="43" t="s">
        <v>1</v>
      </c>
      <c r="K12" s="44" t="s">
        <v>1</v>
      </c>
      <c r="L12" s="44" t="s">
        <v>1</v>
      </c>
      <c r="M12" s="44" t="s">
        <v>1</v>
      </c>
      <c r="N12" s="51">
        <f t="shared" si="3"/>
        <v>22</v>
      </c>
      <c r="O12" s="63">
        <v>17</v>
      </c>
      <c r="P12" s="63">
        <v>5</v>
      </c>
      <c r="Q12" s="63">
        <v>0</v>
      </c>
      <c r="R12" s="37"/>
      <c r="S12" s="4"/>
      <c r="T12" s="7"/>
      <c r="U12" s="7"/>
      <c r="V12" s="7"/>
      <c r="W12" s="7"/>
      <c r="X12" s="7"/>
      <c r="Y12" s="7"/>
      <c r="Z12" s="7"/>
    </row>
    <row r="13" spans="1:26" s="14" customFormat="1" ht="15.75">
      <c r="A13" s="18" t="s">
        <v>20</v>
      </c>
      <c r="B13" s="54"/>
      <c r="C13" s="55"/>
      <c r="D13" s="55"/>
      <c r="E13" s="55"/>
      <c r="F13" s="54"/>
      <c r="G13" s="55"/>
      <c r="H13" s="55"/>
      <c r="I13" s="55"/>
      <c r="J13" s="54"/>
      <c r="K13" s="55"/>
      <c r="L13" s="55"/>
      <c r="M13" s="55"/>
      <c r="N13" s="54"/>
      <c r="O13" s="55"/>
      <c r="P13" s="55"/>
      <c r="Q13" s="55"/>
      <c r="R13" s="36" t="s">
        <v>16</v>
      </c>
      <c r="S13" s="4"/>
      <c r="T13" s="7"/>
      <c r="U13" s="7"/>
      <c r="V13" s="7"/>
      <c r="W13" s="7"/>
      <c r="X13" s="7"/>
      <c r="Y13" s="7"/>
      <c r="Z13" s="7"/>
    </row>
    <row r="14" spans="1:26" s="14" customFormat="1" ht="15.75">
      <c r="A14" s="18" t="s">
        <v>21</v>
      </c>
      <c r="B14" s="54">
        <f t="shared" ref="B14:D16" si="4">B9/B5*1000</f>
        <v>9.519559720362933</v>
      </c>
      <c r="C14" s="55">
        <f t="shared" si="4"/>
        <v>10.526315789473683</v>
      </c>
      <c r="D14" s="55">
        <f t="shared" si="4"/>
        <v>6.381039197812215</v>
      </c>
      <c r="E14" s="45" t="s">
        <v>1</v>
      </c>
      <c r="F14" s="54">
        <f t="shared" ref="F14:H16" si="5">F9/F5*1000</f>
        <v>7.0079219987812307</v>
      </c>
      <c r="G14" s="55">
        <f t="shared" si="5"/>
        <v>7.5029308323563892</v>
      </c>
      <c r="H14" s="55">
        <f t="shared" si="5"/>
        <v>5.8852378616969103</v>
      </c>
      <c r="I14" s="45" t="s">
        <v>1</v>
      </c>
      <c r="J14" s="54">
        <f t="shared" ref="J14:L16" si="6">J9/J5*1000</f>
        <v>3.2642402480822592</v>
      </c>
      <c r="K14" s="55">
        <f t="shared" si="6"/>
        <v>5.6417489421720735</v>
      </c>
      <c r="L14" s="55">
        <f t="shared" si="6"/>
        <v>4.3431053203040175</v>
      </c>
      <c r="M14" s="44" t="s">
        <v>1</v>
      </c>
      <c r="N14" s="54">
        <f t="shared" ref="N14:Q14" si="7">N9/N5*1000</f>
        <v>7.1508024789448585</v>
      </c>
      <c r="O14" s="55">
        <f t="shared" si="7"/>
        <v>11.424944462075532</v>
      </c>
      <c r="P14" s="55">
        <f t="shared" si="7"/>
        <v>2.2816166883963493</v>
      </c>
      <c r="Q14" s="44" t="s">
        <v>1</v>
      </c>
      <c r="R14" s="36" t="s">
        <v>17</v>
      </c>
      <c r="S14" s="8"/>
      <c r="T14" s="8"/>
      <c r="U14" s="8"/>
      <c r="V14" s="8"/>
      <c r="W14" s="8"/>
      <c r="X14" s="8"/>
      <c r="Y14" s="8"/>
      <c r="Z14" s="8"/>
    </row>
    <row r="15" spans="1:26" s="16" customFormat="1" ht="15.75">
      <c r="A15" s="15" t="s">
        <v>10</v>
      </c>
      <c r="B15" s="56">
        <f t="shared" si="4"/>
        <v>12.342051131354687</v>
      </c>
      <c r="C15" s="57">
        <f t="shared" si="4"/>
        <v>14.411901441190144</v>
      </c>
      <c r="D15" s="57">
        <f t="shared" si="4"/>
        <v>6.381039197812215</v>
      </c>
      <c r="E15" s="45" t="s">
        <v>1</v>
      </c>
      <c r="F15" s="56">
        <f t="shared" si="5"/>
        <v>7.0360598065083559</v>
      </c>
      <c r="G15" s="57">
        <f t="shared" si="5"/>
        <v>8.5240017945266935</v>
      </c>
      <c r="H15" s="57">
        <f t="shared" si="5"/>
        <v>3.8498556304138596</v>
      </c>
      <c r="I15" s="45" t="s">
        <v>1</v>
      </c>
      <c r="J15" s="56">
        <f t="shared" si="6"/>
        <v>7.4481865284974091</v>
      </c>
      <c r="K15" s="57">
        <f t="shared" si="6"/>
        <v>5.1139005113900513</v>
      </c>
      <c r="L15" s="57">
        <f t="shared" si="6"/>
        <v>4.3383947939262475</v>
      </c>
      <c r="M15" s="44" t="s">
        <v>1</v>
      </c>
      <c r="N15" s="56">
        <v>3.7453183520599249</v>
      </c>
      <c r="O15" s="57">
        <v>5.6603773584905657</v>
      </c>
      <c r="P15" s="57">
        <v>1.2658227848101267</v>
      </c>
      <c r="Q15" s="44" t="s">
        <v>1</v>
      </c>
      <c r="R15" s="37" t="s">
        <v>11</v>
      </c>
      <c r="S15" s="19"/>
      <c r="T15" s="8"/>
      <c r="U15" s="8"/>
      <c r="V15" s="8"/>
      <c r="W15" s="8"/>
      <c r="X15" s="8"/>
      <c r="Y15" s="8"/>
      <c r="Z15" s="67"/>
    </row>
    <row r="16" spans="1:26" s="16" customFormat="1" ht="15.75">
      <c r="A16" s="20" t="s">
        <v>12</v>
      </c>
      <c r="B16" s="58">
        <f t="shared" si="4"/>
        <v>6.6265060240963853</v>
      </c>
      <c r="C16" s="59">
        <f t="shared" si="4"/>
        <v>6.4070970921636272</v>
      </c>
      <c r="D16" s="59">
        <f t="shared" si="4"/>
        <v>6.381039197812215</v>
      </c>
      <c r="E16" s="60" t="s">
        <v>1</v>
      </c>
      <c r="F16" s="58">
        <f t="shared" si="5"/>
        <v>6.6624365482233499</v>
      </c>
      <c r="G16" s="59">
        <f t="shared" si="5"/>
        <v>6.3882063882063882</v>
      </c>
      <c r="H16" s="59">
        <f t="shared" si="5"/>
        <v>7</v>
      </c>
      <c r="I16" s="60" t="s">
        <v>1</v>
      </c>
      <c r="J16" s="58">
        <f t="shared" si="6"/>
        <v>0</v>
      </c>
      <c r="K16" s="59">
        <f t="shared" si="6"/>
        <v>6.1816452686638135</v>
      </c>
      <c r="L16" s="59">
        <f t="shared" si="6"/>
        <v>4.3525571273122958</v>
      </c>
      <c r="M16" s="61" t="s">
        <v>1</v>
      </c>
      <c r="N16" s="58">
        <v>3.5610229847847199</v>
      </c>
      <c r="O16" s="59">
        <v>6.4061499039077514</v>
      </c>
      <c r="P16" s="59">
        <v>0</v>
      </c>
      <c r="Q16" s="61" t="s">
        <v>1</v>
      </c>
      <c r="R16" s="38" t="s">
        <v>13</v>
      </c>
      <c r="S16" s="8"/>
      <c r="T16" s="8"/>
      <c r="U16" s="8"/>
      <c r="V16" s="8"/>
      <c r="W16" s="8"/>
      <c r="X16" s="8"/>
      <c r="Y16" s="8"/>
      <c r="Z16" s="67"/>
    </row>
    <row r="17" spans="1:44" s="21" customFormat="1" ht="18.75">
      <c r="A17" s="76" t="s">
        <v>25</v>
      </c>
      <c r="L17" s="39"/>
      <c r="M17" s="40"/>
      <c r="P17" s="39"/>
      <c r="Q17" s="40"/>
      <c r="R17" s="79" t="s">
        <v>18</v>
      </c>
      <c r="S17" s="8"/>
      <c r="T17" s="8"/>
      <c r="U17" s="8"/>
      <c r="V17" s="8"/>
      <c r="W17" s="8"/>
      <c r="X17" s="8"/>
      <c r="Y17" s="8"/>
      <c r="Z17" s="67"/>
      <c r="AA17" s="22"/>
      <c r="AB17" s="22"/>
      <c r="AC17" s="22"/>
      <c r="AD17" s="22"/>
    </row>
    <row r="18" spans="1:44" ht="16.5" customHeight="1">
      <c r="A18" s="77" t="s">
        <v>26</v>
      </c>
      <c r="L18" s="41"/>
      <c r="M18" s="40"/>
      <c r="N18" s="74"/>
      <c r="O18" s="74"/>
      <c r="P18" s="74"/>
      <c r="Q18" s="74"/>
      <c r="R18" s="80" t="s">
        <v>28</v>
      </c>
    </row>
    <row r="19" spans="1:44" s="25" customFormat="1" ht="21">
      <c r="A19" s="78" t="s">
        <v>27</v>
      </c>
      <c r="N19" s="75"/>
      <c r="O19" s="75"/>
      <c r="P19" s="75"/>
      <c r="Q19" s="75"/>
      <c r="R19" s="3" t="s">
        <v>4</v>
      </c>
      <c r="S19" s="24"/>
      <c r="T19" s="24"/>
      <c r="U19" s="24"/>
      <c r="V19" s="24"/>
      <c r="W19" s="24"/>
      <c r="X19" s="24"/>
      <c r="Y19" s="24"/>
      <c r="Z19" s="24"/>
    </row>
    <row r="20" spans="1:44" ht="12.75">
      <c r="A20" s="23"/>
      <c r="R20" s="26"/>
    </row>
    <row r="21" spans="1:44" ht="12.75">
      <c r="A21" s="2"/>
      <c r="R21" s="26"/>
      <c r="AA21" s="27"/>
      <c r="AB21" s="28">
        <v>2004</v>
      </c>
      <c r="AC21" s="28">
        <v>2005</v>
      </c>
      <c r="AD21" s="28">
        <v>2006</v>
      </c>
      <c r="AE21" s="28">
        <v>2007</v>
      </c>
      <c r="AF21" s="28">
        <v>2008</v>
      </c>
      <c r="AG21" s="28">
        <v>2009</v>
      </c>
      <c r="AH21" s="9">
        <v>2010</v>
      </c>
      <c r="AI21" s="9">
        <v>2011</v>
      </c>
      <c r="AJ21" s="28">
        <v>2012</v>
      </c>
      <c r="AK21" s="9">
        <v>2013</v>
      </c>
      <c r="AL21" s="9">
        <v>2014</v>
      </c>
      <c r="AM21" s="28">
        <v>2015</v>
      </c>
      <c r="AN21" s="9">
        <v>2016</v>
      </c>
      <c r="AO21" s="9">
        <v>2017</v>
      </c>
      <c r="AP21" s="9">
        <v>2018</v>
      </c>
      <c r="AQ21" s="9">
        <v>2019</v>
      </c>
      <c r="AR21" s="75">
        <v>2020</v>
      </c>
    </row>
    <row r="22" spans="1:44" ht="12.75">
      <c r="AA22" s="28" t="s">
        <v>2</v>
      </c>
      <c r="AB22" s="29">
        <v>10</v>
      </c>
      <c r="AC22" s="30">
        <v>12</v>
      </c>
      <c r="AD22" s="30">
        <v>13</v>
      </c>
      <c r="AE22" s="30">
        <v>9.0820629257216989</v>
      </c>
      <c r="AF22" s="30">
        <v>12</v>
      </c>
      <c r="AG22" s="30">
        <v>14</v>
      </c>
      <c r="AH22" s="30">
        <v>11</v>
      </c>
      <c r="AI22" s="17">
        <v>10</v>
      </c>
      <c r="AJ22" s="17">
        <v>10</v>
      </c>
      <c r="AK22" s="30">
        <v>5.1085568326947639</v>
      </c>
      <c r="AL22" s="30">
        <v>8.4388185654008439</v>
      </c>
      <c r="AM22" s="30">
        <v>9.7949886104783594</v>
      </c>
      <c r="AN22" s="30">
        <v>8.2063305978898011</v>
      </c>
      <c r="AO22" s="30">
        <f>C14</f>
        <v>10.526315789473683</v>
      </c>
      <c r="AP22" s="30">
        <f>G14</f>
        <v>7.5029308323563892</v>
      </c>
      <c r="AQ22" s="30">
        <f>K14</f>
        <v>5.6417489421720735</v>
      </c>
      <c r="AR22" s="81">
        <v>11.424944462075532</v>
      </c>
    </row>
    <row r="23" spans="1:44" ht="12.75">
      <c r="AA23" s="28" t="s">
        <v>3</v>
      </c>
      <c r="AB23" s="31">
        <v>18</v>
      </c>
      <c r="AC23" s="30">
        <v>12</v>
      </c>
      <c r="AD23" s="30">
        <v>18</v>
      </c>
      <c r="AE23" s="30">
        <v>10.900745840504877</v>
      </c>
      <c r="AF23" s="30">
        <v>10</v>
      </c>
      <c r="AG23" s="30">
        <v>8</v>
      </c>
      <c r="AH23" s="30">
        <v>10</v>
      </c>
      <c r="AI23" s="17">
        <v>6</v>
      </c>
      <c r="AJ23" s="17">
        <v>7</v>
      </c>
      <c r="AK23" s="30">
        <v>6.9060773480662982</v>
      </c>
      <c r="AL23" s="30">
        <v>4.6296296296296298</v>
      </c>
      <c r="AM23" s="30">
        <v>5.84795321637427</v>
      </c>
      <c r="AN23" s="30">
        <v>6.5207265952491849</v>
      </c>
      <c r="AO23" s="30">
        <f>D14</f>
        <v>6.381039197812215</v>
      </c>
      <c r="AP23" s="30">
        <f>H14</f>
        <v>5.8852378616969103</v>
      </c>
      <c r="AQ23" s="30">
        <f>L14</f>
        <v>4.3431053203040175</v>
      </c>
      <c r="AR23" s="81">
        <v>2.2816166883963493</v>
      </c>
    </row>
    <row r="24" spans="1:44" ht="12.75">
      <c r="N24" s="1"/>
      <c r="O24" s="1"/>
      <c r="P24" s="1"/>
      <c r="Q24" s="1"/>
      <c r="AN24" s="30"/>
    </row>
    <row r="25" spans="1:44" ht="16.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R25" s="32"/>
      <c r="AE25" s="33"/>
    </row>
    <row r="26" spans="1:44" ht="16.5" customHeight="1">
      <c r="AE26" s="33"/>
    </row>
    <row r="27" spans="1:44" ht="16.5" customHeight="1"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0"/>
      <c r="AE27" s="33"/>
    </row>
    <row r="28" spans="1:44" ht="16.5" customHeight="1">
      <c r="AE28" s="33"/>
    </row>
    <row r="29" spans="1:44" ht="16.5" customHeight="1">
      <c r="AE29" s="33"/>
    </row>
    <row r="30" spans="1:44" ht="16.5" customHeight="1">
      <c r="AE30" s="33"/>
    </row>
    <row r="31" spans="1:44" ht="16.5" customHeight="1">
      <c r="AE31" s="33"/>
    </row>
    <row r="32" spans="1:44" ht="16.5" customHeight="1">
      <c r="AD32" s="33"/>
      <c r="AE32" s="33"/>
    </row>
  </sheetData>
  <mergeCells count="9">
    <mergeCell ref="R3:R4"/>
    <mergeCell ref="Z15:Z17"/>
    <mergeCell ref="A1:R1"/>
    <mergeCell ref="A2:R2"/>
    <mergeCell ref="A3:A4"/>
    <mergeCell ref="B3:E3"/>
    <mergeCell ref="F3:I3"/>
    <mergeCell ref="J3:M3"/>
    <mergeCell ref="N3:Q3"/>
  </mergeCells>
  <pageMargins left="0.7" right="0.7" top="0.75" bottom="0.75" header="0.3" footer="0.3"/>
  <pageSetup scale="37" orientation="portrait" horizontalDpi="0" verticalDpi="0" r:id="rId1"/>
  <colBreaks count="1" manualBreakCount="1">
    <brk id="18" max="43" man="1"/>
  </colBreaks>
  <ignoredErrors>
    <ignoredError sqref="B9:E9 B13:E13" formula="1"/>
    <ignoredError sqref="B10:E11" formula="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3.9</vt:lpstr>
      <vt:lpstr>'3.9'!Print_Area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2021-12-13T20:54:18Z</cp:lastPrinted>
  <dcterms:created xsi:type="dcterms:W3CDTF">2019-07-22T06:02:33Z</dcterms:created>
  <dcterms:modified xsi:type="dcterms:W3CDTF">2021-12-13T21:02:04Z</dcterms:modified>
</cp:coreProperties>
</file>