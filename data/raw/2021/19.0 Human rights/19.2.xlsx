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9. Human Rights\"/>
    </mc:Choice>
  </mc:AlternateContent>
  <bookViews>
    <workbookView xWindow="0" yWindow="0" windowWidth="28800" windowHeight="12330"/>
  </bookViews>
  <sheets>
    <sheet name="19.2" sheetId="2" r:id="rId1"/>
  </sheets>
  <definedNames>
    <definedName name="_xlnm.Print_Area" localSheetId="0">'19.2'!$A$1:$Q$44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H7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<sst xmlns="http://schemas.openxmlformats.org/spreadsheetml/2006/main" count="17" uniqueCount="17">
  <si>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</si>
  <si>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</si>
  <si>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</si>
  <si>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</si>
  <si>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</si>
  <si>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</si>
  <si>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</si>
  <si>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</si>
  <si>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</si>
  <si>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</si>
  <si>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</si>
  <si>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</si>
  <si>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</si>
  <si>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</si>
  <si>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</si>
  <si>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 xml:space="preserve">TABLE 19.2:  NUMBER OF HUMAN RIGHTS RELATED CASES REPORTED AND COMPLETED,  2007 - 2020
</t>
  </si>
  <si>
    <t>ތާވަލު 19.2: އިންސާނީ ޙައްޤުތަކާ ގުޅުންހުރި މައްސަލަތައް ހުށަހެޅުނު އަދި ބެލުނު މިންވަރު، 2007 - 2020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</si>
</sst>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6" fillId="2" borderId="0" xfId="0" applyFont="1" applyFill="1" applyBorder="1" applyAlignment="1">
      <alignment vertical="center"/>
    </xf>
    <xf numFmtId="0" fontId="0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5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5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 readingOrder="2"/>
    </xf>
    <xf numFmtId="0" fontId="5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 wrapText="1" indent="1" readingOrder="2"/>
    </xf>
    <xf numFmtId="0" fontId="6" fillId="2" borderId="0" xfId="0" applyFont="1" applyFill="1" applyBorder="1" applyAlignment="1">
      <alignment horizontal="left" vertical="center" indent="1"/>
    </xf>
    <xf numFmtId="0" fontId="10" fillId="2" borderId="0" xfId="0" applyFont="1" applyFill="1" applyBorder="1" applyAlignment="1">
      <alignment horizontal="left" vertical="center" wrapText="1" indent="1" readingOrder="2"/>
    </xf>
    <xf numFmtId="0" fontId="5" fillId="2" borderId="0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right" vertical="center" indent="1" readingOrder="2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CCCC"/>
      <color rgb="FFEAFAFA"/>
      <color rgb="FF249390"/>
      <color rgb="FFFF9900"/>
      <color rgb="FFDCB894"/>
      <color rgb="FF996633"/>
      <color rgb="FF663300"/>
      <color rgb="FFF5EADF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2011 - 2020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'19.2'!$F$5:$O$5</c:f>
              <c:numCache>
                <c:formatCode>_(* #,##0_);_(* \(#,##0\);_(* "-"??_);_(@_)</c:formatCode>
                <c:ptCount val="10"/>
                <c:pt idx="0">
                  <c:v>625</c:v>
                </c:pt>
                <c:pt idx="1">
                  <c:v>732</c:v>
                </c:pt>
                <c:pt idx="2">
                  <c:v>719</c:v>
                </c:pt>
                <c:pt idx="3">
                  <c:v>529</c:v>
                </c:pt>
                <c:pt idx="4">
                  <c:v>592</c:v>
                </c:pt>
                <c:pt idx="5">
                  <c:v>538</c:v>
                </c:pt>
                <c:pt idx="6">
                  <c:v>365</c:v>
                </c:pt>
                <c:pt idx="7">
                  <c:v>396</c:v>
                </c:pt>
                <c:pt idx="8">
                  <c:v>562</c:v>
                </c:pt>
                <c:pt idx="9">
                  <c:v>627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'19.2'!$F$6:$O$6</c:f>
              <c:numCache>
                <c:formatCode>_(* #,##0_);_(* \(#,##0\);_(* "-"??_);_(@_)</c:formatCode>
                <c:ptCount val="10"/>
                <c:pt idx="0">
                  <c:v>252</c:v>
                </c:pt>
                <c:pt idx="1">
                  <c:v>221</c:v>
                </c:pt>
                <c:pt idx="2">
                  <c:v>352</c:v>
                </c:pt>
                <c:pt idx="3">
                  <c:v>244</c:v>
                </c:pt>
                <c:pt idx="4">
                  <c:v>775</c:v>
                </c:pt>
                <c:pt idx="5">
                  <c:v>1190</c:v>
                </c:pt>
                <c:pt idx="6">
                  <c:v>576</c:v>
                </c:pt>
                <c:pt idx="7">
                  <c:v>400</c:v>
                </c:pt>
                <c:pt idx="8">
                  <c:v>352</c:v>
                </c:pt>
                <c:pt idx="9">
                  <c:v>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cat>
          <c:val>
            <c:numRef>
              <c:f>'19.2'!$F$7:$O$7</c:f>
              <c:numCache>
                <c:formatCode>_(* #,##0_);_(* \(#,##0\);_(* "-"??_);_(@_)</c:formatCode>
                <c:ptCount val="10"/>
                <c:pt idx="0">
                  <c:v>373</c:v>
                </c:pt>
                <c:pt idx="1">
                  <c:v>511</c:v>
                </c:pt>
                <c:pt idx="2">
                  <c:v>367</c:v>
                </c:pt>
                <c:pt idx="3">
                  <c:v>285</c:v>
                </c:pt>
                <c:pt idx="4">
                  <c:v>194</c:v>
                </c:pt>
                <c:pt idx="5">
                  <c:v>477</c:v>
                </c:pt>
                <c:pt idx="6">
                  <c:v>164</c:v>
                </c:pt>
                <c:pt idx="7">
                  <c:v>152</c:v>
                </c:pt>
                <c:pt idx="8">
                  <c:v>294</c:v>
                </c:pt>
                <c:pt idx="9">
                  <c:v>554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06064120"/>
        <c:axId val="506058632"/>
      </c:barChart>
      <c:catAx>
        <c:axId val="50606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6058632"/>
        <c:crosses val="autoZero"/>
        <c:auto val="1"/>
        <c:lblAlgn val="ctr"/>
        <c:lblOffset val="100"/>
        <c:noMultiLvlLbl val="0"/>
      </c:catAx>
      <c:valAx>
        <c:axId val="5060586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0606412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15</xdr:col>
      <xdr:colOff>1478280</xdr:colOff>
      <xdr:row>28</xdr:row>
      <xdr:rowOff>555625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zoomScaleNormal="100" workbookViewId="0">
      <selection activeCell="W26" sqref="W26"/>
    </sheetView>
  </sheetViews>
  <sheetFormatPr defaultColWidth="9.140625" defaultRowHeight="15" x14ac:dyDescent="0.25"/>
  <cols>
    <col min="1" max="1" width="35.42578125" style="2" customWidth="1"/>
    <col min="2" max="15" width="8.5703125" style="2" customWidth="1"/>
    <col min="16" max="16" width="50.7109375" style="2" customWidth="1"/>
    <col min="17" max="17" width="5" style="2" customWidth="1"/>
    <col min="18" max="16384" width="9.140625" style="2"/>
  </cols>
  <sheetData>
    <row r="1" spans="1:17" ht="21.75" x14ac:dyDescent="0.55000000000000004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7" s="3" customFormat="1" ht="25.5" customHeight="1" x14ac:dyDescent="0.25">
      <c r="A2" s="33" t="s">
        <v>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7" hidden="1" x14ac:dyDescent="0.25"/>
    <row r="4" spans="1:17" s="7" customFormat="1" ht="21" x14ac:dyDescent="0.25">
      <c r="A4" s="4" t="s">
        <v>1</v>
      </c>
      <c r="B4" s="5">
        <v>2007</v>
      </c>
      <c r="C4" s="5" t="s">
        <v>2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  <c r="I4" s="5">
        <v>2014</v>
      </c>
      <c r="J4" s="5">
        <v>2015</v>
      </c>
      <c r="K4" s="5">
        <v>2016</v>
      </c>
      <c r="L4" s="5">
        <v>2017</v>
      </c>
      <c r="M4" s="5">
        <v>2018</v>
      </c>
      <c r="N4" s="5">
        <v>2019</v>
      </c>
      <c r="O4" s="5">
        <v>2020</v>
      </c>
      <c r="P4" s="6" t="s">
        <v>3</v>
      </c>
    </row>
    <row r="5" spans="1:17" s="11" customFormat="1" ht="21.75" x14ac:dyDescent="0.25">
      <c r="A5" s="8" t="s">
        <v>4</v>
      </c>
      <c r="B5" s="9">
        <f>SUM(B6:B7)</f>
        <v>531</v>
      </c>
      <c r="C5" s="9">
        <f t="shared" ref="C5:E5" si="0">SUM(C6:C7)</f>
        <v>705</v>
      </c>
      <c r="D5" s="9">
        <f t="shared" si="0"/>
        <v>546</v>
      </c>
      <c r="E5" s="9">
        <f t="shared" si="0"/>
        <v>712</v>
      </c>
      <c r="F5" s="9">
        <f>SUM(F6:F7)</f>
        <v>625</v>
      </c>
      <c r="G5" s="9">
        <f t="shared" ref="G5" si="1">SUM(G6:G7)</f>
        <v>732</v>
      </c>
      <c r="H5" s="9">
        <v>719</v>
      </c>
      <c r="I5" s="9">
        <v>529</v>
      </c>
      <c r="J5" s="9">
        <v>592</v>
      </c>
      <c r="K5" s="9">
        <v>538</v>
      </c>
      <c r="L5" s="9">
        <v>365</v>
      </c>
      <c r="M5" s="9">
        <v>396</v>
      </c>
      <c r="N5" s="9">
        <v>562</v>
      </c>
      <c r="O5" s="9">
        <v>627</v>
      </c>
      <c r="P5" s="10" t="s">
        <v>5</v>
      </c>
    </row>
    <row r="6" spans="1:17" s="15" customFormat="1" ht="21.75" x14ac:dyDescent="0.25">
      <c r="A6" s="12" t="s">
        <v>6</v>
      </c>
      <c r="B6" s="13">
        <v>293</v>
      </c>
      <c r="C6" s="13">
        <v>421</v>
      </c>
      <c r="D6" s="13">
        <v>376</v>
      </c>
      <c r="E6" s="13">
        <v>120</v>
      </c>
      <c r="F6" s="13">
        <v>252</v>
      </c>
      <c r="G6" s="13">
        <v>221</v>
      </c>
      <c r="H6" s="13">
        <v>352</v>
      </c>
      <c r="I6" s="13">
        <v>244</v>
      </c>
      <c r="J6" s="13">
        <v>775</v>
      </c>
      <c r="K6" s="13">
        <v>1190</v>
      </c>
      <c r="L6" s="13">
        <v>576</v>
      </c>
      <c r="M6" s="13">
        <v>400</v>
      </c>
      <c r="N6" s="13">
        <v>352</v>
      </c>
      <c r="O6" s="13">
        <v>324</v>
      </c>
      <c r="P6" s="14" t="s">
        <v>7</v>
      </c>
    </row>
    <row r="7" spans="1:17" s="19" customFormat="1" ht="21.75" x14ac:dyDescent="0.25">
      <c r="A7" s="16" t="s">
        <v>8</v>
      </c>
      <c r="B7" s="17">
        <v>238</v>
      </c>
      <c r="C7" s="17">
        <v>284</v>
      </c>
      <c r="D7" s="17">
        <v>170</v>
      </c>
      <c r="E7" s="17">
        <v>592</v>
      </c>
      <c r="F7" s="17">
        <v>373</v>
      </c>
      <c r="G7" s="17">
        <v>511</v>
      </c>
      <c r="H7" s="17">
        <f>H5-H6</f>
        <v>367</v>
      </c>
      <c r="I7" s="17">
        <v>285</v>
      </c>
      <c r="J7" s="17">
        <f>194</f>
        <v>194</v>
      </c>
      <c r="K7" s="17">
        <v>477</v>
      </c>
      <c r="L7" s="17">
        <v>164</v>
      </c>
      <c r="M7" s="17">
        <v>152</v>
      </c>
      <c r="N7" s="17">
        <v>294</v>
      </c>
      <c r="O7" s="17">
        <v>554</v>
      </c>
      <c r="P7" s="18" t="s">
        <v>9</v>
      </c>
    </row>
    <row r="8" spans="1:17" s="21" customFormat="1" ht="17.25" x14ac:dyDescent="0.25">
      <c r="A8" s="1" t="s">
        <v>10</v>
      </c>
      <c r="B8" s="20"/>
      <c r="C8" s="20"/>
      <c r="P8" s="22" t="s">
        <v>11</v>
      </c>
    </row>
    <row r="9" spans="1:17" s="25" customFormat="1" ht="17.25" x14ac:dyDescent="0.25">
      <c r="A9" s="23" t="s">
        <v>12</v>
      </c>
      <c r="B9" s="24"/>
      <c r="C9" s="24"/>
      <c r="P9" s="26" t="s">
        <v>13</v>
      </c>
    </row>
    <row r="10" spans="1:17" s="28" customFormat="1" ht="17.25" x14ac:dyDescent="0.45">
      <c r="A10" s="27" t="s">
        <v>0</v>
      </c>
      <c r="G10" s="29"/>
      <c r="H10" s="29"/>
      <c r="I10" s="29"/>
      <c r="J10" s="29"/>
      <c r="K10" s="29"/>
      <c r="L10" s="29"/>
      <c r="M10" s="29"/>
      <c r="N10" s="29"/>
      <c r="O10" s="29"/>
      <c r="P10" s="30" t="s">
        <v>14</v>
      </c>
      <c r="Q10" s="29"/>
    </row>
    <row r="29" spans="1:10" ht="64.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</row>
  </sheetData>
  <mergeCells count="2">
    <mergeCell ref="A1:P1"/>
    <mergeCell ref="A2:P2"/>
  </mergeCell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2021-06-16T21:45:03Z</cp:lastPrinted>
  <dcterms:created xsi:type="dcterms:W3CDTF">2019-09-11T06:11:12Z</dcterms:created>
  <dcterms:modified xsi:type="dcterms:W3CDTF">2021-06-16T21:45:26Z</dcterms:modified>
</cp:coreProperties>
</file>