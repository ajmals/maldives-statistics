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CHECKED\web\19. Human Rights\"/>
    </mc:Choice>
  </mc:AlternateContent>
  <bookViews>
    <workbookView xWindow="0" yWindow="0" windowWidth="28800" windowHeight="12330"/>
  </bookViews>
  <sheets>
    <sheet name="19.3" sheetId="3" r:id="rId1"/>
  </sheets>
  <definedNames>
    <definedName name="_xlnm.Print_Area" localSheetId="0">'19.3'!$A$1:$M$92</definedName>
    <definedName name="_xlnm.Print_Titles" localSheetId="0">'19.3'!$4:$6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5" i="3" l="1"/>
  <c r="K50" i="3"/>
  <c r="K36" i="3"/>
  <c r="K35" i="3"/>
  <c r="K21" i="3"/>
  <c r="K16" i="3"/>
  <c r="K15" i="3"/>
  <c r="K14" i="3"/>
  <c r="K69" i="3"/>
  <c r="K53" i="3"/>
  <c r="K52" i="3"/>
  <c r="K48" i="3"/>
  <c r="K43" i="3"/>
  <c r="K42" i="3"/>
  <c r="K17" i="3"/>
  <c r="K82" i="3"/>
  <c r="K80" i="3"/>
  <c r="K57" i="3"/>
  <c r="K30" i="3"/>
  <c r="K11" i="3"/>
  <c r="J80" i="3"/>
  <c r="J53" i="3"/>
  <c r="J52" i="3"/>
  <c r="J43" i="3"/>
  <c r="J42" i="3"/>
  <c r="J39" i="3"/>
  <c r="J38" i="3"/>
  <c r="J36" i="3"/>
  <c r="J35" i="3"/>
  <c r="J21" i="3"/>
  <c r="J16" i="3"/>
  <c r="J15" i="3"/>
  <c r="J14" i="3"/>
  <c r="J9" i="3"/>
  <c r="J55" i="3" l="1"/>
  <c r="J50" i="3"/>
  <c r="J33" i="3"/>
  <c r="J17" i="3"/>
  <c r="J82" i="3"/>
  <c r="J67" i="3"/>
  <c r="J66" i="3"/>
  <c r="J57" i="3"/>
  <c r="J11" i="3"/>
  <c r="K7" i="3" l="1"/>
  <c r="J7" i="3"/>
  <c r="I7" i="3"/>
  <c r="F7" i="3" l="1"/>
  <c r="G7" i="3" l="1"/>
  <c r="H7" i="3"/>
  <c r="D67" i="3" l="1"/>
  <c r="E43" i="3"/>
  <c r="D43" i="3"/>
  <c r="E36" i="3"/>
  <c r="D36" i="3"/>
  <c r="E35" i="3"/>
  <c r="D35" i="3"/>
  <c r="E15" i="3"/>
  <c r="C7" i="3"/>
  <c r="E7" i="3" l="1"/>
  <c r="D7" i="3"/>
</calcChain>
</file>

<file path=xl/sharedStrings.xml><?xml version="1.0" encoding="utf-8"?>
<sst xmlns="http://schemas.openxmlformats.org/spreadsheetml/2006/main" count="274" uniqueCount="225">
  <si>
    <t>މައްސަލަތަކުގެ ބާވަތް</t>
  </si>
  <si>
    <t>Total</t>
  </si>
  <si>
    <t>ޖުމްލަ</t>
  </si>
  <si>
    <t>Non-discrimination</t>
  </si>
  <si>
    <t>ތަފާތުނުކުރުން</t>
  </si>
  <si>
    <t>Duty of the State</t>
  </si>
  <si>
    <t>ދައުލަތުގެ ވާޖިބު</t>
  </si>
  <si>
    <t>Equality</t>
  </si>
  <si>
    <t>ހަމަހަމަކަން</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</si>
  <si>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</si>
  <si>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</si>
  <si>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</si>
  <si>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</si>
  <si>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</si>
  <si>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</si>
  <si>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</si>
  <si>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</si>
  <si>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</si>
  <si>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</si>
  <si>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</si>
  <si>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</si>
  <si>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</si>
  <si>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</si>
  <si>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</si>
  <si>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</si>
  <si>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</si>
  <si>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</si>
  <si>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</si>
  <si>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</si>
  <si>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</si>
  <si>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</si>
  <si>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</si>
  <si>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</si>
  <si>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</si>
  <si>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</si>
  <si>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</si>
  <si>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</si>
  <si>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</si>
  <si>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</si>
  <si>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</si>
  <si>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</si>
  <si>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</si>
  <si>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</si>
  <si>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</si>
  <si>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</si>
  <si>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</si>
  <si>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</si>
  <si>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</si>
  <si>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</si>
  <si>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</si>
  <si>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</si>
  <si>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</si>
  <si>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</si>
  <si>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</si>
  <si>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</si>
  <si>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</si>
  <si>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</si>
  <si>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Assistance of legal counsel</t>
  </si>
  <si>
    <t>ޤާނޫނީ ވަކީލެއްގެ އެހީތެރިކަން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</si>
  <si>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</si>
  <si>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</si>
  <si>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</si>
  <si>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</si>
  <si>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</si>
  <si>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</si>
  <si>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</si>
  <si>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</si>
  <si>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Responsibilities and Duties</t>
  </si>
  <si>
    <t>މަސްއޫލިއްޔަތުތަކާއި ވާޖިބުތައް</t>
  </si>
  <si>
    <t>ނަން އިޝޫ</t>
  </si>
  <si>
    <t>Source: Human Rights Commission of the Maldives</t>
  </si>
  <si>
    <t xml:space="preserve">Total Number of Cases submitted </t>
  </si>
  <si>
    <t xml:space="preserve"> އަހަރުތެރޭގައި ހުށަހެޅުނު މައްސަލަތަކުގެ ޖުމްލަ </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</si>
  <si>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</si>
  <si>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</si>
  <si>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</si>
  <si>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</si>
  <si>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</si>
  <si>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</si>
  <si>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</si>
  <si>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</si>
  <si>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</si>
  <si>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</si>
  <si>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</si>
  <si>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</si>
  <si>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</si>
  <si>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</si>
  <si>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</si>
  <si>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</si>
  <si>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</si>
  <si>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23(e )</t>
  </si>
  <si>
    <t>equal access to means of communication, he State media, transportation facilities, and the natural recources of the country</t>
  </si>
  <si>
    <t>ދިވެހިރާއްޖޭގެ ތަބިއީ މުއްސަނދިކަމާއި، ދަތުރުފަތުރު ކުރުމުގެ ވަސީލަތްތަކާއި، ދައުލަތުގެ ޙަބަރު ފަތުރާ ވަސީލަތްތަކާއި، ހުރިހައި ބާވަތެއްގެ މުއާޟަލާތީ ޚިދުމަތްތައް ހަމަހަމަކަމާއެކު ބޭނުންކުރުމުގެ ފުރުޞަތު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</si>
  <si>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</si>
  <si>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</si>
  <si>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</si>
  <si>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</si>
  <si>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</si>
  <si>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</si>
  <si>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</si>
  <si>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</si>
  <si>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</si>
  <si>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</si>
  <si>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</si>
  <si>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</si>
  <si>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</si>
  <si>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</si>
  <si>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</si>
  <si>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</si>
  <si>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</si>
  <si>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</si>
  <si>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</si>
  <si>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</si>
  <si>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</si>
  <si>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</si>
  <si>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</si>
  <si>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</si>
  <si>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</si>
  <si>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</si>
  <si>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</si>
  <si>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</si>
  <si>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</si>
  <si>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</si>
  <si>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</si>
  <si>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</si>
  <si>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</si>
  <si>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</si>
  <si>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</si>
  <si>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</si>
  <si>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</si>
  <si>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</si>
  <si>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</si>
  <si>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</si>
  <si>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</si>
  <si>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</si>
  <si>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</si>
  <si>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</si>
  <si>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</si>
  <si>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</si>
  <si>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</si>
  <si>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</si>
  <si>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</si>
  <si>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</si>
  <si>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</si>
  <si>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</si>
  <si>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</si>
  <si>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</si>
  <si>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</si>
  <si>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</si>
  <si>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</si>
  <si>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</si>
  <si>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</si>
  <si>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</si>
  <si>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</si>
  <si>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</si>
  <si>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</si>
  <si>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</si>
  <si>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</si>
  <si>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</si>
  <si>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</si>
  <si>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</si>
  <si>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</si>
  <si>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</si>
  <si>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</si>
  <si>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</si>
  <si>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</si>
  <si>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</si>
  <si>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</si>
  <si>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</si>
  <si>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</si>
  <si>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</si>
  <si>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</si>
  <si>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</si>
  <si>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</si>
  <si>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</si>
  <si>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</si>
  <si>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</si>
  <si>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</si>
  <si>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</si>
  <si>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</si>
  <si>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</si>
  <si>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</si>
  <si>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</si>
  <si>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</si>
  <si>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</si>
  <si>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</si>
  <si>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</si>
  <si>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</si>
  <si>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</si>
  <si>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</si>
  <si>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</si>
  <si>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</si>
  <si>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</si>
  <si>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</si>
  <si>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</si>
  <si>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</si>
  <si>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</si>
  <si>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</si>
  <si>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</si>
  <si>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</si>
  <si>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62(a)</t>
  </si>
  <si>
    <t>The enumeration of rights and freedoms in this Chapter are guaranteed equally to female and male persons.</t>
  </si>
  <si>
    <t>މި ބާބުގައި ބަޔާންކުރެވިފައިވާ އެންމެހައި ޙައްޤުތަކާއި މިނިވަންކަން އަންހުނުންނަށާއި ފިރިހެނުންނަށް ހަމަހަމަކަމާއެކު ލިބިގެންވުން</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</si>
  <si>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</si>
  <si>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</si>
  <si>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</si>
  <si>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</si>
  <si>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</si>
  <si>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</si>
  <si>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</si>
  <si>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</si>
  <si>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</si>
  <si>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</si>
  <si>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</si>
  <si>
    <t>ތިމާވެށި ހިމާޔަތްކުރުން</t>
  </si>
  <si>
    <t>Protection of the environment</t>
  </si>
  <si>
    <t>ކުށްކުށަށް ތުހުމަތުކުރެވޭ މީހުން މިނިވަންކުރުން</t>
  </si>
  <si>
    <t>Release of accused</t>
  </si>
  <si>
    <t>37(d)</t>
  </si>
  <si>
    <t>ކޮންމެ މީހަކަށްމެ އަރާމުކުރުމާއި މުނިފޫހިފިލުވުމަށް ވަގުތު ހޭދަކުރުމުގެ ހައްޤު ލިބިގެންވެއެވެ. ވަޒީފާއެއް އަދާކުރާ ކޮންމެ މީހަކަށްމެ މި ޙައްޤު ލިބިދިނުމަށްޓަކައި، މަސައްކަތްކުރަންޖެހޭ އެންމެ ގިނަ ވަގުތެއް ކަނޑައަޅާފައި އޮންނަންވާނެއެވެ. އަދި އުޖޫރައާއެކު ލިބޭ ޗުއްޓީ ކަނޑައެޅިފައި އޮންނަންވާނެއެވެ.</t>
  </si>
  <si>
    <t>60(a)</t>
  </si>
  <si>
    <t xml:space="preserve">ޖިނާއީ ކުށެއްގެ ދަޢުވާ މީހެއްގެ މައްޗަށް ސާބިތުނުވާކަމަށް ކޯޓަކުން ހުކުމްކޮށްފިނަމަ، ދެވަނަ ފަހަރަށް ހަމަ އެ ކުށުގެ ނުވަތަ އެ ކުށުގެ ޢަމަލުން ފުރިހަމަވާ އެހެން ކުށެއްގެ ދަޢުވާ އެ މީހެއްގެ މައްޗަށް ނުއުފުލޭނެއެވެ. އަދި ޖިނާއީ ކުށެއްގެ ދަޢުވާ މީހެއްގެ މައްޗަށް ސާބިތުވެއްޖެނަމަ، ދެވަނަ ފަހަރަށް ހަމަ އެ ކުށުގެ ނުވަތަ އެ ކުށުގެ ޢަމަލުން ފުރިހަމަވާ އެހެން ކުށެއްގެ ދަޢުވާ އެ މީހެއްގެ މައްޗަށް ނުއުފުލޭނެއެވެ. </t>
  </si>
  <si>
    <t>If an accused is acquitted of an offence by a court, he shall not be tried again for the same or substantially the same offence. If an accused is found guilty and punished for an offence he shall not be tried or punished again for the same or substantially the same offence.</t>
  </si>
  <si>
    <t>ތާވަލު 19.3: ހިއުމަން ރައިޓްސް ކޮމިޝަނަށް ހުށައެޅުނު އަދި ބެލުނު މައްސަލަތައް، 2018 - 2020</t>
  </si>
  <si>
    <t>TABLE 19.3:  NUMBER OF CASES SUBMITTED AND COMPLETED BY THE HUMAN RIGHTS COMMISSION,  2018 - 2020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</si>
</sst>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6" formatCode="#,##0\ [$€-1];[Red]\-#,##0\ [$€-1]"/>
  </numFmts>
  <fonts count="13" x14ac:knownFonts="1">
    <font>
      <sz val="11"/>
      <color theme="1"/>
      <name val="Calibri"/>
      <family val="2"/>
      <scheme val="minor"/>
    </font>
    <font>
      <sz val="12"/>
      <name val="Calibri"/>
      <family val="2"/>
      <scheme val="minor"/>
    </font>
    <font>
      <sz val="11"/>
      <name val="Calibri"/>
      <family val="2"/>
      <scheme val="minor"/>
    </font>
    <font>
      <sz val="11"/>
      <name val="Faruma"/>
    </font>
    <font>
      <b/>
      <sz val="11"/>
      <name val="Faruma"/>
    </font>
    <font>
      <b/>
      <sz val="11"/>
      <name val="Calibri"/>
      <family val="2"/>
      <scheme val="minor"/>
    </font>
    <font>
      <b/>
      <sz val="10"/>
      <name val="Calibri"/>
      <family val="2"/>
      <scheme val="minor"/>
    </font>
    <font>
      <b/>
      <sz val="10"/>
      <name val="Faruma"/>
    </font>
    <font>
      <b/>
      <sz val="8"/>
      <name val="Faruma"/>
    </font>
    <font>
      <sz val="12"/>
      <name val="Faruma"/>
    </font>
    <font>
      <i/>
      <sz val="9"/>
      <name val="Calibri"/>
      <family val="2"/>
      <scheme val="minor"/>
    </font>
    <font>
      <sz val="9"/>
      <name val="Calibri"/>
      <family val="2"/>
      <scheme val="minor"/>
    </font>
    <font>
      <sz val="9"/>
      <name val="Faruma"/>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top/>
      <bottom style="hair">
        <color auto="1"/>
      </bottom>
      <diagonal/>
    </border>
    <border>
      <left/>
      <right/>
      <top/>
      <bottom style="dotted">
        <color indexed="64"/>
      </bottom>
      <diagonal/>
    </border>
    <border>
      <left style="thin">
        <color indexed="64"/>
      </left>
      <right/>
      <top/>
      <bottom style="hair">
        <color auto="1"/>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59">
    <xf numFmtId="0" fontId="0" fillId="0" borderId="0" xfId="0"/>
    <xf numFmtId="0" fontId="3" fillId="2" borderId="0" xfId="0" applyFont="1" applyFill="1" applyBorder="1" applyAlignment="1">
      <alignment horizontal="right" vertical="center" wrapText="1" indent="1" readingOrder="2"/>
    </xf>
    <xf numFmtId="0" fontId="2" fillId="2" borderId="0" xfId="0" applyFont="1" applyFill="1" applyBorder="1" applyAlignment="1">
      <alignment horizontal="right" vertical="center" wrapText="1"/>
    </xf>
    <xf numFmtId="0" fontId="2" fillId="2" borderId="0" xfId="0" applyFont="1" applyFill="1" applyBorder="1" applyAlignment="1">
      <alignment horizontal="right" vertical="center"/>
    </xf>
    <xf numFmtId="0" fontId="2" fillId="2" borderId="8" xfId="0" applyFont="1" applyFill="1" applyBorder="1" applyAlignment="1">
      <alignment horizontal="right" vertical="center" wrapText="1"/>
    </xf>
    <xf numFmtId="0" fontId="2" fillId="2" borderId="0" xfId="0" applyFont="1" applyFill="1" applyBorder="1"/>
    <xf numFmtId="0" fontId="2" fillId="2" borderId="8" xfId="0" applyFont="1" applyFill="1" applyBorder="1" applyAlignment="1">
      <alignment horizontal="right" vertical="center"/>
    </xf>
    <xf numFmtId="0" fontId="1" fillId="2" borderId="8" xfId="0" applyFont="1" applyFill="1" applyBorder="1" applyAlignment="1">
      <alignment horizontal="right" vertical="center" wrapText="1"/>
    </xf>
    <xf numFmtId="0" fontId="2" fillId="2" borderId="7" xfId="0" applyFont="1" applyFill="1" applyBorder="1" applyAlignment="1">
      <alignment horizontal="right" vertical="center" wrapText="1"/>
    </xf>
    <xf numFmtId="0" fontId="2" fillId="2" borderId="0" xfId="0" applyFont="1" applyFill="1" applyBorder="1" applyAlignment="1">
      <alignment horizontal="center" vertical="top"/>
    </xf>
    <xf numFmtId="0" fontId="2" fillId="2" borderId="0" xfId="0" applyFont="1" applyFill="1" applyAlignment="1">
      <alignment vertical="center" wrapText="1"/>
    </xf>
    <xf numFmtId="0" fontId="2" fillId="2" borderId="0" xfId="0" applyFont="1" applyFill="1" applyBorder="1" applyAlignment="1">
      <alignment horizontal="center" vertical="center"/>
    </xf>
    <xf numFmtId="0" fontId="2" fillId="2" borderId="0" xfId="0" applyFont="1" applyFill="1" applyBorder="1" applyAlignment="1">
      <alignment vertical="center"/>
    </xf>
    <xf numFmtId="0" fontId="2" fillId="2" borderId="2" xfId="0" applyFont="1" applyFill="1" applyBorder="1" applyAlignment="1">
      <alignment horizontal="center" vertical="center"/>
    </xf>
    <xf numFmtId="0" fontId="6" fillId="2" borderId="2" xfId="0" applyFont="1" applyFill="1" applyBorder="1" applyAlignment="1">
      <alignment horizontal="right" vertical="center"/>
    </xf>
    <xf numFmtId="0" fontId="6" fillId="2" borderId="3" xfId="0" applyFont="1" applyFill="1" applyBorder="1" applyAlignment="1">
      <alignment horizontal="right" vertical="center" wrapText="1"/>
    </xf>
    <xf numFmtId="0" fontId="3" fillId="2" borderId="0"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7" fillId="2" borderId="5" xfId="0" applyFont="1" applyFill="1" applyBorder="1" applyAlignment="1">
      <alignment horizontal="right" vertical="center" wrapText="1"/>
    </xf>
    <xf numFmtId="0" fontId="8" fillId="2" borderId="6" xfId="0" applyFont="1" applyFill="1" applyBorder="1" applyAlignment="1">
      <alignment horizontal="right" vertical="center" wrapText="1"/>
    </xf>
    <xf numFmtId="0" fontId="5" fillId="2" borderId="0" xfId="0" applyFont="1" applyFill="1" applyBorder="1"/>
    <xf numFmtId="0" fontId="5" fillId="2" borderId="2" xfId="0" applyFont="1" applyFill="1" applyBorder="1" applyAlignment="1">
      <alignment horizontal="left" vertical="center" wrapText="1"/>
    </xf>
    <xf numFmtId="0" fontId="5" fillId="2" borderId="2" xfId="0" applyFont="1" applyFill="1" applyBorder="1" applyAlignment="1">
      <alignment horizontal="right" vertical="center" wrapText="1"/>
    </xf>
    <xf numFmtId="0" fontId="5" fillId="2" borderId="3"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2" fillId="2" borderId="0" xfId="0" applyFont="1" applyFill="1" applyBorder="1" applyAlignment="1">
      <alignment horizontal="left" vertical="center" wrapText="1"/>
    </xf>
    <xf numFmtId="0" fontId="2" fillId="2" borderId="0" xfId="0" applyFont="1" applyFill="1" applyAlignment="1">
      <alignment vertical="center"/>
    </xf>
    <xf numFmtId="0" fontId="1" fillId="2" borderId="0" xfId="0" applyFont="1" applyFill="1" applyBorder="1" applyAlignment="1">
      <alignment horizontal="left" vertical="center" wrapText="1"/>
    </xf>
    <xf numFmtId="0" fontId="3" fillId="2" borderId="0" xfId="0" applyFont="1" applyFill="1" applyBorder="1" applyAlignment="1">
      <alignment horizontal="right" vertical="center" wrapText="1" indent="1"/>
    </xf>
    <xf numFmtId="166" fontId="2" fillId="2" borderId="0" xfId="0" applyNumberFormat="1" applyFont="1" applyFill="1" applyBorder="1" applyAlignment="1">
      <alignment horizontal="center" vertical="center"/>
    </xf>
    <xf numFmtId="166" fontId="2" fillId="2" borderId="0" xfId="0" applyNumberFormat="1" applyFont="1" applyFill="1" applyBorder="1" applyAlignment="1">
      <alignment horizontal="center" vertical="top"/>
    </xf>
    <xf numFmtId="0" fontId="9" fillId="2" borderId="0" xfId="0" applyFont="1" applyFill="1" applyBorder="1" applyAlignment="1">
      <alignment horizontal="right" vertical="center" wrapText="1" readingOrder="2"/>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right" vertical="center"/>
    </xf>
    <xf numFmtId="0" fontId="3" fillId="2" borderId="1" xfId="0" applyFont="1" applyFill="1" applyBorder="1" applyAlignment="1">
      <alignment horizontal="right" vertical="center" wrapText="1" indent="1"/>
    </xf>
    <xf numFmtId="0" fontId="2" fillId="2" borderId="1" xfId="0" applyFont="1" applyFill="1" applyBorder="1" applyAlignment="1">
      <alignment horizontal="center" vertical="top"/>
    </xf>
    <xf numFmtId="0" fontId="10" fillId="2" borderId="0" xfId="0" applyFont="1" applyFill="1" applyBorder="1" applyAlignment="1">
      <alignment horizontal="left" vertical="center"/>
    </xf>
    <xf numFmtId="0" fontId="10" fillId="2" borderId="0" xfId="0" applyFont="1" applyFill="1" applyBorder="1" applyAlignment="1">
      <alignment horizontal="right" vertical="center"/>
    </xf>
    <xf numFmtId="0" fontId="11" fillId="2" borderId="0" xfId="0" applyFont="1" applyFill="1" applyBorder="1" applyAlignment="1">
      <alignment horizontal="right" vertical="center"/>
    </xf>
    <xf numFmtId="0" fontId="12" fillId="2" borderId="0" xfId="0" applyFont="1" applyFill="1" applyBorder="1" applyAlignment="1">
      <alignment vertical="center"/>
    </xf>
    <xf numFmtId="0" fontId="10" fillId="2" borderId="0" xfId="0" applyFont="1" applyFill="1" applyBorder="1" applyAlignment="1">
      <alignment vertical="center"/>
    </xf>
    <xf numFmtId="0" fontId="0" fillId="2" borderId="0" xfId="0" applyFont="1" applyFill="1" applyBorder="1" applyAlignment="1">
      <alignment horizontal="right" vertical="center"/>
    </xf>
    <xf numFmtId="0" fontId="0" fillId="2" borderId="0" xfId="0" applyFont="1" applyFill="1" applyBorder="1" applyAlignment="1">
      <alignment horizontal="right" vertical="center" wrapText="1"/>
    </xf>
    <xf numFmtId="0" fontId="0" fillId="2" borderId="1" xfId="0" applyFont="1" applyFill="1" applyBorder="1" applyAlignment="1">
      <alignment horizontal="right" vertical="center"/>
    </xf>
    <xf numFmtId="0" fontId="5"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6" fillId="2" borderId="2" xfId="0" applyFont="1" applyFill="1" applyBorder="1" applyAlignment="1">
      <alignment horizontal="left" vertical="center"/>
    </xf>
    <xf numFmtId="0" fontId="6" fillId="2" borderId="0" xfId="0" applyFont="1" applyFill="1" applyBorder="1" applyAlignment="1">
      <alignment horizontal="left" vertical="center"/>
    </xf>
    <xf numFmtId="0" fontId="6" fillId="2" borderId="1" xfId="0" applyFont="1" applyFill="1" applyBorder="1" applyAlignment="1">
      <alignment horizontal="left" vertical="center"/>
    </xf>
    <xf numFmtId="0" fontId="7" fillId="2" borderId="2" xfId="0" applyFont="1" applyFill="1" applyBorder="1" applyAlignment="1">
      <alignment horizontal="right" vertical="center"/>
    </xf>
    <xf numFmtId="0" fontId="7" fillId="2" borderId="0" xfId="0" applyFont="1" applyFill="1" applyBorder="1" applyAlignment="1">
      <alignment horizontal="right" vertical="center"/>
    </xf>
    <xf numFmtId="0" fontId="7" fillId="2" borderId="1" xfId="0" applyFont="1" applyFill="1" applyBorder="1" applyAlignment="1">
      <alignment horizontal="right" vertical="center"/>
    </xf>
    <xf numFmtId="0" fontId="5" fillId="2" borderId="7" xfId="0" applyFont="1" applyFill="1" applyBorder="1" applyAlignment="1">
      <alignment horizontal="center"/>
    </xf>
    <xf numFmtId="0" fontId="5"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33CCCC"/>
      <color rgb="FFEAFAFA"/>
      <color rgb="FF249390"/>
      <color rgb="FFFF9900"/>
      <color rgb="FFDCB894"/>
      <color rgb="FF996633"/>
      <color rgb="FF663300"/>
      <color rgb="FFF5EADF"/>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tabSelected="1" zoomScaleNormal="100" zoomScaleSheetLayoutView="112" workbookViewId="0">
      <selection activeCell="L20" sqref="L20"/>
    </sheetView>
  </sheetViews>
  <sheetFormatPr defaultColWidth="11.85546875" defaultRowHeight="15" x14ac:dyDescent="0.25"/>
  <cols>
    <col min="1" max="1" width="6.28515625" style="11" customWidth="1"/>
    <col min="2" max="2" width="45.140625" style="12" customWidth="1"/>
    <col min="3" max="3" width="13.28515625" style="3" customWidth="1"/>
    <col min="4" max="4" width="9.85546875" style="3" customWidth="1"/>
    <col min="5" max="5" width="9.7109375" style="3" bestFit="1" customWidth="1"/>
    <col min="6" max="6" width="13.28515625" style="3" customWidth="1"/>
    <col min="7" max="7" width="9.85546875" style="3" customWidth="1"/>
    <col min="8" max="8" width="9.7109375" style="3" bestFit="1" customWidth="1"/>
    <col min="9" max="9" width="13.28515625" style="3" customWidth="1"/>
    <col min="10" max="10" width="9.85546875" style="3" customWidth="1"/>
    <col min="11" max="11" width="9.7109375" style="3" bestFit="1" customWidth="1"/>
    <col min="12" max="12" width="48.7109375" style="5" customWidth="1"/>
    <col min="13" max="13" width="7" style="9" customWidth="1"/>
    <col min="14" max="14" width="28.28515625" style="5" customWidth="1"/>
    <col min="15" max="16384" width="11.85546875" style="5"/>
  </cols>
  <sheetData>
    <row r="1" spans="1:13" ht="18.75" customHeight="1" x14ac:dyDescent="0.25">
      <c r="B1" s="49" t="s">
        <v>223</v>
      </c>
      <c r="C1" s="49"/>
      <c r="D1" s="49"/>
      <c r="E1" s="49"/>
      <c r="F1" s="49"/>
      <c r="G1" s="49"/>
      <c r="H1" s="49"/>
      <c r="I1" s="49"/>
      <c r="J1" s="49"/>
      <c r="K1" s="49"/>
      <c r="L1" s="49"/>
    </row>
    <row r="2" spans="1:13" ht="18.75" customHeight="1" x14ac:dyDescent="0.25">
      <c r="B2" s="50" t="s">
        <v>224</v>
      </c>
      <c r="C2" s="50"/>
      <c r="D2" s="50"/>
      <c r="E2" s="50"/>
      <c r="F2" s="50"/>
      <c r="G2" s="50"/>
      <c r="H2" s="50"/>
      <c r="I2" s="50"/>
      <c r="J2" s="50"/>
      <c r="K2" s="50"/>
      <c r="L2" s="50"/>
    </row>
    <row r="3" spans="1:13" ht="6.75" customHeight="1" x14ac:dyDescent="0.25"/>
    <row r="4" spans="1:13" s="11" customFormat="1" ht="36.75" customHeight="1" x14ac:dyDescent="0.25">
      <c r="A4" s="13"/>
      <c r="B4" s="51" t="s">
        <v>73</v>
      </c>
      <c r="C4" s="15" t="s">
        <v>71</v>
      </c>
      <c r="D4" s="14" t="s">
        <v>74</v>
      </c>
      <c r="E4" s="14" t="s">
        <v>75</v>
      </c>
      <c r="F4" s="15" t="s">
        <v>71</v>
      </c>
      <c r="G4" s="14" t="s">
        <v>74</v>
      </c>
      <c r="H4" s="14" t="s">
        <v>75</v>
      </c>
      <c r="I4" s="15" t="s">
        <v>71</v>
      </c>
      <c r="J4" s="14" t="s">
        <v>74</v>
      </c>
      <c r="K4" s="14" t="s">
        <v>75</v>
      </c>
      <c r="L4" s="54" t="s">
        <v>0</v>
      </c>
      <c r="M4" s="46" t="s">
        <v>212</v>
      </c>
    </row>
    <row r="5" spans="1:13" s="16" customFormat="1" ht="45.75" customHeight="1" x14ac:dyDescent="0.25">
      <c r="B5" s="52"/>
      <c r="C5" s="19" t="s">
        <v>72</v>
      </c>
      <c r="D5" s="17" t="s">
        <v>76</v>
      </c>
      <c r="E5" s="18" t="s">
        <v>77</v>
      </c>
      <c r="F5" s="19" t="s">
        <v>72</v>
      </c>
      <c r="G5" s="17" t="s">
        <v>76</v>
      </c>
      <c r="H5" s="18" t="s">
        <v>77</v>
      </c>
      <c r="I5" s="19" t="s">
        <v>72</v>
      </c>
      <c r="J5" s="17" t="s">
        <v>76</v>
      </c>
      <c r="K5" s="18" t="s">
        <v>77</v>
      </c>
      <c r="L5" s="55"/>
      <c r="M5" s="47"/>
    </row>
    <row r="6" spans="1:13" s="20" customFormat="1" ht="18.75" customHeight="1" x14ac:dyDescent="0.25">
      <c r="A6" s="45"/>
      <c r="B6" s="53"/>
      <c r="C6" s="57">
        <v>2018</v>
      </c>
      <c r="D6" s="58"/>
      <c r="E6" s="58"/>
      <c r="F6" s="57">
        <v>2019</v>
      </c>
      <c r="G6" s="58"/>
      <c r="H6" s="58"/>
      <c r="I6" s="57">
        <v>2020</v>
      </c>
      <c r="J6" s="58"/>
      <c r="K6" s="58"/>
      <c r="L6" s="56"/>
      <c r="M6" s="48"/>
    </row>
    <row r="7" spans="1:13" ht="18.75" customHeight="1" x14ac:dyDescent="0.25">
      <c r="A7" s="11" t="s">
        <v>213</v>
      </c>
      <c r="B7" s="21" t="s">
        <v>1</v>
      </c>
      <c r="C7" s="23">
        <f t="shared" ref="C7:H7" si="0">SUM(C8:C90)</f>
        <v>396</v>
      </c>
      <c r="D7" s="22">
        <f t="shared" si="0"/>
        <v>152</v>
      </c>
      <c r="E7" s="22">
        <f t="shared" si="0"/>
        <v>400</v>
      </c>
      <c r="F7" s="23">
        <f t="shared" si="0"/>
        <v>562</v>
      </c>
      <c r="G7" s="22">
        <f t="shared" si="0"/>
        <v>294</v>
      </c>
      <c r="H7" s="22">
        <f t="shared" si="0"/>
        <v>352</v>
      </c>
      <c r="I7" s="23">
        <f t="shared" ref="I7:K7" si="1">SUM(I8:I90)</f>
        <v>627</v>
      </c>
      <c r="J7" s="22">
        <f t="shared" si="1"/>
        <v>616</v>
      </c>
      <c r="K7" s="22">
        <f t="shared" si="1"/>
        <v>324</v>
      </c>
      <c r="L7" s="24" t="s">
        <v>2</v>
      </c>
    </row>
    <row r="8" spans="1:13" ht="24" customHeight="1" x14ac:dyDescent="0.25">
      <c r="A8" s="11">
        <v>17</v>
      </c>
      <c r="B8" s="25" t="s">
        <v>3</v>
      </c>
      <c r="C8" s="4">
        <v>1</v>
      </c>
      <c r="D8" s="3">
        <v>0</v>
      </c>
      <c r="E8" s="3">
        <v>1</v>
      </c>
      <c r="F8" s="4">
        <v>1</v>
      </c>
      <c r="G8" s="42">
        <v>0</v>
      </c>
      <c r="H8" s="3">
        <v>1</v>
      </c>
      <c r="I8" s="4">
        <v>3</v>
      </c>
      <c r="J8" s="42">
        <v>1</v>
      </c>
      <c r="K8" s="3">
        <v>0</v>
      </c>
      <c r="L8" s="1" t="s">
        <v>4</v>
      </c>
      <c r="M8" s="9">
        <v>17</v>
      </c>
    </row>
    <row r="9" spans="1:13" ht="24" customHeight="1" x14ac:dyDescent="0.25">
      <c r="A9" s="11">
        <v>18</v>
      </c>
      <c r="B9" s="25" t="s">
        <v>5</v>
      </c>
      <c r="C9" s="4">
        <v>0</v>
      </c>
      <c r="D9" s="3">
        <v>1</v>
      </c>
      <c r="E9" s="3">
        <v>0</v>
      </c>
      <c r="F9" s="4">
        <v>0</v>
      </c>
      <c r="G9" s="42">
        <v>0</v>
      </c>
      <c r="H9" s="3">
        <v>0</v>
      </c>
      <c r="I9" s="4">
        <v>1</v>
      </c>
      <c r="J9" s="42">
        <f>2+5</f>
        <v>7</v>
      </c>
      <c r="K9" s="3">
        <v>0</v>
      </c>
      <c r="L9" s="1" t="s">
        <v>6</v>
      </c>
      <c r="M9" s="9">
        <v>18</v>
      </c>
    </row>
    <row r="10" spans="1:13" ht="24" customHeight="1" x14ac:dyDescent="0.25">
      <c r="A10" s="11">
        <v>20</v>
      </c>
      <c r="B10" s="25" t="s">
        <v>7</v>
      </c>
      <c r="C10" s="4">
        <v>0</v>
      </c>
      <c r="D10" s="3">
        <v>0</v>
      </c>
      <c r="E10" s="3">
        <v>0</v>
      </c>
      <c r="F10" s="4">
        <v>0</v>
      </c>
      <c r="G10" s="42">
        <v>0</v>
      </c>
      <c r="H10" s="3">
        <v>0</v>
      </c>
      <c r="I10" s="4"/>
      <c r="J10" s="42"/>
      <c r="L10" s="1" t="s">
        <v>8</v>
      </c>
      <c r="M10" s="9">
        <v>20</v>
      </c>
    </row>
    <row r="11" spans="1:13" ht="24" customHeight="1" x14ac:dyDescent="0.25">
      <c r="A11" s="11">
        <v>21</v>
      </c>
      <c r="B11" s="25" t="s">
        <v>9</v>
      </c>
      <c r="C11" s="4">
        <v>13</v>
      </c>
      <c r="D11" s="3">
        <v>6</v>
      </c>
      <c r="E11" s="3">
        <v>12</v>
      </c>
      <c r="F11" s="4">
        <v>31</v>
      </c>
      <c r="G11" s="42">
        <v>15</v>
      </c>
      <c r="H11" s="3">
        <v>19</v>
      </c>
      <c r="I11" s="4">
        <v>21</v>
      </c>
      <c r="J11" s="42">
        <f>13+14</f>
        <v>27</v>
      </c>
      <c r="K11" s="3">
        <f>2+8</f>
        <v>10</v>
      </c>
      <c r="L11" s="1" t="s">
        <v>10</v>
      </c>
      <c r="M11" s="9">
        <v>21</v>
      </c>
    </row>
    <row r="12" spans="1:13" ht="24" customHeight="1" x14ac:dyDescent="0.25">
      <c r="A12" s="11">
        <v>22</v>
      </c>
      <c r="B12" s="25" t="s">
        <v>215</v>
      </c>
      <c r="C12" s="4">
        <v>0</v>
      </c>
      <c r="D12" s="3">
        <v>0</v>
      </c>
      <c r="E12" s="3">
        <v>0</v>
      </c>
      <c r="F12" s="4">
        <v>1</v>
      </c>
      <c r="G12" s="42">
        <v>2</v>
      </c>
      <c r="H12" s="3">
        <v>0</v>
      </c>
      <c r="I12" s="4"/>
      <c r="J12" s="42">
        <v>2</v>
      </c>
      <c r="L12" s="1" t="s">
        <v>214</v>
      </c>
      <c r="M12" s="9">
        <v>22</v>
      </c>
    </row>
    <row r="13" spans="1:13" ht="24" hidden="1" customHeight="1" x14ac:dyDescent="0.25">
      <c r="A13" s="11">
        <v>23</v>
      </c>
      <c r="B13" s="25" t="s">
        <v>11</v>
      </c>
      <c r="C13" s="4"/>
      <c r="F13" s="4"/>
      <c r="G13" s="42"/>
      <c r="I13" s="4"/>
      <c r="J13" s="42"/>
      <c r="L13" s="1" t="s">
        <v>12</v>
      </c>
      <c r="M13" s="9">
        <v>23</v>
      </c>
    </row>
    <row r="14" spans="1:13" ht="24" customHeight="1" x14ac:dyDescent="0.25">
      <c r="A14" s="11" t="s">
        <v>78</v>
      </c>
      <c r="B14" s="26" t="s">
        <v>79</v>
      </c>
      <c r="C14" s="6">
        <v>0</v>
      </c>
      <c r="D14" s="3">
        <v>0</v>
      </c>
      <c r="E14" s="3">
        <v>0</v>
      </c>
      <c r="F14" s="6">
        <v>3</v>
      </c>
      <c r="G14" s="42">
        <v>1</v>
      </c>
      <c r="H14" s="3">
        <v>1</v>
      </c>
      <c r="I14" s="6">
        <v>17</v>
      </c>
      <c r="J14" s="42">
        <f>7+1</f>
        <v>8</v>
      </c>
      <c r="K14" s="3">
        <f>11+1</f>
        <v>12</v>
      </c>
      <c r="L14" s="1" t="s">
        <v>80</v>
      </c>
      <c r="M14" s="9" t="s">
        <v>78</v>
      </c>
    </row>
    <row r="15" spans="1:13" ht="24" customHeight="1" x14ac:dyDescent="0.25">
      <c r="A15" s="11" t="s">
        <v>81</v>
      </c>
      <c r="B15" s="26" t="s">
        <v>82</v>
      </c>
      <c r="C15" s="6">
        <v>14</v>
      </c>
      <c r="D15" s="3">
        <v>2</v>
      </c>
      <c r="E15" s="3">
        <f>16+1</f>
        <v>17</v>
      </c>
      <c r="F15" s="6">
        <v>15</v>
      </c>
      <c r="G15" s="42">
        <v>5</v>
      </c>
      <c r="H15" s="3">
        <v>8</v>
      </c>
      <c r="I15" s="6">
        <v>19</v>
      </c>
      <c r="J15" s="42">
        <f>11+4</f>
        <v>15</v>
      </c>
      <c r="K15" s="3">
        <f>9+2</f>
        <v>11</v>
      </c>
      <c r="L15" s="1" t="s">
        <v>83</v>
      </c>
      <c r="M15" s="9" t="s">
        <v>81</v>
      </c>
    </row>
    <row r="16" spans="1:13" ht="24" customHeight="1" x14ac:dyDescent="0.25">
      <c r="A16" s="11" t="s">
        <v>84</v>
      </c>
      <c r="B16" s="26" t="s">
        <v>85</v>
      </c>
      <c r="C16" s="6">
        <v>96</v>
      </c>
      <c r="D16" s="3">
        <v>46</v>
      </c>
      <c r="E16" s="3">
        <v>88</v>
      </c>
      <c r="F16" s="6">
        <v>148</v>
      </c>
      <c r="G16" s="42">
        <v>90</v>
      </c>
      <c r="H16" s="3">
        <v>104</v>
      </c>
      <c r="I16" s="6">
        <v>131</v>
      </c>
      <c r="J16" s="42">
        <f>149+7</f>
        <v>156</v>
      </c>
      <c r="K16" s="3">
        <f>53+1</f>
        <v>54</v>
      </c>
      <c r="L16" s="1" t="s">
        <v>86</v>
      </c>
      <c r="M16" s="9" t="s">
        <v>84</v>
      </c>
    </row>
    <row r="17" spans="1:13" ht="24" customHeight="1" x14ac:dyDescent="0.25">
      <c r="A17" s="11" t="s">
        <v>87</v>
      </c>
      <c r="B17" s="26" t="s">
        <v>88</v>
      </c>
      <c r="C17" s="6">
        <v>9</v>
      </c>
      <c r="D17" s="3">
        <v>3</v>
      </c>
      <c r="E17" s="3">
        <v>10</v>
      </c>
      <c r="F17" s="6">
        <v>8</v>
      </c>
      <c r="G17" s="42">
        <v>8</v>
      </c>
      <c r="H17" s="3">
        <v>4</v>
      </c>
      <c r="I17" s="6">
        <v>11</v>
      </c>
      <c r="J17" s="42">
        <f>5+8</f>
        <v>13</v>
      </c>
      <c r="K17" s="3">
        <f>5+6</f>
        <v>11</v>
      </c>
      <c r="L17" s="1" t="s">
        <v>89</v>
      </c>
      <c r="M17" s="9" t="s">
        <v>87</v>
      </c>
    </row>
    <row r="18" spans="1:13" ht="78.75" customHeight="1" x14ac:dyDescent="0.25">
      <c r="A18" s="11" t="s">
        <v>90</v>
      </c>
      <c r="B18" s="10" t="s">
        <v>91</v>
      </c>
      <c r="C18" s="6">
        <v>0</v>
      </c>
      <c r="D18" s="3">
        <v>0</v>
      </c>
      <c r="E18" s="3">
        <v>0</v>
      </c>
      <c r="F18" s="6">
        <v>0</v>
      </c>
      <c r="G18" s="42">
        <v>0</v>
      </c>
      <c r="H18" s="3">
        <v>0</v>
      </c>
      <c r="I18" s="6">
        <v>0</v>
      </c>
      <c r="J18" s="42">
        <v>0</v>
      </c>
      <c r="K18" s="3">
        <v>0</v>
      </c>
      <c r="L18" s="1" t="s">
        <v>92</v>
      </c>
      <c r="M18" s="9" t="s">
        <v>90</v>
      </c>
    </row>
    <row r="19" spans="1:13" ht="45" x14ac:dyDescent="0.25">
      <c r="A19" s="11" t="s">
        <v>93</v>
      </c>
      <c r="B19" s="10" t="s">
        <v>94</v>
      </c>
      <c r="C19" s="6">
        <v>0</v>
      </c>
      <c r="D19" s="3">
        <v>0</v>
      </c>
      <c r="E19" s="3">
        <v>0</v>
      </c>
      <c r="F19" s="6">
        <v>1</v>
      </c>
      <c r="G19" s="42">
        <v>0</v>
      </c>
      <c r="H19" s="3">
        <v>1</v>
      </c>
      <c r="I19" s="6">
        <v>0</v>
      </c>
      <c r="J19" s="42">
        <v>1</v>
      </c>
      <c r="K19" s="3">
        <v>0</v>
      </c>
      <c r="L19" s="1" t="s">
        <v>95</v>
      </c>
      <c r="M19" s="9" t="s">
        <v>93</v>
      </c>
    </row>
    <row r="20" spans="1:13" ht="45.75" customHeight="1" x14ac:dyDescent="0.25">
      <c r="A20" s="11" t="s">
        <v>96</v>
      </c>
      <c r="B20" s="10" t="s">
        <v>97</v>
      </c>
      <c r="C20" s="4">
        <v>0</v>
      </c>
      <c r="D20" s="3">
        <v>0</v>
      </c>
      <c r="E20" s="3">
        <v>0</v>
      </c>
      <c r="F20" s="4">
        <v>1</v>
      </c>
      <c r="G20" s="42">
        <v>2</v>
      </c>
      <c r="H20" s="3">
        <v>1</v>
      </c>
      <c r="I20" s="4">
        <v>1</v>
      </c>
      <c r="J20" s="42">
        <v>1</v>
      </c>
      <c r="K20" s="3">
        <v>1</v>
      </c>
      <c r="L20" s="1" t="s">
        <v>98</v>
      </c>
      <c r="M20" s="9" t="s">
        <v>96</v>
      </c>
    </row>
    <row r="21" spans="1:13" ht="24" customHeight="1" x14ac:dyDescent="0.25">
      <c r="A21" s="11">
        <v>24</v>
      </c>
      <c r="B21" s="25" t="s">
        <v>13</v>
      </c>
      <c r="C21" s="4">
        <v>5</v>
      </c>
      <c r="D21" s="3">
        <v>0</v>
      </c>
      <c r="E21" s="3">
        <v>6</v>
      </c>
      <c r="F21" s="4">
        <v>3</v>
      </c>
      <c r="G21" s="42">
        <v>1</v>
      </c>
      <c r="H21" s="3">
        <v>1</v>
      </c>
      <c r="I21" s="4">
        <v>1</v>
      </c>
      <c r="J21" s="42">
        <f>1+2</f>
        <v>3</v>
      </c>
      <c r="K21" s="3">
        <f>1+1</f>
        <v>2</v>
      </c>
      <c r="L21" s="1" t="s">
        <v>14</v>
      </c>
      <c r="M21" s="9">
        <v>24</v>
      </c>
    </row>
    <row r="22" spans="1:13" ht="24" customHeight="1" x14ac:dyDescent="0.25">
      <c r="A22" s="11">
        <v>25</v>
      </c>
      <c r="B22" s="25" t="s">
        <v>99</v>
      </c>
      <c r="C22" s="4">
        <v>0</v>
      </c>
      <c r="D22" s="3">
        <v>0</v>
      </c>
      <c r="E22" s="3">
        <v>0</v>
      </c>
      <c r="F22" s="4">
        <v>0</v>
      </c>
      <c r="G22" s="42">
        <v>0</v>
      </c>
      <c r="H22" s="3">
        <v>0</v>
      </c>
      <c r="I22" s="4">
        <v>0</v>
      </c>
      <c r="J22" s="42">
        <v>1</v>
      </c>
      <c r="K22" s="3">
        <v>0</v>
      </c>
      <c r="L22" s="1" t="s">
        <v>15</v>
      </c>
      <c r="M22" s="9">
        <v>25</v>
      </c>
    </row>
    <row r="23" spans="1:13" ht="24" customHeight="1" x14ac:dyDescent="0.25">
      <c r="A23" s="11">
        <v>26</v>
      </c>
      <c r="B23" s="25" t="s">
        <v>16</v>
      </c>
      <c r="C23" s="4">
        <v>12</v>
      </c>
      <c r="D23" s="3">
        <v>3</v>
      </c>
      <c r="E23" s="3">
        <v>9</v>
      </c>
      <c r="F23" s="4">
        <v>0</v>
      </c>
      <c r="G23" s="42">
        <v>1</v>
      </c>
      <c r="H23" s="3">
        <v>1</v>
      </c>
      <c r="I23" s="4">
        <v>0</v>
      </c>
      <c r="J23" s="42">
        <v>0</v>
      </c>
      <c r="K23" s="3">
        <v>1</v>
      </c>
      <c r="L23" s="1" t="s">
        <v>17</v>
      </c>
      <c r="M23" s="9">
        <v>26</v>
      </c>
    </row>
    <row r="24" spans="1:13" ht="24" hidden="1" customHeight="1" x14ac:dyDescent="0.25">
      <c r="A24" s="11">
        <v>27</v>
      </c>
      <c r="B24" s="25" t="s">
        <v>18</v>
      </c>
      <c r="C24" s="4">
        <v>0</v>
      </c>
      <c r="D24" s="3">
        <v>0</v>
      </c>
      <c r="E24" s="3">
        <v>0</v>
      </c>
      <c r="F24" s="4">
        <v>0</v>
      </c>
      <c r="G24" s="42"/>
      <c r="H24" s="3">
        <v>0</v>
      </c>
      <c r="I24" s="4"/>
      <c r="J24" s="42"/>
      <c r="L24" s="1" t="s">
        <v>19</v>
      </c>
      <c r="M24" s="9">
        <v>27</v>
      </c>
    </row>
    <row r="25" spans="1:13" ht="24" customHeight="1" x14ac:dyDescent="0.25">
      <c r="A25" s="11">
        <v>28</v>
      </c>
      <c r="B25" s="27" t="s">
        <v>20</v>
      </c>
      <c r="C25" s="7">
        <v>1</v>
      </c>
      <c r="D25" s="3">
        <v>0</v>
      </c>
      <c r="E25" s="3">
        <v>1</v>
      </c>
      <c r="F25" s="7">
        <v>0</v>
      </c>
      <c r="G25" s="42">
        <v>0</v>
      </c>
      <c r="H25" s="3">
        <v>0</v>
      </c>
      <c r="I25" s="7">
        <v>0</v>
      </c>
      <c r="J25" s="42">
        <v>0</v>
      </c>
      <c r="K25" s="3">
        <v>0</v>
      </c>
      <c r="L25" s="1" t="s">
        <v>21</v>
      </c>
      <c r="M25" s="9">
        <v>28</v>
      </c>
    </row>
    <row r="26" spans="1:13" ht="21.75" hidden="1" customHeight="1" x14ac:dyDescent="0.25">
      <c r="A26" s="11">
        <v>29</v>
      </c>
      <c r="B26" s="25" t="s">
        <v>22</v>
      </c>
      <c r="C26" s="4">
        <v>0</v>
      </c>
      <c r="D26" s="3">
        <v>0</v>
      </c>
      <c r="E26" s="3">
        <v>0</v>
      </c>
      <c r="F26" s="4">
        <v>0</v>
      </c>
      <c r="G26" s="42">
        <v>0</v>
      </c>
      <c r="H26" s="3">
        <v>0</v>
      </c>
      <c r="I26" s="4"/>
      <c r="J26" s="42"/>
      <c r="L26" s="1" t="s">
        <v>23</v>
      </c>
      <c r="M26" s="9">
        <v>29</v>
      </c>
    </row>
    <row r="27" spans="1:13" ht="32.25" customHeight="1" x14ac:dyDescent="0.25">
      <c r="A27" s="11">
        <v>30</v>
      </c>
      <c r="B27" s="27" t="s">
        <v>24</v>
      </c>
      <c r="C27" s="7">
        <v>2</v>
      </c>
      <c r="D27" s="3">
        <v>1</v>
      </c>
      <c r="E27" s="3">
        <v>1</v>
      </c>
      <c r="F27" s="7">
        <v>0</v>
      </c>
      <c r="G27" s="42">
        <v>0</v>
      </c>
      <c r="H27" s="3">
        <v>0</v>
      </c>
      <c r="I27" s="7">
        <v>0</v>
      </c>
      <c r="J27" s="42">
        <v>0</v>
      </c>
      <c r="K27" s="3">
        <v>0</v>
      </c>
      <c r="L27" s="1" t="s">
        <v>25</v>
      </c>
      <c r="M27" s="9">
        <v>30</v>
      </c>
    </row>
    <row r="28" spans="1:13" ht="24" hidden="1" customHeight="1" x14ac:dyDescent="0.25">
      <c r="A28" s="11">
        <v>31</v>
      </c>
      <c r="B28" s="25" t="s">
        <v>27</v>
      </c>
      <c r="C28" s="4"/>
      <c r="E28" s="3">
        <v>0</v>
      </c>
      <c r="F28" s="4">
        <v>0</v>
      </c>
      <c r="G28" s="42"/>
      <c r="H28" s="3">
        <v>0</v>
      </c>
      <c r="I28" s="4"/>
      <c r="J28" s="42"/>
      <c r="L28" s="1" t="s">
        <v>26</v>
      </c>
      <c r="M28" s="9">
        <v>31</v>
      </c>
    </row>
    <row r="29" spans="1:13" ht="42.75" customHeight="1" x14ac:dyDescent="0.25">
      <c r="A29" s="11">
        <v>32</v>
      </c>
      <c r="B29" s="26" t="s">
        <v>100</v>
      </c>
      <c r="C29" s="6">
        <v>0</v>
      </c>
      <c r="D29" s="3">
        <v>0</v>
      </c>
      <c r="E29" s="3">
        <v>0</v>
      </c>
      <c r="F29" s="6">
        <v>0</v>
      </c>
      <c r="G29" s="42">
        <v>0</v>
      </c>
      <c r="H29" s="3">
        <v>0</v>
      </c>
      <c r="I29" s="6">
        <v>0</v>
      </c>
      <c r="J29" s="42">
        <v>0</v>
      </c>
      <c r="K29" s="3">
        <v>0</v>
      </c>
      <c r="L29" s="1" t="s">
        <v>101</v>
      </c>
      <c r="M29" s="9">
        <v>32</v>
      </c>
    </row>
    <row r="30" spans="1:13" ht="24" customHeight="1" x14ac:dyDescent="0.25">
      <c r="A30" s="11">
        <v>33</v>
      </c>
      <c r="B30" s="25" t="s">
        <v>28</v>
      </c>
      <c r="C30" s="4">
        <v>0</v>
      </c>
      <c r="D30" s="3">
        <v>0</v>
      </c>
      <c r="E30" s="3">
        <v>0</v>
      </c>
      <c r="F30" s="4">
        <v>1</v>
      </c>
      <c r="G30" s="42">
        <v>1</v>
      </c>
      <c r="H30" s="3">
        <v>1</v>
      </c>
      <c r="I30" s="4">
        <v>4</v>
      </c>
      <c r="J30" s="42">
        <v>1</v>
      </c>
      <c r="K30" s="3">
        <f>3+3</f>
        <v>6</v>
      </c>
      <c r="L30" s="1" t="s">
        <v>29</v>
      </c>
      <c r="M30" s="9">
        <v>33</v>
      </c>
    </row>
    <row r="31" spans="1:13" ht="24" hidden="1" customHeight="1" x14ac:dyDescent="0.25">
      <c r="A31" s="11">
        <v>34</v>
      </c>
      <c r="B31" s="25" t="s">
        <v>30</v>
      </c>
      <c r="C31" s="4"/>
      <c r="F31" s="4"/>
      <c r="G31" s="42"/>
      <c r="I31" s="4"/>
      <c r="J31" s="42"/>
      <c r="L31" s="1" t="s">
        <v>31</v>
      </c>
      <c r="M31" s="9">
        <v>34</v>
      </c>
    </row>
    <row r="32" spans="1:13" ht="124.5" customHeight="1" x14ac:dyDescent="0.25">
      <c r="A32" s="11" t="s">
        <v>102</v>
      </c>
      <c r="B32" s="10" t="s">
        <v>103</v>
      </c>
      <c r="C32" s="4">
        <v>3</v>
      </c>
      <c r="D32" s="3">
        <v>0</v>
      </c>
      <c r="E32" s="3">
        <v>8</v>
      </c>
      <c r="F32" s="4">
        <v>2</v>
      </c>
      <c r="G32" s="42">
        <v>2</v>
      </c>
      <c r="H32" s="3">
        <v>1</v>
      </c>
      <c r="I32" s="4">
        <v>3</v>
      </c>
      <c r="J32" s="42">
        <v>1</v>
      </c>
      <c r="K32" s="3">
        <v>1</v>
      </c>
      <c r="L32" s="1" t="s">
        <v>104</v>
      </c>
      <c r="M32" s="9" t="s">
        <v>102</v>
      </c>
    </row>
    <row r="33" spans="1:13" ht="45" x14ac:dyDescent="0.25">
      <c r="A33" s="11" t="s">
        <v>105</v>
      </c>
      <c r="B33" s="10" t="s">
        <v>106</v>
      </c>
      <c r="C33" s="4">
        <v>0</v>
      </c>
      <c r="D33" s="3">
        <v>0</v>
      </c>
      <c r="E33" s="3">
        <v>3</v>
      </c>
      <c r="F33" s="4">
        <v>7</v>
      </c>
      <c r="G33" s="43">
        <v>0</v>
      </c>
      <c r="H33" s="3">
        <v>4</v>
      </c>
      <c r="I33" s="4">
        <v>5</v>
      </c>
      <c r="J33" s="43">
        <f>1+2</f>
        <v>3</v>
      </c>
      <c r="K33" s="3">
        <v>4</v>
      </c>
      <c r="L33" s="1" t="s">
        <v>107</v>
      </c>
      <c r="M33" s="9" t="s">
        <v>105</v>
      </c>
    </row>
    <row r="34" spans="1:13" ht="45.75" hidden="1" customHeight="1" x14ac:dyDescent="0.25">
      <c r="A34" s="11">
        <v>35</v>
      </c>
      <c r="B34" s="25" t="s">
        <v>32</v>
      </c>
      <c r="C34" s="4"/>
      <c r="D34" s="2"/>
      <c r="F34" s="4"/>
      <c r="G34" s="43"/>
      <c r="I34" s="4"/>
      <c r="J34" s="43"/>
      <c r="L34" s="28" t="s">
        <v>33</v>
      </c>
      <c r="M34" s="9">
        <v>35</v>
      </c>
    </row>
    <row r="35" spans="1:13" ht="165" customHeight="1" x14ac:dyDescent="0.25">
      <c r="A35" s="11" t="s">
        <v>108</v>
      </c>
      <c r="B35" s="10" t="s">
        <v>109</v>
      </c>
      <c r="C35" s="4">
        <v>25</v>
      </c>
      <c r="D35" s="2">
        <f>7+7</f>
        <v>14</v>
      </c>
      <c r="E35" s="3">
        <f>37+4</f>
        <v>41</v>
      </c>
      <c r="F35" s="4">
        <v>38</v>
      </c>
      <c r="G35" s="43">
        <v>41</v>
      </c>
      <c r="H35" s="3">
        <v>10</v>
      </c>
      <c r="I35" s="4">
        <v>68</v>
      </c>
      <c r="J35" s="43">
        <f>83+11</f>
        <v>94</v>
      </c>
      <c r="K35" s="3">
        <f>13+2</f>
        <v>15</v>
      </c>
      <c r="L35" s="28" t="s">
        <v>110</v>
      </c>
      <c r="M35" s="9" t="s">
        <v>108</v>
      </c>
    </row>
    <row r="36" spans="1:13" ht="81" customHeight="1" x14ac:dyDescent="0.25">
      <c r="A36" s="11" t="s">
        <v>111</v>
      </c>
      <c r="B36" s="10" t="s">
        <v>112</v>
      </c>
      <c r="C36" s="4">
        <v>28</v>
      </c>
      <c r="D36" s="2">
        <f>8+8</f>
        <v>16</v>
      </c>
      <c r="E36" s="3">
        <f>22+1</f>
        <v>23</v>
      </c>
      <c r="F36" s="4">
        <v>33</v>
      </c>
      <c r="G36" s="42">
        <v>18</v>
      </c>
      <c r="H36" s="3">
        <v>10</v>
      </c>
      <c r="I36" s="4">
        <v>14</v>
      </c>
      <c r="J36" s="42">
        <f>18+12</f>
        <v>30</v>
      </c>
      <c r="K36" s="3">
        <f>7+1</f>
        <v>8</v>
      </c>
      <c r="L36" s="28" t="s">
        <v>113</v>
      </c>
      <c r="M36" s="9" t="s">
        <v>111</v>
      </c>
    </row>
    <row r="37" spans="1:13" ht="24" hidden="1" customHeight="1" x14ac:dyDescent="0.25">
      <c r="A37" s="11">
        <v>36</v>
      </c>
      <c r="B37" s="25" t="s">
        <v>34</v>
      </c>
      <c r="C37" s="4"/>
      <c r="F37" s="4"/>
      <c r="G37" s="42"/>
      <c r="I37" s="4"/>
      <c r="J37" s="42"/>
      <c r="L37" s="1" t="s">
        <v>35</v>
      </c>
      <c r="M37" s="9">
        <v>36</v>
      </c>
    </row>
    <row r="38" spans="1:13" ht="49.5" customHeight="1" x14ac:dyDescent="0.25">
      <c r="A38" s="11" t="s">
        <v>114</v>
      </c>
      <c r="B38" s="10" t="s">
        <v>115</v>
      </c>
      <c r="C38" s="4">
        <v>4</v>
      </c>
      <c r="D38" s="3">
        <v>0</v>
      </c>
      <c r="E38" s="3">
        <v>4</v>
      </c>
      <c r="F38" s="4">
        <v>1</v>
      </c>
      <c r="G38" s="42">
        <v>2</v>
      </c>
      <c r="H38" s="3">
        <v>1</v>
      </c>
      <c r="I38" s="4">
        <v>3</v>
      </c>
      <c r="J38" s="42">
        <f>2+2</f>
        <v>4</v>
      </c>
      <c r="K38" s="3">
        <v>1</v>
      </c>
      <c r="L38" s="1" t="s">
        <v>116</v>
      </c>
      <c r="M38" s="9" t="s">
        <v>114</v>
      </c>
    </row>
    <row r="39" spans="1:13" ht="102.6" customHeight="1" x14ac:dyDescent="0.25">
      <c r="A39" s="11" t="s">
        <v>117</v>
      </c>
      <c r="B39" s="10" t="s">
        <v>118</v>
      </c>
      <c r="C39" s="4">
        <v>0</v>
      </c>
      <c r="D39" s="3">
        <v>0</v>
      </c>
      <c r="E39" s="3">
        <v>0</v>
      </c>
      <c r="F39" s="4">
        <v>2</v>
      </c>
      <c r="G39" s="42">
        <v>0</v>
      </c>
      <c r="H39" s="3">
        <v>0</v>
      </c>
      <c r="I39" s="4">
        <v>0</v>
      </c>
      <c r="J39" s="42">
        <f>0+3</f>
        <v>3</v>
      </c>
      <c r="K39" s="3">
        <v>0</v>
      </c>
      <c r="L39" s="1" t="s">
        <v>119</v>
      </c>
      <c r="M39" s="9" t="s">
        <v>117</v>
      </c>
    </row>
    <row r="40" spans="1:13" ht="102.6" customHeight="1" x14ac:dyDescent="0.25">
      <c r="A40" s="11" t="s">
        <v>120</v>
      </c>
      <c r="B40" s="10" t="s">
        <v>121</v>
      </c>
      <c r="C40" s="4">
        <v>1</v>
      </c>
      <c r="D40" s="3">
        <v>1</v>
      </c>
      <c r="E40" s="3">
        <v>0</v>
      </c>
      <c r="F40" s="4">
        <v>0</v>
      </c>
      <c r="G40" s="42">
        <v>0</v>
      </c>
      <c r="H40" s="3">
        <v>0</v>
      </c>
      <c r="I40" s="4">
        <v>0</v>
      </c>
      <c r="J40" s="42">
        <v>0</v>
      </c>
      <c r="K40" s="3">
        <v>0</v>
      </c>
      <c r="L40" s="1" t="s">
        <v>122</v>
      </c>
      <c r="M40" s="9" t="s">
        <v>123</v>
      </c>
    </row>
    <row r="41" spans="1:13" ht="24" hidden="1" customHeight="1" x14ac:dyDescent="0.25">
      <c r="A41" s="11">
        <v>37</v>
      </c>
      <c r="B41" s="25" t="s">
        <v>36</v>
      </c>
      <c r="C41" s="4"/>
      <c r="F41" s="4"/>
      <c r="G41" s="42"/>
      <c r="I41" s="4"/>
      <c r="J41" s="42"/>
      <c r="L41" s="1" t="s">
        <v>37</v>
      </c>
      <c r="M41" s="9">
        <v>37</v>
      </c>
    </row>
    <row r="42" spans="1:13" ht="51" customHeight="1" x14ac:dyDescent="0.25">
      <c r="A42" s="11" t="s">
        <v>124</v>
      </c>
      <c r="B42" s="10" t="s">
        <v>125</v>
      </c>
      <c r="C42" s="4">
        <v>2</v>
      </c>
      <c r="D42" s="3">
        <v>0</v>
      </c>
      <c r="E42" s="3">
        <v>2</v>
      </c>
      <c r="F42" s="4">
        <v>9</v>
      </c>
      <c r="G42" s="42">
        <v>1</v>
      </c>
      <c r="H42" s="3">
        <v>4</v>
      </c>
      <c r="I42" s="4">
        <v>6</v>
      </c>
      <c r="J42" s="42">
        <f>6+1</f>
        <v>7</v>
      </c>
      <c r="K42" s="3">
        <f>2+2</f>
        <v>4</v>
      </c>
      <c r="L42" s="1" t="s">
        <v>126</v>
      </c>
      <c r="M42" s="9" t="s">
        <v>124</v>
      </c>
    </row>
    <row r="43" spans="1:13" ht="127.5" customHeight="1" x14ac:dyDescent="0.25">
      <c r="A43" s="11" t="s">
        <v>127</v>
      </c>
      <c r="B43" s="10" t="s">
        <v>128</v>
      </c>
      <c r="C43" s="4">
        <v>15</v>
      </c>
      <c r="D43" s="3">
        <f>5+1</f>
        <v>6</v>
      </c>
      <c r="E43" s="3">
        <f>10+6</f>
        <v>16</v>
      </c>
      <c r="F43" s="4">
        <v>28</v>
      </c>
      <c r="G43" s="42">
        <v>10</v>
      </c>
      <c r="H43" s="3">
        <v>23</v>
      </c>
      <c r="I43" s="4">
        <v>76</v>
      </c>
      <c r="J43" s="42">
        <f>40+9</f>
        <v>49</v>
      </c>
      <c r="K43" s="3">
        <f>1+26</f>
        <v>27</v>
      </c>
      <c r="L43" s="1" t="s">
        <v>129</v>
      </c>
      <c r="M43" s="9" t="s">
        <v>127</v>
      </c>
    </row>
    <row r="44" spans="1:13" ht="84" x14ac:dyDescent="0.25">
      <c r="A44" s="11" t="s">
        <v>130</v>
      </c>
      <c r="B44" s="10" t="s">
        <v>131</v>
      </c>
      <c r="C44" s="4">
        <v>0</v>
      </c>
      <c r="D44" s="3">
        <v>0</v>
      </c>
      <c r="E44" s="3">
        <v>0</v>
      </c>
      <c r="F44" s="4">
        <v>0</v>
      </c>
      <c r="G44" s="42">
        <v>0</v>
      </c>
      <c r="H44" s="3">
        <v>0</v>
      </c>
      <c r="I44" s="4">
        <v>0</v>
      </c>
      <c r="J44" s="42">
        <v>0</v>
      </c>
      <c r="K44" s="3">
        <v>0</v>
      </c>
      <c r="L44" s="1" t="s">
        <v>132</v>
      </c>
      <c r="M44" s="9" t="s">
        <v>130</v>
      </c>
    </row>
    <row r="45" spans="1:13" ht="105" x14ac:dyDescent="0.25">
      <c r="A45" s="11" t="s">
        <v>218</v>
      </c>
      <c r="B45" s="10"/>
      <c r="C45" s="4"/>
      <c r="F45" s="4"/>
      <c r="G45" s="42"/>
      <c r="I45" s="4">
        <v>1</v>
      </c>
      <c r="J45" s="42">
        <v>0</v>
      </c>
      <c r="K45" s="3">
        <v>1</v>
      </c>
      <c r="L45" s="1" t="s">
        <v>219</v>
      </c>
      <c r="M45" s="9" t="s">
        <v>218</v>
      </c>
    </row>
    <row r="46" spans="1:13" ht="40.5" customHeight="1" x14ac:dyDescent="0.25">
      <c r="A46" s="11">
        <v>38</v>
      </c>
      <c r="B46" s="10" t="s">
        <v>133</v>
      </c>
      <c r="C46" s="4">
        <v>3</v>
      </c>
      <c r="D46" s="3">
        <v>0</v>
      </c>
      <c r="E46" s="3">
        <v>6</v>
      </c>
      <c r="F46" s="4">
        <v>1</v>
      </c>
      <c r="G46" s="42">
        <v>0</v>
      </c>
      <c r="H46" s="3">
        <v>0</v>
      </c>
      <c r="I46" s="4">
        <v>1</v>
      </c>
      <c r="J46" s="42">
        <v>1</v>
      </c>
      <c r="K46" s="3">
        <v>1</v>
      </c>
      <c r="L46" s="1" t="s">
        <v>38</v>
      </c>
      <c r="M46" s="9">
        <v>38</v>
      </c>
    </row>
    <row r="47" spans="1:13" ht="24" customHeight="1" x14ac:dyDescent="0.25">
      <c r="A47" s="11">
        <v>40</v>
      </c>
      <c r="B47" s="25" t="s">
        <v>39</v>
      </c>
      <c r="C47" s="4">
        <v>0</v>
      </c>
      <c r="D47" s="3">
        <v>0</v>
      </c>
      <c r="E47" s="3">
        <v>0</v>
      </c>
      <c r="F47" s="4">
        <v>0</v>
      </c>
      <c r="G47" s="42">
        <v>0</v>
      </c>
      <c r="H47" s="3">
        <v>0</v>
      </c>
      <c r="I47" s="4">
        <v>0</v>
      </c>
      <c r="J47" s="42">
        <v>0</v>
      </c>
      <c r="K47" s="3">
        <v>0</v>
      </c>
      <c r="L47" s="1" t="s">
        <v>40</v>
      </c>
      <c r="M47" s="9">
        <v>40</v>
      </c>
    </row>
    <row r="48" spans="1:13" ht="45" x14ac:dyDescent="0.25">
      <c r="A48" s="11" t="s">
        <v>134</v>
      </c>
      <c r="B48" s="25" t="s">
        <v>135</v>
      </c>
      <c r="C48" s="4">
        <v>1</v>
      </c>
      <c r="D48" s="3">
        <v>1</v>
      </c>
      <c r="E48" s="3">
        <v>0</v>
      </c>
      <c r="F48" s="4">
        <v>0</v>
      </c>
      <c r="G48" s="42">
        <v>1</v>
      </c>
      <c r="H48" s="3">
        <v>0</v>
      </c>
      <c r="I48" s="4">
        <v>7</v>
      </c>
      <c r="J48" s="42">
        <v>3</v>
      </c>
      <c r="K48" s="3">
        <f>1+4</f>
        <v>5</v>
      </c>
      <c r="L48" s="1" t="s">
        <v>136</v>
      </c>
      <c r="M48" s="9" t="s">
        <v>134</v>
      </c>
    </row>
    <row r="49" spans="1:13" ht="147" x14ac:dyDescent="0.25">
      <c r="B49" s="25" t="s">
        <v>137</v>
      </c>
      <c r="C49" s="4">
        <v>0</v>
      </c>
      <c r="D49" s="3">
        <v>0</v>
      </c>
      <c r="E49" s="3">
        <v>2</v>
      </c>
      <c r="F49" s="4">
        <v>3</v>
      </c>
      <c r="G49" s="42">
        <v>1</v>
      </c>
      <c r="H49" s="3">
        <v>2</v>
      </c>
      <c r="I49" s="4">
        <v>1</v>
      </c>
      <c r="J49" s="42">
        <v>0</v>
      </c>
      <c r="K49" s="3">
        <v>1</v>
      </c>
      <c r="L49" s="1" t="s">
        <v>138</v>
      </c>
      <c r="M49" s="9" t="s">
        <v>139</v>
      </c>
    </row>
    <row r="50" spans="1:13" ht="24" customHeight="1" x14ac:dyDescent="0.25">
      <c r="A50" s="11">
        <v>41</v>
      </c>
      <c r="B50" s="25" t="s">
        <v>41</v>
      </c>
      <c r="C50" s="4">
        <v>2</v>
      </c>
      <c r="D50" s="3">
        <v>1</v>
      </c>
      <c r="E50" s="3">
        <v>1</v>
      </c>
      <c r="F50" s="4">
        <v>5</v>
      </c>
      <c r="G50" s="42">
        <v>1</v>
      </c>
      <c r="H50" s="3">
        <v>3</v>
      </c>
      <c r="I50" s="4">
        <v>25</v>
      </c>
      <c r="J50" s="42">
        <f>6+2</f>
        <v>8</v>
      </c>
      <c r="K50" s="3">
        <f>18+1</f>
        <v>19</v>
      </c>
      <c r="L50" s="1" t="s">
        <v>42</v>
      </c>
      <c r="M50" s="9">
        <v>41</v>
      </c>
    </row>
    <row r="51" spans="1:13" ht="24" customHeight="1" x14ac:dyDescent="0.25">
      <c r="A51" s="11">
        <v>42</v>
      </c>
      <c r="B51" s="25" t="s">
        <v>43</v>
      </c>
      <c r="C51" s="4"/>
      <c r="F51" s="4"/>
      <c r="G51" s="42"/>
      <c r="I51" s="4"/>
      <c r="J51" s="42"/>
      <c r="L51" s="1" t="s">
        <v>44</v>
      </c>
      <c r="M51" s="9">
        <v>42</v>
      </c>
    </row>
    <row r="52" spans="1:13" ht="134.25" customHeight="1" x14ac:dyDescent="0.25">
      <c r="A52" s="11" t="s">
        <v>140</v>
      </c>
      <c r="B52" s="10" t="s">
        <v>141</v>
      </c>
      <c r="C52" s="4">
        <v>1</v>
      </c>
      <c r="D52" s="3">
        <v>0</v>
      </c>
      <c r="E52" s="3">
        <v>1</v>
      </c>
      <c r="F52" s="4">
        <v>5</v>
      </c>
      <c r="G52" s="42">
        <v>17</v>
      </c>
      <c r="H52" s="3">
        <v>3</v>
      </c>
      <c r="I52" s="4">
        <v>3</v>
      </c>
      <c r="J52" s="42">
        <f>1+1</f>
        <v>2</v>
      </c>
      <c r="K52" s="3">
        <f>2+2</f>
        <v>4</v>
      </c>
      <c r="L52" s="1" t="s">
        <v>142</v>
      </c>
      <c r="M52" s="9" t="s">
        <v>140</v>
      </c>
    </row>
    <row r="53" spans="1:13" ht="47.25" customHeight="1" x14ac:dyDescent="0.25">
      <c r="A53" s="11" t="s">
        <v>143</v>
      </c>
      <c r="B53" s="10" t="s">
        <v>144</v>
      </c>
      <c r="C53" s="4">
        <v>0</v>
      </c>
      <c r="D53" s="3">
        <v>0</v>
      </c>
      <c r="E53" s="3">
        <v>0</v>
      </c>
      <c r="F53" s="4">
        <v>2</v>
      </c>
      <c r="G53" s="42">
        <v>0</v>
      </c>
      <c r="H53" s="3">
        <v>1</v>
      </c>
      <c r="I53" s="4">
        <v>3</v>
      </c>
      <c r="J53" s="42">
        <f>1+2</f>
        <v>3</v>
      </c>
      <c r="K53" s="3">
        <f>1+1</f>
        <v>2</v>
      </c>
      <c r="L53" s="1" t="s">
        <v>145</v>
      </c>
      <c r="M53" s="9" t="s">
        <v>143</v>
      </c>
    </row>
    <row r="54" spans="1:13" ht="24" hidden="1" customHeight="1" x14ac:dyDescent="0.25">
      <c r="A54" s="11">
        <v>43</v>
      </c>
      <c r="B54" s="25" t="s">
        <v>45</v>
      </c>
      <c r="C54" s="4"/>
      <c r="F54" s="4"/>
      <c r="G54" s="42"/>
      <c r="I54" s="4"/>
      <c r="J54" s="42"/>
      <c r="L54" s="1" t="s">
        <v>46</v>
      </c>
      <c r="M54" s="9">
        <v>43</v>
      </c>
    </row>
    <row r="55" spans="1:13" ht="81.75" customHeight="1" x14ac:dyDescent="0.25">
      <c r="A55" s="11" t="s">
        <v>146</v>
      </c>
      <c r="B55" s="10" t="s">
        <v>147</v>
      </c>
      <c r="C55" s="4">
        <v>75</v>
      </c>
      <c r="D55" s="3">
        <v>33</v>
      </c>
      <c r="E55" s="3">
        <v>60</v>
      </c>
      <c r="F55" s="4">
        <v>83</v>
      </c>
      <c r="G55" s="42">
        <v>33</v>
      </c>
      <c r="H55" s="3">
        <v>65</v>
      </c>
      <c r="I55" s="4">
        <v>83</v>
      </c>
      <c r="J55" s="42">
        <f>52+15</f>
        <v>67</v>
      </c>
      <c r="K55" s="3">
        <f>53+1</f>
        <v>54</v>
      </c>
      <c r="L55" s="1" t="s">
        <v>148</v>
      </c>
      <c r="M55" s="9" t="s">
        <v>146</v>
      </c>
    </row>
    <row r="56" spans="1:13" ht="69" customHeight="1" x14ac:dyDescent="0.25">
      <c r="A56" s="11" t="s">
        <v>149</v>
      </c>
      <c r="B56" s="10" t="s">
        <v>150</v>
      </c>
      <c r="C56" s="4">
        <v>0</v>
      </c>
      <c r="D56" s="3">
        <v>0</v>
      </c>
      <c r="E56" s="3">
        <v>1</v>
      </c>
      <c r="F56" s="4">
        <v>0</v>
      </c>
      <c r="G56" s="42">
        <v>0</v>
      </c>
      <c r="H56" s="3">
        <v>0</v>
      </c>
      <c r="I56" s="4">
        <v>0</v>
      </c>
      <c r="J56" s="42">
        <v>0</v>
      </c>
      <c r="K56" s="3">
        <v>0</v>
      </c>
      <c r="L56" s="1" t="s">
        <v>151</v>
      </c>
      <c r="M56" s="9" t="s">
        <v>149</v>
      </c>
    </row>
    <row r="57" spans="1:13" ht="24" customHeight="1" x14ac:dyDescent="0.25">
      <c r="A57" s="11">
        <v>45</v>
      </c>
      <c r="B57" s="25" t="s">
        <v>47</v>
      </c>
      <c r="C57" s="4">
        <v>2</v>
      </c>
      <c r="D57" s="3">
        <v>0</v>
      </c>
      <c r="E57" s="3">
        <v>3</v>
      </c>
      <c r="F57" s="4">
        <v>5</v>
      </c>
      <c r="G57" s="42">
        <v>3</v>
      </c>
      <c r="H57" s="3">
        <v>2</v>
      </c>
      <c r="I57" s="4">
        <v>6</v>
      </c>
      <c r="J57" s="42">
        <f>2+3</f>
        <v>5</v>
      </c>
      <c r="K57" s="3">
        <f>2+4</f>
        <v>6</v>
      </c>
      <c r="L57" s="1" t="s">
        <v>48</v>
      </c>
      <c r="M57" s="9">
        <v>45</v>
      </c>
    </row>
    <row r="58" spans="1:13" ht="24" customHeight="1" x14ac:dyDescent="0.25">
      <c r="A58" s="11">
        <v>46</v>
      </c>
      <c r="B58" s="25" t="s">
        <v>152</v>
      </c>
      <c r="C58" s="4">
        <v>0</v>
      </c>
      <c r="D58" s="3">
        <v>0</v>
      </c>
      <c r="E58" s="3">
        <v>0</v>
      </c>
      <c r="F58" s="4">
        <v>3</v>
      </c>
      <c r="G58" s="42">
        <v>0</v>
      </c>
      <c r="H58" s="3">
        <v>1</v>
      </c>
      <c r="I58" s="4">
        <v>0</v>
      </c>
      <c r="J58" s="42">
        <v>1</v>
      </c>
      <c r="K58" s="3">
        <v>2</v>
      </c>
      <c r="L58" s="1" t="s">
        <v>153</v>
      </c>
      <c r="M58" s="9">
        <v>46</v>
      </c>
    </row>
    <row r="59" spans="1:13" ht="24" customHeight="1" x14ac:dyDescent="0.25">
      <c r="A59" s="11">
        <v>47</v>
      </c>
      <c r="B59" s="25" t="s">
        <v>49</v>
      </c>
      <c r="C59" s="4">
        <v>0</v>
      </c>
      <c r="D59" s="3">
        <v>0</v>
      </c>
      <c r="E59" s="3">
        <v>0</v>
      </c>
      <c r="F59" s="4">
        <v>0</v>
      </c>
      <c r="G59" s="42">
        <v>0</v>
      </c>
      <c r="H59" s="3">
        <v>0</v>
      </c>
      <c r="I59" s="4">
        <v>0</v>
      </c>
      <c r="J59" s="42">
        <v>0</v>
      </c>
      <c r="L59" s="1" t="s">
        <v>50</v>
      </c>
      <c r="M59" s="9">
        <v>47</v>
      </c>
    </row>
    <row r="60" spans="1:13" ht="42" hidden="1" x14ac:dyDescent="0.25">
      <c r="A60" s="11" t="s">
        <v>154</v>
      </c>
      <c r="B60" s="25" t="s">
        <v>155</v>
      </c>
      <c r="C60" s="4">
        <v>0</v>
      </c>
      <c r="D60" s="3">
        <v>0</v>
      </c>
      <c r="E60" s="3">
        <v>0</v>
      </c>
      <c r="F60" s="4">
        <v>0</v>
      </c>
      <c r="G60" s="42">
        <v>0</v>
      </c>
      <c r="H60" s="3">
        <v>0</v>
      </c>
      <c r="I60" s="4"/>
      <c r="J60" s="42"/>
      <c r="L60" s="1" t="s">
        <v>156</v>
      </c>
      <c r="M60" s="9" t="s">
        <v>154</v>
      </c>
    </row>
    <row r="61" spans="1:13" ht="126" x14ac:dyDescent="0.25">
      <c r="A61" s="11" t="s">
        <v>157</v>
      </c>
      <c r="B61" s="25" t="s">
        <v>158</v>
      </c>
      <c r="C61" s="4">
        <v>0</v>
      </c>
      <c r="D61" s="3">
        <v>0</v>
      </c>
      <c r="E61" s="3">
        <v>0</v>
      </c>
      <c r="F61" s="4">
        <v>1</v>
      </c>
      <c r="G61" s="42">
        <v>1</v>
      </c>
      <c r="H61" s="3">
        <v>0</v>
      </c>
      <c r="I61" s="4">
        <v>0</v>
      </c>
      <c r="J61" s="42">
        <v>0</v>
      </c>
      <c r="K61" s="3">
        <v>0</v>
      </c>
      <c r="L61" s="1" t="s">
        <v>159</v>
      </c>
      <c r="M61" s="9" t="s">
        <v>157</v>
      </c>
    </row>
    <row r="62" spans="1:13" ht="24" customHeight="1" x14ac:dyDescent="0.25">
      <c r="A62" s="11">
        <v>48</v>
      </c>
      <c r="B62" s="25" t="s">
        <v>51</v>
      </c>
      <c r="C62" s="4"/>
      <c r="F62" s="4"/>
      <c r="G62" s="42"/>
      <c r="I62" s="4">
        <v>0</v>
      </c>
      <c r="J62" s="42">
        <v>0</v>
      </c>
      <c r="K62" s="3">
        <v>0</v>
      </c>
      <c r="L62" s="1" t="s">
        <v>52</v>
      </c>
      <c r="M62" s="9">
        <v>48</v>
      </c>
    </row>
    <row r="63" spans="1:13" ht="63" x14ac:dyDescent="0.25">
      <c r="A63" s="11" t="s">
        <v>160</v>
      </c>
      <c r="B63" s="25" t="s">
        <v>161</v>
      </c>
      <c r="C63" s="4">
        <v>0</v>
      </c>
      <c r="D63" s="3">
        <v>0</v>
      </c>
      <c r="E63" s="3">
        <v>0</v>
      </c>
      <c r="F63" s="4">
        <v>0</v>
      </c>
      <c r="G63" s="42">
        <v>6</v>
      </c>
      <c r="H63" s="3">
        <v>0</v>
      </c>
      <c r="I63" s="4">
        <v>0</v>
      </c>
      <c r="J63" s="42">
        <v>0</v>
      </c>
      <c r="K63" s="3">
        <v>0</v>
      </c>
      <c r="L63" s="1" t="s">
        <v>162</v>
      </c>
      <c r="M63" s="9" t="s">
        <v>160</v>
      </c>
    </row>
    <row r="64" spans="1:13" ht="126" x14ac:dyDescent="0.25">
      <c r="A64" s="11" t="s">
        <v>163</v>
      </c>
      <c r="B64" s="25" t="s">
        <v>164</v>
      </c>
      <c r="C64" s="4">
        <v>2</v>
      </c>
      <c r="D64" s="3">
        <v>0</v>
      </c>
      <c r="E64" s="3">
        <v>2</v>
      </c>
      <c r="F64" s="4">
        <v>0</v>
      </c>
      <c r="G64" s="42">
        <v>0</v>
      </c>
      <c r="H64" s="3">
        <v>0</v>
      </c>
      <c r="I64" s="4">
        <v>1</v>
      </c>
      <c r="J64" s="42">
        <v>0</v>
      </c>
      <c r="K64" s="3">
        <v>0</v>
      </c>
      <c r="L64" s="1" t="s">
        <v>165</v>
      </c>
      <c r="M64" s="9" t="s">
        <v>163</v>
      </c>
    </row>
    <row r="65" spans="1:13" ht="147" x14ac:dyDescent="0.25">
      <c r="B65" s="25" t="s">
        <v>166</v>
      </c>
      <c r="C65" s="4">
        <v>1</v>
      </c>
      <c r="D65" s="3">
        <v>0</v>
      </c>
      <c r="E65" s="3">
        <v>1</v>
      </c>
      <c r="F65" s="4">
        <v>0</v>
      </c>
      <c r="G65" s="42">
        <v>0</v>
      </c>
      <c r="H65" s="3">
        <v>0</v>
      </c>
      <c r="I65" s="4">
        <v>0</v>
      </c>
      <c r="J65" s="42">
        <v>0</v>
      </c>
      <c r="K65" s="3">
        <v>0</v>
      </c>
      <c r="L65" s="1" t="s">
        <v>167</v>
      </c>
      <c r="M65" s="9" t="s">
        <v>168</v>
      </c>
    </row>
    <row r="66" spans="1:13" ht="21" x14ac:dyDescent="0.25">
      <c r="A66" s="11">
        <v>49</v>
      </c>
      <c r="B66" s="25" t="s">
        <v>217</v>
      </c>
      <c r="C66" s="4"/>
      <c r="F66" s="4">
        <v>1</v>
      </c>
      <c r="G66" s="42"/>
      <c r="H66" s="3">
        <v>1</v>
      </c>
      <c r="I66" s="4">
        <v>2</v>
      </c>
      <c r="J66" s="42">
        <f>1+1</f>
        <v>2</v>
      </c>
      <c r="K66" s="3">
        <v>1</v>
      </c>
      <c r="L66" s="1" t="s">
        <v>216</v>
      </c>
      <c r="M66" s="9">
        <v>49</v>
      </c>
    </row>
    <row r="67" spans="1:13" ht="24" customHeight="1" x14ac:dyDescent="0.25">
      <c r="A67" s="11">
        <v>50</v>
      </c>
      <c r="B67" s="25" t="s">
        <v>53</v>
      </c>
      <c r="C67" s="4">
        <v>6</v>
      </c>
      <c r="D67" s="3">
        <f>3+1</f>
        <v>4</v>
      </c>
      <c r="E67" s="3">
        <v>3</v>
      </c>
      <c r="F67" s="4">
        <v>11</v>
      </c>
      <c r="G67" s="42">
        <v>3</v>
      </c>
      <c r="H67" s="3">
        <v>4</v>
      </c>
      <c r="I67" s="4">
        <v>12</v>
      </c>
      <c r="J67" s="42">
        <f>8+1</f>
        <v>9</v>
      </c>
      <c r="K67" s="3">
        <v>6</v>
      </c>
      <c r="L67" s="1" t="s">
        <v>54</v>
      </c>
      <c r="M67" s="9">
        <v>50</v>
      </c>
    </row>
    <row r="68" spans="1:13" ht="24" hidden="1" customHeight="1" x14ac:dyDescent="0.25">
      <c r="A68" s="11">
        <v>51</v>
      </c>
      <c r="B68" s="25" t="s">
        <v>55</v>
      </c>
      <c r="C68" s="4"/>
      <c r="F68" s="4"/>
      <c r="G68" s="42"/>
      <c r="I68" s="4"/>
      <c r="J68" s="42"/>
      <c r="L68" s="1" t="s">
        <v>56</v>
      </c>
      <c r="M68" s="9">
        <v>51</v>
      </c>
    </row>
    <row r="69" spans="1:13" ht="52.5" customHeight="1" x14ac:dyDescent="0.25">
      <c r="A69" s="11" t="s">
        <v>169</v>
      </c>
      <c r="B69" s="26" t="s">
        <v>170</v>
      </c>
      <c r="C69" s="6">
        <v>9</v>
      </c>
      <c r="D69" s="3">
        <v>3</v>
      </c>
      <c r="E69" s="3">
        <v>6</v>
      </c>
      <c r="F69" s="6">
        <v>14</v>
      </c>
      <c r="G69" s="42">
        <v>0</v>
      </c>
      <c r="H69" s="3">
        <v>5</v>
      </c>
      <c r="I69" s="6">
        <v>9</v>
      </c>
      <c r="J69" s="42">
        <v>4</v>
      </c>
      <c r="K69" s="3">
        <f>14+6</f>
        <v>20</v>
      </c>
      <c r="L69" s="1" t="s">
        <v>171</v>
      </c>
      <c r="M69" s="9" t="s">
        <v>169</v>
      </c>
    </row>
    <row r="70" spans="1:13" ht="45" customHeight="1" x14ac:dyDescent="0.25">
      <c r="A70" s="11" t="s">
        <v>172</v>
      </c>
      <c r="B70" s="26" t="s">
        <v>173</v>
      </c>
      <c r="C70" s="6">
        <v>0</v>
      </c>
      <c r="D70" s="3">
        <v>0</v>
      </c>
      <c r="E70" s="3">
        <v>0</v>
      </c>
      <c r="F70" s="6">
        <v>0</v>
      </c>
      <c r="G70" s="42">
        <v>0</v>
      </c>
      <c r="H70" s="3">
        <v>0</v>
      </c>
      <c r="I70" s="6">
        <v>0</v>
      </c>
      <c r="J70" s="42">
        <v>0</v>
      </c>
      <c r="K70" s="3">
        <v>0</v>
      </c>
      <c r="L70" s="1" t="s">
        <v>174</v>
      </c>
      <c r="M70" s="9" t="s">
        <v>172</v>
      </c>
    </row>
    <row r="71" spans="1:13" ht="67.5" customHeight="1" x14ac:dyDescent="0.25">
      <c r="A71" s="11" t="s">
        <v>175</v>
      </c>
      <c r="B71" s="10" t="s">
        <v>176</v>
      </c>
      <c r="C71" s="4">
        <v>0</v>
      </c>
      <c r="D71" s="3">
        <v>0</v>
      </c>
      <c r="E71" s="3">
        <v>0</v>
      </c>
      <c r="F71" s="4">
        <v>1</v>
      </c>
      <c r="G71" s="42">
        <v>0</v>
      </c>
      <c r="H71" s="3">
        <v>1</v>
      </c>
      <c r="I71" s="4">
        <v>1</v>
      </c>
      <c r="J71" s="42">
        <v>1</v>
      </c>
      <c r="K71" s="3">
        <v>0</v>
      </c>
      <c r="L71" s="1" t="s">
        <v>177</v>
      </c>
      <c r="M71" s="9" t="s">
        <v>175</v>
      </c>
    </row>
    <row r="72" spans="1:13" ht="70.5" customHeight="1" x14ac:dyDescent="0.25">
      <c r="A72" s="29" t="s">
        <v>178</v>
      </c>
      <c r="B72" s="10" t="s">
        <v>179</v>
      </c>
      <c r="C72" s="4">
        <v>0</v>
      </c>
      <c r="D72" s="3">
        <v>0</v>
      </c>
      <c r="E72" s="3">
        <v>0</v>
      </c>
      <c r="F72" s="4">
        <v>1</v>
      </c>
      <c r="G72" s="42">
        <v>0</v>
      </c>
      <c r="H72" s="3">
        <v>1</v>
      </c>
      <c r="I72" s="4">
        <v>2</v>
      </c>
      <c r="J72" s="42">
        <v>1</v>
      </c>
      <c r="K72" s="3">
        <v>0</v>
      </c>
      <c r="L72" s="1" t="s">
        <v>180</v>
      </c>
      <c r="M72" s="30" t="s">
        <v>178</v>
      </c>
    </row>
    <row r="73" spans="1:13" ht="68.25" hidden="1" customHeight="1" x14ac:dyDescent="0.25">
      <c r="A73" s="11" t="s">
        <v>181</v>
      </c>
      <c r="B73" s="10" t="s">
        <v>182</v>
      </c>
      <c r="C73" s="4">
        <v>0</v>
      </c>
      <c r="D73" s="3">
        <v>0</v>
      </c>
      <c r="E73" s="3">
        <v>0</v>
      </c>
      <c r="F73" s="4">
        <v>0</v>
      </c>
      <c r="G73" s="42"/>
      <c r="H73" s="3">
        <v>0</v>
      </c>
      <c r="I73" s="4"/>
      <c r="J73" s="42"/>
      <c r="L73" s="1" t="s">
        <v>183</v>
      </c>
      <c r="M73" s="9" t="s">
        <v>181</v>
      </c>
    </row>
    <row r="74" spans="1:13" ht="99" hidden="1" customHeight="1" x14ac:dyDescent="0.25">
      <c r="A74" s="11" t="s">
        <v>184</v>
      </c>
      <c r="B74" s="10" t="s">
        <v>185</v>
      </c>
      <c r="C74" s="4">
        <v>0</v>
      </c>
      <c r="D74" s="3">
        <v>0</v>
      </c>
      <c r="E74" s="3">
        <v>0</v>
      </c>
      <c r="F74" s="4">
        <v>0</v>
      </c>
      <c r="G74" s="42"/>
      <c r="H74" s="3">
        <v>0</v>
      </c>
      <c r="I74" s="4"/>
      <c r="J74" s="42"/>
      <c r="L74" s="1" t="s">
        <v>186</v>
      </c>
      <c r="M74" s="9" t="s">
        <v>184</v>
      </c>
    </row>
    <row r="75" spans="1:13" ht="63" x14ac:dyDescent="0.25">
      <c r="A75" s="11" t="s">
        <v>187</v>
      </c>
      <c r="B75" s="10" t="s">
        <v>188</v>
      </c>
      <c r="C75" s="4">
        <v>0</v>
      </c>
      <c r="D75" s="3">
        <v>0</v>
      </c>
      <c r="E75" s="3">
        <v>0</v>
      </c>
      <c r="F75" s="4">
        <v>1</v>
      </c>
      <c r="G75" s="42">
        <v>0</v>
      </c>
      <c r="H75" s="3">
        <v>1</v>
      </c>
      <c r="I75" s="4">
        <v>0</v>
      </c>
      <c r="J75" s="42">
        <v>0</v>
      </c>
      <c r="K75" s="3">
        <v>0</v>
      </c>
      <c r="L75" s="1" t="s">
        <v>189</v>
      </c>
      <c r="M75" s="9" t="s">
        <v>187</v>
      </c>
    </row>
    <row r="76" spans="1:13" ht="105" x14ac:dyDescent="0.25">
      <c r="A76" s="11">
        <v>52</v>
      </c>
      <c r="B76" s="10" t="s">
        <v>190</v>
      </c>
      <c r="C76" s="4">
        <v>0</v>
      </c>
      <c r="D76" s="3">
        <v>0</v>
      </c>
      <c r="E76" s="3">
        <v>0</v>
      </c>
      <c r="F76" s="4">
        <v>1</v>
      </c>
      <c r="G76" s="3">
        <v>0</v>
      </c>
      <c r="H76" s="3">
        <v>1</v>
      </c>
      <c r="I76" s="4">
        <v>0</v>
      </c>
      <c r="J76" s="3">
        <v>0</v>
      </c>
      <c r="K76" s="3">
        <v>0</v>
      </c>
      <c r="L76" s="1" t="s">
        <v>191</v>
      </c>
      <c r="M76" s="9">
        <v>52</v>
      </c>
    </row>
    <row r="77" spans="1:13" ht="24" hidden="1" customHeight="1" x14ac:dyDescent="0.25">
      <c r="A77" s="11">
        <v>53</v>
      </c>
      <c r="B77" s="26" t="s">
        <v>57</v>
      </c>
      <c r="C77" s="6"/>
      <c r="F77" s="6"/>
      <c r="I77" s="6"/>
      <c r="L77" s="1" t="s">
        <v>58</v>
      </c>
      <c r="M77" s="9">
        <v>53</v>
      </c>
    </row>
    <row r="78" spans="1:13" ht="59.25" customHeight="1" x14ac:dyDescent="0.25">
      <c r="A78" s="11" t="s">
        <v>192</v>
      </c>
      <c r="B78" s="10" t="s">
        <v>193</v>
      </c>
      <c r="C78" s="4">
        <v>0</v>
      </c>
      <c r="D78" s="3">
        <v>0</v>
      </c>
      <c r="E78" s="3">
        <v>0</v>
      </c>
      <c r="F78" s="4">
        <v>0</v>
      </c>
      <c r="G78" s="42">
        <v>0</v>
      </c>
      <c r="H78" s="3">
        <v>0</v>
      </c>
      <c r="I78" s="4">
        <v>1</v>
      </c>
      <c r="J78" s="42">
        <v>0</v>
      </c>
      <c r="K78" s="3">
        <v>0</v>
      </c>
      <c r="L78" s="1" t="s">
        <v>194</v>
      </c>
      <c r="M78" s="9" t="s">
        <v>192</v>
      </c>
    </row>
    <row r="79" spans="1:13" ht="84" hidden="1" x14ac:dyDescent="0.25">
      <c r="B79" s="10" t="s">
        <v>195</v>
      </c>
      <c r="C79" s="4">
        <v>0</v>
      </c>
      <c r="D79" s="3">
        <v>0</v>
      </c>
      <c r="E79" s="3">
        <v>0</v>
      </c>
      <c r="F79" s="4">
        <v>0</v>
      </c>
      <c r="G79" s="42"/>
      <c r="H79" s="3">
        <v>0</v>
      </c>
      <c r="I79" s="4"/>
      <c r="J79" s="42"/>
      <c r="L79" s="1" t="s">
        <v>196</v>
      </c>
      <c r="M79" s="9" t="s">
        <v>197</v>
      </c>
    </row>
    <row r="80" spans="1:13" ht="24" customHeight="1" x14ac:dyDescent="0.25">
      <c r="A80" s="11">
        <v>54</v>
      </c>
      <c r="B80" s="25" t="s">
        <v>59</v>
      </c>
      <c r="C80" s="4">
        <v>43</v>
      </c>
      <c r="D80" s="3">
        <v>10</v>
      </c>
      <c r="E80" s="3">
        <v>47</v>
      </c>
      <c r="F80" s="4">
        <v>69</v>
      </c>
      <c r="G80" s="42">
        <v>20</v>
      </c>
      <c r="H80" s="3">
        <v>54</v>
      </c>
      <c r="I80" s="4">
        <v>66</v>
      </c>
      <c r="J80" s="42">
        <f>65+2</f>
        <v>67</v>
      </c>
      <c r="K80" s="3">
        <f>11+10</f>
        <v>21</v>
      </c>
      <c r="L80" s="1" t="s">
        <v>60</v>
      </c>
      <c r="M80" s="9">
        <v>54</v>
      </c>
    </row>
    <row r="81" spans="1:14" ht="24" customHeight="1" x14ac:dyDescent="0.25">
      <c r="A81" s="11">
        <v>56</v>
      </c>
      <c r="B81" s="26" t="s">
        <v>61</v>
      </c>
      <c r="C81" s="6"/>
      <c r="E81" s="3">
        <v>0</v>
      </c>
      <c r="F81" s="6">
        <v>3</v>
      </c>
      <c r="G81" s="42"/>
      <c r="H81" s="3">
        <v>2</v>
      </c>
      <c r="I81" s="6">
        <v>4</v>
      </c>
      <c r="J81" s="42">
        <v>4</v>
      </c>
      <c r="K81" s="3">
        <v>1</v>
      </c>
      <c r="L81" s="1" t="s">
        <v>198</v>
      </c>
      <c r="M81" s="9">
        <v>56</v>
      </c>
      <c r="N81" s="31"/>
    </row>
    <row r="82" spans="1:14" ht="32.25" customHeight="1" x14ac:dyDescent="0.25">
      <c r="A82" s="11">
        <v>57</v>
      </c>
      <c r="B82" s="25" t="s">
        <v>62</v>
      </c>
      <c r="C82" s="4">
        <v>14</v>
      </c>
      <c r="D82" s="3">
        <v>1</v>
      </c>
      <c r="E82" s="3">
        <v>14</v>
      </c>
      <c r="F82" s="4">
        <v>16</v>
      </c>
      <c r="G82" s="42">
        <v>5</v>
      </c>
      <c r="H82" s="3">
        <v>7</v>
      </c>
      <c r="I82" s="4">
        <v>11</v>
      </c>
      <c r="J82" s="42">
        <f>6+2</f>
        <v>8</v>
      </c>
      <c r="K82" s="3">
        <f>1+5</f>
        <v>6</v>
      </c>
      <c r="L82" s="1" t="s">
        <v>63</v>
      </c>
      <c r="M82" s="9">
        <v>57</v>
      </c>
    </row>
    <row r="83" spans="1:14" ht="24" customHeight="1" x14ac:dyDescent="0.25">
      <c r="A83" s="11">
        <v>58</v>
      </c>
      <c r="B83" s="25" t="s">
        <v>199</v>
      </c>
      <c r="C83" s="4">
        <v>0</v>
      </c>
      <c r="D83" s="3">
        <v>0</v>
      </c>
      <c r="E83" s="3">
        <v>0</v>
      </c>
      <c r="F83" s="4">
        <v>0</v>
      </c>
      <c r="G83" s="42"/>
      <c r="H83" s="3">
        <v>0</v>
      </c>
      <c r="I83" s="4">
        <v>0</v>
      </c>
      <c r="J83" s="42">
        <v>0</v>
      </c>
      <c r="L83" s="1" t="s">
        <v>64</v>
      </c>
      <c r="M83" s="9">
        <v>58</v>
      </c>
    </row>
    <row r="84" spans="1:14" ht="147" x14ac:dyDescent="0.25">
      <c r="A84" s="11" t="s">
        <v>220</v>
      </c>
      <c r="B84" s="25" t="s">
        <v>222</v>
      </c>
      <c r="C84" s="4"/>
      <c r="F84" s="4"/>
      <c r="G84" s="42"/>
      <c r="I84" s="4">
        <v>1</v>
      </c>
      <c r="J84" s="42">
        <v>1</v>
      </c>
      <c r="K84" s="3">
        <v>0</v>
      </c>
      <c r="L84" s="1" t="s">
        <v>221</v>
      </c>
      <c r="M84" s="9" t="s">
        <v>220</v>
      </c>
    </row>
    <row r="85" spans="1:14" ht="24" customHeight="1" x14ac:dyDescent="0.25">
      <c r="A85" s="11">
        <v>62</v>
      </c>
      <c r="B85" s="25" t="s">
        <v>65</v>
      </c>
      <c r="C85" s="4"/>
      <c r="F85" s="4"/>
      <c r="G85" s="42"/>
      <c r="I85" s="4">
        <v>0</v>
      </c>
      <c r="J85" s="42">
        <v>0</v>
      </c>
      <c r="K85" s="3">
        <v>0</v>
      </c>
      <c r="L85" s="1" t="s">
        <v>66</v>
      </c>
      <c r="M85" s="9">
        <v>62</v>
      </c>
    </row>
    <row r="86" spans="1:14" ht="45.75" customHeight="1" x14ac:dyDescent="0.25">
      <c r="A86" s="11" t="s">
        <v>200</v>
      </c>
      <c r="B86" s="10" t="s">
        <v>201</v>
      </c>
      <c r="C86" s="4">
        <v>3</v>
      </c>
      <c r="D86" s="3">
        <v>0</v>
      </c>
      <c r="E86" s="3">
        <v>3</v>
      </c>
      <c r="F86" s="4">
        <v>0</v>
      </c>
      <c r="G86" s="42">
        <v>0</v>
      </c>
      <c r="H86" s="3">
        <v>0</v>
      </c>
      <c r="I86" s="4">
        <v>0</v>
      </c>
      <c r="J86" s="42">
        <v>0</v>
      </c>
      <c r="K86" s="3">
        <v>0</v>
      </c>
      <c r="L86" s="1" t="s">
        <v>202</v>
      </c>
      <c r="M86" s="9" t="s">
        <v>200</v>
      </c>
    </row>
    <row r="87" spans="1:14" ht="65.25" customHeight="1" x14ac:dyDescent="0.25">
      <c r="A87" s="11" t="s">
        <v>203</v>
      </c>
      <c r="B87" s="10" t="s">
        <v>204</v>
      </c>
      <c r="C87" s="4">
        <v>3</v>
      </c>
      <c r="D87" s="3">
        <v>0</v>
      </c>
      <c r="E87" s="3">
        <v>5</v>
      </c>
      <c r="F87" s="4">
        <v>3</v>
      </c>
      <c r="G87" s="42">
        <v>3</v>
      </c>
      <c r="H87" s="3">
        <v>3</v>
      </c>
      <c r="I87" s="4">
        <v>3</v>
      </c>
      <c r="J87" s="42">
        <v>2</v>
      </c>
      <c r="K87" s="3">
        <v>1</v>
      </c>
      <c r="L87" s="1" t="s">
        <v>205</v>
      </c>
      <c r="M87" s="9" t="s">
        <v>203</v>
      </c>
    </row>
    <row r="88" spans="1:14" ht="24" hidden="1" customHeight="1" x14ac:dyDescent="0.25">
      <c r="A88" s="11">
        <v>64</v>
      </c>
      <c r="B88" s="25" t="s">
        <v>206</v>
      </c>
      <c r="C88" s="4">
        <v>0</v>
      </c>
      <c r="D88" s="3">
        <v>0</v>
      </c>
      <c r="E88" s="3">
        <v>0</v>
      </c>
      <c r="F88" s="4">
        <v>0</v>
      </c>
      <c r="G88" s="44">
        <v>0</v>
      </c>
      <c r="H88" s="3">
        <v>0</v>
      </c>
      <c r="I88" s="4"/>
      <c r="J88" s="44"/>
      <c r="L88" s="1" t="s">
        <v>207</v>
      </c>
      <c r="M88" s="9">
        <v>64</v>
      </c>
    </row>
    <row r="89" spans="1:14" ht="24" hidden="1" customHeight="1" x14ac:dyDescent="0.25">
      <c r="A89" s="11">
        <v>67</v>
      </c>
      <c r="B89" s="25" t="s">
        <v>67</v>
      </c>
      <c r="C89" s="4">
        <v>0</v>
      </c>
      <c r="D89" s="3">
        <v>0</v>
      </c>
      <c r="E89" s="3">
        <v>0</v>
      </c>
      <c r="F89" s="4">
        <v>0</v>
      </c>
      <c r="H89" s="3">
        <v>0</v>
      </c>
      <c r="I89" s="4"/>
      <c r="L89" s="28" t="s">
        <v>68</v>
      </c>
      <c r="M89" s="9">
        <v>67</v>
      </c>
    </row>
    <row r="90" spans="1:14" ht="24" customHeight="1" x14ac:dyDescent="0.25">
      <c r="A90" s="32"/>
      <c r="B90" s="33" t="s">
        <v>208</v>
      </c>
      <c r="C90" s="8">
        <v>0</v>
      </c>
      <c r="D90" s="34">
        <v>0</v>
      </c>
      <c r="E90" s="34">
        <v>3</v>
      </c>
      <c r="F90" s="8">
        <v>0</v>
      </c>
      <c r="G90" s="34">
        <v>0</v>
      </c>
      <c r="H90" s="34">
        <v>0</v>
      </c>
      <c r="I90" s="8"/>
      <c r="J90" s="34"/>
      <c r="K90" s="34">
        <v>5</v>
      </c>
      <c r="L90" s="35" t="s">
        <v>69</v>
      </c>
      <c r="M90" s="36"/>
    </row>
    <row r="91" spans="1:14" ht="16.5" customHeight="1" x14ac:dyDescent="0.25">
      <c r="B91" s="37" t="s">
        <v>209</v>
      </c>
      <c r="C91" s="38"/>
      <c r="D91" s="39"/>
      <c r="E91" s="39"/>
      <c r="F91" s="38"/>
      <c r="G91" s="39"/>
      <c r="H91" s="39"/>
      <c r="I91" s="38"/>
      <c r="J91" s="39"/>
      <c r="K91" s="39"/>
      <c r="L91" s="40" t="s">
        <v>210</v>
      </c>
    </row>
    <row r="92" spans="1:14" ht="18.75" customHeight="1" x14ac:dyDescent="0.25">
      <c r="B92" s="41" t="s">
        <v>70</v>
      </c>
      <c r="C92" s="38"/>
      <c r="D92" s="39"/>
      <c r="E92" s="39"/>
      <c r="F92" s="38"/>
      <c r="G92" s="39"/>
      <c r="H92" s="39"/>
      <c r="I92" s="38"/>
      <c r="J92" s="39"/>
      <c r="K92" s="39"/>
      <c r="L92" s="40" t="s">
        <v>211</v>
      </c>
    </row>
  </sheetData>
  <mergeCells count="8">
    <mergeCell ref="M4:M6"/>
    <mergeCell ref="B1:L1"/>
    <mergeCell ref="B2:L2"/>
    <mergeCell ref="B4:B6"/>
    <mergeCell ref="L4:L6"/>
    <mergeCell ref="C6:E6"/>
    <mergeCell ref="F6:H6"/>
    <mergeCell ref="I6:K6"/>
  </mergeCells>
  <pageMargins left="0.70866141732283472" right="0.70866141732283472" top="0.74803149606299213" bottom="0.74803149606299213" header="0.31496062992125984" footer="0.31496062992125984"/>
  <pageSetup paperSize="9" scale="42"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19.3</vt:lpstr>
      <vt:lpstr>'19.3'!Print_Area</vt:lpstr>
      <vt:lpstr>'19.3'!Print_Titles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2021-06-16T21:42:10Z</cp:lastPrinted>
  <dcterms:created xsi:type="dcterms:W3CDTF">2019-09-11T06:11:12Z</dcterms:created>
  <dcterms:modified xsi:type="dcterms:W3CDTF">2021-06-16T21:43:25Z</dcterms:modified>
</cp:coreProperties>
</file>