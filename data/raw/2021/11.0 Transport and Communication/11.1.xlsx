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" sheetId="27" r:id="rId1"/>
  </sheets>
  <definedNames>
    <definedName name="_xlnm.Print_Area" localSheetId="0">'11.1'!$A$1:$Q$114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7" l="1"/>
  <c r="D37" i="27" l="1"/>
  <c r="E37" i="27"/>
  <c r="F37" i="27"/>
  <c r="G37" i="27"/>
  <c r="H37" i="27"/>
  <c r="I37" i="27"/>
  <c r="J37" i="27"/>
  <c r="K37" i="27"/>
  <c r="L37" i="27"/>
  <c r="M37" i="27"/>
  <c r="N37" i="27"/>
  <c r="O37" i="27"/>
  <c r="P37" i="27"/>
  <c r="C37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D6" i="27"/>
  <c r="F6" i="27"/>
  <c r="G6" i="27"/>
  <c r="H6" i="27"/>
  <c r="I6" i="27"/>
  <c r="J6" i="27"/>
  <c r="K6" i="27"/>
  <c r="L6" i="27"/>
  <c r="M6" i="27"/>
  <c r="C6" i="27"/>
  <c r="B88" i="27"/>
  <c r="B87" i="27"/>
  <c r="B86" i="27"/>
  <c r="B85" i="27"/>
  <c r="B84" i="27"/>
  <c r="B83" i="27"/>
  <c r="B82" i="27"/>
  <c r="B81" i="27"/>
  <c r="B80" i="27"/>
  <c r="B79" i="27"/>
  <c r="B78" i="27"/>
  <c r="B77" i="27"/>
  <c r="B76" i="27"/>
  <c r="B75" i="27"/>
  <c r="B74" i="27"/>
  <c r="B73" i="27"/>
  <c r="B72" i="27"/>
  <c r="B71" i="27"/>
  <c r="B70" i="27"/>
  <c r="B69" i="27"/>
  <c r="B68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58" i="27"/>
  <c r="B57" i="27"/>
  <c r="B56" i="27"/>
  <c r="B55" i="27"/>
  <c r="B54" i="27"/>
  <c r="B53" i="27"/>
  <c r="B52" i="27"/>
  <c r="B51" i="27"/>
  <c r="B50" i="27"/>
  <c r="B49" i="27"/>
  <c r="B48" i="27"/>
  <c r="B47" i="27"/>
  <c r="B46" i="27"/>
  <c r="B45" i="27"/>
  <c r="B44" i="27"/>
  <c r="B43" i="27"/>
  <c r="B42" i="27"/>
  <c r="B41" i="27"/>
  <c r="B40" i="27"/>
  <c r="B39" i="27"/>
  <c r="B38" i="27"/>
  <c r="B37" i="27" l="1"/>
  <c r="B6" i="27"/>
  <c r="B67" i="27"/>
</calcChain>
</file>

<file path=xl/sharedStrings.xml><?xml version="1.0" encoding="utf-8"?>
<sst xmlns="http://schemas.openxmlformats.org/spreadsheetml/2006/main" count="270" uniqueCount="101">
  <si>
    <t>wlcmuj</t>
  </si>
  <si>
    <t>Male'</t>
  </si>
  <si>
    <t>Locality</t>
  </si>
  <si>
    <t>2018 ,ctogWviawfiverukIrwTcsijwr urwhwfudnwLua WvcaudiawguDnwk : 11.1 ulwvWt</t>
  </si>
  <si>
    <t>Table 11.1 :   VESSELS ACCORDING TO REGISTRATION BY LOCALITY, 2017</t>
  </si>
  <si>
    <t>inOd</t>
  </si>
  <si>
    <t>cCcnOl</t>
  </si>
  <si>
    <t>cTOb</t>
  </si>
  <si>
    <t>Wrukcaob</t>
  </si>
  <si>
    <t>uDnwb</t>
  </si>
  <si>
    <t>cnwt</t>
  </si>
  <si>
    <t>All type</t>
  </si>
  <si>
    <t>Dhoani</t>
  </si>
  <si>
    <t>Launch</t>
  </si>
  <si>
    <t>Boat</t>
  </si>
  <si>
    <t>Bokkura</t>
  </si>
  <si>
    <t xml:space="preserve"> Barge</t>
  </si>
  <si>
    <t>Safari vessel</t>
  </si>
  <si>
    <t>Others</t>
  </si>
  <si>
    <t>Landing Craft</t>
  </si>
  <si>
    <t>Tug Boat</t>
  </si>
  <si>
    <t>Luxury Vessel</t>
  </si>
  <si>
    <t xml:space="preserve">Jet Ski </t>
  </si>
  <si>
    <t>Dredger</t>
  </si>
  <si>
    <t>Oil Tanker</t>
  </si>
  <si>
    <t>Oil Barge</t>
  </si>
  <si>
    <t>Submarine</t>
  </si>
  <si>
    <t>Republic</t>
  </si>
  <si>
    <t>ejcaWriLum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</si>
  <si>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</si>
  <si>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</si>
  <si>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</si>
  <si>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</si>
  <si>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</si>
  <si>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</si>
  <si>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</si>
  <si>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</si>
  <si>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</si>
  <si>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</si>
  <si>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</si>
  <si>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</si>
  <si>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</si>
  <si>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</si>
  <si>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</si>
  <si>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</si>
  <si>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</si>
  <si>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</si>
  <si>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</si>
  <si>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</si>
  <si>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</si>
  <si>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</si>
  <si>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</si>
  <si>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</si>
  <si>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</si>
  <si>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</si>
  <si>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</si>
  <si>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</si>
  <si>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</si>
  <si>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</si>
  <si>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</si>
  <si>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</si>
  <si>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</si>
  <si>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</si>
  <si>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</si>
  <si>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</si>
  <si>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</si>
  <si>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ނޯޓް: އެހެނިހެންގެ ތެރޭގައި ހިމެނެނީ ލޭންޑިންގ ކްރާފްޓް، ސަބްމެރިން، ވޯޓަރ ސްކޫޓަރ، ކަޓަމަރަން އަދި ޑްރެޖަރ</t>
  </si>
  <si>
    <t>Source: Transport Authority</t>
  </si>
  <si>
    <t>މަޢުލޫމާތު ދެއްވީ:ޓްރާންސްޕޯޓް އޮތޯރިޓީ</t>
  </si>
  <si>
    <t>2017 ,ctogWviawfiverukIrwTcsijwr urwhwfudnwLua WvcaudiawguDnwk : 11.1 ulwvWt</t>
  </si>
  <si>
    <t>Bokkuraa</t>
  </si>
  <si>
    <t>Glass Bottom Boat</t>
  </si>
  <si>
    <t>2016 ,ctogWviawfiverukIrwTcsijwr urwhwfudnwLua WvcaudiawguDnwk : 11.1 ulwvWt</t>
  </si>
  <si>
    <t>Table 11.1 :   VESSELS ACCORDING TO REGISTRATION BY LOCALITY, 2016</t>
  </si>
  <si>
    <t>Catamaran</t>
  </si>
  <si>
    <t>Pontoon Barge</t>
  </si>
  <si>
    <t>Table 11.1 :   VESSELS ACCORDING TO REGISTRATION BY LOCALITY, 2018</t>
  </si>
  <si>
    <t>ލޭންޑިންގ ކްރާފްޓް</t>
  </si>
  <si>
    <t>ޓަގް ބޯޓު</t>
  </si>
  <si>
    <t>ލަގްޒަރީ ވެސަލް</t>
  </si>
  <si>
    <t>ޑިންގީ</t>
  </si>
  <si>
    <t>ޖެޓްސްކީ</t>
  </si>
  <si>
    <t>ޕެރަސެއިލް</t>
  </si>
  <si>
    <t>ޑްރެޖަރ</t>
  </si>
  <si>
    <t>ތެޔޮ ޓޭންކަރ</t>
  </si>
  <si>
    <t>ތެޔޮ ބާޖް</t>
  </si>
  <si>
    <t>Parasail</t>
  </si>
  <si>
    <t>Dinghy</t>
  </si>
  <si>
    <t>ސަފާރީ އުޅަނދު</t>
  </si>
  <si>
    <t>ގްލާސް ބޮޓަމް ބޯޓް</t>
  </si>
  <si>
    <t>ޕްންޓޫން ބާޖް</t>
  </si>
  <si>
    <t>others</t>
  </si>
  <si>
    <t>އެހެނިހެން</t>
  </si>
  <si>
    <t>Note: Others Include Tug boat,  Submarine, Oil Tanker, Oil Barge and Dredger.</t>
  </si>
  <si>
    <t>elWm</t>
  </si>
  <si>
    <t>Note: Others Include  Submarine, Glass Bottom Boat, Catemaran &amp; Dredger.</t>
  </si>
  <si>
    <t>ނޯޓް: އެހެނިހެންގެ ތެރޭގައި ހިމެނެނީ ސަބްމެރިން، ގްލާސް ބޮޓަމް ބޯޓް، ކަޓަމަރަން އަދި ޑްރެޖަރ</t>
  </si>
  <si>
    <t>ނޯޓް: 2016 ގެ މަޢުލޫމާތު އިސްލާހުކުރެވިފައި</t>
  </si>
  <si>
    <t>Note: 2016  data revised</t>
  </si>
  <si>
    <t>Note:  2017 data revised</t>
  </si>
  <si>
    <t>ނޯޓް:  2017 ގެ މަޢުލޫމާތު އިސްލާހުކުރެވިފައި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</si>
</sst>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MS Sans Serif"/>
      <family val="2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Faruma"/>
    </font>
    <font>
      <b/>
      <sz val="11"/>
      <color theme="1"/>
      <name val="Calibri"/>
      <family val="2"/>
      <scheme val="minor"/>
    </font>
    <font>
      <b/>
      <sz val="12"/>
      <name val="A_Ilham"/>
    </font>
    <font>
      <sz val="11"/>
      <name val="Arial"/>
      <family val="2"/>
    </font>
    <font>
      <b/>
      <sz val="10"/>
      <name val="A_Faseyha"/>
    </font>
    <font>
      <b/>
      <sz val="11"/>
      <name val="A_Faseyha"/>
    </font>
    <font>
      <b/>
      <sz val="11"/>
      <name val="A_Utheem"/>
    </font>
    <font>
      <sz val="11"/>
      <name val="A_Faseyha"/>
    </font>
    <font>
      <i/>
      <sz val="11"/>
      <name val="Calibri"/>
      <family val="2"/>
      <scheme val="minor"/>
    </font>
    <font>
      <b/>
      <sz val="11"/>
      <name val="Arial"/>
      <family val="2"/>
    </font>
    <font>
      <b/>
      <i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u/>
      <sz val="10"/>
      <color indexed="12"/>
      <name val="Arial"/>
      <family val="2"/>
    </font>
    <font>
      <b/>
      <sz val="10"/>
      <name val="Faruma"/>
    </font>
    <font>
      <i/>
      <sz val="9"/>
      <color theme="1"/>
      <name val="Calibri"/>
      <family val="2"/>
      <scheme val="minor"/>
    </font>
    <font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1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hair">
        <color theme="1"/>
      </bottom>
      <diagonal/>
    </border>
    <border>
      <left style="thin">
        <color theme="0"/>
      </left>
      <right/>
      <top/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hair">
        <color theme="1"/>
      </bottom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7" fillId="0" borderId="0" applyFont="0" applyFill="0" applyBorder="0" applyAlignment="0" applyProtection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81">
    <xf numFmtId="0" fontId="0" fillId="0" borderId="0" xfId="0"/>
    <xf numFmtId="164" fontId="15" fillId="2" borderId="9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>
      <alignment horizontal="right" vertical="center"/>
    </xf>
    <xf numFmtId="164" fontId="15" fillId="2" borderId="4" xfId="0" applyNumberFormat="1" applyFont="1" applyFill="1" applyBorder="1" applyAlignment="1">
      <alignment vertical="center"/>
    </xf>
    <xf numFmtId="164" fontId="11" fillId="2" borderId="14" xfId="0" applyNumberFormat="1" applyFont="1" applyFill="1" applyBorder="1" applyAlignment="1">
      <alignment horizontal="right" vertical="center"/>
    </xf>
    <xf numFmtId="3" fontId="11" fillId="2" borderId="1" xfId="1" applyNumberFormat="1" applyFont="1" applyFill="1" applyBorder="1" applyAlignment="1">
      <alignment vertical="center"/>
    </xf>
    <xf numFmtId="3" fontId="11" fillId="2" borderId="2" xfId="1" applyNumberFormat="1" applyFont="1" applyFill="1" applyBorder="1" applyAlignment="1">
      <alignment vertical="center"/>
    </xf>
    <xf numFmtId="3" fontId="11" fillId="2" borderId="2" xfId="0" applyNumberFormat="1" applyFont="1" applyFill="1" applyBorder="1" applyAlignment="1">
      <alignment vertical="center"/>
    </xf>
    <xf numFmtId="3" fontId="13" fillId="2" borderId="2" xfId="0" applyNumberFormat="1" applyFont="1" applyFill="1" applyBorder="1" applyAlignment="1">
      <alignment vertical="center"/>
    </xf>
    <xf numFmtId="3" fontId="10" fillId="2" borderId="2" xfId="1" applyNumberFormat="1" applyFont="1" applyFill="1" applyBorder="1" applyAlignment="1">
      <alignment vertical="center"/>
    </xf>
    <xf numFmtId="3" fontId="11" fillId="2" borderId="5" xfId="1" applyNumberFormat="1" applyFont="1" applyFill="1" applyBorder="1" applyAlignment="1">
      <alignment vertical="center"/>
    </xf>
    <xf numFmtId="3" fontId="10" fillId="2" borderId="12" xfId="1" applyNumberFormat="1" applyFont="1" applyFill="1" applyBorder="1" applyAlignment="1">
      <alignment vertical="center"/>
    </xf>
    <xf numFmtId="164" fontId="8" fillId="2" borderId="2" xfId="0" applyNumberFormat="1" applyFont="1" applyFill="1" applyBorder="1" applyAlignment="1"/>
    <xf numFmtId="164" fontId="15" fillId="2" borderId="2" xfId="0" applyNumberFormat="1" applyFont="1" applyFill="1" applyBorder="1" applyAlignment="1">
      <alignment horizontal="right"/>
    </xf>
    <xf numFmtId="164" fontId="15" fillId="2" borderId="2" xfId="0" applyNumberFormat="1" applyFont="1" applyFill="1" applyBorder="1" applyAlignment="1"/>
    <xf numFmtId="164" fontId="8" fillId="2" borderId="1" xfId="0" applyNumberFormat="1" applyFont="1" applyFill="1" applyBorder="1" applyAlignment="1" applyProtection="1">
      <alignment horizontal="left" vertical="top"/>
    </xf>
    <xf numFmtId="164" fontId="20" fillId="2" borderId="1" xfId="0" applyNumberFormat="1" applyFont="1" applyFill="1" applyBorder="1" applyAlignment="1">
      <alignment horizontal="right" vertical="top"/>
    </xf>
    <xf numFmtId="164" fontId="10" fillId="2" borderId="1" xfId="0" applyNumberFormat="1" applyFont="1" applyFill="1" applyBorder="1" applyAlignment="1">
      <alignment vertical="top"/>
    </xf>
    <xf numFmtId="164" fontId="15" fillId="2" borderId="1" xfId="0" applyNumberFormat="1" applyFont="1" applyFill="1" applyBorder="1" applyAlignment="1">
      <alignment vertical="top"/>
    </xf>
    <xf numFmtId="164" fontId="21" fillId="2" borderId="15" xfId="0" applyNumberFormat="1" applyFont="1" applyFill="1" applyBorder="1" applyAlignment="1" applyProtection="1">
      <alignment horizontal="center" vertical="center"/>
    </xf>
    <xf numFmtId="38" fontId="5" fillId="2" borderId="16" xfId="1" applyNumberFormat="1" applyFont="1" applyFill="1" applyBorder="1" applyAlignment="1">
      <alignment horizontal="center" vertical="center"/>
    </xf>
    <xf numFmtId="38" fontId="9" fillId="2" borderId="17" xfId="1" applyNumberFormat="1" applyFont="1" applyFill="1" applyBorder="1" applyAlignment="1">
      <alignment horizontal="center"/>
    </xf>
    <xf numFmtId="38" fontId="9" fillId="2" borderId="18" xfId="1" applyNumberFormat="1" applyFont="1" applyFill="1" applyBorder="1" applyAlignment="1">
      <alignment horizontal="center"/>
    </xf>
    <xf numFmtId="164" fontId="15" fillId="2" borderId="2" xfId="0" applyNumberFormat="1" applyFont="1" applyFill="1" applyBorder="1" applyAlignment="1">
      <alignment vertical="center"/>
    </xf>
    <xf numFmtId="3" fontId="10" fillId="2" borderId="5" xfId="1" applyNumberFormat="1" applyFont="1" applyFill="1" applyBorder="1" applyAlignment="1">
      <alignment vertical="center"/>
    </xf>
    <xf numFmtId="164" fontId="15" fillId="2" borderId="2" xfId="0" applyNumberFormat="1" applyFont="1" applyFill="1" applyBorder="1" applyAlignment="1">
      <alignment horizontal="right" vertical="center"/>
    </xf>
    <xf numFmtId="164" fontId="22" fillId="2" borderId="1" xfId="0" applyNumberFormat="1" applyFont="1" applyFill="1" applyBorder="1" applyAlignment="1">
      <alignment horizontal="right" vertical="top"/>
    </xf>
    <xf numFmtId="164" fontId="15" fillId="2" borderId="4" xfId="0" applyNumberFormat="1" applyFont="1" applyFill="1" applyBorder="1" applyAlignment="1">
      <alignment vertical="top"/>
    </xf>
    <xf numFmtId="164" fontId="12" fillId="2" borderId="4" xfId="0" applyNumberFormat="1" applyFont="1" applyFill="1" applyBorder="1" applyAlignment="1">
      <alignment horizontal="right" vertical="top" readingOrder="2"/>
    </xf>
    <xf numFmtId="0" fontId="23" fillId="2" borderId="0" xfId="0" applyFont="1" applyFill="1" applyBorder="1" applyAlignment="1">
      <alignment horizontal="left" vertical="top"/>
    </xf>
    <xf numFmtId="44" fontId="16" fillId="2" borderId="13" xfId="0" applyNumberFormat="1" applyFont="1" applyFill="1" applyBorder="1" applyAlignment="1">
      <alignment horizontal="right" vertical="center" wrapText="1"/>
    </xf>
    <xf numFmtId="44" fontId="25" fillId="2" borderId="13" xfId="0" applyNumberFormat="1" applyFont="1" applyFill="1" applyBorder="1" applyAlignment="1">
      <alignment horizontal="right" vertical="center" wrapText="1"/>
    </xf>
    <xf numFmtId="164" fontId="11" fillId="2" borderId="14" xfId="0" applyNumberFormat="1" applyFont="1" applyFill="1" applyBorder="1" applyAlignment="1">
      <alignment horizontal="right" vertical="center" wrapText="1"/>
    </xf>
    <xf numFmtId="164" fontId="18" fillId="2" borderId="3" xfId="0" applyNumberFormat="1" applyFont="1" applyFill="1" applyBorder="1" applyAlignment="1">
      <alignment horizontal="right" vertical="center" indent="1"/>
    </xf>
    <xf numFmtId="164" fontId="19" fillId="2" borderId="4" xfId="0" applyNumberFormat="1" applyFont="1" applyFill="1" applyBorder="1" applyAlignment="1">
      <alignment horizontal="right" indent="1"/>
    </xf>
    <xf numFmtId="44" fontId="25" fillId="2" borderId="21" xfId="0" applyNumberFormat="1" applyFont="1" applyFill="1" applyBorder="1" applyAlignment="1">
      <alignment horizontal="right" vertical="center" wrapText="1"/>
    </xf>
    <xf numFmtId="44" fontId="25" fillId="2" borderId="19" xfId="0" applyNumberFormat="1" applyFont="1" applyFill="1" applyBorder="1" applyAlignment="1">
      <alignment horizontal="right" vertical="center" wrapText="1"/>
    </xf>
    <xf numFmtId="44" fontId="16" fillId="2" borderId="19" xfId="0" applyNumberFormat="1" applyFont="1" applyFill="1" applyBorder="1" applyAlignment="1">
      <alignment horizontal="right" vertical="center" wrapText="1"/>
    </xf>
    <xf numFmtId="164" fontId="11" fillId="2" borderId="11" xfId="0" applyNumberFormat="1" applyFont="1" applyFill="1" applyBorder="1" applyAlignment="1">
      <alignment horizontal="left" indent="1"/>
    </xf>
    <xf numFmtId="164" fontId="10" fillId="2" borderId="9" xfId="0" applyNumberFormat="1" applyFont="1" applyFill="1" applyBorder="1" applyAlignment="1" applyProtection="1">
      <alignment horizontal="left" vertical="center" indent="1"/>
    </xf>
    <xf numFmtId="164" fontId="10" fillId="2" borderId="10" xfId="0" applyNumberFormat="1" applyFont="1" applyFill="1" applyBorder="1" applyAlignment="1" applyProtection="1">
      <alignment horizontal="left" vertical="center" indent="1"/>
    </xf>
    <xf numFmtId="3" fontId="11" fillId="2" borderId="12" xfId="1" applyNumberFormat="1" applyFont="1" applyFill="1" applyBorder="1" applyAlignment="1">
      <alignment vertical="center"/>
    </xf>
    <xf numFmtId="164" fontId="19" fillId="2" borderId="6" xfId="0" applyNumberFormat="1" applyFont="1" applyFill="1" applyBorder="1" applyAlignment="1">
      <alignment horizontal="right" indent="1"/>
    </xf>
    <xf numFmtId="164" fontId="12" fillId="2" borderId="3" xfId="0" applyNumberFormat="1" applyFont="1" applyFill="1" applyBorder="1" applyAlignment="1">
      <alignment horizontal="right" readingOrder="2"/>
    </xf>
    <xf numFmtId="164" fontId="15" fillId="2" borderId="0" xfId="0" applyNumberFormat="1" applyFont="1" applyFill="1" applyBorder="1" applyAlignment="1">
      <alignment vertical="center"/>
    </xf>
    <xf numFmtId="44" fontId="25" fillId="2" borderId="0" xfId="0" applyNumberFormat="1" applyFont="1" applyFill="1" applyBorder="1" applyAlignment="1">
      <alignment horizontal="right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3" fontId="11" fillId="2" borderId="0" xfId="1" applyNumberFormat="1" applyFont="1" applyFill="1" applyBorder="1" applyAlignment="1">
      <alignment vertical="center"/>
    </xf>
    <xf numFmtId="3" fontId="13" fillId="2" borderId="0" xfId="0" applyNumberFormat="1" applyFont="1" applyFill="1" applyBorder="1" applyAlignment="1">
      <alignment vertical="center"/>
    </xf>
    <xf numFmtId="3" fontId="10" fillId="2" borderId="0" xfId="1" applyNumberFormat="1" applyFont="1" applyFill="1" applyBorder="1" applyAlignment="1">
      <alignment vertical="center"/>
    </xf>
    <xf numFmtId="164" fontId="15" fillId="2" borderId="0" xfId="0" applyNumberFormat="1" applyFont="1" applyFill="1" applyBorder="1" applyAlignment="1"/>
    <xf numFmtId="164" fontId="15" fillId="2" borderId="0" xfId="0" applyNumberFormat="1" applyFont="1" applyFill="1" applyBorder="1" applyAlignment="1">
      <alignment vertical="top"/>
    </xf>
    <xf numFmtId="164" fontId="14" fillId="2" borderId="7" xfId="0" applyNumberFormat="1" applyFont="1" applyFill="1" applyBorder="1" applyAlignment="1">
      <alignment vertical="center"/>
    </xf>
    <xf numFmtId="164" fontId="3" fillId="2" borderId="8" xfId="0" applyNumberFormat="1" applyFont="1" applyFill="1" applyBorder="1" applyAlignment="1" applyProtection="1">
      <alignment vertical="center"/>
    </xf>
    <xf numFmtId="164" fontId="3" fillId="2" borderId="0" xfId="0" applyNumberFormat="1" applyFont="1" applyFill="1" applyBorder="1" applyAlignment="1" applyProtection="1">
      <alignment vertical="center"/>
    </xf>
    <xf numFmtId="38" fontId="9" fillId="2" borderId="0" xfId="1" applyNumberFormat="1" applyFont="1" applyFill="1" applyBorder="1" applyAlignment="1">
      <alignment horizontal="center"/>
    </xf>
    <xf numFmtId="164" fontId="15" fillId="2" borderId="5" xfId="0" applyNumberFormat="1" applyFont="1" applyFill="1" applyBorder="1" applyAlignment="1">
      <alignment vertical="center"/>
    </xf>
    <xf numFmtId="164" fontId="15" fillId="2" borderId="3" xfId="0" applyNumberFormat="1" applyFont="1" applyFill="1" applyBorder="1" applyAlignment="1">
      <alignment vertical="center"/>
    </xf>
    <xf numFmtId="164" fontId="14" fillId="2" borderId="0" xfId="0" applyNumberFormat="1" applyFont="1" applyFill="1" applyBorder="1" applyAlignment="1">
      <alignment vertical="center"/>
    </xf>
    <xf numFmtId="164" fontId="12" fillId="2" borderId="0" xfId="0" applyNumberFormat="1" applyFont="1" applyFill="1" applyBorder="1" applyAlignment="1">
      <alignment horizontal="right" vertical="top" readingOrder="2"/>
    </xf>
    <xf numFmtId="164" fontId="4" fillId="2" borderId="0" xfId="0" applyNumberFormat="1" applyFont="1" applyFill="1" applyBorder="1" applyAlignment="1">
      <alignment horizontal="center" vertical="center"/>
    </xf>
    <xf numFmtId="38" fontId="11" fillId="2" borderId="0" xfId="1" applyNumberFormat="1" applyFont="1" applyFill="1" applyBorder="1" applyAlignment="1">
      <alignment horizontal="center" vertical="center"/>
    </xf>
    <xf numFmtId="38" fontId="6" fillId="2" borderId="0" xfId="1" applyNumberFormat="1" applyFont="1" applyFill="1" applyBorder="1" applyAlignment="1">
      <alignment horizontal="center" vertical="center"/>
    </xf>
    <xf numFmtId="164" fontId="14" fillId="2" borderId="4" xfId="0" applyNumberFormat="1" applyFont="1" applyFill="1" applyBorder="1" applyAlignment="1">
      <alignment horizontal="center" vertical="center"/>
    </xf>
    <xf numFmtId="164" fontId="14" fillId="2" borderId="7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 applyProtection="1">
      <alignment horizontal="center" vertical="center"/>
    </xf>
    <xf numFmtId="164" fontId="3" fillId="2" borderId="7" xfId="0" applyNumberFormat="1" applyFont="1" applyFill="1" applyBorder="1" applyAlignment="1" applyProtection="1">
      <alignment horizontal="center" vertical="center"/>
    </xf>
    <xf numFmtId="164" fontId="11" fillId="2" borderId="22" xfId="0" applyNumberFormat="1" applyFont="1" applyFill="1" applyBorder="1" applyAlignment="1" applyProtection="1">
      <alignment horizontal="left" vertical="center" indent="1"/>
    </xf>
    <xf numFmtId="164" fontId="11" fillId="2" borderId="24" xfId="0" applyNumberFormat="1" applyFont="1" applyFill="1" applyBorder="1" applyAlignment="1" applyProtection="1">
      <alignment horizontal="left" vertical="center" indent="1"/>
    </xf>
    <xf numFmtId="164" fontId="17" fillId="2" borderId="23" xfId="0" applyNumberFormat="1" applyFont="1" applyFill="1" applyBorder="1" applyAlignment="1">
      <alignment horizontal="right" vertical="center"/>
    </xf>
    <xf numFmtId="164" fontId="17" fillId="2" borderId="20" xfId="0" applyNumberFormat="1" applyFont="1" applyFill="1" applyBorder="1" applyAlignment="1">
      <alignment horizontal="right" vertical="center"/>
    </xf>
    <xf numFmtId="0" fontId="26" fillId="2" borderId="0" xfId="0" applyFont="1" applyFill="1" applyBorder="1" applyAlignment="1">
      <alignment vertical="center"/>
    </xf>
    <xf numFmtId="164" fontId="27" fillId="2" borderId="2" xfId="0" applyNumberFormat="1" applyFont="1" applyFill="1" applyBorder="1" applyAlignment="1">
      <alignment horizontal="right" vertical="center" readingOrder="2"/>
    </xf>
    <xf numFmtId="164" fontId="11" fillId="2" borderId="25" xfId="0" applyNumberFormat="1" applyFont="1" applyFill="1" applyBorder="1" applyAlignment="1" applyProtection="1">
      <alignment horizontal="left" vertical="center" indent="1"/>
    </xf>
    <xf numFmtId="164" fontId="17" fillId="2" borderId="26" xfId="0" applyNumberFormat="1" applyFont="1" applyFill="1" applyBorder="1" applyAlignment="1">
      <alignment horizontal="right" vertical="center"/>
    </xf>
    <xf numFmtId="164" fontId="17" fillId="2" borderId="14" xfId="0" applyNumberFormat="1" applyFont="1" applyFill="1" applyBorder="1" applyAlignment="1">
      <alignment horizontal="right" vertical="center"/>
    </xf>
    <xf numFmtId="164" fontId="18" fillId="2" borderId="2" xfId="0" applyNumberFormat="1" applyFont="1" applyFill="1" applyBorder="1" applyAlignment="1">
      <alignment horizontal="right" vertical="center" indent="1"/>
    </xf>
    <xf numFmtId="164" fontId="19" fillId="2" borderId="1" xfId="0" applyNumberFormat="1" applyFont="1" applyFill="1" applyBorder="1" applyAlignment="1">
      <alignment horizontal="right" indent="1"/>
    </xf>
    <xf numFmtId="164" fontId="19" fillId="2" borderId="15" xfId="0" applyNumberFormat="1" applyFont="1" applyFill="1" applyBorder="1" applyAlignment="1">
      <alignment horizontal="right" indent="1"/>
    </xf>
    <xf numFmtId="164" fontId="8" fillId="2" borderId="9" xfId="0" applyNumberFormat="1" applyFont="1" applyFill="1" applyBorder="1" applyAlignment="1" applyProtection="1">
      <alignment horizontal="left" vertical="top"/>
    </xf>
  </cellXfs>
  <cellStyles count="11">
    <cellStyle name="Comma" xfId="1" builtinId="3"/>
    <cellStyle name="Comma 2" xfId="3"/>
    <cellStyle name="Comma 4" xfId="6"/>
    <cellStyle name="Hyperlink 2" xfId="7"/>
    <cellStyle name="Normal" xfId="0" builtinId="0"/>
    <cellStyle name="Normal 2" xfId="2"/>
    <cellStyle name="Normal 2 3" xfId="9"/>
    <cellStyle name="Normal 3" xfId="4"/>
    <cellStyle name="Normal 3 2" xfId="10"/>
    <cellStyle name="Normal 4" xfId="5"/>
    <cellStyle name="Normal 5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620660413037208E-2"/>
          <c:y val="0.15301186641585685"/>
          <c:w val="0.87574934383202163"/>
          <c:h val="0.69972046169377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'11.1'!$Y$114</c:f>
              <c:strCache>
                <c:ptCount val="1"/>
                <c:pt idx="0">
                  <c:v>2016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'11.1'!$X$115:$X$120</c15:sqref>
                  </c15:fullRef>
                </c:ext>
              </c:extLst>
              <c:f>'11.1'!$X$116:$X$120</c:f>
              <c:strCache>
                <c:ptCount val="5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Bokkuraa</c:v>
                </c:pt>
                <c:pt idx="4">
                  <c:v> Barge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'11.1'!$Y$115:$Y$120</c15:sqref>
                  </c15:fullRef>
                </c:ext>
              </c:extLst>
              <c:f>'11.1'!$Y$116:$Y$120</c:f>
              <c:numCache>
                <c:formatCode>#,##0_);[Red]\(#,##0\)</c:formatCode>
                <c:ptCount val="5"/>
                <c:pt idx="0">
                  <c:v>168</c:v>
                </c:pt>
                <c:pt idx="1">
                  <c:v>285</c:v>
                </c:pt>
                <c:pt idx="2">
                  <c:v>20</c:v>
                </c:pt>
                <c:pt idx="3">
                  <c:v>70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8-4E17-8430-BCADF5B0367E}"/>
            </c:ext>
          </c:extLst>
        </c:ser>
        <c:ser>
          <c:idx val="1"/>
          <c:order val="1"/>
          <c:tx>
            <c:strRef>
              <c:f>'11.1'!$Z$114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'11.1'!$X$115:$X$120</c15:sqref>
                  </c15:fullRef>
                </c:ext>
              </c:extLst>
              <c:f>'11.1'!$X$116:$X$120</c:f>
              <c:strCache>
                <c:ptCount val="5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Bokkuraa</c:v>
                </c:pt>
                <c:pt idx="4">
                  <c:v> Barge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'11.1'!$Z$115:$Z$120</c15:sqref>
                  </c15:fullRef>
                </c:ext>
              </c:extLst>
              <c:f>'11.1'!$Z$116:$Z$120</c:f>
              <c:numCache>
                <c:formatCode>#,##0_);[Red]\(#,##0\)</c:formatCode>
                <c:ptCount val="5"/>
                <c:pt idx="0">
                  <c:v>152</c:v>
                </c:pt>
                <c:pt idx="1">
                  <c:v>366</c:v>
                </c:pt>
                <c:pt idx="2">
                  <c:v>8</c:v>
                </c:pt>
                <c:pt idx="3">
                  <c:v>82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8-4E17-8430-BCADF5B0367E}"/>
            </c:ext>
          </c:extLst>
        </c:ser>
        <c:ser>
          <c:idx val="2"/>
          <c:order val="2"/>
          <c:tx>
            <c:strRef>
              <c:f>'11.1'!$AA$114</c:f>
              <c:strCache>
                <c:ptCount val="1"/>
                <c:pt idx="0">
                  <c:v>2018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'11.1'!$X$115:$X$120</c15:sqref>
                  </c15:fullRef>
                </c:ext>
              </c:extLst>
              <c:f>'11.1'!$X$116:$X$120</c:f>
              <c:strCache>
                <c:ptCount val="5"/>
                <c:pt idx="0">
                  <c:v>Dhoani</c:v>
                </c:pt>
                <c:pt idx="1">
                  <c:v>Launch</c:v>
                </c:pt>
                <c:pt idx="2">
                  <c:v>Boat</c:v>
                </c:pt>
                <c:pt idx="3">
                  <c:v>Bokkuraa</c:v>
                </c:pt>
                <c:pt idx="4">
                  <c:v> Barge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'11.1'!$AA$115:$AA$120</c15:sqref>
                  </c15:fullRef>
                </c:ext>
              </c:extLst>
              <c:f>'11.1'!$AA$116:$AA$120</c:f>
              <c:numCache>
                <c:formatCode>#,##0_);[Red]\(#,##0\)</c:formatCode>
                <c:ptCount val="5"/>
                <c:pt idx="0">
                  <c:v>134</c:v>
                </c:pt>
                <c:pt idx="1">
                  <c:v>367</c:v>
                </c:pt>
                <c:pt idx="2">
                  <c:v>0</c:v>
                </c:pt>
                <c:pt idx="3">
                  <c:v>54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8-4E17-8430-BCADF5B03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08323376"/>
        <c:axId val="-908327728"/>
      </c:barChart>
      <c:catAx>
        <c:axId val="-9083233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-908327728"/>
        <c:crosses val="autoZero"/>
        <c:auto val="1"/>
        <c:lblAlgn val="ctr"/>
        <c:lblOffset val="100"/>
        <c:noMultiLvlLbl val="0"/>
      </c:catAx>
      <c:valAx>
        <c:axId val="-908327728"/>
        <c:scaling>
          <c:orientation val="minMax"/>
        </c:scaling>
        <c:delete val="0"/>
        <c:axPos val="l"/>
        <c:numFmt formatCode="#,##0_);[Red]\(#,##0\)" sourceLinked="1"/>
        <c:majorTickMark val="none"/>
        <c:minorTickMark val="none"/>
        <c:tickLblPos val="nextTo"/>
        <c:crossAx val="-908323376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9535030387421493"/>
          <c:y val="0.25117658778608332"/>
          <c:w val="0.22039400664316899"/>
          <c:h val="7.80134800393127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17155674513926"/>
          <c:y val="0.14688366720535129"/>
          <c:w val="0.69771630139890528"/>
          <c:h val="0.85311633279464882"/>
        </c:manualLayout>
      </c:layout>
      <c:pie3DChart>
        <c:varyColors val="1"/>
        <c:ser>
          <c:idx val="0"/>
          <c:order val="0"/>
          <c:spPr>
            <a:solidFill>
              <a:schemeClr val="accent4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4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9121-4B31-98E3-71789ADC59F9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121-4B31-98E3-71789ADC59F9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121-4B31-98E3-71789ADC59F9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9121-4B31-98E3-71789ADC59F9}"/>
              </c:ext>
            </c:extLst>
          </c:dPt>
          <c:dPt>
            <c:idx val="4"/>
            <c:bubble3D val="0"/>
            <c:spPr>
              <a:solidFill>
                <a:schemeClr val="bg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9121-4B31-98E3-71789ADC59F9}"/>
              </c:ext>
            </c:extLst>
          </c:dPt>
          <c:dPt>
            <c:idx val="5"/>
            <c:bubble3D val="0"/>
            <c:spPr>
              <a:solidFill>
                <a:schemeClr val="bg2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9121-4B31-98E3-71789ADC59F9}"/>
              </c:ext>
            </c:extLst>
          </c:dPt>
          <c:dPt>
            <c:idx val="6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121-4B31-98E3-71789ADC59F9}"/>
              </c:ext>
            </c:extLst>
          </c:dPt>
          <c:dLbls>
            <c:dLbl>
              <c:idx val="0"/>
              <c:layout>
                <c:manualLayout>
                  <c:x val="-0.11428571428571437"/>
                  <c:y val="0.1089697198504780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9121-4B31-98E3-71789ADC59F9}"/>
                </c:ext>
              </c:extLst>
            </c:dLbl>
            <c:dLbl>
              <c:idx val="1"/>
              <c:layout>
                <c:manualLayout>
                  <c:x val="-3.7362637362637362E-2"/>
                  <c:y val="-0.3306667360980023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121-4B31-98E3-71789ADC59F9}"/>
                </c:ext>
              </c:extLst>
            </c:dLbl>
            <c:dLbl>
              <c:idx val="2"/>
              <c:layout>
                <c:manualLayout>
                  <c:x val="0.12967032967032968"/>
                  <c:y val="4.50909185588184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9121-4B31-98E3-71789ADC59F9}"/>
                </c:ext>
              </c:extLst>
            </c:dLbl>
            <c:dLbl>
              <c:idx val="3"/>
              <c:layout>
                <c:manualLayout>
                  <c:x val="3.0769230769230771E-2"/>
                  <c:y val="-3.757576546568208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9121-4B31-98E3-71789ADC59F9}"/>
                </c:ext>
              </c:extLst>
            </c:dLbl>
            <c:dLbl>
              <c:idx val="4"/>
              <c:layout>
                <c:manualLayout>
                  <c:x val="5.7142857142857141E-2"/>
                  <c:y val="1.12727296397046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9121-4B31-98E3-71789ADC59F9}"/>
                </c:ext>
              </c:extLst>
            </c:dLbl>
            <c:dLbl>
              <c:idx val="5"/>
              <c:layout>
                <c:manualLayout>
                  <c:x val="5.7142857142857141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9121-4B31-98E3-71789ADC59F9}"/>
                </c:ext>
              </c:extLst>
            </c:dLbl>
            <c:dLbl>
              <c:idx val="6"/>
              <c:layout>
                <c:manualLayout>
                  <c:x val="3.5164835164835165E-2"/>
                  <c:y val="0.1127272963970462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9121-4B31-98E3-71789ADC59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'11.1'!$X$139:$X$145</c:f>
              <c:strCache>
                <c:ptCount val="7"/>
                <c:pt idx="0">
                  <c:v>Dhoani</c:v>
                </c:pt>
                <c:pt idx="1">
                  <c:v>Launch</c:v>
                </c:pt>
                <c:pt idx="2">
                  <c:v>Bokkuraa</c:v>
                </c:pt>
                <c:pt idx="3">
                  <c:v>Dinghy</c:v>
                </c:pt>
                <c:pt idx="4">
                  <c:v>Landing Craft</c:v>
                </c:pt>
                <c:pt idx="5">
                  <c:v> Barge</c:v>
                </c:pt>
                <c:pt idx="6">
                  <c:v>Others</c:v>
                </c:pt>
              </c:strCache>
            </c:strRef>
          </c:cat>
          <c:val>
            <c:numRef>
              <c:f>'11.1'!$Y$139:$Y$145</c:f>
              <c:numCache>
                <c:formatCode>General_)</c:formatCode>
                <c:ptCount val="7"/>
                <c:pt idx="0">
                  <c:v>134</c:v>
                </c:pt>
                <c:pt idx="1">
                  <c:v>367</c:v>
                </c:pt>
                <c:pt idx="2">
                  <c:v>54</c:v>
                </c:pt>
                <c:pt idx="3">
                  <c:v>32</c:v>
                </c:pt>
                <c:pt idx="4">
                  <c:v>27</c:v>
                </c:pt>
                <c:pt idx="5">
                  <c:v>11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1-4B31-98E3-71789ADC59F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361950</xdr:colOff>
      <xdr:row>103</xdr:row>
      <xdr:rowOff>0</xdr:rowOff>
    </xdr:from>
    <xdr:to>
      <xdr:col>18</xdr:col>
      <xdr:colOff>1504950</xdr:colOff>
      <xdr:row>105</xdr:row>
      <xdr:rowOff>114300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>
          <a:off x="14868525" y="35433000"/>
          <a:ext cx="247650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18</xdr:col>
      <xdr:colOff>361950</xdr:colOff>
      <xdr:row>103</xdr:row>
      <xdr:rowOff>0</xdr:rowOff>
    </xdr:from>
    <xdr:to>
      <xdr:col>18</xdr:col>
      <xdr:colOff>1504950</xdr:colOff>
      <xdr:row>105</xdr:row>
      <xdr:rowOff>114300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14868525" y="35433000"/>
          <a:ext cx="247650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361950</xdr:colOff>
      <xdr:row>103</xdr:row>
      <xdr:rowOff>0</xdr:rowOff>
    </xdr:from>
    <xdr:to>
      <xdr:col>8</xdr:col>
      <xdr:colOff>1504950</xdr:colOff>
      <xdr:row>105</xdr:row>
      <xdr:rowOff>114300</xdr:rowOff>
    </xdr:to>
    <xdr:sp macro="" textlink="">
      <xdr:nvSpPr>
        <xdr:cNvPr id="4" name="AutoShape 1"/>
        <xdr:cNvSpPr>
          <a:spLocks noChangeArrowheads="1"/>
        </xdr:cNvSpPr>
      </xdr:nvSpPr>
      <xdr:spPr bwMode="auto">
        <a:xfrm>
          <a:off x="8181975" y="35433000"/>
          <a:ext cx="695325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361950</xdr:colOff>
      <xdr:row>103</xdr:row>
      <xdr:rowOff>0</xdr:rowOff>
    </xdr:from>
    <xdr:to>
      <xdr:col>8</xdr:col>
      <xdr:colOff>1504950</xdr:colOff>
      <xdr:row>105</xdr:row>
      <xdr:rowOff>114300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8181975" y="35433000"/>
          <a:ext cx="695325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18</xdr:col>
      <xdr:colOff>361950</xdr:colOff>
      <xdr:row>103</xdr:row>
      <xdr:rowOff>0</xdr:rowOff>
    </xdr:from>
    <xdr:to>
      <xdr:col>18</xdr:col>
      <xdr:colOff>1504950</xdr:colOff>
      <xdr:row>105</xdr:row>
      <xdr:rowOff>114300</xdr:rowOff>
    </xdr:to>
    <xdr:sp macro="" textlink="">
      <xdr:nvSpPr>
        <xdr:cNvPr id="6" name="AutoShape 1"/>
        <xdr:cNvSpPr>
          <a:spLocks noChangeArrowheads="1"/>
        </xdr:cNvSpPr>
      </xdr:nvSpPr>
      <xdr:spPr bwMode="auto">
        <a:xfrm>
          <a:off x="14868525" y="35433000"/>
          <a:ext cx="247650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18</xdr:col>
      <xdr:colOff>361950</xdr:colOff>
      <xdr:row>103</xdr:row>
      <xdr:rowOff>0</xdr:rowOff>
    </xdr:from>
    <xdr:to>
      <xdr:col>18</xdr:col>
      <xdr:colOff>1504950</xdr:colOff>
      <xdr:row>105</xdr:row>
      <xdr:rowOff>114300</xdr:rowOff>
    </xdr:to>
    <xdr:sp macro="" textlink="">
      <xdr:nvSpPr>
        <xdr:cNvPr id="7" name="AutoShape 2"/>
        <xdr:cNvSpPr>
          <a:spLocks noChangeArrowheads="1"/>
        </xdr:cNvSpPr>
      </xdr:nvSpPr>
      <xdr:spPr bwMode="auto">
        <a:xfrm>
          <a:off x="14868525" y="35433000"/>
          <a:ext cx="247650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8</xdr:col>
      <xdr:colOff>361950</xdr:colOff>
      <xdr:row>103</xdr:row>
      <xdr:rowOff>0</xdr:rowOff>
    </xdr:from>
    <xdr:to>
      <xdr:col>8</xdr:col>
      <xdr:colOff>1504950</xdr:colOff>
      <xdr:row>105</xdr:row>
      <xdr:rowOff>114300</xdr:rowOff>
    </xdr:to>
    <xdr:sp macro="" textlink="">
      <xdr:nvSpPr>
        <xdr:cNvPr id="8" name="AutoShape 1"/>
        <xdr:cNvSpPr>
          <a:spLocks noChangeArrowheads="1"/>
        </xdr:cNvSpPr>
      </xdr:nvSpPr>
      <xdr:spPr bwMode="auto">
        <a:xfrm>
          <a:off x="8181975" y="35433000"/>
          <a:ext cx="695325" cy="495300"/>
        </a:xfrm>
        <a:prstGeom prst="flowChartProcess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364304</xdr:colOff>
      <xdr:row>93</xdr:row>
      <xdr:rowOff>1</xdr:rowOff>
    </xdr:from>
    <xdr:to>
      <xdr:col>9</xdr:col>
      <xdr:colOff>122903</xdr:colOff>
      <xdr:row>112</xdr:row>
      <xdr:rowOff>30726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132018</xdr:colOff>
      <xdr:row>110</xdr:row>
      <xdr:rowOff>112662</xdr:rowOff>
    </xdr:from>
    <xdr:to>
      <xdr:col>5</xdr:col>
      <xdr:colOff>706692</xdr:colOff>
      <xdr:row>112</xdr:row>
      <xdr:rowOff>7579</xdr:rowOff>
    </xdr:to>
    <xdr:sp macro="" textlink="">
      <xdr:nvSpPr>
        <xdr:cNvPr id="19" name="TextBox 18"/>
        <xdr:cNvSpPr txBox="1"/>
      </xdr:nvSpPr>
      <xdr:spPr>
        <a:xfrm>
          <a:off x="3266050" y="24119759"/>
          <a:ext cx="1424755" cy="263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Type of  vessels</a:t>
          </a:r>
        </a:p>
      </xdr:txBody>
    </xdr:sp>
    <xdr:clientData/>
  </xdr:twoCellAnchor>
  <xdr:twoCellAnchor>
    <xdr:from>
      <xdr:col>9</xdr:col>
      <xdr:colOff>684163</xdr:colOff>
      <xdr:row>92</xdr:row>
      <xdr:rowOff>163872</xdr:rowOff>
    </xdr:from>
    <xdr:to>
      <xdr:col>16</xdr:col>
      <xdr:colOff>727177</xdr:colOff>
      <xdr:row>112</xdr:row>
      <xdr:rowOff>30726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891049</xdr:colOff>
      <xdr:row>93</xdr:row>
      <xdr:rowOff>92177</xdr:rowOff>
    </xdr:from>
    <xdr:to>
      <xdr:col>15</xdr:col>
      <xdr:colOff>696451</xdr:colOff>
      <xdr:row>95</xdr:row>
      <xdr:rowOff>40967</xdr:rowOff>
    </xdr:to>
    <xdr:sp macro="" textlink="">
      <xdr:nvSpPr>
        <xdr:cNvPr id="11" name="TextBox 10"/>
        <xdr:cNvSpPr txBox="1"/>
      </xdr:nvSpPr>
      <xdr:spPr>
        <a:xfrm>
          <a:off x="9555726" y="20893548"/>
          <a:ext cx="4229919" cy="317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Figure</a:t>
          </a:r>
          <a:r>
            <a:rPr lang="en-US" sz="1100" b="1" baseline="0"/>
            <a:t> 11.2: Percentage share of registered vessels by type,  2018</a:t>
          </a:r>
          <a:endParaRPr lang="en-US" sz="11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0.12592</cdr:x>
      <cdr:y>0.02642</cdr:y>
    </cdr:from>
    <cdr:to>
      <cdr:x>0.9322</cdr:x>
      <cdr:y>0.12016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874970" y="86990"/>
          <a:ext cx="5602339" cy="3086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11.1: Number of registered vessels for sea transport, 2016 - 2018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50">
            <a:latin typeface="Consolas" pitchFamily="49" charset="0"/>
            <a:cs typeface="Consolas" pitchFamily="49" charset="0"/>
          </a:endParaRPr>
        </a:p>
      </cdr:txBody>
    </cdr:sp>
  </cdr:relSizeAnchor>
  <cdr:relSizeAnchor xmlns:cdr="http://schemas.openxmlformats.org/drawingml/2006/chartDrawing">
    <cdr:from>
      <cdr:x>0.01743</cdr:x>
      <cdr:y>0.05666</cdr:y>
    </cdr:from>
    <cdr:to>
      <cdr:x>0.12455</cdr:x>
      <cdr:y>0.13226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25568" y="178484"/>
          <a:ext cx="77152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In numbers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R145"/>
  <sheetViews>
    <sheetView tabSelected="1" topLeftCell="A26" zoomScale="93" zoomScaleNormal="93" workbookViewId="0">
      <selection activeCell="A91" sqref="A1:Q91"/>
    </sheetView>
  </sheetViews>
  <sheetFormatPr defaultColWidth="9.140625" defaultRowHeight="14.25" x14ac:dyDescent="0.25"/>
  <cols>
    <col min="1" max="1" width="11.28515625" style="2" customWidth="1"/>
    <col min="2" max="2" width="10.28515625" style="3" customWidth="1"/>
    <col min="3" max="7" width="12.7109375" style="2" customWidth="1"/>
    <col min="8" max="10" width="14.85546875" style="2" customWidth="1"/>
    <col min="11" max="11" width="15.28515625" style="2" customWidth="1"/>
    <col min="12" max="16" width="12.7109375" style="2" customWidth="1"/>
    <col min="17" max="17" width="12.7109375" style="4" customWidth="1"/>
    <col min="18" max="18" width="14.85546875" style="45" customWidth="1"/>
    <col min="19" max="19" width="16" style="45" customWidth="1"/>
    <col min="20" max="20" width="14.42578125" style="45" customWidth="1"/>
    <col min="21" max="21" width="13.85546875" style="45" customWidth="1"/>
    <col min="22" max="22" width="16.42578125" style="45" customWidth="1"/>
    <col min="23" max="29" width="9.140625" style="45"/>
    <col min="30" max="30" width="14.5703125" style="45" customWidth="1"/>
    <col min="31" max="226" width="9.140625" style="45"/>
    <col min="227" max="16384" width="9.140625" style="2"/>
  </cols>
  <sheetData>
    <row r="1" spans="1:19" ht="18" x14ac:dyDescent="0.25">
      <c r="A1" s="64" t="s">
        <v>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53"/>
      <c r="Q1" s="53"/>
      <c r="R1" s="59"/>
      <c r="S1" s="59"/>
    </row>
    <row r="2" spans="1:19" ht="15.75" x14ac:dyDescent="0.25">
      <c r="A2" s="66" t="s">
        <v>76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54"/>
      <c r="Q2" s="54"/>
      <c r="R2" s="55"/>
      <c r="S2" s="55"/>
    </row>
    <row r="3" spans="1:19" x14ac:dyDescent="0.25">
      <c r="I3" s="4"/>
      <c r="J3" s="1"/>
      <c r="O3" s="4"/>
      <c r="P3" s="45"/>
      <c r="Q3" s="45"/>
    </row>
    <row r="4" spans="1:19" ht="18.75" x14ac:dyDescent="0.25">
      <c r="A4" s="74" t="s">
        <v>2</v>
      </c>
      <c r="B4" s="31" t="s">
        <v>0</v>
      </c>
      <c r="C4" s="31" t="s">
        <v>5</v>
      </c>
      <c r="D4" s="31" t="s">
        <v>6</v>
      </c>
      <c r="E4" s="31" t="s">
        <v>7</v>
      </c>
      <c r="F4" s="31" t="s">
        <v>8</v>
      </c>
      <c r="G4" s="31" t="s">
        <v>9</v>
      </c>
      <c r="H4" s="32" t="s">
        <v>88</v>
      </c>
      <c r="I4" s="32" t="s">
        <v>77</v>
      </c>
      <c r="J4" s="32" t="s">
        <v>79</v>
      </c>
      <c r="K4" s="32" t="s">
        <v>80</v>
      </c>
      <c r="L4" s="32" t="s">
        <v>81</v>
      </c>
      <c r="M4" s="32" t="s">
        <v>82</v>
      </c>
      <c r="N4" s="32" t="s">
        <v>92</v>
      </c>
      <c r="O4" s="75" t="s">
        <v>10</v>
      </c>
      <c r="Q4" s="46"/>
      <c r="R4" s="46"/>
    </row>
    <row r="5" spans="1:19" ht="17.25" customHeight="1" x14ac:dyDescent="0.25">
      <c r="A5" s="69"/>
      <c r="B5" s="33" t="s">
        <v>11</v>
      </c>
      <c r="C5" s="33" t="s">
        <v>12</v>
      </c>
      <c r="D5" s="33" t="s">
        <v>13</v>
      </c>
      <c r="E5" s="33" t="s">
        <v>14</v>
      </c>
      <c r="F5" s="33" t="s">
        <v>15</v>
      </c>
      <c r="G5" s="33" t="s">
        <v>16</v>
      </c>
      <c r="H5" s="33" t="s">
        <v>17</v>
      </c>
      <c r="I5" s="33" t="s">
        <v>19</v>
      </c>
      <c r="J5" s="33" t="s">
        <v>21</v>
      </c>
      <c r="K5" s="33" t="s">
        <v>87</v>
      </c>
      <c r="L5" s="33" t="s">
        <v>22</v>
      </c>
      <c r="M5" s="33" t="s">
        <v>86</v>
      </c>
      <c r="N5" s="33" t="s">
        <v>91</v>
      </c>
      <c r="O5" s="76"/>
      <c r="Q5" s="47"/>
      <c r="R5" s="47"/>
    </row>
    <row r="6" spans="1:19" ht="17.25" x14ac:dyDescent="0.25">
      <c r="A6" s="39" t="s">
        <v>27</v>
      </c>
      <c r="B6" s="6">
        <f t="shared" ref="B6:B27" si="0">SUM(C6:R6)</f>
        <v>648</v>
      </c>
      <c r="C6" s="6">
        <f>SUM(C7:C27)</f>
        <v>134</v>
      </c>
      <c r="D6" s="6">
        <f t="shared" ref="D6:I6" si="1">SUM(D7:D27)</f>
        <v>367</v>
      </c>
      <c r="E6" s="6">
        <f t="shared" si="1"/>
        <v>0</v>
      </c>
      <c r="F6" s="6">
        <f t="shared" si="1"/>
        <v>54</v>
      </c>
      <c r="G6" s="6">
        <f t="shared" si="1"/>
        <v>11</v>
      </c>
      <c r="H6" s="6">
        <f t="shared" si="1"/>
        <v>4</v>
      </c>
      <c r="I6" s="6">
        <f t="shared" si="1"/>
        <v>27</v>
      </c>
      <c r="J6" s="6">
        <f>SUM(J7:J27)</f>
        <v>4</v>
      </c>
      <c r="K6" s="6">
        <f>SUM(K7:K27)</f>
        <v>32</v>
      </c>
      <c r="L6" s="6">
        <f>SUM(L7:L27)</f>
        <v>7</v>
      </c>
      <c r="M6" s="6">
        <f>SUM(M7:M27)</f>
        <v>2</v>
      </c>
      <c r="N6" s="6">
        <v>6</v>
      </c>
      <c r="O6" s="77" t="s">
        <v>28</v>
      </c>
      <c r="Q6" s="48"/>
      <c r="R6" s="48"/>
    </row>
    <row r="7" spans="1:19" ht="17.25" x14ac:dyDescent="0.25">
      <c r="A7" s="39" t="s">
        <v>1</v>
      </c>
      <c r="B7" s="6">
        <f t="shared" si="0"/>
        <v>296</v>
      </c>
      <c r="C7" s="8">
        <v>51</v>
      </c>
      <c r="D7" s="8">
        <v>165</v>
      </c>
      <c r="E7" s="8">
        <v>0</v>
      </c>
      <c r="F7" s="8">
        <v>9</v>
      </c>
      <c r="G7" s="8">
        <v>11</v>
      </c>
      <c r="H7" s="8">
        <v>2</v>
      </c>
      <c r="I7" s="9">
        <v>27</v>
      </c>
      <c r="J7" s="9">
        <v>4</v>
      </c>
      <c r="K7" s="9">
        <v>12</v>
      </c>
      <c r="L7" s="9">
        <v>7</v>
      </c>
      <c r="M7" s="9">
        <v>2</v>
      </c>
      <c r="N7" s="9">
        <v>6</v>
      </c>
      <c r="O7" s="77" t="s">
        <v>94</v>
      </c>
      <c r="Q7" s="49"/>
      <c r="R7" s="49"/>
    </row>
    <row r="8" spans="1:19" ht="18" x14ac:dyDescent="0.45">
      <c r="A8" s="40" t="s">
        <v>29</v>
      </c>
      <c r="B8" s="6">
        <f t="shared" si="0"/>
        <v>21</v>
      </c>
      <c r="C8" s="10">
        <v>8</v>
      </c>
      <c r="D8" s="10">
        <v>10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78" t="s">
        <v>30</v>
      </c>
      <c r="Q8" s="50"/>
      <c r="R8" s="50"/>
    </row>
    <row r="9" spans="1:19" ht="18" x14ac:dyDescent="0.45">
      <c r="A9" s="40" t="s">
        <v>31</v>
      </c>
      <c r="B9" s="6">
        <f t="shared" si="0"/>
        <v>17</v>
      </c>
      <c r="C9" s="10">
        <v>3</v>
      </c>
      <c r="D9" s="10">
        <v>11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78" t="s">
        <v>32</v>
      </c>
      <c r="Q9" s="50"/>
      <c r="R9" s="50"/>
    </row>
    <row r="10" spans="1:19" ht="18" x14ac:dyDescent="0.45">
      <c r="A10" s="40" t="s">
        <v>33</v>
      </c>
      <c r="B10" s="6">
        <f t="shared" si="0"/>
        <v>20</v>
      </c>
      <c r="C10" s="10">
        <v>7</v>
      </c>
      <c r="D10" s="10">
        <v>12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78" t="s">
        <v>34</v>
      </c>
      <c r="Q10" s="50"/>
      <c r="R10" s="50"/>
    </row>
    <row r="11" spans="1:19" ht="18" x14ac:dyDescent="0.45">
      <c r="A11" s="40" t="s">
        <v>35</v>
      </c>
      <c r="B11" s="6">
        <f t="shared" si="0"/>
        <v>20</v>
      </c>
      <c r="C11" s="10">
        <v>7</v>
      </c>
      <c r="D11" s="10">
        <v>7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0</v>
      </c>
      <c r="K11" s="10">
        <v>4</v>
      </c>
      <c r="L11" s="10">
        <v>0</v>
      </c>
      <c r="M11" s="10">
        <v>0</v>
      </c>
      <c r="N11" s="10">
        <v>0</v>
      </c>
      <c r="O11" s="78" t="s">
        <v>36</v>
      </c>
      <c r="Q11" s="50"/>
      <c r="R11" s="50"/>
    </row>
    <row r="12" spans="1:19" ht="18" x14ac:dyDescent="0.45">
      <c r="A12" s="40" t="s">
        <v>37</v>
      </c>
      <c r="B12" s="6">
        <f t="shared" si="0"/>
        <v>34</v>
      </c>
      <c r="C12" s="10">
        <v>12</v>
      </c>
      <c r="D12" s="10">
        <v>15</v>
      </c>
      <c r="E12" s="10">
        <v>0</v>
      </c>
      <c r="F12" s="10">
        <v>6</v>
      </c>
      <c r="G12" s="10">
        <v>0</v>
      </c>
      <c r="H12" s="10">
        <v>0</v>
      </c>
      <c r="I12" s="10">
        <v>0</v>
      </c>
      <c r="J12" s="10">
        <v>0</v>
      </c>
      <c r="K12" s="10">
        <v>1</v>
      </c>
      <c r="L12" s="10">
        <v>0</v>
      </c>
      <c r="M12" s="10">
        <v>0</v>
      </c>
      <c r="N12" s="10">
        <v>0</v>
      </c>
      <c r="O12" s="78" t="s">
        <v>38</v>
      </c>
      <c r="Q12" s="50"/>
      <c r="R12" s="50"/>
    </row>
    <row r="13" spans="1:19" ht="18" x14ac:dyDescent="0.45">
      <c r="A13" s="40" t="s">
        <v>39</v>
      </c>
      <c r="B13" s="6">
        <f t="shared" si="0"/>
        <v>45</v>
      </c>
      <c r="C13" s="10">
        <v>11</v>
      </c>
      <c r="D13" s="10">
        <v>23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0</v>
      </c>
      <c r="K13" s="10">
        <v>3</v>
      </c>
      <c r="L13" s="10">
        <v>0</v>
      </c>
      <c r="M13" s="10">
        <v>0</v>
      </c>
      <c r="N13" s="10">
        <v>0</v>
      </c>
      <c r="O13" s="78" t="s">
        <v>40</v>
      </c>
      <c r="Q13" s="50"/>
      <c r="R13" s="50"/>
    </row>
    <row r="14" spans="1:19" ht="18" x14ac:dyDescent="0.45">
      <c r="A14" s="40" t="s">
        <v>41</v>
      </c>
      <c r="B14" s="6">
        <f t="shared" si="0"/>
        <v>13</v>
      </c>
      <c r="C14" s="10">
        <v>4</v>
      </c>
      <c r="D14" s="10">
        <v>5</v>
      </c>
      <c r="E14" s="10">
        <v>0</v>
      </c>
      <c r="F14" s="10">
        <v>1</v>
      </c>
      <c r="G14" s="10">
        <v>0</v>
      </c>
      <c r="H14" s="10">
        <v>1</v>
      </c>
      <c r="I14" s="10">
        <v>0</v>
      </c>
      <c r="J14" s="10">
        <v>0</v>
      </c>
      <c r="K14" s="10">
        <v>2</v>
      </c>
      <c r="L14" s="10">
        <v>0</v>
      </c>
      <c r="M14" s="10">
        <v>0</v>
      </c>
      <c r="N14" s="10">
        <v>0</v>
      </c>
      <c r="O14" s="78" t="s">
        <v>42</v>
      </c>
      <c r="Q14" s="50"/>
      <c r="R14" s="50"/>
    </row>
    <row r="15" spans="1:19" ht="18" x14ac:dyDescent="0.45">
      <c r="A15" s="40" t="s">
        <v>43</v>
      </c>
      <c r="B15" s="6">
        <f t="shared" si="0"/>
        <v>24</v>
      </c>
      <c r="C15" s="10">
        <v>7</v>
      </c>
      <c r="D15" s="10">
        <v>13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4</v>
      </c>
      <c r="L15" s="10">
        <v>0</v>
      </c>
      <c r="M15" s="10">
        <v>0</v>
      </c>
      <c r="N15" s="10">
        <v>0</v>
      </c>
      <c r="O15" s="78" t="s">
        <v>44</v>
      </c>
      <c r="Q15" s="50"/>
      <c r="R15" s="50"/>
    </row>
    <row r="16" spans="1:19" ht="18" x14ac:dyDescent="0.45">
      <c r="A16" s="40" t="s">
        <v>45</v>
      </c>
      <c r="B16" s="6">
        <f t="shared" si="0"/>
        <v>12</v>
      </c>
      <c r="C16" s="10">
        <v>3</v>
      </c>
      <c r="D16" s="10">
        <v>8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78" t="s">
        <v>46</v>
      </c>
      <c r="Q16" s="50"/>
      <c r="R16" s="50"/>
    </row>
    <row r="17" spans="1:22" ht="18" x14ac:dyDescent="0.45">
      <c r="A17" s="40" t="s">
        <v>47</v>
      </c>
      <c r="B17" s="6">
        <f t="shared" si="0"/>
        <v>22</v>
      </c>
      <c r="C17" s="10">
        <v>5</v>
      </c>
      <c r="D17" s="10">
        <v>12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78" t="s">
        <v>48</v>
      </c>
      <c r="Q17" s="50"/>
      <c r="R17" s="50"/>
    </row>
    <row r="18" spans="1:22" ht="18" x14ac:dyDescent="0.45">
      <c r="A18" s="40" t="s">
        <v>49</v>
      </c>
      <c r="B18" s="6">
        <f t="shared" si="0"/>
        <v>7</v>
      </c>
      <c r="C18" s="10">
        <v>0</v>
      </c>
      <c r="D18" s="10">
        <v>4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0</v>
      </c>
      <c r="K18" s="10">
        <v>2</v>
      </c>
      <c r="L18" s="10">
        <v>0</v>
      </c>
      <c r="M18" s="10">
        <v>0</v>
      </c>
      <c r="N18" s="10">
        <v>0</v>
      </c>
      <c r="O18" s="78" t="s">
        <v>50</v>
      </c>
      <c r="Q18" s="50"/>
      <c r="R18" s="50"/>
    </row>
    <row r="19" spans="1:22" ht="18" x14ac:dyDescent="0.45">
      <c r="A19" s="40" t="s">
        <v>51</v>
      </c>
      <c r="B19" s="6">
        <f t="shared" si="0"/>
        <v>12</v>
      </c>
      <c r="C19" s="10">
        <v>1</v>
      </c>
      <c r="D19" s="10">
        <v>6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0</v>
      </c>
      <c r="K19" s="10">
        <v>1</v>
      </c>
      <c r="L19" s="10">
        <v>0</v>
      </c>
      <c r="M19" s="10">
        <v>0</v>
      </c>
      <c r="N19" s="10">
        <v>0</v>
      </c>
      <c r="O19" s="78" t="s">
        <v>52</v>
      </c>
      <c r="Q19" s="50"/>
      <c r="R19" s="50"/>
    </row>
    <row r="20" spans="1:22" ht="18" x14ac:dyDescent="0.45">
      <c r="A20" s="40" t="s">
        <v>53</v>
      </c>
      <c r="B20" s="6">
        <f t="shared" si="0"/>
        <v>8</v>
      </c>
      <c r="C20" s="10">
        <v>2</v>
      </c>
      <c r="D20" s="10">
        <v>5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78" t="s">
        <v>54</v>
      </c>
      <c r="Q20" s="50"/>
      <c r="R20" s="50"/>
    </row>
    <row r="21" spans="1:22" ht="18" x14ac:dyDescent="0.45">
      <c r="A21" s="40" t="s">
        <v>55</v>
      </c>
      <c r="B21" s="6">
        <f t="shared" si="0"/>
        <v>12</v>
      </c>
      <c r="C21" s="10">
        <v>1</v>
      </c>
      <c r="D21" s="10">
        <v>11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78" t="s">
        <v>56</v>
      </c>
      <c r="Q21" s="50"/>
      <c r="R21" s="50"/>
    </row>
    <row r="22" spans="1:22" ht="18" x14ac:dyDescent="0.45">
      <c r="A22" s="40" t="s">
        <v>57</v>
      </c>
      <c r="B22" s="6">
        <f t="shared" si="0"/>
        <v>18</v>
      </c>
      <c r="C22" s="10">
        <v>4</v>
      </c>
      <c r="D22" s="10">
        <v>11</v>
      </c>
      <c r="E22" s="10">
        <v>0</v>
      </c>
      <c r="F22" s="10">
        <v>1</v>
      </c>
      <c r="G22" s="10">
        <v>0</v>
      </c>
      <c r="H22" s="10">
        <v>1</v>
      </c>
      <c r="I22" s="10">
        <v>0</v>
      </c>
      <c r="J22" s="10">
        <v>0</v>
      </c>
      <c r="K22" s="10">
        <v>1</v>
      </c>
      <c r="L22" s="10">
        <v>0</v>
      </c>
      <c r="M22" s="10">
        <v>0</v>
      </c>
      <c r="N22" s="10">
        <v>0</v>
      </c>
      <c r="O22" s="78" t="s">
        <v>58</v>
      </c>
      <c r="Q22" s="50"/>
      <c r="R22" s="50"/>
    </row>
    <row r="23" spans="1:22" ht="18" x14ac:dyDescent="0.45">
      <c r="A23" s="40" t="s">
        <v>42</v>
      </c>
      <c r="B23" s="6">
        <f t="shared" si="0"/>
        <v>5</v>
      </c>
      <c r="C23" s="10">
        <v>0</v>
      </c>
      <c r="D23" s="10">
        <v>3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0</v>
      </c>
      <c r="K23" s="10">
        <v>1</v>
      </c>
      <c r="L23" s="10">
        <v>0</v>
      </c>
      <c r="M23" s="10">
        <v>0</v>
      </c>
      <c r="N23" s="10">
        <v>0</v>
      </c>
      <c r="O23" s="78" t="s">
        <v>59</v>
      </c>
      <c r="Q23" s="50"/>
      <c r="R23" s="50"/>
    </row>
    <row r="24" spans="1:22" ht="18" x14ac:dyDescent="0.45">
      <c r="A24" s="40" t="s">
        <v>60</v>
      </c>
      <c r="B24" s="6">
        <f t="shared" si="0"/>
        <v>17</v>
      </c>
      <c r="C24" s="10">
        <v>5</v>
      </c>
      <c r="D24" s="10">
        <v>10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78" t="s">
        <v>61</v>
      </c>
      <c r="Q24" s="50"/>
      <c r="R24" s="50"/>
    </row>
    <row r="25" spans="1:22" ht="18" x14ac:dyDescent="0.45">
      <c r="A25" s="40" t="s">
        <v>62</v>
      </c>
      <c r="B25" s="6">
        <f t="shared" si="0"/>
        <v>20</v>
      </c>
      <c r="C25" s="10">
        <v>1</v>
      </c>
      <c r="D25" s="10">
        <v>18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78" t="s">
        <v>63</v>
      </c>
      <c r="Q25" s="50"/>
      <c r="R25" s="50"/>
    </row>
    <row r="26" spans="1:22" ht="18" x14ac:dyDescent="0.45">
      <c r="A26" s="40" t="s">
        <v>64</v>
      </c>
      <c r="B26" s="6">
        <f t="shared" si="0"/>
        <v>9</v>
      </c>
      <c r="C26" s="10">
        <v>1</v>
      </c>
      <c r="D26" s="10">
        <v>6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78" t="s">
        <v>35</v>
      </c>
      <c r="Q26" s="50"/>
      <c r="R26" s="50"/>
    </row>
    <row r="27" spans="1:22" ht="18" x14ac:dyDescent="0.45">
      <c r="A27" s="41" t="s">
        <v>34</v>
      </c>
      <c r="B27" s="11">
        <f t="shared" si="0"/>
        <v>16</v>
      </c>
      <c r="C27" s="12">
        <v>1</v>
      </c>
      <c r="D27" s="12">
        <v>12</v>
      </c>
      <c r="E27" s="12">
        <v>0</v>
      </c>
      <c r="F27" s="12">
        <v>3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79" t="s">
        <v>65</v>
      </c>
      <c r="Q27" s="50"/>
      <c r="R27" s="50"/>
    </row>
    <row r="28" spans="1:22" ht="18" x14ac:dyDescent="0.45">
      <c r="A28" s="13" t="s">
        <v>93</v>
      </c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44" t="s">
        <v>66</v>
      </c>
      <c r="Q28" s="51"/>
      <c r="R28" s="51"/>
    </row>
    <row r="29" spans="1:22" ht="17.25" x14ac:dyDescent="0.25">
      <c r="A29" s="16" t="s">
        <v>67</v>
      </c>
      <c r="B29" s="17"/>
      <c r="C29" s="18"/>
      <c r="D29" s="18"/>
      <c r="E29" s="18"/>
      <c r="F29" s="18"/>
      <c r="G29" s="19"/>
      <c r="H29" s="19"/>
      <c r="I29" s="19"/>
      <c r="J29" s="19"/>
      <c r="K29" s="19"/>
      <c r="L29" s="19"/>
      <c r="M29" s="19"/>
      <c r="O29" s="29" t="s">
        <v>68</v>
      </c>
      <c r="Q29" s="52"/>
      <c r="R29" s="52"/>
    </row>
    <row r="30" spans="1:22" x14ac:dyDescent="0.25">
      <c r="I30" s="4"/>
      <c r="J30" s="1"/>
      <c r="P30" s="24"/>
      <c r="Q30" s="58"/>
    </row>
    <row r="31" spans="1:22" x14ac:dyDescent="0.25">
      <c r="I31" s="4"/>
      <c r="J31" s="1"/>
    </row>
    <row r="32" spans="1:22" ht="18" x14ac:dyDescent="0.25">
      <c r="A32" s="64" t="s">
        <v>69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59"/>
      <c r="S32" s="59"/>
      <c r="T32" s="59"/>
      <c r="U32" s="59"/>
      <c r="V32" s="59"/>
    </row>
    <row r="33" spans="1:22" ht="15.75" x14ac:dyDescent="0.25">
      <c r="A33" s="66" t="s">
        <v>4</v>
      </c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55"/>
      <c r="S33" s="55"/>
      <c r="T33" s="55"/>
      <c r="U33" s="55"/>
      <c r="V33" s="55"/>
    </row>
    <row r="34" spans="1:22" ht="15" x14ac:dyDescent="0.2">
      <c r="A34" s="20"/>
      <c r="B34" s="21"/>
      <c r="C34" s="22"/>
      <c r="D34" s="22"/>
      <c r="E34" s="22"/>
      <c r="F34" s="22"/>
      <c r="G34" s="22"/>
      <c r="H34" s="22"/>
      <c r="I34" s="23"/>
      <c r="J34" s="23"/>
      <c r="K34" s="23"/>
      <c r="L34" s="23"/>
      <c r="M34" s="23"/>
      <c r="N34" s="23"/>
      <c r="O34" s="23"/>
      <c r="P34" s="23"/>
      <c r="Q34" s="23"/>
      <c r="R34" s="56"/>
      <c r="S34" s="56"/>
      <c r="T34" s="56"/>
      <c r="U34" s="56"/>
      <c r="V34" s="56"/>
    </row>
    <row r="35" spans="1:22" ht="15.75" customHeight="1" x14ac:dyDescent="0.25">
      <c r="A35" s="68" t="s">
        <v>2</v>
      </c>
      <c r="B35" s="38" t="s">
        <v>0</v>
      </c>
      <c r="C35" s="38" t="s">
        <v>5</v>
      </c>
      <c r="D35" s="38" t="s">
        <v>6</v>
      </c>
      <c r="E35" s="38" t="s">
        <v>7</v>
      </c>
      <c r="F35" s="38" t="s">
        <v>8</v>
      </c>
      <c r="G35" s="38" t="s">
        <v>9</v>
      </c>
      <c r="H35" s="37" t="s">
        <v>88</v>
      </c>
      <c r="I35" s="37" t="s">
        <v>77</v>
      </c>
      <c r="J35" s="37" t="s">
        <v>78</v>
      </c>
      <c r="K35" s="37" t="s">
        <v>79</v>
      </c>
      <c r="L35" s="37" t="s">
        <v>81</v>
      </c>
      <c r="M35" s="37" t="s">
        <v>83</v>
      </c>
      <c r="N35" s="36" t="s">
        <v>84</v>
      </c>
      <c r="O35" s="36" t="s">
        <v>85</v>
      </c>
      <c r="P35" s="37" t="s">
        <v>89</v>
      </c>
      <c r="Q35" s="70" t="s">
        <v>10</v>
      </c>
    </row>
    <row r="36" spans="1:22" ht="26.25" customHeight="1" x14ac:dyDescent="0.25">
      <c r="A36" s="69"/>
      <c r="B36" s="5" t="s">
        <v>11</v>
      </c>
      <c r="C36" s="5" t="s">
        <v>12</v>
      </c>
      <c r="D36" s="5" t="s">
        <v>13</v>
      </c>
      <c r="E36" s="5" t="s">
        <v>14</v>
      </c>
      <c r="F36" s="5" t="s">
        <v>70</v>
      </c>
      <c r="G36" s="5" t="s">
        <v>16</v>
      </c>
      <c r="H36" s="5" t="s">
        <v>17</v>
      </c>
      <c r="I36" s="5" t="s">
        <v>19</v>
      </c>
      <c r="J36" s="5" t="s">
        <v>20</v>
      </c>
      <c r="K36" s="5" t="s">
        <v>21</v>
      </c>
      <c r="L36" s="33" t="s">
        <v>22</v>
      </c>
      <c r="M36" s="5" t="s">
        <v>23</v>
      </c>
      <c r="N36" s="5" t="s">
        <v>24</v>
      </c>
      <c r="O36" s="5" t="s">
        <v>25</v>
      </c>
      <c r="P36" s="33" t="s">
        <v>71</v>
      </c>
      <c r="Q36" s="71"/>
    </row>
    <row r="37" spans="1:22" ht="17.25" x14ac:dyDescent="0.25">
      <c r="A37" s="39" t="s">
        <v>27</v>
      </c>
      <c r="B37" s="6">
        <f>SUM(B38:B58)</f>
        <v>688</v>
      </c>
      <c r="C37" s="6">
        <f>SUM(C38:C58)</f>
        <v>152</v>
      </c>
      <c r="D37" s="6">
        <f t="shared" ref="D37:K37" si="2">SUM(D38:D58)</f>
        <v>366</v>
      </c>
      <c r="E37" s="6">
        <f t="shared" si="2"/>
        <v>8</v>
      </c>
      <c r="F37" s="6">
        <f t="shared" si="2"/>
        <v>82</v>
      </c>
      <c r="G37" s="6">
        <f t="shared" si="2"/>
        <v>12</v>
      </c>
      <c r="H37" s="6">
        <f t="shared" si="2"/>
        <v>2</v>
      </c>
      <c r="I37" s="6">
        <f t="shared" si="2"/>
        <v>22</v>
      </c>
      <c r="J37" s="6">
        <f t="shared" si="2"/>
        <v>3</v>
      </c>
      <c r="K37" s="6">
        <f t="shared" si="2"/>
        <v>9</v>
      </c>
      <c r="L37" s="6">
        <f>SUM(L38:L58)</f>
        <v>15</v>
      </c>
      <c r="M37" s="6">
        <f>SUM(M38:M58)</f>
        <v>3</v>
      </c>
      <c r="N37" s="6">
        <f>SUM(N38:N58)</f>
        <v>3</v>
      </c>
      <c r="O37" s="6">
        <f>SUM(O38:O58)</f>
        <v>9</v>
      </c>
      <c r="P37" s="6">
        <f>SUM(P38:P58)</f>
        <v>2</v>
      </c>
      <c r="Q37" s="34" t="s">
        <v>28</v>
      </c>
    </row>
    <row r="38" spans="1:22" ht="17.25" x14ac:dyDescent="0.25">
      <c r="A38" s="39" t="s">
        <v>1</v>
      </c>
      <c r="B38" s="7">
        <f t="shared" ref="B38:B58" si="3">SUM(C38:P38)</f>
        <v>291</v>
      </c>
      <c r="C38" s="10">
        <v>43</v>
      </c>
      <c r="D38" s="10">
        <v>152</v>
      </c>
      <c r="E38" s="10">
        <v>6</v>
      </c>
      <c r="F38" s="10">
        <v>14</v>
      </c>
      <c r="G38" s="10">
        <v>12</v>
      </c>
      <c r="H38" s="10">
        <v>2</v>
      </c>
      <c r="I38" s="10">
        <v>21</v>
      </c>
      <c r="J38" s="10">
        <v>3</v>
      </c>
      <c r="K38" s="10">
        <v>9</v>
      </c>
      <c r="L38" s="10">
        <v>15</v>
      </c>
      <c r="M38" s="10">
        <v>3</v>
      </c>
      <c r="N38" s="10">
        <v>3</v>
      </c>
      <c r="O38" s="10">
        <v>6</v>
      </c>
      <c r="P38" s="10">
        <v>2</v>
      </c>
      <c r="Q38" s="34"/>
    </row>
    <row r="39" spans="1:22" ht="18" x14ac:dyDescent="0.45">
      <c r="A39" s="40" t="s">
        <v>29</v>
      </c>
      <c r="B39" s="7">
        <f t="shared" si="3"/>
        <v>37</v>
      </c>
      <c r="C39" s="10">
        <v>12</v>
      </c>
      <c r="D39" s="10">
        <v>17</v>
      </c>
      <c r="E39" s="10">
        <v>0</v>
      </c>
      <c r="F39" s="10">
        <v>8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35" t="s">
        <v>30</v>
      </c>
    </row>
    <row r="40" spans="1:22" ht="18" x14ac:dyDescent="0.45">
      <c r="A40" s="40" t="s">
        <v>31</v>
      </c>
      <c r="B40" s="7">
        <f t="shared" si="3"/>
        <v>22</v>
      </c>
      <c r="C40" s="10">
        <v>4</v>
      </c>
      <c r="D40" s="10">
        <v>10</v>
      </c>
      <c r="E40" s="10">
        <v>0</v>
      </c>
      <c r="F40" s="10">
        <v>8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35" t="s">
        <v>32</v>
      </c>
    </row>
    <row r="41" spans="1:22" ht="18" x14ac:dyDescent="0.45">
      <c r="A41" s="40" t="s">
        <v>33</v>
      </c>
      <c r="B41" s="7">
        <f t="shared" si="3"/>
        <v>35</v>
      </c>
      <c r="C41" s="10">
        <v>19</v>
      </c>
      <c r="D41" s="10">
        <v>14</v>
      </c>
      <c r="E41" s="10">
        <v>1</v>
      </c>
      <c r="F41" s="10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35" t="s">
        <v>34</v>
      </c>
    </row>
    <row r="42" spans="1:22" ht="18" x14ac:dyDescent="0.45">
      <c r="A42" s="40" t="s">
        <v>35</v>
      </c>
      <c r="B42" s="7">
        <f t="shared" si="3"/>
        <v>21</v>
      </c>
      <c r="C42" s="10">
        <v>3</v>
      </c>
      <c r="D42" s="10">
        <v>9</v>
      </c>
      <c r="E42" s="10">
        <v>0</v>
      </c>
      <c r="F42" s="10">
        <v>9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35" t="s">
        <v>36</v>
      </c>
    </row>
    <row r="43" spans="1:22" ht="18" x14ac:dyDescent="0.45">
      <c r="A43" s="40" t="s">
        <v>37</v>
      </c>
      <c r="B43" s="7">
        <f t="shared" si="3"/>
        <v>37</v>
      </c>
      <c r="C43" s="10">
        <v>7</v>
      </c>
      <c r="D43" s="10">
        <v>23</v>
      </c>
      <c r="E43" s="10">
        <v>1</v>
      </c>
      <c r="F43" s="10">
        <v>6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35" t="s">
        <v>38</v>
      </c>
    </row>
    <row r="44" spans="1:22" ht="18" x14ac:dyDescent="0.45">
      <c r="A44" s="40" t="s">
        <v>39</v>
      </c>
      <c r="B44" s="7">
        <f t="shared" si="3"/>
        <v>40</v>
      </c>
      <c r="C44" s="10">
        <v>8</v>
      </c>
      <c r="D44" s="10">
        <v>19</v>
      </c>
      <c r="E44" s="10">
        <v>0</v>
      </c>
      <c r="F44" s="10">
        <v>12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1</v>
      </c>
      <c r="P44" s="10">
        <v>0</v>
      </c>
      <c r="Q44" s="35" t="s">
        <v>40</v>
      </c>
    </row>
    <row r="45" spans="1:22" ht="18" x14ac:dyDescent="0.45">
      <c r="A45" s="40" t="s">
        <v>41</v>
      </c>
      <c r="B45" s="7">
        <f t="shared" si="3"/>
        <v>14</v>
      </c>
      <c r="C45" s="10">
        <v>6</v>
      </c>
      <c r="D45" s="10">
        <v>8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35" t="s">
        <v>42</v>
      </c>
    </row>
    <row r="46" spans="1:22" ht="18" x14ac:dyDescent="0.45">
      <c r="A46" s="40" t="s">
        <v>43</v>
      </c>
      <c r="B46" s="7">
        <f t="shared" si="3"/>
        <v>28</v>
      </c>
      <c r="C46" s="10">
        <v>6</v>
      </c>
      <c r="D46" s="10">
        <v>17</v>
      </c>
      <c r="E46" s="10">
        <v>0</v>
      </c>
      <c r="F46" s="10">
        <v>4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1</v>
      </c>
      <c r="P46" s="10">
        <v>0</v>
      </c>
      <c r="Q46" s="35" t="s">
        <v>44</v>
      </c>
    </row>
    <row r="47" spans="1:22" ht="18" x14ac:dyDescent="0.45">
      <c r="A47" s="40" t="s">
        <v>45</v>
      </c>
      <c r="B47" s="7">
        <f t="shared" si="3"/>
        <v>16</v>
      </c>
      <c r="C47" s="10">
        <v>3</v>
      </c>
      <c r="D47" s="10">
        <v>12</v>
      </c>
      <c r="E47" s="10">
        <v>0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35" t="s">
        <v>46</v>
      </c>
    </row>
    <row r="48" spans="1:22" ht="18" x14ac:dyDescent="0.45">
      <c r="A48" s="40" t="s">
        <v>47</v>
      </c>
      <c r="B48" s="7">
        <f t="shared" si="3"/>
        <v>24</v>
      </c>
      <c r="C48" s="10">
        <v>9</v>
      </c>
      <c r="D48" s="10">
        <v>12</v>
      </c>
      <c r="E48" s="10">
        <v>0</v>
      </c>
      <c r="F48" s="10">
        <v>3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35" t="s">
        <v>48</v>
      </c>
    </row>
    <row r="49" spans="1:22" ht="18" x14ac:dyDescent="0.45">
      <c r="A49" s="40" t="s">
        <v>49</v>
      </c>
      <c r="B49" s="7">
        <f t="shared" si="3"/>
        <v>6</v>
      </c>
      <c r="C49" s="10">
        <v>1</v>
      </c>
      <c r="D49" s="10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35" t="s">
        <v>50</v>
      </c>
    </row>
    <row r="50" spans="1:22" ht="18" x14ac:dyDescent="0.45">
      <c r="A50" s="40" t="s">
        <v>51</v>
      </c>
      <c r="B50" s="7">
        <f t="shared" si="3"/>
        <v>16</v>
      </c>
      <c r="C50" s="10">
        <v>4</v>
      </c>
      <c r="D50" s="10">
        <v>7</v>
      </c>
      <c r="E50" s="10">
        <v>0</v>
      </c>
      <c r="F50" s="10">
        <v>5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35" t="s">
        <v>52</v>
      </c>
    </row>
    <row r="51" spans="1:22" ht="18" x14ac:dyDescent="0.45">
      <c r="A51" s="40" t="s">
        <v>53</v>
      </c>
      <c r="B51" s="7">
        <f t="shared" si="3"/>
        <v>6</v>
      </c>
      <c r="C51" s="10">
        <v>2</v>
      </c>
      <c r="D51" s="10">
        <v>3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35" t="s">
        <v>54</v>
      </c>
    </row>
    <row r="52" spans="1:22" ht="18" x14ac:dyDescent="0.45">
      <c r="A52" s="40" t="s">
        <v>55</v>
      </c>
      <c r="B52" s="7">
        <f t="shared" si="3"/>
        <v>17</v>
      </c>
      <c r="C52" s="10">
        <v>5</v>
      </c>
      <c r="D52" s="10">
        <v>8</v>
      </c>
      <c r="E52" s="10">
        <v>0</v>
      </c>
      <c r="F52" s="10">
        <v>4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35" t="s">
        <v>56</v>
      </c>
    </row>
    <row r="53" spans="1:22" ht="18" x14ac:dyDescent="0.45">
      <c r="A53" s="40" t="s">
        <v>57</v>
      </c>
      <c r="B53" s="7">
        <f t="shared" si="3"/>
        <v>14</v>
      </c>
      <c r="C53" s="10">
        <v>1</v>
      </c>
      <c r="D53" s="10">
        <v>11</v>
      </c>
      <c r="E53" s="10">
        <v>0</v>
      </c>
      <c r="F53" s="10">
        <v>1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1</v>
      </c>
      <c r="P53" s="10">
        <v>0</v>
      </c>
      <c r="Q53" s="35" t="s">
        <v>58</v>
      </c>
    </row>
    <row r="54" spans="1:22" ht="18" x14ac:dyDescent="0.45">
      <c r="A54" s="40" t="s">
        <v>42</v>
      </c>
      <c r="B54" s="7">
        <f t="shared" si="3"/>
        <v>13</v>
      </c>
      <c r="C54" s="10">
        <v>5</v>
      </c>
      <c r="D54" s="10">
        <v>7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35" t="s">
        <v>59</v>
      </c>
    </row>
    <row r="55" spans="1:22" ht="18" x14ac:dyDescent="0.45">
      <c r="A55" s="40" t="s">
        <v>60</v>
      </c>
      <c r="B55" s="7">
        <f t="shared" si="3"/>
        <v>10</v>
      </c>
      <c r="C55" s="10">
        <v>4</v>
      </c>
      <c r="D55" s="10">
        <v>5</v>
      </c>
      <c r="E55" s="10">
        <v>0</v>
      </c>
      <c r="F55" s="10">
        <v>0</v>
      </c>
      <c r="G55" s="10">
        <v>0</v>
      </c>
      <c r="H55" s="10">
        <v>0</v>
      </c>
      <c r="I55" s="10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35" t="s">
        <v>61</v>
      </c>
    </row>
    <row r="56" spans="1:22" ht="18" x14ac:dyDescent="0.45">
      <c r="A56" s="40" t="s">
        <v>62</v>
      </c>
      <c r="B56" s="7">
        <f t="shared" si="3"/>
        <v>28</v>
      </c>
      <c r="C56" s="10">
        <v>4</v>
      </c>
      <c r="D56" s="10">
        <v>20</v>
      </c>
      <c r="E56" s="10">
        <v>0</v>
      </c>
      <c r="F56" s="10">
        <v>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35" t="s">
        <v>63</v>
      </c>
    </row>
    <row r="57" spans="1:22" ht="18" x14ac:dyDescent="0.45">
      <c r="A57" s="40" t="s">
        <v>64</v>
      </c>
      <c r="B57" s="7">
        <f t="shared" si="3"/>
        <v>8</v>
      </c>
      <c r="C57" s="10">
        <v>4</v>
      </c>
      <c r="D57" s="10">
        <v>4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35" t="s">
        <v>35</v>
      </c>
    </row>
    <row r="58" spans="1:22" ht="18" x14ac:dyDescent="0.45">
      <c r="A58" s="41" t="s">
        <v>34</v>
      </c>
      <c r="B58" s="11">
        <f t="shared" si="3"/>
        <v>5</v>
      </c>
      <c r="C58" s="12">
        <v>2</v>
      </c>
      <c r="D58" s="12">
        <v>3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25">
        <v>0</v>
      </c>
      <c r="Q58" s="43" t="s">
        <v>65</v>
      </c>
    </row>
    <row r="59" spans="1:22" ht="18.75" x14ac:dyDescent="0.25">
      <c r="A59" s="72" t="s">
        <v>99</v>
      </c>
      <c r="B59" s="26"/>
      <c r="I59" s="4"/>
      <c r="J59" s="1"/>
      <c r="Q59" s="73" t="s">
        <v>100</v>
      </c>
    </row>
    <row r="60" spans="1:22" ht="17.25" x14ac:dyDescent="0.25">
      <c r="A60" s="80" t="s">
        <v>67</v>
      </c>
      <c r="I60" s="4"/>
      <c r="J60" s="1"/>
      <c r="Q60" s="29" t="s">
        <v>68</v>
      </c>
    </row>
    <row r="61" spans="1:22" ht="17.25" x14ac:dyDescent="0.25">
      <c r="B61" s="27"/>
      <c r="C61" s="18"/>
      <c r="D61" s="18"/>
      <c r="E61" s="18"/>
      <c r="F61" s="18"/>
      <c r="G61" s="19"/>
      <c r="H61" s="19"/>
      <c r="I61" s="28"/>
      <c r="J61" s="28"/>
      <c r="K61" s="28"/>
      <c r="L61" s="28"/>
      <c r="M61" s="28"/>
      <c r="N61" s="28"/>
      <c r="P61" s="28"/>
      <c r="Q61" s="28"/>
      <c r="S61" s="52"/>
      <c r="T61" s="52"/>
      <c r="U61" s="52"/>
      <c r="V61" s="60"/>
    </row>
    <row r="62" spans="1:22" ht="18" x14ac:dyDescent="0.25">
      <c r="A62" s="64" t="s">
        <v>72</v>
      </c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59"/>
      <c r="S62" s="59"/>
      <c r="T62" s="59"/>
      <c r="U62" s="59"/>
      <c r="V62" s="59"/>
    </row>
    <row r="63" spans="1:22" ht="15.75" x14ac:dyDescent="0.25">
      <c r="A63" s="66" t="s">
        <v>73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55"/>
      <c r="S63" s="55"/>
      <c r="T63" s="55"/>
      <c r="U63" s="55"/>
      <c r="V63" s="55"/>
    </row>
    <row r="64" spans="1:22" ht="15" x14ac:dyDescent="0.2">
      <c r="A64" s="20"/>
      <c r="B64" s="21"/>
      <c r="C64" s="22"/>
      <c r="D64" s="5"/>
      <c r="E64" s="5"/>
      <c r="F64" s="5"/>
      <c r="G64" s="5"/>
      <c r="H64" s="5"/>
      <c r="I64" s="5"/>
      <c r="J64" s="5"/>
      <c r="K64" s="5"/>
      <c r="L64" s="33"/>
      <c r="M64" s="33"/>
      <c r="N64" s="33"/>
      <c r="O64" s="5"/>
      <c r="P64" s="5"/>
      <c r="Q64" s="23"/>
      <c r="R64" s="56"/>
      <c r="S64" s="56"/>
      <c r="T64" s="56"/>
      <c r="U64" s="56"/>
      <c r="V64" s="56"/>
    </row>
    <row r="65" spans="1:18" ht="18.75" x14ac:dyDescent="0.25">
      <c r="A65" s="68" t="s">
        <v>2</v>
      </c>
      <c r="B65" s="38" t="s">
        <v>0</v>
      </c>
      <c r="C65" s="38" t="s">
        <v>5</v>
      </c>
      <c r="D65" s="38" t="s">
        <v>6</v>
      </c>
      <c r="E65" s="38" t="s">
        <v>7</v>
      </c>
      <c r="F65" s="38" t="s">
        <v>8</v>
      </c>
      <c r="G65" s="38" t="s">
        <v>9</v>
      </c>
      <c r="H65" s="37" t="s">
        <v>88</v>
      </c>
      <c r="I65" s="37" t="s">
        <v>77</v>
      </c>
      <c r="J65" s="37" t="s">
        <v>78</v>
      </c>
      <c r="K65" s="37" t="s">
        <v>79</v>
      </c>
      <c r="L65" s="37" t="s">
        <v>82</v>
      </c>
      <c r="M65" s="36" t="s">
        <v>84</v>
      </c>
      <c r="N65" s="36" t="s">
        <v>85</v>
      </c>
      <c r="O65" s="37" t="s">
        <v>90</v>
      </c>
      <c r="P65" s="32" t="s">
        <v>92</v>
      </c>
      <c r="Q65" s="70" t="s">
        <v>10</v>
      </c>
      <c r="R65" s="46"/>
    </row>
    <row r="66" spans="1:18" ht="30" x14ac:dyDescent="0.25">
      <c r="A66" s="69"/>
      <c r="B66" s="5" t="s">
        <v>11</v>
      </c>
      <c r="C66" s="5" t="s">
        <v>12</v>
      </c>
      <c r="D66" s="5" t="s">
        <v>13</v>
      </c>
      <c r="E66" s="5" t="s">
        <v>14</v>
      </c>
      <c r="F66" s="5" t="s">
        <v>70</v>
      </c>
      <c r="G66" s="5" t="s">
        <v>16</v>
      </c>
      <c r="H66" s="5" t="s">
        <v>17</v>
      </c>
      <c r="I66" s="5" t="s">
        <v>19</v>
      </c>
      <c r="J66" s="5" t="s">
        <v>20</v>
      </c>
      <c r="K66" s="5" t="s">
        <v>21</v>
      </c>
      <c r="L66" s="33" t="s">
        <v>86</v>
      </c>
      <c r="M66" s="5" t="s">
        <v>24</v>
      </c>
      <c r="N66" s="33" t="s">
        <v>25</v>
      </c>
      <c r="O66" s="33" t="s">
        <v>75</v>
      </c>
      <c r="P66" s="33" t="s">
        <v>91</v>
      </c>
      <c r="Q66" s="71"/>
      <c r="R66" s="47"/>
    </row>
    <row r="67" spans="1:18" ht="17.25" x14ac:dyDescent="0.25">
      <c r="A67" s="39" t="s">
        <v>27</v>
      </c>
      <c r="B67" s="6">
        <f>SUM(B68:B88)</f>
        <v>597</v>
      </c>
      <c r="C67" s="6">
        <f t="shared" ref="C67:K67" si="4">SUM(C68:C88)</f>
        <v>168</v>
      </c>
      <c r="D67" s="6">
        <f t="shared" si="4"/>
        <v>285</v>
      </c>
      <c r="E67" s="6">
        <f t="shared" si="4"/>
        <v>20</v>
      </c>
      <c r="F67" s="6">
        <f t="shared" si="4"/>
        <v>70</v>
      </c>
      <c r="G67" s="6">
        <f t="shared" si="4"/>
        <v>7</v>
      </c>
      <c r="H67" s="6">
        <f t="shared" si="4"/>
        <v>4</v>
      </c>
      <c r="I67" s="6">
        <f t="shared" si="4"/>
        <v>7</v>
      </c>
      <c r="J67" s="6">
        <f t="shared" si="4"/>
        <v>4</v>
      </c>
      <c r="K67" s="6">
        <f t="shared" si="4"/>
        <v>6</v>
      </c>
      <c r="L67" s="6">
        <f>SUM(L68:L88)</f>
        <v>2</v>
      </c>
      <c r="M67" s="6">
        <f>SUM(M68:M88)</f>
        <v>7</v>
      </c>
      <c r="N67" s="6">
        <f>SUM(N68:N88)</f>
        <v>5</v>
      </c>
      <c r="O67" s="6">
        <f>SUM(O68:O88)</f>
        <v>5</v>
      </c>
      <c r="P67" s="24">
        <v>7</v>
      </c>
      <c r="Q67" s="34" t="s">
        <v>28</v>
      </c>
      <c r="R67" s="48"/>
    </row>
    <row r="68" spans="1:18" ht="17.25" x14ac:dyDescent="0.25">
      <c r="A68" s="39" t="s">
        <v>1</v>
      </c>
      <c r="B68" s="7">
        <f t="shared" ref="B68:B88" si="5">SUM(C68:R68)</f>
        <v>229</v>
      </c>
      <c r="C68" s="10">
        <v>43</v>
      </c>
      <c r="D68" s="10">
        <v>104</v>
      </c>
      <c r="E68" s="10">
        <v>19</v>
      </c>
      <c r="F68" s="10">
        <v>14</v>
      </c>
      <c r="G68" s="10">
        <v>7</v>
      </c>
      <c r="H68" s="10">
        <v>4</v>
      </c>
      <c r="I68" s="10">
        <v>6</v>
      </c>
      <c r="J68" s="10">
        <v>4</v>
      </c>
      <c r="K68" s="10">
        <v>6</v>
      </c>
      <c r="L68" s="10">
        <v>1</v>
      </c>
      <c r="M68" s="10">
        <v>6</v>
      </c>
      <c r="N68" s="10">
        <v>4</v>
      </c>
      <c r="O68" s="10">
        <v>5</v>
      </c>
      <c r="P68" s="24">
        <v>6</v>
      </c>
      <c r="Q68" s="34"/>
      <c r="R68" s="50"/>
    </row>
    <row r="69" spans="1:18" ht="18" x14ac:dyDescent="0.45">
      <c r="A69" s="40" t="s">
        <v>29</v>
      </c>
      <c r="B69" s="7">
        <f t="shared" si="5"/>
        <v>28</v>
      </c>
      <c r="C69" s="10">
        <v>13</v>
      </c>
      <c r="D69" s="10">
        <v>14</v>
      </c>
      <c r="E69" s="10">
        <v>0</v>
      </c>
      <c r="F69" s="10">
        <v>1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24">
        <v>0</v>
      </c>
      <c r="Q69" s="35" t="s">
        <v>30</v>
      </c>
      <c r="R69" s="50"/>
    </row>
    <row r="70" spans="1:18" ht="18" x14ac:dyDescent="0.45">
      <c r="A70" s="40" t="s">
        <v>31</v>
      </c>
      <c r="B70" s="7">
        <f t="shared" si="5"/>
        <v>21</v>
      </c>
      <c r="C70" s="10">
        <v>11</v>
      </c>
      <c r="D70" s="10">
        <v>8</v>
      </c>
      <c r="E70" s="10">
        <v>0</v>
      </c>
      <c r="F70" s="10">
        <v>2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24">
        <v>0</v>
      </c>
      <c r="Q70" s="35" t="s">
        <v>32</v>
      </c>
      <c r="R70" s="50"/>
    </row>
    <row r="71" spans="1:18" ht="18" x14ac:dyDescent="0.45">
      <c r="A71" s="40" t="s">
        <v>33</v>
      </c>
      <c r="B71" s="7">
        <f t="shared" si="5"/>
        <v>20</v>
      </c>
      <c r="C71" s="10">
        <v>10</v>
      </c>
      <c r="D71" s="10">
        <v>9</v>
      </c>
      <c r="E71" s="10">
        <v>0</v>
      </c>
      <c r="F71" s="10">
        <v>1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24">
        <v>0</v>
      </c>
      <c r="Q71" s="35" t="s">
        <v>34</v>
      </c>
      <c r="R71" s="50"/>
    </row>
    <row r="72" spans="1:18" ht="18" x14ac:dyDescent="0.45">
      <c r="A72" s="40" t="s">
        <v>35</v>
      </c>
      <c r="B72" s="7">
        <f t="shared" si="5"/>
        <v>26</v>
      </c>
      <c r="C72" s="10">
        <v>9</v>
      </c>
      <c r="D72" s="10">
        <v>10</v>
      </c>
      <c r="E72" s="10">
        <v>0</v>
      </c>
      <c r="F72" s="10">
        <v>7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24">
        <v>0</v>
      </c>
      <c r="Q72" s="35" t="s">
        <v>36</v>
      </c>
      <c r="R72" s="50"/>
    </row>
    <row r="73" spans="1:18" ht="18" x14ac:dyDescent="0.45">
      <c r="A73" s="40" t="s">
        <v>37</v>
      </c>
      <c r="B73" s="7">
        <f t="shared" si="5"/>
        <v>37</v>
      </c>
      <c r="C73" s="10">
        <v>15</v>
      </c>
      <c r="D73" s="10">
        <v>17</v>
      </c>
      <c r="E73" s="10">
        <v>0</v>
      </c>
      <c r="F73" s="10">
        <v>4</v>
      </c>
      <c r="G73" s="10">
        <v>0</v>
      </c>
      <c r="H73" s="10">
        <v>0</v>
      </c>
      <c r="I73" s="10">
        <v>1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24">
        <v>0</v>
      </c>
      <c r="Q73" s="35" t="s">
        <v>38</v>
      </c>
      <c r="R73" s="50"/>
    </row>
    <row r="74" spans="1:18" ht="18" x14ac:dyDescent="0.45">
      <c r="A74" s="40" t="s">
        <v>39</v>
      </c>
      <c r="B74" s="7">
        <f t="shared" si="5"/>
        <v>31</v>
      </c>
      <c r="C74" s="10">
        <v>10</v>
      </c>
      <c r="D74" s="10">
        <v>11</v>
      </c>
      <c r="E74" s="10">
        <v>0</v>
      </c>
      <c r="F74" s="10">
        <v>10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24">
        <v>0</v>
      </c>
      <c r="Q74" s="35" t="s">
        <v>40</v>
      </c>
      <c r="R74" s="50"/>
    </row>
    <row r="75" spans="1:18" ht="18" x14ac:dyDescent="0.45">
      <c r="A75" s="40" t="s">
        <v>41</v>
      </c>
      <c r="B75" s="7">
        <f t="shared" si="5"/>
        <v>14</v>
      </c>
      <c r="C75" s="10">
        <v>5</v>
      </c>
      <c r="D75" s="10">
        <v>8</v>
      </c>
      <c r="E75" s="10">
        <v>0</v>
      </c>
      <c r="F75" s="10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24">
        <v>0</v>
      </c>
      <c r="Q75" s="35" t="s">
        <v>42</v>
      </c>
      <c r="R75" s="50"/>
    </row>
    <row r="76" spans="1:18" ht="18" x14ac:dyDescent="0.45">
      <c r="A76" s="40" t="s">
        <v>43</v>
      </c>
      <c r="B76" s="7">
        <f t="shared" si="5"/>
        <v>24</v>
      </c>
      <c r="C76" s="10">
        <v>7</v>
      </c>
      <c r="D76" s="10">
        <v>14</v>
      </c>
      <c r="E76" s="10">
        <v>0</v>
      </c>
      <c r="F76" s="10">
        <v>2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1</v>
      </c>
      <c r="M76" s="10">
        <v>0</v>
      </c>
      <c r="N76" s="10">
        <v>0</v>
      </c>
      <c r="O76" s="10">
        <v>0</v>
      </c>
      <c r="P76" s="24">
        <v>0</v>
      </c>
      <c r="Q76" s="35" t="s">
        <v>44</v>
      </c>
      <c r="R76" s="50"/>
    </row>
    <row r="77" spans="1:18" ht="18" x14ac:dyDescent="0.45">
      <c r="A77" s="40" t="s">
        <v>45</v>
      </c>
      <c r="B77" s="7">
        <f t="shared" si="5"/>
        <v>13</v>
      </c>
      <c r="C77" s="10">
        <v>1</v>
      </c>
      <c r="D77" s="10">
        <v>10</v>
      </c>
      <c r="E77" s="10">
        <v>0</v>
      </c>
      <c r="F77" s="10">
        <v>2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24">
        <v>0</v>
      </c>
      <c r="Q77" s="35" t="s">
        <v>46</v>
      </c>
      <c r="R77" s="50"/>
    </row>
    <row r="78" spans="1:18" ht="18" x14ac:dyDescent="0.45">
      <c r="A78" s="40" t="s">
        <v>47</v>
      </c>
      <c r="B78" s="7">
        <f t="shared" si="5"/>
        <v>20</v>
      </c>
      <c r="C78" s="10">
        <v>7</v>
      </c>
      <c r="D78" s="10">
        <v>8</v>
      </c>
      <c r="E78" s="10">
        <v>0</v>
      </c>
      <c r="F78" s="10">
        <v>3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1</v>
      </c>
      <c r="N78" s="10">
        <v>0</v>
      </c>
      <c r="O78" s="10">
        <v>0</v>
      </c>
      <c r="P78" s="24">
        <v>1</v>
      </c>
      <c r="Q78" s="35" t="s">
        <v>48</v>
      </c>
      <c r="R78" s="50"/>
    </row>
    <row r="79" spans="1:18" ht="18" x14ac:dyDescent="0.45">
      <c r="A79" s="40" t="s">
        <v>49</v>
      </c>
      <c r="B79" s="7">
        <f t="shared" si="5"/>
        <v>5</v>
      </c>
      <c r="C79" s="10">
        <v>0</v>
      </c>
      <c r="D79" s="10">
        <v>3</v>
      </c>
      <c r="E79" s="10">
        <v>0</v>
      </c>
      <c r="F79" s="10">
        <v>2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24">
        <v>0</v>
      </c>
      <c r="Q79" s="35" t="s">
        <v>50</v>
      </c>
      <c r="R79" s="50"/>
    </row>
    <row r="80" spans="1:18" ht="18" x14ac:dyDescent="0.45">
      <c r="A80" s="40" t="s">
        <v>51</v>
      </c>
      <c r="B80" s="7">
        <f t="shared" si="5"/>
        <v>8</v>
      </c>
      <c r="C80" s="10">
        <v>4</v>
      </c>
      <c r="D80" s="10">
        <v>3</v>
      </c>
      <c r="E80" s="10">
        <v>0</v>
      </c>
      <c r="F80" s="10">
        <v>1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24">
        <v>0</v>
      </c>
      <c r="Q80" s="35" t="s">
        <v>52</v>
      </c>
      <c r="R80" s="50"/>
    </row>
    <row r="81" spans="1:19" ht="18" x14ac:dyDescent="0.45">
      <c r="A81" s="40" t="s">
        <v>53</v>
      </c>
      <c r="B81" s="7">
        <f t="shared" si="5"/>
        <v>7</v>
      </c>
      <c r="C81" s="10">
        <v>5</v>
      </c>
      <c r="D81" s="10">
        <v>2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24">
        <v>0</v>
      </c>
      <c r="Q81" s="35" t="s">
        <v>54</v>
      </c>
      <c r="R81" s="50"/>
    </row>
    <row r="82" spans="1:19" ht="18" x14ac:dyDescent="0.45">
      <c r="A82" s="40" t="s">
        <v>55</v>
      </c>
      <c r="B82" s="7">
        <f t="shared" si="5"/>
        <v>10</v>
      </c>
      <c r="C82" s="10">
        <v>1</v>
      </c>
      <c r="D82" s="10">
        <v>9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24">
        <v>0</v>
      </c>
      <c r="Q82" s="35" t="s">
        <v>56</v>
      </c>
      <c r="R82" s="50"/>
    </row>
    <row r="83" spans="1:19" ht="18" x14ac:dyDescent="0.45">
      <c r="A83" s="40" t="s">
        <v>57</v>
      </c>
      <c r="B83" s="7">
        <f t="shared" si="5"/>
        <v>30</v>
      </c>
      <c r="C83" s="10">
        <v>7</v>
      </c>
      <c r="D83" s="10">
        <v>17</v>
      </c>
      <c r="E83" s="10">
        <v>1</v>
      </c>
      <c r="F83" s="10">
        <v>5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24">
        <v>0</v>
      </c>
      <c r="Q83" s="35" t="s">
        <v>58</v>
      </c>
      <c r="R83" s="50"/>
    </row>
    <row r="84" spans="1:19" ht="18" x14ac:dyDescent="0.45">
      <c r="A84" s="40" t="s">
        <v>42</v>
      </c>
      <c r="B84" s="7">
        <f t="shared" si="5"/>
        <v>14</v>
      </c>
      <c r="C84" s="10">
        <v>2</v>
      </c>
      <c r="D84" s="10">
        <v>8</v>
      </c>
      <c r="E84" s="10">
        <v>0</v>
      </c>
      <c r="F84" s="10">
        <v>3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1</v>
      </c>
      <c r="O84" s="10">
        <v>0</v>
      </c>
      <c r="P84" s="24">
        <v>0</v>
      </c>
      <c r="Q84" s="35" t="s">
        <v>59</v>
      </c>
      <c r="R84" s="50"/>
    </row>
    <row r="85" spans="1:19" ht="18" x14ac:dyDescent="0.45">
      <c r="A85" s="40" t="s">
        <v>60</v>
      </c>
      <c r="B85" s="7">
        <f t="shared" si="5"/>
        <v>23</v>
      </c>
      <c r="C85" s="10">
        <v>4</v>
      </c>
      <c r="D85" s="10">
        <v>15</v>
      </c>
      <c r="E85" s="10">
        <v>0</v>
      </c>
      <c r="F85" s="10">
        <v>4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24">
        <v>0</v>
      </c>
      <c r="Q85" s="35" t="s">
        <v>61</v>
      </c>
      <c r="R85" s="50"/>
    </row>
    <row r="86" spans="1:19" ht="18" x14ac:dyDescent="0.45">
      <c r="A86" s="40" t="s">
        <v>62</v>
      </c>
      <c r="B86" s="7">
        <f t="shared" si="5"/>
        <v>28</v>
      </c>
      <c r="C86" s="10">
        <v>10</v>
      </c>
      <c r="D86" s="10">
        <v>12</v>
      </c>
      <c r="E86" s="10">
        <v>0</v>
      </c>
      <c r="F86" s="10">
        <v>6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24">
        <v>0</v>
      </c>
      <c r="Q86" s="35" t="s">
        <v>63</v>
      </c>
      <c r="R86" s="50"/>
    </row>
    <row r="87" spans="1:19" ht="18" x14ac:dyDescent="0.45">
      <c r="A87" s="40" t="s">
        <v>64</v>
      </c>
      <c r="B87" s="7">
        <f t="shared" si="5"/>
        <v>4</v>
      </c>
      <c r="C87" s="10">
        <v>3</v>
      </c>
      <c r="D87" s="10">
        <v>0</v>
      </c>
      <c r="E87" s="10">
        <v>0</v>
      </c>
      <c r="F87" s="10">
        <v>1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24">
        <v>0</v>
      </c>
      <c r="Q87" s="35" t="s">
        <v>35</v>
      </c>
      <c r="R87" s="50"/>
    </row>
    <row r="88" spans="1:19" ht="18" x14ac:dyDescent="0.45">
      <c r="A88" s="41" t="s">
        <v>34</v>
      </c>
      <c r="B88" s="42">
        <f t="shared" si="5"/>
        <v>5</v>
      </c>
      <c r="C88" s="12">
        <v>1</v>
      </c>
      <c r="D88" s="12">
        <v>3</v>
      </c>
      <c r="E88" s="12">
        <v>0</v>
      </c>
      <c r="F88" s="12">
        <v>1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25">
        <v>0</v>
      </c>
      <c r="P88" s="57">
        <v>0</v>
      </c>
      <c r="Q88" s="43" t="s">
        <v>65</v>
      </c>
      <c r="R88" s="50"/>
    </row>
    <row r="89" spans="1:19" ht="18" x14ac:dyDescent="0.45">
      <c r="A89" s="13" t="s">
        <v>95</v>
      </c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44" t="s">
        <v>96</v>
      </c>
      <c r="R89" s="51"/>
      <c r="S89" s="51"/>
    </row>
    <row r="90" spans="1:19" ht="18.75" x14ac:dyDescent="0.25">
      <c r="A90" s="72" t="s">
        <v>98</v>
      </c>
      <c r="C90" s="18"/>
      <c r="D90" s="18"/>
      <c r="E90" s="18"/>
      <c r="F90" s="18"/>
      <c r="H90" s="17"/>
      <c r="L90" s="19"/>
      <c r="M90" s="19"/>
      <c r="N90" s="19"/>
      <c r="O90" s="19"/>
      <c r="P90" s="19"/>
      <c r="Q90" s="73" t="s">
        <v>97</v>
      </c>
      <c r="S90" s="52"/>
    </row>
    <row r="91" spans="1:19" ht="17.25" x14ac:dyDescent="0.25">
      <c r="A91" s="16" t="s">
        <v>67</v>
      </c>
      <c r="B91" s="26"/>
      <c r="I91" s="4"/>
      <c r="J91" s="1"/>
      <c r="Q91" s="29" t="s">
        <v>68</v>
      </c>
    </row>
    <row r="92" spans="1:19" ht="17.25" x14ac:dyDescent="0.25">
      <c r="A92" s="16"/>
      <c r="B92" s="26"/>
      <c r="I92" s="4"/>
      <c r="J92" s="1"/>
      <c r="Q92" s="29"/>
    </row>
    <row r="93" spans="1:19" x14ac:dyDescent="0.25">
      <c r="I93" s="4"/>
      <c r="J93" s="1"/>
    </row>
    <row r="94" spans="1:19" x14ac:dyDescent="0.25">
      <c r="I94" s="4"/>
      <c r="J94" s="1"/>
    </row>
    <row r="95" spans="1:19" x14ac:dyDescent="0.25">
      <c r="I95" s="4"/>
      <c r="J95" s="1"/>
    </row>
    <row r="101" spans="2:26" x14ac:dyDescent="0.25">
      <c r="B101" s="2"/>
    </row>
    <row r="102" spans="2:26" x14ac:dyDescent="0.25">
      <c r="B102" s="2"/>
      <c r="M102" s="30"/>
      <c r="U102" s="61"/>
      <c r="V102" s="61"/>
      <c r="W102" s="61"/>
      <c r="X102" s="61"/>
      <c r="Y102" s="61"/>
      <c r="Z102" s="61"/>
    </row>
    <row r="103" spans="2:26" ht="15" x14ac:dyDescent="0.25">
      <c r="B103" s="2"/>
      <c r="M103" s="30"/>
      <c r="U103" s="62"/>
      <c r="V103" s="62"/>
      <c r="W103" s="62"/>
      <c r="X103" s="62"/>
      <c r="Y103" s="62"/>
      <c r="Z103" s="62"/>
    </row>
    <row r="104" spans="2:26" ht="15" x14ac:dyDescent="0.25">
      <c r="M104" s="30"/>
      <c r="U104" s="62"/>
      <c r="V104" s="62"/>
      <c r="W104" s="62"/>
      <c r="X104" s="62"/>
      <c r="Y104" s="62"/>
      <c r="Z104" s="62"/>
    </row>
    <row r="105" spans="2:26" ht="15" x14ac:dyDescent="0.25">
      <c r="M105" s="30"/>
      <c r="U105" s="63"/>
      <c r="V105" s="63"/>
      <c r="W105" s="63"/>
      <c r="X105" s="63"/>
      <c r="Y105" s="63"/>
      <c r="Z105" s="63"/>
    </row>
    <row r="106" spans="2:26" ht="15" x14ac:dyDescent="0.25">
      <c r="M106" s="30"/>
      <c r="U106" s="62"/>
      <c r="V106" s="62"/>
      <c r="W106" s="62"/>
      <c r="X106" s="62"/>
      <c r="Y106" s="62"/>
      <c r="Z106" s="62"/>
    </row>
    <row r="107" spans="2:26" ht="15" x14ac:dyDescent="0.25">
      <c r="M107" s="30"/>
      <c r="U107" s="62"/>
      <c r="V107" s="62"/>
      <c r="W107" s="62"/>
      <c r="X107" s="62"/>
      <c r="Y107" s="62"/>
      <c r="Z107" s="62"/>
    </row>
    <row r="108" spans="2:26" ht="15" x14ac:dyDescent="0.25">
      <c r="M108" s="30"/>
      <c r="U108" s="62"/>
      <c r="V108" s="62"/>
      <c r="W108" s="62"/>
      <c r="X108" s="62"/>
      <c r="Y108" s="62"/>
      <c r="Z108" s="62"/>
    </row>
    <row r="109" spans="2:26" ht="15" x14ac:dyDescent="0.25">
      <c r="M109" s="30"/>
      <c r="U109" s="62"/>
      <c r="V109" s="62"/>
      <c r="W109" s="62"/>
      <c r="X109" s="62"/>
      <c r="Y109" s="62"/>
      <c r="Z109" s="62"/>
    </row>
    <row r="110" spans="2:26" x14ac:dyDescent="0.25">
      <c r="M110" s="30"/>
    </row>
    <row r="111" spans="2:26" x14ac:dyDescent="0.25">
      <c r="M111" s="30"/>
    </row>
    <row r="112" spans="2:26" x14ac:dyDescent="0.25">
      <c r="M112" s="30"/>
    </row>
    <row r="113" spans="13:27" x14ac:dyDescent="0.25">
      <c r="M113" s="30"/>
    </row>
    <row r="114" spans="13:27" x14ac:dyDescent="0.25">
      <c r="M114" s="30"/>
      <c r="Y114" s="45">
        <v>2016</v>
      </c>
      <c r="Z114" s="45">
        <v>2017</v>
      </c>
      <c r="AA114" s="45">
        <v>2018</v>
      </c>
    </row>
    <row r="115" spans="13:27" ht="15" x14ac:dyDescent="0.25">
      <c r="M115" s="30"/>
      <c r="X115" s="62" t="s">
        <v>11</v>
      </c>
      <c r="Y115" s="62">
        <v>597</v>
      </c>
      <c r="Z115" s="62">
        <v>688</v>
      </c>
      <c r="AA115" s="62">
        <v>648</v>
      </c>
    </row>
    <row r="116" spans="13:27" ht="15" x14ac:dyDescent="0.25">
      <c r="M116" s="30"/>
      <c r="X116" s="62" t="s">
        <v>12</v>
      </c>
      <c r="Y116" s="62">
        <v>168</v>
      </c>
      <c r="Z116" s="62">
        <v>152</v>
      </c>
      <c r="AA116" s="62">
        <v>134</v>
      </c>
    </row>
    <row r="117" spans="13:27" ht="18" customHeight="1" x14ac:dyDescent="0.25">
      <c r="M117" s="30"/>
      <c r="X117" s="62" t="s">
        <v>13</v>
      </c>
      <c r="Y117" s="62">
        <v>285</v>
      </c>
      <c r="Z117" s="62">
        <v>366</v>
      </c>
      <c r="AA117" s="62">
        <v>367</v>
      </c>
    </row>
    <row r="118" spans="13:27" ht="15" x14ac:dyDescent="0.25">
      <c r="M118" s="30"/>
      <c r="X118" s="62" t="s">
        <v>14</v>
      </c>
      <c r="Y118" s="62">
        <v>20</v>
      </c>
      <c r="Z118" s="62">
        <v>8</v>
      </c>
      <c r="AA118" s="62">
        <v>0</v>
      </c>
    </row>
    <row r="119" spans="13:27" ht="15" x14ac:dyDescent="0.25">
      <c r="M119" s="30"/>
      <c r="X119" s="62" t="s">
        <v>70</v>
      </c>
      <c r="Y119" s="62">
        <v>70</v>
      </c>
      <c r="Z119" s="62">
        <v>82</v>
      </c>
      <c r="AA119" s="62">
        <v>54</v>
      </c>
    </row>
    <row r="120" spans="13:27" ht="15" x14ac:dyDescent="0.25">
      <c r="M120" s="30"/>
      <c r="X120" s="62" t="s">
        <v>16</v>
      </c>
      <c r="Y120" s="62">
        <v>7</v>
      </c>
      <c r="Z120" s="62">
        <v>12</v>
      </c>
      <c r="AA120" s="62">
        <v>11</v>
      </c>
    </row>
    <row r="121" spans="13:27" x14ac:dyDescent="0.25">
      <c r="M121" s="30"/>
      <c r="X121" s="45" t="s">
        <v>17</v>
      </c>
      <c r="Y121" s="45">
        <v>4</v>
      </c>
      <c r="Z121" s="45">
        <v>2</v>
      </c>
      <c r="AA121" s="45">
        <v>4</v>
      </c>
    </row>
    <row r="122" spans="13:27" x14ac:dyDescent="0.25">
      <c r="M122" s="30"/>
      <c r="X122" s="45" t="s">
        <v>19</v>
      </c>
      <c r="Y122" s="45">
        <v>7</v>
      </c>
      <c r="Z122" s="45">
        <v>22</v>
      </c>
      <c r="AA122" s="45">
        <v>27</v>
      </c>
    </row>
    <row r="123" spans="13:27" x14ac:dyDescent="0.25">
      <c r="M123" s="30"/>
      <c r="X123" s="45" t="s">
        <v>20</v>
      </c>
      <c r="Y123" s="45">
        <v>4</v>
      </c>
      <c r="Z123" s="45">
        <v>3</v>
      </c>
      <c r="AA123" s="45">
        <v>2</v>
      </c>
    </row>
    <row r="124" spans="13:27" x14ac:dyDescent="0.25">
      <c r="M124" s="30"/>
      <c r="X124" s="45" t="s">
        <v>21</v>
      </c>
      <c r="Y124" s="45">
        <v>6</v>
      </c>
      <c r="Z124" s="45">
        <v>9</v>
      </c>
      <c r="AA124" s="45">
        <v>4</v>
      </c>
    </row>
    <row r="125" spans="13:27" x14ac:dyDescent="0.25">
      <c r="M125" s="30"/>
      <c r="X125" s="45" t="s">
        <v>86</v>
      </c>
      <c r="Y125" s="45">
        <v>2</v>
      </c>
      <c r="Z125" s="45">
        <v>0</v>
      </c>
      <c r="AA125" s="45">
        <v>2</v>
      </c>
    </row>
    <row r="126" spans="13:27" x14ac:dyDescent="0.25">
      <c r="M126" s="30"/>
      <c r="X126" s="45" t="s">
        <v>23</v>
      </c>
      <c r="Y126" s="45">
        <v>1</v>
      </c>
      <c r="Z126" s="45">
        <v>3</v>
      </c>
      <c r="AA126" s="45">
        <v>1</v>
      </c>
    </row>
    <row r="127" spans="13:27" x14ac:dyDescent="0.25">
      <c r="M127" s="30"/>
      <c r="X127" s="45" t="s">
        <v>24</v>
      </c>
      <c r="Y127" s="45">
        <v>7</v>
      </c>
      <c r="Z127" s="45">
        <v>3</v>
      </c>
      <c r="AA127" s="45">
        <v>1</v>
      </c>
    </row>
    <row r="128" spans="13:27" x14ac:dyDescent="0.25">
      <c r="M128" s="30"/>
      <c r="X128" s="45" t="s">
        <v>25</v>
      </c>
      <c r="Y128" s="45">
        <v>5</v>
      </c>
      <c r="Z128" s="45">
        <v>9</v>
      </c>
      <c r="AA128" s="45">
        <v>1</v>
      </c>
    </row>
    <row r="129" spans="13:27" x14ac:dyDescent="0.25">
      <c r="M129" s="30"/>
      <c r="X129" s="45" t="s">
        <v>22</v>
      </c>
      <c r="Y129" s="45">
        <v>0</v>
      </c>
      <c r="Z129" s="45">
        <v>15</v>
      </c>
      <c r="AA129" s="45">
        <v>7</v>
      </c>
    </row>
    <row r="130" spans="13:27" x14ac:dyDescent="0.25">
      <c r="M130" s="30"/>
      <c r="X130" s="45" t="s">
        <v>26</v>
      </c>
      <c r="Y130" s="45">
        <v>2</v>
      </c>
      <c r="Z130" s="45">
        <v>0</v>
      </c>
      <c r="AA130" s="45">
        <v>1</v>
      </c>
    </row>
    <row r="131" spans="13:27" x14ac:dyDescent="0.25">
      <c r="M131" s="30"/>
      <c r="X131" s="45" t="s">
        <v>74</v>
      </c>
      <c r="Y131" s="45">
        <v>3</v>
      </c>
      <c r="Z131" s="45">
        <v>0</v>
      </c>
      <c r="AA131" s="45">
        <v>0</v>
      </c>
    </row>
    <row r="132" spans="13:27" x14ac:dyDescent="0.25">
      <c r="X132" s="45" t="s">
        <v>71</v>
      </c>
      <c r="Y132" s="45">
        <v>1</v>
      </c>
      <c r="Z132" s="45">
        <v>2</v>
      </c>
      <c r="AA132" s="45">
        <v>0</v>
      </c>
    </row>
    <row r="133" spans="13:27" x14ac:dyDescent="0.25">
      <c r="X133" s="45" t="s">
        <v>75</v>
      </c>
      <c r="Y133" s="45">
        <v>5</v>
      </c>
      <c r="Z133" s="45">
        <v>0</v>
      </c>
      <c r="AA133" s="45">
        <v>0</v>
      </c>
    </row>
    <row r="134" spans="13:27" x14ac:dyDescent="0.25">
      <c r="X134" s="45" t="s">
        <v>87</v>
      </c>
      <c r="Y134" s="45">
        <v>0</v>
      </c>
      <c r="Z134" s="45">
        <v>0</v>
      </c>
      <c r="AA134" s="45">
        <v>32</v>
      </c>
    </row>
    <row r="138" spans="13:27" x14ac:dyDescent="0.25">
      <c r="X138" s="45" t="s">
        <v>11</v>
      </c>
      <c r="Y138" s="45">
        <v>648</v>
      </c>
    </row>
    <row r="139" spans="13:27" x14ac:dyDescent="0.25">
      <c r="X139" s="45" t="s">
        <v>12</v>
      </c>
      <c r="Y139" s="45">
        <v>134</v>
      </c>
    </row>
    <row r="140" spans="13:27" x14ac:dyDescent="0.25">
      <c r="X140" s="45" t="s">
        <v>13</v>
      </c>
      <c r="Y140" s="45">
        <v>367</v>
      </c>
    </row>
    <row r="141" spans="13:27" x14ac:dyDescent="0.25">
      <c r="X141" s="45" t="s">
        <v>70</v>
      </c>
      <c r="Y141" s="45">
        <v>54</v>
      </c>
    </row>
    <row r="142" spans="13:27" x14ac:dyDescent="0.25">
      <c r="X142" s="45" t="s">
        <v>87</v>
      </c>
      <c r="Y142" s="45">
        <v>32</v>
      </c>
    </row>
    <row r="143" spans="13:27" x14ac:dyDescent="0.25">
      <c r="X143" s="45" t="s">
        <v>19</v>
      </c>
      <c r="Y143" s="45">
        <v>27</v>
      </c>
    </row>
    <row r="144" spans="13:27" x14ac:dyDescent="0.25">
      <c r="X144" s="45" t="s">
        <v>16</v>
      </c>
      <c r="Y144" s="45">
        <v>11</v>
      </c>
    </row>
    <row r="145" spans="24:25" x14ac:dyDescent="0.25">
      <c r="X145" s="45" t="s">
        <v>18</v>
      </c>
      <c r="Y145" s="45">
        <v>23</v>
      </c>
    </row>
  </sheetData>
  <mergeCells count="12">
    <mergeCell ref="A1:O1"/>
    <mergeCell ref="A2:O2"/>
    <mergeCell ref="A65:A66"/>
    <mergeCell ref="Q65:Q66"/>
    <mergeCell ref="A4:A5"/>
    <mergeCell ref="A35:A36"/>
    <mergeCell ref="Q35:Q36"/>
    <mergeCell ref="O4:O5"/>
    <mergeCell ref="A32:Q32"/>
    <mergeCell ref="A33:Q33"/>
    <mergeCell ref="A62:Q62"/>
    <mergeCell ref="A63:Q63"/>
  </mergeCells>
  <pageMargins left="0.7" right="0.7" top="0.75" bottom="0.75" header="0.3" footer="0.3"/>
  <pageSetup paperSize="9" scale="59" orientation="landscape" horizontalDpi="4294967295" verticalDpi="4294967295" r:id="rId1"/>
  <rowBreaks count="3" manualBreakCount="3">
    <brk id="30" max="16" man="1"/>
    <brk id="60" max="16" man="1"/>
    <brk id="92" max="1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</vt:lpstr>
      <vt:lpstr>'11.1'!Print_Area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2019-05-13T04:54:28Z</cp:lastPrinted>
  <dcterms:created xsi:type="dcterms:W3CDTF">2019-03-24T03:32:16Z</dcterms:created>
  <dcterms:modified xsi:type="dcterms:W3CDTF">2019-05-13T04:56:01Z</dcterms:modified>
</cp:coreProperties>
</file>