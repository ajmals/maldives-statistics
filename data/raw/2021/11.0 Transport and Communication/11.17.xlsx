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17" sheetId="5" r:id="rId2"/>
  </sheets>
  <externalReferences>
    <externalReference r:id="rId3"/>
  </externalReferences>
  <definedNames>
    <definedName name="_xlnm.Print_Area" localSheetId="1">'11.17'!$A$1:$BY$27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7" i="5" l="1"/>
  <c r="BS7" i="5"/>
  <c r="BM7" i="5"/>
  <c r="BF7" i="5"/>
  <c r="AY7" i="5" l="1"/>
  <c r="AG7" i="5"/>
  <c r="AH7" i="5"/>
  <c r="AI7" i="5"/>
  <c r="AJ7" i="5"/>
  <c r="AK7" i="5"/>
  <c r="AL7" i="5"/>
  <c r="AM7" i="5"/>
  <c r="AN7" i="5"/>
  <c r="AO7" i="5"/>
  <c r="AP7" i="5"/>
  <c r="AF7" i="5"/>
  <c r="AE18" i="5"/>
  <c r="AE17" i="5"/>
  <c r="AE16" i="5"/>
  <c r="AC17" i="5"/>
  <c r="AC16" i="5"/>
  <c r="AC15" i="5"/>
  <c r="AC14" i="5"/>
  <c r="AC13" i="5"/>
  <c r="AC12" i="5"/>
  <c r="AC11" i="5"/>
  <c r="AC10" i="5"/>
  <c r="AC9" i="5"/>
  <c r="AC8" i="5"/>
  <c r="AB19" i="5"/>
  <c r="AB18" i="5"/>
  <c r="AB16" i="5"/>
  <c r="AB14" i="5"/>
  <c r="AB13" i="5"/>
  <c r="AB12" i="5"/>
  <c r="AA17" i="5"/>
  <c r="AA15" i="5"/>
  <c r="AA14" i="5"/>
  <c r="AA9" i="5"/>
  <c r="Z10" i="5"/>
  <c r="Z9" i="5"/>
  <c r="Y17" i="5"/>
  <c r="Y16" i="5"/>
  <c r="Y15" i="5"/>
  <c r="Y14" i="5"/>
  <c r="Y13" i="5"/>
  <c r="Y12" i="5"/>
  <c r="Y11" i="5"/>
  <c r="Y10" i="5"/>
  <c r="X19" i="5"/>
  <c r="X18" i="5"/>
  <c r="X17" i="5"/>
  <c r="X16" i="5"/>
  <c r="X15" i="5"/>
  <c r="X14" i="5"/>
  <c r="X13" i="5"/>
  <c r="X12" i="5"/>
  <c r="X11" i="5"/>
  <c r="X10" i="5"/>
  <c r="X9" i="5"/>
  <c r="X8" i="5"/>
  <c r="V7" i="5"/>
  <c r="AA7" i="5" l="1"/>
  <c r="AB7" i="5"/>
  <c r="Z7" i="5"/>
  <c r="L7" i="5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V7" i="5" l="1"/>
  <c r="BU7" i="5"/>
  <c r="BT7" i="5"/>
  <c r="BR7" i="5"/>
  <c r="BQ7" i="5"/>
  <c r="BP7" i="5"/>
  <c r="BO7" i="5"/>
  <c r="BN7" i="5"/>
  <c r="BL7" i="5"/>
  <c r="BK7" i="5"/>
  <c r="BJ7" i="5"/>
  <c r="BI7" i="5"/>
  <c r="BH7" i="5"/>
  <c r="BG7" i="5"/>
  <c r="BE7" i="5"/>
  <c r="BD7" i="5"/>
  <c r="BC7" i="5"/>
  <c r="BB7" i="5"/>
  <c r="BA7" i="5"/>
  <c r="AZ7" i="5"/>
  <c r="AX7" i="5"/>
  <c r="AW7" i="5"/>
  <c r="AV7" i="5"/>
  <c r="AU7" i="5"/>
  <c r="AT7" i="5"/>
  <c r="AS7" i="5"/>
  <c r="AR7" i="5"/>
  <c r="AQ7" i="5"/>
  <c r="AE7" i="5"/>
  <c r="AD7" i="5"/>
  <c r="AC7" i="5"/>
  <c r="Y7" i="5"/>
  <c r="X7" i="5"/>
  <c r="W7" i="5"/>
  <c r="U7" i="5"/>
  <c r="T7" i="5"/>
  <c r="S7" i="5"/>
  <c r="R7" i="5"/>
  <c r="Q7" i="5"/>
  <c r="P7" i="5"/>
  <c r="O7" i="5"/>
  <c r="N7" i="5"/>
  <c r="M7" i="5"/>
  <c r="K7" i="5"/>
  <c r="J7" i="5"/>
  <c r="I7" i="5"/>
  <c r="H7" i="5"/>
  <c r="G7" i="5"/>
  <c r="F7" i="5"/>
  <c r="E7" i="5"/>
  <c r="D7" i="5"/>
  <c r="C7" i="5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<sst xmlns="http://schemas.openxmlformats.org/spreadsheetml/2006/main" count="321" uniqueCount="72">
  <si>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</si>
  <si>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</si>
  <si>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</si>
  <si>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</si>
  <si>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</si>
  <si>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</si>
  <si>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</si>
  <si>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</si>
  <si>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</si>
  <si>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</si>
  <si>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</si>
  <si>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</si>
  <si>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</si>
  <si>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</si>
  <si>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</si>
  <si>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</si>
  <si>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</si>
  <si>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</si>
  <si>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</si>
  <si>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</si>
  <si>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</si>
  <si>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</si>
  <si>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</si>
  <si>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</si>
  <si>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</si>
  <si>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</si>
  <si>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</si>
  <si>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</si>
  <si>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</si>
  <si>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</si>
  <si>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</si>
  <si>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</si>
  <si>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</si>
  <si>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</si>
  <si>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</si>
  <si>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</si>
  <si>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</si>
  <si>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</si>
  <si>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</si>
  <si>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</si>
  <si>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</si>
  <si>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</si>
  <si>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</si>
  <si>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</si>
  <si>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</si>
  <si>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</si>
  <si>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</si>
  <si>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</si>
  <si>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</si>
  <si>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</si>
  <si>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</si>
  <si>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</si>
  <si>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</si>
  <si>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</si>
  <si>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</si>
  <si>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</si>
  <si>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</si>
  <si>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</si>
  <si>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</si>
  <si>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</si>
  <si>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</si>
  <si>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</si>
  <si>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</si>
  <si>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</si>
  <si>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</si>
  <si>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</si>
  <si>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</si>
  <si>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</si>
  <si>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</si>
  <si>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</si>
  <si>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11.17 :  NUMBER OF AIRCRAFT MOVEMENTS AT DOMESTIC AIRPORTS BY MONTH, 2015-2020</t>
  </si>
  <si>
    <t>2020 - 2015 ,cawtcTiawlcf irukurutwd cnukwturwdnwb egiawv egEjcaWr cnutogeguhwmcswm  : 11.17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</si>
</sst>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0"/>
      <name val="A_Reethi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0" fillId="0" borderId="0"/>
    <xf numFmtId="43" fontId="5" fillId="0" borderId="0" applyFont="0" applyFill="0" applyBorder="0" applyAlignment="0" applyProtection="0"/>
    <xf numFmtId="0" fontId="5" fillId="0" borderId="0"/>
  </cellStyleXfs>
  <cellXfs count="17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9" fillId="2" borderId="0" xfId="0" applyNumberFormat="1" applyFont="1" applyFill="1"/>
    <xf numFmtId="164" fontId="10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6" fillId="2" borderId="0" xfId="2" applyNumberFormat="1" applyFont="1" applyFill="1" applyAlignment="1" applyProtection="1">
      <alignment horizontal="left" vertical="center"/>
    </xf>
    <xf numFmtId="0" fontId="14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4" fillId="2" borderId="0" xfId="0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/>
    <xf numFmtId="3" fontId="10" fillId="2" borderId="17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NumberFormat="1" applyFont="1" applyFill="1" applyAlignment="1" applyProtection="1">
      <alignment horizontal="left" vertical="center"/>
    </xf>
    <xf numFmtId="37" fontId="5" fillId="2" borderId="0" xfId="2" applyNumberFormat="1" applyFont="1" applyFill="1" applyAlignment="1" applyProtection="1">
      <alignment vertical="center"/>
    </xf>
    <xf numFmtId="164" fontId="13" fillId="2" borderId="0" xfId="2" applyNumberFormat="1" applyFont="1" applyFill="1" applyBorder="1" applyAlignment="1"/>
    <xf numFmtId="0" fontId="13" fillId="2" borderId="0" xfId="4" applyFont="1" applyFill="1" applyAlignment="1">
      <alignment vertical="center"/>
    </xf>
    <xf numFmtId="164" fontId="3" fillId="2" borderId="0" xfId="2" applyNumberFormat="1" applyFont="1" applyFill="1" applyBorder="1" applyAlignment="1">
      <alignment vertical="center"/>
    </xf>
    <xf numFmtId="164" fontId="6" fillId="2" borderId="0" xfId="2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0" fillId="2" borderId="2" xfId="2" applyNumberFormat="1" applyFont="1" applyFill="1" applyBorder="1" applyAlignment="1" applyProtection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7" fillId="2" borderId="1" xfId="2" applyNumberFormat="1" applyFont="1" applyFill="1" applyBorder="1" applyAlignment="1" applyProtection="1">
      <alignment horizontal="left" vertical="center"/>
    </xf>
    <xf numFmtId="3" fontId="17" fillId="2" borderId="1" xfId="3" applyNumberFormat="1" applyFont="1" applyFill="1" applyBorder="1" applyAlignment="1">
      <alignment horizontal="center" vertical="center"/>
    </xf>
    <xf numFmtId="0" fontId="17" fillId="2" borderId="4" xfId="0" applyNumberFormat="1" applyFont="1" applyFill="1" applyBorder="1" applyAlignment="1">
      <alignment horizontal="center" vertical="center"/>
    </xf>
    <xf numFmtId="0" fontId="17" fillId="2" borderId="36" xfId="0" applyNumberFormat="1" applyFont="1" applyFill="1" applyBorder="1" applyAlignment="1">
      <alignment horizontal="center" vertical="center"/>
    </xf>
    <xf numFmtId="0" fontId="17" fillId="2" borderId="11" xfId="0" applyNumberFormat="1" applyFont="1" applyFill="1" applyBorder="1" applyAlignment="1">
      <alignment horizontal="center" vertical="center"/>
    </xf>
    <xf numFmtId="0" fontId="17" fillId="2" borderId="7" xfId="0" applyNumberFormat="1" applyFont="1" applyFill="1" applyBorder="1" applyAlignment="1">
      <alignment horizontal="center" vertical="center"/>
    </xf>
    <xf numFmtId="3" fontId="17" fillId="2" borderId="7" xfId="3" applyNumberFormat="1" applyFont="1" applyFill="1" applyBorder="1" applyAlignment="1">
      <alignment horizontal="center" vertical="center"/>
    </xf>
    <xf numFmtId="0" fontId="24" fillId="2" borderId="7" xfId="0" applyNumberFormat="1" applyFont="1" applyFill="1" applyBorder="1" applyAlignment="1">
      <alignment horizontal="center" vertical="center"/>
    </xf>
    <xf numFmtId="0" fontId="17" fillId="2" borderId="37" xfId="0" applyNumberFormat="1" applyFont="1" applyFill="1" applyBorder="1" applyAlignment="1">
      <alignment horizontal="center" vertical="center"/>
    </xf>
    <xf numFmtId="164" fontId="17" fillId="2" borderId="5" xfId="2" applyNumberFormat="1" applyFont="1" applyFill="1" applyBorder="1" applyAlignment="1" applyProtection="1">
      <alignment horizontal="left" vertical="center"/>
    </xf>
    <xf numFmtId="3" fontId="17" fillId="2" borderId="5" xfId="3" applyNumberFormat="1" applyFont="1" applyFill="1" applyBorder="1" applyAlignment="1">
      <alignment horizontal="center" vertical="center"/>
    </xf>
    <xf numFmtId="0" fontId="17" fillId="2" borderId="6" xfId="0" applyNumberFormat="1" applyFont="1" applyFill="1" applyBorder="1" applyAlignment="1">
      <alignment horizontal="center" vertical="center"/>
    </xf>
    <xf numFmtId="0" fontId="17" fillId="2" borderId="24" xfId="0" applyNumberFormat="1" applyFont="1" applyFill="1" applyBorder="1" applyAlignment="1">
      <alignment horizontal="center" vertical="center"/>
    </xf>
    <xf numFmtId="0" fontId="17" fillId="2" borderId="12" xfId="0" applyNumberFormat="1" applyFont="1" applyFill="1" applyBorder="1" applyAlignment="1">
      <alignment horizontal="center" vertical="center"/>
    </xf>
    <xf numFmtId="0" fontId="17" fillId="2" borderId="22" xfId="0" applyNumberFormat="1" applyFont="1" applyFill="1" applyBorder="1" applyAlignment="1">
      <alignment horizontal="center" vertical="center"/>
    </xf>
    <xf numFmtId="3" fontId="17" fillId="2" borderId="22" xfId="3" applyNumberFormat="1" applyFont="1" applyFill="1" applyBorder="1" applyAlignment="1">
      <alignment horizontal="center" vertical="center"/>
    </xf>
    <xf numFmtId="0" fontId="17" fillId="2" borderId="23" xfId="0" applyNumberFormat="1" applyFont="1" applyFill="1" applyBorder="1" applyAlignment="1">
      <alignment horizontal="center" vertical="center"/>
    </xf>
    <xf numFmtId="37" fontId="8" fillId="2" borderId="0" xfId="2" applyNumberFormat="1" applyFont="1" applyFill="1" applyBorder="1" applyAlignment="1" applyProtection="1">
      <alignment vertical="center"/>
    </xf>
    <xf numFmtId="164" fontId="15" fillId="2" borderId="0" xfId="2" applyNumberFormat="1" applyFont="1" applyFill="1" applyBorder="1"/>
    <xf numFmtId="0" fontId="7" fillId="2" borderId="0" xfId="2" applyNumberFormat="1" applyFont="1" applyFill="1" applyBorder="1" applyAlignment="1">
      <alignment horizontal="center" vertical="center"/>
    </xf>
    <xf numFmtId="3" fontId="7" fillId="2" borderId="0" xfId="2" applyNumberFormat="1" applyFont="1" applyFill="1" applyBorder="1" applyAlignment="1">
      <alignment horizontal="center" vertical="center"/>
    </xf>
    <xf numFmtId="0" fontId="24" fillId="2" borderId="0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horizontal="center" vertical="center"/>
    </xf>
    <xf numFmtId="164" fontId="17" fillId="2" borderId="1" xfId="2" applyNumberFormat="1" applyFont="1" applyFill="1" applyBorder="1" applyAlignment="1" applyProtection="1">
      <alignment horizontal="left" vertical="center" indent="1"/>
    </xf>
    <xf numFmtId="164" fontId="17" fillId="2" borderId="5" xfId="2" applyNumberFormat="1" applyFont="1" applyFill="1" applyBorder="1" applyAlignment="1" applyProtection="1">
      <alignment horizontal="left" vertical="center" indent="1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31" fillId="2" borderId="0" xfId="2" applyNumberFormat="1" applyFont="1" applyFill="1" applyBorder="1" applyAlignment="1">
      <alignment horizontal="right" vertical="center"/>
    </xf>
    <xf numFmtId="164" fontId="12" fillId="2" borderId="40" xfId="2" applyNumberFormat="1" applyFont="1" applyFill="1" applyBorder="1" applyAlignment="1" applyProtection="1">
      <alignment horizontal="left" vertical="center"/>
    </xf>
    <xf numFmtId="164" fontId="20" fillId="2" borderId="40" xfId="2" applyNumberFormat="1" applyFont="1" applyFill="1" applyBorder="1" applyAlignment="1">
      <alignment horizontal="right" vertical="center"/>
    </xf>
    <xf numFmtId="164" fontId="7" fillId="2" borderId="40" xfId="2" applyNumberFormat="1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27" fillId="2" borderId="0" xfId="0" applyNumberFormat="1" applyFont="1" applyFill="1"/>
    <xf numFmtId="0" fontId="34" fillId="2" borderId="11" xfId="5" applyFont="1" applyFill="1" applyBorder="1" applyAlignment="1">
      <alignment horizontal="right"/>
    </xf>
    <xf numFmtId="0" fontId="34" fillId="2" borderId="12" xfId="5" applyFont="1" applyFill="1" applyBorder="1" applyAlignment="1">
      <alignment horizontal="right"/>
    </xf>
    <xf numFmtId="0" fontId="28" fillId="2" borderId="13" xfId="5" applyFont="1" applyFill="1" applyBorder="1" applyAlignment="1">
      <alignment horizontal="right"/>
    </xf>
    <xf numFmtId="164" fontId="35" fillId="2" borderId="8" xfId="2" applyNumberFormat="1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18" xfId="2" applyNumberFormat="1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6" fillId="2" borderId="17" xfId="2" applyNumberFormat="1" applyFont="1" applyFill="1" applyBorder="1" applyAlignment="1">
      <alignment horizontal="left" vertical="center"/>
    </xf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8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2" fillId="3" borderId="1" xfId="2" applyNumberFormat="1" applyFont="1" applyFill="1" applyBorder="1" applyAlignment="1">
      <alignment horizontal="right" vertical="center"/>
    </xf>
    <xf numFmtId="3" fontId="12" fillId="3" borderId="1" xfId="3" applyNumberFormat="1" applyFont="1" applyFill="1" applyBorder="1" applyAlignment="1">
      <alignment horizontal="right" vertical="center"/>
    </xf>
    <xf numFmtId="3" fontId="12" fillId="3" borderId="0" xfId="2" applyNumberFormat="1" applyFont="1" applyFill="1" applyBorder="1" applyAlignment="1">
      <alignment horizontal="right" vertical="center"/>
    </xf>
    <xf numFmtId="3" fontId="12" fillId="3" borderId="5" xfId="2" applyNumberFormat="1" applyFont="1" applyFill="1" applyBorder="1" applyAlignment="1">
      <alignment horizontal="right" vertical="center"/>
    </xf>
    <xf numFmtId="3" fontId="12" fillId="3" borderId="5" xfId="3" applyNumberFormat="1" applyFont="1" applyFill="1" applyBorder="1" applyAlignment="1">
      <alignment horizontal="right" vertical="center"/>
    </xf>
    <xf numFmtId="3" fontId="12" fillId="3" borderId="40" xfId="2" applyNumberFormat="1" applyFont="1" applyFill="1" applyBorder="1" applyAlignment="1">
      <alignment horizontal="right" vertical="center"/>
    </xf>
    <xf numFmtId="164" fontId="36" fillId="2" borderId="8" xfId="2" applyNumberFormat="1" applyFont="1" applyFill="1" applyBorder="1" applyAlignment="1">
      <alignment horizontal="center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41" fillId="2" borderId="17" xfId="2" applyNumberFormat="1" applyFont="1" applyFill="1" applyBorder="1" applyAlignment="1">
      <alignment horizontal="left" vertical="center"/>
    </xf>
    <xf numFmtId="164" fontId="41" fillId="2" borderId="18" xfId="2" applyNumberFormat="1" applyFont="1" applyFill="1" applyBorder="1" applyAlignment="1">
      <alignment vertical="center"/>
    </xf>
    <xf numFmtId="164" fontId="32" fillId="2" borderId="18" xfId="2" applyNumberFormat="1" applyFont="1" applyFill="1" applyBorder="1" applyAlignment="1">
      <alignment vertical="center"/>
    </xf>
    <xf numFmtId="164" fontId="25" fillId="2" borderId="1" xfId="2" applyNumberFormat="1" applyFont="1" applyFill="1" applyBorder="1" applyAlignment="1">
      <alignment horizontal="center" vertical="center"/>
    </xf>
    <xf numFmtId="164" fontId="25" fillId="2" borderId="22" xfId="2" applyNumberFormat="1" applyFont="1" applyFill="1" applyBorder="1" applyAlignment="1">
      <alignment vertical="center" wrapText="1"/>
    </xf>
    <xf numFmtId="164" fontId="26" fillId="2" borderId="5" xfId="2" applyNumberFormat="1" applyFont="1" applyFill="1" applyBorder="1" applyAlignment="1">
      <alignment horizontal="left" vertical="center"/>
    </xf>
    <xf numFmtId="0" fontId="42" fillId="2" borderId="26" xfId="2" applyNumberFormat="1" applyFont="1" applyFill="1" applyBorder="1" applyAlignment="1">
      <alignment horizontal="center" vertical="center"/>
    </xf>
    <xf numFmtId="0" fontId="42" fillId="2" borderId="27" xfId="2" applyNumberFormat="1" applyFont="1" applyFill="1" applyBorder="1" applyAlignment="1">
      <alignment horizontal="center" vertical="center"/>
    </xf>
    <xf numFmtId="0" fontId="42" fillId="2" borderId="28" xfId="2" applyNumberFormat="1" applyFont="1" applyFill="1" applyBorder="1" applyAlignment="1">
      <alignment horizontal="center" vertical="center"/>
    </xf>
    <xf numFmtId="0" fontId="42" fillId="2" borderId="29" xfId="2" applyNumberFormat="1" applyFont="1" applyFill="1" applyBorder="1" applyAlignment="1">
      <alignment horizontal="center" vertical="center"/>
    </xf>
    <xf numFmtId="0" fontId="42" fillId="2" borderId="30" xfId="2" applyNumberFormat="1" applyFont="1" applyFill="1" applyBorder="1" applyAlignment="1">
      <alignment horizontal="center" vertical="center"/>
    </xf>
    <xf numFmtId="0" fontId="42" fillId="2" borderId="31" xfId="2" applyNumberFormat="1" applyFont="1" applyFill="1" applyBorder="1" applyAlignment="1">
      <alignment horizontal="center" vertical="center"/>
    </xf>
    <xf numFmtId="0" fontId="42" fillId="2" borderId="40" xfId="2" applyNumberFormat="1" applyFont="1" applyFill="1" applyBorder="1" applyAlignment="1">
      <alignment horizontal="center" vertical="center"/>
    </xf>
    <xf numFmtId="0" fontId="42" fillId="2" borderId="32" xfId="2" applyNumberFormat="1" applyFont="1" applyFill="1" applyBorder="1" applyAlignment="1">
      <alignment horizontal="center" vertical="center"/>
    </xf>
    <xf numFmtId="0" fontId="7" fillId="2" borderId="43" xfId="2" applyNumberFormat="1" applyFont="1" applyFill="1" applyBorder="1" applyAlignment="1">
      <alignment horizontal="center" vertical="center"/>
    </xf>
    <xf numFmtId="3" fontId="7" fillId="2" borderId="44" xfId="2" applyNumberFormat="1" applyFont="1" applyFill="1" applyBorder="1" applyAlignment="1">
      <alignment horizontal="center" vertical="center"/>
    </xf>
    <xf numFmtId="0" fontId="7" fillId="2" borderId="47" xfId="2" applyNumberFormat="1" applyFont="1" applyFill="1" applyBorder="1" applyAlignment="1">
      <alignment horizontal="center" vertical="center"/>
    </xf>
    <xf numFmtId="3" fontId="7" fillId="2" borderId="48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3" fontId="17" fillId="2" borderId="4" xfId="3" applyNumberFormat="1" applyFont="1" applyFill="1" applyBorder="1" applyAlignment="1">
      <alignment horizontal="center" vertical="center"/>
    </xf>
    <xf numFmtId="3" fontId="17" fillId="2" borderId="6" xfId="3" applyNumberFormat="1" applyFont="1" applyFill="1" applyBorder="1" applyAlignment="1">
      <alignment horizontal="center" vertical="center"/>
    </xf>
    <xf numFmtId="0" fontId="17" fillId="2" borderId="45" xfId="0" applyNumberFormat="1" applyFont="1" applyFill="1" applyBorder="1" applyAlignment="1">
      <alignment horizontal="center" vertical="center"/>
    </xf>
    <xf numFmtId="3" fontId="17" fillId="2" borderId="49" xfId="3" applyNumberFormat="1" applyFont="1" applyFill="1" applyBorder="1" applyAlignment="1">
      <alignment horizontal="center" vertical="center"/>
    </xf>
    <xf numFmtId="3" fontId="17" fillId="2" borderId="50" xfId="3" applyNumberFormat="1" applyFont="1" applyFill="1" applyBorder="1" applyAlignment="1">
      <alignment horizontal="center" vertical="center"/>
    </xf>
    <xf numFmtId="3" fontId="17" fillId="2" borderId="0" xfId="3" applyNumberFormat="1" applyFont="1" applyFill="1" applyBorder="1" applyAlignment="1">
      <alignment horizontal="center" vertical="center"/>
    </xf>
    <xf numFmtId="3" fontId="17" fillId="2" borderId="40" xfId="3" applyNumberFormat="1" applyFont="1" applyFill="1" applyBorder="1" applyAlignment="1">
      <alignment horizontal="center" vertical="center"/>
    </xf>
    <xf numFmtId="0" fontId="7" fillId="2" borderId="2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left" vertical="center"/>
    </xf>
    <xf numFmtId="164" fontId="36" fillId="2" borderId="8" xfId="2" applyNumberFormat="1" applyFont="1" applyFill="1" applyBorder="1" applyAlignment="1">
      <alignment horizontal="center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7" fillId="2" borderId="0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/>
    </xf>
    <xf numFmtId="164" fontId="18" fillId="2" borderId="1" xfId="2" applyNumberFormat="1" applyFont="1" applyFill="1" applyBorder="1" applyAlignment="1">
      <alignment horizontal="center" vertical="center"/>
    </xf>
    <xf numFmtId="0" fontId="17" fillId="2" borderId="46" xfId="0" applyNumberFormat="1" applyFont="1" applyFill="1" applyBorder="1" applyAlignment="1">
      <alignment horizontal="center" vertical="center"/>
    </xf>
    <xf numFmtId="164" fontId="33" fillId="2" borderId="0" xfId="2" applyNumberFormat="1" applyFont="1" applyFill="1" applyBorder="1" applyAlignment="1">
      <alignment horizontal="center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164" fontId="25" fillId="2" borderId="6" xfId="2" applyNumberFormat="1" applyFont="1" applyFill="1" applyBorder="1" applyAlignment="1">
      <alignment horizontal="center" vertical="center" wrapText="1"/>
    </xf>
    <xf numFmtId="164" fontId="25" fillId="2" borderId="22" xfId="2" applyNumberFormat="1" applyFont="1" applyFill="1" applyBorder="1" applyAlignment="1">
      <alignment horizontal="center" vertical="center" wrapText="1"/>
    </xf>
    <xf numFmtId="164" fontId="25" fillId="2" borderId="23" xfId="2" applyNumberFormat="1" applyFont="1" applyFill="1" applyBorder="1" applyAlignment="1">
      <alignment horizontal="center" vertical="center" wrapText="1"/>
    </xf>
    <xf numFmtId="164" fontId="25" fillId="2" borderId="14" xfId="2" applyNumberFormat="1" applyFont="1" applyFill="1" applyBorder="1" applyAlignment="1">
      <alignment horizontal="center" vertical="center" wrapText="1"/>
    </xf>
    <xf numFmtId="164" fontId="25" fillId="2" borderId="0" xfId="2" applyNumberFormat="1" applyFont="1" applyFill="1" applyBorder="1" applyAlignment="1">
      <alignment horizontal="center" vertical="center" wrapText="1"/>
    </xf>
    <xf numFmtId="164" fontId="18" fillId="2" borderId="14" xfId="2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8" fillId="2" borderId="16" xfId="2" applyNumberFormat="1" applyFont="1" applyFill="1" applyBorder="1" applyAlignment="1">
      <alignment horizontal="center" vertical="center" wrapText="1"/>
    </xf>
    <xf numFmtId="164" fontId="18" fillId="2" borderId="40" xfId="2" applyNumberFormat="1" applyFont="1" applyFill="1" applyBorder="1" applyAlignment="1">
      <alignment horizontal="center" vertical="center" wrapText="1"/>
    </xf>
    <xf numFmtId="164" fontId="18" fillId="2" borderId="25" xfId="2" applyNumberFormat="1" applyFont="1" applyFill="1" applyBorder="1" applyAlignment="1">
      <alignment horizontal="center" vertical="center" wrapText="1"/>
    </xf>
    <xf numFmtId="164" fontId="18" fillId="2" borderId="24" xfId="2" applyNumberFormat="1" applyFont="1" applyFill="1" applyBorder="1" applyAlignment="1">
      <alignment horizontal="center" vertical="center" wrapText="1"/>
    </xf>
    <xf numFmtId="164" fontId="18" fillId="2" borderId="22" xfId="2" applyNumberFormat="1" applyFont="1" applyFill="1" applyBorder="1" applyAlignment="1">
      <alignment horizontal="center" vertical="center" wrapText="1"/>
    </xf>
    <xf numFmtId="164" fontId="18" fillId="2" borderId="23" xfId="2" applyNumberFormat="1" applyFont="1" applyFill="1" applyBorder="1" applyAlignment="1">
      <alignment horizontal="center" vertical="center" wrapText="1"/>
    </xf>
    <xf numFmtId="164" fontId="36" fillId="2" borderId="15" xfId="2" applyNumberFormat="1" applyFont="1" applyFill="1" applyBorder="1" applyAlignment="1">
      <alignment horizontal="center" vertical="center"/>
    </xf>
    <xf numFmtId="164" fontId="36" fillId="2" borderId="8" xfId="2" applyNumberFormat="1" applyFont="1" applyFill="1" applyBorder="1" applyAlignment="1">
      <alignment horizontal="center" vertical="center"/>
    </xf>
    <xf numFmtId="164" fontId="36" fillId="2" borderId="21" xfId="2" applyNumberFormat="1" applyFont="1" applyFill="1" applyBorder="1" applyAlignment="1">
      <alignment horizontal="center" vertical="center"/>
    </xf>
    <xf numFmtId="164" fontId="36" fillId="2" borderId="20" xfId="2" applyNumberFormat="1" applyFont="1" applyFill="1" applyBorder="1" applyAlignment="1">
      <alignment horizontal="center" vertical="center"/>
    </xf>
    <xf numFmtId="164" fontId="36" fillId="2" borderId="18" xfId="2" applyNumberFormat="1" applyFont="1" applyFill="1" applyBorder="1" applyAlignment="1">
      <alignment horizontal="center" vertical="center"/>
    </xf>
    <xf numFmtId="164" fontId="36" fillId="2" borderId="19" xfId="2" applyNumberFormat="1" applyFont="1" applyFill="1" applyBorder="1" applyAlignment="1">
      <alignment horizontal="center" vertical="center"/>
    </xf>
    <xf numFmtId="164" fontId="10" fillId="2" borderId="17" xfId="2" applyNumberFormat="1" applyFont="1" applyFill="1" applyBorder="1" applyAlignment="1">
      <alignment horizontal="left" vertical="center"/>
    </xf>
    <xf numFmtId="164" fontId="10" fillId="2" borderId="1" xfId="2" applyNumberFormat="1" applyFont="1" applyFill="1" applyBorder="1" applyAlignment="1">
      <alignment horizontal="left" vertical="center"/>
    </xf>
    <xf numFmtId="164" fontId="10" fillId="2" borderId="5" xfId="2" applyNumberFormat="1" applyFont="1" applyFill="1" applyBorder="1" applyAlignment="1">
      <alignment horizontal="left" vertical="center"/>
    </xf>
    <xf numFmtId="164" fontId="32" fillId="2" borderId="10" xfId="2" applyNumberFormat="1" applyFont="1" applyFill="1" applyBorder="1" applyAlignment="1">
      <alignment horizontal="center" vertical="center"/>
    </xf>
    <xf numFmtId="164" fontId="32" fillId="2" borderId="18" xfId="2" applyNumberFormat="1" applyFont="1" applyFill="1" applyBorder="1" applyAlignment="1">
      <alignment horizontal="center" vertical="center"/>
    </xf>
    <xf numFmtId="164" fontId="32" fillId="2" borderId="19" xfId="2" applyNumberFormat="1" applyFont="1" applyFill="1" applyBorder="1" applyAlignment="1">
      <alignment horizontal="center" vertical="center"/>
    </xf>
    <xf numFmtId="164" fontId="32" fillId="2" borderId="15" xfId="2" applyNumberFormat="1" applyFont="1" applyFill="1" applyBorder="1" applyAlignment="1">
      <alignment horizontal="center" vertical="center"/>
    </xf>
    <xf numFmtId="164" fontId="32" fillId="2" borderId="8" xfId="2" applyNumberFormat="1" applyFont="1" applyFill="1" applyBorder="1" applyAlignment="1">
      <alignment horizontal="center" vertical="center"/>
    </xf>
    <xf numFmtId="164" fontId="29" fillId="2" borderId="0" xfId="2" applyNumberFormat="1" applyFont="1" applyFill="1" applyBorder="1" applyAlignment="1">
      <alignment horizontal="center" vertical="center"/>
    </xf>
    <xf numFmtId="164" fontId="4" fillId="2" borderId="0" xfId="2" applyNumberFormat="1" applyFont="1" applyFill="1" applyBorder="1" applyAlignment="1">
      <alignment horizontal="center" vertical="center"/>
    </xf>
    <xf numFmtId="164" fontId="10" fillId="2" borderId="8" xfId="2" applyNumberFormat="1" applyFont="1" applyFill="1" applyBorder="1" applyAlignment="1">
      <alignment horizontal="left" vertical="center"/>
    </xf>
    <xf numFmtId="164" fontId="10" fillId="2" borderId="0" xfId="2" applyNumberFormat="1" applyFont="1" applyFill="1" applyBorder="1" applyAlignment="1">
      <alignment horizontal="left" vertical="center"/>
    </xf>
    <xf numFmtId="164" fontId="10" fillId="2" borderId="40" xfId="2" applyNumberFormat="1" applyFont="1" applyFill="1" applyBorder="1" applyAlignment="1">
      <alignment horizontal="left" vertical="center"/>
    </xf>
    <xf numFmtId="164" fontId="35" fillId="2" borderId="8" xfId="2" applyNumberFormat="1" applyFont="1" applyFill="1" applyBorder="1" applyAlignment="1">
      <alignment horizontal="center" vertical="center"/>
    </xf>
    <xf numFmtId="164" fontId="20" fillId="2" borderId="40" xfId="2" applyNumberFormat="1" applyFont="1" applyFill="1" applyBorder="1" applyAlignment="1">
      <alignment horizontal="center" vertical="center" wrapText="1"/>
    </xf>
    <xf numFmtId="164" fontId="28" fillId="2" borderId="8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28" fillId="2" borderId="40" xfId="2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/>
    </xf>
    <xf numFmtId="164" fontId="33" fillId="2" borderId="39" xfId="2" applyNumberFormat="1" applyFont="1" applyFill="1" applyBorder="1" applyAlignment="1">
      <alignment horizontal="center" vertical="center"/>
    </xf>
    <xf numFmtId="164" fontId="33" fillId="2" borderId="8" xfId="2" applyNumberFormat="1" applyFont="1" applyFill="1" applyBorder="1" applyAlignment="1">
      <alignment horizontal="center" vertical="center"/>
    </xf>
    <xf numFmtId="164" fontId="33" fillId="2" borderId="41" xfId="2" applyNumberFormat="1" applyFont="1" applyFill="1" applyBorder="1" applyAlignment="1">
      <alignment horizontal="center" vertical="center"/>
    </xf>
    <xf numFmtId="164" fontId="18" fillId="2" borderId="42" xfId="2" applyNumberFormat="1" applyFont="1" applyFill="1" applyBorder="1" applyAlignment="1">
      <alignment horizontal="center" vertical="center" wrapText="1"/>
    </xf>
    <xf numFmtId="164" fontId="7" fillId="2" borderId="0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/>
    </xf>
    <xf numFmtId="164" fontId="36" fillId="2" borderId="51" xfId="2" applyNumberFormat="1" applyFont="1" applyFill="1" applyBorder="1" applyAlignment="1">
      <alignment horizontal="center" vertical="center"/>
    </xf>
    <xf numFmtId="164" fontId="36" fillId="2" borderId="41" xfId="2" applyNumberFormat="1" applyFont="1" applyFill="1" applyBorder="1" applyAlignment="1">
      <alignment horizontal="center" vertical="center"/>
    </xf>
    <xf numFmtId="164" fontId="18" fillId="2" borderId="54" xfId="2" applyNumberFormat="1" applyFont="1" applyFill="1" applyBorder="1" applyAlignment="1">
      <alignment horizontal="center" vertical="center" wrapText="1"/>
    </xf>
    <xf numFmtId="164" fontId="18" fillId="2" borderId="53" xfId="2" applyNumberFormat="1" applyFont="1" applyFill="1" applyBorder="1" applyAlignment="1">
      <alignment horizontal="center" vertical="center" wrapText="1"/>
    </xf>
    <xf numFmtId="164" fontId="18" fillId="2" borderId="52" xfId="2" applyNumberFormat="1" applyFont="1" applyFill="1" applyBorder="1" applyAlignment="1">
      <alignment horizontal="center" vertical="center" wrapText="1"/>
    </xf>
    <xf numFmtId="164" fontId="18" fillId="2" borderId="38" xfId="2" applyNumberFormat="1" applyFont="1" applyFill="1" applyBorder="1" applyAlignment="1">
      <alignment horizontal="center" vertical="center" wrapText="1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2" t="s">
        <v>68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9" ht="15.75" x14ac:dyDescent="0.25">
      <c r="A2" s="153" t="s">
        <v>69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</row>
    <row r="3" spans="1:29" s="2" customFormat="1" x14ac:dyDescent="0.25"/>
    <row r="4" spans="1:29" s="8" customFormat="1" ht="19.5" x14ac:dyDescent="0.15">
      <c r="A4" s="154" t="s">
        <v>8</v>
      </c>
      <c r="B4" s="157" t="s">
        <v>34</v>
      </c>
      <c r="C4" s="157"/>
      <c r="D4" s="70"/>
      <c r="E4" s="157" t="s">
        <v>35</v>
      </c>
      <c r="F4" s="157"/>
      <c r="G4" s="70"/>
      <c r="H4" s="157" t="s">
        <v>36</v>
      </c>
      <c r="I4" s="157"/>
      <c r="J4" s="70"/>
      <c r="K4" s="157" t="s">
        <v>37</v>
      </c>
      <c r="L4" s="157"/>
      <c r="M4" s="70"/>
      <c r="N4" s="157" t="s">
        <v>38</v>
      </c>
      <c r="O4" s="157"/>
      <c r="P4" s="70"/>
      <c r="Q4" s="157" t="s">
        <v>39</v>
      </c>
      <c r="R4" s="157"/>
      <c r="S4" s="70"/>
      <c r="T4" s="157" t="s">
        <v>40</v>
      </c>
      <c r="U4" s="157"/>
      <c r="V4" s="70"/>
      <c r="W4" s="157" t="s">
        <v>41</v>
      </c>
      <c r="X4" s="157"/>
      <c r="Y4" s="70"/>
      <c r="Z4" s="157" t="s">
        <v>42</v>
      </c>
      <c r="AA4" s="157"/>
      <c r="AB4" s="159" t="s">
        <v>9</v>
      </c>
    </row>
    <row r="5" spans="1:29" s="11" customFormat="1" ht="15" customHeight="1" x14ac:dyDescent="0.25">
      <c r="A5" s="155"/>
      <c r="B5" s="158" t="s">
        <v>43</v>
      </c>
      <c r="C5" s="158"/>
      <c r="D5" s="10"/>
      <c r="E5" s="158" t="s">
        <v>44</v>
      </c>
      <c r="F5" s="158"/>
      <c r="G5" s="10"/>
      <c r="H5" s="158" t="s">
        <v>45</v>
      </c>
      <c r="I5" s="158"/>
      <c r="J5" s="10"/>
      <c r="K5" s="158" t="s">
        <v>46</v>
      </c>
      <c r="L5" s="158"/>
      <c r="M5" s="10"/>
      <c r="N5" s="158" t="s">
        <v>47</v>
      </c>
      <c r="O5" s="158"/>
      <c r="P5" s="10"/>
      <c r="Q5" s="158" t="s">
        <v>48</v>
      </c>
      <c r="R5" s="158"/>
      <c r="S5" s="10"/>
      <c r="T5" s="158" t="s">
        <v>49</v>
      </c>
      <c r="U5" s="158"/>
      <c r="V5" s="10"/>
      <c r="W5" s="158" t="s">
        <v>50</v>
      </c>
      <c r="X5" s="158"/>
      <c r="Y5" s="10"/>
      <c r="Z5" s="158" t="s">
        <v>51</v>
      </c>
      <c r="AA5" s="158"/>
      <c r="AB5" s="160"/>
      <c r="AC5" s="3"/>
    </row>
    <row r="6" spans="1:29" s="66" customFormat="1" ht="14.25" x14ac:dyDescent="0.2">
      <c r="A6" s="155"/>
      <c r="B6" s="60" t="s">
        <v>0</v>
      </c>
      <c r="C6" s="60" t="s">
        <v>1</v>
      </c>
      <c r="D6" s="60"/>
      <c r="E6" s="60" t="s">
        <v>0</v>
      </c>
      <c r="F6" s="60" t="s">
        <v>1</v>
      </c>
      <c r="G6" s="60"/>
      <c r="H6" s="60" t="s">
        <v>0</v>
      </c>
      <c r="I6" s="60" t="s">
        <v>1</v>
      </c>
      <c r="J6" s="60"/>
      <c r="K6" s="60" t="s">
        <v>0</v>
      </c>
      <c r="L6" s="60" t="s">
        <v>1</v>
      </c>
      <c r="M6" s="60"/>
      <c r="N6" s="60" t="s">
        <v>0</v>
      </c>
      <c r="O6" s="60" t="s">
        <v>1</v>
      </c>
      <c r="P6" s="60"/>
      <c r="Q6" s="60" t="s">
        <v>0</v>
      </c>
      <c r="R6" s="60" t="s">
        <v>1</v>
      </c>
      <c r="S6" s="60"/>
      <c r="T6" s="60" t="s">
        <v>0</v>
      </c>
      <c r="U6" s="60" t="s">
        <v>1</v>
      </c>
      <c r="V6" s="60"/>
      <c r="W6" s="60" t="s">
        <v>0</v>
      </c>
      <c r="X6" s="60" t="s">
        <v>1</v>
      </c>
      <c r="Y6" s="60"/>
      <c r="Z6" s="60" t="s">
        <v>0</v>
      </c>
      <c r="AA6" s="60" t="s">
        <v>1</v>
      </c>
      <c r="AB6" s="160"/>
    </row>
    <row r="7" spans="1:29" s="11" customFormat="1" ht="14.25" x14ac:dyDescent="0.2">
      <c r="A7" s="156"/>
      <c r="B7" s="62" t="s">
        <v>2</v>
      </c>
      <c r="C7" s="62" t="s">
        <v>3</v>
      </c>
      <c r="D7" s="62"/>
      <c r="E7" s="62" t="s">
        <v>2</v>
      </c>
      <c r="F7" s="62" t="s">
        <v>3</v>
      </c>
      <c r="G7" s="62"/>
      <c r="H7" s="62" t="s">
        <v>2</v>
      </c>
      <c r="I7" s="62" t="s">
        <v>3</v>
      </c>
      <c r="J7" s="62"/>
      <c r="K7" s="62" t="s">
        <v>2</v>
      </c>
      <c r="L7" s="62" t="s">
        <v>3</v>
      </c>
      <c r="M7" s="62"/>
      <c r="N7" s="62" t="s">
        <v>2</v>
      </c>
      <c r="O7" s="62" t="s">
        <v>3</v>
      </c>
      <c r="P7" s="62"/>
      <c r="Q7" s="62" t="s">
        <v>2</v>
      </c>
      <c r="R7" s="62" t="s">
        <v>3</v>
      </c>
      <c r="S7" s="62"/>
      <c r="T7" s="62" t="s">
        <v>2</v>
      </c>
      <c r="U7" s="62" t="s">
        <v>3</v>
      </c>
      <c r="V7" s="62"/>
      <c r="W7" s="62" t="s">
        <v>2</v>
      </c>
      <c r="X7" s="62" t="s">
        <v>3</v>
      </c>
      <c r="Y7" s="62"/>
      <c r="Z7" s="62" t="s">
        <v>2</v>
      </c>
      <c r="AA7" s="62" t="s">
        <v>3</v>
      </c>
      <c r="AB7" s="161"/>
    </row>
    <row r="8" spans="1:29" s="8" customFormat="1" ht="15.75" x14ac:dyDescent="0.15">
      <c r="A8" s="59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65" t="s">
        <v>5</v>
      </c>
    </row>
    <row r="9" spans="1:29" s="8" customFormat="1" ht="15.75" x14ac:dyDescent="0.4">
      <c r="A9" s="5" t="s">
        <v>10</v>
      </c>
      <c r="B9" s="79"/>
      <c r="C9" s="79"/>
      <c r="D9" s="79"/>
      <c r="E9" s="80"/>
      <c r="F9" s="80"/>
      <c r="G9" s="80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81"/>
      <c r="Z9" s="81"/>
      <c r="AA9" s="81"/>
      <c r="AB9" s="67" t="s">
        <v>11</v>
      </c>
    </row>
    <row r="10" spans="1:29" s="8" customFormat="1" ht="15.75" x14ac:dyDescent="0.4">
      <c r="A10" s="5" t="s">
        <v>12</v>
      </c>
      <c r="B10" s="79"/>
      <c r="C10" s="79"/>
      <c r="D10" s="79"/>
      <c r="E10" s="80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1"/>
      <c r="Z10" s="81"/>
      <c r="AA10" s="81"/>
      <c r="AB10" s="67" t="s">
        <v>13</v>
      </c>
    </row>
    <row r="11" spans="1:29" s="8" customFormat="1" ht="15.75" x14ac:dyDescent="0.4">
      <c r="A11" s="5" t="s">
        <v>14</v>
      </c>
      <c r="B11" s="79"/>
      <c r="C11" s="79"/>
      <c r="D11" s="79"/>
      <c r="E11" s="80"/>
      <c r="F11" s="80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81"/>
      <c r="Z11" s="81"/>
      <c r="AA11" s="81"/>
      <c r="AB11" s="67" t="s">
        <v>15</v>
      </c>
    </row>
    <row r="12" spans="1:29" s="8" customFormat="1" ht="15.75" x14ac:dyDescent="0.4">
      <c r="A12" s="5" t="s">
        <v>16</v>
      </c>
      <c r="B12" s="79"/>
      <c r="C12" s="79"/>
      <c r="D12" s="79"/>
      <c r="E12" s="80"/>
      <c r="F12" s="80"/>
      <c r="G12" s="80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81"/>
      <c r="Z12" s="81"/>
      <c r="AA12" s="81"/>
      <c r="AB12" s="67" t="s">
        <v>17</v>
      </c>
    </row>
    <row r="13" spans="1:29" s="8" customFormat="1" ht="15.75" x14ac:dyDescent="0.4">
      <c r="A13" s="5" t="s">
        <v>18</v>
      </c>
      <c r="B13" s="79"/>
      <c r="C13" s="79"/>
      <c r="D13" s="79"/>
      <c r="E13" s="80"/>
      <c r="F13" s="80"/>
      <c r="G13" s="80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81"/>
      <c r="Z13" s="81"/>
      <c r="AA13" s="81"/>
      <c r="AB13" s="67" t="s">
        <v>19</v>
      </c>
    </row>
    <row r="14" spans="1:29" s="8" customFormat="1" ht="15.75" x14ac:dyDescent="0.4">
      <c r="A14" s="5" t="s">
        <v>20</v>
      </c>
      <c r="B14" s="79"/>
      <c r="C14" s="79"/>
      <c r="D14" s="79"/>
      <c r="E14" s="80"/>
      <c r="F14" s="80"/>
      <c r="G14" s="80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1"/>
      <c r="Z14" s="81"/>
      <c r="AA14" s="81"/>
      <c r="AB14" s="67" t="s">
        <v>21</v>
      </c>
    </row>
    <row r="15" spans="1:29" s="8" customFormat="1" ht="15.75" x14ac:dyDescent="0.4">
      <c r="A15" s="5" t="s">
        <v>22</v>
      </c>
      <c r="B15" s="79"/>
      <c r="C15" s="79"/>
      <c r="D15" s="79"/>
      <c r="E15" s="80"/>
      <c r="F15" s="80"/>
      <c r="G15" s="80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81"/>
      <c r="Z15" s="81"/>
      <c r="AA15" s="81"/>
      <c r="AB15" s="67" t="s">
        <v>23</v>
      </c>
    </row>
    <row r="16" spans="1:29" s="8" customFormat="1" ht="15.75" x14ac:dyDescent="0.4">
      <c r="A16" s="5" t="s">
        <v>24</v>
      </c>
      <c r="B16" s="79"/>
      <c r="C16" s="79"/>
      <c r="D16" s="79"/>
      <c r="E16" s="80"/>
      <c r="F16" s="80"/>
      <c r="G16" s="80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81"/>
      <c r="Z16" s="81"/>
      <c r="AA16" s="81"/>
      <c r="AB16" s="67" t="s">
        <v>25</v>
      </c>
    </row>
    <row r="17" spans="1:44" s="8" customFormat="1" ht="15.75" x14ac:dyDescent="0.4">
      <c r="A17" s="5" t="s">
        <v>26</v>
      </c>
      <c r="B17" s="79"/>
      <c r="C17" s="79"/>
      <c r="D17" s="79"/>
      <c r="E17" s="80"/>
      <c r="F17" s="80"/>
      <c r="G17" s="80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81"/>
      <c r="Z17" s="81"/>
      <c r="AA17" s="81"/>
      <c r="AB17" s="67" t="s">
        <v>27</v>
      </c>
    </row>
    <row r="18" spans="1:44" s="8" customFormat="1" ht="15.75" x14ac:dyDescent="0.4">
      <c r="A18" s="5" t="s">
        <v>28</v>
      </c>
      <c r="B18" s="79"/>
      <c r="C18" s="79"/>
      <c r="D18" s="79"/>
      <c r="E18" s="80"/>
      <c r="F18" s="80"/>
      <c r="G18" s="80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81"/>
      <c r="Z18" s="81"/>
      <c r="AA18" s="81"/>
      <c r="AB18" s="67" t="s">
        <v>29</v>
      </c>
    </row>
    <row r="19" spans="1:44" s="8" customFormat="1" ht="15.75" x14ac:dyDescent="0.4">
      <c r="A19" s="5" t="s">
        <v>30</v>
      </c>
      <c r="B19" s="79"/>
      <c r="C19" s="79"/>
      <c r="D19" s="79"/>
      <c r="E19" s="80"/>
      <c r="F19" s="80"/>
      <c r="G19" s="80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1"/>
      <c r="Z19" s="81"/>
      <c r="AA19" s="81"/>
      <c r="AB19" s="67" t="s">
        <v>31</v>
      </c>
    </row>
    <row r="20" spans="1:44" s="8" customFormat="1" ht="15.75" x14ac:dyDescent="0.4">
      <c r="A20" s="61" t="s">
        <v>32</v>
      </c>
      <c r="B20" s="82"/>
      <c r="C20" s="82"/>
      <c r="D20" s="82"/>
      <c r="E20" s="83"/>
      <c r="F20" s="83"/>
      <c r="G20" s="83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4"/>
      <c r="Z20" s="84"/>
      <c r="AA20" s="84"/>
      <c r="AB20" s="68" t="s">
        <v>33</v>
      </c>
    </row>
    <row r="21" spans="1:44" ht="18.75" x14ac:dyDescent="0.25">
      <c r="A21" s="6" t="s">
        <v>6</v>
      </c>
      <c r="AB21" s="7" t="s">
        <v>7</v>
      </c>
      <c r="AO21" s="8"/>
      <c r="AP21" s="63" t="s">
        <v>2</v>
      </c>
      <c r="AQ21" s="63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5" customFormat="1" ht="21.75" customHeight="1" x14ac:dyDescent="0.55000000000000004">
      <c r="A44" s="144" t="s">
        <v>8</v>
      </c>
      <c r="B44" s="87"/>
      <c r="D44" s="88"/>
      <c r="F44" s="88"/>
      <c r="G44" s="147" t="s">
        <v>34</v>
      </c>
      <c r="H44" s="148"/>
      <c r="I44" s="148"/>
      <c r="J44" s="148"/>
      <c r="K44" s="149"/>
      <c r="L44" s="73"/>
      <c r="M44" s="89"/>
      <c r="N44" s="73"/>
      <c r="O44" s="89"/>
      <c r="P44" s="150" t="s">
        <v>35</v>
      </c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88"/>
      <c r="AC44" s="138" t="s">
        <v>36</v>
      </c>
      <c r="AD44" s="139"/>
      <c r="AE44" s="139"/>
      <c r="AF44" s="139"/>
      <c r="AG44" s="139"/>
      <c r="AH44" s="139"/>
      <c r="AI44" s="139"/>
      <c r="AJ44" s="139"/>
      <c r="AK44" s="72"/>
      <c r="AL44" s="138" t="s">
        <v>37</v>
      </c>
      <c r="AM44" s="139"/>
      <c r="AN44" s="139"/>
      <c r="AO44" s="139"/>
      <c r="AP44" s="139"/>
      <c r="AQ44" s="139"/>
      <c r="AR44" s="139"/>
      <c r="AS44" s="72"/>
      <c r="AT44" s="138" t="s">
        <v>38</v>
      </c>
      <c r="AU44" s="139"/>
      <c r="AV44" s="139"/>
      <c r="AW44" s="139"/>
      <c r="AX44" s="139"/>
      <c r="AY44" s="85"/>
      <c r="AZ44" s="72"/>
      <c r="BA44" s="138" t="s">
        <v>39</v>
      </c>
      <c r="BB44" s="139"/>
      <c r="BC44" s="139"/>
      <c r="BD44" s="139"/>
      <c r="BE44" s="140"/>
      <c r="BF44" s="71"/>
      <c r="BG44" s="141" t="s">
        <v>40</v>
      </c>
      <c r="BH44" s="142"/>
      <c r="BI44" s="142"/>
      <c r="BJ44" s="142"/>
      <c r="BK44" s="143"/>
      <c r="BL44" s="138" t="s">
        <v>41</v>
      </c>
      <c r="BM44" s="139"/>
      <c r="BN44" s="139"/>
      <c r="BO44" s="139"/>
      <c r="BP44" s="140"/>
      <c r="BQ44" s="138" t="s">
        <v>42</v>
      </c>
      <c r="BR44" s="139"/>
      <c r="BS44" s="139"/>
      <c r="BT44" s="122" t="s">
        <v>9</v>
      </c>
    </row>
    <row r="45" spans="1:80" s="76" customFormat="1" ht="16.5" customHeight="1" x14ac:dyDescent="0.25">
      <c r="A45" s="145"/>
      <c r="B45" s="90"/>
      <c r="D45" s="91"/>
      <c r="F45" s="91"/>
      <c r="G45" s="125" t="s">
        <v>43</v>
      </c>
      <c r="H45" s="126"/>
      <c r="I45" s="126"/>
      <c r="J45" s="126"/>
      <c r="K45" s="127"/>
      <c r="L45" s="78"/>
      <c r="M45" s="91"/>
      <c r="N45" s="78"/>
      <c r="O45" s="91"/>
      <c r="P45" s="128" t="s">
        <v>44</v>
      </c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91"/>
      <c r="AC45" s="130" t="s">
        <v>61</v>
      </c>
      <c r="AD45" s="131"/>
      <c r="AE45" s="131"/>
      <c r="AF45" s="131"/>
      <c r="AG45" s="131"/>
      <c r="AH45" s="131"/>
      <c r="AI45" s="131"/>
      <c r="AJ45" s="131"/>
      <c r="AK45" s="77"/>
      <c r="AL45" s="130" t="s">
        <v>62</v>
      </c>
      <c r="AM45" s="131"/>
      <c r="AN45" s="131"/>
      <c r="AO45" s="131"/>
      <c r="AP45" s="131"/>
      <c r="AQ45" s="131"/>
      <c r="AR45" s="131"/>
      <c r="AS45" s="77"/>
      <c r="AT45" s="130" t="s">
        <v>63</v>
      </c>
      <c r="AU45" s="131"/>
      <c r="AV45" s="131"/>
      <c r="AW45" s="131"/>
      <c r="AX45" s="131"/>
      <c r="AY45" s="86"/>
      <c r="AZ45" s="77"/>
      <c r="BA45" s="132" t="s">
        <v>64</v>
      </c>
      <c r="BB45" s="133"/>
      <c r="BC45" s="133"/>
      <c r="BD45" s="133"/>
      <c r="BE45" s="134"/>
      <c r="BF45" s="78"/>
      <c r="BG45" s="135" t="s">
        <v>65</v>
      </c>
      <c r="BH45" s="136"/>
      <c r="BI45" s="136"/>
      <c r="BJ45" s="136"/>
      <c r="BK45" s="137"/>
      <c r="BL45" s="132" t="s">
        <v>66</v>
      </c>
      <c r="BM45" s="133"/>
      <c r="BN45" s="133"/>
      <c r="BO45" s="133"/>
      <c r="BP45" s="134"/>
      <c r="BQ45" s="132" t="s">
        <v>67</v>
      </c>
      <c r="BR45" s="133"/>
      <c r="BS45" s="133"/>
      <c r="BT45" s="123"/>
    </row>
    <row r="46" spans="1:80" ht="23.25" customHeight="1" x14ac:dyDescent="0.25">
      <c r="A46" s="146"/>
      <c r="B46" s="92"/>
      <c r="C46" s="93">
        <v>2011</v>
      </c>
      <c r="D46" s="93">
        <v>2012</v>
      </c>
      <c r="E46" s="94">
        <v>2013</v>
      </c>
      <c r="F46" s="95">
        <v>2014</v>
      </c>
      <c r="G46" s="96">
        <v>2015</v>
      </c>
      <c r="H46" s="97">
        <v>2016</v>
      </c>
      <c r="I46" s="98">
        <v>2017</v>
      </c>
      <c r="J46" s="98">
        <v>2018</v>
      </c>
      <c r="K46" s="98">
        <v>2019</v>
      </c>
      <c r="L46" s="99">
        <v>2011</v>
      </c>
      <c r="M46" s="99">
        <v>2012</v>
      </c>
      <c r="N46" s="99">
        <v>2013</v>
      </c>
      <c r="O46" s="98">
        <v>2014</v>
      </c>
      <c r="P46" s="96">
        <v>2015</v>
      </c>
      <c r="Q46" s="98">
        <v>2016</v>
      </c>
      <c r="R46" s="99">
        <v>2011</v>
      </c>
      <c r="S46" s="99">
        <v>2012</v>
      </c>
      <c r="T46" s="98">
        <v>2013</v>
      </c>
      <c r="U46" s="98">
        <v>2014</v>
      </c>
      <c r="V46" s="99">
        <v>2011</v>
      </c>
      <c r="W46" s="99">
        <v>2012</v>
      </c>
      <c r="X46" s="98">
        <v>2013</v>
      </c>
      <c r="Y46" s="98">
        <v>2017</v>
      </c>
      <c r="Z46" s="98">
        <v>2018</v>
      </c>
      <c r="AA46" s="100">
        <v>2019</v>
      </c>
      <c r="AB46" s="98">
        <v>2014</v>
      </c>
      <c r="AC46" s="23">
        <v>2015</v>
      </c>
      <c r="AD46" s="23">
        <v>2016</v>
      </c>
      <c r="AE46" s="64">
        <v>2011</v>
      </c>
      <c r="AF46" s="64">
        <v>2012</v>
      </c>
      <c r="AG46" s="64">
        <v>2013</v>
      </c>
      <c r="AH46" s="23">
        <v>2017</v>
      </c>
      <c r="AI46" s="23">
        <v>2018</v>
      </c>
      <c r="AJ46" s="23">
        <v>2019</v>
      </c>
      <c r="AK46" s="23">
        <v>2014</v>
      </c>
      <c r="AL46" s="22">
        <v>2015</v>
      </c>
      <c r="AM46" s="23">
        <v>2016</v>
      </c>
      <c r="AN46" s="23">
        <v>2017</v>
      </c>
      <c r="AO46" s="23">
        <v>2018</v>
      </c>
      <c r="AP46" s="64">
        <v>2012</v>
      </c>
      <c r="AQ46" s="64">
        <v>2013</v>
      </c>
      <c r="AR46" s="23">
        <v>2019</v>
      </c>
      <c r="AS46" s="23">
        <v>2014</v>
      </c>
      <c r="AT46" s="22">
        <v>2015</v>
      </c>
      <c r="AU46" s="23">
        <v>2016</v>
      </c>
      <c r="AV46" s="64">
        <v>2013</v>
      </c>
      <c r="AW46" s="23">
        <v>2017</v>
      </c>
      <c r="AX46" s="23">
        <v>2018</v>
      </c>
      <c r="AY46" s="23">
        <v>2019</v>
      </c>
      <c r="AZ46" s="64">
        <v>2014</v>
      </c>
      <c r="BA46" s="22">
        <v>2015</v>
      </c>
      <c r="BB46" s="23">
        <v>2016</v>
      </c>
      <c r="BC46" s="23">
        <v>2017</v>
      </c>
      <c r="BD46" s="23">
        <v>2018</v>
      </c>
      <c r="BE46" s="23">
        <v>2019</v>
      </c>
      <c r="BF46" s="64">
        <v>2014</v>
      </c>
      <c r="BG46" s="22">
        <v>2015</v>
      </c>
      <c r="BH46" s="23">
        <v>2016</v>
      </c>
      <c r="BI46" s="23">
        <v>2017</v>
      </c>
      <c r="BJ46" s="23">
        <v>2018</v>
      </c>
      <c r="BK46" s="24">
        <v>2019</v>
      </c>
      <c r="BL46" s="25">
        <v>2015</v>
      </c>
      <c r="BM46" s="23">
        <v>2016</v>
      </c>
      <c r="BN46" s="23">
        <v>2017</v>
      </c>
      <c r="BO46" s="23">
        <v>2018</v>
      </c>
      <c r="BP46" s="23">
        <v>2019</v>
      </c>
      <c r="BQ46" s="22">
        <v>2017</v>
      </c>
      <c r="BR46" s="23">
        <v>2018</v>
      </c>
      <c r="BS46" s="23">
        <v>2019</v>
      </c>
      <c r="BT46" s="124"/>
      <c r="BU46" s="3"/>
    </row>
    <row r="47" spans="1:80" ht="23.25" customHeight="1" x14ac:dyDescent="0.4">
      <c r="A47" s="26" t="s">
        <v>4</v>
      </c>
      <c r="B47" s="26"/>
      <c r="C47" s="27">
        <f t="shared" ref="C47:AZ47" si="0">SUM(C48:C59)</f>
        <v>1542</v>
      </c>
      <c r="D47" s="27">
        <f t="shared" si="0"/>
        <v>1816</v>
      </c>
      <c r="E47" s="27">
        <f t="shared" si="0"/>
        <v>2310</v>
      </c>
      <c r="F47" s="28">
        <f t="shared" si="0"/>
        <v>2220</v>
      </c>
      <c r="G47" s="29">
        <f t="shared" si="0"/>
        <v>2088</v>
      </c>
      <c r="H47" s="30">
        <f t="shared" si="0"/>
        <v>2392</v>
      </c>
      <c r="I47" s="31">
        <f t="shared" si="0"/>
        <v>2619</v>
      </c>
      <c r="J47" s="31">
        <f t="shared" si="0"/>
        <v>2559</v>
      </c>
      <c r="K47" s="31">
        <f t="shared" si="0"/>
        <v>2583</v>
      </c>
      <c r="L47" s="31">
        <f t="shared" si="0"/>
        <v>3226</v>
      </c>
      <c r="M47" s="31">
        <f t="shared" si="0"/>
        <v>3982</v>
      </c>
      <c r="N47" s="31">
        <f t="shared" si="0"/>
        <v>4121</v>
      </c>
      <c r="O47" s="31">
        <f t="shared" si="0"/>
        <v>4410</v>
      </c>
      <c r="P47" s="29">
        <f>SUM(P48:P59)</f>
        <v>4290</v>
      </c>
      <c r="Q47" s="31">
        <f t="shared" ref="Q47" si="1">SUM(Q48:Q59)</f>
        <v>4978</v>
      </c>
      <c r="R47" s="31">
        <f t="shared" si="0"/>
        <v>1637</v>
      </c>
      <c r="S47" s="31">
        <f t="shared" si="0"/>
        <v>1397</v>
      </c>
      <c r="T47" s="31">
        <f t="shared" si="0"/>
        <v>1949</v>
      </c>
      <c r="U47" s="31">
        <f t="shared" si="0"/>
        <v>1977</v>
      </c>
      <c r="V47" s="31">
        <f t="shared" si="0"/>
        <v>262</v>
      </c>
      <c r="W47" s="31">
        <f t="shared" si="0"/>
        <v>710</v>
      </c>
      <c r="X47" s="31">
        <f>SUM(X48:X59)</f>
        <v>2432</v>
      </c>
      <c r="Y47" s="31">
        <f t="shared" ref="Y47:AB47" si="2">SUM(Y48:Y59)</f>
        <v>5182</v>
      </c>
      <c r="Z47" s="31">
        <f t="shared" si="2"/>
        <v>4726</v>
      </c>
      <c r="AA47" s="32">
        <f t="shared" si="2"/>
        <v>4794</v>
      </c>
      <c r="AB47" s="31">
        <f t="shared" si="2"/>
        <v>2773</v>
      </c>
      <c r="AC47" s="31">
        <f>SUM(AC48:AC59)</f>
        <v>2151</v>
      </c>
      <c r="AD47" s="31">
        <f t="shared" ref="AD47" si="3">SUM(AD48:AD59)</f>
        <v>1998</v>
      </c>
      <c r="AE47" s="31">
        <f t="shared" si="0"/>
        <v>769</v>
      </c>
      <c r="AF47" s="31">
        <f t="shared" si="0"/>
        <v>3315</v>
      </c>
      <c r="AG47" s="31">
        <f>SUM(AG48:AG59)</f>
        <v>4519</v>
      </c>
      <c r="AH47" s="31">
        <f t="shared" ref="AH47:AK47" si="4">SUM(AH48:AH59)</f>
        <v>1845</v>
      </c>
      <c r="AI47" s="31">
        <f t="shared" si="4"/>
        <v>1799</v>
      </c>
      <c r="AJ47" s="31">
        <f t="shared" si="4"/>
        <v>2485</v>
      </c>
      <c r="AK47" s="31">
        <f t="shared" si="4"/>
        <v>4924</v>
      </c>
      <c r="AL47" s="29">
        <f>SUM(AL48:AL59)</f>
        <v>4265</v>
      </c>
      <c r="AM47" s="31">
        <f t="shared" ref="AM47:AO47" si="5">SUM(AM48:AM59)</f>
        <v>3963</v>
      </c>
      <c r="AN47" s="31">
        <f t="shared" si="5"/>
        <v>4305</v>
      </c>
      <c r="AO47" s="31">
        <f t="shared" si="5"/>
        <v>4824</v>
      </c>
      <c r="AP47" s="31">
        <f t="shared" si="0"/>
        <v>173</v>
      </c>
      <c r="AQ47" s="31">
        <f t="shared" si="0"/>
        <v>3515</v>
      </c>
      <c r="AR47" s="31">
        <f t="shared" si="0"/>
        <v>4798</v>
      </c>
      <c r="AS47" s="31">
        <f t="shared" si="0"/>
        <v>4248</v>
      </c>
      <c r="AT47" s="29">
        <f>SUM(AT48:AT59)</f>
        <v>3934</v>
      </c>
      <c r="AU47" s="31">
        <f t="shared" ref="AU47:AY47" si="6">SUM(AU48:AU59)</f>
        <v>3870</v>
      </c>
      <c r="AV47" s="31">
        <f t="shared" si="0"/>
        <v>2906</v>
      </c>
      <c r="AW47" s="31">
        <f t="shared" si="0"/>
        <v>4198</v>
      </c>
      <c r="AX47" s="31">
        <f t="shared" si="6"/>
        <v>4532</v>
      </c>
      <c r="AY47" s="31">
        <f t="shared" si="6"/>
        <v>5159</v>
      </c>
      <c r="AZ47" s="31">
        <f t="shared" si="0"/>
        <v>2076</v>
      </c>
      <c r="BA47" s="29">
        <f>SUM(BA48:BA59)</f>
        <v>1988</v>
      </c>
      <c r="BB47" s="31">
        <f t="shared" ref="BB47:BF47" si="7">SUM(BB48:BB59)</f>
        <v>1916</v>
      </c>
      <c r="BC47" s="31">
        <f t="shared" si="7"/>
        <v>1916</v>
      </c>
      <c r="BD47" s="31">
        <f t="shared" si="7"/>
        <v>1975</v>
      </c>
      <c r="BE47" s="31">
        <f t="shared" si="7"/>
        <v>2043</v>
      </c>
      <c r="BF47" s="31">
        <f t="shared" si="7"/>
        <v>826</v>
      </c>
      <c r="BG47" s="29">
        <f>SUM(BG48:BG59)</f>
        <v>331</v>
      </c>
      <c r="BH47" s="31">
        <f t="shared" ref="BH47:BK47" si="8">SUM(BH48:BH59)</f>
        <v>269</v>
      </c>
      <c r="BI47" s="31">
        <f t="shared" si="8"/>
        <v>245</v>
      </c>
      <c r="BJ47" s="31">
        <f t="shared" si="8"/>
        <v>246</v>
      </c>
      <c r="BK47" s="32">
        <f t="shared" si="8"/>
        <v>241</v>
      </c>
      <c r="BL47" s="29">
        <f>SUM(BL48:BL59)</f>
        <v>552</v>
      </c>
      <c r="BM47" s="31">
        <f t="shared" ref="BM47:BS47" si="9">SUM(BM48:BM59)</f>
        <v>1475</v>
      </c>
      <c r="BN47" s="31">
        <f t="shared" si="9"/>
        <v>1911</v>
      </c>
      <c r="BO47" s="31">
        <f t="shared" si="9"/>
        <v>1898</v>
      </c>
      <c r="BP47" s="31">
        <f t="shared" si="9"/>
        <v>1940</v>
      </c>
      <c r="BQ47" s="29">
        <f t="shared" si="9"/>
        <v>488</v>
      </c>
      <c r="BR47" s="33">
        <f t="shared" si="9"/>
        <v>1941</v>
      </c>
      <c r="BS47" s="33">
        <f t="shared" si="9"/>
        <v>2224</v>
      </c>
      <c r="BT47" s="69" t="s">
        <v>5</v>
      </c>
    </row>
    <row r="48" spans="1:80" ht="23.25" customHeight="1" x14ac:dyDescent="0.4">
      <c r="A48" s="34" t="s">
        <v>10</v>
      </c>
      <c r="B48" s="34"/>
      <c r="C48" s="35">
        <v>87</v>
      </c>
      <c r="D48" s="35">
        <v>140</v>
      </c>
      <c r="E48" s="35">
        <v>189</v>
      </c>
      <c r="F48" s="36">
        <v>215</v>
      </c>
      <c r="G48" s="37">
        <v>166</v>
      </c>
      <c r="H48" s="38">
        <v>174</v>
      </c>
      <c r="I48" s="39">
        <v>199</v>
      </c>
      <c r="J48" s="39">
        <v>264</v>
      </c>
      <c r="K48" s="39">
        <v>232</v>
      </c>
      <c r="L48" s="40">
        <v>290</v>
      </c>
      <c r="M48" s="40">
        <v>428</v>
      </c>
      <c r="N48" s="40">
        <v>290</v>
      </c>
      <c r="O48" s="39">
        <v>356</v>
      </c>
      <c r="P48" s="37">
        <v>376</v>
      </c>
      <c r="Q48" s="39">
        <v>400</v>
      </c>
      <c r="R48" s="39">
        <v>137</v>
      </c>
      <c r="S48" s="39">
        <v>111</v>
      </c>
      <c r="T48" s="39">
        <v>175</v>
      </c>
      <c r="U48" s="39">
        <v>164</v>
      </c>
      <c r="V48" s="41" t="s">
        <v>53</v>
      </c>
      <c r="W48" s="39">
        <v>48</v>
      </c>
      <c r="X48" s="39">
        <v>115</v>
      </c>
      <c r="Y48" s="39">
        <v>496</v>
      </c>
      <c r="Z48" s="39">
        <v>406</v>
      </c>
      <c r="AA48" s="42">
        <v>408</v>
      </c>
      <c r="AB48" s="39">
        <v>227</v>
      </c>
      <c r="AC48" s="39">
        <v>230</v>
      </c>
      <c r="AD48" s="39">
        <v>166</v>
      </c>
      <c r="AE48" s="41" t="s">
        <v>53</v>
      </c>
      <c r="AF48" s="39">
        <v>351</v>
      </c>
      <c r="AG48" s="39">
        <v>339</v>
      </c>
      <c r="AH48" s="39">
        <v>157</v>
      </c>
      <c r="AI48" s="39">
        <v>117</v>
      </c>
      <c r="AJ48" s="39">
        <v>261</v>
      </c>
      <c r="AK48" s="39">
        <v>400</v>
      </c>
      <c r="AL48" s="37">
        <v>359</v>
      </c>
      <c r="AM48" s="39">
        <v>339</v>
      </c>
      <c r="AN48" s="39">
        <v>321</v>
      </c>
      <c r="AO48" s="39">
        <v>400</v>
      </c>
      <c r="AP48" s="41" t="s">
        <v>53</v>
      </c>
      <c r="AQ48" s="39">
        <v>191</v>
      </c>
      <c r="AR48" s="39">
        <v>441</v>
      </c>
      <c r="AS48" s="39">
        <v>361</v>
      </c>
      <c r="AT48" s="37">
        <v>331</v>
      </c>
      <c r="AU48" s="39">
        <v>342</v>
      </c>
      <c r="AV48" s="39">
        <v>288</v>
      </c>
      <c r="AW48" s="39">
        <v>351</v>
      </c>
      <c r="AX48" s="39">
        <v>415</v>
      </c>
      <c r="AY48" s="39">
        <v>414</v>
      </c>
      <c r="AZ48" s="39">
        <v>174</v>
      </c>
      <c r="BA48" s="37">
        <v>181</v>
      </c>
      <c r="BB48" s="39">
        <v>164</v>
      </c>
      <c r="BC48" s="39">
        <v>155</v>
      </c>
      <c r="BD48" s="39">
        <v>179</v>
      </c>
      <c r="BE48" s="39">
        <v>169</v>
      </c>
      <c r="BF48" s="39">
        <v>57</v>
      </c>
      <c r="BG48" s="37">
        <v>30</v>
      </c>
      <c r="BH48" s="39">
        <v>29</v>
      </c>
      <c r="BI48" s="39">
        <v>19</v>
      </c>
      <c r="BJ48" s="39">
        <v>23</v>
      </c>
      <c r="BK48" s="42">
        <v>24</v>
      </c>
      <c r="BL48" s="37" t="s">
        <v>54</v>
      </c>
      <c r="BM48" s="39">
        <v>124</v>
      </c>
      <c r="BN48" s="39">
        <v>142</v>
      </c>
      <c r="BO48" s="39">
        <v>178</v>
      </c>
      <c r="BP48" s="39">
        <v>156</v>
      </c>
      <c r="BQ48" s="37" t="s">
        <v>54</v>
      </c>
      <c r="BR48" s="39">
        <v>171</v>
      </c>
      <c r="BS48" s="39">
        <v>176</v>
      </c>
      <c r="BT48" s="67" t="s">
        <v>11</v>
      </c>
      <c r="BY48" s="21"/>
      <c r="BZ48" s="21"/>
      <c r="CA48" s="21"/>
      <c r="CB48" s="21"/>
    </row>
    <row r="49" spans="1:80" ht="23.25" customHeight="1" x14ac:dyDescent="0.4">
      <c r="A49" s="34" t="s">
        <v>12</v>
      </c>
      <c r="B49" s="34"/>
      <c r="C49" s="35">
        <v>69</v>
      </c>
      <c r="D49" s="35">
        <v>128</v>
      </c>
      <c r="E49" s="35">
        <v>161</v>
      </c>
      <c r="F49" s="36">
        <v>192</v>
      </c>
      <c r="G49" s="37">
        <v>161</v>
      </c>
      <c r="H49" s="38">
        <v>195</v>
      </c>
      <c r="I49" s="39">
        <v>195</v>
      </c>
      <c r="J49" s="39">
        <v>213</v>
      </c>
      <c r="K49" s="39">
        <v>223</v>
      </c>
      <c r="L49" s="40">
        <v>268</v>
      </c>
      <c r="M49" s="40">
        <v>332</v>
      </c>
      <c r="N49" s="40">
        <v>314</v>
      </c>
      <c r="O49" s="39">
        <v>360</v>
      </c>
      <c r="P49" s="37">
        <v>336</v>
      </c>
      <c r="Q49" s="39">
        <v>428</v>
      </c>
      <c r="R49" s="39">
        <v>185</v>
      </c>
      <c r="S49" s="39">
        <v>109</v>
      </c>
      <c r="T49" s="39">
        <v>158</v>
      </c>
      <c r="U49" s="39">
        <v>176</v>
      </c>
      <c r="V49" s="41" t="s">
        <v>53</v>
      </c>
      <c r="W49" s="39">
        <v>40</v>
      </c>
      <c r="X49" s="39">
        <v>83</v>
      </c>
      <c r="Y49" s="39">
        <v>462</v>
      </c>
      <c r="Z49" s="39">
        <v>408</v>
      </c>
      <c r="AA49" s="42">
        <v>356</v>
      </c>
      <c r="AB49" s="39">
        <v>212</v>
      </c>
      <c r="AC49" s="39">
        <v>199</v>
      </c>
      <c r="AD49" s="39">
        <v>120</v>
      </c>
      <c r="AE49" s="41" t="s">
        <v>53</v>
      </c>
      <c r="AF49" s="39">
        <v>351</v>
      </c>
      <c r="AG49" s="39">
        <v>427</v>
      </c>
      <c r="AH49" s="39">
        <v>102</v>
      </c>
      <c r="AI49" s="39">
        <v>89</v>
      </c>
      <c r="AJ49" s="39">
        <v>221</v>
      </c>
      <c r="AK49" s="39">
        <v>380</v>
      </c>
      <c r="AL49" s="37">
        <v>407</v>
      </c>
      <c r="AM49" s="39">
        <v>323</v>
      </c>
      <c r="AN49" s="39">
        <v>260</v>
      </c>
      <c r="AO49" s="39">
        <v>373</v>
      </c>
      <c r="AP49" s="41" t="s">
        <v>53</v>
      </c>
      <c r="AQ49" s="39">
        <v>213</v>
      </c>
      <c r="AR49" s="39">
        <v>375</v>
      </c>
      <c r="AS49" s="39">
        <v>356</v>
      </c>
      <c r="AT49" s="37">
        <v>304</v>
      </c>
      <c r="AU49" s="39">
        <v>320</v>
      </c>
      <c r="AV49" s="39">
        <v>304</v>
      </c>
      <c r="AW49" s="39">
        <v>308</v>
      </c>
      <c r="AX49" s="39">
        <v>365</v>
      </c>
      <c r="AY49" s="39">
        <v>376</v>
      </c>
      <c r="AZ49" s="39">
        <v>159</v>
      </c>
      <c r="BA49" s="37">
        <v>169</v>
      </c>
      <c r="BB49" s="39">
        <v>159</v>
      </c>
      <c r="BC49" s="39">
        <v>161</v>
      </c>
      <c r="BD49" s="39">
        <v>164</v>
      </c>
      <c r="BE49" s="39">
        <v>164</v>
      </c>
      <c r="BF49" s="39">
        <v>83</v>
      </c>
      <c r="BG49" s="37">
        <v>23</v>
      </c>
      <c r="BH49" s="39">
        <v>23</v>
      </c>
      <c r="BI49" s="39">
        <v>17</v>
      </c>
      <c r="BJ49" s="39">
        <v>15</v>
      </c>
      <c r="BK49" s="42">
        <v>19</v>
      </c>
      <c r="BL49" s="37" t="s">
        <v>54</v>
      </c>
      <c r="BM49" s="39">
        <v>143</v>
      </c>
      <c r="BN49" s="39">
        <v>136</v>
      </c>
      <c r="BO49" s="39">
        <v>180</v>
      </c>
      <c r="BP49" s="39">
        <v>161</v>
      </c>
      <c r="BQ49" s="37" t="s">
        <v>54</v>
      </c>
      <c r="BR49" s="39">
        <v>168</v>
      </c>
      <c r="BS49" s="39">
        <v>181</v>
      </c>
      <c r="BT49" s="67" t="s">
        <v>13</v>
      </c>
    </row>
    <row r="50" spans="1:80" ht="23.25" customHeight="1" x14ac:dyDescent="0.4">
      <c r="A50" s="34" t="s">
        <v>14</v>
      </c>
      <c r="B50" s="34"/>
      <c r="C50" s="35">
        <v>80</v>
      </c>
      <c r="D50" s="35">
        <v>161</v>
      </c>
      <c r="E50" s="35">
        <v>184</v>
      </c>
      <c r="F50" s="36">
        <v>214</v>
      </c>
      <c r="G50" s="37">
        <v>173</v>
      </c>
      <c r="H50" s="38">
        <v>201</v>
      </c>
      <c r="I50" s="39">
        <v>193</v>
      </c>
      <c r="J50" s="39">
        <v>258</v>
      </c>
      <c r="K50" s="39">
        <v>218</v>
      </c>
      <c r="L50" s="40">
        <v>202</v>
      </c>
      <c r="M50" s="40">
        <v>320</v>
      </c>
      <c r="N50" s="40">
        <v>358</v>
      </c>
      <c r="O50" s="39">
        <v>388</v>
      </c>
      <c r="P50" s="37">
        <v>396</v>
      </c>
      <c r="Q50" s="39">
        <v>402</v>
      </c>
      <c r="R50" s="39">
        <v>131</v>
      </c>
      <c r="S50" s="39">
        <v>98</v>
      </c>
      <c r="T50" s="39">
        <v>141</v>
      </c>
      <c r="U50" s="39">
        <v>190</v>
      </c>
      <c r="V50" s="41" t="s">
        <v>53</v>
      </c>
      <c r="W50" s="39">
        <v>56</v>
      </c>
      <c r="X50" s="39">
        <v>197</v>
      </c>
      <c r="Y50" s="39">
        <v>446</v>
      </c>
      <c r="Z50" s="39">
        <v>388</v>
      </c>
      <c r="AA50" s="42">
        <v>400</v>
      </c>
      <c r="AB50" s="39">
        <v>246</v>
      </c>
      <c r="AC50" s="39">
        <v>235</v>
      </c>
      <c r="AD50" s="39">
        <v>168</v>
      </c>
      <c r="AE50" s="41" t="s">
        <v>53</v>
      </c>
      <c r="AF50" s="39">
        <v>233</v>
      </c>
      <c r="AG50" s="39">
        <v>348</v>
      </c>
      <c r="AH50" s="39">
        <v>183</v>
      </c>
      <c r="AI50" s="39">
        <v>149</v>
      </c>
      <c r="AJ50" s="39">
        <v>277</v>
      </c>
      <c r="AK50" s="39">
        <v>391</v>
      </c>
      <c r="AL50" s="37">
        <v>377</v>
      </c>
      <c r="AM50" s="39">
        <v>314</v>
      </c>
      <c r="AN50" s="39">
        <v>281</v>
      </c>
      <c r="AO50" s="39">
        <v>369</v>
      </c>
      <c r="AP50" s="41" t="s">
        <v>53</v>
      </c>
      <c r="AQ50" s="39">
        <v>231</v>
      </c>
      <c r="AR50" s="39">
        <v>436</v>
      </c>
      <c r="AS50" s="39">
        <v>393</v>
      </c>
      <c r="AT50" s="37">
        <v>356</v>
      </c>
      <c r="AU50" s="39">
        <v>343</v>
      </c>
      <c r="AV50" s="39">
        <v>364</v>
      </c>
      <c r="AW50" s="39">
        <v>327</v>
      </c>
      <c r="AX50" s="39">
        <v>397</v>
      </c>
      <c r="AY50" s="39">
        <v>414</v>
      </c>
      <c r="AZ50" s="39">
        <v>176</v>
      </c>
      <c r="BA50" s="37">
        <v>170</v>
      </c>
      <c r="BB50" s="39">
        <v>163</v>
      </c>
      <c r="BC50" s="39">
        <v>174</v>
      </c>
      <c r="BD50" s="39">
        <v>169</v>
      </c>
      <c r="BE50" s="39">
        <v>178</v>
      </c>
      <c r="BF50" s="39">
        <v>108</v>
      </c>
      <c r="BG50" s="37">
        <v>25</v>
      </c>
      <c r="BH50" s="39">
        <v>23</v>
      </c>
      <c r="BI50" s="39">
        <v>20</v>
      </c>
      <c r="BJ50" s="39">
        <v>19</v>
      </c>
      <c r="BK50" s="42">
        <v>17</v>
      </c>
      <c r="BL50" s="37" t="s">
        <v>54</v>
      </c>
      <c r="BM50" s="39">
        <v>114</v>
      </c>
      <c r="BN50" s="39">
        <v>148</v>
      </c>
      <c r="BO50" s="39">
        <v>156</v>
      </c>
      <c r="BP50" s="39">
        <v>160</v>
      </c>
      <c r="BQ50" s="37" t="s">
        <v>54</v>
      </c>
      <c r="BR50" s="39">
        <v>150</v>
      </c>
      <c r="BS50" s="39">
        <v>202</v>
      </c>
      <c r="BT50" s="67" t="s">
        <v>15</v>
      </c>
    </row>
    <row r="51" spans="1:80" ht="23.25" customHeight="1" x14ac:dyDescent="0.4">
      <c r="A51" s="34" t="s">
        <v>16</v>
      </c>
      <c r="B51" s="34"/>
      <c r="C51" s="35">
        <v>147</v>
      </c>
      <c r="D51" s="35">
        <v>149</v>
      </c>
      <c r="E51" s="35">
        <v>190</v>
      </c>
      <c r="F51" s="36">
        <v>192</v>
      </c>
      <c r="G51" s="37">
        <v>173</v>
      </c>
      <c r="H51" s="38">
        <v>192</v>
      </c>
      <c r="I51" s="39">
        <v>211</v>
      </c>
      <c r="J51" s="39">
        <v>245</v>
      </c>
      <c r="K51" s="39">
        <v>213</v>
      </c>
      <c r="L51" s="40">
        <v>192</v>
      </c>
      <c r="M51" s="40">
        <v>358</v>
      </c>
      <c r="N51" s="40">
        <v>268</v>
      </c>
      <c r="O51" s="39">
        <v>354</v>
      </c>
      <c r="P51" s="37">
        <v>390</v>
      </c>
      <c r="Q51" s="39">
        <v>368</v>
      </c>
      <c r="R51" s="39">
        <v>167</v>
      </c>
      <c r="S51" s="39">
        <v>131</v>
      </c>
      <c r="T51" s="39">
        <v>174</v>
      </c>
      <c r="U51" s="39">
        <v>166</v>
      </c>
      <c r="V51" s="41" t="s">
        <v>53</v>
      </c>
      <c r="W51" s="39">
        <v>42</v>
      </c>
      <c r="X51" s="39">
        <v>241</v>
      </c>
      <c r="Y51" s="39">
        <v>436</v>
      </c>
      <c r="Z51" s="39">
        <v>438</v>
      </c>
      <c r="AA51" s="42">
        <v>412</v>
      </c>
      <c r="AB51" s="39">
        <v>230</v>
      </c>
      <c r="AC51" s="39">
        <v>229</v>
      </c>
      <c r="AD51" s="39">
        <v>139</v>
      </c>
      <c r="AE51" s="41" t="s">
        <v>53</v>
      </c>
      <c r="AF51" s="39">
        <v>226</v>
      </c>
      <c r="AG51" s="39">
        <v>284</v>
      </c>
      <c r="AH51" s="39">
        <v>138</v>
      </c>
      <c r="AI51" s="39">
        <v>120</v>
      </c>
      <c r="AJ51" s="39">
        <v>278</v>
      </c>
      <c r="AK51" s="39">
        <v>390</v>
      </c>
      <c r="AL51" s="37">
        <v>367</v>
      </c>
      <c r="AM51" s="39">
        <v>314</v>
      </c>
      <c r="AN51" s="39">
        <v>289</v>
      </c>
      <c r="AO51" s="39">
        <v>346</v>
      </c>
      <c r="AP51" s="41" t="s">
        <v>53</v>
      </c>
      <c r="AQ51" s="39">
        <v>239</v>
      </c>
      <c r="AR51" s="39">
        <v>437</v>
      </c>
      <c r="AS51" s="39">
        <v>358</v>
      </c>
      <c r="AT51" s="37">
        <v>341</v>
      </c>
      <c r="AU51" s="39">
        <v>328</v>
      </c>
      <c r="AV51" s="39">
        <v>289</v>
      </c>
      <c r="AW51" s="39">
        <v>316</v>
      </c>
      <c r="AX51" s="39">
        <v>353</v>
      </c>
      <c r="AY51" s="39">
        <v>471</v>
      </c>
      <c r="AZ51" s="39">
        <v>175</v>
      </c>
      <c r="BA51" s="37">
        <v>175</v>
      </c>
      <c r="BB51" s="39">
        <v>154</v>
      </c>
      <c r="BC51" s="39">
        <v>158</v>
      </c>
      <c r="BD51" s="39">
        <v>164</v>
      </c>
      <c r="BE51" s="39">
        <v>165</v>
      </c>
      <c r="BF51" s="39">
        <v>112</v>
      </c>
      <c r="BG51" s="37">
        <v>26</v>
      </c>
      <c r="BH51" s="39">
        <v>21</v>
      </c>
      <c r="BI51" s="39">
        <v>22</v>
      </c>
      <c r="BJ51" s="39">
        <v>21</v>
      </c>
      <c r="BK51" s="42">
        <v>21</v>
      </c>
      <c r="BL51" s="37" t="s">
        <v>54</v>
      </c>
      <c r="BM51" s="39">
        <v>106</v>
      </c>
      <c r="BN51" s="39">
        <v>156</v>
      </c>
      <c r="BO51" s="39">
        <v>146</v>
      </c>
      <c r="BP51" s="39">
        <v>156</v>
      </c>
      <c r="BQ51" s="37" t="s">
        <v>54</v>
      </c>
      <c r="BR51" s="39">
        <v>161</v>
      </c>
      <c r="BS51" s="39">
        <v>181</v>
      </c>
      <c r="BT51" s="67" t="s">
        <v>17</v>
      </c>
      <c r="BY51" s="21"/>
      <c r="BZ51" s="21"/>
      <c r="CA51" s="21"/>
      <c r="CB51" s="21"/>
    </row>
    <row r="52" spans="1:80" ht="23.25" customHeight="1" x14ac:dyDescent="0.4">
      <c r="A52" s="34" t="s">
        <v>18</v>
      </c>
      <c r="B52" s="34"/>
      <c r="C52" s="35">
        <v>128</v>
      </c>
      <c r="D52" s="35">
        <v>139</v>
      </c>
      <c r="E52" s="35">
        <v>178</v>
      </c>
      <c r="F52" s="36">
        <v>186</v>
      </c>
      <c r="G52" s="37">
        <v>182</v>
      </c>
      <c r="H52" s="38">
        <v>194</v>
      </c>
      <c r="I52" s="39">
        <v>209</v>
      </c>
      <c r="J52" s="39">
        <v>200</v>
      </c>
      <c r="K52" s="39">
        <v>220</v>
      </c>
      <c r="L52" s="40">
        <v>274</v>
      </c>
      <c r="M52" s="40">
        <v>284</v>
      </c>
      <c r="N52" s="40">
        <v>274</v>
      </c>
      <c r="O52" s="39">
        <v>368</v>
      </c>
      <c r="P52" s="37">
        <v>356</v>
      </c>
      <c r="Q52" s="39">
        <v>364</v>
      </c>
      <c r="R52" s="39">
        <v>102</v>
      </c>
      <c r="S52" s="39">
        <v>99</v>
      </c>
      <c r="T52" s="39">
        <v>130</v>
      </c>
      <c r="U52" s="39">
        <v>154</v>
      </c>
      <c r="V52" s="41" t="s">
        <v>53</v>
      </c>
      <c r="W52" s="39">
        <v>68</v>
      </c>
      <c r="X52" s="39">
        <v>233</v>
      </c>
      <c r="Y52" s="39">
        <v>380</v>
      </c>
      <c r="Z52" s="39">
        <v>372</v>
      </c>
      <c r="AA52" s="42">
        <v>426</v>
      </c>
      <c r="AB52" s="39">
        <v>236</v>
      </c>
      <c r="AC52" s="39">
        <v>222</v>
      </c>
      <c r="AD52" s="39">
        <v>136</v>
      </c>
      <c r="AE52" s="41" t="s">
        <v>53</v>
      </c>
      <c r="AF52" s="39">
        <v>180</v>
      </c>
      <c r="AG52" s="39">
        <v>382</v>
      </c>
      <c r="AH52" s="39">
        <v>168</v>
      </c>
      <c r="AI52" s="39">
        <v>147</v>
      </c>
      <c r="AJ52" s="39">
        <v>211</v>
      </c>
      <c r="AK52" s="39">
        <v>411</v>
      </c>
      <c r="AL52" s="37">
        <v>397</v>
      </c>
      <c r="AM52" s="39">
        <v>370</v>
      </c>
      <c r="AN52" s="39">
        <v>325</v>
      </c>
      <c r="AO52" s="39">
        <v>527</v>
      </c>
      <c r="AP52" s="41" t="s">
        <v>53</v>
      </c>
      <c r="AQ52" s="39">
        <v>288</v>
      </c>
      <c r="AR52" s="39">
        <v>454</v>
      </c>
      <c r="AS52" s="39">
        <v>370</v>
      </c>
      <c r="AT52" s="37">
        <v>341</v>
      </c>
      <c r="AU52" s="39">
        <v>321</v>
      </c>
      <c r="AV52" s="39">
        <v>259</v>
      </c>
      <c r="AW52" s="39">
        <v>319</v>
      </c>
      <c r="AX52" s="39">
        <v>336</v>
      </c>
      <c r="AY52" s="39">
        <v>428</v>
      </c>
      <c r="AZ52" s="39">
        <v>181</v>
      </c>
      <c r="BA52" s="37">
        <v>166</v>
      </c>
      <c r="BB52" s="39">
        <v>163</v>
      </c>
      <c r="BC52" s="39">
        <v>142</v>
      </c>
      <c r="BD52" s="39">
        <v>158</v>
      </c>
      <c r="BE52" s="39">
        <v>149</v>
      </c>
      <c r="BF52" s="39">
        <v>91</v>
      </c>
      <c r="BG52" s="37">
        <v>28</v>
      </c>
      <c r="BH52" s="39">
        <v>21</v>
      </c>
      <c r="BI52" s="39">
        <v>20</v>
      </c>
      <c r="BJ52" s="39">
        <v>16</v>
      </c>
      <c r="BK52" s="42">
        <v>15</v>
      </c>
      <c r="BL52" s="37">
        <v>9</v>
      </c>
      <c r="BM52" s="39">
        <v>90</v>
      </c>
      <c r="BN52" s="39">
        <v>160</v>
      </c>
      <c r="BO52" s="39">
        <v>146</v>
      </c>
      <c r="BP52" s="39">
        <v>182</v>
      </c>
      <c r="BQ52" s="37" t="s">
        <v>54</v>
      </c>
      <c r="BR52" s="39">
        <v>148</v>
      </c>
      <c r="BS52" s="39">
        <v>184</v>
      </c>
      <c r="BT52" s="67" t="s">
        <v>19</v>
      </c>
    </row>
    <row r="53" spans="1:80" ht="23.25" customHeight="1" x14ac:dyDescent="0.4">
      <c r="A53" s="34" t="s">
        <v>20</v>
      </c>
      <c r="B53" s="34"/>
      <c r="C53" s="35">
        <v>137</v>
      </c>
      <c r="D53" s="35">
        <v>136</v>
      </c>
      <c r="E53" s="35">
        <v>192</v>
      </c>
      <c r="F53" s="36">
        <v>180</v>
      </c>
      <c r="G53" s="37">
        <v>174</v>
      </c>
      <c r="H53" s="38">
        <v>185</v>
      </c>
      <c r="I53" s="39">
        <v>192</v>
      </c>
      <c r="J53" s="39">
        <v>175</v>
      </c>
      <c r="K53" s="39">
        <v>185</v>
      </c>
      <c r="L53" s="40">
        <v>278</v>
      </c>
      <c r="M53" s="40">
        <v>318</v>
      </c>
      <c r="N53" s="40">
        <v>328</v>
      </c>
      <c r="O53" s="39">
        <v>346</v>
      </c>
      <c r="P53" s="37">
        <v>340</v>
      </c>
      <c r="Q53" s="39">
        <v>336</v>
      </c>
      <c r="R53" s="39">
        <v>127</v>
      </c>
      <c r="S53" s="39">
        <v>102</v>
      </c>
      <c r="T53" s="39">
        <v>173</v>
      </c>
      <c r="U53" s="39">
        <v>169</v>
      </c>
      <c r="V53" s="41" t="s">
        <v>53</v>
      </c>
      <c r="W53" s="39">
        <v>58</v>
      </c>
      <c r="X53" s="39">
        <v>225</v>
      </c>
      <c r="Y53" s="39">
        <v>376</v>
      </c>
      <c r="Z53" s="39">
        <v>356</v>
      </c>
      <c r="AA53" s="42">
        <v>406</v>
      </c>
      <c r="AB53" s="39">
        <v>231</v>
      </c>
      <c r="AC53" s="39">
        <v>138</v>
      </c>
      <c r="AD53" s="39">
        <v>198</v>
      </c>
      <c r="AE53" s="41" t="s">
        <v>53</v>
      </c>
      <c r="AF53" s="39">
        <v>150</v>
      </c>
      <c r="AG53" s="39">
        <v>354</v>
      </c>
      <c r="AH53" s="39">
        <v>168</v>
      </c>
      <c r="AI53" s="39">
        <v>137</v>
      </c>
      <c r="AJ53" s="39">
        <v>190</v>
      </c>
      <c r="AK53" s="39">
        <v>407</v>
      </c>
      <c r="AL53" s="37">
        <v>345</v>
      </c>
      <c r="AM53" s="39">
        <v>327</v>
      </c>
      <c r="AN53" s="39">
        <v>395</v>
      </c>
      <c r="AO53" s="39">
        <v>374</v>
      </c>
      <c r="AP53" s="41" t="s">
        <v>53</v>
      </c>
      <c r="AQ53" s="39">
        <v>292</v>
      </c>
      <c r="AR53" s="39">
        <v>442</v>
      </c>
      <c r="AS53" s="39">
        <v>331</v>
      </c>
      <c r="AT53" s="37">
        <v>302</v>
      </c>
      <c r="AU53" s="39">
        <v>286</v>
      </c>
      <c r="AV53" s="39">
        <v>341</v>
      </c>
      <c r="AW53" s="39">
        <v>310</v>
      </c>
      <c r="AX53" s="39">
        <v>340</v>
      </c>
      <c r="AY53" s="39">
        <v>450</v>
      </c>
      <c r="AZ53" s="39">
        <v>168</v>
      </c>
      <c r="BA53" s="37">
        <v>146</v>
      </c>
      <c r="BB53" s="39">
        <v>144</v>
      </c>
      <c r="BC53" s="39">
        <v>145</v>
      </c>
      <c r="BD53" s="39">
        <v>155</v>
      </c>
      <c r="BE53" s="39">
        <v>153</v>
      </c>
      <c r="BF53" s="39">
        <v>68</v>
      </c>
      <c r="BG53" s="37">
        <v>28</v>
      </c>
      <c r="BH53" s="39">
        <v>18</v>
      </c>
      <c r="BI53" s="39">
        <v>20</v>
      </c>
      <c r="BJ53" s="39">
        <v>19</v>
      </c>
      <c r="BK53" s="42">
        <v>20</v>
      </c>
      <c r="BL53" s="37">
        <v>43</v>
      </c>
      <c r="BM53" s="39">
        <v>86</v>
      </c>
      <c r="BN53" s="39">
        <v>147</v>
      </c>
      <c r="BO53" s="39">
        <v>150</v>
      </c>
      <c r="BP53" s="39">
        <v>151</v>
      </c>
      <c r="BQ53" s="37" t="s">
        <v>54</v>
      </c>
      <c r="BR53" s="39">
        <v>123</v>
      </c>
      <c r="BS53" s="39">
        <v>166</v>
      </c>
      <c r="BT53" s="67" t="s">
        <v>21</v>
      </c>
    </row>
    <row r="54" spans="1:80" ht="23.25" customHeight="1" x14ac:dyDescent="0.4">
      <c r="A54" s="34" t="s">
        <v>22</v>
      </c>
      <c r="B54" s="34"/>
      <c r="C54" s="35">
        <v>178</v>
      </c>
      <c r="D54" s="35">
        <v>154</v>
      </c>
      <c r="E54" s="35">
        <v>189</v>
      </c>
      <c r="F54" s="36">
        <v>178</v>
      </c>
      <c r="G54" s="37">
        <v>168</v>
      </c>
      <c r="H54" s="38">
        <v>193</v>
      </c>
      <c r="I54" s="39">
        <v>215</v>
      </c>
      <c r="J54" s="39">
        <v>195</v>
      </c>
      <c r="K54" s="39">
        <v>195</v>
      </c>
      <c r="L54" s="40">
        <v>322</v>
      </c>
      <c r="M54" s="40">
        <v>372</v>
      </c>
      <c r="N54" s="40">
        <v>308</v>
      </c>
      <c r="O54" s="39">
        <v>362</v>
      </c>
      <c r="P54" s="37">
        <v>356</v>
      </c>
      <c r="Q54" s="39">
        <v>402</v>
      </c>
      <c r="R54" s="39">
        <v>161</v>
      </c>
      <c r="S54" s="39">
        <v>146</v>
      </c>
      <c r="T54" s="39">
        <v>124</v>
      </c>
      <c r="U54" s="39">
        <v>161</v>
      </c>
      <c r="V54" s="41" t="s">
        <v>53</v>
      </c>
      <c r="W54" s="39">
        <v>60</v>
      </c>
      <c r="X54" s="39">
        <v>228</v>
      </c>
      <c r="Y54" s="39">
        <v>442</v>
      </c>
      <c r="Z54" s="39">
        <v>370</v>
      </c>
      <c r="AA54" s="42">
        <v>402</v>
      </c>
      <c r="AB54" s="39">
        <v>247</v>
      </c>
      <c r="AC54" s="39">
        <v>132</v>
      </c>
      <c r="AD54" s="39">
        <v>211</v>
      </c>
      <c r="AE54" s="41" t="s">
        <v>53</v>
      </c>
      <c r="AF54" s="39">
        <v>226</v>
      </c>
      <c r="AG54" s="39">
        <v>337</v>
      </c>
      <c r="AH54" s="39">
        <v>189</v>
      </c>
      <c r="AI54" s="39">
        <v>148</v>
      </c>
      <c r="AJ54" s="39">
        <v>151</v>
      </c>
      <c r="AK54" s="39">
        <v>452</v>
      </c>
      <c r="AL54" s="37">
        <v>353</v>
      </c>
      <c r="AM54" s="39">
        <v>338</v>
      </c>
      <c r="AN54" s="39">
        <v>428</v>
      </c>
      <c r="AO54" s="39">
        <v>403</v>
      </c>
      <c r="AP54" s="41" t="s">
        <v>53</v>
      </c>
      <c r="AQ54" s="39">
        <v>302</v>
      </c>
      <c r="AR54" s="39">
        <v>430</v>
      </c>
      <c r="AS54" s="39">
        <v>346</v>
      </c>
      <c r="AT54" s="37">
        <v>330</v>
      </c>
      <c r="AU54" s="39">
        <v>296</v>
      </c>
      <c r="AV54" s="39">
        <v>254</v>
      </c>
      <c r="AW54" s="39">
        <v>366</v>
      </c>
      <c r="AX54" s="39">
        <v>378</v>
      </c>
      <c r="AY54" s="39">
        <v>478</v>
      </c>
      <c r="AZ54" s="39">
        <v>173</v>
      </c>
      <c r="BA54" s="37">
        <v>152</v>
      </c>
      <c r="BB54" s="39">
        <v>162</v>
      </c>
      <c r="BC54" s="39">
        <v>154</v>
      </c>
      <c r="BD54" s="39">
        <v>166</v>
      </c>
      <c r="BE54" s="39">
        <v>153</v>
      </c>
      <c r="BF54" s="39">
        <v>58</v>
      </c>
      <c r="BG54" s="37">
        <v>26</v>
      </c>
      <c r="BH54" s="39">
        <v>25</v>
      </c>
      <c r="BI54" s="39">
        <v>21</v>
      </c>
      <c r="BJ54" s="39">
        <v>19</v>
      </c>
      <c r="BK54" s="42">
        <v>23</v>
      </c>
      <c r="BL54" s="37">
        <v>39</v>
      </c>
      <c r="BM54" s="39">
        <v>120</v>
      </c>
      <c r="BN54" s="39">
        <v>155</v>
      </c>
      <c r="BO54" s="39">
        <v>169</v>
      </c>
      <c r="BP54" s="39">
        <v>165</v>
      </c>
      <c r="BQ54" s="37" t="s">
        <v>54</v>
      </c>
      <c r="BR54" s="39">
        <v>157</v>
      </c>
      <c r="BS54" s="39">
        <v>176</v>
      </c>
      <c r="BT54" s="67" t="s">
        <v>23</v>
      </c>
      <c r="BY54" s="21"/>
      <c r="BZ54" s="21"/>
      <c r="CA54" s="21"/>
      <c r="CB54" s="21"/>
    </row>
    <row r="55" spans="1:80" ht="23.25" customHeight="1" x14ac:dyDescent="0.4">
      <c r="A55" s="34" t="s">
        <v>24</v>
      </c>
      <c r="B55" s="34"/>
      <c r="C55" s="35">
        <v>139</v>
      </c>
      <c r="D55" s="35">
        <v>153</v>
      </c>
      <c r="E55" s="35">
        <v>200</v>
      </c>
      <c r="F55" s="36">
        <v>189</v>
      </c>
      <c r="G55" s="37">
        <v>173</v>
      </c>
      <c r="H55" s="38">
        <v>214</v>
      </c>
      <c r="I55" s="39">
        <v>217</v>
      </c>
      <c r="J55" s="39">
        <v>210</v>
      </c>
      <c r="K55" s="39">
        <v>221</v>
      </c>
      <c r="L55" s="40">
        <v>254</v>
      </c>
      <c r="M55" s="40">
        <v>362</v>
      </c>
      <c r="N55" s="40">
        <v>464</v>
      </c>
      <c r="O55" s="39">
        <v>392</v>
      </c>
      <c r="P55" s="37">
        <v>346</v>
      </c>
      <c r="Q55" s="39">
        <v>438</v>
      </c>
      <c r="R55" s="39">
        <v>121</v>
      </c>
      <c r="S55" s="39">
        <v>145</v>
      </c>
      <c r="T55" s="39">
        <v>138</v>
      </c>
      <c r="U55" s="39">
        <v>159</v>
      </c>
      <c r="V55" s="41" t="s">
        <v>53</v>
      </c>
      <c r="W55" s="39">
        <v>66</v>
      </c>
      <c r="X55" s="39">
        <v>226</v>
      </c>
      <c r="Y55" s="39">
        <v>436</v>
      </c>
      <c r="Z55" s="39">
        <v>412</v>
      </c>
      <c r="AA55" s="42">
        <v>424</v>
      </c>
      <c r="AB55" s="39">
        <v>226</v>
      </c>
      <c r="AC55" s="39">
        <v>99</v>
      </c>
      <c r="AD55" s="39">
        <v>149</v>
      </c>
      <c r="AE55" s="41" t="s">
        <v>53</v>
      </c>
      <c r="AF55" s="39">
        <v>250</v>
      </c>
      <c r="AG55" s="39">
        <v>402</v>
      </c>
      <c r="AH55" s="39">
        <v>146</v>
      </c>
      <c r="AI55" s="39">
        <v>180</v>
      </c>
      <c r="AJ55" s="39">
        <v>177</v>
      </c>
      <c r="AK55" s="39">
        <v>464</v>
      </c>
      <c r="AL55" s="37">
        <v>365</v>
      </c>
      <c r="AM55" s="39">
        <v>381</v>
      </c>
      <c r="AN55" s="39">
        <v>421</v>
      </c>
      <c r="AO55" s="39">
        <v>450</v>
      </c>
      <c r="AP55" s="41" t="s">
        <v>53</v>
      </c>
      <c r="AQ55" s="39">
        <v>333</v>
      </c>
      <c r="AR55" s="39">
        <v>420</v>
      </c>
      <c r="AS55" s="39">
        <v>370</v>
      </c>
      <c r="AT55" s="37">
        <v>341</v>
      </c>
      <c r="AU55" s="39">
        <v>329</v>
      </c>
      <c r="AV55" s="39">
        <v>159</v>
      </c>
      <c r="AW55" s="39">
        <v>397</v>
      </c>
      <c r="AX55" s="39">
        <v>430</v>
      </c>
      <c r="AY55" s="39">
        <v>480</v>
      </c>
      <c r="AZ55" s="39">
        <v>172</v>
      </c>
      <c r="BA55" s="37">
        <v>163</v>
      </c>
      <c r="BB55" s="39">
        <v>156</v>
      </c>
      <c r="BC55" s="39">
        <v>148</v>
      </c>
      <c r="BD55" s="39">
        <v>165</v>
      </c>
      <c r="BE55" s="39">
        <v>161</v>
      </c>
      <c r="BF55" s="39">
        <v>60</v>
      </c>
      <c r="BG55" s="37">
        <v>26</v>
      </c>
      <c r="BH55" s="39">
        <v>19</v>
      </c>
      <c r="BI55" s="39">
        <v>22</v>
      </c>
      <c r="BJ55" s="39">
        <v>27</v>
      </c>
      <c r="BK55" s="42">
        <v>30</v>
      </c>
      <c r="BL55" s="37">
        <v>54</v>
      </c>
      <c r="BM55" s="39">
        <v>149</v>
      </c>
      <c r="BN55" s="39">
        <v>173</v>
      </c>
      <c r="BO55" s="39">
        <v>147</v>
      </c>
      <c r="BP55" s="39">
        <v>155</v>
      </c>
      <c r="BQ55" s="37" t="s">
        <v>54</v>
      </c>
      <c r="BR55" s="39">
        <v>172</v>
      </c>
      <c r="BS55" s="39">
        <v>189</v>
      </c>
      <c r="BT55" s="67" t="s">
        <v>25</v>
      </c>
    </row>
    <row r="56" spans="1:80" ht="23.25" customHeight="1" x14ac:dyDescent="0.4">
      <c r="A56" s="34" t="s">
        <v>26</v>
      </c>
      <c r="B56" s="34"/>
      <c r="C56" s="35">
        <v>148</v>
      </c>
      <c r="D56" s="35">
        <v>155</v>
      </c>
      <c r="E56" s="35">
        <v>200</v>
      </c>
      <c r="F56" s="36">
        <v>185</v>
      </c>
      <c r="G56" s="37">
        <v>177</v>
      </c>
      <c r="H56" s="38">
        <v>233</v>
      </c>
      <c r="I56" s="39">
        <v>242</v>
      </c>
      <c r="J56" s="39">
        <v>215</v>
      </c>
      <c r="K56" s="39">
        <v>228</v>
      </c>
      <c r="L56" s="40">
        <v>272</v>
      </c>
      <c r="M56" s="40">
        <v>286</v>
      </c>
      <c r="N56" s="40">
        <v>376</v>
      </c>
      <c r="O56" s="39">
        <v>346</v>
      </c>
      <c r="P56" s="37">
        <v>320</v>
      </c>
      <c r="Q56" s="39">
        <v>432</v>
      </c>
      <c r="R56" s="39">
        <v>139</v>
      </c>
      <c r="S56" s="39">
        <v>100</v>
      </c>
      <c r="T56" s="39">
        <v>202</v>
      </c>
      <c r="U56" s="39">
        <v>139</v>
      </c>
      <c r="V56" s="41" t="s">
        <v>53</v>
      </c>
      <c r="W56" s="39">
        <v>54</v>
      </c>
      <c r="X56" s="39">
        <v>199</v>
      </c>
      <c r="Y56" s="39">
        <v>434</v>
      </c>
      <c r="Z56" s="39">
        <v>402</v>
      </c>
      <c r="AA56" s="42">
        <v>392</v>
      </c>
      <c r="AB56" s="39">
        <v>223</v>
      </c>
      <c r="AC56" s="39">
        <v>185</v>
      </c>
      <c r="AD56" s="39">
        <v>167</v>
      </c>
      <c r="AE56" s="41" t="s">
        <v>53</v>
      </c>
      <c r="AF56" s="39">
        <v>308</v>
      </c>
      <c r="AG56" s="39">
        <v>387</v>
      </c>
      <c r="AH56" s="39">
        <v>172</v>
      </c>
      <c r="AI56" s="39">
        <v>191</v>
      </c>
      <c r="AJ56" s="39">
        <v>178</v>
      </c>
      <c r="AK56" s="39">
        <v>409</v>
      </c>
      <c r="AL56" s="37">
        <v>341</v>
      </c>
      <c r="AM56" s="39">
        <v>317</v>
      </c>
      <c r="AN56" s="39">
        <v>419</v>
      </c>
      <c r="AO56" s="39">
        <v>375</v>
      </c>
      <c r="AP56" s="41" t="s">
        <v>53</v>
      </c>
      <c r="AQ56" s="39">
        <v>335</v>
      </c>
      <c r="AR56" s="39">
        <v>318</v>
      </c>
      <c r="AS56" s="39">
        <v>357</v>
      </c>
      <c r="AT56" s="37">
        <v>314</v>
      </c>
      <c r="AU56" s="39">
        <v>331</v>
      </c>
      <c r="AV56" s="39">
        <v>159</v>
      </c>
      <c r="AW56" s="39">
        <v>362</v>
      </c>
      <c r="AX56" s="39">
        <v>360</v>
      </c>
      <c r="AY56" s="39">
        <v>380</v>
      </c>
      <c r="AZ56" s="39">
        <v>166</v>
      </c>
      <c r="BA56" s="37">
        <v>151</v>
      </c>
      <c r="BB56" s="39">
        <v>155</v>
      </c>
      <c r="BC56" s="39">
        <v>166</v>
      </c>
      <c r="BD56" s="39">
        <v>158</v>
      </c>
      <c r="BE56" s="39">
        <v>154</v>
      </c>
      <c r="BF56" s="39">
        <v>46</v>
      </c>
      <c r="BG56" s="37">
        <v>32</v>
      </c>
      <c r="BH56" s="39">
        <v>24</v>
      </c>
      <c r="BI56" s="39">
        <v>21</v>
      </c>
      <c r="BJ56" s="39">
        <v>23</v>
      </c>
      <c r="BK56" s="42">
        <v>21</v>
      </c>
      <c r="BL56" s="37">
        <v>69</v>
      </c>
      <c r="BM56" s="39">
        <v>130</v>
      </c>
      <c r="BN56" s="39">
        <v>173</v>
      </c>
      <c r="BO56" s="39">
        <v>141</v>
      </c>
      <c r="BP56" s="39">
        <v>154</v>
      </c>
      <c r="BQ56" s="37" t="s">
        <v>54</v>
      </c>
      <c r="BR56" s="39">
        <v>165</v>
      </c>
      <c r="BS56" s="39">
        <v>161</v>
      </c>
      <c r="BT56" s="67" t="s">
        <v>27</v>
      </c>
    </row>
    <row r="57" spans="1:80" ht="23.25" customHeight="1" x14ac:dyDescent="0.4">
      <c r="A57" s="34" t="s">
        <v>28</v>
      </c>
      <c r="B57" s="34"/>
      <c r="C57" s="35">
        <v>144</v>
      </c>
      <c r="D57" s="35">
        <v>157</v>
      </c>
      <c r="E57" s="35">
        <v>204</v>
      </c>
      <c r="F57" s="36">
        <v>180</v>
      </c>
      <c r="G57" s="37">
        <v>163</v>
      </c>
      <c r="H57" s="38">
        <v>228</v>
      </c>
      <c r="I57" s="39">
        <v>238</v>
      </c>
      <c r="J57" s="39">
        <v>168</v>
      </c>
      <c r="K57" s="39">
        <v>217</v>
      </c>
      <c r="L57" s="40">
        <v>190</v>
      </c>
      <c r="M57" s="40">
        <v>272</v>
      </c>
      <c r="N57" s="40">
        <v>380</v>
      </c>
      <c r="O57" s="39">
        <v>366</v>
      </c>
      <c r="P57" s="37">
        <v>334</v>
      </c>
      <c r="Q57" s="39">
        <v>492</v>
      </c>
      <c r="R57" s="39">
        <v>104</v>
      </c>
      <c r="S57" s="39">
        <v>122</v>
      </c>
      <c r="T57" s="39">
        <v>165</v>
      </c>
      <c r="U57" s="39">
        <v>177</v>
      </c>
      <c r="V57" s="39">
        <v>4</v>
      </c>
      <c r="W57" s="39">
        <v>52</v>
      </c>
      <c r="X57" s="39">
        <v>210</v>
      </c>
      <c r="Y57" s="39">
        <v>446</v>
      </c>
      <c r="Z57" s="39">
        <v>394</v>
      </c>
      <c r="AA57" s="42">
        <v>408</v>
      </c>
      <c r="AB57" s="39">
        <v>251</v>
      </c>
      <c r="AC57" s="39">
        <v>104</v>
      </c>
      <c r="AD57" s="39">
        <v>172</v>
      </c>
      <c r="AE57" s="39">
        <v>186</v>
      </c>
      <c r="AF57" s="39">
        <v>365</v>
      </c>
      <c r="AG57" s="39">
        <v>439</v>
      </c>
      <c r="AH57" s="39">
        <v>122</v>
      </c>
      <c r="AI57" s="39">
        <v>105</v>
      </c>
      <c r="AJ57" s="39">
        <v>151</v>
      </c>
      <c r="AK57" s="39">
        <v>451</v>
      </c>
      <c r="AL57" s="37">
        <v>336</v>
      </c>
      <c r="AM57" s="39">
        <v>326</v>
      </c>
      <c r="AN57" s="39">
        <v>402</v>
      </c>
      <c r="AO57" s="39">
        <v>414</v>
      </c>
      <c r="AP57" s="39">
        <v>30</v>
      </c>
      <c r="AQ57" s="39">
        <v>357</v>
      </c>
      <c r="AR57" s="39">
        <v>350</v>
      </c>
      <c r="AS57" s="39">
        <v>368</v>
      </c>
      <c r="AT57" s="37">
        <v>328</v>
      </c>
      <c r="AU57" s="39">
        <v>321</v>
      </c>
      <c r="AV57" s="39">
        <v>160</v>
      </c>
      <c r="AW57" s="39">
        <v>387</v>
      </c>
      <c r="AX57" s="39">
        <v>392</v>
      </c>
      <c r="AY57" s="39">
        <v>441</v>
      </c>
      <c r="AZ57" s="39">
        <v>185</v>
      </c>
      <c r="BA57" s="37">
        <v>173</v>
      </c>
      <c r="BB57" s="39">
        <v>167</v>
      </c>
      <c r="BC57" s="39">
        <v>163</v>
      </c>
      <c r="BD57" s="39">
        <v>167</v>
      </c>
      <c r="BE57" s="39">
        <v>165</v>
      </c>
      <c r="BF57" s="39">
        <v>54</v>
      </c>
      <c r="BG57" s="37">
        <v>27</v>
      </c>
      <c r="BH57" s="39">
        <v>20</v>
      </c>
      <c r="BI57" s="39">
        <v>19</v>
      </c>
      <c r="BJ57" s="39">
        <v>18</v>
      </c>
      <c r="BK57" s="42">
        <v>19</v>
      </c>
      <c r="BL57" s="37">
        <v>87</v>
      </c>
      <c r="BM57" s="39">
        <v>150</v>
      </c>
      <c r="BN57" s="39">
        <v>188</v>
      </c>
      <c r="BO57" s="39">
        <v>171</v>
      </c>
      <c r="BP57" s="39">
        <v>171</v>
      </c>
      <c r="BQ57" s="37">
        <v>132</v>
      </c>
      <c r="BR57" s="39">
        <v>180</v>
      </c>
      <c r="BS57" s="39">
        <v>186</v>
      </c>
      <c r="BT57" s="67" t="s">
        <v>29</v>
      </c>
      <c r="BY57" s="21"/>
      <c r="BZ57" s="21"/>
      <c r="CA57" s="21"/>
      <c r="CB57" s="21"/>
    </row>
    <row r="58" spans="1:80" ht="23.25" customHeight="1" x14ac:dyDescent="0.4">
      <c r="A58" s="34" t="s">
        <v>30</v>
      </c>
      <c r="B58" s="34"/>
      <c r="C58" s="35">
        <v>151</v>
      </c>
      <c r="D58" s="35">
        <v>170</v>
      </c>
      <c r="E58" s="35">
        <v>203</v>
      </c>
      <c r="F58" s="36">
        <v>147</v>
      </c>
      <c r="G58" s="37">
        <v>179</v>
      </c>
      <c r="H58" s="38">
        <v>202</v>
      </c>
      <c r="I58" s="39">
        <v>241</v>
      </c>
      <c r="J58" s="39">
        <v>204</v>
      </c>
      <c r="K58" s="39">
        <v>226</v>
      </c>
      <c r="L58" s="40">
        <v>354</v>
      </c>
      <c r="M58" s="40">
        <v>282</v>
      </c>
      <c r="N58" s="40">
        <v>390</v>
      </c>
      <c r="O58" s="39">
        <v>374</v>
      </c>
      <c r="P58" s="37">
        <v>334</v>
      </c>
      <c r="Q58" s="39">
        <v>458</v>
      </c>
      <c r="R58" s="39">
        <v>142</v>
      </c>
      <c r="S58" s="39">
        <v>129</v>
      </c>
      <c r="T58" s="39">
        <v>199</v>
      </c>
      <c r="U58" s="39">
        <v>160</v>
      </c>
      <c r="V58" s="39">
        <v>144</v>
      </c>
      <c r="W58" s="39">
        <v>84</v>
      </c>
      <c r="X58" s="39">
        <v>253</v>
      </c>
      <c r="Y58" s="39">
        <v>410</v>
      </c>
      <c r="Z58" s="39">
        <v>390</v>
      </c>
      <c r="AA58" s="42">
        <v>348</v>
      </c>
      <c r="AB58" s="39">
        <v>224</v>
      </c>
      <c r="AC58" s="39">
        <v>162</v>
      </c>
      <c r="AD58" s="39">
        <v>177</v>
      </c>
      <c r="AE58" s="39">
        <v>275</v>
      </c>
      <c r="AF58" s="39">
        <v>325</v>
      </c>
      <c r="AG58" s="39">
        <v>415</v>
      </c>
      <c r="AH58" s="39">
        <v>133</v>
      </c>
      <c r="AI58" s="39">
        <v>148</v>
      </c>
      <c r="AJ58" s="39">
        <v>173</v>
      </c>
      <c r="AK58" s="39">
        <v>375</v>
      </c>
      <c r="AL58" s="37">
        <v>304</v>
      </c>
      <c r="AM58" s="39">
        <v>298</v>
      </c>
      <c r="AN58" s="39">
        <v>365</v>
      </c>
      <c r="AO58" s="39">
        <v>383</v>
      </c>
      <c r="AP58" s="39">
        <v>49</v>
      </c>
      <c r="AQ58" s="39">
        <v>365</v>
      </c>
      <c r="AR58" s="39">
        <v>349</v>
      </c>
      <c r="AS58" s="39">
        <v>309</v>
      </c>
      <c r="AT58" s="37">
        <v>319</v>
      </c>
      <c r="AU58" s="39">
        <v>324</v>
      </c>
      <c r="AV58" s="39">
        <v>159</v>
      </c>
      <c r="AW58" s="39">
        <v>370</v>
      </c>
      <c r="AX58" s="39">
        <v>379</v>
      </c>
      <c r="AY58" s="39">
        <v>374</v>
      </c>
      <c r="AZ58" s="39">
        <v>169</v>
      </c>
      <c r="BA58" s="37">
        <v>164</v>
      </c>
      <c r="BB58" s="39">
        <v>160</v>
      </c>
      <c r="BC58" s="39">
        <v>170</v>
      </c>
      <c r="BD58" s="39">
        <v>159</v>
      </c>
      <c r="BE58" s="39">
        <v>177</v>
      </c>
      <c r="BF58" s="39">
        <v>50</v>
      </c>
      <c r="BG58" s="37">
        <v>30</v>
      </c>
      <c r="BH58" s="39">
        <v>22</v>
      </c>
      <c r="BI58" s="39">
        <v>21</v>
      </c>
      <c r="BJ58" s="39">
        <v>24</v>
      </c>
      <c r="BK58" s="42">
        <v>17</v>
      </c>
      <c r="BL58" s="37">
        <v>127</v>
      </c>
      <c r="BM58" s="39">
        <v>132</v>
      </c>
      <c r="BN58" s="39">
        <v>164</v>
      </c>
      <c r="BO58" s="39">
        <v>156</v>
      </c>
      <c r="BP58" s="39">
        <v>168</v>
      </c>
      <c r="BQ58" s="37">
        <v>178</v>
      </c>
      <c r="BR58" s="39">
        <v>175</v>
      </c>
      <c r="BS58" s="39">
        <v>210</v>
      </c>
      <c r="BT58" s="67" t="s">
        <v>31</v>
      </c>
    </row>
    <row r="59" spans="1:80" ht="23.25" customHeight="1" x14ac:dyDescent="0.4">
      <c r="A59" s="43" t="s">
        <v>32</v>
      </c>
      <c r="B59" s="43"/>
      <c r="C59" s="44">
        <v>134</v>
      </c>
      <c r="D59" s="44">
        <v>174</v>
      </c>
      <c r="E59" s="44">
        <v>220</v>
      </c>
      <c r="F59" s="45">
        <v>162</v>
      </c>
      <c r="G59" s="46">
        <v>199</v>
      </c>
      <c r="H59" s="47">
        <v>181</v>
      </c>
      <c r="I59" s="48">
        <v>267</v>
      </c>
      <c r="J59" s="48">
        <v>212</v>
      </c>
      <c r="K59" s="48">
        <v>205</v>
      </c>
      <c r="L59" s="49">
        <v>330</v>
      </c>
      <c r="M59" s="49">
        <v>368</v>
      </c>
      <c r="N59" s="49">
        <v>371</v>
      </c>
      <c r="O59" s="48">
        <v>398</v>
      </c>
      <c r="P59" s="46">
        <v>406</v>
      </c>
      <c r="Q59" s="48">
        <v>458</v>
      </c>
      <c r="R59" s="48">
        <v>121</v>
      </c>
      <c r="S59" s="48">
        <v>105</v>
      </c>
      <c r="T59" s="48">
        <v>170</v>
      </c>
      <c r="U59" s="48">
        <v>162</v>
      </c>
      <c r="V59" s="48">
        <v>114</v>
      </c>
      <c r="W59" s="48">
        <v>82</v>
      </c>
      <c r="X59" s="48">
        <v>222</v>
      </c>
      <c r="Y59" s="48">
        <v>418</v>
      </c>
      <c r="Z59" s="48">
        <v>390</v>
      </c>
      <c r="AA59" s="50">
        <v>412</v>
      </c>
      <c r="AB59" s="48">
        <v>220</v>
      </c>
      <c r="AC59" s="48">
        <v>216</v>
      </c>
      <c r="AD59" s="48">
        <v>195</v>
      </c>
      <c r="AE59" s="48">
        <v>308</v>
      </c>
      <c r="AF59" s="48">
        <v>350</v>
      </c>
      <c r="AG59" s="48">
        <v>405</v>
      </c>
      <c r="AH59" s="48">
        <v>167</v>
      </c>
      <c r="AI59" s="48">
        <v>268</v>
      </c>
      <c r="AJ59" s="48">
        <v>217</v>
      </c>
      <c r="AK59" s="48">
        <v>394</v>
      </c>
      <c r="AL59" s="46">
        <v>314</v>
      </c>
      <c r="AM59" s="48">
        <v>316</v>
      </c>
      <c r="AN59" s="48">
        <v>399</v>
      </c>
      <c r="AO59" s="48">
        <v>410</v>
      </c>
      <c r="AP59" s="48">
        <v>94</v>
      </c>
      <c r="AQ59" s="48">
        <v>369</v>
      </c>
      <c r="AR59" s="48">
        <v>346</v>
      </c>
      <c r="AS59" s="48">
        <v>329</v>
      </c>
      <c r="AT59" s="46">
        <v>327</v>
      </c>
      <c r="AU59" s="48">
        <v>329</v>
      </c>
      <c r="AV59" s="48">
        <v>170</v>
      </c>
      <c r="AW59" s="48">
        <v>385</v>
      </c>
      <c r="AX59" s="48">
        <v>387</v>
      </c>
      <c r="AY59" s="48">
        <v>453</v>
      </c>
      <c r="AZ59" s="48">
        <v>178</v>
      </c>
      <c r="BA59" s="46">
        <v>178</v>
      </c>
      <c r="BB59" s="48">
        <v>169</v>
      </c>
      <c r="BC59" s="48">
        <v>180</v>
      </c>
      <c r="BD59" s="48">
        <v>171</v>
      </c>
      <c r="BE59" s="48">
        <v>255</v>
      </c>
      <c r="BF59" s="48">
        <v>39</v>
      </c>
      <c r="BG59" s="46">
        <v>30</v>
      </c>
      <c r="BH59" s="48">
        <v>24</v>
      </c>
      <c r="BI59" s="48">
        <v>23</v>
      </c>
      <c r="BJ59" s="48">
        <v>22</v>
      </c>
      <c r="BK59" s="50">
        <v>15</v>
      </c>
      <c r="BL59" s="46">
        <v>124</v>
      </c>
      <c r="BM59" s="48">
        <v>131</v>
      </c>
      <c r="BN59" s="48">
        <v>169</v>
      </c>
      <c r="BO59" s="48">
        <v>158</v>
      </c>
      <c r="BP59" s="48">
        <v>161</v>
      </c>
      <c r="BQ59" s="46">
        <v>178</v>
      </c>
      <c r="BR59" s="48">
        <v>171</v>
      </c>
      <c r="BS59" s="48">
        <v>212</v>
      </c>
      <c r="BT59" s="68" t="s">
        <v>33</v>
      </c>
    </row>
    <row r="60" spans="1:80" ht="18.75" x14ac:dyDescent="0.25">
      <c r="A60" s="6" t="s">
        <v>6</v>
      </c>
      <c r="B60" s="6"/>
      <c r="C60" s="51"/>
      <c r="D60" s="51"/>
      <c r="E60" s="51"/>
      <c r="F60" s="51"/>
      <c r="G60" s="51"/>
      <c r="H60" s="51"/>
      <c r="I60" s="51"/>
      <c r="J60" s="51"/>
      <c r="K60" s="51"/>
      <c r="BT60" s="7" t="s">
        <v>7</v>
      </c>
      <c r="BX60" s="14"/>
      <c r="BY60" s="21"/>
      <c r="BZ60" s="21"/>
      <c r="CA60" s="21"/>
      <c r="CB60" s="21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F56"/>
  <sheetViews>
    <sheetView tabSelected="1" topLeftCell="B1" zoomScale="98" zoomScaleNormal="98" workbookViewId="0">
      <selection activeCell="BD25" sqref="BD25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12" width="8.140625" style="1" customWidth="1"/>
    <col min="13" max="16" width="8.28515625" style="1" hidden="1" customWidth="1"/>
    <col min="17" max="22" width="8.28515625" style="1" customWidth="1"/>
    <col min="23" max="25" width="8.28515625" style="1" hidden="1" customWidth="1"/>
    <col min="26" max="26" width="7.85546875" style="1" hidden="1" customWidth="1"/>
    <col min="27" max="28" width="7.85546875" style="1" customWidth="1"/>
    <col min="29" max="30" width="7.7109375" style="1" customWidth="1"/>
    <col min="31" max="31" width="7.140625" style="1" customWidth="1"/>
    <col min="32" max="32" width="7.7109375" style="1" customWidth="1"/>
    <col min="33" max="36" width="7.7109375" style="1" hidden="1" customWidth="1"/>
    <col min="37" max="42" width="7.7109375" style="1" customWidth="1"/>
    <col min="43" max="45" width="7" style="1" hidden="1" customWidth="1"/>
    <col min="46" max="51" width="7" style="1" customWidth="1"/>
    <col min="52" max="52" width="8.28515625" style="1" hidden="1" customWidth="1"/>
    <col min="53" max="58" width="8.28515625" style="1" customWidth="1"/>
    <col min="59" max="59" width="8.28515625" style="1" hidden="1" customWidth="1"/>
    <col min="60" max="71" width="8.28515625" style="1" customWidth="1"/>
    <col min="72" max="75" width="9.85546875" style="1" customWidth="1"/>
    <col min="76" max="76" width="12.28515625" style="1" customWidth="1"/>
    <col min="77" max="77" width="2.85546875" style="1" customWidth="1"/>
    <col min="78" max="78" width="45.28515625" style="1" customWidth="1"/>
    <col min="79" max="16384" width="9.140625" style="1"/>
  </cols>
  <sheetData>
    <row r="1" spans="1:84" ht="19.5" x14ac:dyDescent="0.25">
      <c r="A1" s="121" t="s">
        <v>71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9"/>
      <c r="BZ1" s="19"/>
    </row>
    <row r="2" spans="1:84" ht="15" customHeight="1" x14ac:dyDescent="0.25">
      <c r="A2" s="162" t="s">
        <v>70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4"/>
      <c r="BZ2" s="4"/>
    </row>
    <row r="3" spans="1:84" s="2" customFormat="1" ht="7.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</row>
    <row r="4" spans="1:84" s="75" customFormat="1" ht="21.75" customHeight="1" x14ac:dyDescent="0.55000000000000004">
      <c r="A4" s="144" t="s">
        <v>8</v>
      </c>
      <c r="B4" s="74"/>
      <c r="C4" s="163" t="s">
        <v>34</v>
      </c>
      <c r="D4" s="164"/>
      <c r="E4" s="164"/>
      <c r="F4" s="164"/>
      <c r="G4" s="164"/>
      <c r="H4" s="164"/>
      <c r="I4" s="164"/>
      <c r="J4" s="164"/>
      <c r="K4" s="164"/>
      <c r="L4" s="165"/>
      <c r="M4" s="164" t="s">
        <v>35</v>
      </c>
      <c r="N4" s="164"/>
      <c r="O4" s="164"/>
      <c r="P4" s="164"/>
      <c r="Q4" s="164"/>
      <c r="R4" s="164"/>
      <c r="S4" s="164"/>
      <c r="T4" s="164"/>
      <c r="U4" s="164"/>
      <c r="V4" s="165"/>
      <c r="W4" s="169" t="s">
        <v>36</v>
      </c>
      <c r="X4" s="139"/>
      <c r="Y4" s="139"/>
      <c r="Z4" s="139"/>
      <c r="AA4" s="139"/>
      <c r="AB4" s="139"/>
      <c r="AC4" s="139"/>
      <c r="AD4" s="139"/>
      <c r="AE4" s="139"/>
      <c r="AF4" s="170"/>
      <c r="AG4" s="169" t="s">
        <v>37</v>
      </c>
      <c r="AH4" s="139"/>
      <c r="AI4" s="139"/>
      <c r="AJ4" s="139"/>
      <c r="AK4" s="139"/>
      <c r="AL4" s="139"/>
      <c r="AM4" s="139"/>
      <c r="AN4" s="139"/>
      <c r="AO4" s="139"/>
      <c r="AP4" s="139"/>
      <c r="AQ4" s="138" t="s">
        <v>38</v>
      </c>
      <c r="AR4" s="139"/>
      <c r="AS4" s="139"/>
      <c r="AT4" s="139"/>
      <c r="AU4" s="139"/>
      <c r="AV4" s="139"/>
      <c r="AW4" s="139"/>
      <c r="AX4" s="139"/>
      <c r="AY4" s="139"/>
      <c r="AZ4" s="138" t="s">
        <v>39</v>
      </c>
      <c r="BA4" s="139"/>
      <c r="BB4" s="139"/>
      <c r="BC4" s="139"/>
      <c r="BD4" s="139"/>
      <c r="BE4" s="139"/>
      <c r="BF4" s="140"/>
      <c r="BG4" s="71"/>
      <c r="BH4" s="138" t="s">
        <v>40</v>
      </c>
      <c r="BI4" s="139"/>
      <c r="BJ4" s="139"/>
      <c r="BK4" s="139"/>
      <c r="BL4" s="139"/>
      <c r="BM4" s="140"/>
      <c r="BN4" s="138" t="s">
        <v>41</v>
      </c>
      <c r="BO4" s="139"/>
      <c r="BP4" s="139"/>
      <c r="BQ4" s="139"/>
      <c r="BR4" s="139"/>
      <c r="BS4" s="140"/>
      <c r="BT4" s="138" t="s">
        <v>42</v>
      </c>
      <c r="BU4" s="139"/>
      <c r="BV4" s="139"/>
      <c r="BW4" s="115"/>
      <c r="BX4" s="122" t="s">
        <v>9</v>
      </c>
    </row>
    <row r="5" spans="1:84" s="76" customFormat="1" ht="16.5" customHeight="1" x14ac:dyDescent="0.25">
      <c r="A5" s="145"/>
      <c r="B5" s="119"/>
      <c r="C5" s="174" t="s">
        <v>43</v>
      </c>
      <c r="D5" s="133"/>
      <c r="E5" s="133"/>
      <c r="F5" s="133"/>
      <c r="G5" s="133"/>
      <c r="H5" s="133"/>
      <c r="I5" s="133"/>
      <c r="J5" s="133"/>
      <c r="K5" s="133"/>
      <c r="L5" s="166"/>
      <c r="M5" s="133" t="s">
        <v>44</v>
      </c>
      <c r="N5" s="133"/>
      <c r="O5" s="133"/>
      <c r="P5" s="133"/>
      <c r="Q5" s="133"/>
      <c r="R5" s="133"/>
      <c r="S5" s="133"/>
      <c r="T5" s="133"/>
      <c r="U5" s="133"/>
      <c r="V5" s="166"/>
      <c r="W5" s="171" t="s">
        <v>61</v>
      </c>
      <c r="X5" s="131"/>
      <c r="Y5" s="131"/>
      <c r="Z5" s="131"/>
      <c r="AA5" s="131"/>
      <c r="AB5" s="131"/>
      <c r="AC5" s="131"/>
      <c r="AD5" s="131"/>
      <c r="AE5" s="131"/>
      <c r="AF5" s="172"/>
      <c r="AG5" s="173" t="s">
        <v>62</v>
      </c>
      <c r="AH5" s="133"/>
      <c r="AI5" s="133"/>
      <c r="AJ5" s="133"/>
      <c r="AK5" s="133"/>
      <c r="AL5" s="133"/>
      <c r="AM5" s="133"/>
      <c r="AN5" s="133"/>
      <c r="AO5" s="133"/>
      <c r="AP5" s="133"/>
      <c r="AQ5" s="132" t="s">
        <v>63</v>
      </c>
      <c r="AR5" s="133"/>
      <c r="AS5" s="133"/>
      <c r="AT5" s="133"/>
      <c r="AU5" s="133"/>
      <c r="AV5" s="133"/>
      <c r="AW5" s="133"/>
      <c r="AX5" s="133"/>
      <c r="AY5" s="133"/>
      <c r="AZ5" s="132" t="s">
        <v>64</v>
      </c>
      <c r="BA5" s="133"/>
      <c r="BB5" s="133"/>
      <c r="BC5" s="133"/>
      <c r="BD5" s="133"/>
      <c r="BE5" s="133"/>
      <c r="BF5" s="134"/>
      <c r="BG5" s="78"/>
      <c r="BH5" s="132" t="s">
        <v>65</v>
      </c>
      <c r="BI5" s="133"/>
      <c r="BJ5" s="133"/>
      <c r="BK5" s="133"/>
      <c r="BL5" s="133"/>
      <c r="BM5" s="134"/>
      <c r="BN5" s="132" t="s">
        <v>66</v>
      </c>
      <c r="BO5" s="133"/>
      <c r="BP5" s="133"/>
      <c r="BQ5" s="133"/>
      <c r="BR5" s="133"/>
      <c r="BS5" s="134"/>
      <c r="BT5" s="132" t="s">
        <v>67</v>
      </c>
      <c r="BU5" s="133"/>
      <c r="BV5" s="133"/>
      <c r="BW5" s="116"/>
      <c r="BX5" s="123"/>
    </row>
    <row r="6" spans="1:84" ht="23.25" customHeight="1" x14ac:dyDescent="0.25">
      <c r="A6" s="146"/>
      <c r="B6" s="114"/>
      <c r="C6" s="105">
        <v>2011</v>
      </c>
      <c r="D6" s="64">
        <v>2012</v>
      </c>
      <c r="E6" s="23">
        <v>2013</v>
      </c>
      <c r="F6" s="23">
        <v>2014</v>
      </c>
      <c r="G6" s="23">
        <v>2015</v>
      </c>
      <c r="H6" s="23">
        <v>2016</v>
      </c>
      <c r="I6" s="23">
        <v>2017</v>
      </c>
      <c r="J6" s="23">
        <v>2018</v>
      </c>
      <c r="K6" s="23">
        <v>2019</v>
      </c>
      <c r="L6" s="101">
        <v>2020</v>
      </c>
      <c r="M6" s="64">
        <v>2011</v>
      </c>
      <c r="N6" s="64">
        <v>2012</v>
      </c>
      <c r="O6" s="23">
        <v>2013</v>
      </c>
      <c r="P6" s="23">
        <v>2014</v>
      </c>
      <c r="Q6" s="23">
        <v>2015</v>
      </c>
      <c r="R6" s="23">
        <v>2016</v>
      </c>
      <c r="S6" s="23">
        <v>2017</v>
      </c>
      <c r="T6" s="23">
        <v>2018</v>
      </c>
      <c r="U6" s="23">
        <v>2019</v>
      </c>
      <c r="V6" s="101">
        <v>2020</v>
      </c>
      <c r="W6" s="103">
        <v>2011</v>
      </c>
      <c r="X6" s="23">
        <v>2012</v>
      </c>
      <c r="Y6" s="23">
        <v>2013</v>
      </c>
      <c r="Z6" s="23">
        <v>2014</v>
      </c>
      <c r="AA6" s="23">
        <v>2015</v>
      </c>
      <c r="AB6" s="23">
        <v>2016</v>
      </c>
      <c r="AC6" s="23">
        <v>2017</v>
      </c>
      <c r="AD6" s="23">
        <v>2018</v>
      </c>
      <c r="AE6" s="23">
        <v>2019</v>
      </c>
      <c r="AF6" s="101">
        <v>2020</v>
      </c>
      <c r="AG6" s="103">
        <v>2011</v>
      </c>
      <c r="AH6" s="23">
        <v>2012</v>
      </c>
      <c r="AI6" s="23">
        <v>2013</v>
      </c>
      <c r="AJ6" s="23">
        <v>2014</v>
      </c>
      <c r="AK6" s="23">
        <v>2015</v>
      </c>
      <c r="AL6" s="23">
        <v>2016</v>
      </c>
      <c r="AM6" s="23">
        <v>2017</v>
      </c>
      <c r="AN6" s="23">
        <v>2018</v>
      </c>
      <c r="AO6" s="23">
        <v>2019</v>
      </c>
      <c r="AP6" s="101">
        <v>2020</v>
      </c>
      <c r="AQ6" s="103">
        <v>2012</v>
      </c>
      <c r="AR6" s="23">
        <v>2013</v>
      </c>
      <c r="AS6" s="23">
        <v>2014</v>
      </c>
      <c r="AT6" s="23">
        <v>2015</v>
      </c>
      <c r="AU6" s="23">
        <v>2016</v>
      </c>
      <c r="AV6" s="23">
        <v>2017</v>
      </c>
      <c r="AW6" s="23">
        <v>2018</v>
      </c>
      <c r="AX6" s="23">
        <v>2019</v>
      </c>
      <c r="AY6" s="101">
        <v>2020</v>
      </c>
      <c r="AZ6" s="64">
        <v>2014</v>
      </c>
      <c r="BA6" s="64">
        <v>2015</v>
      </c>
      <c r="BB6" s="64">
        <v>2016</v>
      </c>
      <c r="BC6" s="64">
        <v>2017</v>
      </c>
      <c r="BD6" s="64">
        <v>2018</v>
      </c>
      <c r="BE6" s="64">
        <v>2019</v>
      </c>
      <c r="BF6" s="113">
        <v>2020</v>
      </c>
      <c r="BG6" s="64">
        <v>2014</v>
      </c>
      <c r="BH6" s="22">
        <v>2015</v>
      </c>
      <c r="BI6" s="23">
        <v>2016</v>
      </c>
      <c r="BJ6" s="23">
        <v>2017</v>
      </c>
      <c r="BK6" s="23">
        <v>2018</v>
      </c>
      <c r="BL6" s="23">
        <v>2019</v>
      </c>
      <c r="BM6" s="24">
        <v>2020</v>
      </c>
      <c r="BN6" s="25">
        <v>2015</v>
      </c>
      <c r="BO6" s="23">
        <v>2016</v>
      </c>
      <c r="BP6" s="23">
        <v>2017</v>
      </c>
      <c r="BQ6" s="23">
        <v>2018</v>
      </c>
      <c r="BR6" s="23">
        <v>2019</v>
      </c>
      <c r="BS6" s="23">
        <v>2020</v>
      </c>
      <c r="BT6" s="22">
        <v>2017</v>
      </c>
      <c r="BU6" s="23">
        <v>2018</v>
      </c>
      <c r="BV6" s="23">
        <v>2019</v>
      </c>
      <c r="BW6" s="64">
        <v>2020</v>
      </c>
      <c r="BX6" s="124"/>
      <c r="BY6" s="3"/>
    </row>
    <row r="7" spans="1:84" ht="23.25" customHeight="1" x14ac:dyDescent="0.4">
      <c r="A7" s="26" t="s">
        <v>4</v>
      </c>
      <c r="B7" s="26"/>
      <c r="C7" s="28">
        <f t="shared" ref="C7:AZ7" si="0">SUM(C8:C19)</f>
        <v>1542</v>
      </c>
      <c r="D7" s="31">
        <f t="shared" si="0"/>
        <v>1816</v>
      </c>
      <c r="E7" s="31">
        <f t="shared" si="0"/>
        <v>2310</v>
      </c>
      <c r="F7" s="31">
        <f t="shared" si="0"/>
        <v>2220</v>
      </c>
      <c r="G7" s="31">
        <f t="shared" si="0"/>
        <v>2088</v>
      </c>
      <c r="H7" s="31">
        <f t="shared" si="0"/>
        <v>2392</v>
      </c>
      <c r="I7" s="31">
        <f t="shared" si="0"/>
        <v>2619</v>
      </c>
      <c r="J7" s="31">
        <f t="shared" si="0"/>
        <v>2559</v>
      </c>
      <c r="K7" s="31">
        <f t="shared" si="0"/>
        <v>2583</v>
      </c>
      <c r="L7" s="102">
        <f t="shared" si="0"/>
        <v>1196</v>
      </c>
      <c r="M7" s="31">
        <f t="shared" si="0"/>
        <v>3226</v>
      </c>
      <c r="N7" s="31">
        <f t="shared" si="0"/>
        <v>3982</v>
      </c>
      <c r="O7" s="31">
        <f t="shared" si="0"/>
        <v>4121</v>
      </c>
      <c r="P7" s="31">
        <f t="shared" si="0"/>
        <v>4410</v>
      </c>
      <c r="Q7" s="31">
        <f>SUM(Q8:Q19)</f>
        <v>4290</v>
      </c>
      <c r="R7" s="31">
        <f t="shared" ref="R7" si="1">SUM(R8:R19)</f>
        <v>4978</v>
      </c>
      <c r="S7" s="31">
        <f>SUM(S8:S19)</f>
        <v>5182</v>
      </c>
      <c r="T7" s="31">
        <f>SUM(T8:T19)</f>
        <v>4726</v>
      </c>
      <c r="U7" s="31">
        <f>SUM(U8:U19)</f>
        <v>4794</v>
      </c>
      <c r="V7" s="102">
        <f t="shared" ref="V7" si="2">SUM(V8:V19)</f>
        <v>1742</v>
      </c>
      <c r="W7" s="104">
        <f>SUM(W8:W19)</f>
        <v>262</v>
      </c>
      <c r="X7" s="31">
        <f>SUM(X8:X19)</f>
        <v>710</v>
      </c>
      <c r="Y7" s="31">
        <f>SUM(Y8:Y19)</f>
        <v>2432</v>
      </c>
      <c r="Z7" s="31">
        <f t="shared" ref="Z7" si="3">SUM(Z8:Z19)</f>
        <v>2774</v>
      </c>
      <c r="AA7" s="31">
        <f>SUM(AA8:AA19)</f>
        <v>2155</v>
      </c>
      <c r="AB7" s="31">
        <f t="shared" ref="AB7" si="4">SUM(AB8:AB19)</f>
        <v>1998</v>
      </c>
      <c r="AC7" s="31">
        <f t="shared" ref="AC7:AI7" si="5">SUM(AC8:AC19)</f>
        <v>1845</v>
      </c>
      <c r="AD7" s="31">
        <f t="shared" si="5"/>
        <v>1835</v>
      </c>
      <c r="AE7" s="31">
        <f t="shared" si="5"/>
        <v>2485</v>
      </c>
      <c r="AF7" s="102">
        <f t="shared" si="5"/>
        <v>1438</v>
      </c>
      <c r="AG7" s="104">
        <f t="shared" si="5"/>
        <v>769</v>
      </c>
      <c r="AH7" s="31">
        <f t="shared" si="5"/>
        <v>3315</v>
      </c>
      <c r="AI7" s="31">
        <f t="shared" si="5"/>
        <v>4519</v>
      </c>
      <c r="AJ7" s="54">
        <f t="shared" ref="AJ7" si="6">SUM(AJ8:AJ19)</f>
        <v>0</v>
      </c>
      <c r="AK7" s="54">
        <f>SUM(AK8:AK19)</f>
        <v>0</v>
      </c>
      <c r="AL7" s="54">
        <f t="shared" ref="AL7" si="7">SUM(AL8:AL19)</f>
        <v>0</v>
      </c>
      <c r="AM7" s="54">
        <f>SUM(AM8:AM19)</f>
        <v>0</v>
      </c>
      <c r="AN7" s="31">
        <f>SUM(AN8:AN19)</f>
        <v>4824</v>
      </c>
      <c r="AO7" s="31">
        <f>SUM(AO8:AO19)</f>
        <v>4798</v>
      </c>
      <c r="AP7" s="102">
        <f>SUM(AP8:AP19)</f>
        <v>1229</v>
      </c>
      <c r="AQ7" s="104">
        <f t="shared" si="0"/>
        <v>173</v>
      </c>
      <c r="AR7" s="31">
        <f t="shared" si="0"/>
        <v>3515</v>
      </c>
      <c r="AS7" s="54">
        <f t="shared" si="0"/>
        <v>4248</v>
      </c>
      <c r="AT7" s="54">
        <f>SUM(AT8:AT19)</f>
        <v>3934</v>
      </c>
      <c r="AU7" s="54">
        <f t="shared" ref="AU7:AY7" si="8">SUM(AU8:AU19)</f>
        <v>3870</v>
      </c>
      <c r="AV7" s="54">
        <f t="shared" si="0"/>
        <v>4198</v>
      </c>
      <c r="AW7" s="31">
        <f t="shared" si="8"/>
        <v>4532</v>
      </c>
      <c r="AX7" s="31">
        <f t="shared" si="8"/>
        <v>5159</v>
      </c>
      <c r="AY7" s="102">
        <f t="shared" si="8"/>
        <v>1350</v>
      </c>
      <c r="AZ7" s="31">
        <f t="shared" si="0"/>
        <v>2076</v>
      </c>
      <c r="BA7" s="31">
        <f>SUM(BA8:BA19)</f>
        <v>1988</v>
      </c>
      <c r="BB7" s="31">
        <f t="shared" ref="BB7:BG7" si="9">SUM(BB8:BB19)</f>
        <v>1916</v>
      </c>
      <c r="BC7" s="31">
        <f t="shared" si="9"/>
        <v>1916</v>
      </c>
      <c r="BD7" s="31">
        <f t="shared" si="9"/>
        <v>1975</v>
      </c>
      <c r="BE7" s="31">
        <f t="shared" si="9"/>
        <v>2043</v>
      </c>
      <c r="BF7" s="31">
        <f>SUM(BF8:BF19)</f>
        <v>1082</v>
      </c>
      <c r="BG7" s="31">
        <f t="shared" si="9"/>
        <v>826</v>
      </c>
      <c r="BH7" s="29">
        <f>SUM(BH8:BH19)</f>
        <v>331</v>
      </c>
      <c r="BI7" s="31">
        <f t="shared" ref="BI7:BM7" si="10">SUM(BI8:BI19)</f>
        <v>269</v>
      </c>
      <c r="BJ7" s="31">
        <f t="shared" si="10"/>
        <v>245</v>
      </c>
      <c r="BK7" s="31">
        <f t="shared" si="10"/>
        <v>246</v>
      </c>
      <c r="BL7" s="31">
        <f t="shared" si="10"/>
        <v>241</v>
      </c>
      <c r="BM7" s="32">
        <f t="shared" si="10"/>
        <v>172</v>
      </c>
      <c r="BN7" s="29">
        <f>SUM(BN8:BN19)</f>
        <v>552</v>
      </c>
      <c r="BO7" s="31">
        <f t="shared" ref="BO7:BW7" si="11">SUM(BO8:BO19)</f>
        <v>1475</v>
      </c>
      <c r="BP7" s="31">
        <f t="shared" si="11"/>
        <v>1911</v>
      </c>
      <c r="BQ7" s="31">
        <f t="shared" si="11"/>
        <v>1898</v>
      </c>
      <c r="BR7" s="31">
        <f t="shared" si="11"/>
        <v>1940</v>
      </c>
      <c r="BS7" s="31">
        <f t="shared" si="11"/>
        <v>474</v>
      </c>
      <c r="BT7" s="29">
        <f t="shared" si="11"/>
        <v>488</v>
      </c>
      <c r="BU7" s="33">
        <f t="shared" si="11"/>
        <v>1941</v>
      </c>
      <c r="BV7" s="33">
        <f t="shared" si="11"/>
        <v>2224</v>
      </c>
      <c r="BW7" s="33">
        <f t="shared" si="11"/>
        <v>896</v>
      </c>
      <c r="BX7" s="69" t="s">
        <v>5</v>
      </c>
    </row>
    <row r="8" spans="1:84" ht="23.25" customHeight="1" x14ac:dyDescent="0.4">
      <c r="A8" s="57" t="s">
        <v>10</v>
      </c>
      <c r="B8" s="34"/>
      <c r="C8" s="106">
        <v>87</v>
      </c>
      <c r="D8" s="40">
        <v>140</v>
      </c>
      <c r="E8" s="40">
        <v>189</v>
      </c>
      <c r="F8" s="39">
        <v>215</v>
      </c>
      <c r="G8" s="39">
        <v>166</v>
      </c>
      <c r="H8" s="39">
        <v>174</v>
      </c>
      <c r="I8" s="39">
        <v>199</v>
      </c>
      <c r="J8" s="39">
        <v>264</v>
      </c>
      <c r="K8" s="39">
        <v>232</v>
      </c>
      <c r="L8" s="108">
        <v>217</v>
      </c>
      <c r="M8" s="40">
        <v>290</v>
      </c>
      <c r="N8" s="40">
        <v>428</v>
      </c>
      <c r="O8" s="40">
        <v>290</v>
      </c>
      <c r="P8" s="39">
        <v>356</v>
      </c>
      <c r="Q8" s="39">
        <v>376</v>
      </c>
      <c r="R8" s="39">
        <v>400</v>
      </c>
      <c r="S8" s="39">
        <v>496</v>
      </c>
      <c r="T8" s="39">
        <v>406</v>
      </c>
      <c r="U8" s="39">
        <v>408</v>
      </c>
      <c r="V8" s="108">
        <v>440</v>
      </c>
      <c r="W8" s="109" t="s">
        <v>53</v>
      </c>
      <c r="X8" s="40">
        <f>24*2</f>
        <v>48</v>
      </c>
      <c r="Y8" s="40">
        <v>115</v>
      </c>
      <c r="Z8" s="39">
        <v>228</v>
      </c>
      <c r="AA8" s="39">
        <v>234</v>
      </c>
      <c r="AB8" s="39">
        <v>166</v>
      </c>
      <c r="AC8" s="39">
        <f>108+49</f>
        <v>157</v>
      </c>
      <c r="AD8" s="39">
        <v>117</v>
      </c>
      <c r="AE8" s="39">
        <v>261</v>
      </c>
      <c r="AF8" s="108">
        <v>192</v>
      </c>
      <c r="AG8" s="109" t="s">
        <v>53</v>
      </c>
      <c r="AH8" s="40">
        <v>351</v>
      </c>
      <c r="AI8" s="40">
        <v>339</v>
      </c>
      <c r="AJ8" s="111" t="s">
        <v>53</v>
      </c>
      <c r="AK8" s="111" t="s">
        <v>53</v>
      </c>
      <c r="AL8" s="111" t="s">
        <v>53</v>
      </c>
      <c r="AM8" s="111" t="s">
        <v>53</v>
      </c>
      <c r="AN8" s="39">
        <v>400</v>
      </c>
      <c r="AO8" s="39">
        <v>441</v>
      </c>
      <c r="AP8" s="108">
        <v>346</v>
      </c>
      <c r="AQ8" s="109" t="s">
        <v>53</v>
      </c>
      <c r="AR8" s="40">
        <v>191</v>
      </c>
      <c r="AS8" s="111">
        <v>361</v>
      </c>
      <c r="AT8" s="111">
        <v>331</v>
      </c>
      <c r="AU8" s="111">
        <v>342</v>
      </c>
      <c r="AV8" s="111">
        <v>351</v>
      </c>
      <c r="AW8" s="39">
        <v>415</v>
      </c>
      <c r="AX8" s="39">
        <v>414</v>
      </c>
      <c r="AY8" s="108">
        <v>456</v>
      </c>
      <c r="AZ8" s="39">
        <v>174</v>
      </c>
      <c r="BA8" s="39">
        <v>181</v>
      </c>
      <c r="BB8" s="39">
        <v>164</v>
      </c>
      <c r="BC8" s="39">
        <v>155</v>
      </c>
      <c r="BD8" s="39">
        <v>179</v>
      </c>
      <c r="BE8" s="39">
        <v>169</v>
      </c>
      <c r="BF8" s="42">
        <v>211</v>
      </c>
      <c r="BG8" s="39">
        <v>57</v>
      </c>
      <c r="BH8" s="37">
        <v>30</v>
      </c>
      <c r="BI8" s="39">
        <v>29</v>
      </c>
      <c r="BJ8" s="39">
        <v>19</v>
      </c>
      <c r="BK8" s="39">
        <v>23</v>
      </c>
      <c r="BL8" s="39">
        <v>24</v>
      </c>
      <c r="BM8" s="42">
        <v>38</v>
      </c>
      <c r="BN8" s="37" t="s">
        <v>54</v>
      </c>
      <c r="BO8" s="39">
        <v>124</v>
      </c>
      <c r="BP8" s="39">
        <v>142</v>
      </c>
      <c r="BQ8" s="39">
        <v>178</v>
      </c>
      <c r="BR8" s="39">
        <v>156</v>
      </c>
      <c r="BS8" s="39">
        <v>155</v>
      </c>
      <c r="BT8" s="37" t="s">
        <v>54</v>
      </c>
      <c r="BU8" s="39">
        <v>171</v>
      </c>
      <c r="BV8" s="39">
        <v>176</v>
      </c>
      <c r="BW8" s="39">
        <v>214</v>
      </c>
      <c r="BX8" s="67" t="s">
        <v>11</v>
      </c>
      <c r="CC8" s="21"/>
      <c r="CD8" s="21"/>
      <c r="CE8" s="21"/>
      <c r="CF8" s="21"/>
    </row>
    <row r="9" spans="1:84" ht="23.25" customHeight="1" x14ac:dyDescent="0.4">
      <c r="A9" s="57" t="s">
        <v>12</v>
      </c>
      <c r="B9" s="34"/>
      <c r="C9" s="106">
        <v>69</v>
      </c>
      <c r="D9" s="40">
        <v>128</v>
      </c>
      <c r="E9" s="40">
        <v>161</v>
      </c>
      <c r="F9" s="39">
        <v>192</v>
      </c>
      <c r="G9" s="39">
        <v>161</v>
      </c>
      <c r="H9" s="39">
        <v>195</v>
      </c>
      <c r="I9" s="39">
        <v>195</v>
      </c>
      <c r="J9" s="39">
        <v>213</v>
      </c>
      <c r="K9" s="39">
        <v>223</v>
      </c>
      <c r="L9" s="108">
        <v>196</v>
      </c>
      <c r="M9" s="40">
        <v>268</v>
      </c>
      <c r="N9" s="40">
        <v>332</v>
      </c>
      <c r="O9" s="40">
        <v>314</v>
      </c>
      <c r="P9" s="39">
        <v>360</v>
      </c>
      <c r="Q9" s="39">
        <v>336</v>
      </c>
      <c r="R9" s="39">
        <v>428</v>
      </c>
      <c r="S9" s="39">
        <v>462</v>
      </c>
      <c r="T9" s="39">
        <v>408</v>
      </c>
      <c r="U9" s="39">
        <v>356</v>
      </c>
      <c r="V9" s="108">
        <v>360</v>
      </c>
      <c r="W9" s="109" t="s">
        <v>53</v>
      </c>
      <c r="X9" s="40">
        <f>20*2</f>
        <v>40</v>
      </c>
      <c r="Y9" s="40">
        <v>83</v>
      </c>
      <c r="Z9" s="39">
        <f>168+5+39</f>
        <v>212</v>
      </c>
      <c r="AA9" s="39">
        <f>4+3+4+3+4+3+4+3+3+4+3+4+3+4+3+4+3+4+4+4+4+3+3+3+4+3+4+4+3+4+3+4+4+3+4+4+4+4+4+4+4+4+4+3+4+3+4+3+4+4+3+4+3+4+4</f>
        <v>199</v>
      </c>
      <c r="AB9" s="39">
        <v>120</v>
      </c>
      <c r="AC9" s="39">
        <f>78+24</f>
        <v>102</v>
      </c>
      <c r="AD9" s="39">
        <v>89</v>
      </c>
      <c r="AE9" s="39">
        <v>221</v>
      </c>
      <c r="AF9" s="108">
        <v>182</v>
      </c>
      <c r="AG9" s="109" t="s">
        <v>53</v>
      </c>
      <c r="AH9" s="40">
        <v>351</v>
      </c>
      <c r="AI9" s="40">
        <v>427</v>
      </c>
      <c r="AJ9" s="111" t="s">
        <v>53</v>
      </c>
      <c r="AK9" s="111" t="s">
        <v>53</v>
      </c>
      <c r="AL9" s="111" t="s">
        <v>53</v>
      </c>
      <c r="AM9" s="111" t="s">
        <v>53</v>
      </c>
      <c r="AN9" s="39">
        <v>373</v>
      </c>
      <c r="AO9" s="39">
        <v>375</v>
      </c>
      <c r="AP9" s="108">
        <v>286</v>
      </c>
      <c r="AQ9" s="109" t="s">
        <v>53</v>
      </c>
      <c r="AR9" s="40">
        <v>213</v>
      </c>
      <c r="AS9" s="111">
        <v>356</v>
      </c>
      <c r="AT9" s="111">
        <v>304</v>
      </c>
      <c r="AU9" s="111">
        <v>320</v>
      </c>
      <c r="AV9" s="111">
        <v>308</v>
      </c>
      <c r="AW9" s="39">
        <v>365</v>
      </c>
      <c r="AX9" s="39">
        <v>376</v>
      </c>
      <c r="AY9" s="108">
        <v>441</v>
      </c>
      <c r="AZ9" s="39">
        <v>159</v>
      </c>
      <c r="BA9" s="39">
        <v>169</v>
      </c>
      <c r="BB9" s="39">
        <v>159</v>
      </c>
      <c r="BC9" s="39">
        <v>161</v>
      </c>
      <c r="BD9" s="39">
        <v>164</v>
      </c>
      <c r="BE9" s="39">
        <v>164</v>
      </c>
      <c r="BF9" s="42">
        <v>258</v>
      </c>
      <c r="BG9" s="39">
        <v>83</v>
      </c>
      <c r="BH9" s="37">
        <v>23</v>
      </c>
      <c r="BI9" s="39">
        <v>23</v>
      </c>
      <c r="BJ9" s="39">
        <v>17</v>
      </c>
      <c r="BK9" s="39">
        <v>15</v>
      </c>
      <c r="BL9" s="39">
        <v>19</v>
      </c>
      <c r="BM9" s="42">
        <v>34</v>
      </c>
      <c r="BN9" s="37" t="s">
        <v>54</v>
      </c>
      <c r="BO9" s="39">
        <v>143</v>
      </c>
      <c r="BP9" s="39">
        <v>136</v>
      </c>
      <c r="BQ9" s="39">
        <v>180</v>
      </c>
      <c r="BR9" s="39">
        <v>161</v>
      </c>
      <c r="BS9" s="39">
        <v>130</v>
      </c>
      <c r="BT9" s="37" t="s">
        <v>54</v>
      </c>
      <c r="BU9" s="39">
        <v>168</v>
      </c>
      <c r="BV9" s="39">
        <v>181</v>
      </c>
      <c r="BW9" s="39">
        <v>192</v>
      </c>
      <c r="BX9" s="67" t="s">
        <v>13</v>
      </c>
    </row>
    <row r="10" spans="1:84" ht="23.25" customHeight="1" x14ac:dyDescent="0.4">
      <c r="A10" s="57" t="s">
        <v>14</v>
      </c>
      <c r="B10" s="34"/>
      <c r="C10" s="106">
        <v>80</v>
      </c>
      <c r="D10" s="40">
        <v>161</v>
      </c>
      <c r="E10" s="40">
        <v>184</v>
      </c>
      <c r="F10" s="39">
        <v>214</v>
      </c>
      <c r="G10" s="39">
        <v>173</v>
      </c>
      <c r="H10" s="39">
        <v>201</v>
      </c>
      <c r="I10" s="39">
        <v>193</v>
      </c>
      <c r="J10" s="39">
        <v>258</v>
      </c>
      <c r="K10" s="39">
        <v>218</v>
      </c>
      <c r="L10" s="108">
        <v>137</v>
      </c>
      <c r="M10" s="40">
        <v>202</v>
      </c>
      <c r="N10" s="40">
        <v>320</v>
      </c>
      <c r="O10" s="40">
        <v>358</v>
      </c>
      <c r="P10" s="39">
        <v>388</v>
      </c>
      <c r="Q10" s="39">
        <v>396</v>
      </c>
      <c r="R10" s="39">
        <v>402</v>
      </c>
      <c r="S10" s="39">
        <v>446</v>
      </c>
      <c r="T10" s="39">
        <v>388</v>
      </c>
      <c r="U10" s="39">
        <v>400</v>
      </c>
      <c r="V10" s="108">
        <v>262</v>
      </c>
      <c r="W10" s="109" t="s">
        <v>53</v>
      </c>
      <c r="X10" s="40">
        <f>28*2</f>
        <v>56</v>
      </c>
      <c r="Y10" s="40">
        <f>116+81</f>
        <v>197</v>
      </c>
      <c r="Z10" s="39">
        <f>90+156</f>
        <v>246</v>
      </c>
      <c r="AA10" s="39">
        <v>235</v>
      </c>
      <c r="AB10" s="39">
        <v>168</v>
      </c>
      <c r="AC10" s="39">
        <f>99+84</f>
        <v>183</v>
      </c>
      <c r="AD10" s="39">
        <v>149</v>
      </c>
      <c r="AE10" s="39">
        <v>277</v>
      </c>
      <c r="AF10" s="108">
        <v>175</v>
      </c>
      <c r="AG10" s="109" t="s">
        <v>53</v>
      </c>
      <c r="AH10" s="40">
        <v>233</v>
      </c>
      <c r="AI10" s="40">
        <v>348</v>
      </c>
      <c r="AJ10" s="111" t="s">
        <v>53</v>
      </c>
      <c r="AK10" s="111" t="s">
        <v>53</v>
      </c>
      <c r="AL10" s="111" t="s">
        <v>53</v>
      </c>
      <c r="AM10" s="111" t="s">
        <v>53</v>
      </c>
      <c r="AN10" s="39">
        <v>369</v>
      </c>
      <c r="AO10" s="39">
        <v>436</v>
      </c>
      <c r="AP10" s="108">
        <v>178</v>
      </c>
      <c r="AQ10" s="109" t="s">
        <v>53</v>
      </c>
      <c r="AR10" s="40">
        <v>231</v>
      </c>
      <c r="AS10" s="111">
        <v>393</v>
      </c>
      <c r="AT10" s="111">
        <v>356</v>
      </c>
      <c r="AU10" s="111">
        <v>343</v>
      </c>
      <c r="AV10" s="111">
        <v>327</v>
      </c>
      <c r="AW10" s="39">
        <v>397</v>
      </c>
      <c r="AX10" s="39">
        <v>414</v>
      </c>
      <c r="AY10" s="108">
        <v>241</v>
      </c>
      <c r="AZ10" s="39">
        <v>176</v>
      </c>
      <c r="BA10" s="39">
        <v>170</v>
      </c>
      <c r="BB10" s="39">
        <v>163</v>
      </c>
      <c r="BC10" s="39">
        <v>174</v>
      </c>
      <c r="BD10" s="39">
        <v>169</v>
      </c>
      <c r="BE10" s="39">
        <v>178</v>
      </c>
      <c r="BF10" s="42">
        <v>169</v>
      </c>
      <c r="BG10" s="39">
        <v>108</v>
      </c>
      <c r="BH10" s="37">
        <v>25</v>
      </c>
      <c r="BI10" s="39">
        <v>23</v>
      </c>
      <c r="BJ10" s="39">
        <v>20</v>
      </c>
      <c r="BK10" s="39">
        <v>19</v>
      </c>
      <c r="BL10" s="39">
        <v>17</v>
      </c>
      <c r="BM10" s="42">
        <v>24</v>
      </c>
      <c r="BN10" s="37" t="s">
        <v>54</v>
      </c>
      <c r="BO10" s="39">
        <v>114</v>
      </c>
      <c r="BP10" s="39">
        <v>148</v>
      </c>
      <c r="BQ10" s="39">
        <v>156</v>
      </c>
      <c r="BR10" s="39">
        <v>160</v>
      </c>
      <c r="BS10" s="39">
        <v>77</v>
      </c>
      <c r="BT10" s="37" t="s">
        <v>54</v>
      </c>
      <c r="BU10" s="39">
        <v>150</v>
      </c>
      <c r="BV10" s="39">
        <v>202</v>
      </c>
      <c r="BW10" s="39">
        <v>147</v>
      </c>
      <c r="BX10" s="67" t="s">
        <v>15</v>
      </c>
    </row>
    <row r="11" spans="1:84" ht="23.25" customHeight="1" x14ac:dyDescent="0.4">
      <c r="A11" s="57" t="s">
        <v>16</v>
      </c>
      <c r="B11" s="34"/>
      <c r="C11" s="106">
        <v>147</v>
      </c>
      <c r="D11" s="40">
        <v>149</v>
      </c>
      <c r="E11" s="40">
        <v>190</v>
      </c>
      <c r="F11" s="39">
        <v>192</v>
      </c>
      <c r="G11" s="39">
        <v>173</v>
      </c>
      <c r="H11" s="39">
        <v>192</v>
      </c>
      <c r="I11" s="39">
        <v>211</v>
      </c>
      <c r="J11" s="39">
        <v>245</v>
      </c>
      <c r="K11" s="39">
        <v>213</v>
      </c>
      <c r="L11" s="108">
        <v>18</v>
      </c>
      <c r="M11" s="40">
        <v>192</v>
      </c>
      <c r="N11" s="40">
        <v>358</v>
      </c>
      <c r="O11" s="40">
        <v>268</v>
      </c>
      <c r="P11" s="39">
        <v>354</v>
      </c>
      <c r="Q11" s="39">
        <v>390</v>
      </c>
      <c r="R11" s="39">
        <v>368</v>
      </c>
      <c r="S11" s="39">
        <v>436</v>
      </c>
      <c r="T11" s="39">
        <v>438</v>
      </c>
      <c r="U11" s="39">
        <v>412</v>
      </c>
      <c r="V11" s="108">
        <v>28</v>
      </c>
      <c r="W11" s="109" t="s">
        <v>53</v>
      </c>
      <c r="X11" s="40">
        <f>21*2</f>
        <v>42</v>
      </c>
      <c r="Y11" s="40">
        <f>192+39+10</f>
        <v>241</v>
      </c>
      <c r="Z11" s="39">
        <v>230</v>
      </c>
      <c r="AA11" s="39">
        <v>229</v>
      </c>
      <c r="AB11" s="39">
        <v>139</v>
      </c>
      <c r="AC11" s="39">
        <f>78+60</f>
        <v>138</v>
      </c>
      <c r="AD11" s="39">
        <v>120</v>
      </c>
      <c r="AE11" s="39">
        <v>278</v>
      </c>
      <c r="AF11" s="108">
        <v>88</v>
      </c>
      <c r="AG11" s="109" t="s">
        <v>53</v>
      </c>
      <c r="AH11" s="40">
        <v>226</v>
      </c>
      <c r="AI11" s="40">
        <v>284</v>
      </c>
      <c r="AJ11" s="111" t="s">
        <v>53</v>
      </c>
      <c r="AK11" s="111" t="s">
        <v>53</v>
      </c>
      <c r="AL11" s="111" t="s">
        <v>53</v>
      </c>
      <c r="AM11" s="111" t="s">
        <v>53</v>
      </c>
      <c r="AN11" s="39">
        <v>346</v>
      </c>
      <c r="AO11" s="39">
        <v>437</v>
      </c>
      <c r="AP11" s="108">
        <v>2</v>
      </c>
      <c r="AQ11" s="109" t="s">
        <v>53</v>
      </c>
      <c r="AR11" s="40">
        <v>239</v>
      </c>
      <c r="AS11" s="111">
        <v>358</v>
      </c>
      <c r="AT11" s="111">
        <v>341</v>
      </c>
      <c r="AU11" s="111">
        <v>328</v>
      </c>
      <c r="AV11" s="111">
        <v>316</v>
      </c>
      <c r="AW11" s="39">
        <v>353</v>
      </c>
      <c r="AX11" s="39">
        <v>471</v>
      </c>
      <c r="AY11" s="108">
        <v>3</v>
      </c>
      <c r="AZ11" s="39">
        <v>175</v>
      </c>
      <c r="BA11" s="39">
        <v>175</v>
      </c>
      <c r="BB11" s="39">
        <v>154</v>
      </c>
      <c r="BC11" s="39">
        <v>158</v>
      </c>
      <c r="BD11" s="39">
        <v>164</v>
      </c>
      <c r="BE11" s="39">
        <v>165</v>
      </c>
      <c r="BF11" s="42">
        <v>11</v>
      </c>
      <c r="BG11" s="39">
        <v>112</v>
      </c>
      <c r="BH11" s="37">
        <v>26</v>
      </c>
      <c r="BI11" s="39">
        <v>21</v>
      </c>
      <c r="BJ11" s="39">
        <v>22</v>
      </c>
      <c r="BK11" s="39">
        <v>21</v>
      </c>
      <c r="BL11" s="39">
        <v>21</v>
      </c>
      <c r="BM11" s="42">
        <v>8</v>
      </c>
      <c r="BN11" s="37" t="s">
        <v>54</v>
      </c>
      <c r="BO11" s="39">
        <v>106</v>
      </c>
      <c r="BP11" s="39">
        <v>156</v>
      </c>
      <c r="BQ11" s="39">
        <v>146</v>
      </c>
      <c r="BR11" s="39">
        <v>156</v>
      </c>
      <c r="BS11" s="39">
        <v>7</v>
      </c>
      <c r="BT11" s="37" t="s">
        <v>54</v>
      </c>
      <c r="BU11" s="39">
        <v>161</v>
      </c>
      <c r="BV11" s="39">
        <v>181</v>
      </c>
      <c r="BW11" s="39">
        <v>9</v>
      </c>
      <c r="BX11" s="67" t="s">
        <v>17</v>
      </c>
      <c r="CC11" s="21"/>
      <c r="CD11" s="21"/>
      <c r="CE11" s="21"/>
      <c r="CF11" s="21"/>
    </row>
    <row r="12" spans="1:84" ht="23.25" customHeight="1" x14ac:dyDescent="0.4">
      <c r="A12" s="57" t="s">
        <v>18</v>
      </c>
      <c r="B12" s="34"/>
      <c r="C12" s="106">
        <v>128</v>
      </c>
      <c r="D12" s="40">
        <v>139</v>
      </c>
      <c r="E12" s="40">
        <v>178</v>
      </c>
      <c r="F12" s="39">
        <v>186</v>
      </c>
      <c r="G12" s="39">
        <v>182</v>
      </c>
      <c r="H12" s="39">
        <v>194</v>
      </c>
      <c r="I12" s="39">
        <v>209</v>
      </c>
      <c r="J12" s="39">
        <v>200</v>
      </c>
      <c r="K12" s="39">
        <v>220</v>
      </c>
      <c r="L12" s="108">
        <v>21</v>
      </c>
      <c r="M12" s="40">
        <v>274</v>
      </c>
      <c r="N12" s="40">
        <v>284</v>
      </c>
      <c r="O12" s="40">
        <v>274</v>
      </c>
      <c r="P12" s="39">
        <v>368</v>
      </c>
      <c r="Q12" s="39">
        <v>356</v>
      </c>
      <c r="R12" s="39">
        <v>364</v>
      </c>
      <c r="S12" s="39">
        <v>380</v>
      </c>
      <c r="T12" s="39">
        <v>372</v>
      </c>
      <c r="U12" s="39">
        <v>426</v>
      </c>
      <c r="V12" s="108">
        <v>26</v>
      </c>
      <c r="W12" s="109" t="s">
        <v>53</v>
      </c>
      <c r="X12" s="40">
        <f>34*2</f>
        <v>68</v>
      </c>
      <c r="Y12" s="40">
        <f>180+48+5</f>
        <v>233</v>
      </c>
      <c r="Z12" s="39">
        <v>236</v>
      </c>
      <c r="AA12" s="39">
        <v>222</v>
      </c>
      <c r="AB12" s="39">
        <f>52+84</f>
        <v>136</v>
      </c>
      <c r="AC12" s="39">
        <f>72+96</f>
        <v>168</v>
      </c>
      <c r="AD12" s="39">
        <v>147</v>
      </c>
      <c r="AE12" s="39">
        <v>211</v>
      </c>
      <c r="AF12" s="108">
        <v>29</v>
      </c>
      <c r="AG12" s="109" t="s">
        <v>53</v>
      </c>
      <c r="AH12" s="40">
        <v>180</v>
      </c>
      <c r="AI12" s="40">
        <v>382</v>
      </c>
      <c r="AJ12" s="111" t="s">
        <v>53</v>
      </c>
      <c r="AK12" s="111" t="s">
        <v>53</v>
      </c>
      <c r="AL12" s="111" t="s">
        <v>53</v>
      </c>
      <c r="AM12" s="111" t="s">
        <v>53</v>
      </c>
      <c r="AN12" s="39">
        <v>527</v>
      </c>
      <c r="AO12" s="39">
        <v>454</v>
      </c>
      <c r="AP12" s="108">
        <v>0</v>
      </c>
      <c r="AQ12" s="109" t="s">
        <v>53</v>
      </c>
      <c r="AR12" s="40">
        <v>288</v>
      </c>
      <c r="AS12" s="111">
        <v>370</v>
      </c>
      <c r="AT12" s="111">
        <v>341</v>
      </c>
      <c r="AU12" s="111">
        <v>321</v>
      </c>
      <c r="AV12" s="111">
        <v>319</v>
      </c>
      <c r="AW12" s="39">
        <v>336</v>
      </c>
      <c r="AX12" s="39">
        <v>428</v>
      </c>
      <c r="AY12" s="108">
        <v>0</v>
      </c>
      <c r="AZ12" s="39">
        <v>181</v>
      </c>
      <c r="BA12" s="39">
        <v>166</v>
      </c>
      <c r="BB12" s="39">
        <v>163</v>
      </c>
      <c r="BC12" s="39">
        <v>142</v>
      </c>
      <c r="BD12" s="39">
        <v>158</v>
      </c>
      <c r="BE12" s="39">
        <v>149</v>
      </c>
      <c r="BF12" s="42">
        <v>13</v>
      </c>
      <c r="BG12" s="39">
        <v>91</v>
      </c>
      <c r="BH12" s="37">
        <v>28</v>
      </c>
      <c r="BI12" s="39">
        <v>21</v>
      </c>
      <c r="BJ12" s="39">
        <v>20</v>
      </c>
      <c r="BK12" s="39">
        <v>16</v>
      </c>
      <c r="BL12" s="39">
        <v>15</v>
      </c>
      <c r="BM12" s="42">
        <v>2</v>
      </c>
      <c r="BN12" s="37">
        <v>9</v>
      </c>
      <c r="BO12" s="39">
        <v>90</v>
      </c>
      <c r="BP12" s="39">
        <v>160</v>
      </c>
      <c r="BQ12" s="39">
        <v>146</v>
      </c>
      <c r="BR12" s="39">
        <v>182</v>
      </c>
      <c r="BS12" s="39">
        <v>3</v>
      </c>
      <c r="BT12" s="37" t="s">
        <v>54</v>
      </c>
      <c r="BU12" s="39">
        <v>148</v>
      </c>
      <c r="BV12" s="39">
        <v>184</v>
      </c>
      <c r="BW12" s="39">
        <v>0</v>
      </c>
      <c r="BX12" s="67" t="s">
        <v>19</v>
      </c>
    </row>
    <row r="13" spans="1:84" ht="23.25" customHeight="1" x14ac:dyDescent="0.4">
      <c r="A13" s="57" t="s">
        <v>20</v>
      </c>
      <c r="B13" s="34"/>
      <c r="C13" s="106">
        <v>137</v>
      </c>
      <c r="D13" s="40">
        <v>136</v>
      </c>
      <c r="E13" s="40">
        <v>192</v>
      </c>
      <c r="F13" s="39">
        <v>180</v>
      </c>
      <c r="G13" s="39">
        <v>174</v>
      </c>
      <c r="H13" s="39">
        <v>185</v>
      </c>
      <c r="I13" s="39">
        <v>192</v>
      </c>
      <c r="J13" s="39">
        <v>175</v>
      </c>
      <c r="K13" s="39">
        <v>185</v>
      </c>
      <c r="L13" s="108">
        <v>32</v>
      </c>
      <c r="M13" s="40">
        <v>278</v>
      </c>
      <c r="N13" s="40">
        <v>318</v>
      </c>
      <c r="O13" s="40">
        <v>328</v>
      </c>
      <c r="P13" s="39">
        <v>346</v>
      </c>
      <c r="Q13" s="39">
        <v>340</v>
      </c>
      <c r="R13" s="39">
        <v>336</v>
      </c>
      <c r="S13" s="39">
        <v>376</v>
      </c>
      <c r="T13" s="39">
        <v>356</v>
      </c>
      <c r="U13" s="39">
        <v>406</v>
      </c>
      <c r="V13" s="108">
        <v>60</v>
      </c>
      <c r="W13" s="109" t="s">
        <v>53</v>
      </c>
      <c r="X13" s="40">
        <f>29*2</f>
        <v>58</v>
      </c>
      <c r="Y13" s="40">
        <f>144+81</f>
        <v>225</v>
      </c>
      <c r="Z13" s="39">
        <v>231</v>
      </c>
      <c r="AA13" s="39">
        <v>138</v>
      </c>
      <c r="AB13" s="39">
        <f>75+123</f>
        <v>198</v>
      </c>
      <c r="AC13" s="39">
        <f>84+84</f>
        <v>168</v>
      </c>
      <c r="AD13" s="39">
        <v>137</v>
      </c>
      <c r="AE13" s="39">
        <v>190</v>
      </c>
      <c r="AF13" s="108">
        <v>73</v>
      </c>
      <c r="AG13" s="109" t="s">
        <v>53</v>
      </c>
      <c r="AH13" s="40">
        <v>150</v>
      </c>
      <c r="AI13" s="40">
        <v>354</v>
      </c>
      <c r="AJ13" s="111" t="s">
        <v>53</v>
      </c>
      <c r="AK13" s="111" t="s">
        <v>53</v>
      </c>
      <c r="AL13" s="111" t="s">
        <v>53</v>
      </c>
      <c r="AM13" s="111" t="s">
        <v>53</v>
      </c>
      <c r="AN13" s="39">
        <v>374</v>
      </c>
      <c r="AO13" s="39">
        <v>442</v>
      </c>
      <c r="AP13" s="108">
        <v>0</v>
      </c>
      <c r="AQ13" s="109" t="s">
        <v>53</v>
      </c>
      <c r="AR13" s="40">
        <v>292</v>
      </c>
      <c r="AS13" s="111">
        <v>331</v>
      </c>
      <c r="AT13" s="111">
        <v>302</v>
      </c>
      <c r="AU13" s="111">
        <v>286</v>
      </c>
      <c r="AV13" s="111">
        <v>310</v>
      </c>
      <c r="AW13" s="39">
        <v>340</v>
      </c>
      <c r="AX13" s="39">
        <v>450</v>
      </c>
      <c r="AY13" s="108">
        <v>4</v>
      </c>
      <c r="AZ13" s="39">
        <v>168</v>
      </c>
      <c r="BA13" s="39">
        <v>146</v>
      </c>
      <c r="BB13" s="39">
        <v>144</v>
      </c>
      <c r="BC13" s="39">
        <v>145</v>
      </c>
      <c r="BD13" s="39">
        <v>155</v>
      </c>
      <c r="BE13" s="39">
        <v>153</v>
      </c>
      <c r="BF13" s="42">
        <v>21</v>
      </c>
      <c r="BG13" s="39">
        <v>68</v>
      </c>
      <c r="BH13" s="37">
        <v>28</v>
      </c>
      <c r="BI13" s="39">
        <v>18</v>
      </c>
      <c r="BJ13" s="39">
        <v>20</v>
      </c>
      <c r="BK13" s="39">
        <v>19</v>
      </c>
      <c r="BL13" s="39">
        <v>20</v>
      </c>
      <c r="BM13" s="42">
        <v>14</v>
      </c>
      <c r="BN13" s="37">
        <v>43</v>
      </c>
      <c r="BO13" s="39">
        <v>86</v>
      </c>
      <c r="BP13" s="39">
        <v>147</v>
      </c>
      <c r="BQ13" s="39">
        <v>150</v>
      </c>
      <c r="BR13" s="39">
        <v>151</v>
      </c>
      <c r="BS13" s="39">
        <v>10</v>
      </c>
      <c r="BT13" s="37" t="s">
        <v>54</v>
      </c>
      <c r="BU13" s="39">
        <v>123</v>
      </c>
      <c r="BV13" s="39">
        <v>166</v>
      </c>
      <c r="BW13" s="39">
        <v>0</v>
      </c>
      <c r="BX13" s="67" t="s">
        <v>21</v>
      </c>
    </row>
    <row r="14" spans="1:84" ht="23.25" customHeight="1" x14ac:dyDescent="0.4">
      <c r="A14" s="57" t="s">
        <v>22</v>
      </c>
      <c r="B14" s="34"/>
      <c r="C14" s="106">
        <v>178</v>
      </c>
      <c r="D14" s="40">
        <v>154</v>
      </c>
      <c r="E14" s="40">
        <v>189</v>
      </c>
      <c r="F14" s="39">
        <v>178</v>
      </c>
      <c r="G14" s="39">
        <v>168</v>
      </c>
      <c r="H14" s="39">
        <v>193</v>
      </c>
      <c r="I14" s="39">
        <v>215</v>
      </c>
      <c r="J14" s="39">
        <v>195</v>
      </c>
      <c r="K14" s="39">
        <v>195</v>
      </c>
      <c r="L14" s="108">
        <v>34</v>
      </c>
      <c r="M14" s="40">
        <v>322</v>
      </c>
      <c r="N14" s="40">
        <v>372</v>
      </c>
      <c r="O14" s="40">
        <v>308</v>
      </c>
      <c r="P14" s="39">
        <v>362</v>
      </c>
      <c r="Q14" s="39">
        <v>356</v>
      </c>
      <c r="R14" s="39">
        <v>402</v>
      </c>
      <c r="S14" s="39">
        <v>442</v>
      </c>
      <c r="T14" s="39">
        <v>370</v>
      </c>
      <c r="U14" s="39">
        <v>402</v>
      </c>
      <c r="V14" s="108">
        <v>48</v>
      </c>
      <c r="W14" s="109" t="s">
        <v>53</v>
      </c>
      <c r="X14" s="40">
        <f>30*2</f>
        <v>60</v>
      </c>
      <c r="Y14" s="40">
        <f>180+48</f>
        <v>228</v>
      </c>
      <c r="Z14" s="39">
        <v>247</v>
      </c>
      <c r="AA14" s="39">
        <f>87+40+5</f>
        <v>132</v>
      </c>
      <c r="AB14" s="39">
        <f>88+123</f>
        <v>211</v>
      </c>
      <c r="AC14" s="39">
        <f>93+96</f>
        <v>189</v>
      </c>
      <c r="AD14" s="39">
        <v>148</v>
      </c>
      <c r="AE14" s="39">
        <v>151</v>
      </c>
      <c r="AF14" s="108">
        <v>98</v>
      </c>
      <c r="AG14" s="109" t="s">
        <v>53</v>
      </c>
      <c r="AH14" s="40">
        <v>226</v>
      </c>
      <c r="AI14" s="40">
        <v>337</v>
      </c>
      <c r="AJ14" s="111" t="s">
        <v>53</v>
      </c>
      <c r="AK14" s="111" t="s">
        <v>53</v>
      </c>
      <c r="AL14" s="111" t="s">
        <v>53</v>
      </c>
      <c r="AM14" s="111" t="s">
        <v>53</v>
      </c>
      <c r="AN14" s="39">
        <v>403</v>
      </c>
      <c r="AO14" s="39">
        <v>430</v>
      </c>
      <c r="AP14" s="108">
        <v>0</v>
      </c>
      <c r="AQ14" s="109" t="s">
        <v>53</v>
      </c>
      <c r="AR14" s="40">
        <v>302</v>
      </c>
      <c r="AS14" s="111">
        <v>346</v>
      </c>
      <c r="AT14" s="111">
        <v>330</v>
      </c>
      <c r="AU14" s="111">
        <v>296</v>
      </c>
      <c r="AV14" s="111">
        <v>366</v>
      </c>
      <c r="AW14" s="39">
        <v>378</v>
      </c>
      <c r="AX14" s="39">
        <v>478</v>
      </c>
      <c r="AY14" s="108">
        <v>11</v>
      </c>
      <c r="AZ14" s="39">
        <v>173</v>
      </c>
      <c r="BA14" s="39">
        <v>152</v>
      </c>
      <c r="BB14" s="39">
        <v>162</v>
      </c>
      <c r="BC14" s="39">
        <v>154</v>
      </c>
      <c r="BD14" s="39">
        <v>166</v>
      </c>
      <c r="BE14" s="39">
        <v>153</v>
      </c>
      <c r="BF14" s="42">
        <v>16</v>
      </c>
      <c r="BG14" s="39">
        <v>58</v>
      </c>
      <c r="BH14" s="37">
        <v>26</v>
      </c>
      <c r="BI14" s="39">
        <v>25</v>
      </c>
      <c r="BJ14" s="39">
        <v>21</v>
      </c>
      <c r="BK14" s="39">
        <v>19</v>
      </c>
      <c r="BL14" s="39">
        <v>23</v>
      </c>
      <c r="BM14" s="42">
        <v>14</v>
      </c>
      <c r="BN14" s="37">
        <v>39</v>
      </c>
      <c r="BO14" s="39">
        <v>120</v>
      </c>
      <c r="BP14" s="39">
        <v>155</v>
      </c>
      <c r="BQ14" s="39">
        <v>169</v>
      </c>
      <c r="BR14" s="39">
        <v>165</v>
      </c>
      <c r="BS14" s="39">
        <v>8</v>
      </c>
      <c r="BT14" s="37" t="s">
        <v>54</v>
      </c>
      <c r="BU14" s="39">
        <v>157</v>
      </c>
      <c r="BV14" s="39">
        <v>176</v>
      </c>
      <c r="BW14" s="39">
        <v>1</v>
      </c>
      <c r="BX14" s="67" t="s">
        <v>23</v>
      </c>
      <c r="CC14" s="21"/>
      <c r="CD14" s="21"/>
      <c r="CE14" s="21"/>
      <c r="CF14" s="21"/>
    </row>
    <row r="15" spans="1:84" ht="23.25" customHeight="1" x14ac:dyDescent="0.4">
      <c r="A15" s="57" t="s">
        <v>24</v>
      </c>
      <c r="B15" s="34"/>
      <c r="C15" s="106">
        <v>139</v>
      </c>
      <c r="D15" s="40">
        <v>153</v>
      </c>
      <c r="E15" s="40">
        <v>200</v>
      </c>
      <c r="F15" s="39">
        <v>189</v>
      </c>
      <c r="G15" s="39">
        <v>173</v>
      </c>
      <c r="H15" s="39">
        <v>214</v>
      </c>
      <c r="I15" s="39">
        <v>217</v>
      </c>
      <c r="J15" s="39">
        <v>210</v>
      </c>
      <c r="K15" s="39">
        <v>221</v>
      </c>
      <c r="L15" s="108">
        <v>84</v>
      </c>
      <c r="M15" s="40">
        <v>254</v>
      </c>
      <c r="N15" s="40">
        <v>362</v>
      </c>
      <c r="O15" s="40">
        <v>464</v>
      </c>
      <c r="P15" s="39">
        <v>392</v>
      </c>
      <c r="Q15" s="39">
        <v>346</v>
      </c>
      <c r="R15" s="39">
        <v>438</v>
      </c>
      <c r="S15" s="39">
        <v>436</v>
      </c>
      <c r="T15" s="39">
        <v>412</v>
      </c>
      <c r="U15" s="39">
        <v>424</v>
      </c>
      <c r="V15" s="108">
        <v>34</v>
      </c>
      <c r="W15" s="109" t="s">
        <v>53</v>
      </c>
      <c r="X15" s="40">
        <f>33*2</f>
        <v>66</v>
      </c>
      <c r="Y15" s="40">
        <f>136+90</f>
        <v>226</v>
      </c>
      <c r="Z15" s="39">
        <v>226</v>
      </c>
      <c r="AA15" s="39">
        <f>87+12</f>
        <v>99</v>
      </c>
      <c r="AB15" s="39">
        <v>149</v>
      </c>
      <c r="AC15" s="39">
        <f>68+78</f>
        <v>146</v>
      </c>
      <c r="AD15" s="39">
        <v>180</v>
      </c>
      <c r="AE15" s="39">
        <v>177</v>
      </c>
      <c r="AF15" s="108">
        <v>84</v>
      </c>
      <c r="AG15" s="109" t="s">
        <v>53</v>
      </c>
      <c r="AH15" s="40">
        <v>250</v>
      </c>
      <c r="AI15" s="40">
        <v>402</v>
      </c>
      <c r="AJ15" s="111" t="s">
        <v>53</v>
      </c>
      <c r="AK15" s="111" t="s">
        <v>53</v>
      </c>
      <c r="AL15" s="111" t="s">
        <v>53</v>
      </c>
      <c r="AM15" s="111" t="s">
        <v>53</v>
      </c>
      <c r="AN15" s="39">
        <v>450</v>
      </c>
      <c r="AO15" s="39">
        <v>420</v>
      </c>
      <c r="AP15" s="108">
        <v>0</v>
      </c>
      <c r="AQ15" s="109" t="s">
        <v>53</v>
      </c>
      <c r="AR15" s="40">
        <v>333</v>
      </c>
      <c r="AS15" s="111">
        <v>370</v>
      </c>
      <c r="AT15" s="111">
        <v>341</v>
      </c>
      <c r="AU15" s="111">
        <v>329</v>
      </c>
      <c r="AV15" s="111">
        <v>397</v>
      </c>
      <c r="AW15" s="39">
        <v>430</v>
      </c>
      <c r="AX15" s="39">
        <v>480</v>
      </c>
      <c r="AY15" s="108">
        <v>6</v>
      </c>
      <c r="AZ15" s="39">
        <v>172</v>
      </c>
      <c r="BA15" s="39">
        <v>163</v>
      </c>
      <c r="BB15" s="39">
        <v>156</v>
      </c>
      <c r="BC15" s="39">
        <v>148</v>
      </c>
      <c r="BD15" s="39">
        <v>165</v>
      </c>
      <c r="BE15" s="39">
        <v>161</v>
      </c>
      <c r="BF15" s="42">
        <v>45</v>
      </c>
      <c r="BG15" s="39">
        <v>60</v>
      </c>
      <c r="BH15" s="37">
        <v>26</v>
      </c>
      <c r="BI15" s="39">
        <v>19</v>
      </c>
      <c r="BJ15" s="39">
        <v>22</v>
      </c>
      <c r="BK15" s="39">
        <v>27</v>
      </c>
      <c r="BL15" s="39">
        <v>30</v>
      </c>
      <c r="BM15" s="42">
        <v>8</v>
      </c>
      <c r="BN15" s="37">
        <v>54</v>
      </c>
      <c r="BO15" s="39">
        <v>149</v>
      </c>
      <c r="BP15" s="39">
        <v>173</v>
      </c>
      <c r="BQ15" s="39">
        <v>147</v>
      </c>
      <c r="BR15" s="39">
        <v>155</v>
      </c>
      <c r="BS15" s="39">
        <v>6</v>
      </c>
      <c r="BT15" s="37" t="s">
        <v>54</v>
      </c>
      <c r="BU15" s="39">
        <v>172</v>
      </c>
      <c r="BV15" s="39">
        <v>189</v>
      </c>
      <c r="BW15" s="39">
        <v>4</v>
      </c>
      <c r="BX15" s="67" t="s">
        <v>25</v>
      </c>
    </row>
    <row r="16" spans="1:84" ht="23.25" customHeight="1" x14ac:dyDescent="0.4">
      <c r="A16" s="57" t="s">
        <v>26</v>
      </c>
      <c r="B16" s="34"/>
      <c r="C16" s="106">
        <v>148</v>
      </c>
      <c r="D16" s="40">
        <v>155</v>
      </c>
      <c r="E16" s="40">
        <v>200</v>
      </c>
      <c r="F16" s="39">
        <v>185</v>
      </c>
      <c r="G16" s="39">
        <v>177</v>
      </c>
      <c r="H16" s="39">
        <v>233</v>
      </c>
      <c r="I16" s="39">
        <v>242</v>
      </c>
      <c r="J16" s="39">
        <v>215</v>
      </c>
      <c r="K16" s="39">
        <v>228</v>
      </c>
      <c r="L16" s="108">
        <v>54</v>
      </c>
      <c r="M16" s="40">
        <v>272</v>
      </c>
      <c r="N16" s="40">
        <v>286</v>
      </c>
      <c r="O16" s="40">
        <v>376</v>
      </c>
      <c r="P16" s="39">
        <v>346</v>
      </c>
      <c r="Q16" s="39">
        <v>320</v>
      </c>
      <c r="R16" s="39">
        <v>432</v>
      </c>
      <c r="S16" s="39">
        <v>434</v>
      </c>
      <c r="T16" s="39">
        <v>402</v>
      </c>
      <c r="U16" s="39">
        <v>392</v>
      </c>
      <c r="V16" s="108">
        <v>30</v>
      </c>
      <c r="W16" s="109" t="s">
        <v>53</v>
      </c>
      <c r="X16" s="40">
        <f>27*2</f>
        <v>54</v>
      </c>
      <c r="Y16" s="40">
        <f>148+51</f>
        <v>199</v>
      </c>
      <c r="Z16" s="39">
        <v>223</v>
      </c>
      <c r="AA16" s="39">
        <v>185</v>
      </c>
      <c r="AB16" s="39">
        <f>123+44</f>
        <v>167</v>
      </c>
      <c r="AC16" s="39">
        <f>96+76</f>
        <v>172</v>
      </c>
      <c r="AD16" s="39">
        <v>191</v>
      </c>
      <c r="AE16" s="39">
        <f>102+76</f>
        <v>178</v>
      </c>
      <c r="AF16" s="108">
        <v>64</v>
      </c>
      <c r="AG16" s="109" t="s">
        <v>53</v>
      </c>
      <c r="AH16" s="40">
        <v>308</v>
      </c>
      <c r="AI16" s="40">
        <v>387</v>
      </c>
      <c r="AJ16" s="111" t="s">
        <v>53</v>
      </c>
      <c r="AK16" s="111" t="s">
        <v>53</v>
      </c>
      <c r="AL16" s="111" t="s">
        <v>53</v>
      </c>
      <c r="AM16" s="111" t="s">
        <v>53</v>
      </c>
      <c r="AN16" s="39">
        <v>375</v>
      </c>
      <c r="AO16" s="39">
        <v>318</v>
      </c>
      <c r="AP16" s="108">
        <v>0</v>
      </c>
      <c r="AQ16" s="109" t="s">
        <v>53</v>
      </c>
      <c r="AR16" s="40">
        <v>335</v>
      </c>
      <c r="AS16" s="111">
        <v>357</v>
      </c>
      <c r="AT16" s="111">
        <v>314</v>
      </c>
      <c r="AU16" s="111">
        <v>331</v>
      </c>
      <c r="AV16" s="111">
        <v>362</v>
      </c>
      <c r="AW16" s="39">
        <v>360</v>
      </c>
      <c r="AX16" s="39">
        <v>380</v>
      </c>
      <c r="AY16" s="108">
        <v>7</v>
      </c>
      <c r="AZ16" s="39">
        <v>166</v>
      </c>
      <c r="BA16" s="39">
        <v>151</v>
      </c>
      <c r="BB16" s="39">
        <v>155</v>
      </c>
      <c r="BC16" s="39">
        <v>166</v>
      </c>
      <c r="BD16" s="39">
        <v>158</v>
      </c>
      <c r="BE16" s="39">
        <v>154</v>
      </c>
      <c r="BF16" s="42">
        <v>46</v>
      </c>
      <c r="BG16" s="39">
        <v>46</v>
      </c>
      <c r="BH16" s="37">
        <v>32</v>
      </c>
      <c r="BI16" s="39">
        <v>24</v>
      </c>
      <c r="BJ16" s="39">
        <v>21</v>
      </c>
      <c r="BK16" s="39">
        <v>23</v>
      </c>
      <c r="BL16" s="39">
        <v>21</v>
      </c>
      <c r="BM16" s="42">
        <v>6</v>
      </c>
      <c r="BN16" s="37">
        <v>69</v>
      </c>
      <c r="BO16" s="39">
        <v>130</v>
      </c>
      <c r="BP16" s="39">
        <v>173</v>
      </c>
      <c r="BQ16" s="39">
        <v>141</v>
      </c>
      <c r="BR16" s="39">
        <v>154</v>
      </c>
      <c r="BS16" s="39">
        <v>9</v>
      </c>
      <c r="BT16" s="37" t="s">
        <v>54</v>
      </c>
      <c r="BU16" s="39">
        <v>165</v>
      </c>
      <c r="BV16" s="39">
        <v>161</v>
      </c>
      <c r="BW16" s="39">
        <v>10</v>
      </c>
      <c r="BX16" s="67" t="s">
        <v>27</v>
      </c>
    </row>
    <row r="17" spans="1:84" ht="23.25" customHeight="1" x14ac:dyDescent="0.4">
      <c r="A17" s="57" t="s">
        <v>28</v>
      </c>
      <c r="B17" s="34"/>
      <c r="C17" s="106">
        <v>144</v>
      </c>
      <c r="D17" s="40">
        <v>157</v>
      </c>
      <c r="E17" s="40">
        <v>204</v>
      </c>
      <c r="F17" s="39">
        <v>180</v>
      </c>
      <c r="G17" s="39">
        <v>163</v>
      </c>
      <c r="H17" s="39">
        <v>228</v>
      </c>
      <c r="I17" s="39">
        <v>238</v>
      </c>
      <c r="J17" s="39">
        <v>168</v>
      </c>
      <c r="K17" s="39">
        <v>217</v>
      </c>
      <c r="L17" s="108">
        <v>74</v>
      </c>
      <c r="M17" s="40">
        <v>190</v>
      </c>
      <c r="N17" s="40">
        <v>272</v>
      </c>
      <c r="O17" s="40">
        <v>380</v>
      </c>
      <c r="P17" s="39">
        <v>366</v>
      </c>
      <c r="Q17" s="39">
        <v>334</v>
      </c>
      <c r="R17" s="39">
        <v>492</v>
      </c>
      <c r="S17" s="39">
        <v>446</v>
      </c>
      <c r="T17" s="39">
        <v>394</v>
      </c>
      <c r="U17" s="39">
        <v>408</v>
      </c>
      <c r="V17" s="108">
        <v>54</v>
      </c>
      <c r="W17" s="109">
        <v>4</v>
      </c>
      <c r="X17" s="40">
        <f>26*2</f>
        <v>52</v>
      </c>
      <c r="Y17" s="40">
        <f>54+156</f>
        <v>210</v>
      </c>
      <c r="Z17" s="39">
        <v>251</v>
      </c>
      <c r="AA17" s="39">
        <f>84+20</f>
        <v>104</v>
      </c>
      <c r="AB17" s="39">
        <v>172</v>
      </c>
      <c r="AC17" s="39">
        <f>78+44</f>
        <v>122</v>
      </c>
      <c r="AD17" s="39">
        <v>105</v>
      </c>
      <c r="AE17" s="39">
        <f>76+75</f>
        <v>151</v>
      </c>
      <c r="AF17" s="108">
        <v>55</v>
      </c>
      <c r="AG17" s="109">
        <v>186</v>
      </c>
      <c r="AH17" s="40">
        <v>365</v>
      </c>
      <c r="AI17" s="40">
        <v>439</v>
      </c>
      <c r="AJ17" s="111" t="s">
        <v>53</v>
      </c>
      <c r="AK17" s="111" t="s">
        <v>53</v>
      </c>
      <c r="AL17" s="111" t="s">
        <v>53</v>
      </c>
      <c r="AM17" s="111" t="s">
        <v>53</v>
      </c>
      <c r="AN17" s="39">
        <v>414</v>
      </c>
      <c r="AO17" s="39">
        <v>350</v>
      </c>
      <c r="AP17" s="108">
        <v>102</v>
      </c>
      <c r="AQ17" s="109">
        <v>30</v>
      </c>
      <c r="AR17" s="40">
        <v>357</v>
      </c>
      <c r="AS17" s="111">
        <v>368</v>
      </c>
      <c r="AT17" s="111">
        <v>328</v>
      </c>
      <c r="AU17" s="111">
        <v>321</v>
      </c>
      <c r="AV17" s="111">
        <v>387</v>
      </c>
      <c r="AW17" s="39">
        <v>392</v>
      </c>
      <c r="AX17" s="39">
        <v>441</v>
      </c>
      <c r="AY17" s="108">
        <v>9</v>
      </c>
      <c r="AZ17" s="39">
        <v>185</v>
      </c>
      <c r="BA17" s="39">
        <v>173</v>
      </c>
      <c r="BB17" s="39">
        <v>167</v>
      </c>
      <c r="BC17" s="39">
        <v>163</v>
      </c>
      <c r="BD17" s="39">
        <v>167</v>
      </c>
      <c r="BE17" s="39">
        <v>165</v>
      </c>
      <c r="BF17" s="42">
        <v>62</v>
      </c>
      <c r="BG17" s="39">
        <v>54</v>
      </c>
      <c r="BH17" s="37">
        <v>27</v>
      </c>
      <c r="BI17" s="39">
        <v>20</v>
      </c>
      <c r="BJ17" s="39">
        <v>19</v>
      </c>
      <c r="BK17" s="39">
        <v>18</v>
      </c>
      <c r="BL17" s="39">
        <v>19</v>
      </c>
      <c r="BM17" s="42">
        <v>10</v>
      </c>
      <c r="BN17" s="37">
        <v>87</v>
      </c>
      <c r="BO17" s="39">
        <v>150</v>
      </c>
      <c r="BP17" s="39">
        <v>188</v>
      </c>
      <c r="BQ17" s="39">
        <v>171</v>
      </c>
      <c r="BR17" s="39">
        <v>171</v>
      </c>
      <c r="BS17" s="39">
        <v>15</v>
      </c>
      <c r="BT17" s="37">
        <v>132</v>
      </c>
      <c r="BU17" s="39">
        <v>180</v>
      </c>
      <c r="BV17" s="39">
        <v>186</v>
      </c>
      <c r="BW17" s="39">
        <v>21</v>
      </c>
      <c r="BX17" s="67" t="s">
        <v>29</v>
      </c>
      <c r="CC17" s="21"/>
      <c r="CD17" s="21"/>
      <c r="CE17" s="21"/>
      <c r="CF17" s="21"/>
    </row>
    <row r="18" spans="1:84" ht="23.25" customHeight="1" x14ac:dyDescent="0.4">
      <c r="A18" s="57" t="s">
        <v>30</v>
      </c>
      <c r="B18" s="34"/>
      <c r="C18" s="106">
        <v>151</v>
      </c>
      <c r="D18" s="40">
        <v>170</v>
      </c>
      <c r="E18" s="40">
        <v>203</v>
      </c>
      <c r="F18" s="39">
        <v>147</v>
      </c>
      <c r="G18" s="39">
        <v>179</v>
      </c>
      <c r="H18" s="39">
        <v>202</v>
      </c>
      <c r="I18" s="39">
        <v>241</v>
      </c>
      <c r="J18" s="39">
        <v>204</v>
      </c>
      <c r="K18" s="39">
        <v>226</v>
      </c>
      <c r="L18" s="108">
        <v>128</v>
      </c>
      <c r="M18" s="40">
        <v>354</v>
      </c>
      <c r="N18" s="40">
        <v>282</v>
      </c>
      <c r="O18" s="40">
        <v>390</v>
      </c>
      <c r="P18" s="39">
        <v>374</v>
      </c>
      <c r="Q18" s="39">
        <v>334</v>
      </c>
      <c r="R18" s="39">
        <v>458</v>
      </c>
      <c r="S18" s="39">
        <v>410</v>
      </c>
      <c r="T18" s="39">
        <v>390</v>
      </c>
      <c r="U18" s="39">
        <v>348</v>
      </c>
      <c r="V18" s="108">
        <v>152</v>
      </c>
      <c r="W18" s="109">
        <v>144</v>
      </c>
      <c r="X18" s="40">
        <f>42*2</f>
        <v>84</v>
      </c>
      <c r="Y18" s="40">
        <v>253</v>
      </c>
      <c r="Z18" s="39">
        <v>220</v>
      </c>
      <c r="AA18" s="39">
        <v>162</v>
      </c>
      <c r="AB18" s="39">
        <f>48+129</f>
        <v>177</v>
      </c>
      <c r="AC18" s="39">
        <v>133</v>
      </c>
      <c r="AD18" s="39">
        <v>184</v>
      </c>
      <c r="AE18" s="39">
        <f>56+117</f>
        <v>173</v>
      </c>
      <c r="AF18" s="108">
        <v>153</v>
      </c>
      <c r="AG18" s="109">
        <v>275</v>
      </c>
      <c r="AH18" s="40">
        <v>325</v>
      </c>
      <c r="AI18" s="40">
        <v>415</v>
      </c>
      <c r="AJ18" s="111" t="s">
        <v>53</v>
      </c>
      <c r="AK18" s="111" t="s">
        <v>53</v>
      </c>
      <c r="AL18" s="111" t="s">
        <v>53</v>
      </c>
      <c r="AM18" s="111" t="s">
        <v>53</v>
      </c>
      <c r="AN18" s="39">
        <v>383</v>
      </c>
      <c r="AO18" s="39">
        <v>349</v>
      </c>
      <c r="AP18" s="108">
        <v>125</v>
      </c>
      <c r="AQ18" s="109">
        <v>49</v>
      </c>
      <c r="AR18" s="40">
        <v>365</v>
      </c>
      <c r="AS18" s="111">
        <v>309</v>
      </c>
      <c r="AT18" s="111">
        <v>319</v>
      </c>
      <c r="AU18" s="111">
        <v>324</v>
      </c>
      <c r="AV18" s="111">
        <v>370</v>
      </c>
      <c r="AW18" s="39">
        <v>379</v>
      </c>
      <c r="AX18" s="39">
        <v>374</v>
      </c>
      <c r="AY18" s="108">
        <v>67</v>
      </c>
      <c r="AZ18" s="39">
        <v>169</v>
      </c>
      <c r="BA18" s="39">
        <v>164</v>
      </c>
      <c r="BB18" s="39">
        <v>160</v>
      </c>
      <c r="BC18" s="39">
        <v>170</v>
      </c>
      <c r="BD18" s="39">
        <v>159</v>
      </c>
      <c r="BE18" s="39">
        <v>177</v>
      </c>
      <c r="BF18" s="42">
        <v>89</v>
      </c>
      <c r="BG18" s="39">
        <v>50</v>
      </c>
      <c r="BH18" s="37">
        <v>30</v>
      </c>
      <c r="BI18" s="39">
        <v>22</v>
      </c>
      <c r="BJ18" s="39">
        <v>21</v>
      </c>
      <c r="BK18" s="39">
        <v>24</v>
      </c>
      <c r="BL18" s="39">
        <v>17</v>
      </c>
      <c r="BM18" s="42">
        <v>7</v>
      </c>
      <c r="BN18" s="37">
        <v>127</v>
      </c>
      <c r="BO18" s="39">
        <v>132</v>
      </c>
      <c r="BP18" s="39">
        <v>164</v>
      </c>
      <c r="BQ18" s="39">
        <v>156</v>
      </c>
      <c r="BR18" s="39">
        <v>168</v>
      </c>
      <c r="BS18" s="39">
        <v>20</v>
      </c>
      <c r="BT18" s="37">
        <v>178</v>
      </c>
      <c r="BU18" s="39">
        <v>175</v>
      </c>
      <c r="BV18" s="39">
        <v>210</v>
      </c>
      <c r="BW18" s="39">
        <v>54</v>
      </c>
      <c r="BX18" s="67" t="s">
        <v>31</v>
      </c>
    </row>
    <row r="19" spans="1:84" ht="23.25" customHeight="1" x14ac:dyDescent="0.4">
      <c r="A19" s="58" t="s">
        <v>32</v>
      </c>
      <c r="B19" s="43"/>
      <c r="C19" s="107">
        <v>134</v>
      </c>
      <c r="D19" s="49">
        <v>174</v>
      </c>
      <c r="E19" s="49">
        <v>220</v>
      </c>
      <c r="F19" s="48">
        <v>162</v>
      </c>
      <c r="G19" s="48">
        <v>199</v>
      </c>
      <c r="H19" s="48">
        <v>181</v>
      </c>
      <c r="I19" s="48">
        <v>267</v>
      </c>
      <c r="J19" s="48">
        <v>212</v>
      </c>
      <c r="K19" s="48">
        <v>205</v>
      </c>
      <c r="L19" s="120">
        <v>201</v>
      </c>
      <c r="M19" s="49">
        <v>330</v>
      </c>
      <c r="N19" s="49">
        <v>368</v>
      </c>
      <c r="O19" s="49">
        <v>371</v>
      </c>
      <c r="P19" s="48">
        <v>398</v>
      </c>
      <c r="Q19" s="48">
        <v>406</v>
      </c>
      <c r="R19" s="48">
        <v>458</v>
      </c>
      <c r="S19" s="48">
        <v>418</v>
      </c>
      <c r="T19" s="48">
        <v>390</v>
      </c>
      <c r="U19" s="48">
        <v>412</v>
      </c>
      <c r="V19" s="120">
        <v>248</v>
      </c>
      <c r="W19" s="110">
        <v>114</v>
      </c>
      <c r="X19" s="49">
        <f>41*2</f>
        <v>82</v>
      </c>
      <c r="Y19" s="49">
        <v>222</v>
      </c>
      <c r="Z19" s="48">
        <v>224</v>
      </c>
      <c r="AA19" s="48">
        <v>216</v>
      </c>
      <c r="AB19" s="48">
        <f>147+48</f>
        <v>195</v>
      </c>
      <c r="AC19" s="48">
        <v>167</v>
      </c>
      <c r="AD19" s="48">
        <v>268</v>
      </c>
      <c r="AE19" s="48">
        <v>217</v>
      </c>
      <c r="AF19" s="120">
        <v>245</v>
      </c>
      <c r="AG19" s="110">
        <v>308</v>
      </c>
      <c r="AH19" s="49">
        <v>350</v>
      </c>
      <c r="AI19" s="49">
        <v>405</v>
      </c>
      <c r="AJ19" s="112" t="s">
        <v>53</v>
      </c>
      <c r="AK19" s="112" t="s">
        <v>53</v>
      </c>
      <c r="AL19" s="112" t="s">
        <v>53</v>
      </c>
      <c r="AM19" s="112" t="s">
        <v>53</v>
      </c>
      <c r="AN19" s="48">
        <v>410</v>
      </c>
      <c r="AO19" s="48">
        <v>346</v>
      </c>
      <c r="AP19" s="120">
        <v>190</v>
      </c>
      <c r="AQ19" s="110">
        <v>94</v>
      </c>
      <c r="AR19" s="49">
        <v>369</v>
      </c>
      <c r="AS19" s="112">
        <v>329</v>
      </c>
      <c r="AT19" s="112">
        <v>327</v>
      </c>
      <c r="AU19" s="112">
        <v>329</v>
      </c>
      <c r="AV19" s="112">
        <v>385</v>
      </c>
      <c r="AW19" s="48">
        <v>387</v>
      </c>
      <c r="AX19" s="48">
        <v>453</v>
      </c>
      <c r="AY19" s="120">
        <v>105</v>
      </c>
      <c r="AZ19" s="48">
        <v>178</v>
      </c>
      <c r="BA19" s="48">
        <v>178</v>
      </c>
      <c r="BB19" s="48">
        <v>169</v>
      </c>
      <c r="BC19" s="48">
        <v>180</v>
      </c>
      <c r="BD19" s="48">
        <v>171</v>
      </c>
      <c r="BE19" s="48">
        <v>255</v>
      </c>
      <c r="BF19" s="50">
        <v>141</v>
      </c>
      <c r="BG19" s="48">
        <v>39</v>
      </c>
      <c r="BH19" s="46">
        <v>30</v>
      </c>
      <c r="BI19" s="48">
        <v>24</v>
      </c>
      <c r="BJ19" s="48">
        <v>23</v>
      </c>
      <c r="BK19" s="48">
        <v>22</v>
      </c>
      <c r="BL19" s="48">
        <v>15</v>
      </c>
      <c r="BM19" s="50">
        <v>7</v>
      </c>
      <c r="BN19" s="46">
        <v>124</v>
      </c>
      <c r="BO19" s="48">
        <v>131</v>
      </c>
      <c r="BP19" s="48">
        <v>169</v>
      </c>
      <c r="BQ19" s="48">
        <v>158</v>
      </c>
      <c r="BR19" s="48">
        <v>161</v>
      </c>
      <c r="BS19" s="48">
        <v>34</v>
      </c>
      <c r="BT19" s="46">
        <v>178</v>
      </c>
      <c r="BU19" s="48">
        <v>171</v>
      </c>
      <c r="BV19" s="48">
        <v>212</v>
      </c>
      <c r="BW19" s="48">
        <v>244</v>
      </c>
      <c r="BX19" s="68" t="s">
        <v>33</v>
      </c>
    </row>
    <row r="20" spans="1:84" ht="18.75" x14ac:dyDescent="0.25">
      <c r="A20" s="6" t="s">
        <v>6</v>
      </c>
      <c r="B20" s="6"/>
      <c r="C20" s="51"/>
      <c r="D20" s="51"/>
      <c r="E20" s="51"/>
      <c r="F20" s="51"/>
      <c r="G20" s="51"/>
      <c r="H20" s="51"/>
      <c r="I20" s="51"/>
      <c r="J20" s="51"/>
      <c r="K20" s="51"/>
      <c r="L20" s="51"/>
      <c r="BX20" s="7" t="s">
        <v>7</v>
      </c>
      <c r="CB20" s="14"/>
      <c r="CC20" s="21"/>
      <c r="CD20" s="21"/>
      <c r="CE20" s="21"/>
      <c r="CF20" s="21"/>
    </row>
    <row r="21" spans="1:84" x14ac:dyDescent="0.25">
      <c r="A21" s="6" t="s">
        <v>55</v>
      </c>
      <c r="B21" s="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CB21" s="14"/>
    </row>
    <row r="22" spans="1:84" x14ac:dyDescent="0.25">
      <c r="A22" s="6" t="s">
        <v>56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spans="1:84" x14ac:dyDescent="0.25">
      <c r="A23" s="6" t="s">
        <v>57</v>
      </c>
      <c r="CB23" s="8"/>
      <c r="CC23" s="21"/>
      <c r="CD23" s="21"/>
      <c r="CE23" s="21"/>
      <c r="CF23" s="21"/>
    </row>
    <row r="24" spans="1:84" x14ac:dyDescent="0.25">
      <c r="A24" s="6" t="s">
        <v>58</v>
      </c>
    </row>
    <row r="25" spans="1:84" x14ac:dyDescent="0.25">
      <c r="A25" s="6" t="s">
        <v>59</v>
      </c>
    </row>
    <row r="26" spans="1:84" x14ac:dyDescent="0.25">
      <c r="A26" s="6" t="s">
        <v>60</v>
      </c>
    </row>
    <row r="27" spans="1:84" ht="15" customHeight="1" x14ac:dyDescent="0.25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38" spans="3:25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3:25" ht="18.75" x14ac:dyDescent="0.25">
      <c r="C39" s="168"/>
      <c r="D39" s="168"/>
      <c r="E39" s="168"/>
      <c r="F39" s="118"/>
      <c r="G39" s="118"/>
      <c r="H39" s="118"/>
      <c r="I39" s="118"/>
      <c r="J39" s="118"/>
      <c r="K39" s="118"/>
      <c r="L39" s="118"/>
      <c r="M39" s="168"/>
      <c r="N39" s="168"/>
      <c r="O39" s="168"/>
      <c r="P39" s="118"/>
      <c r="Q39" s="118"/>
      <c r="R39" s="118"/>
      <c r="S39" s="118"/>
      <c r="T39" s="118"/>
      <c r="U39" s="118"/>
      <c r="V39" s="118"/>
      <c r="W39" s="118"/>
      <c r="X39" s="118"/>
      <c r="Y39" s="118"/>
    </row>
    <row r="40" spans="3:25" x14ac:dyDescent="0.25">
      <c r="C40" s="167"/>
      <c r="D40" s="167"/>
      <c r="E40" s="167"/>
      <c r="F40" s="117"/>
      <c r="G40" s="117"/>
      <c r="H40" s="117"/>
      <c r="I40" s="117"/>
      <c r="J40" s="117"/>
      <c r="K40" s="117"/>
      <c r="L40" s="117"/>
      <c r="M40" s="167"/>
      <c r="N40" s="167"/>
      <c r="O40" s="167"/>
      <c r="P40" s="117"/>
      <c r="Q40" s="117"/>
      <c r="R40" s="117"/>
      <c r="S40" s="117"/>
      <c r="T40" s="117"/>
      <c r="U40" s="117"/>
      <c r="V40" s="117"/>
      <c r="W40" s="117"/>
      <c r="X40" s="117"/>
      <c r="Y40" s="117"/>
    </row>
    <row r="41" spans="3:25" x14ac:dyDescent="0.25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3:25" x14ac:dyDescent="0.25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</row>
    <row r="43" spans="3:25" x14ac:dyDescent="0.25">
      <c r="C43" s="55"/>
      <c r="D43" s="56"/>
      <c r="E43" s="56"/>
      <c r="F43" s="56"/>
      <c r="G43" s="56"/>
      <c r="H43" s="56"/>
      <c r="I43" s="56"/>
      <c r="J43" s="56"/>
      <c r="K43" s="56"/>
      <c r="L43" s="56"/>
      <c r="M43" s="55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3:25" x14ac:dyDescent="0.25">
      <c r="C44" s="55"/>
      <c r="D44" s="56"/>
      <c r="E44" s="56"/>
      <c r="F44" s="56"/>
      <c r="G44" s="56"/>
      <c r="H44" s="56"/>
      <c r="I44" s="56"/>
      <c r="J44" s="56"/>
      <c r="K44" s="56"/>
      <c r="L44" s="56"/>
      <c r="M44" s="55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3:25" x14ac:dyDescent="0.25">
      <c r="C45" s="55"/>
      <c r="D45" s="56"/>
      <c r="E45" s="56"/>
      <c r="F45" s="56"/>
      <c r="G45" s="56"/>
      <c r="H45" s="56"/>
      <c r="I45" s="56"/>
      <c r="J45" s="56"/>
      <c r="K45" s="56"/>
      <c r="L45" s="56"/>
      <c r="M45" s="55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spans="3:25" x14ac:dyDescent="0.25"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5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spans="3:25" x14ac:dyDescent="0.25">
      <c r="C47" s="55"/>
      <c r="D47" s="56"/>
      <c r="E47" s="56"/>
      <c r="F47" s="56"/>
      <c r="G47" s="56"/>
      <c r="H47" s="56"/>
      <c r="I47" s="56"/>
      <c r="J47" s="56"/>
      <c r="K47" s="56"/>
      <c r="L47" s="56"/>
      <c r="M47" s="55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spans="3:25" x14ac:dyDescent="0.25">
      <c r="C48" s="55"/>
      <c r="D48" s="56"/>
      <c r="E48" s="56"/>
      <c r="F48" s="56"/>
      <c r="G48" s="56"/>
      <c r="H48" s="56"/>
      <c r="I48" s="56"/>
      <c r="J48" s="56"/>
      <c r="K48" s="56"/>
      <c r="L48" s="56"/>
      <c r="M48" s="55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3:25" x14ac:dyDescent="0.25">
      <c r="C49" s="55"/>
      <c r="D49" s="56"/>
      <c r="E49" s="56"/>
      <c r="F49" s="56"/>
      <c r="G49" s="56"/>
      <c r="H49" s="56"/>
      <c r="I49" s="56"/>
      <c r="J49" s="56"/>
      <c r="K49" s="56"/>
      <c r="L49" s="56"/>
      <c r="M49" s="55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3:25" x14ac:dyDescent="0.25">
      <c r="C50" s="55"/>
      <c r="D50" s="56"/>
      <c r="E50" s="56"/>
      <c r="F50" s="56"/>
      <c r="G50" s="56"/>
      <c r="H50" s="56"/>
      <c r="I50" s="56"/>
      <c r="J50" s="56"/>
      <c r="K50" s="56"/>
      <c r="L50" s="56"/>
      <c r="M50" s="5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3:25" x14ac:dyDescent="0.25">
      <c r="C51" s="55"/>
      <c r="D51" s="56"/>
      <c r="E51" s="56"/>
      <c r="F51" s="56"/>
      <c r="G51" s="56"/>
      <c r="H51" s="56"/>
      <c r="I51" s="56"/>
      <c r="J51" s="56"/>
      <c r="K51" s="56"/>
      <c r="L51" s="56"/>
      <c r="M51" s="55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3:25" x14ac:dyDescent="0.25"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3:25" x14ac:dyDescent="0.25"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  <row r="54" spans="3:25" x14ac:dyDescent="0.25"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 spans="3:25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3:2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</sheetData>
  <mergeCells count="26">
    <mergeCell ref="C40:E40"/>
    <mergeCell ref="M40:O40"/>
    <mergeCell ref="C39:E39"/>
    <mergeCell ref="AZ4:BF4"/>
    <mergeCell ref="AZ5:BF5"/>
    <mergeCell ref="W4:AF4"/>
    <mergeCell ref="W5:AF5"/>
    <mergeCell ref="AG4:AP4"/>
    <mergeCell ref="AG5:AP5"/>
    <mergeCell ref="AQ4:AY4"/>
    <mergeCell ref="AQ5:AY5"/>
    <mergeCell ref="M39:O39"/>
    <mergeCell ref="C5:L5"/>
    <mergeCell ref="A1:BX1"/>
    <mergeCell ref="A2:BX2"/>
    <mergeCell ref="BX4:BX6"/>
    <mergeCell ref="A4:A6"/>
    <mergeCell ref="C4:L4"/>
    <mergeCell ref="BT4:BV4"/>
    <mergeCell ref="BT5:BV5"/>
    <mergeCell ref="M4:V4"/>
    <mergeCell ref="M5:V5"/>
    <mergeCell ref="BH5:BM5"/>
    <mergeCell ref="BH4:BM4"/>
    <mergeCell ref="BN4:BS4"/>
    <mergeCell ref="BN5:BS5"/>
  </mergeCells>
  <pageMargins left="0.7" right="0.7" top="0.75" bottom="0.75" header="0.3" footer="0.3"/>
  <pageSetup paperSize="9" scale="1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11.17</vt:lpstr>
      <vt:lpstr>'11.17'!Print_Area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2021-08-25T06:12:28Z</cp:lastPrinted>
  <dcterms:created xsi:type="dcterms:W3CDTF">2019-03-24T03:32:16Z</dcterms:created>
  <dcterms:modified xsi:type="dcterms:W3CDTF">2021-08-25T06:12:45Z</dcterms:modified>
</cp:coreProperties>
</file>