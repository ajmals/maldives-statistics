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3" sheetId="25" r:id="rId1"/>
  </sheets>
  <externalReferences>
    <externalReference r:id="rId2"/>
    <externalReference r:id="rId3"/>
  </externalReferences>
  <definedNames>
    <definedName name="_xlnm.Print_Area" localSheetId="0">'11.3'!$A$1:$S$119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39" i="25" l="1"/>
  <c r="AS38" i="25"/>
  <c r="AT38" i="25"/>
  <c r="AU38" i="25"/>
  <c r="AV38" i="25"/>
  <c r="AW38" i="25"/>
  <c r="AX38" i="25"/>
  <c r="AY38" i="25"/>
  <c r="AZ38" i="25"/>
  <c r="AT39" i="25"/>
  <c r="AU39" i="25"/>
  <c r="AV39" i="25"/>
  <c r="AW39" i="25"/>
  <c r="AX39" i="25"/>
  <c r="AY39" i="25"/>
  <c r="AZ39" i="25"/>
  <c r="AT37" i="25"/>
  <c r="AS37" i="25"/>
  <c r="AU37" i="25"/>
  <c r="AV37" i="25"/>
  <c r="AW37" i="25"/>
  <c r="AX37" i="25"/>
  <c r="AY37" i="25"/>
  <c r="AZ37" i="25"/>
  <c r="AQ7" i="25"/>
  <c r="AQ11" i="25" s="1"/>
  <c r="AR46" i="25" s="1"/>
  <c r="AQ10" i="25"/>
  <c r="AR45" i="25" s="1"/>
  <c r="AQ9" i="25"/>
  <c r="AR44" i="25" s="1"/>
  <c r="AQ8" i="25"/>
  <c r="AR43" i="25" s="1"/>
</calcChain>
</file>

<file path=xl/sharedStrings.xml><?xml version="1.0" encoding="utf-8"?>
<sst xmlns="http://schemas.openxmlformats.org/spreadsheetml/2006/main" count="72" uniqueCount="65">
  <si>
    <t>Total</t>
  </si>
  <si>
    <t>Others</t>
  </si>
  <si>
    <t>Type of Vehicles</t>
  </si>
  <si>
    <t>Motor cycle</t>
  </si>
  <si>
    <t>Car</t>
  </si>
  <si>
    <t>Bus</t>
  </si>
  <si>
    <t>Pick-Up</t>
  </si>
  <si>
    <t>Lorry</t>
  </si>
  <si>
    <t>Van</t>
  </si>
  <si>
    <t>Jeep</t>
  </si>
  <si>
    <t>Ambulance</t>
  </si>
  <si>
    <t>Bouser</t>
  </si>
  <si>
    <t>Crane</t>
  </si>
  <si>
    <t>Truck</t>
  </si>
  <si>
    <t>Fork-Lift</t>
  </si>
  <si>
    <t>Excavator</t>
  </si>
  <si>
    <t>Dumper</t>
  </si>
  <si>
    <t>Tractor</t>
  </si>
  <si>
    <t>Reach Stacker</t>
  </si>
  <si>
    <t>Land Cruiser</t>
  </si>
  <si>
    <t>Fire Vehicles</t>
  </si>
  <si>
    <t>Backhoe Loader</t>
  </si>
  <si>
    <t>Loader</t>
  </si>
  <si>
    <t>T-Type Tractor</t>
  </si>
  <si>
    <t>Ditch Witch</t>
  </si>
  <si>
    <t>Dozer Crawler</t>
  </si>
  <si>
    <t>Grader</t>
  </si>
  <si>
    <t>Roller</t>
  </si>
  <si>
    <t>Microbin</t>
  </si>
  <si>
    <t>Road Sweeper</t>
  </si>
  <si>
    <t>Wheel Paver</t>
  </si>
  <si>
    <t>Compactor</t>
  </si>
  <si>
    <t>Tow Truck</t>
  </si>
  <si>
    <t>Battery Scooter</t>
  </si>
  <si>
    <t>Mini Truck</t>
  </si>
  <si>
    <t>Pile Driver</t>
  </si>
  <si>
    <t>G.Compactor Truck</t>
  </si>
  <si>
    <t>Concrete Mobile Truck</t>
  </si>
  <si>
    <t>Fuel Tank Truck</t>
  </si>
  <si>
    <t>Double Cab</t>
  </si>
  <si>
    <t>Battery Car</t>
  </si>
  <si>
    <t>Source:Transport Authority</t>
  </si>
  <si>
    <t>މައުލޫމާތު ދެއްވީ : ޓްރާންސްޕޯޓް އޮތޯރިޓީ</t>
  </si>
  <si>
    <t>Quad bike</t>
  </si>
  <si>
    <t>Prime mover</t>
  </si>
  <si>
    <t>Water truck</t>
  </si>
  <si>
    <t>Battery tricycle</t>
  </si>
  <si>
    <t>Electric bicycle</t>
  </si>
  <si>
    <t>Telescopic handler</t>
  </si>
  <si>
    <t>Concrete pump truck</t>
  </si>
  <si>
    <t>Tricycle</t>
  </si>
  <si>
    <t>% increase all vehicles</t>
  </si>
  <si>
    <t>% increase in motor cycle</t>
  </si>
  <si>
    <t>% increase in car</t>
  </si>
  <si>
    <t>%share 2017</t>
  </si>
  <si>
    <r>
      <t xml:space="preserve">     </t>
    </r>
    <r>
      <rPr>
        <b/>
        <sz val="9"/>
        <rFont val="Calibri"/>
        <family val="2"/>
        <scheme val="minor"/>
      </rPr>
      <t xml:space="preserve">  Registered</t>
    </r>
    <r>
      <rPr>
        <b/>
        <sz val="9"/>
        <rFont val="A_Faseyha"/>
      </rPr>
      <t xml:space="preserve">   iawfcSokIrcTcsijwr</t>
    </r>
  </si>
  <si>
    <r>
      <rPr>
        <b/>
        <sz val="9"/>
        <rFont val="Calibri"/>
        <family val="2"/>
        <scheme val="minor"/>
      </rPr>
      <t xml:space="preserve">Newly Registered </t>
    </r>
    <r>
      <rPr>
        <b/>
        <sz val="9"/>
        <rFont val="A_Faseyha"/>
      </rPr>
      <t xml:space="preserve">    unuverukIrcTcsijwr cSwlwa</t>
    </r>
  </si>
  <si>
    <t xml:space="preserve"> 2018 - 2010 ,urwhwfudnwLua Wvcaud iawgumwgcaea unuverukIrcTcsijwr cSwlwa idwa WviawfcSokIrcTcsijwr :11.3 ulwvWt</t>
  </si>
  <si>
    <t>Table 11.3:   REGISTERED  AND NEWLY REGISTERED VEHICLES ACCORDING TO TYPE, 2010 - 2018</t>
  </si>
  <si>
    <t>Carmix</t>
  </si>
  <si>
    <t>Data revised from 2010 to 2017</t>
  </si>
  <si>
    <t xml:space="preserve">Newly Registered </t>
  </si>
  <si>
    <t xml:space="preserve"> Registered </t>
  </si>
  <si>
    <t>ނޯޓޮ: 2010 - 2017 ގެ މަޢުލޫމާތު އިސްލާޙުކުރެވިފައި</t>
  </si>
  <si>
    <t>Motor cycles account for 83 percent of all registered vehicles in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</si>
</sst>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9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sz val="10"/>
      <name val="MS Sans Serif"/>
      <family val="2"/>
    </font>
    <font>
      <i/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Faruma"/>
    </font>
    <font>
      <i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0.5"/>
      <name val="A_Faseyha"/>
    </font>
    <font>
      <b/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 style="thin">
        <color theme="0"/>
      </left>
      <right/>
      <top style="hair">
        <color theme="1" tint="4.9989318521683403E-2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hair">
        <color theme="1" tint="4.9989318521683403E-2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5" fillId="0" borderId="0" applyFont="0" applyFill="0" applyBorder="0" applyAlignment="0" applyProtection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3" fillId="0" borderId="0"/>
    <xf numFmtId="0" fontId="3" fillId="0" borderId="0"/>
  </cellStyleXfs>
  <cellXfs count="101">
    <xf numFmtId="0" fontId="0" fillId="0" borderId="0" xfId="0"/>
    <xf numFmtId="164" fontId="13" fillId="2" borderId="9" xfId="0" applyNumberFormat="1" applyFont="1" applyFill="1" applyBorder="1" applyAlignment="1">
      <alignment vertical="center"/>
    </xf>
    <xf numFmtId="37" fontId="8" fillId="2" borderId="0" xfId="1" applyNumberFormat="1" applyFont="1" applyFill="1" applyBorder="1" applyAlignment="1">
      <alignment horizontal="right" vertical="center"/>
    </xf>
    <xf numFmtId="0" fontId="3" fillId="2" borderId="3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horizontal="right" vertical="center"/>
    </xf>
    <xf numFmtId="0" fontId="3" fillId="2" borderId="1" xfId="0" applyNumberFormat="1" applyFont="1" applyFill="1" applyBorder="1" applyAlignment="1">
      <alignment vertical="center"/>
    </xf>
    <xf numFmtId="1" fontId="9" fillId="2" borderId="28" xfId="0" applyNumberFormat="1" applyFont="1" applyFill="1" applyBorder="1" applyAlignment="1" applyProtection="1">
      <alignment horizontal="right" vertical="center"/>
    </xf>
    <xf numFmtId="1" fontId="9" fillId="2" borderId="29" xfId="0" applyNumberFormat="1" applyFont="1" applyFill="1" applyBorder="1" applyAlignment="1" applyProtection="1">
      <alignment horizontal="right" vertical="center"/>
    </xf>
    <xf numFmtId="1" fontId="9" fillId="2" borderId="30" xfId="0" applyNumberFormat="1" applyFont="1" applyFill="1" applyBorder="1" applyAlignment="1" applyProtection="1">
      <alignment horizontal="right" vertical="center"/>
    </xf>
    <xf numFmtId="37" fontId="8" fillId="2" borderId="1" xfId="1" applyNumberFormat="1" applyFont="1" applyFill="1" applyBorder="1" applyAlignment="1">
      <alignment horizontal="right" vertical="center" readingOrder="1"/>
    </xf>
    <xf numFmtId="37" fontId="8" fillId="2" borderId="1" xfId="1" applyNumberFormat="1" applyFont="1" applyFill="1" applyBorder="1" applyAlignment="1">
      <alignment horizontal="right" vertical="center" wrapText="1"/>
    </xf>
    <xf numFmtId="164" fontId="10" fillId="2" borderId="0" xfId="0" applyNumberFormat="1" applyFont="1" applyFill="1" applyBorder="1" applyAlignment="1">
      <alignment vertical="center"/>
    </xf>
    <xf numFmtId="0" fontId="3" fillId="2" borderId="1" xfId="0" applyNumberFormat="1" applyFont="1" applyFill="1" applyBorder="1" applyAlignment="1">
      <alignment horizontal="left" vertical="center"/>
    </xf>
    <xf numFmtId="0" fontId="8" fillId="2" borderId="1" xfId="0" applyNumberFormat="1" applyFont="1" applyFill="1" applyBorder="1" applyAlignment="1">
      <alignment horizontal="left" vertical="center"/>
    </xf>
    <xf numFmtId="37" fontId="8" fillId="2" borderId="17" xfId="1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 applyAlignment="1" applyProtection="1">
      <alignment horizontal="left" vertical="center"/>
    </xf>
    <xf numFmtId="37" fontId="8" fillId="2" borderId="25" xfId="1" applyNumberFormat="1" applyFont="1" applyFill="1" applyBorder="1" applyAlignment="1">
      <alignment horizontal="right" vertical="center" wrapText="1"/>
    </xf>
    <xf numFmtId="0" fontId="3" fillId="2" borderId="24" xfId="0" applyNumberFormat="1" applyFont="1" applyFill="1" applyBorder="1" applyAlignment="1">
      <alignment vertical="center"/>
    </xf>
    <xf numFmtId="37" fontId="8" fillId="2" borderId="0" xfId="1" applyNumberFormat="1" applyFont="1" applyFill="1" applyBorder="1" applyAlignment="1">
      <alignment horizontal="right" vertical="center" wrapText="1"/>
    </xf>
    <xf numFmtId="37" fontId="8" fillId="2" borderId="18" xfId="1" applyNumberFormat="1" applyFont="1" applyFill="1" applyBorder="1" applyAlignment="1">
      <alignment horizontal="right" vertical="center" wrapText="1"/>
    </xf>
    <xf numFmtId="0" fontId="3" fillId="2" borderId="17" xfId="0" applyNumberFormat="1" applyFont="1" applyFill="1" applyBorder="1" applyAlignment="1">
      <alignment vertical="center"/>
    </xf>
    <xf numFmtId="164" fontId="9" fillId="2" borderId="14" xfId="0" applyNumberFormat="1" applyFont="1" applyFill="1" applyBorder="1" applyAlignment="1" applyProtection="1">
      <alignment horizontal="left" vertical="center"/>
    </xf>
    <xf numFmtId="0" fontId="8" fillId="2" borderId="12" xfId="0" applyNumberFormat="1" applyFont="1" applyFill="1" applyBorder="1" applyAlignment="1">
      <alignment horizontal="left" vertical="center" indent="2"/>
    </xf>
    <xf numFmtId="164" fontId="8" fillId="2" borderId="12" xfId="0" applyNumberFormat="1" applyFont="1" applyFill="1" applyBorder="1" applyAlignment="1">
      <alignment horizontal="left" vertical="center" indent="2" readingOrder="1"/>
    </xf>
    <xf numFmtId="164" fontId="13" fillId="2" borderId="0" xfId="0" applyNumberFormat="1" applyFont="1" applyFill="1" applyBorder="1" applyAlignment="1">
      <alignment vertical="center"/>
    </xf>
    <xf numFmtId="164" fontId="8" fillId="2" borderId="13" xfId="0" applyNumberFormat="1" applyFont="1" applyFill="1" applyBorder="1" applyAlignment="1">
      <alignment horizontal="left" vertical="center" indent="2" readingOrder="1"/>
    </xf>
    <xf numFmtId="1" fontId="9" fillId="2" borderId="33" xfId="0" applyNumberFormat="1" applyFont="1" applyFill="1" applyBorder="1" applyAlignment="1" applyProtection="1">
      <alignment horizontal="right" vertical="center"/>
    </xf>
    <xf numFmtId="37" fontId="9" fillId="2" borderId="3" xfId="1" applyNumberFormat="1" applyFont="1" applyFill="1" applyBorder="1" applyAlignment="1" applyProtection="1">
      <alignment horizontal="right" vertical="center"/>
    </xf>
    <xf numFmtId="37" fontId="9" fillId="2" borderId="3" xfId="1" applyNumberFormat="1" applyFont="1" applyFill="1" applyBorder="1" applyAlignment="1">
      <alignment horizontal="right" vertical="center"/>
    </xf>
    <xf numFmtId="37" fontId="9" fillId="2" borderId="4" xfId="1" applyNumberFormat="1" applyFont="1" applyFill="1" applyBorder="1" applyAlignment="1">
      <alignment horizontal="right" vertical="center"/>
    </xf>
    <xf numFmtId="37" fontId="9" fillId="2" borderId="15" xfId="1" applyNumberFormat="1" applyFont="1" applyFill="1" applyBorder="1" applyAlignment="1">
      <alignment horizontal="right" vertical="center"/>
    </xf>
    <xf numFmtId="37" fontId="9" fillId="2" borderId="21" xfId="1" applyNumberFormat="1" applyFont="1" applyFill="1" applyBorder="1" applyAlignment="1">
      <alignment horizontal="right" vertical="center"/>
    </xf>
    <xf numFmtId="37" fontId="9" fillId="2" borderId="10" xfId="1" applyNumberFormat="1" applyFont="1" applyFill="1" applyBorder="1" applyAlignment="1">
      <alignment horizontal="right" vertical="center"/>
    </xf>
    <xf numFmtId="37" fontId="9" fillId="2" borderId="11" xfId="1" applyNumberFormat="1" applyFont="1" applyFill="1" applyBorder="1" applyAlignment="1">
      <alignment horizontal="right" vertical="center"/>
    </xf>
    <xf numFmtId="37" fontId="0" fillId="2" borderId="1" xfId="1" applyNumberFormat="1" applyFont="1" applyFill="1" applyBorder="1" applyAlignment="1">
      <alignment horizontal="right" vertical="center" wrapText="1" readingOrder="1"/>
    </xf>
    <xf numFmtId="37" fontId="8" fillId="2" borderId="1" xfId="1" applyNumberFormat="1" applyFont="1" applyFill="1" applyBorder="1" applyAlignment="1">
      <alignment horizontal="right" vertical="center"/>
    </xf>
    <xf numFmtId="37" fontId="8" fillId="2" borderId="5" xfId="1" applyNumberFormat="1" applyFont="1" applyFill="1" applyBorder="1" applyAlignment="1">
      <alignment horizontal="right" vertical="center"/>
    </xf>
    <xf numFmtId="37" fontId="8" fillId="2" borderId="8" xfId="1" applyNumberFormat="1" applyFont="1" applyFill="1" applyBorder="1" applyAlignment="1">
      <alignment horizontal="right" vertical="center"/>
    </xf>
    <xf numFmtId="37" fontId="8" fillId="2" borderId="12" xfId="1" applyNumberFormat="1" applyFont="1" applyFill="1" applyBorder="1" applyAlignment="1">
      <alignment horizontal="right" vertical="center" wrapText="1"/>
    </xf>
    <xf numFmtId="37" fontId="8" fillId="2" borderId="5" xfId="1" applyNumberFormat="1" applyFont="1" applyFill="1" applyBorder="1" applyAlignment="1">
      <alignment horizontal="right" vertical="center" wrapText="1"/>
    </xf>
    <xf numFmtId="37" fontId="8" fillId="2" borderId="20" xfId="1" applyNumberFormat="1" applyFont="1" applyFill="1" applyBorder="1" applyAlignment="1">
      <alignment horizontal="right" vertical="center"/>
    </xf>
    <xf numFmtId="37" fontId="8" fillId="2" borderId="2" xfId="1" applyNumberFormat="1" applyFont="1" applyFill="1" applyBorder="1" applyAlignment="1">
      <alignment horizontal="right" vertical="center" wrapText="1"/>
    </xf>
    <xf numFmtId="37" fontId="8" fillId="2" borderId="2" xfId="1" applyNumberFormat="1" applyFont="1" applyFill="1" applyBorder="1" applyAlignment="1">
      <alignment horizontal="right" vertical="center" readingOrder="1"/>
    </xf>
    <xf numFmtId="37" fontId="8" fillId="2" borderId="2" xfId="1" applyNumberFormat="1" applyFont="1" applyFill="1" applyBorder="1" applyAlignment="1">
      <alignment horizontal="right" vertical="center"/>
    </xf>
    <xf numFmtId="37" fontId="8" fillId="2" borderId="23" xfId="1" applyNumberFormat="1" applyFont="1" applyFill="1" applyBorder="1" applyAlignment="1">
      <alignment horizontal="right" vertical="center"/>
    </xf>
    <xf numFmtId="37" fontId="8" fillId="2" borderId="9" xfId="1" applyNumberFormat="1" applyFont="1" applyFill="1" applyBorder="1" applyAlignment="1">
      <alignment horizontal="right" vertical="center"/>
    </xf>
    <xf numFmtId="37" fontId="8" fillId="2" borderId="25" xfId="1" applyNumberFormat="1" applyFont="1" applyFill="1" applyBorder="1" applyAlignment="1">
      <alignment horizontal="right" vertical="center" readingOrder="1"/>
    </xf>
    <xf numFmtId="37" fontId="8" fillId="2" borderId="25" xfId="1" applyNumberFormat="1" applyFont="1" applyFill="1" applyBorder="1" applyAlignment="1">
      <alignment horizontal="right" vertical="center"/>
    </xf>
    <xf numFmtId="37" fontId="8" fillId="2" borderId="18" xfId="1" applyNumberFormat="1" applyFont="1" applyFill="1" applyBorder="1" applyAlignment="1">
      <alignment horizontal="right" vertical="center"/>
    </xf>
    <xf numFmtId="37" fontId="8" fillId="2" borderId="6" xfId="1" applyNumberFormat="1" applyFont="1" applyFill="1" applyBorder="1" applyAlignment="1">
      <alignment horizontal="right" vertical="center" wrapText="1"/>
    </xf>
    <xf numFmtId="37" fontId="8" fillId="2" borderId="6" xfId="1" applyNumberFormat="1" applyFont="1" applyFill="1" applyBorder="1" applyAlignment="1">
      <alignment horizontal="right" vertical="center" readingOrder="1"/>
    </xf>
    <xf numFmtId="37" fontId="8" fillId="2" borderId="6" xfId="1" applyNumberFormat="1" applyFont="1" applyFill="1" applyBorder="1" applyAlignment="1">
      <alignment horizontal="right" vertical="center"/>
    </xf>
    <xf numFmtId="37" fontId="8" fillId="2" borderId="7" xfId="1" applyNumberFormat="1" applyFont="1" applyFill="1" applyBorder="1" applyAlignment="1">
      <alignment horizontal="right" vertical="center"/>
    </xf>
    <xf numFmtId="37" fontId="8" fillId="2" borderId="16" xfId="1" applyNumberFormat="1" applyFont="1" applyFill="1" applyBorder="1" applyAlignment="1">
      <alignment horizontal="right" vertical="center"/>
    </xf>
    <xf numFmtId="37" fontId="8" fillId="2" borderId="19" xfId="1" applyNumberFormat="1" applyFont="1" applyFill="1" applyBorder="1" applyAlignment="1">
      <alignment horizontal="right" vertical="center"/>
    </xf>
    <xf numFmtId="37" fontId="8" fillId="2" borderId="13" xfId="1" applyNumberFormat="1" applyFont="1" applyFill="1" applyBorder="1" applyAlignment="1">
      <alignment horizontal="right" vertical="center" wrapText="1"/>
    </xf>
    <xf numFmtId="37" fontId="8" fillId="2" borderId="7" xfId="1" applyNumberFormat="1" applyFont="1" applyFill="1" applyBorder="1" applyAlignment="1">
      <alignment horizontal="right" vertical="center" wrapText="1"/>
    </xf>
    <xf numFmtId="164" fontId="10" fillId="2" borderId="32" xfId="0" applyNumberFormat="1" applyFont="1" applyFill="1" applyBorder="1" applyAlignment="1">
      <alignment vertical="center"/>
    </xf>
    <xf numFmtId="0" fontId="3" fillId="2" borderId="25" xfId="0" applyNumberFormat="1" applyFont="1" applyFill="1" applyBorder="1" applyAlignment="1">
      <alignment vertical="center"/>
    </xf>
    <xf numFmtId="37" fontId="3" fillId="2" borderId="1" xfId="0" applyNumberFormat="1" applyFont="1" applyFill="1" applyBorder="1" applyAlignment="1">
      <alignment horizontal="right" vertical="center"/>
    </xf>
    <xf numFmtId="164" fontId="8" fillId="2" borderId="22" xfId="0" applyNumberFormat="1" applyFont="1" applyFill="1" applyBorder="1" applyAlignment="1">
      <alignment horizontal="left" vertical="center" indent="2" readingOrder="1"/>
    </xf>
    <xf numFmtId="164" fontId="8" fillId="2" borderId="24" xfId="0" applyNumberFormat="1" applyFont="1" applyFill="1" applyBorder="1" applyAlignment="1">
      <alignment horizontal="left" vertical="center" indent="2" readingOrder="1"/>
    </xf>
    <xf numFmtId="0" fontId="12" fillId="2" borderId="1" xfId="0" applyNumberFormat="1" applyFont="1" applyFill="1" applyBorder="1" applyAlignment="1">
      <alignment vertical="center"/>
    </xf>
    <xf numFmtId="0" fontId="12" fillId="2" borderId="24" xfId="0" applyNumberFormat="1" applyFont="1" applyFill="1" applyBorder="1" applyAlignment="1">
      <alignment vertical="center"/>
    </xf>
    <xf numFmtId="164" fontId="15" fillId="2" borderId="5" xfId="0" applyNumberFormat="1" applyFont="1" applyFill="1" applyBorder="1" applyAlignment="1">
      <alignment horizontal="center" vertical="center"/>
    </xf>
    <xf numFmtId="164" fontId="15" fillId="2" borderId="8" xfId="0" applyNumberFormat="1" applyFont="1" applyFill="1" applyBorder="1" applyAlignment="1">
      <alignment horizontal="center" vertical="center"/>
    </xf>
    <xf numFmtId="164" fontId="15" fillId="2" borderId="12" xfId="0" applyNumberFormat="1" applyFont="1" applyFill="1" applyBorder="1" applyAlignment="1">
      <alignment horizontal="center" vertical="center"/>
    </xf>
    <xf numFmtId="0" fontId="9" fillId="2" borderId="5" xfId="0" applyNumberFormat="1" applyFont="1" applyFill="1" applyBorder="1" applyAlignment="1" applyProtection="1">
      <alignment horizontal="center" vertical="center"/>
    </xf>
    <xf numFmtId="0" fontId="9" fillId="2" borderId="8" xfId="0" applyNumberFormat="1" applyFont="1" applyFill="1" applyBorder="1" applyAlignment="1" applyProtection="1">
      <alignment horizontal="center" vertical="center"/>
    </xf>
    <xf numFmtId="0" fontId="9" fillId="2" borderId="12" xfId="0" applyNumberFormat="1" applyFont="1" applyFill="1" applyBorder="1" applyAlignment="1" applyProtection="1">
      <alignment horizontal="center" vertical="center"/>
    </xf>
    <xf numFmtId="0" fontId="9" fillId="2" borderId="2" xfId="0" applyNumberFormat="1" applyFont="1" applyFill="1" applyBorder="1" applyAlignment="1" applyProtection="1">
      <alignment horizontal="center" vertical="center"/>
    </xf>
    <xf numFmtId="164" fontId="9" fillId="2" borderId="10" xfId="0" applyNumberFormat="1" applyFont="1" applyFill="1" applyBorder="1" applyAlignment="1" applyProtection="1">
      <alignment horizontal="left" vertical="center"/>
    </xf>
    <xf numFmtId="164" fontId="9" fillId="2" borderId="13" xfId="0" applyNumberFormat="1" applyFont="1" applyFill="1" applyBorder="1" applyAlignment="1" applyProtection="1">
      <alignment horizontal="left" vertical="center"/>
    </xf>
    <xf numFmtId="164" fontId="16" fillId="2" borderId="27" xfId="0" applyNumberFormat="1" applyFont="1" applyFill="1" applyBorder="1" applyAlignment="1" applyProtection="1">
      <alignment horizontal="center" vertical="center"/>
    </xf>
    <xf numFmtId="164" fontId="16" fillId="2" borderId="26" xfId="8" applyNumberFormat="1" applyFont="1" applyFill="1" applyBorder="1" applyAlignment="1" applyProtection="1">
      <alignment horizontal="center" vertical="center"/>
    </xf>
    <xf numFmtId="164" fontId="16" fillId="2" borderId="27" xfId="8" applyNumberFormat="1" applyFont="1" applyFill="1" applyBorder="1" applyAlignment="1" applyProtection="1">
      <alignment horizontal="center" vertical="center"/>
    </xf>
    <xf numFmtId="164" fontId="16" fillId="2" borderId="31" xfId="8" applyNumberFormat="1" applyFont="1" applyFill="1" applyBorder="1" applyAlignment="1" applyProtection="1">
      <alignment horizontal="center" vertical="center"/>
    </xf>
    <xf numFmtId="164" fontId="16" fillId="2" borderId="0" xfId="0" applyNumberFormat="1" applyFont="1" applyFill="1" applyBorder="1" applyAlignment="1" applyProtection="1">
      <alignment horizontal="center" vertical="center"/>
    </xf>
    <xf numFmtId="1" fontId="9" fillId="2" borderId="0" xfId="0" applyNumberFormat="1" applyFont="1" applyFill="1" applyBorder="1" applyAlignment="1" applyProtection="1">
      <alignment horizontal="right" vertical="center"/>
    </xf>
    <xf numFmtId="164" fontId="11" fillId="2" borderId="4" xfId="0" applyNumberFormat="1" applyFont="1" applyFill="1" applyBorder="1" applyAlignment="1">
      <alignment horizontal="right" vertical="center"/>
    </xf>
    <xf numFmtId="0" fontId="3" fillId="2" borderId="4" xfId="0" applyNumberFormat="1" applyFont="1" applyFill="1" applyBorder="1" applyAlignment="1">
      <alignment vertical="center"/>
    </xf>
    <xf numFmtId="0" fontId="3" fillId="2" borderId="5" xfId="0" applyNumberFormat="1" applyFont="1" applyFill="1" applyBorder="1" applyAlignment="1">
      <alignment vertical="center"/>
    </xf>
    <xf numFmtId="0" fontId="3" fillId="2" borderId="5" xfId="0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/>
    <xf numFmtId="164" fontId="15" fillId="2" borderId="0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 applyProtection="1">
      <alignment horizontal="center" vertical="center"/>
    </xf>
    <xf numFmtId="37" fontId="9" fillId="2" borderId="0" xfId="1" applyNumberFormat="1" applyFont="1" applyFill="1" applyBorder="1" applyAlignment="1">
      <alignment horizontal="right" vertical="center"/>
    </xf>
    <xf numFmtId="37" fontId="3" fillId="2" borderId="0" xfId="0" applyNumberFormat="1" applyFont="1" applyFill="1" applyBorder="1" applyAlignment="1">
      <alignment horizontal="right" vertical="center"/>
    </xf>
    <xf numFmtId="169" fontId="3" fillId="2" borderId="0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left" vertical="center"/>
    </xf>
    <xf numFmtId="1" fontId="9" fillId="2" borderId="0" xfId="0" applyNumberFormat="1" applyFont="1" applyFill="1" applyBorder="1" applyAlignment="1" applyProtection="1">
      <alignment horizontal="center" vertical="center"/>
    </xf>
    <xf numFmtId="169" fontId="3" fillId="2" borderId="0" xfId="0" applyNumberFormat="1" applyFont="1" applyFill="1" applyBorder="1" applyAlignment="1">
      <alignment horizontal="center" vertical="center"/>
    </xf>
    <xf numFmtId="169" fontId="3" fillId="2" borderId="0" xfId="0" applyNumberFormat="1" applyFont="1" applyFill="1" applyBorder="1" applyAlignment="1">
      <alignment horizontal="left" vertical="center"/>
    </xf>
    <xf numFmtId="169" fontId="8" fillId="2" borderId="0" xfId="0" applyNumberFormat="1" applyFont="1" applyFill="1" applyBorder="1" applyAlignment="1">
      <alignment horizontal="left" vertical="center"/>
    </xf>
    <xf numFmtId="1" fontId="3" fillId="2" borderId="0" xfId="0" applyNumberFormat="1" applyFont="1" applyFill="1" applyBorder="1" applyAlignment="1">
      <alignment horizontal="right" vertical="center"/>
    </xf>
    <xf numFmtId="169" fontId="3" fillId="2" borderId="0" xfId="0" applyNumberFormat="1" applyFont="1" applyFill="1" applyBorder="1" applyAlignment="1">
      <alignment vertical="center"/>
    </xf>
    <xf numFmtId="164" fontId="11" fillId="2" borderId="0" xfId="0" applyNumberFormat="1" applyFont="1" applyFill="1" applyBorder="1" applyAlignment="1">
      <alignment horizontal="right" vertical="center"/>
    </xf>
    <xf numFmtId="0" fontId="0" fillId="0" borderId="0" xfId="0" applyBorder="1"/>
  </cellXfs>
  <cellStyles count="12">
    <cellStyle name="Comma" xfId="1" builtinId="3"/>
    <cellStyle name="Comma 2" xfId="3"/>
    <cellStyle name="Comma 4" xfId="6"/>
    <cellStyle name="Hyperlink 2" xfId="7"/>
    <cellStyle name="Normal" xfId="0" builtinId="0"/>
    <cellStyle name="Normal 2" xfId="2"/>
    <cellStyle name="Normal 2 3" xfId="10"/>
    <cellStyle name="Normal 3" xfId="4"/>
    <cellStyle name="Normal 3 2" xfId="11"/>
    <cellStyle name="Normal 4" xfId="5"/>
    <cellStyle name="Normal 5" xfId="9"/>
    <cellStyle name="Normal_11.1-11.8,11.10-11.13,11.18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11.3: Number of registered vehicles, 2010- 2018</a:t>
            </a:r>
          </a:p>
        </c:rich>
      </c:tx>
      <c:layout>
        <c:manualLayout>
          <c:xMode val="edge"/>
          <c:yMode val="edge"/>
          <c:x val="0.24114346679233672"/>
          <c:y val="5.416123656435442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9308101189365927E-2"/>
          <c:y val="0.17674837016340711"/>
          <c:w val="0.88718224902407783"/>
          <c:h val="0.701401659469985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'11.3'!$AN$8</c:f>
              <c:strCache>
                <c:ptCount val="1"/>
                <c:pt idx="0">
                  <c:v> Registered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'11.3'!$AM$9:$AM$17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'11.3'!$AN$9:$AN$17</c:f>
              <c:numCache>
                <c:formatCode>General</c:formatCode>
                <c:ptCount val="9"/>
                <c:pt idx="0">
                  <c:v>46028</c:v>
                </c:pt>
                <c:pt idx="1">
                  <c:v>50184</c:v>
                </c:pt>
                <c:pt idx="2">
                  <c:v>54485</c:v>
                </c:pt>
                <c:pt idx="3">
                  <c:v>59332</c:v>
                </c:pt>
                <c:pt idx="4">
                  <c:v>66132</c:v>
                </c:pt>
                <c:pt idx="5">
                  <c:v>77776</c:v>
                </c:pt>
                <c:pt idx="6">
                  <c:v>87126</c:v>
                </c:pt>
                <c:pt idx="7">
                  <c:v>97213</c:v>
                </c:pt>
                <c:pt idx="8">
                  <c:v>108532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C-41F2-A302-370B69401269}"/>
            </c:ext>
          </c:extLst>
        </c:ser>
        <c:ser>
          <c:idx val="1"/>
          <c:order val="1"/>
          <c:tx>
            <c:strRef>
              <c:f>'11.3'!$AO$8</c:f>
              <c:strCache>
                <c:ptCount val="1"/>
                <c:pt idx="0">
                  <c:v>Newly Registered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'11.3'!$AM$9:$AM$17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'11.3'!$AO$9:$AO$17</c:f>
              <c:numCache>
                <c:formatCode>General</c:formatCode>
                <c:ptCount val="9"/>
                <c:pt idx="0">
                  <c:v>3481</c:v>
                </c:pt>
                <c:pt idx="1">
                  <c:v>4156</c:v>
                </c:pt>
                <c:pt idx="2">
                  <c:v>4301</c:v>
                </c:pt>
                <c:pt idx="3">
                  <c:v>4847</c:v>
                </c:pt>
                <c:pt idx="4">
                  <c:v>6800</c:v>
                </c:pt>
                <c:pt idx="5">
                  <c:v>11644</c:v>
                </c:pt>
                <c:pt idx="6">
                  <c:v>9350</c:v>
                </c:pt>
                <c:pt idx="7">
                  <c:v>10087</c:v>
                </c:pt>
                <c:pt idx="8">
                  <c:v>11319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C-41F2-A302-370B69401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08317392"/>
        <c:axId val="-908321744"/>
      </c:barChart>
      <c:catAx>
        <c:axId val="-90831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-908321744"/>
        <c:crosses val="autoZero"/>
        <c:auto val="1"/>
        <c:lblAlgn val="ctr"/>
        <c:lblOffset val="100"/>
        <c:noMultiLvlLbl val="0"/>
      </c:catAx>
      <c:valAx>
        <c:axId val="-90832174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5.4743912678421524E-3"/>
              <c:y val="6.6374265200321039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-90831739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4819938188199849"/>
          <c:y val="0.25345619797525309"/>
          <c:w val="0.29498096389334422"/>
          <c:h val="8.3445233408323966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11.4: Growth rates of selected vehicles, 2011 - 2018</a:t>
            </a:r>
          </a:p>
        </c:rich>
      </c:tx>
      <c:layout>
        <c:manualLayout>
          <c:xMode val="edge"/>
          <c:yMode val="edge"/>
          <c:x val="0.18305093929820179"/>
          <c:y val="4.8126676706487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1913547843556594E-2"/>
          <c:y val="0.17008494299917126"/>
          <c:w val="0.90741818306567901"/>
          <c:h val="0.69598821168610647"/>
        </c:manualLayout>
      </c:layout>
      <c:lineChart>
        <c:grouping val="standard"/>
        <c:varyColors val="0"/>
        <c:ser>
          <c:idx val="0"/>
          <c:order val="0"/>
          <c:tx>
            <c:strRef>
              <c:f>'11.3'!$AR$37:$AR$37</c:f>
              <c:strCache>
                <c:ptCount val="1"/>
                <c:pt idx="0">
                  <c:v>% increase all vehicles</c:v>
                </c:pt>
              </c:strCache>
            </c:strRef>
          </c:tx>
          <c:marker>
            <c:spPr>
              <a:solidFill>
                <a:srgbClr val="1C706E"/>
              </a:solidFill>
              <a:ln>
                <a:solidFill>
                  <a:srgbClr val="1C706E"/>
                </a:solidFill>
              </a:ln>
            </c:spPr>
          </c:marker>
          <c:cat>
            <c:numRef>
              <c:f>'11.3'!$AS$36:$AZ$36</c:f>
              <c:numCache>
                <c:formatCode>0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 formatCode="General">
                  <c:v>2015</c:v>
                </c:pt>
                <c:pt idx="5">
                  <c:v>2016</c:v>
                </c:pt>
                <c:pt idx="6" formatCode="General">
                  <c:v>2017</c:v>
                </c:pt>
                <c:pt idx="7" formatCode="General">
                  <c:v>2018</c:v>
                </c:pt>
              </c:numCache>
            </c:numRef>
          </c:cat>
          <c:val>
            <c:numRef>
              <c:f>'11.3'!$AS$37:$AZ$37</c:f>
              <c:numCache>
                <c:formatCode>0.0</c:formatCode>
                <c:ptCount val="8"/>
                <c:pt idx="0">
                  <c:v>9.0292865212479256</c:v>
                </c:pt>
                <c:pt idx="1">
                  <c:v>8.5704607046070524</c:v>
                </c:pt>
                <c:pt idx="2">
                  <c:v>8.8960264292924585</c:v>
                </c:pt>
                <c:pt idx="3">
                  <c:v>11.460931706330468</c:v>
                </c:pt>
                <c:pt idx="4">
                  <c:v>17.607209822778678</c:v>
                </c:pt>
                <c:pt idx="5">
                  <c:v>12.021703353219504</c:v>
                </c:pt>
                <c:pt idx="6">
                  <c:v>11.577485480797932</c:v>
                </c:pt>
                <c:pt idx="7">
                  <c:v>11.643504469566835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F-4BA5-B3C1-10B74AA3C95E}"/>
            </c:ext>
          </c:extLst>
        </c:ser>
        <c:ser>
          <c:idx val="1"/>
          <c:order val="1"/>
          <c:tx>
            <c:strRef>
              <c:f>'11.3'!$AR$38:$AR$38</c:f>
              <c:strCache>
                <c:ptCount val="1"/>
                <c:pt idx="0">
                  <c:v>% increase in motor cycle</c:v>
                </c:pt>
              </c:strCache>
            </c:strRef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pPr>
              <a:solidFill>
                <a:srgbClr val="33CCCC"/>
              </a:solidFill>
            </c:spPr>
          </c:marker>
          <c:cat>
            <c:numRef>
              <c:f>'11.3'!$AS$36:$AZ$36</c:f>
              <c:numCache>
                <c:formatCode>0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 formatCode="General">
                  <c:v>2015</c:v>
                </c:pt>
                <c:pt idx="5">
                  <c:v>2016</c:v>
                </c:pt>
                <c:pt idx="6" formatCode="General">
                  <c:v>2017</c:v>
                </c:pt>
                <c:pt idx="7" formatCode="General">
                  <c:v>2018</c:v>
                </c:pt>
              </c:numCache>
            </c:numRef>
          </c:cat>
          <c:val>
            <c:numRef>
              <c:f>'11.3'!$AS$38:$AZ$38</c:f>
              <c:numCache>
                <c:formatCode>0.0</c:formatCode>
                <c:ptCount val="8"/>
                <c:pt idx="0">
                  <c:v>9.6079978952907208</c:v>
                </c:pt>
                <c:pt idx="1">
                  <c:v>9.2098315011281287</c:v>
                </c:pt>
                <c:pt idx="2">
                  <c:v>9.4947141695421955</c:v>
                </c:pt>
                <c:pt idx="3">
                  <c:v>11.507657720949837</c:v>
                </c:pt>
                <c:pt idx="4">
                  <c:v>17.943548387096776</c:v>
                </c:pt>
                <c:pt idx="5">
                  <c:v>11.875763125763129</c:v>
                </c:pt>
                <c:pt idx="6">
                  <c:v>10.310909810234502</c:v>
                </c:pt>
                <c:pt idx="7">
                  <c:v>11.177481789287524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F-4BA5-B3C1-10B74AA3C95E}"/>
            </c:ext>
          </c:extLst>
        </c:ser>
        <c:ser>
          <c:idx val="2"/>
          <c:order val="2"/>
          <c:tx>
            <c:strRef>
              <c:f>'11.3'!$AR$39:$AR$39</c:f>
              <c:strCache>
                <c:ptCount val="1"/>
                <c:pt idx="0">
                  <c:v>% increase in car</c:v>
                </c:pt>
              </c:strCache>
            </c:strRef>
          </c:tx>
          <c:spPr>
            <a:ln>
              <a:solidFill>
                <a:schemeClr val="accent4">
                  <a:lumMod val="50000"/>
                </a:schemeClr>
              </a:solidFill>
            </a:ln>
          </c:spPr>
          <c:marker>
            <c:spPr>
              <a:solidFill>
                <a:schemeClr val="accent4">
                  <a:lumMod val="50000"/>
                </a:schemeClr>
              </a:solidFill>
            </c:spPr>
          </c:marker>
          <c:cat>
            <c:numRef>
              <c:f>'11.3'!$AS$36:$AZ$36</c:f>
              <c:numCache>
                <c:formatCode>0</c:formatCode>
                <c:ptCount val="8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 formatCode="General">
                  <c:v>2015</c:v>
                </c:pt>
                <c:pt idx="5">
                  <c:v>2016</c:v>
                </c:pt>
                <c:pt idx="6" formatCode="General">
                  <c:v>2017</c:v>
                </c:pt>
                <c:pt idx="7" formatCode="General">
                  <c:v>2018</c:v>
                </c:pt>
              </c:numCache>
            </c:numRef>
          </c:cat>
          <c:val>
            <c:numRef>
              <c:f>'11.3'!$AS$39:$AZ$39</c:f>
              <c:numCache>
                <c:formatCode>0.0</c:formatCode>
                <c:ptCount val="8"/>
                <c:pt idx="0">
                  <c:v>4.9504950495049549</c:v>
                </c:pt>
                <c:pt idx="1">
                  <c:v>6.4465408805031377</c:v>
                </c:pt>
                <c:pt idx="2">
                  <c:v>8.0945347119645525</c:v>
                </c:pt>
                <c:pt idx="3">
                  <c:v>13.774255261000267</c:v>
                </c:pt>
                <c:pt idx="4">
                  <c:v>18.44823444631276</c:v>
                </c:pt>
                <c:pt idx="5">
                  <c:v>9.7343338065301275</c:v>
                </c:pt>
                <c:pt idx="6">
                  <c:v>7.6141193864350365</c:v>
                </c:pt>
                <c:pt idx="7">
                  <c:v>8.6209857461789561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7F-4BA5-B3C1-10B74AA3C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08320112"/>
        <c:axId val="-908316848"/>
      </c:lineChart>
      <c:catAx>
        <c:axId val="-90832011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-908316848"/>
        <c:crosses val="autoZero"/>
        <c:auto val="1"/>
        <c:lblAlgn val="ctr"/>
        <c:lblOffset val="100"/>
        <c:noMultiLvlLbl val="0"/>
      </c:catAx>
      <c:valAx>
        <c:axId val="-908316848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1.5911688862323591E-2"/>
              <c:y val="7.288171623175202E-2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-90832011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22529937461521013"/>
          <c:y val="0.73864366951358595"/>
          <c:w val="0.57093418878195779"/>
          <c:h val="7.4211682785961394E-2"/>
        </c:manualLayout>
      </c:layout>
      <c:overlay val="0"/>
      <c:txPr>
        <a:bodyPr/>
        <a:lstStyle/>
        <a:p>
          <a:pPr>
            <a:defRPr sz="1000">
              <a:latin typeface="+mn-lt"/>
              <a:cs typeface="Consolas" pitchFamily="49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558586702774638"/>
          <c:y val="0.14673630426681442"/>
          <c:w val="0.35322776080481472"/>
          <c:h val="0.82650549344361413"/>
        </c:manualLayout>
      </c:layout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864-4C6C-B5A1-6F9BE3764BD6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E864-4C6C-B5A1-6F9BE3764BD6}"/>
              </c:ext>
            </c:extLst>
          </c:dPt>
          <c:dPt>
            <c:idx val="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E864-4C6C-B5A1-6F9BE3764BD6}"/>
              </c:ext>
            </c:extLst>
          </c:dPt>
          <c:dPt>
            <c:idx val="3"/>
            <c:bubble3D val="0"/>
            <c:spPr>
              <a:solidFill>
                <a:schemeClr val="accent4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E864-4C6C-B5A1-6F9BE3764BD6}"/>
              </c:ext>
            </c:extLst>
          </c:dPt>
          <c:dLbls>
            <c:dLbl>
              <c:idx val="0"/>
              <c:layout>
                <c:manualLayout>
                  <c:x val="6.7607995026484707E-2"/>
                  <c:y val="7.96399041328204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864-4C6C-B5A1-6F9BE3764BD6}"/>
                </c:ext>
              </c:extLst>
            </c:dLbl>
            <c:dLbl>
              <c:idx val="2"/>
              <c:layout>
                <c:manualLayout>
                  <c:x val="5.0460942832917001E-2"/>
                  <c:y val="-9.270832745749241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864-4C6C-B5A1-6F9BE3764BD6}"/>
                </c:ext>
              </c:extLst>
            </c:dLbl>
            <c:dLbl>
              <c:idx val="3"/>
              <c:layout>
                <c:manualLayout>
                  <c:x val="3.3640628555277425E-3"/>
                  <c:y val="-8.428029768863020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E864-4C6C-B5A1-6F9BE3764BD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'11.3'!$AP$8:$AP$11</c:f>
              <c:strCache>
                <c:ptCount val="4"/>
                <c:pt idx="0">
                  <c:v>Motor cycle</c:v>
                </c:pt>
                <c:pt idx="1">
                  <c:v>Car</c:v>
                </c:pt>
                <c:pt idx="2">
                  <c:v>Pick-Up</c:v>
                </c:pt>
                <c:pt idx="3">
                  <c:v>Others</c:v>
                </c:pt>
              </c:strCache>
            </c:strRef>
          </c:cat>
          <c:val>
            <c:numRef>
              <c:f>'11.3'!$AQ$8:$AQ$11</c:f>
              <c:numCache>
                <c:formatCode>#,##0_);\(#,##0\)</c:formatCode>
                <c:ptCount val="4"/>
                <c:pt idx="0">
                  <c:v>89897</c:v>
                </c:pt>
                <c:pt idx="1">
                  <c:v>6325</c:v>
                </c:pt>
                <c:pt idx="2">
                  <c:v>2931</c:v>
                </c:pt>
                <c:pt idx="3">
                  <c:v>9379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64-4C6C-B5A1-6F9BE3764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0"/>
        <c:holeSize val="50"/>
      </c:doughnutChart>
    </c:plotArea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225425</xdr:colOff>
      <xdr:row>56</xdr:row>
      <xdr:rowOff>166915</xdr:rowOff>
    </xdr:from>
    <xdr:to>
      <xdr:col>15</xdr:col>
      <xdr:colOff>139700</xdr:colOff>
      <xdr:row>72</xdr:row>
      <xdr:rowOff>185965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238125</xdr:colOff>
      <xdr:row>75</xdr:row>
      <xdr:rowOff>128544</xdr:rowOff>
    </xdr:from>
    <xdr:to>
      <xdr:col>15</xdr:col>
      <xdr:colOff>171450</xdr:colOff>
      <xdr:row>92</xdr:row>
      <xdr:rowOff>63953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253511</xdr:colOff>
      <xdr:row>95</xdr:row>
      <xdr:rowOff>73813</xdr:rowOff>
    </xdr:from>
    <xdr:to>
      <xdr:col>15</xdr:col>
      <xdr:colOff>155329</xdr:colOff>
      <xdr:row>114</xdr:row>
      <xdr:rowOff>24912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0.0625</cdr:x>
      <cdr:y>0.05903</cdr:y>
    </cdr:from>
    <cdr:to>
      <cdr:x>0.975</cdr:x>
      <cdr:y>0.14871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85" y="150916"/>
          <a:ext cx="4917068" cy="229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0.17651</cdr:x>
      <cdr:y>0.03814</cdr:y>
    </cdr:from>
    <cdr:to>
      <cdr:x>0.82731</cdr:x>
      <cdr:y>0.13189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56275" y="115476"/>
          <a:ext cx="5000564" cy="2838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Figure: 11.5: Percentage share of selected vehicles, 2018</a:t>
          </a:r>
          <a:endParaRPr lang="en-US" sz="105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  <cell r="C5"/>
          <cell r="D5" t="str">
            <v>Domestic Flights</v>
          </cell>
          <cell r="E5"/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X74"/>
  <sheetViews>
    <sheetView tabSelected="1" zoomScale="91" zoomScaleNormal="91" workbookViewId="0">
      <selection activeCell="AE15" sqref="AE15"/>
    </sheetView>
  </sheetViews>
  <sheetFormatPr defaultRowHeight="12.75" x14ac:dyDescent="0.25"/>
  <cols>
    <col min="1" max="1" width="24.42578125" style="5" customWidth="1"/>
    <col min="2" max="9" width="8.42578125" style="12" customWidth="1"/>
    <col min="10" max="10" width="9.28515625" style="12" customWidth="1"/>
    <col min="11" max="18" width="8" style="12" customWidth="1"/>
    <col min="19" max="19" width="8" style="82" customWidth="1"/>
    <col min="20" max="37" width="8" style="83" customWidth="1"/>
    <col min="38" max="57" width="11" style="83" customWidth="1"/>
    <col min="58" max="58" width="9.140625" style="83"/>
    <col min="59" max="154" width="9.140625" style="84"/>
    <col min="155" max="16384" width="9.140625" style="5"/>
  </cols>
  <sheetData>
    <row r="1" spans="1:67" ht="16.5" x14ac:dyDescent="0.2">
      <c r="A1" s="64" t="s">
        <v>57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BF1" s="84"/>
      <c r="BO1" s="85"/>
    </row>
    <row r="2" spans="1:67" ht="15" x14ac:dyDescent="0.2">
      <c r="A2" s="67" t="s">
        <v>58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9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BF2" s="84"/>
      <c r="BO2" s="85"/>
    </row>
    <row r="3" spans="1:67" ht="15" x14ac:dyDescent="0.2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1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BF3" s="84"/>
      <c r="BO3" s="85"/>
    </row>
    <row r="4" spans="1:67" ht="15" customHeight="1" x14ac:dyDescent="0.2">
      <c r="A4" s="71" t="s">
        <v>2</v>
      </c>
      <c r="B4" s="74" t="s">
        <v>55</v>
      </c>
      <c r="C4" s="75"/>
      <c r="D4" s="75"/>
      <c r="E4" s="75"/>
      <c r="F4" s="75"/>
      <c r="G4" s="75"/>
      <c r="H4" s="75"/>
      <c r="I4" s="75"/>
      <c r="J4" s="76"/>
      <c r="K4" s="73" t="s">
        <v>56</v>
      </c>
      <c r="L4" s="73"/>
      <c r="M4" s="73"/>
      <c r="N4" s="73"/>
      <c r="O4" s="73"/>
      <c r="P4" s="73"/>
      <c r="Q4" s="73"/>
      <c r="R4" s="73"/>
      <c r="S4" s="73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BF4" s="84"/>
      <c r="BO4" s="85"/>
    </row>
    <row r="5" spans="1:67" ht="15" x14ac:dyDescent="0.2">
      <c r="A5" s="72"/>
      <c r="B5" s="6">
        <v>2010</v>
      </c>
      <c r="C5" s="6">
        <v>2011</v>
      </c>
      <c r="D5" s="6">
        <v>2012</v>
      </c>
      <c r="E5" s="6">
        <v>2013</v>
      </c>
      <c r="F5" s="7">
        <v>2014</v>
      </c>
      <c r="G5" s="7">
        <v>2015</v>
      </c>
      <c r="H5" s="7">
        <v>2016</v>
      </c>
      <c r="I5" s="6">
        <v>2017</v>
      </c>
      <c r="J5" s="8">
        <v>2018</v>
      </c>
      <c r="K5" s="26">
        <v>2010</v>
      </c>
      <c r="L5" s="6">
        <v>2011</v>
      </c>
      <c r="M5" s="6">
        <v>2012</v>
      </c>
      <c r="N5" s="6">
        <v>2013</v>
      </c>
      <c r="O5" s="6">
        <v>2014</v>
      </c>
      <c r="P5" s="7">
        <v>2015</v>
      </c>
      <c r="Q5" s="26">
        <v>2016</v>
      </c>
      <c r="R5" s="6">
        <v>2017</v>
      </c>
      <c r="S5" s="7">
        <v>2018</v>
      </c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BF5" s="84"/>
      <c r="BO5" s="85"/>
    </row>
    <row r="6" spans="1:67" ht="15" x14ac:dyDescent="0.2">
      <c r="A6" s="21" t="s">
        <v>0</v>
      </c>
      <c r="B6" s="27">
        <v>46028</v>
      </c>
      <c r="C6" s="27">
        <v>50184</v>
      </c>
      <c r="D6" s="27">
        <v>54485</v>
      </c>
      <c r="E6" s="28">
        <v>59332</v>
      </c>
      <c r="F6" s="29">
        <v>66132</v>
      </c>
      <c r="G6" s="29">
        <v>77776</v>
      </c>
      <c r="H6" s="30">
        <v>87126</v>
      </c>
      <c r="I6" s="30">
        <v>97213</v>
      </c>
      <c r="J6" s="31">
        <v>108532</v>
      </c>
      <c r="K6" s="32">
        <v>3481</v>
      </c>
      <c r="L6" s="30">
        <v>4156</v>
      </c>
      <c r="M6" s="30">
        <v>4301</v>
      </c>
      <c r="N6" s="30">
        <v>4847</v>
      </c>
      <c r="O6" s="30">
        <v>6800</v>
      </c>
      <c r="P6" s="33">
        <v>11644</v>
      </c>
      <c r="Q6" s="32">
        <v>9350</v>
      </c>
      <c r="R6" s="30">
        <v>10087</v>
      </c>
      <c r="S6" s="33">
        <v>11319</v>
      </c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BF6" s="84"/>
      <c r="BO6" s="85"/>
    </row>
    <row r="7" spans="1:67" ht="15" x14ac:dyDescent="0.2">
      <c r="A7" s="22" t="s">
        <v>3</v>
      </c>
      <c r="B7" s="34">
        <v>38010</v>
      </c>
      <c r="C7" s="9">
        <v>41662</v>
      </c>
      <c r="D7" s="35">
        <v>45499</v>
      </c>
      <c r="E7" s="35">
        <v>49819</v>
      </c>
      <c r="F7" s="36">
        <v>55552</v>
      </c>
      <c r="G7" s="37">
        <v>65520</v>
      </c>
      <c r="H7" s="10">
        <v>73301</v>
      </c>
      <c r="I7" s="10">
        <v>80859</v>
      </c>
      <c r="J7" s="40">
        <v>89897</v>
      </c>
      <c r="K7" s="38">
        <v>3032</v>
      </c>
      <c r="L7" s="10">
        <v>3652</v>
      </c>
      <c r="M7" s="10">
        <v>3837</v>
      </c>
      <c r="N7" s="10">
        <v>4320</v>
      </c>
      <c r="O7" s="10">
        <v>5733</v>
      </c>
      <c r="P7" s="39">
        <v>9968</v>
      </c>
      <c r="Q7" s="11">
        <v>7781</v>
      </c>
      <c r="R7" s="11">
        <v>7558</v>
      </c>
      <c r="S7" s="11">
        <v>9038</v>
      </c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Q7" s="89">
        <f>J6</f>
        <v>108532</v>
      </c>
      <c r="BF7" s="84"/>
      <c r="BO7" s="85"/>
    </row>
    <row r="8" spans="1:67" ht="15" x14ac:dyDescent="0.2">
      <c r="A8" s="22" t="s">
        <v>4</v>
      </c>
      <c r="B8" s="34">
        <v>3030</v>
      </c>
      <c r="C8" s="9">
        <v>3180</v>
      </c>
      <c r="D8" s="35">
        <v>3385</v>
      </c>
      <c r="E8" s="35">
        <v>3659</v>
      </c>
      <c r="F8" s="36">
        <v>4163</v>
      </c>
      <c r="G8" s="37">
        <v>4931</v>
      </c>
      <c r="H8" s="10">
        <v>5411</v>
      </c>
      <c r="I8" s="10">
        <v>5823</v>
      </c>
      <c r="J8" s="40">
        <v>6325</v>
      </c>
      <c r="K8" s="38">
        <v>124</v>
      </c>
      <c r="L8" s="10">
        <v>150</v>
      </c>
      <c r="M8" s="10">
        <v>205</v>
      </c>
      <c r="N8" s="10">
        <v>274</v>
      </c>
      <c r="O8" s="10">
        <v>504</v>
      </c>
      <c r="P8" s="39">
        <v>768</v>
      </c>
      <c r="Q8" s="11">
        <v>480</v>
      </c>
      <c r="R8" s="11">
        <v>412</v>
      </c>
      <c r="S8" s="11">
        <v>502</v>
      </c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N8" s="83" t="s">
        <v>62</v>
      </c>
      <c r="AO8" s="83" t="s">
        <v>61</v>
      </c>
      <c r="AP8" s="83" t="s">
        <v>3</v>
      </c>
      <c r="AQ8" s="89">
        <f>J7</f>
        <v>89897</v>
      </c>
      <c r="BF8" s="84"/>
      <c r="BO8" s="85"/>
    </row>
    <row r="9" spans="1:67" ht="15" x14ac:dyDescent="0.2">
      <c r="A9" s="22" t="s">
        <v>5</v>
      </c>
      <c r="B9" s="34">
        <v>71</v>
      </c>
      <c r="C9" s="9">
        <v>100</v>
      </c>
      <c r="D9" s="35">
        <v>104</v>
      </c>
      <c r="E9" s="35">
        <v>112</v>
      </c>
      <c r="F9" s="36">
        <v>123</v>
      </c>
      <c r="G9" s="37">
        <v>135</v>
      </c>
      <c r="H9" s="10">
        <v>150</v>
      </c>
      <c r="I9" s="10">
        <v>168</v>
      </c>
      <c r="J9" s="40">
        <v>198</v>
      </c>
      <c r="K9" s="38">
        <v>12</v>
      </c>
      <c r="L9" s="10">
        <v>29</v>
      </c>
      <c r="M9" s="10">
        <v>4</v>
      </c>
      <c r="N9" s="10">
        <v>8</v>
      </c>
      <c r="O9" s="10">
        <v>11</v>
      </c>
      <c r="P9" s="39">
        <v>12</v>
      </c>
      <c r="Q9" s="11">
        <v>15</v>
      </c>
      <c r="R9" s="11">
        <v>18</v>
      </c>
      <c r="S9" s="11">
        <v>30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M9" s="83">
        <v>2010</v>
      </c>
      <c r="AN9" s="83">
        <v>46028</v>
      </c>
      <c r="AO9" s="83">
        <v>3481</v>
      </c>
      <c r="AP9" s="83" t="s">
        <v>4</v>
      </c>
      <c r="AQ9" s="89">
        <f>J8</f>
        <v>6325</v>
      </c>
      <c r="BF9" s="84"/>
      <c r="BO9" s="85"/>
    </row>
    <row r="10" spans="1:67" ht="15" x14ac:dyDescent="0.2">
      <c r="A10" s="22" t="s">
        <v>6</v>
      </c>
      <c r="B10" s="34">
        <v>1545</v>
      </c>
      <c r="C10" s="9">
        <v>1615</v>
      </c>
      <c r="D10" s="35">
        <v>1666</v>
      </c>
      <c r="E10" s="35">
        <v>1719</v>
      </c>
      <c r="F10" s="36">
        <v>1851</v>
      </c>
      <c r="G10" s="37">
        <v>2109</v>
      </c>
      <c r="H10" s="10">
        <v>2405</v>
      </c>
      <c r="I10" s="10">
        <v>2668</v>
      </c>
      <c r="J10" s="40">
        <v>2931</v>
      </c>
      <c r="K10" s="38">
        <v>56</v>
      </c>
      <c r="L10" s="10">
        <v>70</v>
      </c>
      <c r="M10" s="10">
        <v>51</v>
      </c>
      <c r="N10" s="10">
        <v>53</v>
      </c>
      <c r="O10" s="10">
        <v>132</v>
      </c>
      <c r="P10" s="39">
        <v>258</v>
      </c>
      <c r="Q10" s="11">
        <v>296</v>
      </c>
      <c r="R10" s="11">
        <v>263</v>
      </c>
      <c r="S10" s="11">
        <v>263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M10" s="83">
        <v>2011</v>
      </c>
      <c r="AN10" s="83">
        <v>50184</v>
      </c>
      <c r="AO10" s="83">
        <v>4156</v>
      </c>
      <c r="AP10" s="83" t="s">
        <v>6</v>
      </c>
      <c r="AQ10" s="89">
        <f>J10</f>
        <v>2931</v>
      </c>
      <c r="BF10" s="84"/>
      <c r="BO10" s="85"/>
    </row>
    <row r="11" spans="1:67" ht="15" x14ac:dyDescent="0.2">
      <c r="A11" s="22" t="s">
        <v>7</v>
      </c>
      <c r="B11" s="34">
        <v>665</v>
      </c>
      <c r="C11" s="9">
        <v>671</v>
      </c>
      <c r="D11" s="35">
        <v>683</v>
      </c>
      <c r="E11" s="35">
        <v>687</v>
      </c>
      <c r="F11" s="36">
        <v>698</v>
      </c>
      <c r="G11" s="37">
        <v>717</v>
      </c>
      <c r="H11" s="10">
        <v>736</v>
      </c>
      <c r="I11" s="10">
        <v>767</v>
      </c>
      <c r="J11" s="40">
        <v>795</v>
      </c>
      <c r="K11" s="38">
        <v>11</v>
      </c>
      <c r="L11" s="10">
        <v>6</v>
      </c>
      <c r="M11" s="10">
        <v>12</v>
      </c>
      <c r="N11" s="10">
        <v>4</v>
      </c>
      <c r="O11" s="10">
        <v>11</v>
      </c>
      <c r="P11" s="39">
        <v>19</v>
      </c>
      <c r="Q11" s="11">
        <v>19</v>
      </c>
      <c r="R11" s="11">
        <v>31</v>
      </c>
      <c r="S11" s="11">
        <v>28</v>
      </c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M11" s="83">
        <v>2012</v>
      </c>
      <c r="AN11" s="83">
        <v>54485</v>
      </c>
      <c r="AO11" s="83">
        <v>4301</v>
      </c>
      <c r="AP11" s="83" t="s">
        <v>1</v>
      </c>
      <c r="AQ11" s="89">
        <f>AQ7-AQ8-AQ9-AQ10</f>
        <v>9379</v>
      </c>
      <c r="BF11" s="84"/>
      <c r="BO11" s="85"/>
    </row>
    <row r="12" spans="1:67" ht="15" x14ac:dyDescent="0.2">
      <c r="A12" s="22" t="s">
        <v>8</v>
      </c>
      <c r="B12" s="34">
        <v>852</v>
      </c>
      <c r="C12" s="9">
        <v>895</v>
      </c>
      <c r="D12" s="35">
        <v>937</v>
      </c>
      <c r="E12" s="35">
        <v>1005</v>
      </c>
      <c r="F12" s="36">
        <v>1100</v>
      </c>
      <c r="G12" s="37">
        <v>1222</v>
      </c>
      <c r="H12" s="10">
        <v>1336</v>
      </c>
      <c r="I12" s="10">
        <v>1446</v>
      </c>
      <c r="J12" s="40">
        <v>1549</v>
      </c>
      <c r="K12" s="38">
        <v>33</v>
      </c>
      <c r="L12" s="10">
        <v>43</v>
      </c>
      <c r="M12" s="10">
        <v>42</v>
      </c>
      <c r="N12" s="10">
        <v>68</v>
      </c>
      <c r="O12" s="10">
        <v>95</v>
      </c>
      <c r="P12" s="39">
        <v>122</v>
      </c>
      <c r="Q12" s="11">
        <v>114</v>
      </c>
      <c r="R12" s="11">
        <v>110</v>
      </c>
      <c r="S12" s="11">
        <v>103</v>
      </c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M12" s="83">
        <v>2013</v>
      </c>
      <c r="AN12" s="83">
        <v>59332</v>
      </c>
      <c r="AO12" s="83">
        <v>4847</v>
      </c>
      <c r="AR12" s="90"/>
      <c r="BF12" s="84"/>
      <c r="BO12" s="85"/>
    </row>
    <row r="13" spans="1:67" ht="15" x14ac:dyDescent="0.2">
      <c r="A13" s="22" t="s">
        <v>9</v>
      </c>
      <c r="B13" s="34">
        <v>288</v>
      </c>
      <c r="C13" s="9">
        <v>345</v>
      </c>
      <c r="D13" s="35">
        <v>356</v>
      </c>
      <c r="E13" s="35">
        <v>362</v>
      </c>
      <c r="F13" s="36">
        <v>376</v>
      </c>
      <c r="G13" s="37">
        <v>422</v>
      </c>
      <c r="H13" s="10">
        <v>444</v>
      </c>
      <c r="I13" s="10">
        <v>469</v>
      </c>
      <c r="J13" s="40">
        <v>489</v>
      </c>
      <c r="K13" s="38">
        <v>14</v>
      </c>
      <c r="L13" s="10">
        <v>57</v>
      </c>
      <c r="M13" s="10">
        <v>11</v>
      </c>
      <c r="N13" s="10">
        <v>6</v>
      </c>
      <c r="O13" s="10">
        <v>14</v>
      </c>
      <c r="P13" s="39">
        <v>46</v>
      </c>
      <c r="Q13" s="11">
        <v>22</v>
      </c>
      <c r="R13" s="11">
        <v>25</v>
      </c>
      <c r="S13" s="11">
        <v>20</v>
      </c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M13" s="83">
        <v>2014</v>
      </c>
      <c r="AN13" s="83">
        <v>66132</v>
      </c>
      <c r="AO13" s="83">
        <v>6800</v>
      </c>
      <c r="AR13" s="90"/>
      <c r="BF13" s="84"/>
      <c r="BO13" s="85"/>
    </row>
    <row r="14" spans="1:67" ht="15" x14ac:dyDescent="0.2">
      <c r="A14" s="22" t="s">
        <v>10</v>
      </c>
      <c r="B14" s="34">
        <v>13</v>
      </c>
      <c r="C14" s="9">
        <v>15</v>
      </c>
      <c r="D14" s="35">
        <v>16</v>
      </c>
      <c r="E14" s="35">
        <v>18</v>
      </c>
      <c r="F14" s="36">
        <v>20</v>
      </c>
      <c r="G14" s="37">
        <v>75</v>
      </c>
      <c r="H14" s="10">
        <v>85</v>
      </c>
      <c r="I14" s="10">
        <v>109</v>
      </c>
      <c r="J14" s="40">
        <v>109</v>
      </c>
      <c r="K14" s="38">
        <v>1</v>
      </c>
      <c r="L14" s="10">
        <v>2</v>
      </c>
      <c r="M14" s="10">
        <v>1</v>
      </c>
      <c r="N14" s="10">
        <v>2</v>
      </c>
      <c r="O14" s="10">
        <v>2</v>
      </c>
      <c r="P14" s="39">
        <v>55</v>
      </c>
      <c r="Q14" s="11">
        <v>10</v>
      </c>
      <c r="R14" s="11">
        <v>24</v>
      </c>
      <c r="S14" s="11">
        <v>0</v>
      </c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M14" s="83">
        <v>2015</v>
      </c>
      <c r="AN14" s="83">
        <v>77776</v>
      </c>
      <c r="AO14" s="83">
        <v>11644</v>
      </c>
      <c r="AR14" s="90"/>
      <c r="BF14" s="84"/>
      <c r="BO14" s="85"/>
    </row>
    <row r="15" spans="1:67" ht="15" x14ac:dyDescent="0.2">
      <c r="A15" s="22" t="s">
        <v>11</v>
      </c>
      <c r="B15" s="34">
        <v>28</v>
      </c>
      <c r="C15" s="9">
        <v>30</v>
      </c>
      <c r="D15" s="35">
        <v>32</v>
      </c>
      <c r="E15" s="35">
        <v>32</v>
      </c>
      <c r="F15" s="36">
        <v>35</v>
      </c>
      <c r="G15" s="37">
        <v>38</v>
      </c>
      <c r="H15" s="10">
        <v>41</v>
      </c>
      <c r="I15" s="10">
        <v>49</v>
      </c>
      <c r="J15" s="40">
        <v>53</v>
      </c>
      <c r="K15" s="38">
        <v>0</v>
      </c>
      <c r="L15" s="10">
        <v>2</v>
      </c>
      <c r="M15" s="10">
        <v>2</v>
      </c>
      <c r="N15" s="10">
        <v>0</v>
      </c>
      <c r="O15" s="10">
        <v>3</v>
      </c>
      <c r="P15" s="39">
        <v>3</v>
      </c>
      <c r="Q15" s="11">
        <v>3</v>
      </c>
      <c r="R15" s="11">
        <v>8</v>
      </c>
      <c r="S15" s="11">
        <v>4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M15" s="83">
        <v>2016</v>
      </c>
      <c r="AN15" s="83">
        <v>87126</v>
      </c>
      <c r="AO15" s="83">
        <v>9350</v>
      </c>
      <c r="AR15" s="90"/>
      <c r="BF15" s="84"/>
      <c r="BO15" s="85"/>
    </row>
    <row r="16" spans="1:67" ht="15" x14ac:dyDescent="0.2">
      <c r="A16" s="22" t="s">
        <v>12</v>
      </c>
      <c r="B16" s="34">
        <v>107</v>
      </c>
      <c r="C16" s="9">
        <v>112</v>
      </c>
      <c r="D16" s="35">
        <v>116</v>
      </c>
      <c r="E16" s="35">
        <v>121</v>
      </c>
      <c r="F16" s="36">
        <v>127</v>
      </c>
      <c r="G16" s="37">
        <v>135</v>
      </c>
      <c r="H16" s="10">
        <v>157</v>
      </c>
      <c r="I16" s="10">
        <v>200</v>
      </c>
      <c r="J16" s="40">
        <v>209</v>
      </c>
      <c r="K16" s="38">
        <v>4</v>
      </c>
      <c r="L16" s="10">
        <v>5</v>
      </c>
      <c r="M16" s="10">
        <v>4</v>
      </c>
      <c r="N16" s="10">
        <v>5</v>
      </c>
      <c r="O16" s="10">
        <v>6</v>
      </c>
      <c r="P16" s="39">
        <v>8</v>
      </c>
      <c r="Q16" s="11">
        <v>22</v>
      </c>
      <c r="R16" s="11">
        <v>43</v>
      </c>
      <c r="S16" s="11">
        <v>9</v>
      </c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M16" s="83">
        <v>2017</v>
      </c>
      <c r="AN16" s="83">
        <v>97213</v>
      </c>
      <c r="AO16" s="83">
        <v>10087</v>
      </c>
      <c r="AR16" s="90"/>
      <c r="BF16" s="84"/>
      <c r="BO16" s="85"/>
    </row>
    <row r="17" spans="1:67" ht="15" x14ac:dyDescent="0.2">
      <c r="A17" s="22" t="s">
        <v>13</v>
      </c>
      <c r="B17" s="34">
        <v>346</v>
      </c>
      <c r="C17" s="9">
        <v>381</v>
      </c>
      <c r="D17" s="35">
        <v>414</v>
      </c>
      <c r="E17" s="35">
        <v>439</v>
      </c>
      <c r="F17" s="36">
        <v>489</v>
      </c>
      <c r="G17" s="37">
        <v>621</v>
      </c>
      <c r="H17" s="10">
        <v>731</v>
      </c>
      <c r="I17" s="10">
        <v>946</v>
      </c>
      <c r="J17" s="40">
        <v>1051</v>
      </c>
      <c r="K17" s="38">
        <v>41</v>
      </c>
      <c r="L17" s="10">
        <v>35</v>
      </c>
      <c r="M17" s="10">
        <v>33</v>
      </c>
      <c r="N17" s="10">
        <v>25</v>
      </c>
      <c r="O17" s="10">
        <v>50</v>
      </c>
      <c r="P17" s="39">
        <v>132</v>
      </c>
      <c r="Q17" s="11">
        <v>110</v>
      </c>
      <c r="R17" s="11">
        <v>215</v>
      </c>
      <c r="S17" s="11">
        <v>105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M17" s="83">
        <v>2018</v>
      </c>
      <c r="AN17" s="83">
        <v>108532</v>
      </c>
      <c r="AO17" s="83">
        <v>11319</v>
      </c>
      <c r="AR17" s="90"/>
      <c r="BF17" s="84"/>
      <c r="BO17" s="85"/>
    </row>
    <row r="18" spans="1:67" ht="15" x14ac:dyDescent="0.2">
      <c r="A18" s="22" t="s">
        <v>14</v>
      </c>
      <c r="B18" s="34">
        <v>173</v>
      </c>
      <c r="C18" s="9">
        <v>180</v>
      </c>
      <c r="D18" s="35">
        <v>196</v>
      </c>
      <c r="E18" s="35">
        <v>206</v>
      </c>
      <c r="F18" s="36">
        <v>216</v>
      </c>
      <c r="G18" s="37">
        <v>244</v>
      </c>
      <c r="H18" s="10">
        <v>270</v>
      </c>
      <c r="I18" s="10">
        <v>332</v>
      </c>
      <c r="J18" s="40">
        <v>356</v>
      </c>
      <c r="K18" s="38">
        <v>11</v>
      </c>
      <c r="L18" s="10">
        <v>7</v>
      </c>
      <c r="M18" s="10">
        <v>16</v>
      </c>
      <c r="N18" s="10">
        <v>10</v>
      </c>
      <c r="O18" s="10">
        <v>10</v>
      </c>
      <c r="P18" s="39">
        <v>28</v>
      </c>
      <c r="Q18" s="11">
        <v>26</v>
      </c>
      <c r="R18" s="11">
        <v>62</v>
      </c>
      <c r="S18" s="11">
        <v>24</v>
      </c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BF18" s="84"/>
      <c r="BO18" s="85"/>
    </row>
    <row r="19" spans="1:67" ht="15" x14ac:dyDescent="0.2">
      <c r="A19" s="22" t="s">
        <v>15</v>
      </c>
      <c r="B19" s="34">
        <v>274</v>
      </c>
      <c r="C19" s="9">
        <v>297</v>
      </c>
      <c r="D19" s="35">
        <v>309</v>
      </c>
      <c r="E19" s="35">
        <v>331</v>
      </c>
      <c r="F19" s="36">
        <v>375</v>
      </c>
      <c r="G19" s="37">
        <v>417</v>
      </c>
      <c r="H19" s="10">
        <v>495</v>
      </c>
      <c r="I19" s="10">
        <v>606</v>
      </c>
      <c r="J19" s="40">
        <v>659</v>
      </c>
      <c r="K19" s="38">
        <v>14</v>
      </c>
      <c r="L19" s="10">
        <v>23</v>
      </c>
      <c r="M19" s="10">
        <v>12</v>
      </c>
      <c r="N19" s="10">
        <v>22</v>
      </c>
      <c r="O19" s="10">
        <v>44</v>
      </c>
      <c r="P19" s="39">
        <v>42</v>
      </c>
      <c r="Q19" s="11">
        <v>78</v>
      </c>
      <c r="R19" s="11">
        <v>111</v>
      </c>
      <c r="S19" s="11">
        <v>53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BF19" s="84"/>
      <c r="BO19" s="85"/>
    </row>
    <row r="20" spans="1:67" ht="15" x14ac:dyDescent="0.2">
      <c r="A20" s="22" t="s">
        <v>16</v>
      </c>
      <c r="B20" s="34">
        <v>92</v>
      </c>
      <c r="C20" s="9">
        <v>94</v>
      </c>
      <c r="D20" s="35">
        <v>94</v>
      </c>
      <c r="E20" s="35">
        <v>113</v>
      </c>
      <c r="F20" s="36">
        <v>128</v>
      </c>
      <c r="G20" s="37">
        <v>129</v>
      </c>
      <c r="H20" s="10">
        <v>134</v>
      </c>
      <c r="I20" s="10">
        <v>145</v>
      </c>
      <c r="J20" s="40">
        <v>148</v>
      </c>
      <c r="K20" s="38">
        <v>2</v>
      </c>
      <c r="L20" s="10">
        <v>2</v>
      </c>
      <c r="M20" s="10">
        <v>0</v>
      </c>
      <c r="N20" s="10">
        <v>19</v>
      </c>
      <c r="O20" s="10">
        <v>15</v>
      </c>
      <c r="P20" s="39">
        <v>1</v>
      </c>
      <c r="Q20" s="11">
        <v>5</v>
      </c>
      <c r="R20" s="11">
        <v>11</v>
      </c>
      <c r="S20" s="11">
        <v>3</v>
      </c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BF20" s="84"/>
      <c r="BO20" s="85"/>
    </row>
    <row r="21" spans="1:67" ht="15" x14ac:dyDescent="0.2">
      <c r="A21" s="22" t="s">
        <v>17</v>
      </c>
      <c r="B21" s="34">
        <v>113</v>
      </c>
      <c r="C21" s="9">
        <v>114</v>
      </c>
      <c r="D21" s="35">
        <v>120</v>
      </c>
      <c r="E21" s="35">
        <v>121</v>
      </c>
      <c r="F21" s="36">
        <v>130</v>
      </c>
      <c r="G21" s="37">
        <v>153</v>
      </c>
      <c r="H21" s="10">
        <v>171</v>
      </c>
      <c r="I21" s="10">
        <v>184</v>
      </c>
      <c r="J21" s="40">
        <v>192</v>
      </c>
      <c r="K21" s="38">
        <v>2</v>
      </c>
      <c r="L21" s="10">
        <v>1</v>
      </c>
      <c r="M21" s="10">
        <v>6</v>
      </c>
      <c r="N21" s="10">
        <v>1</v>
      </c>
      <c r="O21" s="10">
        <v>9</v>
      </c>
      <c r="P21" s="39">
        <v>23</v>
      </c>
      <c r="Q21" s="11">
        <v>18</v>
      </c>
      <c r="R21" s="11">
        <v>13</v>
      </c>
      <c r="S21" s="11">
        <v>8</v>
      </c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BF21" s="84"/>
      <c r="BO21" s="85"/>
    </row>
    <row r="22" spans="1:67" ht="15" x14ac:dyDescent="0.2">
      <c r="A22" s="22" t="s">
        <v>18</v>
      </c>
      <c r="B22" s="34">
        <v>6</v>
      </c>
      <c r="C22" s="9">
        <v>6</v>
      </c>
      <c r="D22" s="35">
        <v>7</v>
      </c>
      <c r="E22" s="35">
        <v>7</v>
      </c>
      <c r="F22" s="36">
        <v>7</v>
      </c>
      <c r="G22" s="37">
        <v>7</v>
      </c>
      <c r="H22" s="10">
        <v>7</v>
      </c>
      <c r="I22" s="10">
        <v>17</v>
      </c>
      <c r="J22" s="40">
        <v>17</v>
      </c>
      <c r="K22" s="38">
        <v>0</v>
      </c>
      <c r="L22" s="10">
        <v>0</v>
      </c>
      <c r="M22" s="10">
        <v>1</v>
      </c>
      <c r="N22" s="10">
        <v>0</v>
      </c>
      <c r="O22" s="10">
        <v>0</v>
      </c>
      <c r="P22" s="39">
        <v>0</v>
      </c>
      <c r="Q22" s="11">
        <v>0</v>
      </c>
      <c r="R22" s="11">
        <v>10</v>
      </c>
      <c r="S22" s="11">
        <v>0</v>
      </c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BF22" s="84"/>
      <c r="BO22" s="85"/>
    </row>
    <row r="23" spans="1:67" ht="15" x14ac:dyDescent="0.2">
      <c r="A23" s="22" t="s">
        <v>19</v>
      </c>
      <c r="B23" s="34">
        <v>0</v>
      </c>
      <c r="C23" s="9">
        <v>0</v>
      </c>
      <c r="D23" s="35">
        <v>0</v>
      </c>
      <c r="E23" s="35">
        <v>0</v>
      </c>
      <c r="F23" s="36">
        <v>0</v>
      </c>
      <c r="G23" s="37">
        <v>0</v>
      </c>
      <c r="H23" s="10">
        <v>0</v>
      </c>
      <c r="I23" s="10">
        <v>0</v>
      </c>
      <c r="J23" s="40">
        <v>1</v>
      </c>
      <c r="K23" s="38">
        <v>0</v>
      </c>
      <c r="L23" s="10">
        <v>0</v>
      </c>
      <c r="M23" s="10">
        <v>0</v>
      </c>
      <c r="N23" s="10">
        <v>0</v>
      </c>
      <c r="O23" s="10">
        <v>0</v>
      </c>
      <c r="P23" s="39">
        <v>0</v>
      </c>
      <c r="Q23" s="11">
        <v>0</v>
      </c>
      <c r="R23" s="11">
        <v>0</v>
      </c>
      <c r="S23" s="11">
        <v>1</v>
      </c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BF23" s="84"/>
      <c r="BO23" s="85"/>
    </row>
    <row r="24" spans="1:67" ht="15" x14ac:dyDescent="0.2">
      <c r="A24" s="22" t="s">
        <v>20</v>
      </c>
      <c r="B24" s="34">
        <v>1</v>
      </c>
      <c r="C24" s="9">
        <v>1</v>
      </c>
      <c r="D24" s="35">
        <v>3</v>
      </c>
      <c r="E24" s="35">
        <v>3</v>
      </c>
      <c r="F24" s="36">
        <v>4</v>
      </c>
      <c r="G24" s="37">
        <v>6</v>
      </c>
      <c r="H24" s="10">
        <v>6</v>
      </c>
      <c r="I24" s="10">
        <v>9</v>
      </c>
      <c r="J24" s="40">
        <v>9</v>
      </c>
      <c r="K24" s="38">
        <v>1</v>
      </c>
      <c r="L24" s="10">
        <v>0</v>
      </c>
      <c r="M24" s="10">
        <v>2</v>
      </c>
      <c r="N24" s="10">
        <v>0</v>
      </c>
      <c r="O24" s="10">
        <v>1</v>
      </c>
      <c r="P24" s="39">
        <v>2</v>
      </c>
      <c r="Q24" s="11">
        <v>0</v>
      </c>
      <c r="R24" s="11">
        <v>3</v>
      </c>
      <c r="S24" s="11">
        <v>0</v>
      </c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BF24" s="84"/>
      <c r="BO24" s="85"/>
    </row>
    <row r="25" spans="1:67" ht="15" x14ac:dyDescent="0.2">
      <c r="A25" s="22" t="s">
        <v>21</v>
      </c>
      <c r="B25" s="34">
        <v>25</v>
      </c>
      <c r="C25" s="9">
        <v>26</v>
      </c>
      <c r="D25" s="35">
        <v>28</v>
      </c>
      <c r="E25" s="35">
        <v>30</v>
      </c>
      <c r="F25" s="36">
        <v>32</v>
      </c>
      <c r="G25" s="37">
        <v>35</v>
      </c>
      <c r="H25" s="10">
        <v>39</v>
      </c>
      <c r="I25" s="10">
        <v>45</v>
      </c>
      <c r="J25" s="40">
        <v>49</v>
      </c>
      <c r="K25" s="38">
        <v>2</v>
      </c>
      <c r="L25" s="10">
        <v>1</v>
      </c>
      <c r="M25" s="10">
        <v>2</v>
      </c>
      <c r="N25" s="10">
        <v>2</v>
      </c>
      <c r="O25" s="10">
        <v>2</v>
      </c>
      <c r="P25" s="39">
        <v>3</v>
      </c>
      <c r="Q25" s="11">
        <v>4</v>
      </c>
      <c r="R25" s="11">
        <v>6</v>
      </c>
      <c r="S25" s="11">
        <v>4</v>
      </c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BF25" s="84"/>
      <c r="BO25" s="85"/>
    </row>
    <row r="26" spans="1:67" ht="15" x14ac:dyDescent="0.2">
      <c r="A26" s="22" t="s">
        <v>22</v>
      </c>
      <c r="B26" s="34">
        <v>88</v>
      </c>
      <c r="C26" s="9">
        <v>91</v>
      </c>
      <c r="D26" s="35">
        <v>99</v>
      </c>
      <c r="E26" s="35">
        <v>106</v>
      </c>
      <c r="F26" s="36">
        <v>119</v>
      </c>
      <c r="G26" s="37">
        <v>134</v>
      </c>
      <c r="H26" s="10">
        <v>171</v>
      </c>
      <c r="I26" s="10">
        <v>200</v>
      </c>
      <c r="J26" s="40">
        <v>219</v>
      </c>
      <c r="K26" s="38">
        <v>2</v>
      </c>
      <c r="L26" s="10">
        <v>3</v>
      </c>
      <c r="M26" s="10">
        <v>8</v>
      </c>
      <c r="N26" s="10">
        <v>7</v>
      </c>
      <c r="O26" s="10">
        <v>13</v>
      </c>
      <c r="P26" s="39">
        <v>15</v>
      </c>
      <c r="Q26" s="11">
        <v>37</v>
      </c>
      <c r="R26" s="11">
        <v>29</v>
      </c>
      <c r="S26" s="11">
        <v>19</v>
      </c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BF26" s="84"/>
      <c r="BO26" s="85"/>
    </row>
    <row r="27" spans="1:67" ht="15" x14ac:dyDescent="0.2">
      <c r="A27" s="22" t="s">
        <v>23</v>
      </c>
      <c r="B27" s="34">
        <v>2</v>
      </c>
      <c r="C27" s="9">
        <v>2</v>
      </c>
      <c r="D27" s="35">
        <v>2</v>
      </c>
      <c r="E27" s="35">
        <v>2</v>
      </c>
      <c r="F27" s="36">
        <v>2</v>
      </c>
      <c r="G27" s="37">
        <v>2</v>
      </c>
      <c r="H27" s="10">
        <v>2</v>
      </c>
      <c r="I27" s="10">
        <v>2</v>
      </c>
      <c r="J27" s="40">
        <v>2</v>
      </c>
      <c r="K27" s="38">
        <v>0</v>
      </c>
      <c r="L27" s="10">
        <v>0</v>
      </c>
      <c r="M27" s="10">
        <v>0</v>
      </c>
      <c r="N27" s="10">
        <v>0</v>
      </c>
      <c r="O27" s="10">
        <v>0</v>
      </c>
      <c r="P27" s="39">
        <v>0</v>
      </c>
      <c r="Q27" s="11">
        <v>0</v>
      </c>
      <c r="R27" s="11">
        <v>0</v>
      </c>
      <c r="S27" s="11">
        <v>0</v>
      </c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BF27" s="84"/>
      <c r="BO27" s="85"/>
    </row>
    <row r="28" spans="1:67" ht="15" x14ac:dyDescent="0.2">
      <c r="A28" s="22" t="s">
        <v>24</v>
      </c>
      <c r="B28" s="34">
        <v>1</v>
      </c>
      <c r="C28" s="9">
        <v>1</v>
      </c>
      <c r="D28" s="35">
        <v>1</v>
      </c>
      <c r="E28" s="35">
        <v>1</v>
      </c>
      <c r="F28" s="36">
        <v>1</v>
      </c>
      <c r="G28" s="37">
        <v>1</v>
      </c>
      <c r="H28" s="10">
        <v>1</v>
      </c>
      <c r="I28" s="10">
        <v>1</v>
      </c>
      <c r="J28" s="40">
        <v>1</v>
      </c>
      <c r="K28" s="38">
        <v>0</v>
      </c>
      <c r="L28" s="10">
        <v>0</v>
      </c>
      <c r="M28" s="10">
        <v>0</v>
      </c>
      <c r="N28" s="10">
        <v>0</v>
      </c>
      <c r="O28" s="10">
        <v>0</v>
      </c>
      <c r="P28" s="39">
        <v>0</v>
      </c>
      <c r="Q28" s="11">
        <v>0</v>
      </c>
      <c r="R28" s="11">
        <v>0</v>
      </c>
      <c r="S28" s="11">
        <v>0</v>
      </c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BF28" s="84"/>
      <c r="BO28" s="85"/>
    </row>
    <row r="29" spans="1:67" ht="15" x14ac:dyDescent="0.2">
      <c r="A29" s="22" t="s">
        <v>25</v>
      </c>
      <c r="B29" s="34">
        <v>1</v>
      </c>
      <c r="C29" s="9">
        <v>2</v>
      </c>
      <c r="D29" s="35">
        <v>2</v>
      </c>
      <c r="E29" s="35">
        <v>2</v>
      </c>
      <c r="F29" s="36">
        <v>5</v>
      </c>
      <c r="G29" s="37">
        <v>5</v>
      </c>
      <c r="H29" s="10">
        <v>6</v>
      </c>
      <c r="I29" s="10">
        <v>8</v>
      </c>
      <c r="J29" s="40">
        <v>8</v>
      </c>
      <c r="K29" s="38">
        <v>0</v>
      </c>
      <c r="L29" s="10">
        <v>1</v>
      </c>
      <c r="M29" s="10">
        <v>0</v>
      </c>
      <c r="N29" s="10">
        <v>0</v>
      </c>
      <c r="O29" s="10">
        <v>3</v>
      </c>
      <c r="P29" s="39">
        <v>0</v>
      </c>
      <c r="Q29" s="11">
        <v>1</v>
      </c>
      <c r="R29" s="11">
        <v>2</v>
      </c>
      <c r="S29" s="11">
        <v>0</v>
      </c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BF29" s="84"/>
      <c r="BO29" s="85"/>
    </row>
    <row r="30" spans="1:67" ht="15" x14ac:dyDescent="0.2">
      <c r="A30" s="22" t="s">
        <v>26</v>
      </c>
      <c r="B30" s="34">
        <v>6</v>
      </c>
      <c r="C30" s="9">
        <v>6</v>
      </c>
      <c r="D30" s="35">
        <v>8</v>
      </c>
      <c r="E30" s="35">
        <v>8</v>
      </c>
      <c r="F30" s="36">
        <v>9</v>
      </c>
      <c r="G30" s="37">
        <v>9</v>
      </c>
      <c r="H30" s="10">
        <v>11</v>
      </c>
      <c r="I30" s="10">
        <v>13</v>
      </c>
      <c r="J30" s="40">
        <v>13</v>
      </c>
      <c r="K30" s="38">
        <v>0</v>
      </c>
      <c r="L30" s="10">
        <v>0</v>
      </c>
      <c r="M30" s="10">
        <v>2</v>
      </c>
      <c r="N30" s="10">
        <v>0</v>
      </c>
      <c r="O30" s="10">
        <v>1</v>
      </c>
      <c r="P30" s="39">
        <v>0</v>
      </c>
      <c r="Q30" s="11">
        <v>2</v>
      </c>
      <c r="R30" s="11">
        <v>2</v>
      </c>
      <c r="S30" s="11">
        <v>0</v>
      </c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BF30" s="84"/>
      <c r="BO30" s="85"/>
    </row>
    <row r="31" spans="1:67" ht="15" x14ac:dyDescent="0.2">
      <c r="A31" s="22" t="s">
        <v>27</v>
      </c>
      <c r="B31" s="34">
        <v>8</v>
      </c>
      <c r="C31" s="9">
        <v>8</v>
      </c>
      <c r="D31" s="35">
        <v>10</v>
      </c>
      <c r="E31" s="35">
        <v>10</v>
      </c>
      <c r="F31" s="36">
        <v>16</v>
      </c>
      <c r="G31" s="37">
        <v>19</v>
      </c>
      <c r="H31" s="10">
        <v>32</v>
      </c>
      <c r="I31" s="10">
        <v>33</v>
      </c>
      <c r="J31" s="40">
        <v>34</v>
      </c>
      <c r="K31" s="38">
        <v>0</v>
      </c>
      <c r="L31" s="10">
        <v>0</v>
      </c>
      <c r="M31" s="10">
        <v>2</v>
      </c>
      <c r="N31" s="10">
        <v>0</v>
      </c>
      <c r="O31" s="10">
        <v>6</v>
      </c>
      <c r="P31" s="39">
        <v>3</v>
      </c>
      <c r="Q31" s="11">
        <v>13</v>
      </c>
      <c r="R31" s="11">
        <v>1</v>
      </c>
      <c r="S31" s="11">
        <v>1</v>
      </c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BF31" s="84"/>
      <c r="BO31" s="85"/>
    </row>
    <row r="32" spans="1:67" ht="15" x14ac:dyDescent="0.2">
      <c r="A32" s="22" t="s">
        <v>28</v>
      </c>
      <c r="B32" s="34">
        <v>0</v>
      </c>
      <c r="C32" s="9">
        <v>0</v>
      </c>
      <c r="D32" s="35">
        <v>0</v>
      </c>
      <c r="E32" s="35">
        <v>0</v>
      </c>
      <c r="F32" s="36">
        <v>0</v>
      </c>
      <c r="G32" s="37">
        <v>0</v>
      </c>
      <c r="H32" s="10">
        <v>0</v>
      </c>
      <c r="I32" s="10">
        <v>0</v>
      </c>
      <c r="J32" s="40">
        <v>0</v>
      </c>
      <c r="K32" s="38">
        <v>0</v>
      </c>
      <c r="L32" s="10">
        <v>0</v>
      </c>
      <c r="M32" s="10">
        <v>0</v>
      </c>
      <c r="N32" s="10">
        <v>0</v>
      </c>
      <c r="O32" s="10">
        <v>0</v>
      </c>
      <c r="P32" s="39">
        <v>0</v>
      </c>
      <c r="Q32" s="11">
        <v>0</v>
      </c>
      <c r="R32" s="11">
        <v>0</v>
      </c>
      <c r="S32" s="11">
        <v>0</v>
      </c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BF32" s="84"/>
      <c r="BO32" s="85"/>
    </row>
    <row r="33" spans="1:67" ht="15" x14ac:dyDescent="0.2">
      <c r="A33" s="22" t="s">
        <v>29</v>
      </c>
      <c r="B33" s="34">
        <v>1</v>
      </c>
      <c r="C33" s="9">
        <v>2</v>
      </c>
      <c r="D33" s="35">
        <v>3</v>
      </c>
      <c r="E33" s="35">
        <v>3</v>
      </c>
      <c r="F33" s="36">
        <v>3</v>
      </c>
      <c r="G33" s="37">
        <v>3</v>
      </c>
      <c r="H33" s="10">
        <v>3</v>
      </c>
      <c r="I33" s="10">
        <v>7</v>
      </c>
      <c r="J33" s="40">
        <v>7</v>
      </c>
      <c r="K33" s="38">
        <v>0</v>
      </c>
      <c r="L33" s="10">
        <v>1</v>
      </c>
      <c r="M33" s="10">
        <v>1</v>
      </c>
      <c r="N33" s="10">
        <v>0</v>
      </c>
      <c r="O33" s="10">
        <v>0</v>
      </c>
      <c r="P33" s="39">
        <v>0</v>
      </c>
      <c r="Q33" s="11">
        <v>0</v>
      </c>
      <c r="R33" s="11">
        <v>4</v>
      </c>
      <c r="S33" s="11">
        <v>0</v>
      </c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BF33" s="84"/>
      <c r="BO33" s="85"/>
    </row>
    <row r="34" spans="1:67" ht="15" x14ac:dyDescent="0.2">
      <c r="A34" s="22" t="s">
        <v>30</v>
      </c>
      <c r="B34" s="34">
        <v>1</v>
      </c>
      <c r="C34" s="9">
        <v>1</v>
      </c>
      <c r="D34" s="35">
        <v>3</v>
      </c>
      <c r="E34" s="35">
        <v>3</v>
      </c>
      <c r="F34" s="36">
        <v>5</v>
      </c>
      <c r="G34" s="37">
        <v>5</v>
      </c>
      <c r="H34" s="10">
        <v>5</v>
      </c>
      <c r="I34" s="10">
        <v>5</v>
      </c>
      <c r="J34" s="40">
        <v>5</v>
      </c>
      <c r="K34" s="38">
        <v>0</v>
      </c>
      <c r="L34" s="10">
        <v>0</v>
      </c>
      <c r="M34" s="10">
        <v>2</v>
      </c>
      <c r="N34" s="10">
        <v>0</v>
      </c>
      <c r="O34" s="10">
        <v>2</v>
      </c>
      <c r="P34" s="39">
        <v>0</v>
      </c>
      <c r="Q34" s="11">
        <v>0</v>
      </c>
      <c r="R34" s="11">
        <v>0</v>
      </c>
      <c r="S34" s="11">
        <v>0</v>
      </c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BF34" s="84"/>
      <c r="BO34" s="85"/>
    </row>
    <row r="35" spans="1:67" ht="15" x14ac:dyDescent="0.2">
      <c r="A35" s="22" t="s">
        <v>31</v>
      </c>
      <c r="B35" s="34">
        <v>1</v>
      </c>
      <c r="C35" s="9">
        <v>1</v>
      </c>
      <c r="D35" s="35">
        <v>4</v>
      </c>
      <c r="E35" s="35">
        <v>4</v>
      </c>
      <c r="F35" s="36">
        <v>5</v>
      </c>
      <c r="G35" s="37">
        <v>5</v>
      </c>
      <c r="H35" s="10">
        <v>5</v>
      </c>
      <c r="I35" s="10">
        <v>6</v>
      </c>
      <c r="J35" s="40">
        <v>6</v>
      </c>
      <c r="K35" s="38">
        <v>0</v>
      </c>
      <c r="L35" s="10">
        <v>0</v>
      </c>
      <c r="M35" s="10">
        <v>3</v>
      </c>
      <c r="N35" s="10">
        <v>0</v>
      </c>
      <c r="O35" s="10">
        <v>1</v>
      </c>
      <c r="P35" s="39">
        <v>0</v>
      </c>
      <c r="Q35" s="11">
        <v>0</v>
      </c>
      <c r="R35" s="11">
        <v>1</v>
      </c>
      <c r="S35" s="11">
        <v>0</v>
      </c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BF35" s="84"/>
      <c r="BO35" s="85"/>
    </row>
    <row r="36" spans="1:67" ht="15" x14ac:dyDescent="0.2">
      <c r="A36" s="22" t="s">
        <v>32</v>
      </c>
      <c r="B36" s="34">
        <v>1</v>
      </c>
      <c r="C36" s="9">
        <v>1</v>
      </c>
      <c r="D36" s="35">
        <v>1</v>
      </c>
      <c r="E36" s="35">
        <v>1</v>
      </c>
      <c r="F36" s="36">
        <v>1</v>
      </c>
      <c r="G36" s="37">
        <v>1</v>
      </c>
      <c r="H36" s="10">
        <v>1</v>
      </c>
      <c r="I36" s="10">
        <v>1</v>
      </c>
      <c r="J36" s="40">
        <v>1</v>
      </c>
      <c r="K36" s="38">
        <v>0</v>
      </c>
      <c r="L36" s="10">
        <v>0</v>
      </c>
      <c r="M36" s="10">
        <v>0</v>
      </c>
      <c r="N36" s="10">
        <v>0</v>
      </c>
      <c r="O36" s="10">
        <v>0</v>
      </c>
      <c r="P36" s="39">
        <v>0</v>
      </c>
      <c r="Q36" s="11">
        <v>0</v>
      </c>
      <c r="R36" s="11">
        <v>0</v>
      </c>
      <c r="S36" s="11">
        <v>0</v>
      </c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P36" s="91"/>
      <c r="AQ36" s="84"/>
      <c r="AR36" s="92"/>
      <c r="AS36" s="93">
        <v>2011</v>
      </c>
      <c r="AT36" s="93">
        <v>2012</v>
      </c>
      <c r="AU36" s="93">
        <v>2013</v>
      </c>
      <c r="AV36" s="93">
        <v>2014</v>
      </c>
      <c r="AW36" s="84">
        <v>2015</v>
      </c>
      <c r="AX36" s="93">
        <v>2016</v>
      </c>
      <c r="AY36" s="84">
        <v>2017</v>
      </c>
      <c r="AZ36" s="84">
        <v>2018</v>
      </c>
      <c r="BF36" s="84"/>
      <c r="BO36" s="85"/>
    </row>
    <row r="37" spans="1:67" ht="15" x14ac:dyDescent="0.2">
      <c r="A37" s="22" t="s">
        <v>33</v>
      </c>
      <c r="B37" s="34">
        <v>276</v>
      </c>
      <c r="C37" s="9">
        <v>322</v>
      </c>
      <c r="D37" s="35">
        <v>352</v>
      </c>
      <c r="E37" s="35">
        <v>370</v>
      </c>
      <c r="F37" s="36">
        <v>417</v>
      </c>
      <c r="G37" s="37">
        <v>454</v>
      </c>
      <c r="H37" s="10">
        <v>561</v>
      </c>
      <c r="I37" s="10">
        <v>997</v>
      </c>
      <c r="J37" s="40">
        <v>1367</v>
      </c>
      <c r="K37" s="38">
        <v>116</v>
      </c>
      <c r="L37" s="10">
        <v>46</v>
      </c>
      <c r="M37" s="10">
        <v>30</v>
      </c>
      <c r="N37" s="10">
        <v>18</v>
      </c>
      <c r="O37" s="10">
        <v>47</v>
      </c>
      <c r="P37" s="39">
        <v>37</v>
      </c>
      <c r="Q37" s="11">
        <v>107</v>
      </c>
      <c r="R37" s="11">
        <v>436</v>
      </c>
      <c r="S37" s="11">
        <v>370</v>
      </c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P37" s="84"/>
      <c r="AR37" s="84" t="s">
        <v>51</v>
      </c>
      <c r="AS37" s="94">
        <f>((C6/B6)-1)*100</f>
        <v>9.0292865212479256</v>
      </c>
      <c r="AT37" s="94">
        <f>((D6/C6)-1)*100</f>
        <v>8.5704607046070524</v>
      </c>
      <c r="AU37" s="94">
        <f t="shared" ref="AU37:AZ37" si="0">((E6/D6)-1)*100</f>
        <v>8.8960264292924585</v>
      </c>
      <c r="AV37" s="94">
        <f t="shared" si="0"/>
        <v>11.460931706330468</v>
      </c>
      <c r="AW37" s="94">
        <f t="shared" si="0"/>
        <v>17.607209822778678</v>
      </c>
      <c r="AX37" s="94">
        <f t="shared" si="0"/>
        <v>12.021703353219504</v>
      </c>
      <c r="AY37" s="94">
        <f t="shared" si="0"/>
        <v>11.577485480797932</v>
      </c>
      <c r="AZ37" s="94">
        <f t="shared" si="0"/>
        <v>11.643504469566835</v>
      </c>
      <c r="BF37" s="84"/>
      <c r="BO37" s="85"/>
    </row>
    <row r="38" spans="1:67" ht="15" x14ac:dyDescent="0.2">
      <c r="A38" s="22" t="s">
        <v>34</v>
      </c>
      <c r="B38" s="34">
        <v>1</v>
      </c>
      <c r="C38" s="9">
        <v>1</v>
      </c>
      <c r="D38" s="35">
        <v>1</v>
      </c>
      <c r="E38" s="35">
        <v>1</v>
      </c>
      <c r="F38" s="36">
        <v>1</v>
      </c>
      <c r="G38" s="37">
        <v>1</v>
      </c>
      <c r="H38" s="10">
        <v>1</v>
      </c>
      <c r="I38" s="10">
        <v>1</v>
      </c>
      <c r="J38" s="40">
        <v>2</v>
      </c>
      <c r="K38" s="38">
        <v>1</v>
      </c>
      <c r="L38" s="10">
        <v>0</v>
      </c>
      <c r="M38" s="10">
        <v>0</v>
      </c>
      <c r="N38" s="10">
        <v>0</v>
      </c>
      <c r="O38" s="10">
        <v>0</v>
      </c>
      <c r="P38" s="39">
        <v>0</v>
      </c>
      <c r="Q38" s="11">
        <v>0</v>
      </c>
      <c r="R38" s="11">
        <v>0</v>
      </c>
      <c r="S38" s="11">
        <v>1</v>
      </c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R38" s="84" t="s">
        <v>52</v>
      </c>
      <c r="AS38" s="94">
        <f>((C7/B7)-1)*100</f>
        <v>9.6079978952907208</v>
      </c>
      <c r="AT38" s="94">
        <f t="shared" ref="AT38" si="1">((D7/C7)-1)*100</f>
        <v>9.2098315011281287</v>
      </c>
      <c r="AU38" s="94">
        <f t="shared" ref="AU38:AU39" si="2">((E7/D7)-1)*100</f>
        <v>9.4947141695421955</v>
      </c>
      <c r="AV38" s="94">
        <f t="shared" ref="AV38:AV39" si="3">((F7/E7)-1)*100</f>
        <v>11.507657720949837</v>
      </c>
      <c r="AW38" s="94">
        <f t="shared" ref="AW38:AW39" si="4">((G7/F7)-1)*100</f>
        <v>17.943548387096776</v>
      </c>
      <c r="AX38" s="94">
        <f t="shared" ref="AX38:AX39" si="5">((H7/G7)-1)*100</f>
        <v>11.875763125763129</v>
      </c>
      <c r="AY38" s="94">
        <f t="shared" ref="AY38:AY39" si="6">((I7/H7)-1)*100</f>
        <v>10.310909810234502</v>
      </c>
      <c r="AZ38" s="94">
        <f t="shared" ref="AZ38:AZ39" si="7">((J7/I7)-1)*100</f>
        <v>11.177481789287524</v>
      </c>
      <c r="BF38" s="84"/>
      <c r="BO38" s="85"/>
    </row>
    <row r="39" spans="1:67" ht="15" x14ac:dyDescent="0.2">
      <c r="A39" s="22" t="s">
        <v>35</v>
      </c>
      <c r="B39" s="34">
        <v>1</v>
      </c>
      <c r="C39" s="9">
        <v>1</v>
      </c>
      <c r="D39" s="35">
        <v>1</v>
      </c>
      <c r="E39" s="35">
        <v>1</v>
      </c>
      <c r="F39" s="36">
        <v>1</v>
      </c>
      <c r="G39" s="37">
        <v>1</v>
      </c>
      <c r="H39" s="10">
        <v>1</v>
      </c>
      <c r="I39" s="10">
        <v>1</v>
      </c>
      <c r="J39" s="40">
        <v>1</v>
      </c>
      <c r="K39" s="38">
        <v>1</v>
      </c>
      <c r="L39" s="10">
        <v>0</v>
      </c>
      <c r="M39" s="10">
        <v>0</v>
      </c>
      <c r="N39" s="10">
        <v>0</v>
      </c>
      <c r="O39" s="10">
        <v>0</v>
      </c>
      <c r="P39" s="39">
        <v>0</v>
      </c>
      <c r="Q39" s="11">
        <v>0</v>
      </c>
      <c r="R39" s="11">
        <v>0</v>
      </c>
      <c r="S39" s="11">
        <v>0</v>
      </c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R39" s="84" t="s">
        <v>53</v>
      </c>
      <c r="AS39" s="94">
        <f>((C8/B8)-1)*100</f>
        <v>4.9504950495049549</v>
      </c>
      <c r="AT39" s="94">
        <f t="shared" ref="AT39" si="8">((D8/C8)-1)*100</f>
        <v>6.4465408805031377</v>
      </c>
      <c r="AU39" s="94">
        <f t="shared" si="2"/>
        <v>8.0945347119645525</v>
      </c>
      <c r="AV39" s="94">
        <f t="shared" si="3"/>
        <v>13.774255261000267</v>
      </c>
      <c r="AW39" s="94">
        <f t="shared" si="4"/>
        <v>18.44823444631276</v>
      </c>
      <c r="AX39" s="94">
        <f t="shared" si="5"/>
        <v>9.7343338065301275</v>
      </c>
      <c r="AY39" s="94">
        <f t="shared" si="6"/>
        <v>7.6141193864350365</v>
      </c>
      <c r="AZ39" s="94">
        <f t="shared" si="7"/>
        <v>8.6209857461789561</v>
      </c>
      <c r="BF39" s="84"/>
      <c r="BO39" s="85"/>
    </row>
    <row r="40" spans="1:67" ht="15" x14ac:dyDescent="0.2">
      <c r="A40" s="22" t="s">
        <v>36</v>
      </c>
      <c r="B40" s="34">
        <v>1</v>
      </c>
      <c r="C40" s="9">
        <v>1</v>
      </c>
      <c r="D40" s="35">
        <v>1</v>
      </c>
      <c r="E40" s="35">
        <v>1</v>
      </c>
      <c r="F40" s="36">
        <v>1</v>
      </c>
      <c r="G40" s="37">
        <v>1</v>
      </c>
      <c r="H40" s="10">
        <v>1</v>
      </c>
      <c r="I40" s="10">
        <v>1</v>
      </c>
      <c r="J40" s="40">
        <v>1</v>
      </c>
      <c r="K40" s="38">
        <v>1</v>
      </c>
      <c r="L40" s="10">
        <v>0</v>
      </c>
      <c r="M40" s="10">
        <v>0</v>
      </c>
      <c r="N40" s="10">
        <v>0</v>
      </c>
      <c r="O40" s="10">
        <v>0</v>
      </c>
      <c r="P40" s="39">
        <v>0</v>
      </c>
      <c r="Q40" s="11">
        <v>0</v>
      </c>
      <c r="R40" s="11">
        <v>0</v>
      </c>
      <c r="S40" s="11">
        <v>0</v>
      </c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Q40" s="84"/>
      <c r="AR40" s="92"/>
      <c r="AS40" s="95"/>
      <c r="AT40" s="95"/>
      <c r="AU40" s="95"/>
      <c r="AV40" s="95"/>
      <c r="BF40" s="84"/>
      <c r="BO40" s="85"/>
    </row>
    <row r="41" spans="1:67" ht="15" x14ac:dyDescent="0.2">
      <c r="A41" s="22" t="s">
        <v>37</v>
      </c>
      <c r="B41" s="34">
        <v>0</v>
      </c>
      <c r="C41" s="9">
        <v>0</v>
      </c>
      <c r="D41" s="35">
        <v>3</v>
      </c>
      <c r="E41" s="35">
        <v>3</v>
      </c>
      <c r="F41" s="36">
        <v>3</v>
      </c>
      <c r="G41" s="37">
        <v>3</v>
      </c>
      <c r="H41" s="10">
        <v>10</v>
      </c>
      <c r="I41" s="10">
        <v>13</v>
      </c>
      <c r="J41" s="40">
        <v>31</v>
      </c>
      <c r="K41" s="38">
        <v>0</v>
      </c>
      <c r="L41" s="10">
        <v>0</v>
      </c>
      <c r="M41" s="10">
        <v>3</v>
      </c>
      <c r="N41" s="10">
        <v>0</v>
      </c>
      <c r="O41" s="10">
        <v>0</v>
      </c>
      <c r="P41" s="39">
        <v>0</v>
      </c>
      <c r="Q41" s="11">
        <v>7</v>
      </c>
      <c r="R41" s="11">
        <v>3</v>
      </c>
      <c r="S41" s="11">
        <v>18</v>
      </c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BF41" s="84"/>
      <c r="BO41" s="85"/>
    </row>
    <row r="42" spans="1:67" ht="15" x14ac:dyDescent="0.2">
      <c r="A42" s="23" t="s">
        <v>38</v>
      </c>
      <c r="B42" s="10">
        <v>0</v>
      </c>
      <c r="C42" s="9">
        <v>7</v>
      </c>
      <c r="D42" s="35">
        <v>8</v>
      </c>
      <c r="E42" s="35">
        <v>8</v>
      </c>
      <c r="F42" s="36">
        <v>11</v>
      </c>
      <c r="G42" s="37">
        <v>11</v>
      </c>
      <c r="H42" s="10">
        <v>11</v>
      </c>
      <c r="I42" s="10">
        <v>16</v>
      </c>
      <c r="J42" s="40">
        <v>18</v>
      </c>
      <c r="K42" s="38">
        <v>0</v>
      </c>
      <c r="L42" s="10">
        <v>7</v>
      </c>
      <c r="M42" s="10">
        <v>1</v>
      </c>
      <c r="N42" s="10">
        <v>0</v>
      </c>
      <c r="O42" s="10">
        <v>3</v>
      </c>
      <c r="P42" s="39">
        <v>0</v>
      </c>
      <c r="Q42" s="11">
        <v>0</v>
      </c>
      <c r="R42" s="11">
        <v>5</v>
      </c>
      <c r="S42" s="11">
        <v>2</v>
      </c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Q42" s="84"/>
      <c r="AR42" s="84" t="s">
        <v>54</v>
      </c>
      <c r="AS42" s="83">
        <v>108532</v>
      </c>
      <c r="BF42" s="84"/>
      <c r="BO42" s="85"/>
    </row>
    <row r="43" spans="1:67" ht="15" x14ac:dyDescent="0.2">
      <c r="A43" s="23" t="s">
        <v>39</v>
      </c>
      <c r="B43" s="10">
        <v>0</v>
      </c>
      <c r="C43" s="9">
        <v>4</v>
      </c>
      <c r="D43" s="35">
        <v>10</v>
      </c>
      <c r="E43" s="35">
        <v>10</v>
      </c>
      <c r="F43" s="36">
        <v>11</v>
      </c>
      <c r="G43" s="37">
        <v>19</v>
      </c>
      <c r="H43" s="10">
        <v>24</v>
      </c>
      <c r="I43" s="10">
        <v>34</v>
      </c>
      <c r="J43" s="40">
        <v>50</v>
      </c>
      <c r="K43" s="38">
        <v>0</v>
      </c>
      <c r="L43" s="10">
        <v>4</v>
      </c>
      <c r="M43" s="10">
        <v>6</v>
      </c>
      <c r="N43" s="10">
        <v>0</v>
      </c>
      <c r="O43" s="10">
        <v>1</v>
      </c>
      <c r="P43" s="39">
        <v>8</v>
      </c>
      <c r="Q43" s="11">
        <v>5</v>
      </c>
      <c r="R43" s="11">
        <v>10</v>
      </c>
      <c r="S43" s="11">
        <v>16</v>
      </c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Q43" s="96" t="s">
        <v>3</v>
      </c>
      <c r="AR43" s="90">
        <f>AQ8/AQ7*100</f>
        <v>82.829948770869422</v>
      </c>
      <c r="AS43" s="89">
        <v>89897</v>
      </c>
      <c r="AT43" s="84"/>
      <c r="AV43" s="97"/>
      <c r="BF43" s="84"/>
      <c r="BO43" s="85"/>
    </row>
    <row r="44" spans="1:67" ht="15" x14ac:dyDescent="0.2">
      <c r="A44" s="23" t="s">
        <v>40</v>
      </c>
      <c r="B44" s="10">
        <v>0</v>
      </c>
      <c r="C44" s="9">
        <v>9</v>
      </c>
      <c r="D44" s="35">
        <v>9</v>
      </c>
      <c r="E44" s="35">
        <v>12</v>
      </c>
      <c r="F44" s="36">
        <v>90</v>
      </c>
      <c r="G44" s="37">
        <v>174</v>
      </c>
      <c r="H44" s="10">
        <v>208</v>
      </c>
      <c r="I44" s="10">
        <v>238</v>
      </c>
      <c r="J44" s="40">
        <v>268</v>
      </c>
      <c r="K44" s="38">
        <v>0</v>
      </c>
      <c r="L44" s="10">
        <v>9</v>
      </c>
      <c r="M44" s="10">
        <v>0</v>
      </c>
      <c r="N44" s="10">
        <v>3</v>
      </c>
      <c r="O44" s="10">
        <v>78</v>
      </c>
      <c r="P44" s="39">
        <v>84</v>
      </c>
      <c r="Q44" s="11">
        <v>34</v>
      </c>
      <c r="R44" s="11">
        <v>30</v>
      </c>
      <c r="S44" s="11">
        <v>30</v>
      </c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Q44" s="96" t="s">
        <v>4</v>
      </c>
      <c r="AR44" s="90">
        <f>AQ9/AQ7*100</f>
        <v>5.8277742969815352</v>
      </c>
      <c r="AS44" s="89">
        <v>6325</v>
      </c>
      <c r="AT44" s="84"/>
      <c r="AV44" s="97"/>
      <c r="BF44" s="84"/>
      <c r="BO44" s="85"/>
    </row>
    <row r="45" spans="1:67" ht="15" x14ac:dyDescent="0.2">
      <c r="A45" s="23" t="s">
        <v>43</v>
      </c>
      <c r="B45" s="10">
        <v>0</v>
      </c>
      <c r="C45" s="9">
        <v>0</v>
      </c>
      <c r="D45" s="35">
        <v>0</v>
      </c>
      <c r="E45" s="35">
        <v>0</v>
      </c>
      <c r="F45" s="36">
        <v>1</v>
      </c>
      <c r="G45" s="37">
        <v>1</v>
      </c>
      <c r="H45" s="10">
        <v>2</v>
      </c>
      <c r="I45" s="10">
        <v>2</v>
      </c>
      <c r="J45" s="40">
        <v>2</v>
      </c>
      <c r="K45" s="38">
        <v>0</v>
      </c>
      <c r="L45" s="10">
        <v>0</v>
      </c>
      <c r="M45" s="10">
        <v>0</v>
      </c>
      <c r="N45" s="10">
        <v>0</v>
      </c>
      <c r="O45" s="10">
        <v>1</v>
      </c>
      <c r="P45" s="39">
        <v>0</v>
      </c>
      <c r="Q45" s="11">
        <v>1</v>
      </c>
      <c r="R45" s="11">
        <v>0</v>
      </c>
      <c r="S45" s="11">
        <v>0</v>
      </c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P45" s="91"/>
      <c r="AQ45" s="96" t="s">
        <v>6</v>
      </c>
      <c r="AR45" s="90">
        <f>AQ10/AQ7*100</f>
        <v>2.7005860022850405</v>
      </c>
      <c r="AS45" s="89">
        <v>2931</v>
      </c>
      <c r="AT45" s="84"/>
      <c r="AU45" s="84"/>
      <c r="AV45" s="97"/>
      <c r="AW45" s="84"/>
      <c r="AX45" s="84"/>
      <c r="AY45" s="84"/>
      <c r="AZ45" s="84"/>
      <c r="BF45" s="84"/>
      <c r="BO45" s="85"/>
    </row>
    <row r="46" spans="1:67" ht="15" x14ac:dyDescent="0.2">
      <c r="A46" s="23" t="s">
        <v>59</v>
      </c>
      <c r="B46" s="10">
        <v>0</v>
      </c>
      <c r="C46" s="9">
        <v>0</v>
      </c>
      <c r="D46" s="35">
        <v>0</v>
      </c>
      <c r="E46" s="35">
        <v>0</v>
      </c>
      <c r="F46" s="36">
        <v>0</v>
      </c>
      <c r="G46" s="37">
        <v>6</v>
      </c>
      <c r="H46" s="10">
        <v>19</v>
      </c>
      <c r="I46" s="10">
        <v>22</v>
      </c>
      <c r="J46" s="40">
        <v>26</v>
      </c>
      <c r="K46" s="38">
        <v>0</v>
      </c>
      <c r="L46" s="10">
        <v>0</v>
      </c>
      <c r="M46" s="10">
        <v>0</v>
      </c>
      <c r="N46" s="10">
        <v>0</v>
      </c>
      <c r="O46" s="10">
        <v>0</v>
      </c>
      <c r="P46" s="39">
        <v>6</v>
      </c>
      <c r="Q46" s="11">
        <v>13</v>
      </c>
      <c r="R46" s="11">
        <v>3</v>
      </c>
      <c r="S46" s="11">
        <v>4</v>
      </c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P46" s="91"/>
      <c r="AQ46" s="98" t="s">
        <v>1</v>
      </c>
      <c r="AR46" s="90">
        <f>AQ11/AQ7*100</f>
        <v>8.6416909298640032</v>
      </c>
      <c r="AS46" s="89">
        <v>9379</v>
      </c>
      <c r="AT46" s="84"/>
      <c r="AU46" s="84"/>
      <c r="AV46" s="97"/>
      <c r="AW46" s="84"/>
      <c r="AX46" s="84"/>
      <c r="AY46" s="84"/>
      <c r="AZ46" s="84"/>
      <c r="BF46" s="84"/>
      <c r="BO46" s="85"/>
    </row>
    <row r="47" spans="1:67" ht="15" x14ac:dyDescent="0.2">
      <c r="A47" s="23" t="s">
        <v>44</v>
      </c>
      <c r="B47" s="10">
        <v>0</v>
      </c>
      <c r="C47" s="9">
        <v>0</v>
      </c>
      <c r="D47" s="35">
        <v>2</v>
      </c>
      <c r="E47" s="35">
        <v>2</v>
      </c>
      <c r="F47" s="36">
        <v>4</v>
      </c>
      <c r="G47" s="37">
        <v>5</v>
      </c>
      <c r="H47" s="10">
        <v>8</v>
      </c>
      <c r="I47" s="10">
        <v>18</v>
      </c>
      <c r="J47" s="40">
        <v>18</v>
      </c>
      <c r="K47" s="38">
        <v>0</v>
      </c>
      <c r="L47" s="10">
        <v>0</v>
      </c>
      <c r="M47" s="10">
        <v>2</v>
      </c>
      <c r="N47" s="10">
        <v>0</v>
      </c>
      <c r="O47" s="10">
        <v>2</v>
      </c>
      <c r="P47" s="39">
        <v>1</v>
      </c>
      <c r="Q47" s="11">
        <v>3</v>
      </c>
      <c r="R47" s="11">
        <v>10</v>
      </c>
      <c r="S47" s="11">
        <v>0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P47" s="91"/>
      <c r="AQ47" s="84" t="s">
        <v>64</v>
      </c>
      <c r="AR47" s="84"/>
      <c r="AS47" s="84"/>
      <c r="AT47" s="84"/>
      <c r="AU47" s="84"/>
      <c r="AV47" s="84"/>
      <c r="AW47" s="84"/>
      <c r="AX47" s="84"/>
      <c r="AY47" s="84"/>
      <c r="AZ47" s="84"/>
      <c r="BF47" s="84"/>
      <c r="BO47" s="85"/>
    </row>
    <row r="48" spans="1:67" ht="15" x14ac:dyDescent="0.2">
      <c r="A48" s="23" t="s">
        <v>45</v>
      </c>
      <c r="B48" s="10">
        <v>0</v>
      </c>
      <c r="C48" s="9">
        <v>0</v>
      </c>
      <c r="D48" s="35">
        <v>0</v>
      </c>
      <c r="E48" s="35">
        <v>0</v>
      </c>
      <c r="F48" s="36">
        <v>0</v>
      </c>
      <c r="G48" s="37">
        <v>0</v>
      </c>
      <c r="H48" s="10">
        <v>2</v>
      </c>
      <c r="I48" s="10">
        <v>2</v>
      </c>
      <c r="J48" s="40">
        <v>2</v>
      </c>
      <c r="K48" s="38">
        <v>0</v>
      </c>
      <c r="L48" s="10">
        <v>0</v>
      </c>
      <c r="M48" s="10">
        <v>0</v>
      </c>
      <c r="N48" s="10">
        <v>0</v>
      </c>
      <c r="O48" s="10">
        <v>0</v>
      </c>
      <c r="P48" s="39">
        <v>0</v>
      </c>
      <c r="Q48" s="11">
        <v>2</v>
      </c>
      <c r="R48" s="11">
        <v>0</v>
      </c>
      <c r="S48" s="11">
        <v>0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P48" s="91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F48" s="84"/>
      <c r="BO48" s="85"/>
    </row>
    <row r="49" spans="1:67" ht="15" x14ac:dyDescent="0.2">
      <c r="A49" s="23" t="s">
        <v>46</v>
      </c>
      <c r="B49" s="10">
        <v>0</v>
      </c>
      <c r="C49" s="9">
        <v>0</v>
      </c>
      <c r="D49" s="35">
        <v>0</v>
      </c>
      <c r="E49" s="35">
        <v>0</v>
      </c>
      <c r="F49" s="36">
        <v>0</v>
      </c>
      <c r="G49" s="37">
        <v>0</v>
      </c>
      <c r="H49" s="10">
        <v>111</v>
      </c>
      <c r="I49" s="10">
        <v>646</v>
      </c>
      <c r="J49" s="40">
        <v>1183</v>
      </c>
      <c r="K49" s="38">
        <v>0</v>
      </c>
      <c r="L49" s="10">
        <v>0</v>
      </c>
      <c r="M49" s="10">
        <v>0</v>
      </c>
      <c r="N49" s="10">
        <v>0</v>
      </c>
      <c r="O49" s="10">
        <v>0</v>
      </c>
      <c r="P49" s="39">
        <v>0</v>
      </c>
      <c r="Q49" s="11">
        <v>111</v>
      </c>
      <c r="R49" s="11">
        <v>535</v>
      </c>
      <c r="S49" s="11">
        <v>537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BF49" s="84"/>
      <c r="BO49" s="85"/>
    </row>
    <row r="50" spans="1:67" ht="15" x14ac:dyDescent="0.2">
      <c r="A50" s="60" t="s">
        <v>50</v>
      </c>
      <c r="B50" s="41">
        <v>0</v>
      </c>
      <c r="C50" s="42">
        <v>0</v>
      </c>
      <c r="D50" s="43">
        <v>0</v>
      </c>
      <c r="E50" s="43">
        <v>0</v>
      </c>
      <c r="F50" s="44">
        <v>0</v>
      </c>
      <c r="G50" s="45">
        <v>0</v>
      </c>
      <c r="H50" s="10">
        <v>11</v>
      </c>
      <c r="I50" s="10">
        <v>66</v>
      </c>
      <c r="J50" s="40">
        <v>78</v>
      </c>
      <c r="K50" s="38">
        <v>0</v>
      </c>
      <c r="L50" s="10">
        <v>0</v>
      </c>
      <c r="M50" s="10">
        <v>0</v>
      </c>
      <c r="N50" s="10">
        <v>0</v>
      </c>
      <c r="O50" s="10">
        <v>0</v>
      </c>
      <c r="P50" s="39">
        <v>0</v>
      </c>
      <c r="Q50" s="11">
        <v>11</v>
      </c>
      <c r="R50" s="11">
        <v>55</v>
      </c>
      <c r="S50" s="11">
        <v>12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BF50" s="84"/>
      <c r="BO50" s="85"/>
    </row>
    <row r="51" spans="1:67" ht="15" x14ac:dyDescent="0.2">
      <c r="A51" s="61" t="s">
        <v>49</v>
      </c>
      <c r="B51" s="16">
        <v>0</v>
      </c>
      <c r="C51" s="46">
        <v>0</v>
      </c>
      <c r="D51" s="47">
        <v>0</v>
      </c>
      <c r="E51" s="47">
        <v>0</v>
      </c>
      <c r="F51" s="48">
        <v>0</v>
      </c>
      <c r="G51" s="2">
        <v>0</v>
      </c>
      <c r="H51" s="10">
        <v>0</v>
      </c>
      <c r="I51" s="10">
        <v>0</v>
      </c>
      <c r="J51" s="40">
        <v>1</v>
      </c>
      <c r="K51" s="38">
        <v>0</v>
      </c>
      <c r="L51" s="10">
        <v>0</v>
      </c>
      <c r="M51" s="10">
        <v>0</v>
      </c>
      <c r="N51" s="10">
        <v>0</v>
      </c>
      <c r="O51" s="10">
        <v>0</v>
      </c>
      <c r="P51" s="39">
        <v>0</v>
      </c>
      <c r="Q51" s="11">
        <v>0</v>
      </c>
      <c r="R51" s="11">
        <v>0</v>
      </c>
      <c r="S51" s="11">
        <v>1</v>
      </c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BF51" s="84"/>
      <c r="BO51" s="85"/>
    </row>
    <row r="52" spans="1:67" ht="15" x14ac:dyDescent="0.2">
      <c r="A52" s="60" t="s">
        <v>47</v>
      </c>
      <c r="B52" s="41">
        <v>0</v>
      </c>
      <c r="C52" s="42">
        <v>0</v>
      </c>
      <c r="D52" s="43">
        <v>0</v>
      </c>
      <c r="E52" s="43">
        <v>0</v>
      </c>
      <c r="F52" s="44">
        <v>0</v>
      </c>
      <c r="G52" s="45">
        <v>0</v>
      </c>
      <c r="H52" s="10">
        <v>0</v>
      </c>
      <c r="I52" s="10">
        <v>38</v>
      </c>
      <c r="J52" s="40">
        <v>150</v>
      </c>
      <c r="K52" s="38">
        <v>0</v>
      </c>
      <c r="L52" s="10">
        <v>0</v>
      </c>
      <c r="M52" s="10">
        <v>0</v>
      </c>
      <c r="N52" s="10">
        <v>0</v>
      </c>
      <c r="O52" s="10">
        <v>0</v>
      </c>
      <c r="P52" s="39">
        <v>0</v>
      </c>
      <c r="Q52" s="11">
        <v>0</v>
      </c>
      <c r="R52" s="11">
        <v>38</v>
      </c>
      <c r="S52" s="11">
        <v>112</v>
      </c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BF52" s="84"/>
      <c r="BO52" s="85"/>
    </row>
    <row r="53" spans="1:67" ht="15" x14ac:dyDescent="0.2">
      <c r="A53" s="25" t="s">
        <v>48</v>
      </c>
      <c r="B53" s="49">
        <v>0</v>
      </c>
      <c r="C53" s="50">
        <v>0</v>
      </c>
      <c r="D53" s="51">
        <v>0</v>
      </c>
      <c r="E53" s="51">
        <v>0</v>
      </c>
      <c r="F53" s="52">
        <v>0</v>
      </c>
      <c r="G53" s="53">
        <v>0</v>
      </c>
      <c r="H53" s="49">
        <v>0</v>
      </c>
      <c r="I53" s="49">
        <v>0</v>
      </c>
      <c r="J53" s="54">
        <v>1</v>
      </c>
      <c r="K53" s="55">
        <v>0</v>
      </c>
      <c r="L53" s="49">
        <v>0</v>
      </c>
      <c r="M53" s="49">
        <v>0</v>
      </c>
      <c r="N53" s="49">
        <v>0</v>
      </c>
      <c r="O53" s="49">
        <v>0</v>
      </c>
      <c r="P53" s="56">
        <v>0</v>
      </c>
      <c r="Q53" s="57">
        <v>0</v>
      </c>
      <c r="R53" s="57">
        <v>0</v>
      </c>
      <c r="S53" s="57">
        <v>1</v>
      </c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BF53" s="84"/>
      <c r="BO53" s="85"/>
    </row>
    <row r="54" spans="1:67" ht="17.25" x14ac:dyDescent="0.2">
      <c r="A54" s="62" t="s">
        <v>60</v>
      </c>
      <c r="B54" s="16"/>
      <c r="C54" s="46"/>
      <c r="D54" s="47"/>
      <c r="E54" s="47"/>
      <c r="F54" s="48"/>
      <c r="G54" s="2"/>
      <c r="H54" s="18"/>
      <c r="I54" s="16"/>
      <c r="J54" s="58"/>
      <c r="K54" s="58"/>
      <c r="L54" s="58"/>
      <c r="M54" s="58"/>
      <c r="N54" s="58"/>
      <c r="O54" s="58"/>
      <c r="P54" s="19"/>
      <c r="Q54" s="11"/>
      <c r="R54" s="11"/>
      <c r="S54" s="79" t="s">
        <v>63</v>
      </c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BF54" s="84"/>
      <c r="BO54" s="85"/>
    </row>
    <row r="55" spans="1:67" ht="17.25" x14ac:dyDescent="0.2">
      <c r="A55" s="63" t="s">
        <v>41</v>
      </c>
      <c r="B55" s="16"/>
      <c r="C55" s="46"/>
      <c r="D55" s="47"/>
      <c r="E55" s="47"/>
      <c r="F55" s="48"/>
      <c r="G55" s="2"/>
      <c r="H55" s="18"/>
      <c r="I55" s="16"/>
      <c r="J55" s="58"/>
      <c r="K55" s="58"/>
      <c r="L55" s="58"/>
      <c r="M55" s="58"/>
      <c r="N55" s="58"/>
      <c r="O55" s="58"/>
      <c r="P55" s="19"/>
      <c r="Q55" s="11"/>
      <c r="R55" s="11"/>
      <c r="S55" s="79" t="s">
        <v>42</v>
      </c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BF55" s="84"/>
      <c r="BO55" s="85"/>
    </row>
    <row r="56" spans="1:67" ht="15" x14ac:dyDescent="0.2">
      <c r="A56" s="17"/>
      <c r="B56" s="16"/>
      <c r="C56" s="46"/>
      <c r="D56" s="47"/>
      <c r="E56" s="47"/>
      <c r="F56" s="48"/>
      <c r="G56" s="2"/>
      <c r="H56" s="18"/>
      <c r="I56" s="16"/>
      <c r="J56" s="58"/>
      <c r="K56" s="58"/>
      <c r="L56" s="58"/>
      <c r="M56" s="58"/>
      <c r="N56" s="58"/>
      <c r="O56" s="58"/>
      <c r="P56" s="19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BF56" s="84"/>
      <c r="BO56" s="85"/>
    </row>
    <row r="57" spans="1:67" ht="15" x14ac:dyDescent="0.2">
      <c r="A57" s="3"/>
      <c r="B57" s="16"/>
      <c r="C57" s="46"/>
      <c r="D57" s="47"/>
      <c r="E57" s="47"/>
      <c r="F57" s="48"/>
      <c r="G57" s="2"/>
      <c r="H57" s="20"/>
      <c r="I57" s="3"/>
      <c r="J57" s="3"/>
      <c r="K57" s="3"/>
      <c r="L57" s="3"/>
      <c r="M57" s="3"/>
      <c r="N57" s="3"/>
      <c r="O57" s="3"/>
      <c r="P57" s="3"/>
      <c r="Q57" s="3"/>
      <c r="R57" s="3"/>
      <c r="S57" s="80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BF57" s="84"/>
      <c r="BO57" s="85"/>
    </row>
    <row r="58" spans="1:67" ht="15" x14ac:dyDescent="0.2">
      <c r="A58" s="3"/>
      <c r="B58" s="41"/>
      <c r="C58" s="46"/>
      <c r="D58" s="47"/>
      <c r="E58" s="47"/>
      <c r="F58" s="48"/>
      <c r="G58" s="2"/>
      <c r="H58" s="20"/>
      <c r="I58" s="3"/>
      <c r="J58" s="3"/>
      <c r="K58" s="3"/>
      <c r="L58" s="3"/>
      <c r="M58" s="3"/>
      <c r="N58" s="3"/>
      <c r="O58" s="3"/>
      <c r="P58" s="3"/>
      <c r="Q58" s="3"/>
      <c r="R58" s="3"/>
      <c r="S58" s="81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BF58" s="85"/>
      <c r="BG58" s="85"/>
      <c r="BH58" s="85"/>
      <c r="BI58" s="85"/>
      <c r="BJ58" s="85"/>
      <c r="BK58" s="85"/>
      <c r="BL58" s="85"/>
      <c r="BM58" s="85"/>
      <c r="BN58" s="85"/>
      <c r="BO58" s="85"/>
    </row>
    <row r="59" spans="1:67" ht="15" x14ac:dyDescent="0.2">
      <c r="A59" s="15"/>
      <c r="B59" s="5"/>
      <c r="C59" s="3"/>
      <c r="D59" s="3"/>
      <c r="E59" s="3"/>
      <c r="F59" s="3"/>
      <c r="G59" s="3"/>
      <c r="H59" s="14"/>
      <c r="I59" s="3"/>
      <c r="J59" s="3"/>
      <c r="K59" s="3"/>
      <c r="L59" s="3"/>
      <c r="M59" s="3"/>
      <c r="N59" s="3"/>
      <c r="O59" s="3"/>
      <c r="P59" s="3"/>
      <c r="Q59" s="3"/>
      <c r="BF59" s="85"/>
      <c r="BG59" s="85"/>
      <c r="BH59" s="85"/>
      <c r="BI59" s="85"/>
      <c r="BJ59" s="85"/>
      <c r="BK59" s="85"/>
      <c r="BL59" s="85"/>
      <c r="BM59" s="85"/>
      <c r="BN59" s="85"/>
      <c r="BO59" s="85"/>
    </row>
    <row r="60" spans="1:67" x14ac:dyDescent="0.2">
      <c r="B60" s="5"/>
      <c r="C60" s="5"/>
      <c r="D60" s="5"/>
      <c r="E60" s="5"/>
      <c r="F60" s="5"/>
      <c r="G60" s="5"/>
      <c r="H60" s="5"/>
      <c r="I60" s="5"/>
      <c r="J60" s="4"/>
      <c r="K60" s="4"/>
      <c r="L60" s="4"/>
      <c r="M60" s="4"/>
      <c r="N60" s="4"/>
      <c r="O60" s="4"/>
      <c r="P60" s="4"/>
      <c r="Q60" s="4"/>
      <c r="R60" s="4"/>
      <c r="BF60" s="85"/>
      <c r="BG60" s="85"/>
      <c r="BH60" s="85"/>
      <c r="BI60" s="85"/>
      <c r="BJ60" s="85"/>
      <c r="BK60" s="85"/>
      <c r="BL60" s="85"/>
      <c r="BM60" s="85"/>
      <c r="BN60" s="85"/>
      <c r="BO60" s="85"/>
    </row>
    <row r="61" spans="1:67" x14ac:dyDescent="0.25">
      <c r="B61" s="5"/>
      <c r="C61" s="5"/>
      <c r="D61" s="5"/>
      <c r="E61" s="5"/>
      <c r="F61" s="5"/>
      <c r="G61" s="5"/>
      <c r="H61" s="5"/>
      <c r="I61" s="5"/>
      <c r="J61" s="4"/>
      <c r="K61" s="4"/>
      <c r="L61" s="4"/>
      <c r="M61" s="4"/>
      <c r="N61" s="4"/>
      <c r="O61" s="4"/>
      <c r="P61" s="4"/>
      <c r="Q61" s="4"/>
      <c r="R61" s="4"/>
    </row>
    <row r="62" spans="1:67" x14ac:dyDescent="0.25">
      <c r="B62" s="5"/>
      <c r="C62" s="5"/>
      <c r="D62" s="5"/>
      <c r="E62" s="5"/>
      <c r="F62" s="5"/>
      <c r="G62" s="5"/>
      <c r="H62" s="5"/>
      <c r="I62" s="5"/>
      <c r="J62" s="4"/>
      <c r="K62" s="4"/>
      <c r="L62" s="4"/>
      <c r="M62" s="4"/>
      <c r="N62" s="4"/>
      <c r="O62" s="4"/>
      <c r="P62" s="4"/>
      <c r="Q62" s="4"/>
      <c r="R62" s="4"/>
    </row>
    <row r="63" spans="1:67" x14ac:dyDescent="0.25">
      <c r="B63" s="5"/>
      <c r="C63" s="5"/>
      <c r="D63" s="5"/>
      <c r="E63" s="5"/>
      <c r="F63" s="5"/>
      <c r="G63" s="5"/>
      <c r="H63" s="5"/>
      <c r="I63" s="5"/>
      <c r="J63" s="4"/>
      <c r="K63" s="4"/>
      <c r="L63" s="4"/>
      <c r="M63" s="4"/>
      <c r="N63" s="4"/>
      <c r="O63" s="4"/>
      <c r="P63" s="4"/>
      <c r="Q63" s="4"/>
      <c r="R63" s="4"/>
    </row>
    <row r="64" spans="1:67" x14ac:dyDescent="0.25">
      <c r="B64" s="59"/>
      <c r="C64" s="59"/>
      <c r="D64" s="5"/>
      <c r="E64" s="5"/>
      <c r="F64" s="5"/>
      <c r="G64" s="5"/>
      <c r="H64" s="5"/>
      <c r="I64" s="5"/>
      <c r="J64" s="4"/>
      <c r="K64" s="4"/>
      <c r="L64" s="4"/>
      <c r="M64" s="4"/>
      <c r="N64" s="4"/>
      <c r="O64" s="4"/>
      <c r="P64" s="4"/>
      <c r="Q64" s="4"/>
      <c r="R64" s="4"/>
    </row>
    <row r="65" spans="1:37" x14ac:dyDescent="0.25">
      <c r="B65" s="59"/>
      <c r="C65" s="59"/>
      <c r="D65" s="5"/>
      <c r="E65" s="5"/>
      <c r="F65" s="5"/>
      <c r="G65" s="5"/>
      <c r="H65" s="5"/>
      <c r="I65" s="5"/>
      <c r="J65" s="4"/>
      <c r="K65" s="4"/>
      <c r="L65" s="4"/>
      <c r="M65" s="4"/>
      <c r="N65" s="4"/>
      <c r="O65" s="4"/>
      <c r="P65" s="4"/>
      <c r="Q65" s="4"/>
      <c r="R65" s="4"/>
    </row>
    <row r="66" spans="1:37" x14ac:dyDescent="0.25">
      <c r="B66" s="59"/>
      <c r="C66" s="59"/>
      <c r="D66" s="5"/>
      <c r="E66" s="5"/>
      <c r="F66" s="5"/>
      <c r="G66" s="5"/>
      <c r="H66" s="5"/>
      <c r="I66" s="5"/>
      <c r="J66" s="4"/>
      <c r="K66" s="4"/>
      <c r="L66" s="4"/>
      <c r="M66" s="4"/>
      <c r="N66" s="4"/>
      <c r="O66" s="4"/>
      <c r="P66" s="4"/>
      <c r="Q66" s="4"/>
      <c r="R66" s="4"/>
    </row>
    <row r="67" spans="1:37" x14ac:dyDescent="0.25">
      <c r="B67" s="59"/>
      <c r="C67" s="59"/>
      <c r="D67" s="5"/>
      <c r="E67" s="5"/>
      <c r="F67" s="5"/>
      <c r="G67" s="5"/>
      <c r="H67" s="5"/>
      <c r="I67" s="5"/>
      <c r="J67" s="4"/>
      <c r="K67" s="4"/>
      <c r="L67" s="4"/>
      <c r="M67" s="4"/>
      <c r="N67" s="4"/>
      <c r="O67" s="4"/>
      <c r="P67" s="4"/>
      <c r="Q67" s="4"/>
      <c r="R67" s="4"/>
    </row>
    <row r="68" spans="1:37" ht="15" x14ac:dyDescent="0.25">
      <c r="A68" s="13"/>
      <c r="B68" s="34"/>
      <c r="C68" s="9"/>
      <c r="D68" s="9"/>
      <c r="E68" s="9"/>
      <c r="F68" s="9"/>
      <c r="G68" s="9"/>
      <c r="H68" s="9"/>
      <c r="I68" s="9"/>
      <c r="J68" s="35"/>
      <c r="K68" s="10"/>
      <c r="L68" s="10"/>
      <c r="M68" s="10"/>
      <c r="N68" s="10"/>
      <c r="O68" s="10"/>
      <c r="P68" s="10"/>
      <c r="Q68" s="10"/>
      <c r="R68" s="10"/>
    </row>
    <row r="69" spans="1:37" ht="15" x14ac:dyDescent="0.25">
      <c r="A69" s="13"/>
      <c r="B69" s="34"/>
      <c r="C69" s="9"/>
      <c r="D69" s="9"/>
      <c r="E69" s="9"/>
      <c r="F69" s="9"/>
      <c r="G69" s="9"/>
      <c r="H69" s="9"/>
      <c r="I69" s="9"/>
      <c r="J69" s="35"/>
      <c r="K69" s="10"/>
      <c r="L69" s="10"/>
      <c r="M69" s="10"/>
      <c r="N69" s="10"/>
      <c r="O69" s="10"/>
      <c r="P69" s="10"/>
      <c r="Q69" s="10"/>
      <c r="R69" s="10"/>
      <c r="S69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</row>
    <row r="70" spans="1:37" ht="15" x14ac:dyDescent="0.25">
      <c r="C70" s="9"/>
      <c r="D70" s="9"/>
      <c r="E70" s="9"/>
      <c r="F70" s="9"/>
      <c r="G70" s="9"/>
      <c r="H70" s="9"/>
      <c r="I70" s="9"/>
    </row>
    <row r="71" spans="1:37" ht="15" x14ac:dyDescent="0.25">
      <c r="C71" s="9"/>
      <c r="D71" s="9"/>
      <c r="E71" s="9"/>
      <c r="F71" s="9"/>
      <c r="G71" s="9"/>
      <c r="H71" s="9"/>
      <c r="I71" s="9"/>
    </row>
    <row r="72" spans="1:37" ht="15" x14ac:dyDescent="0.25">
      <c r="C72" s="9"/>
      <c r="D72" s="9"/>
      <c r="E72" s="9"/>
      <c r="F72" s="9"/>
      <c r="G72" s="9"/>
      <c r="H72" s="9"/>
      <c r="I72" s="9"/>
    </row>
    <row r="73" spans="1:37" ht="15" x14ac:dyDescent="0.25">
      <c r="C73" s="9"/>
      <c r="D73" s="9"/>
      <c r="E73" s="9"/>
      <c r="F73" s="9"/>
      <c r="G73" s="9"/>
      <c r="H73" s="9"/>
      <c r="I73" s="9"/>
    </row>
    <row r="74" spans="1:37" ht="19.899999999999999" customHeight="1" x14ac:dyDescent="0.25">
      <c r="C74" s="9"/>
      <c r="D74" s="9"/>
      <c r="E74" s="9"/>
      <c r="F74" s="9"/>
      <c r="G74" s="9"/>
      <c r="H74" s="9"/>
      <c r="I74" s="9"/>
    </row>
  </sheetData>
  <mergeCells count="6">
    <mergeCell ref="A1:S1"/>
    <mergeCell ref="A2:S2"/>
    <mergeCell ref="A3:R3"/>
    <mergeCell ref="A4:A5"/>
    <mergeCell ref="K4:S4"/>
    <mergeCell ref="B4:J4"/>
  </mergeCells>
  <pageMargins left="0.7" right="0.7" top="0.75" bottom="0.75" header="0.3" footer="0.3"/>
  <pageSetup paperSize="9" scale="60" orientation="landscape" horizontalDpi="4294967295" verticalDpi="4294967295" r:id="rId1"/>
  <rowBreaks count="1" manualBreakCount="1">
    <brk id="55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11.3</vt:lpstr>
      <vt:lpstr>'11.3'!Print_Area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2019-05-13T05:07:13Z</cp:lastPrinted>
  <dcterms:created xsi:type="dcterms:W3CDTF">2019-03-24T03:32:16Z</dcterms:created>
  <dcterms:modified xsi:type="dcterms:W3CDTF">2019-05-13T05:07:37Z</dcterms:modified>
</cp:coreProperties>
</file>