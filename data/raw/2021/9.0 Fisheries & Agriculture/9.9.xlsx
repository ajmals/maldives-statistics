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9" sheetId="9" r:id="rId1"/>
  </sheets>
  <externalReferences>
    <externalReference r:id="rId2"/>
  </externalReferences>
  <definedNames>
    <definedName name="_xlnm.Print_Area" localSheetId="0">'9.9'!$A$1:$J$57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9" l="1"/>
  <c r="B14" i="9" l="1"/>
  <c r="B13" i="9"/>
  <c r="B12" i="9"/>
  <c r="B11" i="9"/>
  <c r="B10" i="9"/>
  <c r="B9" i="9"/>
  <c r="B8" i="9"/>
  <c r="B7" i="9"/>
  <c r="H6" i="9"/>
  <c r="H20" i="9" s="1"/>
  <c r="G6" i="9"/>
  <c r="G20" i="9" s="1"/>
  <c r="F6" i="9"/>
  <c r="F21" i="9" s="1"/>
  <c r="D6" i="9"/>
  <c r="D23" i="9" s="1"/>
  <c r="C6" i="9"/>
  <c r="H27" i="9" l="1"/>
  <c r="C31" i="9"/>
  <c r="H15" i="9"/>
  <c r="F17" i="9"/>
  <c r="D18" i="9"/>
  <c r="F23" i="9"/>
  <c r="H22" i="9"/>
  <c r="F28" i="9"/>
  <c r="G28" i="9"/>
  <c r="G22" i="9"/>
  <c r="G15" i="9"/>
  <c r="G16" i="9"/>
  <c r="G23" i="9"/>
  <c r="G18" i="9"/>
  <c r="G21" i="9"/>
  <c r="F15" i="9"/>
  <c r="F16" i="9"/>
  <c r="F22" i="9"/>
  <c r="F30" i="9"/>
  <c r="G29" i="9"/>
  <c r="H28" i="9"/>
  <c r="C27" i="9"/>
  <c r="C26" i="9"/>
  <c r="D26" i="9"/>
  <c r="C25" i="9"/>
  <c r="D25" i="9"/>
  <c r="D17" i="9"/>
  <c r="B6" i="9"/>
  <c r="C19" i="9"/>
  <c r="C18" i="9"/>
  <c r="H21" i="9"/>
  <c r="F29" i="9"/>
  <c r="D31" i="9"/>
  <c r="H16" i="9"/>
  <c r="G17" i="9"/>
  <c r="F18" i="9"/>
  <c r="D19" i="9"/>
  <c r="C20" i="9"/>
  <c r="H23" i="9"/>
  <c r="F25" i="9"/>
  <c r="D27" i="9"/>
  <c r="H29" i="9"/>
  <c r="G30" i="9"/>
  <c r="F31" i="9"/>
  <c r="H17" i="9"/>
  <c r="D20" i="9"/>
  <c r="C21" i="9"/>
  <c r="G25" i="9"/>
  <c r="F26" i="9"/>
  <c r="H30" i="9"/>
  <c r="G31" i="9"/>
  <c r="C15" i="9"/>
  <c r="H18" i="9"/>
  <c r="F19" i="9"/>
  <c r="D21" i="9"/>
  <c r="C22" i="9"/>
  <c r="H25" i="9"/>
  <c r="G26" i="9"/>
  <c r="F27" i="9"/>
  <c r="C28" i="9"/>
  <c r="H31" i="9"/>
  <c r="D15" i="9"/>
  <c r="C16" i="9"/>
  <c r="G19" i="9"/>
  <c r="F20" i="9"/>
  <c r="D22" i="9"/>
  <c r="C23" i="9"/>
  <c r="H26" i="9"/>
  <c r="G27" i="9"/>
  <c r="D28" i="9"/>
  <c r="C29" i="9"/>
  <c r="D16" i="9"/>
  <c r="C17" i="9"/>
  <c r="H19" i="9"/>
  <c r="D29" i="9"/>
  <c r="C30" i="9"/>
  <c r="D30" i="9"/>
  <c r="B31" i="9" l="1"/>
  <c r="B27" i="9"/>
  <c r="B29" i="9"/>
  <c r="B30" i="9"/>
  <c r="B28" i="9"/>
  <c r="B18" i="9"/>
  <c r="B16" i="9"/>
  <c r="B21" i="9"/>
  <c r="B17" i="9"/>
  <c r="B26" i="9"/>
  <c r="F24" i="9"/>
  <c r="H24" i="9"/>
  <c r="B15" i="9"/>
  <c r="B19" i="9"/>
  <c r="B25" i="9"/>
  <c r="B20" i="9"/>
  <c r="B22" i="9"/>
  <c r="G24" i="9"/>
  <c r="B23" i="9"/>
  <c r="C24" i="9"/>
  <c r="D24" i="9"/>
  <c r="B24" i="9" l="1"/>
</calcChain>
</file>

<file path=xl/sharedStrings.xml><?xml version="1.0" encoding="utf-8"?>
<sst xmlns="http://schemas.openxmlformats.org/spreadsheetml/2006/main" count="67" uniqueCount="32">
  <si>
    <t>Bigeye tuna</t>
  </si>
  <si>
    <t>ilencnwk uDobOl</t>
  </si>
  <si>
    <t>Type of fish</t>
  </si>
  <si>
    <t>ilencnwk</t>
  </si>
  <si>
    <t>cswm iSov</t>
  </si>
  <si>
    <t>iTcawl</t>
  </si>
  <si>
    <t>iDnogWr</t>
  </si>
  <si>
    <t>cswmurwf cnehinehea</t>
  </si>
  <si>
    <t>Total</t>
  </si>
  <si>
    <t>Yellowfin tuna</t>
  </si>
  <si>
    <t>Dogtooth tuna</t>
  </si>
  <si>
    <t>Frigate tuna</t>
  </si>
  <si>
    <t>Other marine fish</t>
  </si>
  <si>
    <t>ctwvWbeguhwm</t>
  </si>
  <si>
    <t xml:space="preserve">        wlcmuj</t>
  </si>
  <si>
    <t xml:space="preserve">       cswmwlibuLwk</t>
  </si>
  <si>
    <t>Skipjack</t>
  </si>
  <si>
    <t>Little tuna</t>
  </si>
  <si>
    <r>
      <t xml:space="preserve">Fishing methods  </t>
    </r>
    <r>
      <rPr>
        <b/>
        <sz val="10"/>
        <rFont val="Faruma"/>
      </rPr>
      <t xml:space="preserve">   މަސްބޭނިގޮތް</t>
    </r>
  </si>
  <si>
    <t>Pole and Line</t>
  </si>
  <si>
    <t>Trolling</t>
  </si>
  <si>
    <t>Hand  Line</t>
  </si>
  <si>
    <t>Other tuna</t>
  </si>
  <si>
    <t>cswmuDnwk cnehinehea</t>
  </si>
  <si>
    <t>Percentage share ( % )</t>
  </si>
  <si>
    <t xml:space="preserve"> (%) cniawtcaws ctogWviawfiheb</t>
  </si>
  <si>
    <t>މަޢުލޫމާތުދެއްވި ފަރާތް: މިނިސްޓްރީ އޮފް ފިޝަރީޒް، މެރިންރިސޯސަސް އެންޑް އެގްރިކަލްޗަރ</t>
  </si>
  <si>
    <t>Source:  Ministry of Fisheries, Marine Resources and Agriculture</t>
  </si>
  <si>
    <t>ތާވަލު 9.9: މަހުގެ ބާވަތުންނާއި މަސްބާނާފައިވާގޮތުން ބޭނުނު އަދަދު، 2020</t>
  </si>
  <si>
    <t>Table 9.9 :  FISH CATCH BY TYPE AND FISHING METHODS, 2020 (In metric tons)</t>
  </si>
  <si>
    <t xml:space="preserve">Grouper </t>
  </si>
  <si>
    <t xml:space="preserve">Reef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</si>
</sst>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70" formatCode="[$-409]mmmm\ d\,\ yyyy;@"/>
  </numFmts>
  <fonts count="2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</font>
    <font>
      <sz val="10"/>
      <name val="A_Waheed"/>
    </font>
    <font>
      <sz val="10"/>
      <name val="Arial"/>
      <family val="2"/>
    </font>
    <font>
      <b/>
      <sz val="10"/>
      <name val="Calibri"/>
      <family val="2"/>
    </font>
    <font>
      <b/>
      <sz val="10"/>
      <name val="A_Waheed"/>
    </font>
    <font>
      <sz val="9"/>
      <name val="Faruma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9"/>
      <name val="Calibri"/>
      <family val="2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2"/>
      <name val="Faruma"/>
    </font>
    <font>
      <sz val="11"/>
      <name val="Courier"/>
      <family val="3"/>
    </font>
    <font>
      <b/>
      <sz val="11"/>
      <name val="Arial"/>
      <family val="2"/>
    </font>
    <font>
      <b/>
      <sz val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theme="1" tint="0.499984740745262"/>
      </bottom>
      <diagonal/>
    </border>
  </borders>
  <cellStyleXfs count="7">
    <xf numFmtId="0" fontId="0" fillId="0" borderId="0"/>
    <xf numFmtId="164" fontId="1" fillId="0" borderId="0"/>
    <xf numFmtId="40" fontId="18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8" fillId="0" borderId="0"/>
  </cellStyleXfs>
  <cellXfs count="57">
    <xf numFmtId="0" fontId="0" fillId="0" borderId="0" xfId="0"/>
    <xf numFmtId="164" fontId="2" fillId="2" borderId="0" xfId="1" applyFont="1" applyFill="1" applyAlignment="1">
      <alignment vertical="center"/>
    </xf>
    <xf numFmtId="164" fontId="8" fillId="2" borderId="0" xfId="1" applyFont="1" applyFill="1" applyAlignment="1">
      <alignment vertical="center"/>
    </xf>
    <xf numFmtId="164" fontId="11" fillId="2" borderId="0" xfId="1" applyFont="1" applyFill="1" applyBorder="1" applyAlignment="1">
      <alignment horizontal="right" vertical="center"/>
    </xf>
    <xf numFmtId="164" fontId="13" fillId="2" borderId="0" xfId="1" applyFont="1" applyFill="1" applyAlignment="1">
      <alignment vertical="center"/>
    </xf>
    <xf numFmtId="164" fontId="12" fillId="2" borderId="0" xfId="1" applyFont="1" applyFill="1" applyAlignment="1" applyProtection="1">
      <alignment horizontal="left" vertical="center"/>
    </xf>
    <xf numFmtId="164" fontId="13" fillId="2" borderId="0" xfId="1" applyFont="1" applyFill="1" applyBorder="1" applyAlignment="1">
      <alignment vertical="center"/>
    </xf>
    <xf numFmtId="164" fontId="1" fillId="2" borderId="0" xfId="1" applyFont="1" applyFill="1" applyBorder="1" applyAlignment="1">
      <alignment vertical="center"/>
    </xf>
    <xf numFmtId="164" fontId="14" fillId="2" borderId="0" xfId="1" applyFont="1" applyFill="1" applyAlignment="1">
      <alignment vertical="center"/>
    </xf>
    <xf numFmtId="164" fontId="4" fillId="2" borderId="0" xfId="1" applyFont="1" applyFill="1" applyAlignment="1">
      <alignment vertical="center"/>
    </xf>
    <xf numFmtId="164" fontId="2" fillId="2" borderId="0" xfId="1" applyFont="1" applyFill="1" applyAlignment="1">
      <alignment horizontal="left" vertical="center"/>
    </xf>
    <xf numFmtId="164" fontId="5" fillId="2" borderId="0" xfId="1" applyFont="1" applyFill="1" applyAlignment="1">
      <alignment vertical="center"/>
    </xf>
    <xf numFmtId="164" fontId="5" fillId="2" borderId="1" xfId="1" applyFont="1" applyFill="1" applyBorder="1" applyAlignment="1" applyProtection="1">
      <alignment horizontal="right" vertical="center" wrapText="1"/>
    </xf>
    <xf numFmtId="164" fontId="6" fillId="2" borderId="0" xfId="1" applyFont="1" applyFill="1" applyAlignment="1">
      <alignment horizontal="right" vertical="center"/>
    </xf>
    <xf numFmtId="164" fontId="4" fillId="2" borderId="0" xfId="1" applyFont="1" applyFill="1" applyBorder="1" applyAlignment="1">
      <alignment vertical="center"/>
    </xf>
    <xf numFmtId="164" fontId="15" fillId="2" borderId="0" xfId="1" applyFont="1" applyFill="1" applyBorder="1" applyAlignment="1" applyProtection="1">
      <alignment horizontal="left" vertical="center"/>
    </xf>
    <xf numFmtId="164" fontId="10" fillId="2" borderId="0" xfId="0" applyNumberFormat="1" applyFont="1" applyFill="1" applyAlignment="1">
      <alignment horizontal="right"/>
    </xf>
    <xf numFmtId="164" fontId="7" fillId="2" borderId="0" xfId="0" applyNumberFormat="1" applyFont="1" applyFill="1" applyAlignment="1">
      <alignment horizontal="right" vertical="center"/>
    </xf>
    <xf numFmtId="164" fontId="7" fillId="2" borderId="1" xfId="0" applyNumberFormat="1" applyFont="1" applyFill="1" applyBorder="1" applyAlignment="1">
      <alignment horizontal="right" vertical="center"/>
    </xf>
    <xf numFmtId="164" fontId="8" fillId="2" borderId="0" xfId="1" applyFont="1" applyFill="1" applyAlignment="1">
      <alignment horizontal="center" vertical="center"/>
    </xf>
    <xf numFmtId="164" fontId="21" fillId="2" borderId="0" xfId="1" applyFont="1" applyFill="1" applyAlignment="1">
      <alignment horizontal="center" vertical="center"/>
    </xf>
    <xf numFmtId="164" fontId="22" fillId="2" borderId="0" xfId="1" applyFont="1" applyFill="1" applyAlignment="1">
      <alignment horizontal="center" vertical="center"/>
    </xf>
    <xf numFmtId="164" fontId="14" fillId="2" borderId="0" xfId="1" applyFont="1" applyFill="1" applyBorder="1" applyAlignment="1">
      <alignment vertical="center"/>
    </xf>
    <xf numFmtId="164" fontId="5" fillId="2" borderId="4" xfId="1" applyFont="1" applyFill="1" applyBorder="1" applyAlignment="1">
      <alignment horizontal="right" vertical="center" wrapText="1"/>
    </xf>
    <xf numFmtId="164" fontId="13" fillId="2" borderId="0" xfId="1" applyFont="1" applyFill="1" applyAlignment="1">
      <alignment horizontal="right" vertical="center" wrapText="1"/>
    </xf>
    <xf numFmtId="164" fontId="4" fillId="2" borderId="0" xfId="1" applyFont="1" applyFill="1" applyAlignment="1">
      <alignment horizontal="right" vertical="center" wrapText="1"/>
    </xf>
    <xf numFmtId="164" fontId="5" fillId="2" borderId="0" xfId="1" applyFont="1" applyFill="1" applyAlignment="1" applyProtection="1">
      <alignment horizontal="left" vertical="center"/>
    </xf>
    <xf numFmtId="3" fontId="17" fillId="2" borderId="0" xfId="1" applyNumberFormat="1" applyFont="1" applyFill="1" applyAlignment="1" applyProtection="1">
      <alignment horizontal="right" vertical="center"/>
    </xf>
    <xf numFmtId="164" fontId="15" fillId="2" borderId="0" xfId="1" applyFont="1" applyFill="1" applyBorder="1" applyAlignment="1" applyProtection="1">
      <alignment horizontal="left" vertical="center" wrapText="1"/>
    </xf>
    <xf numFmtId="3" fontId="19" fillId="2" borderId="0" xfId="1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>
      <alignment horizontal="right" vertical="center"/>
    </xf>
    <xf numFmtId="164" fontId="15" fillId="2" borderId="3" xfId="1" applyFont="1" applyFill="1" applyBorder="1" applyAlignment="1" applyProtection="1">
      <alignment horizontal="left" vertical="center" wrapText="1"/>
    </xf>
    <xf numFmtId="3" fontId="17" fillId="2" borderId="3" xfId="1" applyNumberFormat="1" applyFont="1" applyFill="1" applyBorder="1" applyAlignment="1" applyProtection="1">
      <alignment horizontal="right" vertical="center"/>
    </xf>
    <xf numFmtId="3" fontId="19" fillId="2" borderId="3" xfId="1" applyNumberFormat="1" applyFont="1" applyFill="1" applyBorder="1" applyAlignment="1">
      <alignment horizontal="right" vertical="center"/>
    </xf>
    <xf numFmtId="164" fontId="7" fillId="2" borderId="3" xfId="0" applyNumberFormat="1" applyFont="1" applyFill="1" applyBorder="1" applyAlignment="1">
      <alignment horizontal="right" vertical="center"/>
    </xf>
    <xf numFmtId="164" fontId="15" fillId="2" borderId="6" xfId="1" applyFont="1" applyFill="1" applyBorder="1" applyAlignment="1" applyProtection="1">
      <alignment horizontal="left" vertical="center" wrapText="1"/>
    </xf>
    <xf numFmtId="3" fontId="17" fillId="2" borderId="6" xfId="1" applyNumberFormat="1" applyFont="1" applyFill="1" applyBorder="1" applyAlignment="1" applyProtection="1">
      <alignment horizontal="right" vertical="center"/>
    </xf>
    <xf numFmtId="3" fontId="17" fillId="2" borderId="0" xfId="1" applyNumberFormat="1" applyFont="1" applyFill="1" applyBorder="1" applyAlignment="1" applyProtection="1">
      <alignment horizontal="right" vertical="center"/>
    </xf>
    <xf numFmtId="3" fontId="19" fillId="2" borderId="0" xfId="1" applyNumberFormat="1" applyFont="1" applyFill="1" applyBorder="1" applyAlignment="1" applyProtection="1">
      <alignment horizontal="right" vertical="center"/>
    </xf>
    <xf numFmtId="3" fontId="19" fillId="2" borderId="3" xfId="1" applyNumberFormat="1" applyFont="1" applyFill="1" applyBorder="1" applyAlignment="1" applyProtection="1">
      <alignment horizontal="right" vertical="center"/>
    </xf>
    <xf numFmtId="3" fontId="19" fillId="2" borderId="6" xfId="1" applyNumberFormat="1" applyFont="1" applyFill="1" applyBorder="1" applyAlignment="1" applyProtection="1">
      <alignment horizontal="right" vertical="center"/>
    </xf>
    <xf numFmtId="164" fontId="7" fillId="2" borderId="6" xfId="0" applyNumberFormat="1" applyFont="1" applyFill="1" applyBorder="1" applyAlignment="1">
      <alignment horizontal="right" vertical="center"/>
    </xf>
    <xf numFmtId="1" fontId="17" fillId="2" borderId="0" xfId="1" applyNumberFormat="1" applyFont="1" applyFill="1" applyAlignment="1">
      <alignment vertical="center"/>
    </xf>
    <xf numFmtId="164" fontId="15" fillId="2" borderId="1" xfId="1" applyFont="1" applyFill="1" applyBorder="1" applyAlignment="1" applyProtection="1">
      <alignment horizontal="left" vertical="center" wrapText="1"/>
    </xf>
    <xf numFmtId="3" fontId="19" fillId="2" borderId="1" xfId="1" applyNumberFormat="1" applyFont="1" applyFill="1" applyBorder="1" applyAlignment="1" applyProtection="1">
      <alignment horizontal="right" vertical="center"/>
    </xf>
    <xf numFmtId="164" fontId="5" fillId="2" borderId="0" xfId="1" applyFont="1" applyFill="1" applyAlignment="1">
      <alignment horizontal="left" vertical="center"/>
    </xf>
    <xf numFmtId="164" fontId="15" fillId="2" borderId="0" xfId="1" applyFont="1" applyFill="1" applyAlignment="1">
      <alignment horizontal="left" vertical="center"/>
    </xf>
    <xf numFmtId="164" fontId="9" fillId="2" borderId="0" xfId="1" applyFont="1" applyFill="1" applyBorder="1" applyAlignment="1" applyProtection="1">
      <alignment horizontal="center" vertical="center"/>
    </xf>
    <xf numFmtId="164" fontId="5" fillId="2" borderId="2" xfId="1" applyFont="1" applyFill="1" applyBorder="1" applyAlignment="1" applyProtection="1">
      <alignment horizontal="left" vertical="center"/>
    </xf>
    <xf numFmtId="164" fontId="5" fillId="2" borderId="1" xfId="1" applyFont="1" applyFill="1" applyBorder="1" applyAlignment="1" applyProtection="1">
      <alignment horizontal="left" vertical="center"/>
    </xf>
    <xf numFmtId="164" fontId="20" fillId="2" borderId="0" xfId="1" applyFont="1" applyFill="1" applyAlignment="1">
      <alignment horizontal="center" vertical="center"/>
    </xf>
    <xf numFmtId="164" fontId="3" fillId="2" borderId="0" xfId="1" applyFont="1" applyFill="1" applyBorder="1" applyAlignment="1" applyProtection="1">
      <alignment horizontal="center" vertical="center"/>
    </xf>
    <xf numFmtId="164" fontId="9" fillId="2" borderId="1" xfId="1" applyFont="1" applyFill="1" applyBorder="1" applyAlignment="1">
      <alignment horizontal="center" vertical="center"/>
    </xf>
    <xf numFmtId="164" fontId="9" fillId="2" borderId="0" xfId="1" applyFont="1" applyFill="1" applyBorder="1" applyAlignment="1">
      <alignment horizontal="center" vertical="center"/>
    </xf>
    <xf numFmtId="164" fontId="9" fillId="2" borderId="5" xfId="1" applyFont="1" applyFill="1" applyBorder="1" applyAlignment="1" applyProtection="1">
      <alignment horizontal="center" vertical="center"/>
    </xf>
    <xf numFmtId="164" fontId="23" fillId="2" borderId="2" xfId="1" applyFont="1" applyFill="1" applyBorder="1" applyAlignment="1">
      <alignment horizontal="right" vertical="center"/>
    </xf>
    <xf numFmtId="164" fontId="23" fillId="2" borderId="1" xfId="1" applyFont="1" applyFill="1" applyBorder="1" applyAlignment="1">
      <alignment horizontal="right" vertical="center"/>
    </xf>
  </cellXfs>
  <cellStyles count="7">
    <cellStyle name="1" xfId="6"/>
    <cellStyle name="Comma 2" xfId="2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Fish &amp;  Agri - 8" xfId="1"/>
  </cellStyles>
  <dxfs count="0"/>
  <tableStyles count="0" defaultTableStyle="TableStyleMedium2" defaultPivotStyle="PivotStyleLight16"/>
  <colors>
    <mruColors>
      <color rgb="FF33CCCC"/>
      <color rgb="FF249390"/>
      <color rgb="FFEAFAFA"/>
      <color rgb="FFFF9900"/>
      <color rgb="FF196563"/>
      <color rgb="FF00FFCC"/>
      <color rgb="FFC89058"/>
      <color rgb="FF7E542A"/>
      <color rgb="FFD3A77B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56066257268082"/>
          <c:y val="0.25845048242209162"/>
          <c:w val="0.40462545052681814"/>
          <c:h val="0.71464833093046465"/>
        </c:manualLayout>
      </c:layout>
      <c:pie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1C21-4E73-B27E-27370CF4E0CB}"/>
              </c:ext>
            </c:extLst>
          </c:dPt>
          <c:dLbls>
            <c:dLbl>
              <c:idx val="0"/>
              <c:layout>
                <c:manualLayout>
                  <c:x val="1.828119583477535E-2"/>
                  <c:y val="7.442830209604081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21-4E73-B27E-27370CF4E0CB}"/>
                </c:ext>
              </c:extLst>
            </c:dLbl>
            <c:dLbl>
              <c:idx val="4"/>
              <c:layout>
                <c:manualLayout>
                  <c:x val="-0.17770075391293791"/>
                  <c:y val="0.1125391297918746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21-4E73-B27E-27370CF4E0CB}"/>
                </c:ext>
              </c:extLst>
            </c:dLbl>
            <c:dLbl>
              <c:idx val="5"/>
              <c:layout>
                <c:manualLayout>
                  <c:x val="-8.9605043388715166E-2"/>
                  <c:y val="1.15958744593545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Hand line (Reef)
1%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21-4E73-B27E-27370CF4E0CB}"/>
                </c:ext>
              </c:extLst>
            </c:dLbl>
            <c:dLbl>
              <c:idx val="6"/>
              <c:layout>
                <c:manualLayout>
                  <c:x val="0.11981999857673285"/>
                  <c:y val="5.120106465565044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21-4E73-B27E-27370CF4E0CB}"/>
                </c:ext>
              </c:extLst>
            </c:dLbl>
            <c:dLbl>
              <c:idx val="7"/>
              <c:layout>
                <c:manualLayout>
                  <c:x val="0.18697760866016142"/>
                  <c:y val="0.155963772134117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21-4E73-B27E-27370CF4E0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'9.9'!$Z$6:$Z$6</c:f>
              <c:numCache>
                <c:formatCode>General_)</c:formatCode>
                <c:ptCount val="1"/>
              </c:numCache>
            </c:numRef>
          </c:cat>
          <c:val>
            <c:numRef>
              <c:f>'9.9'!$Z$7:$Z$7</c:f>
              <c:numCache>
                <c:formatCode>General_)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A-1C21-4E73-B27E-27370CF4E0C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56066257268082"/>
          <c:y val="0.25845048242209162"/>
          <c:w val="0.40462545052681814"/>
          <c:h val="0.71464833093046465"/>
        </c:manualLayout>
      </c:layout>
      <c:pieChart>
        <c:varyColors val="1"/>
        <c:ser>
          <c:idx val="0"/>
          <c:order val="0"/>
          <c:explosion val="7"/>
          <c:dLbls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Hand line (Reef)
1%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469-424A-8E49-99D2613D1B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'9.9'!#REF!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'9.9'!#REF!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469-424A-8E49-99D2613D1BE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56066257268082"/>
          <c:y val="0.25845048242209162"/>
          <c:w val="0.40462545052681814"/>
          <c:h val="0.71464833093046465"/>
        </c:manualLayout>
      </c:layout>
      <c:pie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80D8-4C8E-8B04-8C5640AF69C5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80D8-4C8E-8B04-8C5640AF69C5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80D8-4C8E-8B04-8C5640AF69C5}"/>
              </c:ext>
            </c:extLst>
          </c:dPt>
          <c:dLbls>
            <c:dLbl>
              <c:idx val="0"/>
              <c:layout>
                <c:manualLayout>
                  <c:x val="-0.15866483675905557"/>
                  <c:y val="-0.202361761117888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D8-4C8E-8B04-8C5640AF69C5}"/>
                </c:ext>
              </c:extLst>
            </c:dLbl>
            <c:dLbl>
              <c:idx val="1"/>
              <c:layout>
                <c:manualLayout>
                  <c:x val="0.10231184798246662"/>
                  <c:y val="0.162336031939669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D8-4C8E-8B04-8C5640AF69C5}"/>
                </c:ext>
              </c:extLst>
            </c:dLbl>
            <c:dLbl>
              <c:idx val="2"/>
              <c:layout>
                <c:manualLayout>
                  <c:x val="1.828119583477535E-2"/>
                  <c:y val="7.442830209604081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D8-4C8E-8B04-8C5640AF69C5}"/>
                </c:ext>
              </c:extLst>
            </c:dLbl>
            <c:dLbl>
              <c:idx val="4"/>
              <c:layout>
                <c:manualLayout>
                  <c:x val="-0.17770075391293791"/>
                  <c:y val="0.1125391297918746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D8-4C8E-8B04-8C5640AF69C5}"/>
                </c:ext>
              </c:extLst>
            </c:dLbl>
            <c:dLbl>
              <c:idx val="5"/>
              <c:layout>
                <c:manualLayout>
                  <c:x val="-8.9605043388715166E-2"/>
                  <c:y val="1.15958744593545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Hand line (Reef)
1%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D8-4C8E-8B04-8C5640AF69C5}"/>
                </c:ext>
              </c:extLst>
            </c:dLbl>
            <c:dLbl>
              <c:idx val="6"/>
              <c:layout>
                <c:manualLayout>
                  <c:x val="0.11981999857673285"/>
                  <c:y val="5.120106465565044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D8-4C8E-8B04-8C5640AF69C5}"/>
                </c:ext>
              </c:extLst>
            </c:dLbl>
            <c:dLbl>
              <c:idx val="7"/>
              <c:layout>
                <c:manualLayout>
                  <c:x val="0.18697760866016142"/>
                  <c:y val="0.155963772134117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D8-4C8E-8B04-8C5640AF69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'[1]9.9'!$AG$6:$AI$6</c:f>
              <c:numCache>
                <c:formatCode>General</c:formatCode>
                <c:ptCount val="3"/>
              </c:numCache>
            </c:numRef>
          </c:cat>
          <c:val>
            <c:numRef>
              <c:f>'[1]9.9'!$AG$7:$AI$7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A-80D8-4C8E-8B04-8C5640AF69C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56066257268082"/>
          <c:y val="0.25845048242209162"/>
          <c:w val="0.40462545052681814"/>
          <c:h val="0.71464833093046465"/>
        </c:manualLayout>
      </c:layout>
      <c:pieChart>
        <c:varyColors val="1"/>
        <c:ser>
          <c:idx val="0"/>
          <c:order val="0"/>
          <c:explosion val="7"/>
          <c:dPt>
            <c:idx val="0"/>
            <c:bubble3D val="0"/>
            <c:spPr>
              <a:solidFill>
                <a:srgbClr val="249390"/>
              </a:solidFill>
            </c:spPr>
            <c:extLst>
              <c:ext xmlns:c16="http://schemas.microsoft.com/office/drawing/2014/chart" uri="{C3380CC4-5D6E-409C-BE32-E72D297353CC}">
                <c16:uniqueId val="{00000001-8D68-4D69-871F-4E9F454EF224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4-7008-4719-9C6B-6054B8E4E2A2}"/>
              </c:ext>
            </c:extLst>
          </c:dPt>
          <c:dLbls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Hand line (Reef)
1%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D68-4D69-871F-4E9F454EF2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'9.9'!$C$5:$H$5</c15:sqref>
                  </c15:fullRef>
                </c:ext>
              </c:extLst>
              <c:f>('9.9'!$C$5,'9.9'!$F$5:$H$5)</c:f>
              <c:strCache>
                <c:ptCount val="4"/>
                <c:pt idx="0">
                  <c:v>Pole and Line</c:v>
                </c:pt>
                <c:pt idx="1">
                  <c:v>Hand  Line</c:v>
                </c:pt>
                <c:pt idx="2">
                  <c:v>Grouper </c:v>
                </c:pt>
                <c:pt idx="3">
                  <c:v>Reef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'9.9'!$C$6:$H$6</c15:sqref>
                  </c15:fullRef>
                </c:ext>
              </c:extLst>
              <c:f>('9.9'!$C$6,'9.9'!$F$6:$H$6)</c:f>
              <c:numCache>
                <c:formatCode>#,##0</c:formatCode>
                <c:ptCount val="4"/>
                <c:pt idx="0">
                  <c:v>119122.93375811607</c:v>
                </c:pt>
                <c:pt idx="1">
                  <c:v>27791.935573204948</c:v>
                </c:pt>
                <c:pt idx="2">
                  <c:v>1565.3861643301243</c:v>
                </c:pt>
                <c:pt idx="3">
                  <c:v>76.447803124688093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68-4D69-871F-4E9F454EF22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466724</xdr:colOff>
      <xdr:row>34</xdr:row>
      <xdr:rowOff>9524</xdr:rowOff>
    </xdr:from>
    <xdr:to>
      <xdr:col>8</xdr:col>
      <xdr:colOff>457200</xdr:colOff>
      <xdr:row>54</xdr:row>
      <xdr:rowOff>152399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466724</xdr:colOff>
      <xdr:row>34</xdr:row>
      <xdr:rowOff>9524</xdr:rowOff>
    </xdr:from>
    <xdr:to>
      <xdr:col>8</xdr:col>
      <xdr:colOff>457200</xdr:colOff>
      <xdr:row>54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466724</xdr:colOff>
      <xdr:row>34</xdr:row>
      <xdr:rowOff>9524</xdr:rowOff>
    </xdr:from>
    <xdr:to>
      <xdr:col>8</xdr:col>
      <xdr:colOff>457200</xdr:colOff>
      <xdr:row>54</xdr:row>
      <xdr:rowOff>152399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466724</xdr:colOff>
      <xdr:row>34</xdr:row>
      <xdr:rowOff>9524</xdr:rowOff>
    </xdr:from>
    <xdr:to>
      <xdr:col>8</xdr:col>
      <xdr:colOff>457200</xdr:colOff>
      <xdr:row>54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0.1066</cdr:x>
      <cdr:y>0.0338</cdr:y>
    </cdr:from>
    <cdr:to>
      <cdr:x>0.89071</cdr:x>
      <cdr:y>0.11267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43250" y="114303"/>
          <a:ext cx="5467051" cy="2666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9.6: Percentage share of fish catch by fishing method, 2017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0.1066</cdr:x>
      <cdr:y>0.0338</cdr:y>
    </cdr:from>
    <cdr:to>
      <cdr:x>0.97523</cdr:x>
      <cdr:y>0.11267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55926" y="114290"/>
          <a:ext cx="5344825" cy="2666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9.6: Percentage share of fish catch by fishing method, 2020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0.1066</cdr:x>
      <cdr:y>0.0338</cdr:y>
    </cdr:from>
    <cdr:to>
      <cdr:x>0.89071</cdr:x>
      <cdr:y>0.11267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43250" y="114303"/>
          <a:ext cx="5467051" cy="2666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9.6: Percentage share of fish catch by fishing method, 2017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0.1066</cdr:x>
      <cdr:y>0.0338</cdr:y>
    </cdr:from>
    <cdr:to>
      <cdr:x>0.97523</cdr:x>
      <cdr:y>0.11267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55926" y="114290"/>
          <a:ext cx="5344825" cy="2666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9.6: Percentage share of fish catch by fishing method, 2020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44"/>
  <sheetViews>
    <sheetView tabSelected="1" zoomScaleNormal="100" workbookViewId="0">
      <selection activeCell="N1" sqref="N1"/>
    </sheetView>
  </sheetViews>
  <sheetFormatPr defaultRowHeight="12.75" x14ac:dyDescent="0.25"/>
  <cols>
    <col min="1" max="1" width="16.85546875" style="2" customWidth="1"/>
    <col min="2" max="2" width="12.28515625" style="8" customWidth="1"/>
    <col min="3" max="3" width="12.28515625" style="2" customWidth="1"/>
    <col min="4" max="5" width="10.7109375" style="2" customWidth="1"/>
    <col min="6" max="6" width="11" style="2" customWidth="1"/>
    <col min="7" max="7" width="11.85546875" style="2" customWidth="1"/>
    <col min="8" max="8" width="11.28515625" style="2" customWidth="1"/>
    <col min="9" max="9" width="21.5703125" style="2" customWidth="1"/>
    <col min="10" max="16384" width="9.140625" style="2"/>
  </cols>
  <sheetData>
    <row r="1" spans="1:25" s="19" customFormat="1" ht="21.75" x14ac:dyDescent="0.25">
      <c r="A1" s="50" t="s">
        <v>28</v>
      </c>
      <c r="B1" s="50"/>
      <c r="C1" s="50"/>
      <c r="D1" s="50"/>
      <c r="E1" s="50"/>
      <c r="F1" s="50"/>
      <c r="G1" s="50"/>
      <c r="H1" s="50"/>
      <c r="I1" s="50"/>
    </row>
    <row r="2" spans="1:25" s="21" customFormat="1" ht="15" x14ac:dyDescent="0.25">
      <c r="A2" s="51" t="s">
        <v>29</v>
      </c>
      <c r="B2" s="51"/>
      <c r="C2" s="51"/>
      <c r="D2" s="51"/>
      <c r="E2" s="51"/>
      <c r="F2" s="51"/>
      <c r="G2" s="51"/>
      <c r="H2" s="51"/>
      <c r="I2" s="51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s="22" customFormat="1" x14ac:dyDescent="0.25">
      <c r="A3" s="52"/>
      <c r="B3" s="53"/>
      <c r="C3" s="53"/>
      <c r="D3" s="53"/>
      <c r="E3" s="53"/>
      <c r="F3" s="53"/>
      <c r="G3" s="53"/>
      <c r="H3" s="4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s="9" customFormat="1" ht="18.75" x14ac:dyDescent="0.25">
      <c r="A4" s="48" t="s">
        <v>2</v>
      </c>
      <c r="B4" s="54" t="s">
        <v>18</v>
      </c>
      <c r="C4" s="54"/>
      <c r="D4" s="54"/>
      <c r="E4" s="54"/>
      <c r="F4" s="54"/>
      <c r="G4" s="54"/>
      <c r="H4" s="54"/>
      <c r="I4" s="55" t="s">
        <v>13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s="25" customFormat="1" ht="12" customHeight="1" x14ac:dyDescent="0.25">
      <c r="A5" s="49"/>
      <c r="B5" s="12" t="s">
        <v>8</v>
      </c>
      <c r="C5" s="12" t="s">
        <v>19</v>
      </c>
      <c r="D5" s="12" t="s">
        <v>20</v>
      </c>
      <c r="E5" s="12"/>
      <c r="F5" s="12" t="s">
        <v>21</v>
      </c>
      <c r="G5" s="12" t="s">
        <v>30</v>
      </c>
      <c r="H5" s="23" t="s">
        <v>31</v>
      </c>
      <c r="I5" s="56"/>
      <c r="J5" s="24"/>
      <c r="K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 s="9" customFormat="1" ht="15" x14ac:dyDescent="0.35">
      <c r="A6" s="26" t="s">
        <v>8</v>
      </c>
      <c r="B6" s="27">
        <f>SUM(B7:B14)</f>
        <v>148582.96918261526</v>
      </c>
      <c r="C6" s="27">
        <f>SUM(C7:C13)</f>
        <v>119122.93375811607</v>
      </c>
      <c r="D6" s="27">
        <f>SUM(D7:D13)</f>
        <v>26.265883839432163</v>
      </c>
      <c r="E6" s="27"/>
      <c r="F6" s="27">
        <f>SUM(F7:F13)</f>
        <v>27791.935573204948</v>
      </c>
      <c r="G6" s="27">
        <f>SUM(G7:G13)</f>
        <v>1565.3861643301243</v>
      </c>
      <c r="H6" s="27">
        <f>SUM(H7:H13)</f>
        <v>76.447803124688093</v>
      </c>
      <c r="I6" s="16" t="s">
        <v>14</v>
      </c>
      <c r="J6" s="4"/>
      <c r="K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s="9" customFormat="1" ht="15" x14ac:dyDescent="0.25">
      <c r="A7" s="28" t="s">
        <v>16</v>
      </c>
      <c r="B7" s="27">
        <f>SUM(C7:H7)</f>
        <v>103870.66972179373</v>
      </c>
      <c r="C7" s="29">
        <v>103195.10505172289</v>
      </c>
      <c r="D7" s="29">
        <v>1.2190666159217458</v>
      </c>
      <c r="E7" s="29"/>
      <c r="F7" s="29">
        <v>674.34560345492616</v>
      </c>
      <c r="G7" s="29">
        <v>0</v>
      </c>
      <c r="H7" s="29">
        <v>0</v>
      </c>
      <c r="I7" s="30" t="s">
        <v>15</v>
      </c>
      <c r="J7" s="4"/>
      <c r="K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s="9" customFormat="1" ht="15" x14ac:dyDescent="0.25">
      <c r="A8" s="15" t="s">
        <v>9</v>
      </c>
      <c r="B8" s="27">
        <f>SUM(C8:H8)</f>
        <v>42704.576500856834</v>
      </c>
      <c r="C8" s="29">
        <v>15651.269456672046</v>
      </c>
      <c r="D8" s="29">
        <v>0.70702472717575526</v>
      </c>
      <c r="E8" s="29"/>
      <c r="F8" s="29">
        <v>27052.600019457612</v>
      </c>
      <c r="G8" s="29">
        <v>0</v>
      </c>
      <c r="H8" s="29">
        <v>0</v>
      </c>
      <c r="I8" s="30" t="s">
        <v>3</v>
      </c>
      <c r="J8" s="4"/>
      <c r="K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s="9" customFormat="1" ht="15" x14ac:dyDescent="0.25">
      <c r="A9" s="15" t="s">
        <v>0</v>
      </c>
      <c r="B9" s="27">
        <f>SUM(C9:H9)</f>
        <v>212.68961995324844</v>
      </c>
      <c r="C9" s="29">
        <v>162.17824749116389</v>
      </c>
      <c r="D9" s="29">
        <v>0</v>
      </c>
      <c r="E9" s="29"/>
      <c r="F9" s="29">
        <v>50.511372462084537</v>
      </c>
      <c r="G9" s="29">
        <v>0</v>
      </c>
      <c r="H9" s="29">
        <v>0</v>
      </c>
      <c r="I9" s="30" t="s">
        <v>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s="9" customFormat="1" ht="15" x14ac:dyDescent="0.25">
      <c r="A10" s="28" t="s">
        <v>10</v>
      </c>
      <c r="B10" s="27">
        <f>SUM(C10:H10)</f>
        <v>3.2111469335556504</v>
      </c>
      <c r="C10" s="29">
        <v>3.0519052971615331E-2</v>
      </c>
      <c r="D10" s="29">
        <v>2.0346035314410222E-2</v>
      </c>
      <c r="E10" s="29"/>
      <c r="F10" s="29">
        <v>0.1812831746513951</v>
      </c>
      <c r="G10" s="29">
        <v>0</v>
      </c>
      <c r="H10" s="29">
        <v>2.9789986706182296</v>
      </c>
      <c r="I10" s="30" t="s">
        <v>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s="9" customFormat="1" ht="15" x14ac:dyDescent="0.25">
      <c r="A11" s="28" t="s">
        <v>17</v>
      </c>
      <c r="B11" s="27">
        <f>SUM(C11:H11)</f>
        <v>7.0504098873260013</v>
      </c>
      <c r="C11" s="29">
        <v>3.4027048560408226</v>
      </c>
      <c r="D11" s="29">
        <v>3.0790333442474136</v>
      </c>
      <c r="E11" s="29"/>
      <c r="F11" s="29">
        <v>0.56867168703776572</v>
      </c>
      <c r="G11" s="29">
        <v>0</v>
      </c>
      <c r="H11" s="29">
        <v>0</v>
      </c>
      <c r="I11" s="30" t="s">
        <v>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s="9" customFormat="1" ht="15" x14ac:dyDescent="0.25">
      <c r="A12" s="28" t="s">
        <v>11</v>
      </c>
      <c r="B12" s="27">
        <f>SUM(C12:H12)</f>
        <v>88.16276202322517</v>
      </c>
      <c r="C12" s="29">
        <v>86.167155059470105</v>
      </c>
      <c r="D12" s="29">
        <v>0.91218058326272511</v>
      </c>
      <c r="E12" s="29"/>
      <c r="F12" s="29">
        <v>1.0834263804923443</v>
      </c>
      <c r="G12" s="29">
        <v>0</v>
      </c>
      <c r="H12" s="29">
        <v>0</v>
      </c>
      <c r="I12" s="30" t="s">
        <v>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s="9" customFormat="1" ht="15" x14ac:dyDescent="0.25">
      <c r="A13" s="31" t="s">
        <v>12</v>
      </c>
      <c r="B13" s="32">
        <f>SUM(C13:H13)</f>
        <v>1696.6090211673259</v>
      </c>
      <c r="C13" s="33">
        <v>24.780623261480216</v>
      </c>
      <c r="D13" s="33">
        <v>20.328232533510114</v>
      </c>
      <c r="E13" s="33"/>
      <c r="F13" s="33">
        <v>12.645196588141383</v>
      </c>
      <c r="G13" s="33">
        <v>1565.3861643301243</v>
      </c>
      <c r="H13" s="33">
        <v>73.468804454069868</v>
      </c>
      <c r="I13" s="34" t="s">
        <v>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s="9" customFormat="1" ht="15" hidden="1" x14ac:dyDescent="0.25">
      <c r="A14" s="35" t="s">
        <v>22</v>
      </c>
      <c r="B14" s="36">
        <f>SUM(C14:H14)</f>
        <v>0</v>
      </c>
      <c r="C14" s="33"/>
      <c r="D14" s="33"/>
      <c r="E14" s="33"/>
      <c r="F14" s="33"/>
      <c r="G14" s="33"/>
      <c r="H14" s="33"/>
      <c r="I14" s="34" t="s">
        <v>23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s="1" customFormat="1" ht="14.25" x14ac:dyDescent="0.25">
      <c r="A15" s="11" t="s">
        <v>24</v>
      </c>
      <c r="B15" s="37">
        <f>B6/B6*100</f>
        <v>100</v>
      </c>
      <c r="C15" s="37">
        <f>C6/C6*100</f>
        <v>100</v>
      </c>
      <c r="D15" s="37">
        <f>D6/D6*100</f>
        <v>100</v>
      </c>
      <c r="E15" s="37"/>
      <c r="F15" s="37">
        <f>F6/F6*100</f>
        <v>100</v>
      </c>
      <c r="G15" s="37">
        <f>G6/G6*100</f>
        <v>100</v>
      </c>
      <c r="H15" s="37">
        <f>H6/H6*100</f>
        <v>100</v>
      </c>
      <c r="I15" s="13" t="s">
        <v>25</v>
      </c>
    </row>
    <row r="16" spans="1:25" s="1" customFormat="1" ht="15" x14ac:dyDescent="0.25">
      <c r="A16" s="28" t="s">
        <v>16</v>
      </c>
      <c r="B16" s="37">
        <f>B7/B6*100</f>
        <v>69.9075205544802</v>
      </c>
      <c r="C16" s="38">
        <f>C7/C6*100</f>
        <v>86.629082911326478</v>
      </c>
      <c r="D16" s="38">
        <f>D7/D6*100</f>
        <v>4.6412548817093242</v>
      </c>
      <c r="E16" s="38"/>
      <c r="F16" s="38">
        <f>F7/F6*100</f>
        <v>2.4264074795318802</v>
      </c>
      <c r="G16" s="38">
        <f>G7/G6*100</f>
        <v>0</v>
      </c>
      <c r="H16" s="38">
        <f>H7/H6*100</f>
        <v>0</v>
      </c>
      <c r="I16" s="17" t="s">
        <v>15</v>
      </c>
    </row>
    <row r="17" spans="1:25" s="9" customFormat="1" ht="15" x14ac:dyDescent="0.25">
      <c r="A17" s="15" t="s">
        <v>9</v>
      </c>
      <c r="B17" s="37">
        <f>B8/B6*100</f>
        <v>28.741232414309181</v>
      </c>
      <c r="C17" s="38">
        <f>C8/C6*100</f>
        <v>13.138754195269051</v>
      </c>
      <c r="D17" s="38">
        <f>D8/D6*100</f>
        <v>2.6917987283348936</v>
      </c>
      <c r="E17" s="38"/>
      <c r="F17" s="38">
        <f>F8/F6*100</f>
        <v>97.339747885497573</v>
      </c>
      <c r="G17" s="38">
        <f>G8/G6*100</f>
        <v>0</v>
      </c>
      <c r="H17" s="38">
        <f>H8/H6*100</f>
        <v>0</v>
      </c>
      <c r="I17" s="17" t="s">
        <v>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s="9" customFormat="1" ht="15" x14ac:dyDescent="0.25">
      <c r="A18" s="15" t="s">
        <v>0</v>
      </c>
      <c r="B18" s="37">
        <f>B9/B6*100</f>
        <v>0.14314535583943216</v>
      </c>
      <c r="C18" s="38">
        <f>C9/C6*100</f>
        <v>0.13614359752125765</v>
      </c>
      <c r="D18" s="38">
        <f>D9/D6*100</f>
        <v>0</v>
      </c>
      <c r="E18" s="38"/>
      <c r="F18" s="38">
        <f>F9/F6*100</f>
        <v>0.18174830727077568</v>
      </c>
      <c r="G18" s="38">
        <f>G9/G6*100</f>
        <v>0</v>
      </c>
      <c r="H18" s="38">
        <f>H9/H6*100</f>
        <v>0</v>
      </c>
      <c r="I18" s="17" t="s">
        <v>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s="9" customFormat="1" ht="15" x14ac:dyDescent="0.25">
      <c r="A19" s="28" t="s">
        <v>10</v>
      </c>
      <c r="B19" s="37">
        <f>B10/B6*100</f>
        <v>2.1611810231151082E-3</v>
      </c>
      <c r="C19" s="38">
        <f>C10/C6*100</f>
        <v>2.5619796296811746E-5</v>
      </c>
      <c r="D19" s="38">
        <f>D10/D6*100</f>
        <v>7.7461833908917782E-2</v>
      </c>
      <c r="E19" s="38"/>
      <c r="F19" s="38">
        <f>F10/F6*100</f>
        <v>6.5228697070734336E-4</v>
      </c>
      <c r="G19" s="38">
        <f>G10/G6*100</f>
        <v>0</v>
      </c>
      <c r="H19" s="38">
        <f>H10/H6*100</f>
        <v>3.8967747258340646</v>
      </c>
      <c r="I19" s="17" t="s">
        <v>4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s="9" customFormat="1" ht="15" x14ac:dyDescent="0.25">
      <c r="A20" s="28" t="s">
        <v>17</v>
      </c>
      <c r="B20" s="37">
        <f>B11/B6*100</f>
        <v>4.7450996073855048E-3</v>
      </c>
      <c r="C20" s="38">
        <f>C11/C6*100</f>
        <v>2.8564649548928609E-3</v>
      </c>
      <c r="D20" s="38">
        <f>D11/D6*100</f>
        <v>11.722557531549558</v>
      </c>
      <c r="E20" s="38"/>
      <c r="F20" s="38">
        <f>F11/F6*100</f>
        <v>2.0461751774714081E-3</v>
      </c>
      <c r="G20" s="38">
        <f>G11/G6*100</f>
        <v>0</v>
      </c>
      <c r="H20" s="38">
        <f>H11/H6*100</f>
        <v>0</v>
      </c>
      <c r="I20" s="17" t="s">
        <v>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s="9" customFormat="1" ht="15" x14ac:dyDescent="0.25">
      <c r="A21" s="28" t="s">
        <v>11</v>
      </c>
      <c r="B21" s="37">
        <f>B12/B6*100</f>
        <v>5.9335711561174356E-2</v>
      </c>
      <c r="C21" s="38">
        <f>C12/C6*100</f>
        <v>7.233464820001495E-2</v>
      </c>
      <c r="D21" s="38">
        <f>D12/D6*100</f>
        <v>3.4728722202498146</v>
      </c>
      <c r="E21" s="38"/>
      <c r="F21" s="38">
        <f>F12/F6*100</f>
        <v>3.8983480572576915E-3</v>
      </c>
      <c r="G21" s="38">
        <f>G12/G6*100</f>
        <v>0</v>
      </c>
      <c r="H21" s="38">
        <f>H12/H6*100</f>
        <v>0</v>
      </c>
      <c r="I21" s="17" t="s">
        <v>6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s="14" customFormat="1" ht="15" x14ac:dyDescent="0.25">
      <c r="A22" s="31" t="s">
        <v>12</v>
      </c>
      <c r="B22" s="32">
        <f>B13/B6*100</f>
        <v>1.1418596831795143</v>
      </c>
      <c r="C22" s="39">
        <f>C13/C6*100</f>
        <v>2.0802562932002895E-2</v>
      </c>
      <c r="D22" s="39">
        <f>D13/D6*100</f>
        <v>77.394054804247489</v>
      </c>
      <c r="E22" s="39"/>
      <c r="F22" s="39">
        <f>F13/F6*100</f>
        <v>4.5499517494323072E-2</v>
      </c>
      <c r="G22" s="39">
        <f>G13/G6*100</f>
        <v>100</v>
      </c>
      <c r="H22" s="39">
        <f>H13/H6*100</f>
        <v>96.103225274165936</v>
      </c>
      <c r="I22" s="34" t="s">
        <v>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s="9" customFormat="1" ht="15" hidden="1" x14ac:dyDescent="0.25">
      <c r="A23" s="35" t="s">
        <v>22</v>
      </c>
      <c r="B23" s="36">
        <f>B14/B6*100</f>
        <v>0</v>
      </c>
      <c r="C23" s="40">
        <f>C14/C6*100</f>
        <v>0</v>
      </c>
      <c r="D23" s="40">
        <f>D14/D6*100</f>
        <v>0</v>
      </c>
      <c r="E23" s="40"/>
      <c r="F23" s="40">
        <f>F14/F6*100</f>
        <v>0</v>
      </c>
      <c r="G23" s="40">
        <f>G14/G6*100</f>
        <v>0</v>
      </c>
      <c r="H23" s="40">
        <f>H14/H6*100</f>
        <v>0</v>
      </c>
      <c r="I23" s="41" t="s">
        <v>23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x14ac:dyDescent="0.25">
      <c r="A24" s="11" t="s">
        <v>24</v>
      </c>
      <c r="B24" s="42">
        <f>SUM(C24:H24)</f>
        <v>100</v>
      </c>
      <c r="C24" s="37">
        <f>(C6/$B$6)*100</f>
        <v>80.172670134023591</v>
      </c>
      <c r="D24" s="37">
        <f>(D6/$B$6)*100</f>
        <v>1.7677587131234532E-2</v>
      </c>
      <c r="E24" s="37"/>
      <c r="F24" s="37">
        <f>(F6/$B$6)*100</f>
        <v>18.70465755671324</v>
      </c>
      <c r="G24" s="37">
        <f>(G6/$B$6)*100</f>
        <v>1.053543466617761</v>
      </c>
      <c r="H24" s="37">
        <f>(H6/$B$6)*100</f>
        <v>5.1451255514170166E-2</v>
      </c>
      <c r="I24" s="13" t="s">
        <v>25</v>
      </c>
    </row>
    <row r="25" spans="1:25" ht="15" x14ac:dyDescent="0.25">
      <c r="A25" s="28" t="s">
        <v>16</v>
      </c>
      <c r="B25" s="42">
        <f>SUM(C25:H25)</f>
        <v>100</v>
      </c>
      <c r="C25" s="38">
        <f>(C7/$B$7)*100</f>
        <v>99.349609786978093</v>
      </c>
      <c r="D25" s="38">
        <f>(D7/$B$7)*100</f>
        <v>1.1736389292443025E-3</v>
      </c>
      <c r="E25" s="38"/>
      <c r="F25" s="38">
        <f>(F7/$B$7)*100</f>
        <v>0.64921657409265521</v>
      </c>
      <c r="G25" s="38">
        <f>(G7/$B$7)*100</f>
        <v>0</v>
      </c>
      <c r="H25" s="38">
        <f>(H7/$B$7)*100</f>
        <v>0</v>
      </c>
      <c r="I25" s="17" t="s">
        <v>15</v>
      </c>
    </row>
    <row r="26" spans="1:25" ht="15" x14ac:dyDescent="0.25">
      <c r="A26" s="15" t="s">
        <v>9</v>
      </c>
      <c r="B26" s="42">
        <f>SUM(C26:H26)</f>
        <v>100</v>
      </c>
      <c r="C26" s="38">
        <f>(C8/$B$8)*100</f>
        <v>36.650098746109833</v>
      </c>
      <c r="D26" s="38">
        <f>(D8/$B$8)*100</f>
        <v>1.6556181681407598E-3</v>
      </c>
      <c r="E26" s="38"/>
      <c r="F26" s="38">
        <f>(F8/$B$8)*100</f>
        <v>63.348245635722023</v>
      </c>
      <c r="G26" s="38">
        <f>(G8/$B$8)*100</f>
        <v>0</v>
      </c>
      <c r="H26" s="38">
        <f>(H8/$B$8)*100</f>
        <v>0</v>
      </c>
      <c r="I26" s="17" t="s">
        <v>3</v>
      </c>
    </row>
    <row r="27" spans="1:25" ht="15" x14ac:dyDescent="0.25">
      <c r="A27" s="15" t="s">
        <v>0</v>
      </c>
      <c r="B27" s="42">
        <f>SUM(C27:H27)</f>
        <v>100</v>
      </c>
      <c r="C27" s="38">
        <f>(C9/$B$9)*100</f>
        <v>76.251134177028703</v>
      </c>
      <c r="D27" s="38">
        <f>(D9/$B$9)*100</f>
        <v>0</v>
      </c>
      <c r="E27" s="38"/>
      <c r="F27" s="38">
        <f>(F9/$B$9)*100</f>
        <v>23.74886582297129</v>
      </c>
      <c r="G27" s="38">
        <f>(G9/$B$9)*100</f>
        <v>0</v>
      </c>
      <c r="H27" s="38">
        <f>(H9/$B$9)*100</f>
        <v>0</v>
      </c>
      <c r="I27" s="17" t="s">
        <v>1</v>
      </c>
    </row>
    <row r="28" spans="1:25" ht="15" x14ac:dyDescent="0.25">
      <c r="A28" s="28" t="s">
        <v>10</v>
      </c>
      <c r="B28" s="42">
        <f>SUM(C28:H28)</f>
        <v>99.999999999999986</v>
      </c>
      <c r="C28" s="38">
        <f>(C10/$B$10)*100</f>
        <v>0.95040973219565772</v>
      </c>
      <c r="D28" s="38">
        <f>(D10/$B$10)*100</f>
        <v>0.63360648813043852</v>
      </c>
      <c r="E28" s="38"/>
      <c r="F28" s="38">
        <f>(F10/$B$10)*100</f>
        <v>5.6454338092422081</v>
      </c>
      <c r="G28" s="38">
        <f>(G10/$B$10)*100</f>
        <v>0</v>
      </c>
      <c r="H28" s="38">
        <f>(H10/$B$10)*100</f>
        <v>92.770549970431688</v>
      </c>
      <c r="I28" s="17" t="s">
        <v>4</v>
      </c>
    </row>
    <row r="29" spans="1:25" ht="15" x14ac:dyDescent="0.25">
      <c r="A29" s="28" t="s">
        <v>17</v>
      </c>
      <c r="B29" s="42">
        <f>SUM(C29:H29)</f>
        <v>100</v>
      </c>
      <c r="C29" s="38">
        <f>(C11/$B$11)*100</f>
        <v>48.262511122333649</v>
      </c>
      <c r="D29" s="38">
        <f>(D11/$B$11)*100</f>
        <v>43.6716927590602</v>
      </c>
      <c r="E29" s="38"/>
      <c r="F29" s="38">
        <f>(F11/$B$11)*100</f>
        <v>8.065796118606162</v>
      </c>
      <c r="G29" s="38">
        <f>(G11/$B$11)*100</f>
        <v>0</v>
      </c>
      <c r="H29" s="38">
        <f>(H11/$B$11)*100</f>
        <v>0</v>
      </c>
      <c r="I29" s="17" t="s">
        <v>5</v>
      </c>
    </row>
    <row r="30" spans="1:25" ht="15" x14ac:dyDescent="0.25">
      <c r="A30" s="28" t="s">
        <v>11</v>
      </c>
      <c r="B30" s="42">
        <f>SUM(C30:H30)</f>
        <v>99.999999999999986</v>
      </c>
      <c r="C30" s="38">
        <f>(C12/$B$12)*100</f>
        <v>97.736451401976993</v>
      </c>
      <c r="D30" s="38">
        <f>(D12/$B$12)*100</f>
        <v>1.0346551790453489</v>
      </c>
      <c r="E30" s="38"/>
      <c r="F30" s="38">
        <f>(F12/$B$12)*100</f>
        <v>1.2288934189776537</v>
      </c>
      <c r="G30" s="38">
        <f>(G12/$B$12)*100</f>
        <v>0</v>
      </c>
      <c r="H30" s="38">
        <f>(H12/$B$12)*100</f>
        <v>0</v>
      </c>
      <c r="I30" s="17" t="s">
        <v>6</v>
      </c>
    </row>
    <row r="31" spans="1:25" ht="15" x14ac:dyDescent="0.25">
      <c r="A31" s="31" t="s">
        <v>12</v>
      </c>
      <c r="B31" s="42">
        <f>SUM(C31:H31)</f>
        <v>100.00000000000001</v>
      </c>
      <c r="C31" s="39">
        <f>(C13/$B$13)*100</f>
        <v>1.4605971648335505</v>
      </c>
      <c r="D31" s="39">
        <f>(D13/$B$13)*100</f>
        <v>1.1981683628867885</v>
      </c>
      <c r="E31" s="39"/>
      <c r="F31" s="39">
        <f>(F13/$B$13)*100</f>
        <v>0.74532178188237197</v>
      </c>
      <c r="G31" s="39">
        <f>(G13/$B$13)*100</f>
        <v>92.265580625822935</v>
      </c>
      <c r="H31" s="39">
        <f>(H13/$B$13)*100</f>
        <v>4.3303320645743586</v>
      </c>
      <c r="I31" s="34" t="s">
        <v>7</v>
      </c>
    </row>
    <row r="32" spans="1:25" ht="15" hidden="1" x14ac:dyDescent="0.25">
      <c r="A32" s="43" t="s">
        <v>22</v>
      </c>
      <c r="B32" s="42">
        <f>SUM(C32:H32)</f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18" t="s">
        <v>23</v>
      </c>
    </row>
    <row r="33" spans="1:9" s="10" customFormat="1" ht="17.25" x14ac:dyDescent="0.25">
      <c r="A33" s="5" t="s">
        <v>27</v>
      </c>
      <c r="B33" s="45"/>
      <c r="C33" s="46"/>
      <c r="D33" s="46"/>
      <c r="E33" s="46"/>
      <c r="F33" s="46"/>
      <c r="G33" s="46"/>
      <c r="H33" s="46"/>
      <c r="I33" s="3" t="s">
        <v>26</v>
      </c>
    </row>
    <row r="44" spans="1:9" x14ac:dyDescent="0.25">
      <c r="B44" s="2"/>
    </row>
  </sheetData>
  <mergeCells count="6">
    <mergeCell ref="A1:I1"/>
    <mergeCell ref="A2:I2"/>
    <mergeCell ref="A3:G3"/>
    <mergeCell ref="A4:A5"/>
    <mergeCell ref="B4:H4"/>
    <mergeCell ref="I4:I5"/>
  </mergeCells>
  <pageMargins left="0.7" right="0.7" top="0.75" bottom="0.75" header="0.3" footer="0.3"/>
  <pageSetup paperSize="9" scale="6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9.9</vt:lpstr>
      <vt:lpstr>'9.9'!Print_Area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2021-07-14T08:29:40Z</cp:lastPrinted>
  <dcterms:created xsi:type="dcterms:W3CDTF">2019-09-09T05:11:24Z</dcterms:created>
  <dcterms:modified xsi:type="dcterms:W3CDTF">2021-07-14T08:36:57Z</dcterms:modified>
</cp:coreProperties>
</file>