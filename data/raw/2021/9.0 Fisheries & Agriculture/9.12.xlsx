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9. Fisheries and Agriculture\"/>
    </mc:Choice>
  </mc:AlternateContent>
  <bookViews>
    <workbookView xWindow="0" yWindow="0" windowWidth="28800" windowHeight="11730" tabRatio="831"/>
  </bookViews>
  <sheets>
    <sheet name="9.12" sheetId="12" r:id="rId1"/>
  </sheets>
  <externalReferences>
    <externalReference r:id="rId2"/>
  </externalReferences>
  <definedNames>
    <definedName name="_xlnm.Print_Area" localSheetId="0">'9.12'!$A$1:$I$46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0" i="12" l="1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H8" i="12" l="1"/>
  <c r="G8" i="12"/>
  <c r="F8" i="12"/>
  <c r="E8" i="12"/>
  <c r="D8" i="12"/>
  <c r="C8" i="12"/>
  <c r="B8" i="12" l="1"/>
</calcChain>
</file>

<file path=xl/sharedStrings.xml><?xml version="1.0" encoding="utf-8"?>
<sst xmlns="http://schemas.openxmlformats.org/spreadsheetml/2006/main" count="74" uniqueCount="67">
  <si>
    <t>Total</t>
  </si>
  <si>
    <t>ޖުމްލަ</t>
  </si>
  <si>
    <t>(ރުފިޔާއިން )</t>
  </si>
  <si>
    <t>(Value in MVR)</t>
  </si>
  <si>
    <t>Agricultural crops</t>
  </si>
  <si>
    <t>އިންޑިއާ</t>
  </si>
  <si>
    <t>ސްރީލަންކާ</t>
  </si>
  <si>
    <t>ޔޫ. އޭ. އީ</t>
  </si>
  <si>
    <t>އޮސްޓްރޭލިއާ</t>
  </si>
  <si>
    <t>ތައިލޭންޑް</t>
  </si>
  <si>
    <t>އެހެނިހެން ޤައުމުތައް</t>
  </si>
  <si>
    <t>ދަނޑުވެރިކަމުގެ ބާވަތްތައް</t>
  </si>
  <si>
    <t xml:space="preserve"> Total</t>
  </si>
  <si>
    <t>India</t>
  </si>
  <si>
    <t>Srilanka</t>
  </si>
  <si>
    <t>U.A.E</t>
  </si>
  <si>
    <t>Australia</t>
  </si>
  <si>
    <t>Thailand</t>
  </si>
  <si>
    <t>Other Countries</t>
  </si>
  <si>
    <t>Banana &amp; Plaintain (Fresh)</t>
  </si>
  <si>
    <t>ފަތްކެޔޮ</t>
  </si>
  <si>
    <t>Beans, Fresh Or Chilled</t>
  </si>
  <si>
    <t>ބީންސް</t>
  </si>
  <si>
    <t>Bitter Gourd (Fresh Or Chilled )</t>
  </si>
  <si>
    <t>ފާގަ</t>
  </si>
  <si>
    <t>Bottle Gourd (Fresh Or Chilled )</t>
  </si>
  <si>
    <t>ކަދޫ</t>
  </si>
  <si>
    <t>Bread Fruit (Fresh Or Chilled)</t>
  </si>
  <si>
    <t>ބަނބުކެޔޮ</t>
  </si>
  <si>
    <t>Cabbage (Fresh Or Chilled )</t>
  </si>
  <si>
    <t>ބޮނޑިކޮޕީ</t>
  </si>
  <si>
    <t>Cabbage Lettuce, Fresh or Chilled</t>
  </si>
  <si>
    <t>ކެބެޖް ލެޓިއުސް</t>
  </si>
  <si>
    <t>Cassava &amp; Manioc (Fresh , Chilled Or Frozen )</t>
  </si>
  <si>
    <t>ދަނޑިއަލުވި</t>
  </si>
  <si>
    <t>Chillies(Fresh Or Chilled )</t>
  </si>
  <si>
    <t>ގިތެޔޮމިރުސް</t>
  </si>
  <si>
    <t>Cucumber (Fresh Or Chilled )</t>
  </si>
  <si>
    <t>ކިއުކަމްބަރ</t>
  </si>
  <si>
    <t>Drumstick (Fresh Or Chilled )</t>
  </si>
  <si>
    <t>މުރަނގަތޮޅި</t>
  </si>
  <si>
    <t>Guava (Fresh Or Dried )</t>
  </si>
  <si>
    <t>ފޭރު</t>
  </si>
  <si>
    <t>Lettuce, Fresh Or Chilled, (Excl. Cabbage Lettuce)</t>
  </si>
  <si>
    <t>ލެޓިއުސް</t>
  </si>
  <si>
    <t>Mango (Fresh Or Dried )</t>
  </si>
  <si>
    <t>އަނބު</t>
  </si>
  <si>
    <t>Melons, Fresh, (Excl.Watermelons)</t>
  </si>
  <si>
    <t>މެލަން</t>
  </si>
  <si>
    <t>Papaws (Papayas), Fresh</t>
  </si>
  <si>
    <t>ފަޅޯ</t>
  </si>
  <si>
    <t>Passion Fruit (Fresh Or Dried )</t>
  </si>
  <si>
    <t>ފެޝަންފްރުޓް</t>
  </si>
  <si>
    <t>Pumpkin (Fresh Or Chilled)</t>
  </si>
  <si>
    <t>ބަރަބޯ</t>
  </si>
  <si>
    <t>Sapodilla (Fresh)</t>
  </si>
  <si>
    <t>ސަބްދެލި</t>
  </si>
  <si>
    <t>Snake Gourd (Fresh Or Chilled )</t>
  </si>
  <si>
    <t>ޗިޗަންޑާ</t>
  </si>
  <si>
    <t>Sweet Potato (Fresh , Chilled Or Frozen )</t>
  </si>
  <si>
    <t>ކައްޓަލަ</t>
  </si>
  <si>
    <t>Watermelons, Fresh</t>
  </si>
  <si>
    <t>ކަރާ</t>
  </si>
  <si>
    <t>Source: Maldives Customs Service</t>
  </si>
  <si>
    <t xml:space="preserve"> cswsivrWs cscmwTcswk cscviDclOM :ctWrwf ivcaedutWmUluAwm</t>
  </si>
  <si>
    <t>2019 ,cawtctwvWb egumwkirevuDnwd Wdcawh cSokumcaWa iawgEjcaWr cniaeret egukwtctwvWb unuveruk cTrOpcmia cSwaejcaWr  : 9.12 ulwvWt</t>
  </si>
  <si>
    <t>Table 9.12: IMPORTS OF FRESH AGRICULTURAL CROPS MAINLY PRODUCED IN MALDIVES,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</si>
</sst>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70" formatCode="[$-409]mmmm\ d\,\ yyyy;@"/>
  </numFmts>
  <fonts count="19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i/>
      <sz val="9"/>
      <name val="Calibri"/>
      <family val="2"/>
    </font>
    <font>
      <i/>
      <sz val="9"/>
      <name val="Arial"/>
      <family val="2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9"/>
      <name val="A_Randhoo"/>
    </font>
    <font>
      <b/>
      <sz val="11"/>
      <name val="A_Randhoo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b/>
      <sz val="11"/>
      <color indexed="8"/>
      <name val="Faruma"/>
    </font>
    <font>
      <b/>
      <sz val="9"/>
      <color indexed="8"/>
      <name val="Calibri"/>
      <family val="2"/>
    </font>
    <font>
      <b/>
      <sz val="11"/>
      <color indexed="8"/>
      <name val="Calibri"/>
      <family val="2"/>
    </font>
    <font>
      <b/>
      <sz val="10"/>
      <color indexed="8"/>
      <name val="Faruma"/>
    </font>
    <font>
      <sz val="11"/>
      <color indexed="8"/>
      <name val="Faruma"/>
    </font>
    <font>
      <sz val="9"/>
      <color indexed="8"/>
      <name val="Calibri"/>
      <family val="2"/>
    </font>
    <font>
      <b/>
      <sz val="1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64"/>
      </top>
      <bottom/>
      <diagonal/>
    </border>
    <border>
      <left/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/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</borders>
  <cellStyleXfs count="9">
    <xf numFmtId="0" fontId="0" fillId="0" borderId="0"/>
    <xf numFmtId="164" fontId="1" fillId="0" borderId="0"/>
    <xf numFmtId="40" fontId="6" fillId="0" borderId="0" applyFont="0" applyFill="0" applyBorder="0" applyAlignment="0" applyProtection="0"/>
    <xf numFmtId="0" fontId="2" fillId="0" borderId="0"/>
    <xf numFmtId="0" fontId="10" fillId="0" borderId="0"/>
    <xf numFmtId="170" fontId="1" fillId="0" borderId="0"/>
    <xf numFmtId="170" fontId="1" fillId="0" borderId="0"/>
    <xf numFmtId="170" fontId="1" fillId="0" borderId="0"/>
    <xf numFmtId="0" fontId="2" fillId="0" borderId="0"/>
  </cellStyleXfs>
  <cellXfs count="57">
    <xf numFmtId="0" fontId="0" fillId="0" borderId="0" xfId="0"/>
    <xf numFmtId="164" fontId="4" fillId="2" borderId="0" xfId="1" applyFont="1" applyFill="1" applyBorder="1" applyAlignment="1" applyProtection="1">
      <alignment horizontal="left" vertical="center"/>
    </xf>
    <xf numFmtId="38" fontId="5" fillId="2" borderId="0" xfId="2" applyNumberFormat="1" applyFont="1" applyFill="1" applyBorder="1"/>
    <xf numFmtId="38" fontId="7" fillId="2" borderId="0" xfId="2" applyNumberFormat="1" applyFont="1" applyFill="1" applyBorder="1"/>
    <xf numFmtId="38" fontId="7" fillId="2" borderId="1" xfId="2" applyNumberFormat="1" applyFont="1" applyFill="1" applyBorder="1"/>
    <xf numFmtId="164" fontId="10" fillId="2" borderId="4" xfId="4" applyNumberFormat="1" applyFill="1" applyBorder="1"/>
    <xf numFmtId="164" fontId="10" fillId="2" borderId="4" xfId="4" applyNumberFormat="1" applyFont="1" applyFill="1" applyBorder="1"/>
    <xf numFmtId="2" fontId="15" fillId="2" borderId="3" xfId="4" applyNumberFormat="1" applyFont="1" applyFill="1" applyBorder="1" applyAlignment="1">
      <alignment horizontal="right" vertical="center"/>
    </xf>
    <xf numFmtId="0" fontId="14" fillId="2" borderId="1" xfId="4" applyNumberFormat="1" applyFont="1" applyFill="1" applyBorder="1" applyAlignment="1">
      <alignment horizontal="right" vertical="center"/>
    </xf>
    <xf numFmtId="164" fontId="1" fillId="2" borderId="4" xfId="4" applyNumberFormat="1" applyFont="1" applyFill="1" applyBorder="1"/>
    <xf numFmtId="0" fontId="13" fillId="2" borderId="2" xfId="4" applyNumberFormat="1" applyFont="1" applyFill="1" applyBorder="1" applyAlignment="1">
      <alignment horizontal="left" vertical="center"/>
    </xf>
    <xf numFmtId="38" fontId="14" fillId="2" borderId="2" xfId="4" applyNumberFormat="1" applyFont="1" applyFill="1" applyBorder="1" applyAlignment="1">
      <alignment horizontal="right" vertical="center"/>
    </xf>
    <xf numFmtId="1" fontId="7" fillId="2" borderId="0" xfId="0" applyNumberFormat="1" applyFont="1" applyFill="1" applyBorder="1" applyAlignment="1">
      <alignment horizontal="left" vertical="center" indent="1"/>
    </xf>
    <xf numFmtId="0" fontId="16" fillId="2" borderId="10" xfId="4" applyNumberFormat="1" applyFont="1" applyFill="1" applyBorder="1" applyAlignment="1">
      <alignment horizontal="right" vertical="center" indent="1"/>
    </xf>
    <xf numFmtId="0" fontId="17" fillId="2" borderId="11" xfId="4" applyNumberFormat="1" applyFont="1" applyFill="1" applyBorder="1" applyAlignment="1">
      <alignment horizontal="left" vertical="center" indent="1"/>
    </xf>
    <xf numFmtId="0" fontId="16" fillId="2" borderId="12" xfId="4" applyNumberFormat="1" applyFont="1" applyFill="1" applyBorder="1" applyAlignment="1">
      <alignment horizontal="right" vertical="center" indent="1"/>
    </xf>
    <xf numFmtId="0" fontId="17" fillId="2" borderId="13" xfId="4" applyNumberFormat="1" applyFont="1" applyFill="1" applyBorder="1" applyAlignment="1">
      <alignment horizontal="left" vertical="center" indent="1"/>
    </xf>
    <xf numFmtId="0" fontId="17" fillId="2" borderId="14" xfId="4" applyNumberFormat="1" applyFont="1" applyFill="1" applyBorder="1" applyAlignment="1">
      <alignment horizontal="left" vertical="center" indent="1"/>
    </xf>
    <xf numFmtId="38" fontId="5" fillId="2" borderId="1" xfId="2" applyNumberFormat="1" applyFont="1" applyFill="1" applyBorder="1"/>
    <xf numFmtId="0" fontId="16" fillId="2" borderId="15" xfId="4" applyNumberFormat="1" applyFont="1" applyFill="1" applyBorder="1" applyAlignment="1">
      <alignment horizontal="right" vertical="center" indent="1"/>
    </xf>
    <xf numFmtId="164" fontId="3" fillId="2" borderId="11" xfId="1" applyFont="1" applyFill="1" applyBorder="1" applyAlignment="1" applyProtection="1">
      <alignment horizontal="left" vertical="center"/>
    </xf>
    <xf numFmtId="164" fontId="1" fillId="2" borderId="16" xfId="4" applyNumberFormat="1" applyFont="1" applyFill="1" applyBorder="1"/>
    <xf numFmtId="164" fontId="8" fillId="2" borderId="16" xfId="1" applyFont="1" applyFill="1" applyBorder="1" applyAlignment="1">
      <alignment horizontal="right" vertical="center" indent="1"/>
    </xf>
    <xf numFmtId="164" fontId="3" fillId="2" borderId="0" xfId="1" applyFont="1" applyFill="1" applyBorder="1" applyAlignment="1" applyProtection="1">
      <alignment horizontal="left" vertical="center"/>
    </xf>
    <xf numFmtId="1" fontId="7" fillId="2" borderId="0" xfId="0" applyNumberFormat="1" applyFont="1" applyFill="1" applyBorder="1"/>
    <xf numFmtId="164" fontId="1" fillId="2" borderId="12" xfId="4" applyNumberFormat="1" applyFont="1" applyFill="1" applyBorder="1"/>
    <xf numFmtId="164" fontId="4" fillId="2" borderId="16" xfId="1" applyFont="1" applyFill="1" applyBorder="1" applyAlignment="1" applyProtection="1">
      <alignment horizontal="left" vertical="center"/>
    </xf>
    <xf numFmtId="164" fontId="8" fillId="2" borderId="16" xfId="1" applyFont="1" applyFill="1" applyBorder="1" applyAlignment="1">
      <alignment horizontal="left" vertical="center" indent="1" readingOrder="2"/>
    </xf>
    <xf numFmtId="164" fontId="3" fillId="2" borderId="17" xfId="1" applyFont="1" applyFill="1" applyBorder="1" applyAlignment="1" applyProtection="1">
      <alignment horizontal="left" vertical="center"/>
    </xf>
    <xf numFmtId="164" fontId="1" fillId="2" borderId="18" xfId="4" applyNumberFormat="1" applyFont="1" applyFill="1" applyBorder="1"/>
    <xf numFmtId="164" fontId="4" fillId="2" borderId="19" xfId="1" applyFont="1" applyFill="1" applyBorder="1" applyAlignment="1" applyProtection="1">
      <alignment horizontal="left" vertical="center"/>
    </xf>
    <xf numFmtId="164" fontId="8" fillId="2" borderId="19" xfId="1" applyFont="1" applyFill="1" applyBorder="1" applyAlignment="1">
      <alignment horizontal="left" vertical="center" indent="1" readingOrder="2"/>
    </xf>
    <xf numFmtId="164" fontId="1" fillId="2" borderId="5" xfId="4" applyNumberFormat="1" applyFont="1" applyFill="1" applyBorder="1"/>
    <xf numFmtId="164" fontId="1" fillId="2" borderId="0" xfId="4" applyNumberFormat="1" applyFont="1" applyFill="1" applyBorder="1"/>
    <xf numFmtId="164" fontId="8" fillId="2" borderId="0" xfId="1" applyFont="1" applyFill="1" applyBorder="1" applyAlignment="1">
      <alignment horizontal="left" vertical="center" indent="1" readingOrder="2"/>
    </xf>
    <xf numFmtId="2" fontId="15" fillId="2" borderId="0" xfId="4" applyNumberFormat="1" applyFont="1" applyFill="1" applyBorder="1" applyAlignment="1">
      <alignment horizontal="right" vertical="center"/>
    </xf>
    <xf numFmtId="0" fontId="14" fillId="2" borderId="0" xfId="4" applyNumberFormat="1" applyFont="1" applyFill="1" applyBorder="1" applyAlignment="1">
      <alignment horizontal="right" vertical="center"/>
    </xf>
    <xf numFmtId="38" fontId="14" fillId="2" borderId="0" xfId="4" applyNumberFormat="1" applyFont="1" applyFill="1" applyBorder="1" applyAlignment="1">
      <alignment horizontal="right" vertical="center"/>
    </xf>
    <xf numFmtId="0" fontId="16" fillId="2" borderId="0" xfId="4" applyNumberFormat="1" applyFont="1" applyFill="1" applyBorder="1" applyAlignment="1">
      <alignment vertical="center"/>
    </xf>
    <xf numFmtId="0" fontId="17" fillId="2" borderId="0" xfId="4" applyNumberFormat="1" applyFont="1" applyFill="1" applyBorder="1" applyAlignment="1">
      <alignment horizontal="left" vertical="center"/>
    </xf>
    <xf numFmtId="0" fontId="13" fillId="2" borderId="0" xfId="4" applyNumberFormat="1" applyFont="1" applyFill="1" applyBorder="1" applyAlignment="1">
      <alignment horizontal="left" vertical="center"/>
    </xf>
    <xf numFmtId="0" fontId="12" fillId="2" borderId="0" xfId="4" applyNumberFormat="1" applyFont="1" applyFill="1" applyBorder="1" applyAlignment="1">
      <alignment horizontal="right" vertical="center"/>
    </xf>
    <xf numFmtId="0" fontId="12" fillId="2" borderId="7" xfId="4" applyNumberFormat="1" applyFont="1" applyFill="1" applyBorder="1" applyAlignment="1">
      <alignment horizontal="right" vertical="center"/>
    </xf>
    <xf numFmtId="0" fontId="18" fillId="2" borderId="4" xfId="3" applyFont="1" applyFill="1" applyBorder="1" applyAlignment="1">
      <alignment horizontal="center" vertical="center"/>
    </xf>
    <xf numFmtId="0" fontId="11" fillId="2" borderId="4" xfId="4" applyNumberFormat="1" applyFont="1" applyFill="1" applyBorder="1" applyAlignment="1">
      <alignment horizontal="center" vertical="center"/>
    </xf>
    <xf numFmtId="0" fontId="12" fillId="2" borderId="4" xfId="4" applyNumberFormat="1" applyFont="1" applyFill="1" applyBorder="1" applyAlignment="1">
      <alignment horizontal="center" vertical="center"/>
    </xf>
    <xf numFmtId="0" fontId="13" fillId="2" borderId="5" xfId="4" applyNumberFormat="1" applyFont="1" applyFill="1" applyBorder="1" applyAlignment="1">
      <alignment horizontal="center" vertical="center"/>
    </xf>
    <xf numFmtId="0" fontId="14" fillId="2" borderId="6" xfId="4" applyNumberFormat="1" applyFont="1" applyFill="1" applyBorder="1" applyAlignment="1">
      <alignment horizontal="left" vertical="center"/>
    </xf>
    <xf numFmtId="0" fontId="14" fillId="2" borderId="8" xfId="4" applyNumberFormat="1" applyFont="1" applyFill="1" applyBorder="1" applyAlignment="1">
      <alignment horizontal="left" vertical="center"/>
    </xf>
    <xf numFmtId="0" fontId="12" fillId="2" borderId="7" xfId="4" applyNumberFormat="1" applyFont="1" applyFill="1" applyBorder="1" applyAlignment="1">
      <alignment horizontal="right" vertical="center"/>
    </xf>
    <xf numFmtId="0" fontId="12" fillId="2" borderId="9" xfId="4" applyNumberFormat="1" applyFont="1" applyFill="1" applyBorder="1" applyAlignment="1">
      <alignment horizontal="right" vertical="center"/>
    </xf>
    <xf numFmtId="0" fontId="9" fillId="2" borderId="0" xfId="3" applyFont="1" applyFill="1" applyBorder="1" applyAlignment="1">
      <alignment horizontal="center" vertical="center"/>
    </xf>
    <xf numFmtId="0" fontId="11" fillId="2" borderId="0" xfId="4" applyNumberFormat="1" applyFont="1" applyFill="1" applyBorder="1" applyAlignment="1">
      <alignment horizontal="center" vertical="center"/>
    </xf>
    <xf numFmtId="0" fontId="12" fillId="2" borderId="0" xfId="4" applyNumberFormat="1" applyFont="1" applyFill="1" applyBorder="1" applyAlignment="1">
      <alignment horizontal="center" vertical="center"/>
    </xf>
    <xf numFmtId="0" fontId="13" fillId="2" borderId="0" xfId="4" applyNumberFormat="1" applyFont="1" applyFill="1" applyBorder="1" applyAlignment="1">
      <alignment horizontal="center" vertical="center"/>
    </xf>
    <xf numFmtId="0" fontId="13" fillId="2" borderId="0" xfId="4" applyNumberFormat="1" applyFont="1" applyFill="1" applyBorder="1" applyAlignment="1">
      <alignment horizontal="left" vertical="center"/>
    </xf>
    <xf numFmtId="0" fontId="12" fillId="2" borderId="0" xfId="4" applyNumberFormat="1" applyFont="1" applyFill="1" applyBorder="1" applyAlignment="1">
      <alignment horizontal="right" vertical="center"/>
    </xf>
  </cellXfs>
  <cellStyles count="9">
    <cellStyle name="1" xfId="8"/>
    <cellStyle name="Comma 2" xfId="2"/>
    <cellStyle name="Normal" xfId="0" builtinId="0"/>
    <cellStyle name="Normal 2_agri planning 2009 year book(final)" xfId="5"/>
    <cellStyle name="Normal 3_agri planning 2009 year book(final)" xfId="7"/>
    <cellStyle name="Normal 4_agri planning 2009 year book(final)" xfId="6"/>
    <cellStyle name="Normal_agri planning 2009 year book(final)" xfId="4"/>
    <cellStyle name="Normal_Fish &amp;  Agri - 8" xfId="1"/>
    <cellStyle name="Normal_mmifco" xfId="3"/>
  </cellStyles>
  <dxfs count="0"/>
  <tableStyles count="0" defaultTableStyle="TableStyleMedium2" defaultPivotStyle="PivotStyleLight16"/>
  <colors>
    <mruColors>
      <color rgb="FF249390"/>
      <color rgb="FF33CCCC"/>
      <color rgb="FFEAFAFA"/>
      <color rgb="FFFF9900"/>
      <color rgb="FF196563"/>
      <color rgb="FF00FFCC"/>
      <color rgb="FFC89058"/>
      <color rgb="FF7E542A"/>
      <color rgb="FFD3A77B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050">
                <a:latin typeface="Consolas" pitchFamily="49" charset="0"/>
                <a:cs typeface="Consolas" pitchFamily="49" charset="0"/>
              </a:defRPr>
            </a:pPr>
            <a:r>
              <a:rPr lang="en-US" sz="1050">
                <a:latin typeface="Consolas" pitchFamily="49" charset="0"/>
                <a:cs typeface="Consolas" pitchFamily="49" charset="0"/>
              </a:rPr>
              <a:t>Figure 9.8: Imports of fresh agricultural crops by Country, 2019</a:t>
            </a:r>
          </a:p>
        </c:rich>
      </c:tx>
      <c:layout>
        <c:manualLayout>
          <c:xMode val="edge"/>
          <c:yMode val="edge"/>
          <c:x val="0.2323128127050525"/>
          <c:y val="5.51674115059941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26278245980971"/>
          <c:y val="0.17630082683349171"/>
          <c:w val="0.84210906742125979"/>
          <c:h val="0.70603639072143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</c:spPr>
          <c:invertIfNegative val="0"/>
          <c:cat>
            <c:strRef>
              <c:f>'9.12'!$Y$13:$Y$18</c:f>
              <c:strCache>
                <c:ptCount val="6"/>
                <c:pt idx="0">
                  <c:v>India</c:v>
                </c:pt>
                <c:pt idx="1">
                  <c:v>Srilanka</c:v>
                </c:pt>
                <c:pt idx="2">
                  <c:v>U.A.E</c:v>
                </c:pt>
                <c:pt idx="3">
                  <c:v>Thailand</c:v>
                </c:pt>
                <c:pt idx="4">
                  <c:v>Other Countries</c:v>
                </c:pt>
                <c:pt idx="5">
                  <c:v>Australia</c:v>
                </c:pt>
              </c:strCache>
            </c:strRef>
          </c:cat>
          <c:val>
            <c:numRef>
              <c:f>'9.12'!$Z$13:$Z$18</c:f>
              <c:numCache>
                <c:formatCode>General_)</c:formatCode>
                <c:ptCount val="6"/>
                <c:pt idx="0">
                  <c:v>142352817.84999999</c:v>
                </c:pt>
                <c:pt idx="1">
                  <c:v>111794659.92000002</c:v>
                </c:pt>
                <c:pt idx="2">
                  <c:v>104460113.28000002</c:v>
                </c:pt>
                <c:pt idx="3">
                  <c:v>82854493.720000014</c:v>
                </c:pt>
                <c:pt idx="4">
                  <c:v>51285075.559999995</c:v>
                </c:pt>
                <c:pt idx="5">
                  <c:v>22204652.180000007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81-4561-9385-881463F2A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4709048"/>
        <c:axId val="424712184"/>
      </c:barChart>
      <c:catAx>
        <c:axId val="424709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424712184"/>
        <c:crosses val="autoZero"/>
        <c:auto val="1"/>
        <c:lblAlgn val="ctr"/>
        <c:lblOffset val="100"/>
        <c:noMultiLvlLbl val="0"/>
      </c:catAx>
      <c:valAx>
        <c:axId val="42471218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(Value in MVR)</a:t>
                </a:r>
              </a:p>
            </c:rich>
          </c:tx>
          <c:layout>
            <c:manualLayout>
              <c:xMode val="edge"/>
              <c:yMode val="edge"/>
              <c:x val="9.8238086450131226E-3"/>
              <c:y val="0.32085053557494503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424709048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1226820</xdr:colOff>
      <xdr:row>32</xdr:row>
      <xdr:rowOff>114300</xdr:rowOff>
    </xdr:from>
    <xdr:to>
      <xdr:col>7</xdr:col>
      <xdr:colOff>962025</xdr:colOff>
      <xdr:row>44</xdr:row>
      <xdr:rowOff>171450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CHECKING/9.%20%20FISHERIES%20AND%20AGRICULTU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8"/>
      <sheetName val="9.9"/>
      <sheetName val="9.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AC4" t="str">
            <v>Pole and Line</v>
          </cell>
          <cell r="AD4" t="str">
            <v>Hand  Line</v>
          </cell>
          <cell r="AE4" t="str">
            <v>Other methods</v>
          </cell>
        </row>
        <row r="5">
          <cell r="AC5">
            <v>80.172670134023591</v>
          </cell>
          <cell r="AD5">
            <v>18.70465755671324</v>
          </cell>
          <cell r="AE5">
            <v>1.1226723092631659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Z50"/>
  <sheetViews>
    <sheetView tabSelected="1" topLeftCell="A6" zoomScaleNormal="100" workbookViewId="0">
      <selection activeCell="G21" sqref="G21"/>
    </sheetView>
  </sheetViews>
  <sheetFormatPr defaultColWidth="8.85546875" defaultRowHeight="15" x14ac:dyDescent="0.25"/>
  <cols>
    <col min="1" max="1" width="38.5703125" style="5" customWidth="1"/>
    <col min="2" max="2" width="18.85546875" style="5" customWidth="1"/>
    <col min="3" max="3" width="14" style="5" customWidth="1"/>
    <col min="4" max="7" width="12.7109375" style="5" customWidth="1"/>
    <col min="8" max="8" width="17.140625" style="5" customWidth="1"/>
    <col min="9" max="9" width="22.5703125" style="5" customWidth="1"/>
    <col min="10" max="11" width="8.85546875" style="5"/>
    <col min="12" max="26" width="11.140625" style="5" customWidth="1"/>
    <col min="27" max="16384" width="8.85546875" style="5"/>
  </cols>
  <sheetData>
    <row r="1" spans="1:26" s="9" customFormat="1" x14ac:dyDescent="0.25">
      <c r="A1" s="20"/>
      <c r="B1" s="23"/>
      <c r="C1" s="24"/>
      <c r="D1" s="25"/>
      <c r="E1" s="26"/>
      <c r="F1" s="26"/>
      <c r="G1" s="26"/>
      <c r="H1" s="27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6" ht="18" x14ac:dyDescent="0.25">
      <c r="A2" s="43" t="s">
        <v>65</v>
      </c>
      <c r="B2" s="43"/>
      <c r="C2" s="43"/>
      <c r="D2" s="43"/>
      <c r="E2" s="43"/>
      <c r="F2" s="43"/>
      <c r="G2" s="43"/>
      <c r="H2" s="43"/>
      <c r="I2" s="43"/>
    </row>
    <row r="3" spans="1:26" s="6" customFormat="1" ht="15.75" x14ac:dyDescent="0.25">
      <c r="A3" s="44" t="s">
        <v>66</v>
      </c>
      <c r="B3" s="44"/>
      <c r="C3" s="44"/>
      <c r="D3" s="44"/>
      <c r="E3" s="44"/>
      <c r="F3" s="44"/>
      <c r="G3" s="44"/>
      <c r="H3" s="44"/>
      <c r="I3" s="44"/>
    </row>
    <row r="4" spans="1:26" ht="21" x14ac:dyDescent="0.25">
      <c r="A4" s="45" t="s">
        <v>2</v>
      </c>
      <c r="B4" s="45"/>
      <c r="C4" s="45"/>
      <c r="D4" s="45"/>
      <c r="E4" s="45"/>
      <c r="F4" s="45"/>
      <c r="G4" s="45"/>
      <c r="H4" s="45"/>
      <c r="I4" s="45"/>
    </row>
    <row r="5" spans="1:26" x14ac:dyDescent="0.25">
      <c r="A5" s="46" t="s">
        <v>3</v>
      </c>
      <c r="B5" s="46"/>
      <c r="C5" s="46"/>
      <c r="D5" s="46"/>
      <c r="E5" s="46"/>
      <c r="F5" s="46"/>
      <c r="G5" s="46"/>
      <c r="H5" s="46"/>
      <c r="I5" s="46"/>
    </row>
    <row r="6" spans="1:26" ht="18.75" x14ac:dyDescent="0.25">
      <c r="A6" s="47" t="s">
        <v>4</v>
      </c>
      <c r="B6" s="7" t="s">
        <v>1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49" t="s">
        <v>11</v>
      </c>
    </row>
    <row r="7" spans="1:26" x14ac:dyDescent="0.25">
      <c r="A7" s="48"/>
      <c r="B7" s="8" t="s">
        <v>12</v>
      </c>
      <c r="C7" s="8" t="s">
        <v>13</v>
      </c>
      <c r="D7" s="8" t="s">
        <v>14</v>
      </c>
      <c r="E7" s="8" t="s">
        <v>15</v>
      </c>
      <c r="F7" s="8" t="s">
        <v>16</v>
      </c>
      <c r="G7" s="8" t="s">
        <v>17</v>
      </c>
      <c r="H7" s="8" t="s">
        <v>18</v>
      </c>
      <c r="I7" s="50"/>
      <c r="J7" s="9"/>
      <c r="K7" s="9"/>
    </row>
    <row r="8" spans="1:26" ht="21" x14ac:dyDescent="0.25">
      <c r="A8" s="10" t="s">
        <v>0</v>
      </c>
      <c r="B8" s="11">
        <f t="shared" ref="B8:H8" si="0">SUM(B9:B30)</f>
        <v>514951812.51000005</v>
      </c>
      <c r="C8" s="11">
        <f t="shared" si="0"/>
        <v>142352817.84999999</v>
      </c>
      <c r="D8" s="11">
        <f t="shared" si="0"/>
        <v>111794659.92000002</v>
      </c>
      <c r="E8" s="11">
        <f t="shared" si="0"/>
        <v>104460113.28000002</v>
      </c>
      <c r="F8" s="11">
        <f t="shared" si="0"/>
        <v>22204652.180000007</v>
      </c>
      <c r="G8" s="11">
        <f t="shared" si="0"/>
        <v>82854493.720000014</v>
      </c>
      <c r="H8" s="11">
        <f t="shared" si="0"/>
        <v>51285075.559999995</v>
      </c>
      <c r="I8" s="42" t="s">
        <v>1</v>
      </c>
      <c r="J8" s="9"/>
      <c r="K8" s="9"/>
    </row>
    <row r="9" spans="1:26" ht="21" x14ac:dyDescent="0.25">
      <c r="A9" s="12" t="s">
        <v>19</v>
      </c>
      <c r="B9" s="2">
        <f>SUM(C9:H9)</f>
        <v>30323538.43</v>
      </c>
      <c r="C9" s="3">
        <v>20090711.510000002</v>
      </c>
      <c r="D9" s="3">
        <v>5756501.4699999988</v>
      </c>
      <c r="E9" s="3">
        <v>2912839.9000000004</v>
      </c>
      <c r="F9" s="3">
        <v>24647.14</v>
      </c>
      <c r="G9" s="3">
        <v>907407.53999999992</v>
      </c>
      <c r="H9" s="3">
        <v>631430.86999999732</v>
      </c>
      <c r="I9" s="13" t="s">
        <v>20</v>
      </c>
    </row>
    <row r="10" spans="1:26" ht="21" x14ac:dyDescent="0.25">
      <c r="A10" s="14" t="s">
        <v>21</v>
      </c>
      <c r="B10" s="2">
        <f t="shared" ref="B10:B30" si="1">SUM(C10:H10)</f>
        <v>28612779.479999997</v>
      </c>
      <c r="C10" s="3">
        <v>15184890.199999997</v>
      </c>
      <c r="D10" s="3">
        <v>6918159.620000002</v>
      </c>
      <c r="E10" s="3">
        <v>3418809.7700000005</v>
      </c>
      <c r="F10" s="3">
        <v>471306.82</v>
      </c>
      <c r="G10" s="3">
        <v>1581020.4600000002</v>
      </c>
      <c r="H10" s="3">
        <v>1038592.6099999957</v>
      </c>
      <c r="I10" s="15" t="s">
        <v>22</v>
      </c>
      <c r="J10" s="6"/>
      <c r="K10" s="6"/>
    </row>
    <row r="11" spans="1:26" ht="21" x14ac:dyDescent="0.25">
      <c r="A11" s="16" t="s">
        <v>23</v>
      </c>
      <c r="B11" s="2">
        <f t="shared" si="1"/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15" t="s">
        <v>24</v>
      </c>
    </row>
    <row r="12" spans="1:26" ht="21" x14ac:dyDescent="0.25">
      <c r="A12" s="16" t="s">
        <v>25</v>
      </c>
      <c r="B12" s="2">
        <f t="shared" si="1"/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15" t="s">
        <v>26</v>
      </c>
    </row>
    <row r="13" spans="1:26" ht="21" x14ac:dyDescent="0.25">
      <c r="A13" s="16" t="s">
        <v>27</v>
      </c>
      <c r="B13" s="2">
        <f t="shared" si="1"/>
        <v>468374.0500000001</v>
      </c>
      <c r="C13" s="3">
        <v>984.62</v>
      </c>
      <c r="D13" s="3">
        <v>427462.52000000008</v>
      </c>
      <c r="E13" s="3">
        <v>36181.269999999997</v>
      </c>
      <c r="F13" s="3">
        <v>0</v>
      </c>
      <c r="G13" s="3">
        <v>1691.51</v>
      </c>
      <c r="H13" s="3">
        <v>2054.1300000000047</v>
      </c>
      <c r="I13" s="15" t="s">
        <v>28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Y13" s="5" t="s">
        <v>13</v>
      </c>
      <c r="Z13" s="5">
        <v>142352817.84999999</v>
      </c>
    </row>
    <row r="14" spans="1:26" ht="21" x14ac:dyDescent="0.25">
      <c r="A14" s="16" t="s">
        <v>29</v>
      </c>
      <c r="B14" s="2">
        <f t="shared" si="1"/>
        <v>47598203.259999998</v>
      </c>
      <c r="C14" s="3">
        <v>28297257.32</v>
      </c>
      <c r="D14" s="3">
        <v>8806051.7200000025</v>
      </c>
      <c r="E14" s="3">
        <v>5084018.8200000012</v>
      </c>
      <c r="F14" s="3">
        <v>754946.74999999988</v>
      </c>
      <c r="G14" s="3">
        <v>898092.3</v>
      </c>
      <c r="H14" s="3">
        <v>3757836.349999994</v>
      </c>
      <c r="I14" s="15" t="s">
        <v>30</v>
      </c>
      <c r="Y14" s="5" t="s">
        <v>14</v>
      </c>
      <c r="Z14" s="5">
        <v>111794659.92000002</v>
      </c>
    </row>
    <row r="15" spans="1:26" ht="21" x14ac:dyDescent="0.25">
      <c r="A15" s="16" t="s">
        <v>31</v>
      </c>
      <c r="B15" s="2">
        <f t="shared" si="1"/>
        <v>8197307.5200000023</v>
      </c>
      <c r="C15" s="3">
        <v>174011.37999999998</v>
      </c>
      <c r="D15" s="3">
        <v>1611050.2300000002</v>
      </c>
      <c r="E15" s="3">
        <v>1866115.4800000004</v>
      </c>
      <c r="F15" s="3">
        <v>257686.2</v>
      </c>
      <c r="G15" s="3">
        <v>3966433.5200000005</v>
      </c>
      <c r="H15" s="3">
        <v>322010.71000000089</v>
      </c>
      <c r="I15" s="15" t="s">
        <v>32</v>
      </c>
      <c r="Y15" s="5" t="s">
        <v>15</v>
      </c>
      <c r="Z15" s="5">
        <v>104460113.28000002</v>
      </c>
    </row>
    <row r="16" spans="1:26" ht="21" x14ac:dyDescent="0.25">
      <c r="A16" s="16" t="s">
        <v>33</v>
      </c>
      <c r="B16" s="2">
        <f t="shared" si="1"/>
        <v>2601250.5300000007</v>
      </c>
      <c r="C16" s="3">
        <v>134706.97999999998</v>
      </c>
      <c r="D16" s="3">
        <v>2299951.0500000003</v>
      </c>
      <c r="E16" s="3">
        <v>115120.64</v>
      </c>
      <c r="F16" s="3">
        <v>6027.87</v>
      </c>
      <c r="G16" s="3">
        <v>26158.560000000005</v>
      </c>
      <c r="H16" s="3">
        <v>19285.430000000168</v>
      </c>
      <c r="I16" s="15" t="s">
        <v>34</v>
      </c>
      <c r="Y16" s="5" t="s">
        <v>17</v>
      </c>
      <c r="Z16" s="5">
        <v>82854493.720000014</v>
      </c>
    </row>
    <row r="17" spans="1:26" ht="21" x14ac:dyDescent="0.25">
      <c r="A17" s="16" t="s">
        <v>35</v>
      </c>
      <c r="B17" s="2">
        <f t="shared" si="1"/>
        <v>34479154.909999989</v>
      </c>
      <c r="C17" s="3">
        <v>13525294.309999999</v>
      </c>
      <c r="D17" s="3">
        <v>4028556.1799999997</v>
      </c>
      <c r="E17" s="3">
        <v>2341237.0799999996</v>
      </c>
      <c r="F17" s="3">
        <v>31871.97</v>
      </c>
      <c r="G17" s="3">
        <v>2867861.5100000002</v>
      </c>
      <c r="H17" s="3">
        <v>11684333.859999992</v>
      </c>
      <c r="I17" s="15" t="s">
        <v>36</v>
      </c>
      <c r="Y17" s="5" t="s">
        <v>18</v>
      </c>
      <c r="Z17" s="5">
        <v>51285075.559999995</v>
      </c>
    </row>
    <row r="18" spans="1:26" ht="21" x14ac:dyDescent="0.25">
      <c r="A18" s="16" t="s">
        <v>37</v>
      </c>
      <c r="B18" s="2">
        <f t="shared" si="1"/>
        <v>32189217.490000002</v>
      </c>
      <c r="C18" s="3">
        <v>6115397.9000000004</v>
      </c>
      <c r="D18" s="3">
        <v>16728568.159999998</v>
      </c>
      <c r="E18" s="3">
        <v>5865219.0800000019</v>
      </c>
      <c r="F18" s="3">
        <v>1175321.24</v>
      </c>
      <c r="G18" s="3">
        <v>447111.61</v>
      </c>
      <c r="H18" s="3">
        <v>1857599.5000000037</v>
      </c>
      <c r="I18" s="15" t="s">
        <v>38</v>
      </c>
      <c r="Y18" s="5" t="s">
        <v>16</v>
      </c>
      <c r="Z18" s="5">
        <v>22204652.180000007</v>
      </c>
    </row>
    <row r="19" spans="1:26" ht="21" x14ac:dyDescent="0.25">
      <c r="A19" s="16" t="s">
        <v>39</v>
      </c>
      <c r="B19" s="2">
        <f t="shared" si="1"/>
        <v>4955193.3100000015</v>
      </c>
      <c r="C19" s="3">
        <v>3140632.17</v>
      </c>
      <c r="D19" s="3">
        <v>1466707.5000000002</v>
      </c>
      <c r="E19" s="3">
        <v>123810.69</v>
      </c>
      <c r="F19" s="3">
        <v>0</v>
      </c>
      <c r="G19" s="3">
        <v>26804.329999999998</v>
      </c>
      <c r="H19" s="3">
        <v>197238.62000000104</v>
      </c>
      <c r="I19" s="15" t="s">
        <v>40</v>
      </c>
    </row>
    <row r="20" spans="1:26" ht="21" x14ac:dyDescent="0.25">
      <c r="A20" s="16" t="s">
        <v>41</v>
      </c>
      <c r="B20" s="2">
        <f t="shared" si="1"/>
        <v>23281844.709999997</v>
      </c>
      <c r="C20" s="3">
        <v>2273168.09</v>
      </c>
      <c r="D20" s="3">
        <v>4994669.53</v>
      </c>
      <c r="E20" s="3">
        <v>3922276.3100000005</v>
      </c>
      <c r="F20" s="3">
        <v>14469.060000000001</v>
      </c>
      <c r="G20" s="3">
        <v>8726583.1899999995</v>
      </c>
      <c r="H20" s="3">
        <v>3350678.5299999975</v>
      </c>
      <c r="I20" s="15" t="s">
        <v>42</v>
      </c>
    </row>
    <row r="21" spans="1:26" ht="21" x14ac:dyDescent="0.25">
      <c r="A21" s="16" t="s">
        <v>43</v>
      </c>
      <c r="B21" s="2">
        <f t="shared" si="1"/>
        <v>61824671.660000011</v>
      </c>
      <c r="C21" s="3">
        <v>1130415.33</v>
      </c>
      <c r="D21" s="3">
        <v>6580065.8899999978</v>
      </c>
      <c r="E21" s="3">
        <v>29741635.540000003</v>
      </c>
      <c r="F21" s="3">
        <v>9614508.1200000066</v>
      </c>
      <c r="G21" s="3">
        <v>4484892.0300000012</v>
      </c>
      <c r="H21" s="3">
        <v>10273154.750000007</v>
      </c>
      <c r="I21" s="15" t="s">
        <v>44</v>
      </c>
    </row>
    <row r="22" spans="1:26" ht="21" x14ac:dyDescent="0.25">
      <c r="A22" s="16" t="s">
        <v>45</v>
      </c>
      <c r="B22" s="2">
        <f t="shared" si="1"/>
        <v>71068303.840000004</v>
      </c>
      <c r="C22" s="3">
        <v>8213404.7699999996</v>
      </c>
      <c r="D22" s="3">
        <v>11153516.869999999</v>
      </c>
      <c r="E22" s="3">
        <v>13405701.099999996</v>
      </c>
      <c r="F22" s="3">
        <v>1439583.17</v>
      </c>
      <c r="G22" s="3">
        <v>30578636.060000002</v>
      </c>
      <c r="H22" s="3">
        <v>6277461.8700000048</v>
      </c>
      <c r="I22" s="15" t="s">
        <v>46</v>
      </c>
    </row>
    <row r="23" spans="1:26" ht="21" x14ac:dyDescent="0.25">
      <c r="A23" s="16" t="s">
        <v>47</v>
      </c>
      <c r="B23" s="2">
        <f t="shared" si="1"/>
        <v>54303526.390000001</v>
      </c>
      <c r="C23" s="3">
        <v>12999250.9</v>
      </c>
      <c r="D23" s="3">
        <v>1661793.3499999999</v>
      </c>
      <c r="E23" s="3">
        <v>23047552.400000002</v>
      </c>
      <c r="F23" s="3">
        <v>3777947.4299999997</v>
      </c>
      <c r="G23" s="3">
        <v>8968154.5399999991</v>
      </c>
      <c r="H23" s="3">
        <v>3848827.7699999958</v>
      </c>
      <c r="I23" s="15" t="s">
        <v>48</v>
      </c>
    </row>
    <row r="24" spans="1:26" ht="21" x14ac:dyDescent="0.25">
      <c r="A24" s="16" t="s">
        <v>49</v>
      </c>
      <c r="B24" s="2">
        <f t="shared" si="1"/>
        <v>8566934.2000000011</v>
      </c>
      <c r="C24" s="3">
        <v>190296.85</v>
      </c>
      <c r="D24" s="3">
        <v>4479080.28</v>
      </c>
      <c r="E24" s="3">
        <v>323299.17999999993</v>
      </c>
      <c r="F24" s="3">
        <v>1577.02</v>
      </c>
      <c r="G24" s="3">
        <v>3545889.1500000004</v>
      </c>
      <c r="H24" s="3">
        <v>26791.720000000671</v>
      </c>
      <c r="I24" s="15" t="s">
        <v>50</v>
      </c>
    </row>
    <row r="25" spans="1:26" ht="21" x14ac:dyDescent="0.25">
      <c r="A25" s="16" t="s">
        <v>51</v>
      </c>
      <c r="B25" s="2">
        <f t="shared" si="1"/>
        <v>24225273.659999996</v>
      </c>
      <c r="C25" s="3">
        <v>974296.97</v>
      </c>
      <c r="D25" s="3">
        <v>14200928.699999997</v>
      </c>
      <c r="E25" s="3">
        <v>3659156.1799999997</v>
      </c>
      <c r="F25" s="3">
        <v>81716.290000000008</v>
      </c>
      <c r="G25" s="3">
        <v>4317358.9799999995</v>
      </c>
      <c r="H25" s="3">
        <v>991816.53999999911</v>
      </c>
      <c r="I25" s="15" t="s">
        <v>52</v>
      </c>
    </row>
    <row r="26" spans="1:26" ht="21" x14ac:dyDescent="0.25">
      <c r="A26" s="16" t="s">
        <v>53</v>
      </c>
      <c r="B26" s="2">
        <f t="shared" si="1"/>
        <v>12255962.07</v>
      </c>
      <c r="C26" s="3">
        <v>4098057.0300000003</v>
      </c>
      <c r="D26" s="3">
        <v>3247111.3699999992</v>
      </c>
      <c r="E26" s="3">
        <v>3751164.9400000004</v>
      </c>
      <c r="F26" s="3">
        <v>634037.18999999994</v>
      </c>
      <c r="G26" s="3">
        <v>88719.040000000008</v>
      </c>
      <c r="H26" s="3">
        <v>436872.50000000186</v>
      </c>
      <c r="I26" s="15" t="s">
        <v>54</v>
      </c>
    </row>
    <row r="27" spans="1:26" ht="21" x14ac:dyDescent="0.25">
      <c r="A27" s="16" t="s">
        <v>55</v>
      </c>
      <c r="B27" s="2">
        <f t="shared" si="1"/>
        <v>300171.75</v>
      </c>
      <c r="C27" s="3">
        <v>73069.350000000006</v>
      </c>
      <c r="D27" s="3">
        <v>3629.59</v>
      </c>
      <c r="E27" s="3">
        <v>52407.170000000006</v>
      </c>
      <c r="F27" s="3">
        <v>0</v>
      </c>
      <c r="G27" s="3">
        <v>170707.51</v>
      </c>
      <c r="H27" s="3">
        <v>358.13000000000466</v>
      </c>
      <c r="I27" s="15" t="s">
        <v>56</v>
      </c>
    </row>
    <row r="28" spans="1:26" ht="21" x14ac:dyDescent="0.25">
      <c r="A28" s="16" t="s">
        <v>57</v>
      </c>
      <c r="B28" s="2">
        <f t="shared" si="1"/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15" t="s">
        <v>58</v>
      </c>
    </row>
    <row r="29" spans="1:26" ht="21" x14ac:dyDescent="0.25">
      <c r="A29" s="16" t="s">
        <v>59</v>
      </c>
      <c r="B29" s="2">
        <f t="shared" si="1"/>
        <v>11188072.369999999</v>
      </c>
      <c r="C29" s="3">
        <v>917261.39</v>
      </c>
      <c r="D29" s="3">
        <v>6166556.3999999994</v>
      </c>
      <c r="E29" s="3">
        <v>1180586.99</v>
      </c>
      <c r="F29" s="3">
        <v>274331.73</v>
      </c>
      <c r="G29" s="3">
        <v>341456.55</v>
      </c>
      <c r="H29" s="3">
        <v>2307879.3099999987</v>
      </c>
      <c r="I29" s="15" t="s">
        <v>60</v>
      </c>
    </row>
    <row r="30" spans="1:26" ht="21" x14ac:dyDescent="0.25">
      <c r="A30" s="17" t="s">
        <v>61</v>
      </c>
      <c r="B30" s="18">
        <f t="shared" si="1"/>
        <v>58512032.88000001</v>
      </c>
      <c r="C30" s="4">
        <v>24819710.780000001</v>
      </c>
      <c r="D30" s="4">
        <v>11264299.490000002</v>
      </c>
      <c r="E30" s="4">
        <v>3612980.7399999998</v>
      </c>
      <c r="F30" s="4">
        <v>3644674.1800000006</v>
      </c>
      <c r="G30" s="4">
        <v>10909515.33</v>
      </c>
      <c r="H30" s="4">
        <v>4260852.3600000069</v>
      </c>
      <c r="I30" s="19" t="s">
        <v>62</v>
      </c>
    </row>
    <row r="31" spans="1:26" s="9" customFormat="1" x14ac:dyDescent="0.25">
      <c r="A31" s="20" t="s">
        <v>63</v>
      </c>
      <c r="B31" s="20"/>
      <c r="C31" s="21"/>
      <c r="D31" s="21"/>
      <c r="E31" s="21"/>
      <c r="F31" s="21"/>
      <c r="G31" s="21"/>
      <c r="H31" s="21"/>
      <c r="I31" s="22" t="s">
        <v>64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</row>
    <row r="32" spans="1:26" s="9" customFormat="1" x14ac:dyDescent="0.25">
      <c r="A32" s="20"/>
      <c r="B32" s="23"/>
      <c r="C32" s="24"/>
      <c r="D32" s="25"/>
      <c r="E32" s="26"/>
      <c r="F32" s="26"/>
      <c r="G32" s="26"/>
      <c r="H32" s="27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</row>
    <row r="33" spans="1:21" s="9" customFormat="1" x14ac:dyDescent="0.25">
      <c r="A33" s="28"/>
      <c r="B33" s="23"/>
      <c r="C33" s="24"/>
      <c r="D33" s="29"/>
      <c r="E33" s="30"/>
      <c r="F33" s="30"/>
      <c r="G33" s="30"/>
      <c r="H33" s="31"/>
      <c r="I33" s="32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</row>
    <row r="34" spans="1:21" s="9" customFormat="1" x14ac:dyDescent="0.25">
      <c r="A34" s="23"/>
      <c r="B34" s="23"/>
      <c r="C34" s="24"/>
      <c r="D34" s="33"/>
      <c r="E34" s="1"/>
      <c r="F34" s="1"/>
      <c r="G34" s="1"/>
      <c r="H34" s="34"/>
      <c r="I34" s="33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</row>
    <row r="35" spans="1:21" ht="18" x14ac:dyDescent="0.25">
      <c r="A35" s="51"/>
      <c r="B35" s="51"/>
      <c r="C35" s="51"/>
      <c r="D35" s="51"/>
      <c r="E35" s="51"/>
      <c r="F35" s="51"/>
      <c r="G35" s="51"/>
      <c r="H35" s="51"/>
      <c r="I35" s="51"/>
    </row>
    <row r="36" spans="1:21" s="6" customFormat="1" ht="15.75" x14ac:dyDescent="0.25">
      <c r="A36" s="52"/>
      <c r="B36" s="52"/>
      <c r="C36" s="52"/>
      <c r="D36" s="52"/>
      <c r="E36" s="52"/>
      <c r="F36" s="52"/>
      <c r="G36" s="52"/>
      <c r="H36" s="52"/>
      <c r="I36" s="52"/>
    </row>
    <row r="37" spans="1:21" ht="21" x14ac:dyDescent="0.25">
      <c r="A37" s="53"/>
      <c r="B37" s="53"/>
      <c r="C37" s="53"/>
      <c r="D37" s="53"/>
      <c r="E37" s="53"/>
      <c r="F37" s="53"/>
      <c r="G37" s="53"/>
      <c r="H37" s="53"/>
      <c r="I37" s="53"/>
    </row>
    <row r="38" spans="1:21" x14ac:dyDescent="0.25">
      <c r="A38" s="54"/>
      <c r="B38" s="54"/>
      <c r="C38" s="54"/>
      <c r="D38" s="54"/>
      <c r="E38" s="54"/>
      <c r="F38" s="54"/>
      <c r="G38" s="54"/>
      <c r="H38" s="54"/>
      <c r="I38" s="54"/>
    </row>
    <row r="39" spans="1:21" ht="18.75" x14ac:dyDescent="0.25">
      <c r="A39" s="55"/>
      <c r="B39" s="35"/>
      <c r="C39" s="35"/>
      <c r="D39" s="35"/>
      <c r="E39" s="35"/>
      <c r="F39" s="35"/>
      <c r="G39" s="35"/>
      <c r="H39" s="35"/>
      <c r="I39" s="56"/>
    </row>
    <row r="40" spans="1:21" x14ac:dyDescent="0.25">
      <c r="A40" s="55"/>
      <c r="B40" s="36"/>
      <c r="C40" s="36"/>
      <c r="D40" s="36"/>
      <c r="E40" s="36"/>
      <c r="F40" s="36"/>
      <c r="G40" s="36"/>
      <c r="H40" s="36"/>
      <c r="I40" s="56"/>
      <c r="J40" s="9"/>
      <c r="K40" s="9"/>
    </row>
    <row r="41" spans="1:21" ht="21" x14ac:dyDescent="0.25">
      <c r="A41" s="40"/>
      <c r="B41" s="37"/>
      <c r="C41" s="37"/>
      <c r="D41" s="37"/>
      <c r="E41" s="37"/>
      <c r="F41" s="37"/>
      <c r="G41" s="37"/>
      <c r="H41" s="37"/>
      <c r="I41" s="41"/>
      <c r="J41" s="9"/>
      <c r="K41" s="9"/>
    </row>
    <row r="42" spans="1:21" ht="21" x14ac:dyDescent="0.25">
      <c r="A42" s="24"/>
      <c r="B42" s="2"/>
      <c r="C42" s="3"/>
      <c r="D42" s="3"/>
      <c r="E42" s="3"/>
      <c r="F42" s="3"/>
      <c r="G42" s="3"/>
      <c r="H42" s="3"/>
      <c r="I42" s="38"/>
    </row>
    <row r="43" spans="1:21" ht="21" x14ac:dyDescent="0.25">
      <c r="A43" s="39"/>
      <c r="B43" s="2"/>
      <c r="C43" s="3"/>
      <c r="D43" s="3"/>
      <c r="E43" s="3"/>
      <c r="F43" s="3"/>
      <c r="G43" s="3"/>
      <c r="H43" s="3"/>
      <c r="I43" s="38"/>
      <c r="J43" s="6"/>
      <c r="K43" s="6"/>
    </row>
    <row r="44" spans="1:21" ht="21" x14ac:dyDescent="0.25">
      <c r="A44" s="39"/>
      <c r="B44" s="2"/>
      <c r="C44" s="3"/>
      <c r="D44" s="3"/>
      <c r="E44" s="3"/>
      <c r="F44" s="3"/>
      <c r="G44" s="3"/>
      <c r="H44" s="3"/>
      <c r="I44" s="38"/>
    </row>
    <row r="45" spans="1:21" ht="21" x14ac:dyDescent="0.25">
      <c r="A45" s="39"/>
      <c r="B45" s="2"/>
      <c r="C45" s="3"/>
      <c r="D45" s="3"/>
      <c r="E45" s="3"/>
      <c r="F45" s="3"/>
      <c r="G45" s="3"/>
      <c r="H45" s="3"/>
      <c r="I45" s="38"/>
    </row>
    <row r="46" spans="1:21" ht="21" x14ac:dyDescent="0.25">
      <c r="A46" s="39"/>
      <c r="B46" s="2"/>
      <c r="C46" s="3"/>
      <c r="D46" s="3"/>
      <c r="E46" s="3"/>
      <c r="F46" s="3"/>
      <c r="G46" s="3"/>
      <c r="H46" s="3"/>
      <c r="I46" s="38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</row>
    <row r="47" spans="1:21" ht="21" x14ac:dyDescent="0.25">
      <c r="A47" s="39"/>
      <c r="B47" s="2"/>
      <c r="C47" s="3"/>
      <c r="D47" s="3"/>
      <c r="E47" s="3"/>
      <c r="F47" s="3"/>
      <c r="G47" s="3"/>
      <c r="H47" s="3"/>
      <c r="I47" s="38"/>
    </row>
    <row r="48" spans="1:21" ht="21" x14ac:dyDescent="0.25">
      <c r="A48" s="39"/>
      <c r="B48" s="2"/>
      <c r="C48" s="3"/>
      <c r="D48" s="3"/>
      <c r="E48" s="3"/>
      <c r="F48" s="3"/>
      <c r="G48" s="3"/>
      <c r="H48" s="3"/>
      <c r="I48" s="38"/>
    </row>
    <row r="49" spans="1:9" x14ac:dyDescent="0.25">
      <c r="A49" s="20"/>
      <c r="B49" s="20"/>
      <c r="C49" s="21"/>
      <c r="D49" s="21"/>
      <c r="E49" s="21"/>
      <c r="F49" s="21"/>
      <c r="G49" s="21"/>
      <c r="H49" s="21"/>
      <c r="I49" s="22"/>
    </row>
    <row r="50" spans="1:9" x14ac:dyDescent="0.25">
      <c r="A50" s="20"/>
      <c r="B50" s="23"/>
      <c r="C50" s="24"/>
      <c r="D50" s="25"/>
      <c r="E50" s="26"/>
      <c r="F50" s="26"/>
      <c r="G50" s="26"/>
      <c r="H50" s="27"/>
      <c r="I50" s="9"/>
    </row>
  </sheetData>
  <sortState ref="Y13:Z18">
    <sortCondition descending="1" ref="Z13:Z18"/>
  </sortState>
  <mergeCells count="12">
    <mergeCell ref="A35:I35"/>
    <mergeCell ref="A36:I36"/>
    <mergeCell ref="A37:I37"/>
    <mergeCell ref="A38:I38"/>
    <mergeCell ref="A39:A40"/>
    <mergeCell ref="I39:I40"/>
    <mergeCell ref="A2:I2"/>
    <mergeCell ref="A3:I3"/>
    <mergeCell ref="A4:I4"/>
    <mergeCell ref="A5:I5"/>
    <mergeCell ref="A6:A7"/>
    <mergeCell ref="I6:I7"/>
  </mergeCells>
  <pageMargins left="0.7" right="0.7" top="0.75" bottom="0.75" header="0.3" footer="0.3"/>
  <pageSetup paperSize="9" scale="54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9.12</vt:lpstr>
      <vt:lpstr>'9.12'!Print_Area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2021-07-14T08:44:10Z</cp:lastPrinted>
  <dcterms:created xsi:type="dcterms:W3CDTF">2019-09-09T05:11:24Z</dcterms:created>
  <dcterms:modified xsi:type="dcterms:W3CDTF">2021-07-14T08:44:19Z</dcterms:modified>
</cp:coreProperties>
</file>