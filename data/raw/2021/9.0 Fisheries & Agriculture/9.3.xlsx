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9. Fisheries and Agriculture\"/>
    </mc:Choice>
  </mc:AlternateContent>
  <bookViews>
    <workbookView xWindow="0" yWindow="0" windowWidth="28800" windowHeight="11730" tabRatio="831"/>
  </bookViews>
  <sheets>
    <sheet name="9.3" sheetId="3" r:id="rId1"/>
  </sheets>
  <externalReferences>
    <externalReference r:id="rId2"/>
    <externalReference r:id="rId3"/>
  </externalReferences>
  <definedNames>
    <definedName name="_xlnm.Print_Area" localSheetId="0">'9.3'!$A$1:$L$109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8" i="3" l="1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K47" i="3"/>
  <c r="J47" i="3"/>
  <c r="I47" i="3"/>
  <c r="I45" i="3" s="1"/>
  <c r="H47" i="3"/>
  <c r="G47" i="3"/>
  <c r="G45" i="3" s="1"/>
  <c r="F47" i="3"/>
  <c r="E47" i="3"/>
  <c r="B47" i="3" s="1"/>
  <c r="D47" i="3"/>
  <c r="B46" i="3"/>
  <c r="K45" i="3"/>
  <c r="J45" i="3"/>
  <c r="H45" i="3"/>
  <c r="F45" i="3"/>
  <c r="D45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K11" i="3"/>
  <c r="J11" i="3"/>
  <c r="I11" i="3"/>
  <c r="I9" i="3" s="1"/>
  <c r="H11" i="3"/>
  <c r="G11" i="3"/>
  <c r="F11" i="3"/>
  <c r="E11" i="3"/>
  <c r="E9" i="3" s="1"/>
  <c r="D11" i="3"/>
  <c r="B11" i="3" s="1"/>
  <c r="B10" i="3"/>
  <c r="K9" i="3"/>
  <c r="J9" i="3"/>
  <c r="H9" i="3"/>
  <c r="G9" i="3"/>
  <c r="F9" i="3"/>
  <c r="D9" i="3"/>
  <c r="B9" i="3" l="1"/>
  <c r="E45" i="3"/>
  <c r="B45" i="3" s="1"/>
</calcChain>
</file>

<file path=xl/sharedStrings.xml><?xml version="1.0" encoding="utf-8"?>
<sst xmlns="http://schemas.openxmlformats.org/spreadsheetml/2006/main" count="155" uniqueCount="79">
  <si>
    <t>ilencnwk uDobOl</t>
  </si>
  <si>
    <t>cnwt</t>
  </si>
  <si>
    <t>Republic</t>
  </si>
  <si>
    <t>ejcaWriLum</t>
  </si>
  <si>
    <t>Male'</t>
  </si>
  <si>
    <t>elWm</t>
  </si>
  <si>
    <t>Atolls</t>
  </si>
  <si>
    <t>cawtuLotwa</t>
  </si>
  <si>
    <t>Longline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</si>
  <si>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</si>
  <si>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</si>
  <si>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</si>
  <si>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</si>
  <si>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</si>
  <si>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</si>
  <si>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</si>
  <si>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</si>
  <si>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</si>
  <si>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</si>
  <si>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</si>
  <si>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</si>
  <si>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</si>
  <si>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</si>
  <si>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</si>
  <si>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</si>
  <si>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</si>
  <si>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</si>
  <si>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</si>
  <si>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</si>
  <si>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</si>
  <si>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</si>
  <si>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</si>
  <si>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</si>
  <si>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</si>
  <si>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</si>
  <si>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</si>
  <si>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</si>
  <si>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</si>
  <si>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</si>
  <si>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</si>
  <si>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</si>
  <si>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</si>
  <si>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</si>
  <si>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</si>
  <si>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</si>
  <si>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</si>
  <si>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</si>
  <si>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</si>
  <si>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(cnunwT ckircTem)</t>
  </si>
  <si>
    <t>(In  metric tons)</t>
  </si>
  <si>
    <t>Type of fish</t>
  </si>
  <si>
    <t>މަހުގެ ބާވަތް</t>
  </si>
  <si>
    <t>Locality</t>
  </si>
  <si>
    <t>wlcmuj</t>
  </si>
  <si>
    <t>cswmwlibuLwk</t>
  </si>
  <si>
    <t>ilencnwk</t>
  </si>
  <si>
    <t>ކަންފަތް ދިގު ކަންނެލި</t>
  </si>
  <si>
    <t>cswm iSov</t>
  </si>
  <si>
    <t>iTcawl</t>
  </si>
  <si>
    <t>iDnogWr</t>
  </si>
  <si>
    <t>cswmurwf cnehinehea</t>
  </si>
  <si>
    <t>Total</t>
  </si>
  <si>
    <t>Skipjack tuna</t>
  </si>
  <si>
    <t>Yellowfin tuna</t>
  </si>
  <si>
    <t>Big eye tuna</t>
  </si>
  <si>
    <t>Albacore tuna</t>
  </si>
  <si>
    <t>Dogtooth tuna</t>
  </si>
  <si>
    <t xml:space="preserve">   Little tuna</t>
  </si>
  <si>
    <t>Frigate tuna</t>
  </si>
  <si>
    <t>Other marine fish</t>
  </si>
  <si>
    <t>މަޢުލޫމާތުދެއްވި ފަރާތް: މިނިސްޓްރީ އޮފް ފިޝަރީޒް، މެރިންރިސޯސަސް އެންޑް އެގްރިކަލްޗަރ</t>
  </si>
  <si>
    <t>cnwkirevcswmunEl</t>
  </si>
  <si>
    <t>Note: This table does not in any way or form represent the area of fish catch but the catches from the vessels regisered to islands in the specific atoll</t>
  </si>
  <si>
    <t xml:space="preserve">ނޯޓް: މި ތާވަލުން ރަމްޒުކޮށްދެނީ މަސްވެރިކަން ކޮށްފައިވާ ސަރަޙައްދުތަކެއް ނޫނެވެ. މިތާވަލުން ރަމްޒުކޮށްދެނީ ވަކިވަކި އަތޮޅުތަކަށް ރަޖިސްޓްރީކޮށްފައިވާ އުޅާނދުން މަސް ބާނާފައިވާ މިންވަރެވެ. </t>
  </si>
  <si>
    <t>Source: Ministry of Fisheries, Marine Resources  and Agriculture</t>
  </si>
  <si>
    <t>Table 9.3 :  FISH LANDING BY TYPE AND VESSEL LOCALITY, 2019</t>
  </si>
  <si>
    <t>2019 ,ctwvWb egEa iaWhwm inEb wtwvun ifih cnutog eguLotwa WviawfcSokIrcTcsijwr udnwLua : 9.3 ulwvWt</t>
  </si>
  <si>
    <t>2020 ,ctwvWb egEa iaWhwm inEb wtwvun ifih cnutog eguLotwa WviawfcSokIrcTcsijwr udnwLua : 9.3 ulwvWt</t>
  </si>
  <si>
    <t>Table 9.3 :  FISH LANDING BY TYPE AND VESSEL LOCALITY,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</si>
</sst>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#,##0.0"/>
    <numFmt numFmtId="168" formatCode="_(* #,##0_);_(* \(#,##0\);_(* &quot;-&quot;??_);_(@_)"/>
    <numFmt numFmtId="170" formatCode="[$-409]mmmm\ d\,\ yyyy;@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Waheed"/>
    </font>
    <font>
      <b/>
      <sz val="12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name val="Calibri"/>
      <family val="2"/>
    </font>
    <font>
      <b/>
      <sz val="9"/>
      <name val="A_Waheed"/>
    </font>
    <font>
      <sz val="10"/>
      <name val="Arial"/>
      <family val="2"/>
    </font>
    <font>
      <b/>
      <sz val="10"/>
      <name val="A_Waheed"/>
    </font>
    <font>
      <sz val="9"/>
      <name val="Faruma"/>
    </font>
    <font>
      <i/>
      <sz val="9"/>
      <name val="Calibri"/>
      <family val="2"/>
    </font>
    <font>
      <sz val="9"/>
      <name val="A_Waheed"/>
    </font>
    <font>
      <i/>
      <sz val="9"/>
      <name val="Arial"/>
      <family val="2"/>
    </font>
    <font>
      <sz val="9"/>
      <name val="Courier"/>
      <family val="3"/>
    </font>
    <font>
      <b/>
      <sz val="10"/>
      <name val="Arial"/>
      <family val="2"/>
    </font>
    <font>
      <b/>
      <sz val="9"/>
      <name val="A_Randhoo"/>
    </font>
    <font>
      <sz val="9"/>
      <name val="Calibri"/>
      <family val="2"/>
    </font>
    <font>
      <b/>
      <sz val="9"/>
      <name val="Faruma"/>
    </font>
    <font>
      <sz val="9"/>
      <name val="Win Ahamedey PRB"/>
      <family val="2"/>
    </font>
    <font>
      <b/>
      <sz val="10"/>
      <name val="Faruma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b/>
      <sz val="10"/>
      <name val="A_Randhoo"/>
    </font>
    <font>
      <sz val="10"/>
      <name val="Calibri"/>
      <family val="2"/>
      <scheme val="minor"/>
    </font>
    <font>
      <sz val="9"/>
      <name val="A_Randhoo"/>
    </font>
    <font>
      <b/>
      <sz val="8"/>
      <name val="A_Randhoo"/>
    </font>
    <font>
      <sz val="9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24" fillId="0" borderId="0" applyFont="0" applyFill="0" applyBorder="0" applyAlignment="0" applyProtection="0"/>
    <xf numFmtId="0" fontId="9" fillId="0" borderId="0"/>
    <xf numFmtId="170" fontId="2" fillId="0" borderId="0"/>
    <xf numFmtId="170" fontId="2" fillId="0" borderId="0"/>
    <xf numFmtId="170" fontId="2" fillId="0" borderId="0"/>
  </cellStyleXfs>
  <cellXfs count="103">
    <xf numFmtId="0" fontId="0" fillId="0" borderId="0" xfId="0"/>
    <xf numFmtId="164" fontId="2" fillId="2" borderId="0" xfId="2" applyFont="1" applyFill="1" applyAlignment="1">
      <alignment vertical="center"/>
    </xf>
    <xf numFmtId="164" fontId="5" fillId="2" borderId="0" xfId="2" applyFont="1" applyFill="1" applyAlignment="1">
      <alignment vertical="center"/>
    </xf>
    <xf numFmtId="164" fontId="9" fillId="2" borderId="0" xfId="2" applyFont="1" applyFill="1" applyAlignment="1">
      <alignment vertical="center"/>
    </xf>
    <xf numFmtId="164" fontId="11" fillId="2" borderId="0" xfId="2" applyFont="1" applyFill="1" applyBorder="1" applyAlignment="1">
      <alignment horizontal="right" vertical="center"/>
    </xf>
    <xf numFmtId="164" fontId="14" fillId="2" borderId="0" xfId="2" applyFont="1" applyFill="1" applyAlignment="1" applyProtection="1">
      <alignment horizontal="left" vertical="center"/>
    </xf>
    <xf numFmtId="164" fontId="15" fillId="2" borderId="0" xfId="2" applyFont="1" applyFill="1" applyAlignment="1">
      <alignment vertical="center"/>
    </xf>
    <xf numFmtId="164" fontId="12" fillId="2" borderId="0" xfId="2" applyFont="1" applyFill="1" applyAlignment="1" applyProtection="1">
      <alignment horizontal="left" vertical="center"/>
    </xf>
    <xf numFmtId="164" fontId="15" fillId="2" borderId="0" xfId="2" applyFont="1" applyFill="1" applyBorder="1" applyAlignment="1">
      <alignment vertical="center"/>
    </xf>
    <xf numFmtId="164" fontId="16" fillId="2" borderId="0" xfId="2" applyFont="1" applyFill="1" applyAlignment="1">
      <alignment vertical="center"/>
    </xf>
    <xf numFmtId="164" fontId="6" fillId="2" borderId="0" xfId="2" applyFont="1" applyFill="1" applyAlignment="1">
      <alignment vertical="center"/>
    </xf>
    <xf numFmtId="164" fontId="18" fillId="2" borderId="0" xfId="2" applyFont="1" applyFill="1" applyAlignment="1">
      <alignment vertical="center"/>
    </xf>
    <xf numFmtId="164" fontId="7" fillId="2" borderId="0" xfId="2" applyFont="1" applyFill="1" applyAlignment="1">
      <alignment vertical="center"/>
    </xf>
    <xf numFmtId="164" fontId="15" fillId="2" borderId="0" xfId="2" applyFont="1" applyFill="1" applyAlignment="1">
      <alignment horizontal="right" vertical="center"/>
    </xf>
    <xf numFmtId="164" fontId="6" fillId="2" borderId="0" xfId="2" applyFont="1" applyFill="1" applyAlignment="1">
      <alignment horizontal="right" vertical="center"/>
    </xf>
    <xf numFmtId="164" fontId="18" fillId="2" borderId="0" xfId="2" applyFont="1" applyFill="1" applyBorder="1" applyAlignment="1">
      <alignment vertical="center"/>
    </xf>
    <xf numFmtId="164" fontId="7" fillId="2" borderId="0" xfId="2" applyFont="1" applyFill="1" applyBorder="1" applyAlignment="1">
      <alignment vertical="center"/>
    </xf>
    <xf numFmtId="164" fontId="15" fillId="2" borderId="2" xfId="2" applyFont="1" applyFill="1" applyBorder="1" applyAlignment="1">
      <alignment vertical="center"/>
    </xf>
    <xf numFmtId="164" fontId="6" fillId="2" borderId="2" xfId="2" applyFont="1" applyFill="1" applyBorder="1" applyAlignment="1">
      <alignment vertical="center"/>
    </xf>
    <xf numFmtId="164" fontId="20" fillId="2" borderId="2" xfId="2" applyFont="1" applyFill="1" applyBorder="1"/>
    <xf numFmtId="164" fontId="7" fillId="2" borderId="0" xfId="2" applyFont="1" applyFill="1" applyBorder="1" applyAlignment="1" applyProtection="1">
      <alignment horizontal="left" vertical="center" wrapText="1"/>
    </xf>
    <xf numFmtId="164" fontId="10" fillId="2" borderId="0" xfId="2" applyFont="1" applyFill="1" applyBorder="1" applyAlignment="1">
      <alignment horizontal="right" vertical="center" wrapText="1"/>
    </xf>
    <xf numFmtId="164" fontId="10" fillId="2" borderId="3" xfId="2" applyFont="1" applyFill="1" applyBorder="1" applyAlignment="1">
      <alignment horizontal="right" vertical="center" wrapText="1"/>
    </xf>
    <xf numFmtId="0" fontId="21" fillId="2" borderId="3" xfId="0" applyFont="1" applyFill="1" applyBorder="1" applyAlignment="1">
      <alignment horizontal="right" vertical="center" wrapText="1"/>
    </xf>
    <xf numFmtId="164" fontId="8" fillId="2" borderId="0" xfId="2" applyFont="1" applyFill="1" applyBorder="1" applyAlignment="1">
      <alignment horizontal="right" vertical="center" wrapText="1"/>
    </xf>
    <xf numFmtId="164" fontId="15" fillId="2" borderId="0" xfId="2" applyFont="1" applyFill="1" applyAlignment="1">
      <alignment vertical="center" wrapText="1"/>
    </xf>
    <xf numFmtId="164" fontId="7" fillId="2" borderId="0" xfId="2" applyFont="1" applyFill="1" applyBorder="1" applyAlignment="1" applyProtection="1">
      <alignment horizontal="right" vertical="center" wrapText="1"/>
    </xf>
    <xf numFmtId="0" fontId="22" fillId="2" borderId="0" xfId="0" applyFont="1" applyFill="1" applyBorder="1" applyAlignment="1">
      <alignment horizontal="right" vertical="center" wrapText="1"/>
    </xf>
    <xf numFmtId="164" fontId="15" fillId="2" borderId="0" xfId="2" applyFont="1" applyFill="1" applyBorder="1" applyAlignment="1">
      <alignment vertical="center" wrapText="1"/>
    </xf>
    <xf numFmtId="164" fontId="6" fillId="2" borderId="0" xfId="2" applyFont="1" applyFill="1" applyAlignment="1">
      <alignment vertical="center" wrapText="1"/>
    </xf>
    <xf numFmtId="164" fontId="18" fillId="2" borderId="1" xfId="2" applyFont="1" applyFill="1" applyBorder="1" applyAlignment="1">
      <alignment horizontal="right" vertical="center"/>
    </xf>
    <xf numFmtId="164" fontId="7" fillId="2" borderId="1" xfId="2" applyFont="1" applyFill="1" applyBorder="1" applyAlignment="1" applyProtection="1">
      <alignment horizontal="right" vertical="center"/>
    </xf>
    <xf numFmtId="164" fontId="7" fillId="2" borderId="1" xfId="2" applyFont="1" applyFill="1" applyBorder="1" applyAlignment="1" applyProtection="1">
      <alignment horizontal="right" vertical="center" wrapText="1"/>
    </xf>
    <xf numFmtId="0" fontId="22" fillId="2" borderId="1" xfId="0" applyFont="1" applyFill="1" applyBorder="1" applyAlignment="1">
      <alignment horizontal="right" vertical="center" wrapText="1"/>
    </xf>
    <xf numFmtId="164" fontId="13" fillId="2" borderId="1" xfId="2" applyFont="1" applyFill="1" applyBorder="1" applyAlignment="1">
      <alignment horizontal="right" vertical="center"/>
    </xf>
    <xf numFmtId="164" fontId="23" fillId="2" borderId="0" xfId="2" applyFont="1" applyFill="1" applyAlignment="1" applyProtection="1">
      <alignment horizontal="left" vertical="center"/>
    </xf>
    <xf numFmtId="38" fontId="23" fillId="2" borderId="2" xfId="3" applyNumberFormat="1" applyFont="1" applyFill="1" applyBorder="1" applyAlignment="1" applyProtection="1">
      <alignment vertical="center"/>
    </xf>
    <xf numFmtId="38" fontId="23" fillId="2" borderId="0" xfId="3" applyNumberFormat="1" applyFont="1" applyFill="1" applyAlignment="1" applyProtection="1">
      <alignment vertical="center"/>
    </xf>
    <xf numFmtId="164" fontId="8" fillId="2" borderId="0" xfId="2" applyFont="1" applyFill="1" applyAlignment="1">
      <alignment horizontal="right" vertical="center"/>
    </xf>
    <xf numFmtId="164" fontId="17" fillId="2" borderId="0" xfId="2" applyFont="1" applyFill="1" applyAlignment="1">
      <alignment horizontal="right" vertical="center"/>
    </xf>
    <xf numFmtId="164" fontId="6" fillId="2" borderId="0" xfId="2" applyFont="1" applyFill="1" applyBorder="1" applyAlignment="1">
      <alignment vertical="center"/>
    </xf>
    <xf numFmtId="38" fontId="23" fillId="2" borderId="0" xfId="3" applyNumberFormat="1" applyFont="1" applyFill="1" applyBorder="1" applyAlignment="1" applyProtection="1">
      <alignment vertical="center"/>
    </xf>
    <xf numFmtId="38" fontId="23" fillId="2" borderId="0" xfId="3" applyNumberFormat="1" applyFont="1" applyFill="1"/>
    <xf numFmtId="38" fontId="23" fillId="2" borderId="0" xfId="3" applyNumberFormat="1" applyFont="1" applyFill="1" applyBorder="1"/>
    <xf numFmtId="164" fontId="23" fillId="2" borderId="0" xfId="2" applyFont="1" applyFill="1" applyAlignment="1" applyProtection="1">
      <alignment horizontal="left" vertical="top"/>
    </xf>
    <xf numFmtId="38" fontId="23" fillId="2" borderId="0" xfId="3" applyNumberFormat="1" applyFont="1" applyFill="1" applyBorder="1" applyAlignment="1">
      <alignment horizontal="right"/>
    </xf>
    <xf numFmtId="164" fontId="10" fillId="2" borderId="0" xfId="2" applyFont="1" applyFill="1" applyAlignment="1">
      <alignment horizontal="right" vertical="center"/>
    </xf>
    <xf numFmtId="164" fontId="25" fillId="2" borderId="0" xfId="2" applyFont="1" applyFill="1" applyAlignment="1">
      <alignment horizontal="right" vertical="center"/>
    </xf>
    <xf numFmtId="164" fontId="26" fillId="2" borderId="0" xfId="0" applyNumberFormat="1" applyFont="1" applyFill="1" applyAlignment="1" applyProtection="1">
      <alignment horizontal="left" vertical="center" indent="2"/>
    </xf>
    <xf numFmtId="38" fontId="26" fillId="2" borderId="0" xfId="3" applyNumberFormat="1" applyFont="1" applyFill="1" applyBorder="1" applyAlignment="1" applyProtection="1">
      <alignment vertical="center"/>
    </xf>
    <xf numFmtId="38" fontId="26" fillId="2" borderId="0" xfId="3" applyNumberFormat="1" applyFont="1" applyFill="1" applyBorder="1"/>
    <xf numFmtId="164" fontId="13" fillId="2" borderId="0" xfId="0" applyNumberFormat="1" applyFont="1" applyFill="1" applyAlignment="1">
      <alignment horizontal="right" vertical="center" indent="2"/>
    </xf>
    <xf numFmtId="164" fontId="27" fillId="2" borderId="0" xfId="0" applyNumberFormat="1" applyFont="1" applyFill="1" applyAlignment="1">
      <alignment horizontal="right" vertical="center"/>
    </xf>
    <xf numFmtId="164" fontId="9" fillId="2" borderId="0" xfId="0" applyNumberFormat="1" applyFont="1" applyFill="1"/>
    <xf numFmtId="164" fontId="26" fillId="2" borderId="1" xfId="0" applyNumberFormat="1" applyFont="1" applyFill="1" applyBorder="1" applyAlignment="1" applyProtection="1">
      <alignment horizontal="left" vertical="center" indent="2"/>
    </xf>
    <xf numFmtId="38" fontId="26" fillId="2" borderId="1" xfId="3" applyNumberFormat="1" applyFont="1" applyFill="1" applyBorder="1" applyAlignment="1" applyProtection="1">
      <alignment vertical="center"/>
    </xf>
    <xf numFmtId="38" fontId="23" fillId="2" borderId="1" xfId="3" applyNumberFormat="1" applyFont="1" applyFill="1" applyBorder="1" applyAlignment="1" applyProtection="1">
      <alignment vertical="center"/>
    </xf>
    <xf numFmtId="38" fontId="26" fillId="2" borderId="1" xfId="3" applyNumberFormat="1" applyFont="1" applyFill="1" applyBorder="1"/>
    <xf numFmtId="164" fontId="13" fillId="2" borderId="1" xfId="0" applyNumberFormat="1" applyFont="1" applyFill="1" applyBorder="1" applyAlignment="1">
      <alignment horizontal="right" vertical="center" indent="2"/>
    </xf>
    <xf numFmtId="164" fontId="27" fillId="2" borderId="0" xfId="0" applyNumberFormat="1" applyFont="1" applyFill="1" applyBorder="1" applyAlignment="1">
      <alignment horizontal="right" vertical="center"/>
    </xf>
    <xf numFmtId="164" fontId="15" fillId="2" borderId="7" xfId="2" applyFont="1" applyFill="1" applyBorder="1" applyAlignment="1">
      <alignment vertical="center"/>
    </xf>
    <xf numFmtId="164" fontId="7" fillId="2" borderId="7" xfId="2" applyFont="1" applyFill="1" applyBorder="1" applyAlignment="1" applyProtection="1">
      <alignment horizontal="left" vertical="center"/>
    </xf>
    <xf numFmtId="164" fontId="17" fillId="2" borderId="7" xfId="2" applyFont="1" applyFill="1" applyBorder="1" applyAlignment="1">
      <alignment horizontal="right" vertical="center"/>
    </xf>
    <xf numFmtId="164" fontId="28" fillId="2" borderId="7" xfId="2" applyFont="1" applyFill="1" applyBorder="1" applyAlignment="1">
      <alignment horizontal="right" vertical="center"/>
    </xf>
    <xf numFmtId="164" fontId="18" fillId="2" borderId="7" xfId="2" applyFont="1" applyFill="1" applyBorder="1" applyAlignment="1">
      <alignment horizontal="right" vertical="center"/>
    </xf>
    <xf numFmtId="164" fontId="7" fillId="2" borderId="7" xfId="2" applyFont="1" applyFill="1" applyBorder="1" applyAlignment="1" applyProtection="1">
      <alignment horizontal="right" vertical="center"/>
    </xf>
    <xf numFmtId="164" fontId="7" fillId="2" borderId="7" xfId="2" applyFont="1" applyFill="1" applyBorder="1" applyAlignment="1" applyProtection="1">
      <alignment horizontal="right" vertical="center" wrapText="1"/>
    </xf>
    <xf numFmtId="38" fontId="7" fillId="2" borderId="7" xfId="3" applyNumberFormat="1" applyFont="1" applyFill="1" applyBorder="1" applyAlignment="1" applyProtection="1">
      <alignment vertical="center"/>
    </xf>
    <xf numFmtId="3" fontId="7" fillId="2" borderId="7" xfId="2" applyNumberFormat="1" applyFont="1" applyFill="1" applyBorder="1" applyAlignment="1" applyProtection="1">
      <alignment vertical="center"/>
    </xf>
    <xf numFmtId="3" fontId="7" fillId="2" borderId="7" xfId="2" applyNumberFormat="1" applyFont="1" applyFill="1" applyBorder="1"/>
    <xf numFmtId="3" fontId="7" fillId="2" borderId="7" xfId="4" applyNumberFormat="1" applyFont="1" applyFill="1" applyBorder="1"/>
    <xf numFmtId="165" fontId="7" fillId="2" borderId="7" xfId="4" applyNumberFormat="1" applyFont="1" applyFill="1" applyBorder="1"/>
    <xf numFmtId="165" fontId="7" fillId="2" borderId="7" xfId="4" applyNumberFormat="1" applyFont="1" applyFill="1" applyBorder="1" applyAlignment="1">
      <alignment horizontal="right"/>
    </xf>
    <xf numFmtId="164" fontId="18" fillId="2" borderId="7" xfId="0" applyNumberFormat="1" applyFont="1" applyFill="1" applyBorder="1" applyAlignment="1" applyProtection="1">
      <alignment horizontal="left" vertical="center"/>
    </xf>
    <xf numFmtId="3" fontId="18" fillId="2" borderId="7" xfId="4" applyNumberFormat="1" applyFont="1" applyFill="1" applyBorder="1"/>
    <xf numFmtId="3" fontId="18" fillId="2" borderId="7" xfId="2" applyNumberFormat="1" applyFont="1" applyFill="1" applyBorder="1"/>
    <xf numFmtId="164" fontId="27" fillId="2" borderId="7" xfId="0" applyNumberFormat="1" applyFont="1" applyFill="1" applyBorder="1" applyAlignment="1">
      <alignment horizontal="right" vertical="center"/>
    </xf>
    <xf numFmtId="165" fontId="18" fillId="2" borderId="7" xfId="2" applyNumberFormat="1" applyFont="1" applyFill="1" applyBorder="1"/>
    <xf numFmtId="165" fontId="18" fillId="2" borderId="7" xfId="2" applyNumberFormat="1" applyFont="1" applyFill="1" applyBorder="1" applyAlignment="1">
      <alignment horizontal="right"/>
    </xf>
    <xf numFmtId="3" fontId="18" fillId="2" borderId="7" xfId="2" applyNumberFormat="1" applyFont="1" applyFill="1" applyBorder="1" applyAlignment="1">
      <alignment horizontal="right"/>
    </xf>
    <xf numFmtId="164" fontId="12" fillId="2" borderId="7" xfId="2" applyFont="1" applyFill="1" applyBorder="1" applyAlignment="1" applyProtection="1">
      <alignment horizontal="left" vertical="center"/>
    </xf>
    <xf numFmtId="164" fontId="14" fillId="2" borderId="7" xfId="2" applyFont="1" applyFill="1" applyBorder="1" applyAlignment="1" applyProtection="1">
      <alignment horizontal="left" vertical="center"/>
    </xf>
    <xf numFmtId="164" fontId="27" fillId="2" borderId="7" xfId="2" applyFont="1" applyFill="1" applyBorder="1" applyAlignment="1">
      <alignment horizontal="right" vertical="center"/>
    </xf>
    <xf numFmtId="164" fontId="9" fillId="2" borderId="0" xfId="2" applyFont="1" applyFill="1" applyAlignment="1">
      <alignment horizontal="right" vertical="center"/>
    </xf>
    <xf numFmtId="1" fontId="9" fillId="2" borderId="0" xfId="2" applyNumberFormat="1" applyFont="1" applyFill="1" applyAlignment="1">
      <alignment vertical="center"/>
    </xf>
    <xf numFmtId="43" fontId="15" fillId="2" borderId="0" xfId="1" applyFont="1" applyFill="1" applyAlignment="1">
      <alignment vertical="center"/>
    </xf>
    <xf numFmtId="43" fontId="5" fillId="2" borderId="0" xfId="1" applyFont="1" applyFill="1" applyAlignment="1">
      <alignment vertical="center"/>
    </xf>
    <xf numFmtId="43" fontId="9" fillId="2" borderId="0" xfId="1" applyFont="1" applyFill="1"/>
    <xf numFmtId="43" fontId="9" fillId="2" borderId="0" xfId="1" applyFont="1" applyFill="1" applyAlignment="1">
      <alignment vertical="center"/>
    </xf>
    <xf numFmtId="164" fontId="7" fillId="2" borderId="5" xfId="2" applyFont="1" applyFill="1" applyBorder="1" applyAlignment="1" applyProtection="1">
      <alignment vertical="center"/>
    </xf>
    <xf numFmtId="168" fontId="7" fillId="2" borderId="6" xfId="1" applyNumberFormat="1" applyFont="1" applyFill="1" applyBorder="1" applyAlignment="1" applyProtection="1">
      <alignment vertical="center"/>
    </xf>
    <xf numFmtId="164" fontId="29" fillId="2" borderId="7" xfId="2" applyFont="1" applyFill="1" applyBorder="1" applyAlignment="1">
      <alignment horizontal="centerContinuous" vertical="center"/>
    </xf>
    <xf numFmtId="164" fontId="11" fillId="2" borderId="0" xfId="2" applyFont="1" applyFill="1" applyAlignment="1" applyProtection="1">
      <alignment horizontal="right" vertical="top" wrapText="1"/>
    </xf>
    <xf numFmtId="164" fontId="7" fillId="2" borderId="0" xfId="2" applyFont="1" applyFill="1" applyBorder="1" applyAlignment="1" applyProtection="1">
      <alignment horizontal="center" vertical="center"/>
    </xf>
    <xf numFmtId="164" fontId="7" fillId="2" borderId="1" xfId="2" applyFont="1" applyFill="1" applyBorder="1" applyAlignment="1" applyProtection="1">
      <alignment horizontal="center" vertical="center"/>
    </xf>
    <xf numFmtId="164" fontId="12" fillId="2" borderId="0" xfId="2" applyFont="1" applyFill="1" applyAlignment="1" applyProtection="1">
      <alignment horizontal="left" vertical="top" wrapText="1"/>
    </xf>
    <xf numFmtId="164" fontId="11" fillId="2" borderId="0" xfId="2" applyFont="1" applyFill="1" applyAlignment="1" applyProtection="1">
      <alignment horizontal="right" vertical="top" wrapText="1"/>
    </xf>
    <xf numFmtId="164" fontId="3" fillId="2" borderId="0" xfId="2" applyFont="1" applyFill="1" applyAlignment="1">
      <alignment horizontal="center" vertical="center"/>
    </xf>
    <xf numFmtId="164" fontId="4" fillId="2" borderId="0" xfId="2" applyFont="1" applyFill="1" applyBorder="1" applyAlignment="1" applyProtection="1">
      <alignment horizontal="center" vertical="center"/>
    </xf>
    <xf numFmtId="164" fontId="8" fillId="2" borderId="0" xfId="2" applyFont="1" applyFill="1" applyBorder="1" applyAlignment="1">
      <alignment horizontal="center" vertical="center" wrapText="1"/>
    </xf>
    <xf numFmtId="164" fontId="7" fillId="2" borderId="0" xfId="2" applyFont="1" applyFill="1" applyBorder="1" applyAlignment="1" applyProtection="1">
      <alignment horizontal="center" vertical="center"/>
    </xf>
    <xf numFmtId="164" fontId="7" fillId="2" borderId="4" xfId="2" applyFont="1" applyFill="1" applyBorder="1" applyAlignment="1" applyProtection="1">
      <alignment horizontal="right" vertical="center"/>
    </xf>
    <xf numFmtId="164" fontId="19" fillId="2" borderId="4" xfId="2" applyFont="1" applyFill="1" applyBorder="1" applyAlignment="1" applyProtection="1">
      <alignment horizontal="left" vertical="center"/>
    </xf>
  </cellXfs>
  <cellStyles count="8">
    <cellStyle name="Comma" xfId="1" builtinId="3"/>
    <cellStyle name="Comma 2" xfId="3"/>
    <cellStyle name="Normal" xfId="0" builtinId="0"/>
    <cellStyle name="Normal 2_agri planning 2009 year book(final)" xfId="5"/>
    <cellStyle name="Normal 3_agri planning 2009 year book(final)" xfId="7"/>
    <cellStyle name="Normal 4_agri planning 2009 year book(final)" xfId="6"/>
    <cellStyle name="Normal_9.3fig9.1" xfId="4"/>
    <cellStyle name="Normal_Fish &amp;  Agri - 8" xfId="2"/>
  </cellStyles>
  <dxfs count="0"/>
  <tableStyles count="0" defaultTableStyle="TableStyleMedium2" defaultPivotStyle="PivotStyleLight16"/>
  <colors>
    <mruColors>
      <color rgb="FF33CCCC"/>
      <color rgb="FF00FFCC"/>
      <color rgb="FFC89058"/>
      <color rgb="FF7E542A"/>
      <color rgb="FFD3A77B"/>
      <color rgb="FF996633"/>
      <color rgb="FFFFFDF7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Figure 9.1: Fish catch by type of species, 2020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33250143702302482"/>
          <c:y val="0.11905520023389325"/>
          <c:w val="0.35284290332168189"/>
          <c:h val="0.81968795837295372"/>
        </c:manualLayout>
      </c:layout>
      <c:doughnutChart>
        <c:varyColors val="1"/>
        <c:ser>
          <c:idx val="0"/>
          <c:order val="0"/>
          <c:explosion val="3"/>
          <c:dPt>
            <c:idx val="0"/>
            <c:bubble3D val="0"/>
            <c:spPr>
              <a:solidFill>
                <a:srgbClr val="249390"/>
              </a:solidFill>
            </c:spPr>
            <c:extLst>
              <c:ext xmlns:c16="http://schemas.microsoft.com/office/drawing/2014/chart" uri="{C3380CC4-5D6E-409C-BE32-E72D297353CC}">
                <c16:uniqueId val="{00000001-46D7-4F14-9A5E-6307ACBD79AB}"/>
              </c:ext>
            </c:extLst>
          </c:dPt>
          <c:dPt>
            <c:idx val="1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3-46D7-4F14-9A5E-6307ACBD79AB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6D7-4F14-9A5E-6307ACBD79A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6D7-4F14-9A5E-6307ACBD79A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6D7-4F14-9A5E-6307ACBD79A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6D7-4F14-9A5E-6307ACBD79A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6D7-4F14-9A5E-6307ACBD79AB}"/>
                </c:ext>
              </c:extLst>
            </c:dLbl>
            <c:dLbl>
              <c:idx val="7"/>
              <c:layout>
                <c:manualLayout>
                  <c:x val="0.11864531869480528"/>
                  <c:y val="1.96874623109112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46D7-4F14-9A5E-6307ACBD79A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'[2]9.3'!$D$8:$K$8</c:f>
              <c:strCache>
                <c:ptCount val="8"/>
                <c:pt idx="0">
                  <c:v>Skipjack tuna</c:v>
                </c:pt>
                <c:pt idx="1">
                  <c:v>Yellowfin tuna</c:v>
                </c:pt>
                <c:pt idx="2">
                  <c:v>Big eye tuna</c:v>
                </c:pt>
                <c:pt idx="3">
                  <c:v>Albacore tuna</c:v>
                </c:pt>
                <c:pt idx="4">
                  <c:v>Dogtooth tuna</c:v>
                </c:pt>
                <c:pt idx="5">
                  <c:v>   Little tuna</c:v>
                </c:pt>
                <c:pt idx="6">
                  <c:v>Frigate tuna</c:v>
                </c:pt>
                <c:pt idx="7">
                  <c:v>Other marine fish</c:v>
                </c:pt>
              </c:strCache>
            </c:strRef>
          </c:cat>
          <c:val>
            <c:numRef>
              <c:f>'[2]9.3'!$D$9:$K$9</c:f>
              <c:numCache>
                <c:formatCode>#,##0_);[Red]\(#,##0\)</c:formatCode>
                <c:ptCount val="8"/>
                <c:pt idx="0">
                  <c:v>103870.66972179369</c:v>
                </c:pt>
                <c:pt idx="1">
                  <c:v>42704.576500856783</c:v>
                </c:pt>
                <c:pt idx="2">
                  <c:v>212.68961995324841</c:v>
                </c:pt>
                <c:pt idx="3">
                  <c:v>0</c:v>
                </c:pt>
                <c:pt idx="4">
                  <c:v>3.2111469335556504</c:v>
                </c:pt>
                <c:pt idx="5">
                  <c:v>7.0504098873260022</c:v>
                </c:pt>
                <c:pt idx="6">
                  <c:v>88.162762023225241</c:v>
                </c:pt>
                <c:pt idx="7">
                  <c:v>1696.6090211673268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6D7-4F14-9A5E-6307ACBD79A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88"/>
        <c:holeSize val="41"/>
      </c:doughnut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2"/>
    </mc:Choice>
    <mc:Fallback>
      <c:style val="22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9.2: Fish catch by Atoll, 2020</a:t>
            </a:r>
          </a:p>
        </c:rich>
      </c:tx>
      <c:layout>
        <c:manualLayout>
          <c:xMode val="edge"/>
          <c:yMode val="edge"/>
          <c:x val="0.28172882133048877"/>
          <c:y val="3.893826201143969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8930302207521864E-2"/>
          <c:y val="0.18082264349840874"/>
          <c:w val="0.88642575634158582"/>
          <c:h val="0.714300609363242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9900"/>
            </a:solidFill>
          </c:spPr>
          <c:invertIfNegative val="0"/>
          <c:cat>
            <c:strRef>
              <c:f>'[2]9.3'!$A$13:$A$32</c:f>
              <c:strCache>
                <c:ptCount val="20"/>
                <c:pt idx="0">
                  <c:v> HA</c:v>
                </c:pt>
                <c:pt idx="1">
                  <c:v> HDh</c:v>
                </c:pt>
                <c:pt idx="2">
                  <c:v> Sh</c:v>
                </c:pt>
                <c:pt idx="3">
                  <c:v> N</c:v>
                </c:pt>
                <c:pt idx="4">
                  <c:v> 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 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'[2]9.3'!$B$13:$B$32</c:f>
              <c:numCache>
                <c:formatCode>#,##0_);[Red]\(#,##0\)</c:formatCode>
                <c:ptCount val="20"/>
                <c:pt idx="0">
                  <c:v>7837.2333079125528</c:v>
                </c:pt>
                <c:pt idx="1">
                  <c:v>1742.5440616363173</c:v>
                </c:pt>
                <c:pt idx="2">
                  <c:v>3916.1276980237226</c:v>
                </c:pt>
                <c:pt idx="3">
                  <c:v>2616.621895499482</c:v>
                </c:pt>
                <c:pt idx="4">
                  <c:v>7759.5142166813057</c:v>
                </c:pt>
                <c:pt idx="5">
                  <c:v>2242.4289738665666</c:v>
                </c:pt>
                <c:pt idx="6">
                  <c:v>4714.9029731799819</c:v>
                </c:pt>
                <c:pt idx="7">
                  <c:v>6948.9645043832579</c:v>
                </c:pt>
                <c:pt idx="8">
                  <c:v>3221.6682753374389</c:v>
                </c:pt>
                <c:pt idx="9">
                  <c:v>3060.8803911245118</c:v>
                </c:pt>
                <c:pt idx="10">
                  <c:v>639.55167891345968</c:v>
                </c:pt>
                <c:pt idx="11">
                  <c:v>4086.0262316599055</c:v>
                </c:pt>
                <c:pt idx="12">
                  <c:v>3083.7334818653935</c:v>
                </c:pt>
                <c:pt idx="13">
                  <c:v>11389.740816779351</c:v>
                </c:pt>
                <c:pt idx="14">
                  <c:v>7553.6508780813638</c:v>
                </c:pt>
                <c:pt idx="15">
                  <c:v>10600.246504317003</c:v>
                </c:pt>
                <c:pt idx="16">
                  <c:v>21156.044330819717</c:v>
                </c:pt>
                <c:pt idx="17">
                  <c:v>11610.003248031657</c:v>
                </c:pt>
                <c:pt idx="18">
                  <c:v>2155.5727494560856</c:v>
                </c:pt>
                <c:pt idx="19">
                  <c:v>7429.9718733529526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6-4D3F-8726-41B095DE0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axId val="107753856"/>
        <c:axId val="107755392"/>
      </c:barChart>
      <c:catAx>
        <c:axId val="10775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07755392"/>
        <c:crosses val="autoZero"/>
        <c:auto val="1"/>
        <c:lblAlgn val="ctr"/>
        <c:lblOffset val="100"/>
        <c:noMultiLvlLbl val="0"/>
      </c:catAx>
      <c:valAx>
        <c:axId val="107755392"/>
        <c:scaling>
          <c:orientation val="minMax"/>
          <c:max val="26000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 metric ton</a:t>
                </a:r>
              </a:p>
            </c:rich>
          </c:tx>
          <c:layout>
            <c:manualLayout>
              <c:xMode val="edge"/>
              <c:yMode val="edge"/>
              <c:x val="1.005533324727852E-2"/>
              <c:y val="6.68094210995903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07753856"/>
        <c:crosses val="autoZero"/>
        <c:crossBetween val="between"/>
        <c:majorUnit val="2000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122" l="0.70000000000000062" r="0.70000000000000062" t="0.75000000000000122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624840</xdr:colOff>
      <xdr:row>71</xdr:row>
      <xdr:rowOff>83820</xdr:rowOff>
    </xdr:from>
    <xdr:to>
      <xdr:col>7</xdr:col>
      <xdr:colOff>687705</xdr:colOff>
      <xdr:row>72</xdr:row>
      <xdr:rowOff>129540</xdr:rowOff>
    </xdr:to>
    <xdr:sp macro="" textlink="">
      <xdr:nvSpPr>
        <xdr:cNvPr id="2" name="Text Box 3"/>
        <xdr:cNvSpPr txBox="1">
          <a:spLocks noChangeArrowheads="1"/>
        </xdr:cNvSpPr>
      </xdr:nvSpPr>
      <xdr:spPr bwMode="auto">
        <a:xfrm>
          <a:off x="2205990" y="7160895"/>
          <a:ext cx="34537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687705</xdr:colOff>
      <xdr:row>104</xdr:row>
      <xdr:rowOff>144779</xdr:rowOff>
    </xdr:to>
    <xdr:sp macro="" textlink="">
      <xdr:nvSpPr>
        <xdr:cNvPr id="3" name="Text Box 3"/>
        <xdr:cNvSpPr txBox="1">
          <a:spLocks noChangeArrowheads="1"/>
        </xdr:cNvSpPr>
      </xdr:nvSpPr>
      <xdr:spPr bwMode="auto">
        <a:xfrm>
          <a:off x="2205990" y="13115925"/>
          <a:ext cx="34537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687705</xdr:colOff>
      <xdr:row>72</xdr:row>
      <xdr:rowOff>129540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2205990" y="7160895"/>
          <a:ext cx="34537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687705</xdr:colOff>
      <xdr:row>104</xdr:row>
      <xdr:rowOff>144779</xdr:rowOff>
    </xdr:to>
    <xdr:sp macro="" textlink="">
      <xdr:nvSpPr>
        <xdr:cNvPr id="5" name="Text Box 3"/>
        <xdr:cNvSpPr txBox="1">
          <a:spLocks noChangeArrowheads="1"/>
        </xdr:cNvSpPr>
      </xdr:nvSpPr>
      <xdr:spPr bwMode="auto">
        <a:xfrm>
          <a:off x="2205990" y="13115925"/>
          <a:ext cx="34537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554355</xdr:colOff>
      <xdr:row>72</xdr:row>
      <xdr:rowOff>129540</xdr:rowOff>
    </xdr:to>
    <xdr:sp macro="" textlink="">
      <xdr:nvSpPr>
        <xdr:cNvPr id="9" name="Text Box 3"/>
        <xdr:cNvSpPr txBox="1">
          <a:spLocks noChangeArrowheads="1"/>
        </xdr:cNvSpPr>
      </xdr:nvSpPr>
      <xdr:spPr bwMode="auto">
        <a:xfrm>
          <a:off x="2205990" y="7160895"/>
          <a:ext cx="33204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554355</xdr:colOff>
      <xdr:row>104</xdr:row>
      <xdr:rowOff>144779</xdr:rowOff>
    </xdr:to>
    <xdr:sp macro="" textlink="">
      <xdr:nvSpPr>
        <xdr:cNvPr id="10" name="Text Box 3"/>
        <xdr:cNvSpPr txBox="1">
          <a:spLocks noChangeArrowheads="1"/>
        </xdr:cNvSpPr>
      </xdr:nvSpPr>
      <xdr:spPr bwMode="auto">
        <a:xfrm>
          <a:off x="2205990" y="13115925"/>
          <a:ext cx="33204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554355</xdr:colOff>
      <xdr:row>72</xdr:row>
      <xdr:rowOff>129540</xdr:rowOff>
    </xdr:to>
    <xdr:sp macro="" textlink="">
      <xdr:nvSpPr>
        <xdr:cNvPr id="11" name="Text Box 3"/>
        <xdr:cNvSpPr txBox="1">
          <a:spLocks noChangeArrowheads="1"/>
        </xdr:cNvSpPr>
      </xdr:nvSpPr>
      <xdr:spPr bwMode="auto">
        <a:xfrm>
          <a:off x="2205990" y="7160895"/>
          <a:ext cx="33204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554355</xdr:colOff>
      <xdr:row>104</xdr:row>
      <xdr:rowOff>144779</xdr:rowOff>
    </xdr:to>
    <xdr:sp macro="" textlink="">
      <xdr:nvSpPr>
        <xdr:cNvPr id="13" name="Text Box 3"/>
        <xdr:cNvSpPr txBox="1">
          <a:spLocks noChangeArrowheads="1"/>
        </xdr:cNvSpPr>
      </xdr:nvSpPr>
      <xdr:spPr bwMode="auto">
        <a:xfrm>
          <a:off x="2205990" y="13115925"/>
          <a:ext cx="33204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687705</xdr:colOff>
      <xdr:row>72</xdr:row>
      <xdr:rowOff>129540</xdr:rowOff>
    </xdr:to>
    <xdr:sp macro="" textlink="">
      <xdr:nvSpPr>
        <xdr:cNvPr id="17" name="Text Box 3"/>
        <xdr:cNvSpPr txBox="1">
          <a:spLocks noChangeArrowheads="1"/>
        </xdr:cNvSpPr>
      </xdr:nvSpPr>
      <xdr:spPr bwMode="auto">
        <a:xfrm>
          <a:off x="2205990" y="7160895"/>
          <a:ext cx="34537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687705</xdr:colOff>
      <xdr:row>104</xdr:row>
      <xdr:rowOff>144779</xdr:rowOff>
    </xdr:to>
    <xdr:sp macro="" textlink="">
      <xdr:nvSpPr>
        <xdr:cNvPr id="18" name="Text Box 3"/>
        <xdr:cNvSpPr txBox="1">
          <a:spLocks noChangeArrowheads="1"/>
        </xdr:cNvSpPr>
      </xdr:nvSpPr>
      <xdr:spPr bwMode="auto">
        <a:xfrm>
          <a:off x="2205990" y="13115925"/>
          <a:ext cx="34537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687705</xdr:colOff>
      <xdr:row>72</xdr:row>
      <xdr:rowOff>129540</xdr:rowOff>
    </xdr:to>
    <xdr:sp macro="" textlink="">
      <xdr:nvSpPr>
        <xdr:cNvPr id="19" name="Text Box 3"/>
        <xdr:cNvSpPr txBox="1">
          <a:spLocks noChangeArrowheads="1"/>
        </xdr:cNvSpPr>
      </xdr:nvSpPr>
      <xdr:spPr bwMode="auto">
        <a:xfrm>
          <a:off x="2205990" y="7160895"/>
          <a:ext cx="34537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687705</xdr:colOff>
      <xdr:row>104</xdr:row>
      <xdr:rowOff>144779</xdr:rowOff>
    </xdr:to>
    <xdr:sp macro="" textlink="">
      <xdr:nvSpPr>
        <xdr:cNvPr id="20" name="Text Box 3"/>
        <xdr:cNvSpPr txBox="1">
          <a:spLocks noChangeArrowheads="1"/>
        </xdr:cNvSpPr>
      </xdr:nvSpPr>
      <xdr:spPr bwMode="auto">
        <a:xfrm>
          <a:off x="2205990" y="13115925"/>
          <a:ext cx="34537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554355</xdr:colOff>
      <xdr:row>72</xdr:row>
      <xdr:rowOff>129540</xdr:rowOff>
    </xdr:to>
    <xdr:sp macro="" textlink="">
      <xdr:nvSpPr>
        <xdr:cNvPr id="24" name="Text Box 3"/>
        <xdr:cNvSpPr txBox="1">
          <a:spLocks noChangeArrowheads="1"/>
        </xdr:cNvSpPr>
      </xdr:nvSpPr>
      <xdr:spPr bwMode="auto">
        <a:xfrm>
          <a:off x="2205990" y="7160895"/>
          <a:ext cx="33204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554355</xdr:colOff>
      <xdr:row>104</xdr:row>
      <xdr:rowOff>144779</xdr:rowOff>
    </xdr:to>
    <xdr:sp macro="" textlink="">
      <xdr:nvSpPr>
        <xdr:cNvPr id="25" name="Text Box 3"/>
        <xdr:cNvSpPr txBox="1">
          <a:spLocks noChangeArrowheads="1"/>
        </xdr:cNvSpPr>
      </xdr:nvSpPr>
      <xdr:spPr bwMode="auto">
        <a:xfrm>
          <a:off x="2205990" y="13115925"/>
          <a:ext cx="33204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554355</xdr:colOff>
      <xdr:row>72</xdr:row>
      <xdr:rowOff>129540</xdr:rowOff>
    </xdr:to>
    <xdr:sp macro="" textlink="">
      <xdr:nvSpPr>
        <xdr:cNvPr id="26" name="Text Box 3"/>
        <xdr:cNvSpPr txBox="1">
          <a:spLocks noChangeArrowheads="1"/>
        </xdr:cNvSpPr>
      </xdr:nvSpPr>
      <xdr:spPr bwMode="auto">
        <a:xfrm>
          <a:off x="2205990" y="7160895"/>
          <a:ext cx="33204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554355</xdr:colOff>
      <xdr:row>104</xdr:row>
      <xdr:rowOff>144779</xdr:rowOff>
    </xdr:to>
    <xdr:sp macro="" textlink="">
      <xdr:nvSpPr>
        <xdr:cNvPr id="28" name="Text Box 3"/>
        <xdr:cNvSpPr txBox="1">
          <a:spLocks noChangeArrowheads="1"/>
        </xdr:cNvSpPr>
      </xdr:nvSpPr>
      <xdr:spPr bwMode="auto">
        <a:xfrm>
          <a:off x="2205990" y="13115925"/>
          <a:ext cx="33204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8</xdr:col>
      <xdr:colOff>87630</xdr:colOff>
      <xdr:row>104</xdr:row>
      <xdr:rowOff>144779</xdr:rowOff>
    </xdr:to>
    <xdr:sp macro="" textlink="">
      <xdr:nvSpPr>
        <xdr:cNvPr id="30" name="Text 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8</xdr:col>
      <xdr:colOff>87630</xdr:colOff>
      <xdr:row>72</xdr:row>
      <xdr:rowOff>129539</xdr:rowOff>
    </xdr:to>
    <xdr:sp macro="" textlink="">
      <xdr:nvSpPr>
        <xdr:cNvPr id="31" name="Text Box 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8</xdr:col>
      <xdr:colOff>87630</xdr:colOff>
      <xdr:row>104</xdr:row>
      <xdr:rowOff>144779</xdr:rowOff>
    </xdr:to>
    <xdr:sp macro="" textlink="">
      <xdr:nvSpPr>
        <xdr:cNvPr id="32" name="Text Box 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744855</xdr:colOff>
      <xdr:row>72</xdr:row>
      <xdr:rowOff>129539</xdr:rowOff>
    </xdr:to>
    <xdr:sp macro="" textlink="">
      <xdr:nvSpPr>
        <xdr:cNvPr id="35" name="Text Box 3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744855</xdr:colOff>
      <xdr:row>104</xdr:row>
      <xdr:rowOff>144779</xdr:rowOff>
    </xdr:to>
    <xdr:sp macro="" textlink="">
      <xdr:nvSpPr>
        <xdr:cNvPr id="36" name="Text Box 3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744855</xdr:colOff>
      <xdr:row>72</xdr:row>
      <xdr:rowOff>129539</xdr:rowOff>
    </xdr:to>
    <xdr:sp macro="" textlink="">
      <xdr:nvSpPr>
        <xdr:cNvPr id="37" name="Text Box 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744855</xdr:colOff>
      <xdr:row>104</xdr:row>
      <xdr:rowOff>144779</xdr:rowOff>
    </xdr:to>
    <xdr:sp macro="" textlink="">
      <xdr:nvSpPr>
        <xdr:cNvPr id="39" name="Text Box 3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8</xdr:col>
      <xdr:colOff>87630</xdr:colOff>
      <xdr:row>72</xdr:row>
      <xdr:rowOff>129539</xdr:rowOff>
    </xdr:to>
    <xdr:sp macro="" textlink="">
      <xdr:nvSpPr>
        <xdr:cNvPr id="43" name="Text Box 3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8</xdr:col>
      <xdr:colOff>87630</xdr:colOff>
      <xdr:row>104</xdr:row>
      <xdr:rowOff>144779</xdr:rowOff>
    </xdr:to>
    <xdr:sp macro="" textlink="">
      <xdr:nvSpPr>
        <xdr:cNvPr id="44" name="Text Box 3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8</xdr:col>
      <xdr:colOff>87630</xdr:colOff>
      <xdr:row>72</xdr:row>
      <xdr:rowOff>129539</xdr:rowOff>
    </xdr:to>
    <xdr:sp macro="" textlink="">
      <xdr:nvSpPr>
        <xdr:cNvPr id="45" name="Text Box 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8</xdr:col>
      <xdr:colOff>87630</xdr:colOff>
      <xdr:row>104</xdr:row>
      <xdr:rowOff>144779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744855</xdr:colOff>
      <xdr:row>72</xdr:row>
      <xdr:rowOff>129539</xdr:rowOff>
    </xdr:to>
    <xdr:sp macro="" textlink="">
      <xdr:nvSpPr>
        <xdr:cNvPr id="50" name="Text Box 3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>
          <a:spLocks noChangeArrowheads="1"/>
        </xdr:cNvSpPr>
      </xdr:nvSpPr>
      <xdr:spPr bwMode="auto">
        <a:xfrm>
          <a:off x="2205990" y="7113270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744855</xdr:colOff>
      <xdr:row>104</xdr:row>
      <xdr:rowOff>144779</xdr:rowOff>
    </xdr:to>
    <xdr:sp macro="" textlink="">
      <xdr:nvSpPr>
        <xdr:cNvPr id="51" name="Text Box 3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744855</xdr:colOff>
      <xdr:row>104</xdr:row>
      <xdr:rowOff>144779</xdr:rowOff>
    </xdr:to>
    <xdr:sp macro="" textlink="">
      <xdr:nvSpPr>
        <xdr:cNvPr id="53" name="Text Box 3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>
          <a:spLocks noChangeArrowheads="1"/>
        </xdr:cNvSpPr>
      </xdr:nvSpPr>
      <xdr:spPr bwMode="auto">
        <a:xfrm>
          <a:off x="2205990" y="130016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3</xdr:col>
      <xdr:colOff>624840</xdr:colOff>
      <xdr:row>109</xdr:row>
      <xdr:rowOff>0</xdr:rowOff>
    </xdr:from>
    <xdr:ext cx="3356928" cy="204470"/>
    <xdr:sp macro="" textlink="">
      <xdr:nvSpPr>
        <xdr:cNvPr id="34" name="Text Box 3"/>
        <xdr:cNvSpPr txBox="1">
          <a:spLocks noChangeArrowheads="1"/>
        </xdr:cNvSpPr>
      </xdr:nvSpPr>
      <xdr:spPr bwMode="auto">
        <a:xfrm>
          <a:off x="2212340" y="7058898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356928" cy="204470"/>
    <xdr:sp macro="" textlink="">
      <xdr:nvSpPr>
        <xdr:cNvPr id="38" name="Text Box 3"/>
        <xdr:cNvSpPr txBox="1">
          <a:spLocks noChangeArrowheads="1"/>
        </xdr:cNvSpPr>
      </xdr:nvSpPr>
      <xdr:spPr bwMode="auto">
        <a:xfrm>
          <a:off x="2212340" y="7058898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223578" cy="204470"/>
    <xdr:sp macro="" textlink="">
      <xdr:nvSpPr>
        <xdr:cNvPr id="40" name="Text Box 3"/>
        <xdr:cNvSpPr txBox="1">
          <a:spLocks noChangeArrowheads="1"/>
        </xdr:cNvSpPr>
      </xdr:nvSpPr>
      <xdr:spPr bwMode="auto">
        <a:xfrm>
          <a:off x="2212340" y="7058898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223578" cy="204470"/>
    <xdr:sp macro="" textlink="">
      <xdr:nvSpPr>
        <xdr:cNvPr id="41" name="Text Box 3"/>
        <xdr:cNvSpPr txBox="1">
          <a:spLocks noChangeArrowheads="1"/>
        </xdr:cNvSpPr>
      </xdr:nvSpPr>
      <xdr:spPr bwMode="auto">
        <a:xfrm>
          <a:off x="2212340" y="7058898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356928" cy="204470"/>
    <xdr:sp macro="" textlink="">
      <xdr:nvSpPr>
        <xdr:cNvPr id="42" name="Text Box 3"/>
        <xdr:cNvSpPr txBox="1">
          <a:spLocks noChangeArrowheads="1"/>
        </xdr:cNvSpPr>
      </xdr:nvSpPr>
      <xdr:spPr bwMode="auto">
        <a:xfrm>
          <a:off x="2212340" y="7058898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356928" cy="204470"/>
    <xdr:sp macro="" textlink="">
      <xdr:nvSpPr>
        <xdr:cNvPr id="47" name="Text Box 3"/>
        <xdr:cNvSpPr txBox="1">
          <a:spLocks noChangeArrowheads="1"/>
        </xdr:cNvSpPr>
      </xdr:nvSpPr>
      <xdr:spPr bwMode="auto">
        <a:xfrm>
          <a:off x="2212340" y="7058898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223578" cy="204470"/>
    <xdr:sp macro="" textlink="">
      <xdr:nvSpPr>
        <xdr:cNvPr id="48" name="Text Box 3"/>
        <xdr:cNvSpPr txBox="1">
          <a:spLocks noChangeArrowheads="1"/>
        </xdr:cNvSpPr>
      </xdr:nvSpPr>
      <xdr:spPr bwMode="auto">
        <a:xfrm>
          <a:off x="2212340" y="7058898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223578" cy="204470"/>
    <xdr:sp macro="" textlink="">
      <xdr:nvSpPr>
        <xdr:cNvPr id="49" name="Text Box 3"/>
        <xdr:cNvSpPr txBox="1">
          <a:spLocks noChangeArrowheads="1"/>
        </xdr:cNvSpPr>
      </xdr:nvSpPr>
      <xdr:spPr bwMode="auto">
        <a:xfrm>
          <a:off x="2212340" y="7058898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550603" cy="204469"/>
    <xdr:sp macro="" textlink="">
      <xdr:nvSpPr>
        <xdr:cNvPr id="52" name="Text Box 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414078" cy="204469"/>
    <xdr:sp macro="" textlink="">
      <xdr:nvSpPr>
        <xdr:cNvPr id="54" name="Text Box 3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414078" cy="204469"/>
    <xdr:sp macro="" textlink="">
      <xdr:nvSpPr>
        <xdr:cNvPr id="55" name="Text Box 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550603" cy="204469"/>
    <xdr:sp macro="" textlink="">
      <xdr:nvSpPr>
        <xdr:cNvPr id="56" name="Text Box 3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550603" cy="204469"/>
    <xdr:sp macro="" textlink="">
      <xdr:nvSpPr>
        <xdr:cNvPr id="57" name="Text Box 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414078" cy="204469"/>
    <xdr:sp macro="" textlink="">
      <xdr:nvSpPr>
        <xdr:cNvPr id="58" name="Text Box 3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>
          <a:spLocks noChangeArrowheads="1"/>
        </xdr:cNvSpPr>
      </xdr:nvSpPr>
      <xdr:spPr bwMode="auto">
        <a:xfrm>
          <a:off x="2212340" y="7058898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3</xdr:col>
      <xdr:colOff>624840</xdr:colOff>
      <xdr:row>71</xdr:row>
      <xdr:rowOff>83820</xdr:rowOff>
    </xdr:from>
    <xdr:to>
      <xdr:col>7</xdr:col>
      <xdr:colOff>687705</xdr:colOff>
      <xdr:row>72</xdr:row>
      <xdr:rowOff>129540</xdr:rowOff>
    </xdr:to>
    <xdr:sp macro="" textlink="">
      <xdr:nvSpPr>
        <xdr:cNvPr id="59" name="Text Box 3"/>
        <xdr:cNvSpPr txBox="1">
          <a:spLocks noChangeArrowheads="1"/>
        </xdr:cNvSpPr>
      </xdr:nvSpPr>
      <xdr:spPr bwMode="auto">
        <a:xfrm>
          <a:off x="2205990" y="14390370"/>
          <a:ext cx="33585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687705</xdr:colOff>
      <xdr:row>104</xdr:row>
      <xdr:rowOff>144779</xdr:rowOff>
    </xdr:to>
    <xdr:sp macro="" textlink="">
      <xdr:nvSpPr>
        <xdr:cNvPr id="60" name="Text Box 3"/>
        <xdr:cNvSpPr txBox="1">
          <a:spLocks noChangeArrowheads="1"/>
        </xdr:cNvSpPr>
      </xdr:nvSpPr>
      <xdr:spPr bwMode="auto">
        <a:xfrm>
          <a:off x="2205990" y="20278725"/>
          <a:ext cx="33585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687705</xdr:colOff>
      <xdr:row>72</xdr:row>
      <xdr:rowOff>129540</xdr:rowOff>
    </xdr:to>
    <xdr:sp macro="" textlink="">
      <xdr:nvSpPr>
        <xdr:cNvPr id="61" name="Text Box 3"/>
        <xdr:cNvSpPr txBox="1">
          <a:spLocks noChangeArrowheads="1"/>
        </xdr:cNvSpPr>
      </xdr:nvSpPr>
      <xdr:spPr bwMode="auto">
        <a:xfrm>
          <a:off x="2205990" y="14390370"/>
          <a:ext cx="33585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687705</xdr:colOff>
      <xdr:row>104</xdr:row>
      <xdr:rowOff>144779</xdr:rowOff>
    </xdr:to>
    <xdr:sp macro="" textlink="">
      <xdr:nvSpPr>
        <xdr:cNvPr id="62" name="Text Box 3"/>
        <xdr:cNvSpPr txBox="1">
          <a:spLocks noChangeArrowheads="1"/>
        </xdr:cNvSpPr>
      </xdr:nvSpPr>
      <xdr:spPr bwMode="auto">
        <a:xfrm>
          <a:off x="2205990" y="20278725"/>
          <a:ext cx="33585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554355</xdr:colOff>
      <xdr:row>72</xdr:row>
      <xdr:rowOff>129540</xdr:rowOff>
    </xdr:to>
    <xdr:sp macro="" textlink="">
      <xdr:nvSpPr>
        <xdr:cNvPr id="63" name="Text Box 3"/>
        <xdr:cNvSpPr txBox="1">
          <a:spLocks noChangeArrowheads="1"/>
        </xdr:cNvSpPr>
      </xdr:nvSpPr>
      <xdr:spPr bwMode="auto">
        <a:xfrm>
          <a:off x="2205990" y="14390370"/>
          <a:ext cx="32251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554355</xdr:colOff>
      <xdr:row>104</xdr:row>
      <xdr:rowOff>144779</xdr:rowOff>
    </xdr:to>
    <xdr:sp macro="" textlink="">
      <xdr:nvSpPr>
        <xdr:cNvPr id="64" name="Text Box 3"/>
        <xdr:cNvSpPr txBox="1">
          <a:spLocks noChangeArrowheads="1"/>
        </xdr:cNvSpPr>
      </xdr:nvSpPr>
      <xdr:spPr bwMode="auto">
        <a:xfrm>
          <a:off x="2205990" y="20278725"/>
          <a:ext cx="32251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554355</xdr:colOff>
      <xdr:row>72</xdr:row>
      <xdr:rowOff>129540</xdr:rowOff>
    </xdr:to>
    <xdr:sp macro="" textlink="">
      <xdr:nvSpPr>
        <xdr:cNvPr id="65" name="Text Box 3"/>
        <xdr:cNvSpPr txBox="1">
          <a:spLocks noChangeArrowheads="1"/>
        </xdr:cNvSpPr>
      </xdr:nvSpPr>
      <xdr:spPr bwMode="auto">
        <a:xfrm>
          <a:off x="2205990" y="14390370"/>
          <a:ext cx="32251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554355</xdr:colOff>
      <xdr:row>104</xdr:row>
      <xdr:rowOff>144779</xdr:rowOff>
    </xdr:to>
    <xdr:sp macro="" textlink="">
      <xdr:nvSpPr>
        <xdr:cNvPr id="66" name="Text Box 3"/>
        <xdr:cNvSpPr txBox="1">
          <a:spLocks noChangeArrowheads="1"/>
        </xdr:cNvSpPr>
      </xdr:nvSpPr>
      <xdr:spPr bwMode="auto">
        <a:xfrm>
          <a:off x="2205990" y="20278725"/>
          <a:ext cx="32251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687705</xdr:colOff>
      <xdr:row>72</xdr:row>
      <xdr:rowOff>129540</xdr:rowOff>
    </xdr:to>
    <xdr:sp macro="" textlink="">
      <xdr:nvSpPr>
        <xdr:cNvPr id="67" name="Text Box 3"/>
        <xdr:cNvSpPr txBox="1">
          <a:spLocks noChangeArrowheads="1"/>
        </xdr:cNvSpPr>
      </xdr:nvSpPr>
      <xdr:spPr bwMode="auto">
        <a:xfrm>
          <a:off x="2205990" y="14390370"/>
          <a:ext cx="33585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687705</xdr:colOff>
      <xdr:row>104</xdr:row>
      <xdr:rowOff>144779</xdr:rowOff>
    </xdr:to>
    <xdr:sp macro="" textlink="">
      <xdr:nvSpPr>
        <xdr:cNvPr id="68" name="Text Box 3"/>
        <xdr:cNvSpPr txBox="1">
          <a:spLocks noChangeArrowheads="1"/>
        </xdr:cNvSpPr>
      </xdr:nvSpPr>
      <xdr:spPr bwMode="auto">
        <a:xfrm>
          <a:off x="2205990" y="20278725"/>
          <a:ext cx="33585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687705</xdr:colOff>
      <xdr:row>72</xdr:row>
      <xdr:rowOff>129540</xdr:rowOff>
    </xdr:to>
    <xdr:sp macro="" textlink="">
      <xdr:nvSpPr>
        <xdr:cNvPr id="69" name="Text Box 3"/>
        <xdr:cNvSpPr txBox="1">
          <a:spLocks noChangeArrowheads="1"/>
        </xdr:cNvSpPr>
      </xdr:nvSpPr>
      <xdr:spPr bwMode="auto">
        <a:xfrm>
          <a:off x="2205990" y="14390370"/>
          <a:ext cx="33585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687705</xdr:colOff>
      <xdr:row>104</xdr:row>
      <xdr:rowOff>144779</xdr:rowOff>
    </xdr:to>
    <xdr:sp macro="" textlink="">
      <xdr:nvSpPr>
        <xdr:cNvPr id="70" name="Text Box 3"/>
        <xdr:cNvSpPr txBox="1">
          <a:spLocks noChangeArrowheads="1"/>
        </xdr:cNvSpPr>
      </xdr:nvSpPr>
      <xdr:spPr bwMode="auto">
        <a:xfrm>
          <a:off x="2205990" y="20278725"/>
          <a:ext cx="33585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554355</xdr:colOff>
      <xdr:row>72</xdr:row>
      <xdr:rowOff>129540</xdr:rowOff>
    </xdr:to>
    <xdr:sp macro="" textlink="">
      <xdr:nvSpPr>
        <xdr:cNvPr id="71" name="Text Box 3"/>
        <xdr:cNvSpPr txBox="1">
          <a:spLocks noChangeArrowheads="1"/>
        </xdr:cNvSpPr>
      </xdr:nvSpPr>
      <xdr:spPr bwMode="auto">
        <a:xfrm>
          <a:off x="2205990" y="14390370"/>
          <a:ext cx="32251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554355</xdr:colOff>
      <xdr:row>104</xdr:row>
      <xdr:rowOff>144779</xdr:rowOff>
    </xdr:to>
    <xdr:sp macro="" textlink="">
      <xdr:nvSpPr>
        <xdr:cNvPr id="72" name="Text Box 3"/>
        <xdr:cNvSpPr txBox="1">
          <a:spLocks noChangeArrowheads="1"/>
        </xdr:cNvSpPr>
      </xdr:nvSpPr>
      <xdr:spPr bwMode="auto">
        <a:xfrm>
          <a:off x="2205990" y="20278725"/>
          <a:ext cx="32251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554355</xdr:colOff>
      <xdr:row>72</xdr:row>
      <xdr:rowOff>129540</xdr:rowOff>
    </xdr:to>
    <xdr:sp macro="" textlink="">
      <xdr:nvSpPr>
        <xdr:cNvPr id="73" name="Text Box 3"/>
        <xdr:cNvSpPr txBox="1">
          <a:spLocks noChangeArrowheads="1"/>
        </xdr:cNvSpPr>
      </xdr:nvSpPr>
      <xdr:spPr bwMode="auto">
        <a:xfrm>
          <a:off x="2205990" y="14390370"/>
          <a:ext cx="32251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554355</xdr:colOff>
      <xdr:row>104</xdr:row>
      <xdr:rowOff>144779</xdr:rowOff>
    </xdr:to>
    <xdr:sp macro="" textlink="">
      <xdr:nvSpPr>
        <xdr:cNvPr id="75" name="Text Box 3"/>
        <xdr:cNvSpPr txBox="1">
          <a:spLocks noChangeArrowheads="1"/>
        </xdr:cNvSpPr>
      </xdr:nvSpPr>
      <xdr:spPr bwMode="auto">
        <a:xfrm>
          <a:off x="2205990" y="20278725"/>
          <a:ext cx="32251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8</xdr:col>
      <xdr:colOff>87630</xdr:colOff>
      <xdr:row>104</xdr:row>
      <xdr:rowOff>144779</xdr:rowOff>
    </xdr:to>
    <xdr:sp macro="" textlink="">
      <xdr:nvSpPr>
        <xdr:cNvPr id="77" name="Text 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8</xdr:col>
      <xdr:colOff>87630</xdr:colOff>
      <xdr:row>72</xdr:row>
      <xdr:rowOff>129539</xdr:rowOff>
    </xdr:to>
    <xdr:sp macro="" textlink="">
      <xdr:nvSpPr>
        <xdr:cNvPr id="78" name="Text Box 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8</xdr:col>
      <xdr:colOff>87630</xdr:colOff>
      <xdr:row>104</xdr:row>
      <xdr:rowOff>144779</xdr:rowOff>
    </xdr:to>
    <xdr:sp macro="" textlink="">
      <xdr:nvSpPr>
        <xdr:cNvPr id="79" name="Text Box 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744855</xdr:colOff>
      <xdr:row>72</xdr:row>
      <xdr:rowOff>129539</xdr:rowOff>
    </xdr:to>
    <xdr:sp macro="" textlink="">
      <xdr:nvSpPr>
        <xdr:cNvPr id="80" name="Text Box 3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744855</xdr:colOff>
      <xdr:row>104</xdr:row>
      <xdr:rowOff>144779</xdr:rowOff>
    </xdr:to>
    <xdr:sp macro="" textlink="">
      <xdr:nvSpPr>
        <xdr:cNvPr id="81" name="Text Box 3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744855</xdr:colOff>
      <xdr:row>72</xdr:row>
      <xdr:rowOff>129539</xdr:rowOff>
    </xdr:to>
    <xdr:sp macro="" textlink="">
      <xdr:nvSpPr>
        <xdr:cNvPr id="82" name="Text Box 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744855</xdr:colOff>
      <xdr:row>104</xdr:row>
      <xdr:rowOff>144779</xdr:rowOff>
    </xdr:to>
    <xdr:sp macro="" textlink="">
      <xdr:nvSpPr>
        <xdr:cNvPr id="83" name="Text Box 3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8</xdr:col>
      <xdr:colOff>87630</xdr:colOff>
      <xdr:row>72</xdr:row>
      <xdr:rowOff>129539</xdr:rowOff>
    </xdr:to>
    <xdr:sp macro="" textlink="">
      <xdr:nvSpPr>
        <xdr:cNvPr id="84" name="Text Box 3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8</xdr:col>
      <xdr:colOff>87630</xdr:colOff>
      <xdr:row>104</xdr:row>
      <xdr:rowOff>144779</xdr:rowOff>
    </xdr:to>
    <xdr:sp macro="" textlink="">
      <xdr:nvSpPr>
        <xdr:cNvPr id="85" name="Text Box 3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8</xdr:col>
      <xdr:colOff>87630</xdr:colOff>
      <xdr:row>72</xdr:row>
      <xdr:rowOff>129539</xdr:rowOff>
    </xdr:to>
    <xdr:sp macro="" textlink="">
      <xdr:nvSpPr>
        <xdr:cNvPr id="86" name="Text Box 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8</xdr:col>
      <xdr:colOff>87630</xdr:colOff>
      <xdr:row>104</xdr:row>
      <xdr:rowOff>144779</xdr:rowOff>
    </xdr:to>
    <xdr:sp macro="" textlink="">
      <xdr:nvSpPr>
        <xdr:cNvPr id="87" name="Text Box 3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744855</xdr:colOff>
      <xdr:row>72</xdr:row>
      <xdr:rowOff>129539</xdr:rowOff>
    </xdr:to>
    <xdr:sp macro="" textlink="">
      <xdr:nvSpPr>
        <xdr:cNvPr id="88" name="Text Box 3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>
          <a:spLocks noChangeArrowheads="1"/>
        </xdr:cNvSpPr>
      </xdr:nvSpPr>
      <xdr:spPr bwMode="auto">
        <a:xfrm>
          <a:off x="2205990" y="14390370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744855</xdr:colOff>
      <xdr:row>104</xdr:row>
      <xdr:rowOff>144779</xdr:rowOff>
    </xdr:to>
    <xdr:sp macro="" textlink="">
      <xdr:nvSpPr>
        <xdr:cNvPr id="89" name="Text Box 3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744855</xdr:colOff>
      <xdr:row>104</xdr:row>
      <xdr:rowOff>144779</xdr:rowOff>
    </xdr:to>
    <xdr:sp macro="" textlink="">
      <xdr:nvSpPr>
        <xdr:cNvPr id="90" name="Text Box 3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>
          <a:spLocks noChangeArrowheads="1"/>
        </xdr:cNvSpPr>
      </xdr:nvSpPr>
      <xdr:spPr bwMode="auto">
        <a:xfrm>
          <a:off x="2205990" y="20278725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3</xdr:col>
      <xdr:colOff>624840</xdr:colOff>
      <xdr:row>109</xdr:row>
      <xdr:rowOff>0</xdr:rowOff>
    </xdr:from>
    <xdr:ext cx="3356928" cy="204470"/>
    <xdr:sp macro="" textlink="">
      <xdr:nvSpPr>
        <xdr:cNvPr id="91" name="Text Box 3"/>
        <xdr:cNvSpPr txBox="1">
          <a:spLocks noChangeArrowheads="1"/>
        </xdr:cNvSpPr>
      </xdr:nvSpPr>
      <xdr:spPr bwMode="auto">
        <a:xfrm>
          <a:off x="2205990" y="31725870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356928" cy="204470"/>
    <xdr:sp macro="" textlink="">
      <xdr:nvSpPr>
        <xdr:cNvPr id="92" name="Text Box 3"/>
        <xdr:cNvSpPr txBox="1">
          <a:spLocks noChangeArrowheads="1"/>
        </xdr:cNvSpPr>
      </xdr:nvSpPr>
      <xdr:spPr bwMode="auto">
        <a:xfrm>
          <a:off x="2205990" y="31725870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223578" cy="204470"/>
    <xdr:sp macro="" textlink="">
      <xdr:nvSpPr>
        <xdr:cNvPr id="93" name="Text Box 3"/>
        <xdr:cNvSpPr txBox="1">
          <a:spLocks noChangeArrowheads="1"/>
        </xdr:cNvSpPr>
      </xdr:nvSpPr>
      <xdr:spPr bwMode="auto">
        <a:xfrm>
          <a:off x="2205990" y="31725870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223578" cy="204470"/>
    <xdr:sp macro="" textlink="">
      <xdr:nvSpPr>
        <xdr:cNvPr id="94" name="Text Box 3"/>
        <xdr:cNvSpPr txBox="1">
          <a:spLocks noChangeArrowheads="1"/>
        </xdr:cNvSpPr>
      </xdr:nvSpPr>
      <xdr:spPr bwMode="auto">
        <a:xfrm>
          <a:off x="2205990" y="31725870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356928" cy="204470"/>
    <xdr:sp macro="" textlink="">
      <xdr:nvSpPr>
        <xdr:cNvPr id="95" name="Text Box 3"/>
        <xdr:cNvSpPr txBox="1">
          <a:spLocks noChangeArrowheads="1"/>
        </xdr:cNvSpPr>
      </xdr:nvSpPr>
      <xdr:spPr bwMode="auto">
        <a:xfrm>
          <a:off x="2205990" y="31725870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356928" cy="204470"/>
    <xdr:sp macro="" textlink="">
      <xdr:nvSpPr>
        <xdr:cNvPr id="96" name="Text Box 3"/>
        <xdr:cNvSpPr txBox="1">
          <a:spLocks noChangeArrowheads="1"/>
        </xdr:cNvSpPr>
      </xdr:nvSpPr>
      <xdr:spPr bwMode="auto">
        <a:xfrm>
          <a:off x="2205990" y="31725870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223578" cy="204470"/>
    <xdr:sp macro="" textlink="">
      <xdr:nvSpPr>
        <xdr:cNvPr id="97" name="Text Box 3"/>
        <xdr:cNvSpPr txBox="1">
          <a:spLocks noChangeArrowheads="1"/>
        </xdr:cNvSpPr>
      </xdr:nvSpPr>
      <xdr:spPr bwMode="auto">
        <a:xfrm>
          <a:off x="2205990" y="31725870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223578" cy="204470"/>
    <xdr:sp macro="" textlink="">
      <xdr:nvSpPr>
        <xdr:cNvPr id="98" name="Text Box 3"/>
        <xdr:cNvSpPr txBox="1">
          <a:spLocks noChangeArrowheads="1"/>
        </xdr:cNvSpPr>
      </xdr:nvSpPr>
      <xdr:spPr bwMode="auto">
        <a:xfrm>
          <a:off x="2205990" y="31725870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550603" cy="204469"/>
    <xdr:sp macro="" textlink="">
      <xdr:nvSpPr>
        <xdr:cNvPr id="99" name="Text Box 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414078" cy="204469"/>
    <xdr:sp macro="" textlink="">
      <xdr:nvSpPr>
        <xdr:cNvPr id="100" name="Text Box 3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414078" cy="204469"/>
    <xdr:sp macro="" textlink="">
      <xdr:nvSpPr>
        <xdr:cNvPr id="101" name="Text Box 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550603" cy="204469"/>
    <xdr:sp macro="" textlink="">
      <xdr:nvSpPr>
        <xdr:cNvPr id="102" name="Text Box 3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550603" cy="204469"/>
    <xdr:sp macro="" textlink="">
      <xdr:nvSpPr>
        <xdr:cNvPr id="103" name="Text Box 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414078" cy="204469"/>
    <xdr:sp macro="" textlink="">
      <xdr:nvSpPr>
        <xdr:cNvPr id="104" name="Text Box 3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>
          <a:spLocks noChangeArrowheads="1"/>
        </xdr:cNvSpPr>
      </xdr:nvSpPr>
      <xdr:spPr bwMode="auto">
        <a:xfrm>
          <a:off x="2205990" y="31725870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3</xdr:col>
      <xdr:colOff>624840</xdr:colOff>
      <xdr:row>71</xdr:row>
      <xdr:rowOff>83820</xdr:rowOff>
    </xdr:from>
    <xdr:to>
      <xdr:col>7</xdr:col>
      <xdr:colOff>687705</xdr:colOff>
      <xdr:row>72</xdr:row>
      <xdr:rowOff>129540</xdr:rowOff>
    </xdr:to>
    <xdr:sp macro="" textlink="">
      <xdr:nvSpPr>
        <xdr:cNvPr id="105" name="Text Box 3"/>
        <xdr:cNvSpPr txBox="1">
          <a:spLocks noChangeArrowheads="1"/>
        </xdr:cNvSpPr>
      </xdr:nvSpPr>
      <xdr:spPr bwMode="auto">
        <a:xfrm>
          <a:off x="2205990" y="14190345"/>
          <a:ext cx="33585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687705</xdr:colOff>
      <xdr:row>104</xdr:row>
      <xdr:rowOff>144779</xdr:rowOff>
    </xdr:to>
    <xdr:sp macro="" textlink="">
      <xdr:nvSpPr>
        <xdr:cNvPr id="106" name="Text Box 3"/>
        <xdr:cNvSpPr txBox="1">
          <a:spLocks noChangeArrowheads="1"/>
        </xdr:cNvSpPr>
      </xdr:nvSpPr>
      <xdr:spPr bwMode="auto">
        <a:xfrm>
          <a:off x="2205990" y="20078700"/>
          <a:ext cx="33585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687705</xdr:colOff>
      <xdr:row>72</xdr:row>
      <xdr:rowOff>129540</xdr:rowOff>
    </xdr:to>
    <xdr:sp macro="" textlink="">
      <xdr:nvSpPr>
        <xdr:cNvPr id="107" name="Text Box 3"/>
        <xdr:cNvSpPr txBox="1">
          <a:spLocks noChangeArrowheads="1"/>
        </xdr:cNvSpPr>
      </xdr:nvSpPr>
      <xdr:spPr bwMode="auto">
        <a:xfrm>
          <a:off x="2205990" y="14190345"/>
          <a:ext cx="33585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687705</xdr:colOff>
      <xdr:row>104</xdr:row>
      <xdr:rowOff>144779</xdr:rowOff>
    </xdr:to>
    <xdr:sp macro="" textlink="">
      <xdr:nvSpPr>
        <xdr:cNvPr id="108" name="Text Box 3"/>
        <xdr:cNvSpPr txBox="1">
          <a:spLocks noChangeArrowheads="1"/>
        </xdr:cNvSpPr>
      </xdr:nvSpPr>
      <xdr:spPr bwMode="auto">
        <a:xfrm>
          <a:off x="2205990" y="20078700"/>
          <a:ext cx="33585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554355</xdr:colOff>
      <xdr:row>72</xdr:row>
      <xdr:rowOff>129540</xdr:rowOff>
    </xdr:to>
    <xdr:sp macro="" textlink="">
      <xdr:nvSpPr>
        <xdr:cNvPr id="109" name="Text Box 3"/>
        <xdr:cNvSpPr txBox="1">
          <a:spLocks noChangeArrowheads="1"/>
        </xdr:cNvSpPr>
      </xdr:nvSpPr>
      <xdr:spPr bwMode="auto">
        <a:xfrm>
          <a:off x="2205990" y="14190345"/>
          <a:ext cx="32251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554355</xdr:colOff>
      <xdr:row>104</xdr:row>
      <xdr:rowOff>144779</xdr:rowOff>
    </xdr:to>
    <xdr:sp macro="" textlink="">
      <xdr:nvSpPr>
        <xdr:cNvPr id="110" name="Text Box 3"/>
        <xdr:cNvSpPr txBox="1">
          <a:spLocks noChangeArrowheads="1"/>
        </xdr:cNvSpPr>
      </xdr:nvSpPr>
      <xdr:spPr bwMode="auto">
        <a:xfrm>
          <a:off x="2205990" y="20078700"/>
          <a:ext cx="32251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554355</xdr:colOff>
      <xdr:row>72</xdr:row>
      <xdr:rowOff>129540</xdr:rowOff>
    </xdr:to>
    <xdr:sp macro="" textlink="">
      <xdr:nvSpPr>
        <xdr:cNvPr id="111" name="Text Box 3"/>
        <xdr:cNvSpPr txBox="1">
          <a:spLocks noChangeArrowheads="1"/>
        </xdr:cNvSpPr>
      </xdr:nvSpPr>
      <xdr:spPr bwMode="auto">
        <a:xfrm>
          <a:off x="2205990" y="14190345"/>
          <a:ext cx="32251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554355</xdr:colOff>
      <xdr:row>104</xdr:row>
      <xdr:rowOff>144779</xdr:rowOff>
    </xdr:to>
    <xdr:sp macro="" textlink="">
      <xdr:nvSpPr>
        <xdr:cNvPr id="112" name="Text Box 3"/>
        <xdr:cNvSpPr txBox="1">
          <a:spLocks noChangeArrowheads="1"/>
        </xdr:cNvSpPr>
      </xdr:nvSpPr>
      <xdr:spPr bwMode="auto">
        <a:xfrm>
          <a:off x="2205990" y="20078700"/>
          <a:ext cx="32251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687705</xdr:colOff>
      <xdr:row>72</xdr:row>
      <xdr:rowOff>129540</xdr:rowOff>
    </xdr:to>
    <xdr:sp macro="" textlink="">
      <xdr:nvSpPr>
        <xdr:cNvPr id="113" name="Text Box 3"/>
        <xdr:cNvSpPr txBox="1">
          <a:spLocks noChangeArrowheads="1"/>
        </xdr:cNvSpPr>
      </xdr:nvSpPr>
      <xdr:spPr bwMode="auto">
        <a:xfrm>
          <a:off x="2205990" y="14190345"/>
          <a:ext cx="33585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687705</xdr:colOff>
      <xdr:row>104</xdr:row>
      <xdr:rowOff>144779</xdr:rowOff>
    </xdr:to>
    <xdr:sp macro="" textlink="">
      <xdr:nvSpPr>
        <xdr:cNvPr id="114" name="Text Box 3"/>
        <xdr:cNvSpPr txBox="1">
          <a:spLocks noChangeArrowheads="1"/>
        </xdr:cNvSpPr>
      </xdr:nvSpPr>
      <xdr:spPr bwMode="auto">
        <a:xfrm>
          <a:off x="2205990" y="20078700"/>
          <a:ext cx="33585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687705</xdr:colOff>
      <xdr:row>72</xdr:row>
      <xdr:rowOff>129540</xdr:rowOff>
    </xdr:to>
    <xdr:sp macro="" textlink="">
      <xdr:nvSpPr>
        <xdr:cNvPr id="115" name="Text Box 3"/>
        <xdr:cNvSpPr txBox="1">
          <a:spLocks noChangeArrowheads="1"/>
        </xdr:cNvSpPr>
      </xdr:nvSpPr>
      <xdr:spPr bwMode="auto">
        <a:xfrm>
          <a:off x="2205990" y="14190345"/>
          <a:ext cx="33585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687705</xdr:colOff>
      <xdr:row>104</xdr:row>
      <xdr:rowOff>144779</xdr:rowOff>
    </xdr:to>
    <xdr:sp macro="" textlink="">
      <xdr:nvSpPr>
        <xdr:cNvPr id="116" name="Text Box 3"/>
        <xdr:cNvSpPr txBox="1">
          <a:spLocks noChangeArrowheads="1"/>
        </xdr:cNvSpPr>
      </xdr:nvSpPr>
      <xdr:spPr bwMode="auto">
        <a:xfrm>
          <a:off x="2205990" y="20078700"/>
          <a:ext cx="33585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554355</xdr:colOff>
      <xdr:row>72</xdr:row>
      <xdr:rowOff>129540</xdr:rowOff>
    </xdr:to>
    <xdr:sp macro="" textlink="">
      <xdr:nvSpPr>
        <xdr:cNvPr id="117" name="Text Box 3"/>
        <xdr:cNvSpPr txBox="1">
          <a:spLocks noChangeArrowheads="1"/>
        </xdr:cNvSpPr>
      </xdr:nvSpPr>
      <xdr:spPr bwMode="auto">
        <a:xfrm>
          <a:off x="2205990" y="14190345"/>
          <a:ext cx="32251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554355</xdr:colOff>
      <xdr:row>104</xdr:row>
      <xdr:rowOff>144779</xdr:rowOff>
    </xdr:to>
    <xdr:sp macro="" textlink="">
      <xdr:nvSpPr>
        <xdr:cNvPr id="118" name="Text Box 3"/>
        <xdr:cNvSpPr txBox="1">
          <a:spLocks noChangeArrowheads="1"/>
        </xdr:cNvSpPr>
      </xdr:nvSpPr>
      <xdr:spPr bwMode="auto">
        <a:xfrm>
          <a:off x="2205990" y="20078700"/>
          <a:ext cx="32251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554355</xdr:colOff>
      <xdr:row>72</xdr:row>
      <xdr:rowOff>129540</xdr:rowOff>
    </xdr:to>
    <xdr:sp macro="" textlink="">
      <xdr:nvSpPr>
        <xdr:cNvPr id="119" name="Text Box 3"/>
        <xdr:cNvSpPr txBox="1">
          <a:spLocks noChangeArrowheads="1"/>
        </xdr:cNvSpPr>
      </xdr:nvSpPr>
      <xdr:spPr bwMode="auto">
        <a:xfrm>
          <a:off x="2205990" y="14190345"/>
          <a:ext cx="32251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554355</xdr:colOff>
      <xdr:row>104</xdr:row>
      <xdr:rowOff>144779</xdr:rowOff>
    </xdr:to>
    <xdr:sp macro="" textlink="">
      <xdr:nvSpPr>
        <xdr:cNvPr id="121" name="Text Box 3"/>
        <xdr:cNvSpPr txBox="1">
          <a:spLocks noChangeArrowheads="1"/>
        </xdr:cNvSpPr>
      </xdr:nvSpPr>
      <xdr:spPr bwMode="auto">
        <a:xfrm>
          <a:off x="2205990" y="20078700"/>
          <a:ext cx="32251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8</xdr:col>
      <xdr:colOff>87630</xdr:colOff>
      <xdr:row>104</xdr:row>
      <xdr:rowOff>144779</xdr:rowOff>
    </xdr:to>
    <xdr:sp macro="" textlink="">
      <xdr:nvSpPr>
        <xdr:cNvPr id="123" name="Text 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2205990" y="20078700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8</xdr:col>
      <xdr:colOff>87630</xdr:colOff>
      <xdr:row>72</xdr:row>
      <xdr:rowOff>129539</xdr:rowOff>
    </xdr:to>
    <xdr:sp macro="" textlink="">
      <xdr:nvSpPr>
        <xdr:cNvPr id="124" name="Text Box 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>
          <a:spLocks noChangeArrowheads="1"/>
        </xdr:cNvSpPr>
      </xdr:nvSpPr>
      <xdr:spPr bwMode="auto">
        <a:xfrm>
          <a:off x="2205990" y="14190345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8</xdr:col>
      <xdr:colOff>87630</xdr:colOff>
      <xdr:row>104</xdr:row>
      <xdr:rowOff>144779</xdr:rowOff>
    </xdr:to>
    <xdr:sp macro="" textlink="">
      <xdr:nvSpPr>
        <xdr:cNvPr id="125" name="Text Box 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2205990" y="20078700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744855</xdr:colOff>
      <xdr:row>72</xdr:row>
      <xdr:rowOff>129539</xdr:rowOff>
    </xdr:to>
    <xdr:sp macro="" textlink="">
      <xdr:nvSpPr>
        <xdr:cNvPr id="126" name="Text Box 3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2205990" y="14190345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744855</xdr:colOff>
      <xdr:row>104</xdr:row>
      <xdr:rowOff>144779</xdr:rowOff>
    </xdr:to>
    <xdr:sp macro="" textlink="">
      <xdr:nvSpPr>
        <xdr:cNvPr id="127" name="Text Box 3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2205990" y="20078700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744855</xdr:colOff>
      <xdr:row>72</xdr:row>
      <xdr:rowOff>129539</xdr:rowOff>
    </xdr:to>
    <xdr:sp macro="" textlink="">
      <xdr:nvSpPr>
        <xdr:cNvPr id="128" name="Text Box 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2205990" y="14190345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744855</xdr:colOff>
      <xdr:row>104</xdr:row>
      <xdr:rowOff>144779</xdr:rowOff>
    </xdr:to>
    <xdr:sp macro="" textlink="">
      <xdr:nvSpPr>
        <xdr:cNvPr id="129" name="Text Box 3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>
          <a:spLocks noChangeArrowheads="1"/>
        </xdr:cNvSpPr>
      </xdr:nvSpPr>
      <xdr:spPr bwMode="auto">
        <a:xfrm>
          <a:off x="2205990" y="20078700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8</xdr:col>
      <xdr:colOff>87630</xdr:colOff>
      <xdr:row>72</xdr:row>
      <xdr:rowOff>129539</xdr:rowOff>
    </xdr:to>
    <xdr:sp macro="" textlink="">
      <xdr:nvSpPr>
        <xdr:cNvPr id="130" name="Text Box 3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2205990" y="14190345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8</xdr:col>
      <xdr:colOff>87630</xdr:colOff>
      <xdr:row>104</xdr:row>
      <xdr:rowOff>144779</xdr:rowOff>
    </xdr:to>
    <xdr:sp macro="" textlink="">
      <xdr:nvSpPr>
        <xdr:cNvPr id="131" name="Text Box 3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>
          <a:spLocks noChangeArrowheads="1"/>
        </xdr:cNvSpPr>
      </xdr:nvSpPr>
      <xdr:spPr bwMode="auto">
        <a:xfrm>
          <a:off x="2205990" y="20078700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8</xdr:col>
      <xdr:colOff>87630</xdr:colOff>
      <xdr:row>72</xdr:row>
      <xdr:rowOff>129539</xdr:rowOff>
    </xdr:to>
    <xdr:sp macro="" textlink="">
      <xdr:nvSpPr>
        <xdr:cNvPr id="132" name="Text Box 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>
          <a:spLocks noChangeArrowheads="1"/>
        </xdr:cNvSpPr>
      </xdr:nvSpPr>
      <xdr:spPr bwMode="auto">
        <a:xfrm>
          <a:off x="2205990" y="14190345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8</xdr:col>
      <xdr:colOff>87630</xdr:colOff>
      <xdr:row>104</xdr:row>
      <xdr:rowOff>144779</xdr:rowOff>
    </xdr:to>
    <xdr:sp macro="" textlink="">
      <xdr:nvSpPr>
        <xdr:cNvPr id="133" name="Text Box 3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>
          <a:spLocks noChangeArrowheads="1"/>
        </xdr:cNvSpPr>
      </xdr:nvSpPr>
      <xdr:spPr bwMode="auto">
        <a:xfrm>
          <a:off x="2205990" y="20078700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744855</xdr:colOff>
      <xdr:row>72</xdr:row>
      <xdr:rowOff>129539</xdr:rowOff>
    </xdr:to>
    <xdr:sp macro="" textlink="">
      <xdr:nvSpPr>
        <xdr:cNvPr id="134" name="Text Box 3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>
          <a:spLocks noChangeArrowheads="1"/>
        </xdr:cNvSpPr>
      </xdr:nvSpPr>
      <xdr:spPr bwMode="auto">
        <a:xfrm>
          <a:off x="2205990" y="14190345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744855</xdr:colOff>
      <xdr:row>104</xdr:row>
      <xdr:rowOff>144779</xdr:rowOff>
    </xdr:to>
    <xdr:sp macro="" textlink="">
      <xdr:nvSpPr>
        <xdr:cNvPr id="135" name="Text Box 3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>
          <a:spLocks noChangeArrowheads="1"/>
        </xdr:cNvSpPr>
      </xdr:nvSpPr>
      <xdr:spPr bwMode="auto">
        <a:xfrm>
          <a:off x="2205990" y="20078700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744855</xdr:colOff>
      <xdr:row>104</xdr:row>
      <xdr:rowOff>144779</xdr:rowOff>
    </xdr:to>
    <xdr:sp macro="" textlink="">
      <xdr:nvSpPr>
        <xdr:cNvPr id="136" name="Text Box 3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>
          <a:spLocks noChangeArrowheads="1"/>
        </xdr:cNvSpPr>
      </xdr:nvSpPr>
      <xdr:spPr bwMode="auto">
        <a:xfrm>
          <a:off x="2205990" y="20078700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3</xdr:col>
      <xdr:colOff>624840</xdr:colOff>
      <xdr:row>109</xdr:row>
      <xdr:rowOff>0</xdr:rowOff>
    </xdr:from>
    <xdr:ext cx="3356928" cy="204470"/>
    <xdr:sp macro="" textlink="">
      <xdr:nvSpPr>
        <xdr:cNvPr id="137" name="Text Box 3"/>
        <xdr:cNvSpPr txBox="1">
          <a:spLocks noChangeArrowheads="1"/>
        </xdr:cNvSpPr>
      </xdr:nvSpPr>
      <xdr:spPr bwMode="auto">
        <a:xfrm>
          <a:off x="2205990" y="31525845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356928" cy="204470"/>
    <xdr:sp macro="" textlink="">
      <xdr:nvSpPr>
        <xdr:cNvPr id="138" name="Text Box 3"/>
        <xdr:cNvSpPr txBox="1">
          <a:spLocks noChangeArrowheads="1"/>
        </xdr:cNvSpPr>
      </xdr:nvSpPr>
      <xdr:spPr bwMode="auto">
        <a:xfrm>
          <a:off x="2205990" y="31525845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223578" cy="204470"/>
    <xdr:sp macro="" textlink="">
      <xdr:nvSpPr>
        <xdr:cNvPr id="139" name="Text Box 3"/>
        <xdr:cNvSpPr txBox="1">
          <a:spLocks noChangeArrowheads="1"/>
        </xdr:cNvSpPr>
      </xdr:nvSpPr>
      <xdr:spPr bwMode="auto">
        <a:xfrm>
          <a:off x="2205990" y="31525845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223578" cy="204470"/>
    <xdr:sp macro="" textlink="">
      <xdr:nvSpPr>
        <xdr:cNvPr id="140" name="Text Box 3"/>
        <xdr:cNvSpPr txBox="1">
          <a:spLocks noChangeArrowheads="1"/>
        </xdr:cNvSpPr>
      </xdr:nvSpPr>
      <xdr:spPr bwMode="auto">
        <a:xfrm>
          <a:off x="2205990" y="31525845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356928" cy="204470"/>
    <xdr:sp macro="" textlink="">
      <xdr:nvSpPr>
        <xdr:cNvPr id="141" name="Text Box 3"/>
        <xdr:cNvSpPr txBox="1">
          <a:spLocks noChangeArrowheads="1"/>
        </xdr:cNvSpPr>
      </xdr:nvSpPr>
      <xdr:spPr bwMode="auto">
        <a:xfrm>
          <a:off x="2205990" y="31525845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356928" cy="204470"/>
    <xdr:sp macro="" textlink="">
      <xdr:nvSpPr>
        <xdr:cNvPr id="142" name="Text Box 3"/>
        <xdr:cNvSpPr txBox="1">
          <a:spLocks noChangeArrowheads="1"/>
        </xdr:cNvSpPr>
      </xdr:nvSpPr>
      <xdr:spPr bwMode="auto">
        <a:xfrm>
          <a:off x="2205990" y="31525845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223578" cy="204470"/>
    <xdr:sp macro="" textlink="">
      <xdr:nvSpPr>
        <xdr:cNvPr id="143" name="Text Box 3"/>
        <xdr:cNvSpPr txBox="1">
          <a:spLocks noChangeArrowheads="1"/>
        </xdr:cNvSpPr>
      </xdr:nvSpPr>
      <xdr:spPr bwMode="auto">
        <a:xfrm>
          <a:off x="2205990" y="31525845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223578" cy="204470"/>
    <xdr:sp macro="" textlink="">
      <xdr:nvSpPr>
        <xdr:cNvPr id="144" name="Text Box 3"/>
        <xdr:cNvSpPr txBox="1">
          <a:spLocks noChangeArrowheads="1"/>
        </xdr:cNvSpPr>
      </xdr:nvSpPr>
      <xdr:spPr bwMode="auto">
        <a:xfrm>
          <a:off x="2205990" y="31525845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550603" cy="204469"/>
    <xdr:sp macro="" textlink="">
      <xdr:nvSpPr>
        <xdr:cNvPr id="145" name="Text Box 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>
          <a:spLocks noChangeArrowheads="1"/>
        </xdr:cNvSpPr>
      </xdr:nvSpPr>
      <xdr:spPr bwMode="auto">
        <a:xfrm>
          <a:off x="2205990" y="31525845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414078" cy="204469"/>
    <xdr:sp macro="" textlink="">
      <xdr:nvSpPr>
        <xdr:cNvPr id="146" name="Text Box 3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2205990" y="31525845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414078" cy="204469"/>
    <xdr:sp macro="" textlink="">
      <xdr:nvSpPr>
        <xdr:cNvPr id="147" name="Text Box 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2205990" y="31525845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550603" cy="204469"/>
    <xdr:sp macro="" textlink="">
      <xdr:nvSpPr>
        <xdr:cNvPr id="148" name="Text Box 3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2205990" y="31525845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550603" cy="204469"/>
    <xdr:sp macro="" textlink="">
      <xdr:nvSpPr>
        <xdr:cNvPr id="149" name="Text Box 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>
          <a:spLocks noChangeArrowheads="1"/>
        </xdr:cNvSpPr>
      </xdr:nvSpPr>
      <xdr:spPr bwMode="auto">
        <a:xfrm>
          <a:off x="2205990" y="31525845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414078" cy="204469"/>
    <xdr:sp macro="" textlink="">
      <xdr:nvSpPr>
        <xdr:cNvPr id="150" name="Text Box 3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>
          <a:spLocks noChangeArrowheads="1"/>
        </xdr:cNvSpPr>
      </xdr:nvSpPr>
      <xdr:spPr bwMode="auto">
        <a:xfrm>
          <a:off x="2205990" y="31525845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3</xdr:col>
      <xdr:colOff>624840</xdr:colOff>
      <xdr:row>71</xdr:row>
      <xdr:rowOff>83820</xdr:rowOff>
    </xdr:from>
    <xdr:to>
      <xdr:col>7</xdr:col>
      <xdr:colOff>687705</xdr:colOff>
      <xdr:row>72</xdr:row>
      <xdr:rowOff>129540</xdr:rowOff>
    </xdr:to>
    <xdr:sp macro="" textlink="">
      <xdr:nvSpPr>
        <xdr:cNvPr id="151" name="Text Box 3"/>
        <xdr:cNvSpPr txBox="1">
          <a:spLocks noChangeArrowheads="1"/>
        </xdr:cNvSpPr>
      </xdr:nvSpPr>
      <xdr:spPr bwMode="auto">
        <a:xfrm>
          <a:off x="2205990" y="14190345"/>
          <a:ext cx="33585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687705</xdr:colOff>
      <xdr:row>104</xdr:row>
      <xdr:rowOff>144779</xdr:rowOff>
    </xdr:to>
    <xdr:sp macro="" textlink="">
      <xdr:nvSpPr>
        <xdr:cNvPr id="152" name="Text Box 3"/>
        <xdr:cNvSpPr txBox="1">
          <a:spLocks noChangeArrowheads="1"/>
        </xdr:cNvSpPr>
      </xdr:nvSpPr>
      <xdr:spPr bwMode="auto">
        <a:xfrm>
          <a:off x="2205990" y="20078700"/>
          <a:ext cx="33585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687705</xdr:colOff>
      <xdr:row>72</xdr:row>
      <xdr:rowOff>129540</xdr:rowOff>
    </xdr:to>
    <xdr:sp macro="" textlink="">
      <xdr:nvSpPr>
        <xdr:cNvPr id="153" name="Text Box 3"/>
        <xdr:cNvSpPr txBox="1">
          <a:spLocks noChangeArrowheads="1"/>
        </xdr:cNvSpPr>
      </xdr:nvSpPr>
      <xdr:spPr bwMode="auto">
        <a:xfrm>
          <a:off x="2205990" y="14190345"/>
          <a:ext cx="33585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687705</xdr:colOff>
      <xdr:row>104</xdr:row>
      <xdr:rowOff>144779</xdr:rowOff>
    </xdr:to>
    <xdr:sp macro="" textlink="">
      <xdr:nvSpPr>
        <xdr:cNvPr id="154" name="Text Box 3"/>
        <xdr:cNvSpPr txBox="1">
          <a:spLocks noChangeArrowheads="1"/>
        </xdr:cNvSpPr>
      </xdr:nvSpPr>
      <xdr:spPr bwMode="auto">
        <a:xfrm>
          <a:off x="2205990" y="20078700"/>
          <a:ext cx="33585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554355</xdr:colOff>
      <xdr:row>72</xdr:row>
      <xdr:rowOff>129540</xdr:rowOff>
    </xdr:to>
    <xdr:sp macro="" textlink="">
      <xdr:nvSpPr>
        <xdr:cNvPr id="155" name="Text Box 3"/>
        <xdr:cNvSpPr txBox="1">
          <a:spLocks noChangeArrowheads="1"/>
        </xdr:cNvSpPr>
      </xdr:nvSpPr>
      <xdr:spPr bwMode="auto">
        <a:xfrm>
          <a:off x="2205990" y="14190345"/>
          <a:ext cx="32251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554355</xdr:colOff>
      <xdr:row>104</xdr:row>
      <xdr:rowOff>144779</xdr:rowOff>
    </xdr:to>
    <xdr:sp macro="" textlink="">
      <xdr:nvSpPr>
        <xdr:cNvPr id="156" name="Text Box 3"/>
        <xdr:cNvSpPr txBox="1">
          <a:spLocks noChangeArrowheads="1"/>
        </xdr:cNvSpPr>
      </xdr:nvSpPr>
      <xdr:spPr bwMode="auto">
        <a:xfrm>
          <a:off x="2205990" y="20078700"/>
          <a:ext cx="32251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554355</xdr:colOff>
      <xdr:row>72</xdr:row>
      <xdr:rowOff>129540</xdr:rowOff>
    </xdr:to>
    <xdr:sp macro="" textlink="">
      <xdr:nvSpPr>
        <xdr:cNvPr id="157" name="Text Box 3"/>
        <xdr:cNvSpPr txBox="1">
          <a:spLocks noChangeArrowheads="1"/>
        </xdr:cNvSpPr>
      </xdr:nvSpPr>
      <xdr:spPr bwMode="auto">
        <a:xfrm>
          <a:off x="2205990" y="14190345"/>
          <a:ext cx="32251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554355</xdr:colOff>
      <xdr:row>104</xdr:row>
      <xdr:rowOff>144779</xdr:rowOff>
    </xdr:to>
    <xdr:sp macro="" textlink="">
      <xdr:nvSpPr>
        <xdr:cNvPr id="158" name="Text Box 3"/>
        <xdr:cNvSpPr txBox="1">
          <a:spLocks noChangeArrowheads="1"/>
        </xdr:cNvSpPr>
      </xdr:nvSpPr>
      <xdr:spPr bwMode="auto">
        <a:xfrm>
          <a:off x="2205990" y="20078700"/>
          <a:ext cx="32251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687705</xdr:colOff>
      <xdr:row>72</xdr:row>
      <xdr:rowOff>129540</xdr:rowOff>
    </xdr:to>
    <xdr:sp macro="" textlink="">
      <xdr:nvSpPr>
        <xdr:cNvPr id="159" name="Text Box 3"/>
        <xdr:cNvSpPr txBox="1">
          <a:spLocks noChangeArrowheads="1"/>
        </xdr:cNvSpPr>
      </xdr:nvSpPr>
      <xdr:spPr bwMode="auto">
        <a:xfrm>
          <a:off x="2205990" y="14190345"/>
          <a:ext cx="33585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687705</xdr:colOff>
      <xdr:row>104</xdr:row>
      <xdr:rowOff>144779</xdr:rowOff>
    </xdr:to>
    <xdr:sp macro="" textlink="">
      <xdr:nvSpPr>
        <xdr:cNvPr id="160" name="Text Box 3"/>
        <xdr:cNvSpPr txBox="1">
          <a:spLocks noChangeArrowheads="1"/>
        </xdr:cNvSpPr>
      </xdr:nvSpPr>
      <xdr:spPr bwMode="auto">
        <a:xfrm>
          <a:off x="2205990" y="20078700"/>
          <a:ext cx="33585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687705</xdr:colOff>
      <xdr:row>72</xdr:row>
      <xdr:rowOff>129540</xdr:rowOff>
    </xdr:to>
    <xdr:sp macro="" textlink="">
      <xdr:nvSpPr>
        <xdr:cNvPr id="161" name="Text Box 3"/>
        <xdr:cNvSpPr txBox="1">
          <a:spLocks noChangeArrowheads="1"/>
        </xdr:cNvSpPr>
      </xdr:nvSpPr>
      <xdr:spPr bwMode="auto">
        <a:xfrm>
          <a:off x="2205990" y="14190345"/>
          <a:ext cx="33585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687705</xdr:colOff>
      <xdr:row>104</xdr:row>
      <xdr:rowOff>144779</xdr:rowOff>
    </xdr:to>
    <xdr:sp macro="" textlink="">
      <xdr:nvSpPr>
        <xdr:cNvPr id="162" name="Text Box 3"/>
        <xdr:cNvSpPr txBox="1">
          <a:spLocks noChangeArrowheads="1"/>
        </xdr:cNvSpPr>
      </xdr:nvSpPr>
      <xdr:spPr bwMode="auto">
        <a:xfrm>
          <a:off x="2205990" y="20078700"/>
          <a:ext cx="33585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554355</xdr:colOff>
      <xdr:row>72</xdr:row>
      <xdr:rowOff>129540</xdr:rowOff>
    </xdr:to>
    <xdr:sp macro="" textlink="">
      <xdr:nvSpPr>
        <xdr:cNvPr id="163" name="Text Box 3"/>
        <xdr:cNvSpPr txBox="1">
          <a:spLocks noChangeArrowheads="1"/>
        </xdr:cNvSpPr>
      </xdr:nvSpPr>
      <xdr:spPr bwMode="auto">
        <a:xfrm>
          <a:off x="2205990" y="14190345"/>
          <a:ext cx="32251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554355</xdr:colOff>
      <xdr:row>104</xdr:row>
      <xdr:rowOff>144779</xdr:rowOff>
    </xdr:to>
    <xdr:sp macro="" textlink="">
      <xdr:nvSpPr>
        <xdr:cNvPr id="164" name="Text Box 3"/>
        <xdr:cNvSpPr txBox="1">
          <a:spLocks noChangeArrowheads="1"/>
        </xdr:cNvSpPr>
      </xdr:nvSpPr>
      <xdr:spPr bwMode="auto">
        <a:xfrm>
          <a:off x="2205990" y="20078700"/>
          <a:ext cx="32251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554355</xdr:colOff>
      <xdr:row>72</xdr:row>
      <xdr:rowOff>129540</xdr:rowOff>
    </xdr:to>
    <xdr:sp macro="" textlink="">
      <xdr:nvSpPr>
        <xdr:cNvPr id="165" name="Text Box 3"/>
        <xdr:cNvSpPr txBox="1">
          <a:spLocks noChangeArrowheads="1"/>
        </xdr:cNvSpPr>
      </xdr:nvSpPr>
      <xdr:spPr bwMode="auto">
        <a:xfrm>
          <a:off x="2205990" y="14190345"/>
          <a:ext cx="322516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369966</xdr:colOff>
      <xdr:row>71</xdr:row>
      <xdr:rowOff>25796</xdr:rowOff>
    </xdr:from>
    <xdr:to>
      <xdr:col>11</xdr:col>
      <xdr:colOff>609996</xdr:colOff>
      <xdr:row>89</xdr:row>
      <xdr:rowOff>36512</xdr:rowOff>
    </xdr:to>
    <xdr:graphicFrame macro="">
      <xdr:nvGraphicFramePr>
        <xdr:cNvPr id="1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554355</xdr:colOff>
      <xdr:row>104</xdr:row>
      <xdr:rowOff>144779</xdr:rowOff>
    </xdr:to>
    <xdr:sp macro="" textlink="">
      <xdr:nvSpPr>
        <xdr:cNvPr id="167" name="Text Box 3"/>
        <xdr:cNvSpPr txBox="1">
          <a:spLocks noChangeArrowheads="1"/>
        </xdr:cNvSpPr>
      </xdr:nvSpPr>
      <xdr:spPr bwMode="auto">
        <a:xfrm>
          <a:off x="2205990" y="20078700"/>
          <a:ext cx="32251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360361</xdr:colOff>
      <xdr:row>90</xdr:row>
      <xdr:rowOff>134222</xdr:rowOff>
    </xdr:from>
    <xdr:to>
      <xdr:col>11</xdr:col>
      <xdr:colOff>588961</xdr:colOff>
      <xdr:row>107</xdr:row>
      <xdr:rowOff>88503</xdr:rowOff>
    </xdr:to>
    <xdr:graphicFrame macro="">
      <xdr:nvGraphicFramePr>
        <xdr:cNvPr id="168" name="Chart 16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624840</xdr:colOff>
      <xdr:row>103</xdr:row>
      <xdr:rowOff>76200</xdr:rowOff>
    </xdr:from>
    <xdr:to>
      <xdr:col>8</xdr:col>
      <xdr:colOff>87630</xdr:colOff>
      <xdr:row>104</xdr:row>
      <xdr:rowOff>144779</xdr:rowOff>
    </xdr:to>
    <xdr:sp macro="" textlink="">
      <xdr:nvSpPr>
        <xdr:cNvPr id="169" name="Text 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2205990" y="20078700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8</xdr:col>
      <xdr:colOff>87630</xdr:colOff>
      <xdr:row>72</xdr:row>
      <xdr:rowOff>129539</xdr:rowOff>
    </xdr:to>
    <xdr:sp macro="" textlink="">
      <xdr:nvSpPr>
        <xdr:cNvPr id="170" name="Text Box 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>
          <a:spLocks noChangeArrowheads="1"/>
        </xdr:cNvSpPr>
      </xdr:nvSpPr>
      <xdr:spPr bwMode="auto">
        <a:xfrm>
          <a:off x="2205990" y="14190345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8</xdr:col>
      <xdr:colOff>87630</xdr:colOff>
      <xdr:row>104</xdr:row>
      <xdr:rowOff>144779</xdr:rowOff>
    </xdr:to>
    <xdr:sp macro="" textlink="">
      <xdr:nvSpPr>
        <xdr:cNvPr id="171" name="Text Box 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2205990" y="20078700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744855</xdr:colOff>
      <xdr:row>72</xdr:row>
      <xdr:rowOff>129539</xdr:rowOff>
    </xdr:to>
    <xdr:sp macro="" textlink="">
      <xdr:nvSpPr>
        <xdr:cNvPr id="172" name="Text Box 3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2205990" y="14190345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744855</xdr:colOff>
      <xdr:row>104</xdr:row>
      <xdr:rowOff>144779</xdr:rowOff>
    </xdr:to>
    <xdr:sp macro="" textlink="">
      <xdr:nvSpPr>
        <xdr:cNvPr id="173" name="Text Box 3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2205990" y="20078700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744855</xdr:colOff>
      <xdr:row>72</xdr:row>
      <xdr:rowOff>129539</xdr:rowOff>
    </xdr:to>
    <xdr:sp macro="" textlink="">
      <xdr:nvSpPr>
        <xdr:cNvPr id="174" name="Text Box 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2205990" y="14190345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744855</xdr:colOff>
      <xdr:row>104</xdr:row>
      <xdr:rowOff>144779</xdr:rowOff>
    </xdr:to>
    <xdr:sp macro="" textlink="">
      <xdr:nvSpPr>
        <xdr:cNvPr id="175" name="Text Box 3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>
          <a:spLocks noChangeArrowheads="1"/>
        </xdr:cNvSpPr>
      </xdr:nvSpPr>
      <xdr:spPr bwMode="auto">
        <a:xfrm>
          <a:off x="2205990" y="20078700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8</xdr:col>
      <xdr:colOff>87630</xdr:colOff>
      <xdr:row>72</xdr:row>
      <xdr:rowOff>129539</xdr:rowOff>
    </xdr:to>
    <xdr:sp macro="" textlink="">
      <xdr:nvSpPr>
        <xdr:cNvPr id="176" name="Text Box 3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2205990" y="14190345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8</xdr:col>
      <xdr:colOff>87630</xdr:colOff>
      <xdr:row>104</xdr:row>
      <xdr:rowOff>144779</xdr:rowOff>
    </xdr:to>
    <xdr:sp macro="" textlink="">
      <xdr:nvSpPr>
        <xdr:cNvPr id="177" name="Text Box 3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>
          <a:spLocks noChangeArrowheads="1"/>
        </xdr:cNvSpPr>
      </xdr:nvSpPr>
      <xdr:spPr bwMode="auto">
        <a:xfrm>
          <a:off x="2205990" y="20078700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8</xdr:col>
      <xdr:colOff>87630</xdr:colOff>
      <xdr:row>72</xdr:row>
      <xdr:rowOff>129539</xdr:rowOff>
    </xdr:to>
    <xdr:sp macro="" textlink="">
      <xdr:nvSpPr>
        <xdr:cNvPr id="178" name="Text Box 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>
          <a:spLocks noChangeArrowheads="1"/>
        </xdr:cNvSpPr>
      </xdr:nvSpPr>
      <xdr:spPr bwMode="auto">
        <a:xfrm>
          <a:off x="2205990" y="14190345"/>
          <a:ext cx="354901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8</xdr:col>
      <xdr:colOff>87630</xdr:colOff>
      <xdr:row>104</xdr:row>
      <xdr:rowOff>144779</xdr:rowOff>
    </xdr:to>
    <xdr:sp macro="" textlink="">
      <xdr:nvSpPr>
        <xdr:cNvPr id="179" name="Text Box 3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>
          <a:spLocks noChangeArrowheads="1"/>
        </xdr:cNvSpPr>
      </xdr:nvSpPr>
      <xdr:spPr bwMode="auto">
        <a:xfrm>
          <a:off x="2205990" y="20078700"/>
          <a:ext cx="354901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71</xdr:row>
      <xdr:rowOff>83820</xdr:rowOff>
    </xdr:from>
    <xdr:to>
      <xdr:col>7</xdr:col>
      <xdr:colOff>744855</xdr:colOff>
      <xdr:row>72</xdr:row>
      <xdr:rowOff>129539</xdr:rowOff>
    </xdr:to>
    <xdr:sp macro="" textlink="">
      <xdr:nvSpPr>
        <xdr:cNvPr id="180" name="Text Box 3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>
          <a:spLocks noChangeArrowheads="1"/>
        </xdr:cNvSpPr>
      </xdr:nvSpPr>
      <xdr:spPr bwMode="auto">
        <a:xfrm>
          <a:off x="2205990" y="14190345"/>
          <a:ext cx="3415665" cy="207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744855</xdr:colOff>
      <xdr:row>104</xdr:row>
      <xdr:rowOff>144779</xdr:rowOff>
    </xdr:to>
    <xdr:sp macro="" textlink="">
      <xdr:nvSpPr>
        <xdr:cNvPr id="181" name="Text Box 3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>
          <a:spLocks noChangeArrowheads="1"/>
        </xdr:cNvSpPr>
      </xdr:nvSpPr>
      <xdr:spPr bwMode="auto">
        <a:xfrm>
          <a:off x="2205990" y="20078700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103</xdr:row>
      <xdr:rowOff>76200</xdr:rowOff>
    </xdr:from>
    <xdr:to>
      <xdr:col>7</xdr:col>
      <xdr:colOff>744855</xdr:colOff>
      <xdr:row>104</xdr:row>
      <xdr:rowOff>144779</xdr:rowOff>
    </xdr:to>
    <xdr:sp macro="" textlink="">
      <xdr:nvSpPr>
        <xdr:cNvPr id="182" name="Text Box 3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>
          <a:spLocks noChangeArrowheads="1"/>
        </xdr:cNvSpPr>
      </xdr:nvSpPr>
      <xdr:spPr bwMode="auto">
        <a:xfrm>
          <a:off x="2205990" y="20078700"/>
          <a:ext cx="3415665" cy="2305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3</xdr:col>
      <xdr:colOff>624840</xdr:colOff>
      <xdr:row>109</xdr:row>
      <xdr:rowOff>0</xdr:rowOff>
    </xdr:from>
    <xdr:ext cx="3356928" cy="204470"/>
    <xdr:sp macro="" textlink="">
      <xdr:nvSpPr>
        <xdr:cNvPr id="183" name="Text Box 3"/>
        <xdr:cNvSpPr txBox="1">
          <a:spLocks noChangeArrowheads="1"/>
        </xdr:cNvSpPr>
      </xdr:nvSpPr>
      <xdr:spPr bwMode="auto">
        <a:xfrm>
          <a:off x="2205990" y="31525845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356928" cy="204470"/>
    <xdr:sp macro="" textlink="">
      <xdr:nvSpPr>
        <xdr:cNvPr id="184" name="Text Box 3"/>
        <xdr:cNvSpPr txBox="1">
          <a:spLocks noChangeArrowheads="1"/>
        </xdr:cNvSpPr>
      </xdr:nvSpPr>
      <xdr:spPr bwMode="auto">
        <a:xfrm>
          <a:off x="2205990" y="31525845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223578" cy="204470"/>
    <xdr:sp macro="" textlink="">
      <xdr:nvSpPr>
        <xdr:cNvPr id="185" name="Text Box 3"/>
        <xdr:cNvSpPr txBox="1">
          <a:spLocks noChangeArrowheads="1"/>
        </xdr:cNvSpPr>
      </xdr:nvSpPr>
      <xdr:spPr bwMode="auto">
        <a:xfrm>
          <a:off x="2205990" y="31525845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223578" cy="204470"/>
    <xdr:sp macro="" textlink="">
      <xdr:nvSpPr>
        <xdr:cNvPr id="186" name="Text Box 3"/>
        <xdr:cNvSpPr txBox="1">
          <a:spLocks noChangeArrowheads="1"/>
        </xdr:cNvSpPr>
      </xdr:nvSpPr>
      <xdr:spPr bwMode="auto">
        <a:xfrm>
          <a:off x="2205990" y="31525845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356928" cy="204470"/>
    <xdr:sp macro="" textlink="">
      <xdr:nvSpPr>
        <xdr:cNvPr id="187" name="Text Box 3"/>
        <xdr:cNvSpPr txBox="1">
          <a:spLocks noChangeArrowheads="1"/>
        </xdr:cNvSpPr>
      </xdr:nvSpPr>
      <xdr:spPr bwMode="auto">
        <a:xfrm>
          <a:off x="2205990" y="31525845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356928" cy="204470"/>
    <xdr:sp macro="" textlink="">
      <xdr:nvSpPr>
        <xdr:cNvPr id="188" name="Text Box 3"/>
        <xdr:cNvSpPr txBox="1">
          <a:spLocks noChangeArrowheads="1"/>
        </xdr:cNvSpPr>
      </xdr:nvSpPr>
      <xdr:spPr bwMode="auto">
        <a:xfrm>
          <a:off x="2205990" y="31525845"/>
          <a:ext cx="335692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223578" cy="204470"/>
    <xdr:sp macro="" textlink="">
      <xdr:nvSpPr>
        <xdr:cNvPr id="189" name="Text Box 3"/>
        <xdr:cNvSpPr txBox="1">
          <a:spLocks noChangeArrowheads="1"/>
        </xdr:cNvSpPr>
      </xdr:nvSpPr>
      <xdr:spPr bwMode="auto">
        <a:xfrm>
          <a:off x="2205990" y="31525845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223578" cy="204470"/>
    <xdr:sp macro="" textlink="">
      <xdr:nvSpPr>
        <xdr:cNvPr id="190" name="Text Box 3"/>
        <xdr:cNvSpPr txBox="1">
          <a:spLocks noChangeArrowheads="1"/>
        </xdr:cNvSpPr>
      </xdr:nvSpPr>
      <xdr:spPr bwMode="auto">
        <a:xfrm>
          <a:off x="2205990" y="31525845"/>
          <a:ext cx="3223578" cy="20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550603" cy="204469"/>
    <xdr:sp macro="" textlink="">
      <xdr:nvSpPr>
        <xdr:cNvPr id="191" name="Text Box 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>
          <a:spLocks noChangeArrowheads="1"/>
        </xdr:cNvSpPr>
      </xdr:nvSpPr>
      <xdr:spPr bwMode="auto">
        <a:xfrm>
          <a:off x="2205990" y="31525845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414078" cy="204469"/>
    <xdr:sp macro="" textlink="">
      <xdr:nvSpPr>
        <xdr:cNvPr id="192" name="Text Box 3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2205990" y="31525845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414078" cy="204469"/>
    <xdr:sp macro="" textlink="">
      <xdr:nvSpPr>
        <xdr:cNvPr id="193" name="Text Box 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2205990" y="31525845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550603" cy="204469"/>
    <xdr:sp macro="" textlink="">
      <xdr:nvSpPr>
        <xdr:cNvPr id="194" name="Text Box 3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2205990" y="31525845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550603" cy="204469"/>
    <xdr:sp macro="" textlink="">
      <xdr:nvSpPr>
        <xdr:cNvPr id="195" name="Text Box 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>
          <a:spLocks noChangeArrowheads="1"/>
        </xdr:cNvSpPr>
      </xdr:nvSpPr>
      <xdr:spPr bwMode="auto">
        <a:xfrm>
          <a:off x="2205990" y="31525845"/>
          <a:ext cx="3550603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624840</xdr:colOff>
      <xdr:row>109</xdr:row>
      <xdr:rowOff>0</xdr:rowOff>
    </xdr:from>
    <xdr:ext cx="3414078" cy="204469"/>
    <xdr:sp macro="" textlink="">
      <xdr:nvSpPr>
        <xdr:cNvPr id="196" name="Text Box 3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>
          <a:spLocks noChangeArrowheads="1"/>
        </xdr:cNvSpPr>
      </xdr:nvSpPr>
      <xdr:spPr bwMode="auto">
        <a:xfrm>
          <a:off x="2205990" y="31525845"/>
          <a:ext cx="3414078" cy="2044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CHECKING/9.%20%20FISHERIES%20AND%20AGRICULTUR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CHECKING/CHECKED/9.%20FISHERIES%20AND%20AGRICULTU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8"/>
      <sheetName val="9.9"/>
      <sheetName val="9.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AC4" t="str">
            <v>Pole and Line</v>
          </cell>
          <cell r="AD4" t="str">
            <v>Hand  Line</v>
          </cell>
          <cell r="AE4" t="str">
            <v>Other methods</v>
          </cell>
        </row>
        <row r="5">
          <cell r="AC5">
            <v>80.172670134023591</v>
          </cell>
          <cell r="AD5">
            <v>18.70465755671324</v>
          </cell>
          <cell r="AE5">
            <v>1.1226723092631659</v>
          </cell>
        </row>
      </sheetData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7"/>
      <sheetName val="9.8"/>
      <sheetName val="9.9"/>
      <sheetName val="9.10"/>
      <sheetName val="9.11"/>
      <sheetName val="9.12"/>
      <sheetName val="9.13"/>
      <sheetName val="9.14"/>
      <sheetName val="9.15"/>
      <sheetName val="9.16"/>
      <sheetName val="9.17"/>
      <sheetName val="9.18"/>
      <sheetName val="9.19"/>
      <sheetName val="9.20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103870.66972179369</v>
          </cell>
          <cell r="E9">
            <v>42704.576500856783</v>
          </cell>
          <cell r="F9">
            <v>212.68961995324841</v>
          </cell>
          <cell r="G9">
            <v>0</v>
          </cell>
          <cell r="H9">
            <v>3.2111469335556504</v>
          </cell>
          <cell r="I9">
            <v>7.0504098873260022</v>
          </cell>
          <cell r="J9">
            <v>88.162762023225241</v>
          </cell>
          <cell r="K9">
            <v>1696.6090211673268</v>
          </cell>
        </row>
        <row r="13">
          <cell r="A13" t="str">
            <v xml:space="preserve"> HA</v>
          </cell>
          <cell r="B13">
            <v>7837.2333079125528</v>
          </cell>
        </row>
        <row r="14">
          <cell r="A14" t="str">
            <v xml:space="preserve"> HDh</v>
          </cell>
          <cell r="B14">
            <v>1742.5440616363173</v>
          </cell>
        </row>
        <row r="15">
          <cell r="A15" t="str">
            <v xml:space="preserve"> Sh</v>
          </cell>
          <cell r="B15">
            <v>3916.1276980237226</v>
          </cell>
        </row>
        <row r="16">
          <cell r="A16" t="str">
            <v xml:space="preserve"> N</v>
          </cell>
          <cell r="B16">
            <v>2616.621895499482</v>
          </cell>
        </row>
        <row r="17">
          <cell r="A17" t="str">
            <v xml:space="preserve"> R</v>
          </cell>
          <cell r="B17">
            <v>7759.5142166813057</v>
          </cell>
        </row>
        <row r="18">
          <cell r="A18" t="str">
            <v>B</v>
          </cell>
          <cell r="B18">
            <v>2242.4289738665666</v>
          </cell>
        </row>
        <row r="19">
          <cell r="A19" t="str">
            <v>Lh</v>
          </cell>
          <cell r="B19">
            <v>4714.9029731799819</v>
          </cell>
        </row>
        <row r="20">
          <cell r="A20" t="str">
            <v>K</v>
          </cell>
          <cell r="B20">
            <v>6948.9645043832579</v>
          </cell>
        </row>
        <row r="21">
          <cell r="A21" t="str">
            <v>AA</v>
          </cell>
          <cell r="B21">
            <v>3221.6682753374389</v>
          </cell>
        </row>
        <row r="22">
          <cell r="A22" t="str">
            <v>ADh</v>
          </cell>
          <cell r="B22">
            <v>3060.8803911245118</v>
          </cell>
        </row>
        <row r="23">
          <cell r="A23" t="str">
            <v>V</v>
          </cell>
          <cell r="B23">
            <v>639.55167891345968</v>
          </cell>
        </row>
        <row r="24">
          <cell r="A24" t="str">
            <v>M</v>
          </cell>
          <cell r="B24">
            <v>4086.0262316599055</v>
          </cell>
        </row>
        <row r="25">
          <cell r="A25" t="str">
            <v>F</v>
          </cell>
          <cell r="B25">
            <v>3083.7334818653935</v>
          </cell>
        </row>
        <row r="26">
          <cell r="A26" t="str">
            <v>Dh</v>
          </cell>
          <cell r="B26">
            <v>11389.740816779351</v>
          </cell>
        </row>
        <row r="27">
          <cell r="A27" t="str">
            <v>Th</v>
          </cell>
          <cell r="B27">
            <v>7553.6508780813638</v>
          </cell>
        </row>
        <row r="28">
          <cell r="A28" t="str">
            <v xml:space="preserve"> L</v>
          </cell>
          <cell r="B28">
            <v>10600.246504317003</v>
          </cell>
        </row>
        <row r="29">
          <cell r="A29" t="str">
            <v>GA</v>
          </cell>
          <cell r="B29">
            <v>21156.044330819717</v>
          </cell>
        </row>
        <row r="30">
          <cell r="A30" t="str">
            <v>GDh</v>
          </cell>
          <cell r="B30">
            <v>11610.003248031657</v>
          </cell>
        </row>
        <row r="31">
          <cell r="A31" t="str">
            <v>Gn</v>
          </cell>
          <cell r="B31">
            <v>2155.5727494560856</v>
          </cell>
        </row>
        <row r="32">
          <cell r="A32" t="str">
            <v>S</v>
          </cell>
          <cell r="B32">
            <v>7429.9718733529526</v>
          </cell>
        </row>
        <row r="44">
          <cell r="D44" t="str">
            <v>Skipjack tuna</v>
          </cell>
          <cell r="E44" t="str">
            <v>Yellowfin tuna</v>
          </cell>
          <cell r="F44" t="str">
            <v>Big eye tuna</v>
          </cell>
          <cell r="G44" t="str">
            <v>Albacore tuna</v>
          </cell>
          <cell r="H44" t="str">
            <v>Dogtooth tuna</v>
          </cell>
          <cell r="I44" t="str">
            <v xml:space="preserve">   Little tuna</v>
          </cell>
          <cell r="J44" t="str">
            <v>Frigate tuna</v>
          </cell>
          <cell r="K44" t="str">
            <v>Other marine fish</v>
          </cell>
        </row>
        <row r="45">
          <cell r="D45">
            <v>88019.666239199199</v>
          </cell>
          <cell r="E45">
            <v>44423.897166028532</v>
          </cell>
          <cell r="F45">
            <v>395.98115232852706</v>
          </cell>
          <cell r="G45">
            <v>4.1649999999999991</v>
          </cell>
          <cell r="H45">
            <v>3.3175771206069244</v>
          </cell>
          <cell r="I45">
            <v>45.756334734952446</v>
          </cell>
          <cell r="J45">
            <v>132.90904725091949</v>
          </cell>
          <cell r="K45">
            <v>2043.2330535248925</v>
          </cell>
        </row>
        <row r="49">
          <cell r="A49" t="str">
            <v xml:space="preserve"> HA</v>
          </cell>
          <cell r="B49">
            <v>4820.649337796397</v>
          </cell>
        </row>
        <row r="50">
          <cell r="A50" t="str">
            <v xml:space="preserve"> HDh</v>
          </cell>
          <cell r="B50">
            <v>2061.359250263466</v>
          </cell>
        </row>
        <row r="51">
          <cell r="A51" t="str">
            <v xml:space="preserve"> Sh</v>
          </cell>
          <cell r="B51">
            <v>3194.6032976825468</v>
          </cell>
        </row>
        <row r="52">
          <cell r="A52" t="str">
            <v xml:space="preserve"> N</v>
          </cell>
          <cell r="B52">
            <v>3699.9022280220215</v>
          </cell>
        </row>
        <row r="53">
          <cell r="A53" t="str">
            <v xml:space="preserve"> R</v>
          </cell>
          <cell r="B53">
            <v>6474.1999351819668</v>
          </cell>
        </row>
        <row r="54">
          <cell r="A54" t="str">
            <v>B</v>
          </cell>
          <cell r="B54">
            <v>1655.162966646096</v>
          </cell>
        </row>
        <row r="55">
          <cell r="A55" t="str">
            <v>Lh</v>
          </cell>
          <cell r="B55">
            <v>4554.6509441370617</v>
          </cell>
        </row>
        <row r="56">
          <cell r="A56" t="str">
            <v>K</v>
          </cell>
          <cell r="B56">
            <v>4040.3289710183303</v>
          </cell>
        </row>
        <row r="57">
          <cell r="A57" t="str">
            <v>AA</v>
          </cell>
          <cell r="B57">
            <v>2836.170164942137</v>
          </cell>
        </row>
        <row r="58">
          <cell r="A58" t="str">
            <v>ADh</v>
          </cell>
          <cell r="B58">
            <v>3008.043363969608</v>
          </cell>
        </row>
        <row r="59">
          <cell r="A59" t="str">
            <v>V</v>
          </cell>
          <cell r="B59">
            <v>256.77748611255839</v>
          </cell>
        </row>
        <row r="60">
          <cell r="A60" t="str">
            <v>M</v>
          </cell>
          <cell r="B60">
            <v>3660.9335097969497</v>
          </cell>
        </row>
        <row r="61">
          <cell r="A61" t="str">
            <v>F</v>
          </cell>
          <cell r="B61">
            <v>2658.2474096926744</v>
          </cell>
        </row>
        <row r="62">
          <cell r="A62" t="str">
            <v>Dh</v>
          </cell>
          <cell r="B62">
            <v>9900.4574381934053</v>
          </cell>
        </row>
        <row r="63">
          <cell r="A63" t="str">
            <v>Th</v>
          </cell>
          <cell r="B63">
            <v>7198.9792228439528</v>
          </cell>
        </row>
        <row r="64">
          <cell r="A64" t="str">
            <v xml:space="preserve"> L</v>
          </cell>
          <cell r="B64">
            <v>9774.0388693018449</v>
          </cell>
        </row>
        <row r="65">
          <cell r="A65" t="str">
            <v>GA</v>
          </cell>
          <cell r="B65">
            <v>18765.171841803913</v>
          </cell>
        </row>
        <row r="66">
          <cell r="A66" t="str">
            <v>GDh</v>
          </cell>
          <cell r="B66">
            <v>12213.62420039364</v>
          </cell>
        </row>
        <row r="67">
          <cell r="A67" t="str">
            <v>Gn</v>
          </cell>
          <cell r="B67">
            <v>2516.2397100822591</v>
          </cell>
        </row>
        <row r="68">
          <cell r="A68" t="str">
            <v>S</v>
          </cell>
          <cell r="B68">
            <v>7177.1723608534785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F109"/>
  <sheetViews>
    <sheetView tabSelected="1" zoomScale="96" zoomScaleNormal="96" workbookViewId="0">
      <selection activeCell="O103" sqref="O103"/>
    </sheetView>
  </sheetViews>
  <sheetFormatPr defaultRowHeight="12.75"/>
  <cols>
    <col min="1" max="1" width="12" style="3" customWidth="1"/>
    <col min="2" max="2" width="10.42578125" style="3" bestFit="1" customWidth="1"/>
    <col min="3" max="3" width="1.28515625" style="3" customWidth="1"/>
    <col min="4" max="5" width="12.85546875" style="3" bestFit="1" customWidth="1"/>
    <col min="6" max="7" width="11.85546875" style="83" customWidth="1"/>
    <col min="8" max="8" width="11.85546875" style="3" customWidth="1"/>
    <col min="9" max="10" width="11.85546875" style="83" customWidth="1"/>
    <col min="11" max="11" width="11.85546875" style="84" customWidth="1"/>
    <col min="12" max="12" width="22.5703125" style="3" customWidth="1"/>
    <col min="13" max="13" width="5.85546875" style="3" customWidth="1"/>
    <col min="14" max="14" width="11.28515625" style="3" customWidth="1"/>
    <col min="15" max="18" width="3.140625" style="3" customWidth="1"/>
    <col min="19" max="19" width="16.5703125" style="3" customWidth="1"/>
    <col min="20" max="20" width="3.140625" style="3" customWidth="1"/>
    <col min="21" max="21" width="6.42578125" style="3" customWidth="1"/>
    <col min="22" max="22" width="18.42578125" style="3" customWidth="1"/>
    <col min="23" max="25" width="3.140625" style="3" customWidth="1"/>
    <col min="26" max="16384" width="9.140625" style="3"/>
  </cols>
  <sheetData>
    <row r="1" spans="1:32" s="9" customFormat="1" ht="18.75">
      <c r="A1" s="97" t="s">
        <v>77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2" s="12" customFormat="1" ht="15.75">
      <c r="A2" s="98" t="s">
        <v>78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spans="1:32" s="14" customFormat="1" ht="14.25">
      <c r="A3" s="99" t="s">
        <v>48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1:32" s="16" customFormat="1" ht="12">
      <c r="A4" s="100" t="s">
        <v>49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</row>
    <row r="5" spans="1:32" s="12" customFormat="1" ht="6" customHeight="1">
      <c r="A5" s="93"/>
      <c r="B5" s="93"/>
      <c r="C5" s="93"/>
      <c r="D5" s="94"/>
      <c r="E5" s="94"/>
      <c r="F5" s="94"/>
      <c r="G5" s="94"/>
      <c r="H5" s="94"/>
      <c r="I5" s="94"/>
      <c r="J5" s="94"/>
      <c r="K5" s="94"/>
      <c r="L5" s="93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 spans="1:32" s="10" customFormat="1" ht="17.25" customHeight="1">
      <c r="A6" s="17"/>
      <c r="B6" s="18"/>
      <c r="C6" s="18"/>
      <c r="D6" s="101" t="s">
        <v>50</v>
      </c>
      <c r="E6" s="101"/>
      <c r="F6" s="101"/>
      <c r="G6" s="101"/>
      <c r="H6" s="102" t="s">
        <v>51</v>
      </c>
      <c r="I6" s="102"/>
      <c r="J6" s="102"/>
      <c r="K6" s="102"/>
      <c r="L6" s="19"/>
      <c r="M6" s="6"/>
      <c r="N6" s="6"/>
      <c r="O6" s="6"/>
      <c r="P6" s="6"/>
      <c r="Q6" s="6"/>
      <c r="R6" s="8"/>
      <c r="S6" s="8"/>
      <c r="T6" s="8"/>
      <c r="U6" s="8"/>
      <c r="V6" s="8"/>
      <c r="W6" s="8"/>
      <c r="X6" s="8"/>
      <c r="Y6" s="8"/>
      <c r="Z6" s="8"/>
      <c r="AA6" s="8"/>
      <c r="AB6" s="6"/>
      <c r="AC6" s="6"/>
      <c r="AD6" s="6"/>
      <c r="AE6" s="6"/>
    </row>
    <row r="7" spans="1:32" s="29" customFormat="1" ht="35.25" customHeight="1">
      <c r="A7" s="20" t="s">
        <v>52</v>
      </c>
      <c r="B7" s="21" t="s">
        <v>53</v>
      </c>
      <c r="C7" s="22"/>
      <c r="D7" s="22" t="s">
        <v>54</v>
      </c>
      <c r="E7" s="22" t="s">
        <v>55</v>
      </c>
      <c r="F7" s="22" t="s">
        <v>0</v>
      </c>
      <c r="G7" s="23" t="s">
        <v>56</v>
      </c>
      <c r="H7" s="22" t="s">
        <v>57</v>
      </c>
      <c r="I7" s="22" t="s">
        <v>58</v>
      </c>
      <c r="J7" s="22" t="s">
        <v>59</v>
      </c>
      <c r="K7" s="22" t="s">
        <v>60</v>
      </c>
      <c r="L7" s="24" t="s">
        <v>1</v>
      </c>
      <c r="M7" s="25"/>
      <c r="N7" s="25"/>
      <c r="O7" s="25"/>
      <c r="P7" s="25"/>
      <c r="Q7" s="25"/>
      <c r="R7" s="26"/>
      <c r="S7" s="26"/>
      <c r="T7" s="26"/>
      <c r="U7" s="27"/>
      <c r="V7" s="26"/>
      <c r="W7" s="26"/>
      <c r="X7" s="26"/>
      <c r="Y7" s="26"/>
      <c r="Z7" s="28"/>
      <c r="AA7" s="28"/>
      <c r="AB7" s="25"/>
      <c r="AC7" s="25"/>
      <c r="AD7" s="25"/>
      <c r="AE7" s="25"/>
    </row>
    <row r="8" spans="1:32" s="12" customFormat="1" ht="24">
      <c r="A8" s="30"/>
      <c r="B8" s="31" t="s">
        <v>61</v>
      </c>
      <c r="C8" s="31"/>
      <c r="D8" s="32" t="s">
        <v>62</v>
      </c>
      <c r="E8" s="32" t="s">
        <v>63</v>
      </c>
      <c r="F8" s="32" t="s">
        <v>64</v>
      </c>
      <c r="G8" s="33" t="s">
        <v>65</v>
      </c>
      <c r="H8" s="32" t="s">
        <v>66</v>
      </c>
      <c r="I8" s="32" t="s">
        <v>67</v>
      </c>
      <c r="J8" s="32" t="s">
        <v>68</v>
      </c>
      <c r="K8" s="32" t="s">
        <v>69</v>
      </c>
      <c r="L8" s="34"/>
      <c r="M8" s="11"/>
      <c r="N8" s="11"/>
      <c r="O8" s="11"/>
      <c r="P8" s="11"/>
      <c r="Q8" s="11"/>
      <c r="R8" s="15"/>
      <c r="S8" s="15"/>
      <c r="T8" s="15"/>
      <c r="U8" s="15"/>
      <c r="V8" s="15"/>
      <c r="W8" s="15"/>
      <c r="X8" s="15"/>
      <c r="Y8" s="15"/>
      <c r="Z8" s="15"/>
      <c r="AA8" s="15"/>
      <c r="AB8" s="11"/>
      <c r="AC8" s="11"/>
      <c r="AD8" s="11"/>
      <c r="AE8" s="11"/>
    </row>
    <row r="9" spans="1:32" s="10" customFormat="1" ht="15">
      <c r="A9" s="35" t="s">
        <v>2</v>
      </c>
      <c r="B9" s="36">
        <f>SUM(D9:K9)</f>
        <v>148582.96918261514</v>
      </c>
      <c r="C9" s="37"/>
      <c r="D9" s="36">
        <f t="shared" ref="D9:K9" si="0">D10+D11+D12</f>
        <v>103870.66972179369</v>
      </c>
      <c r="E9" s="36">
        <f t="shared" si="0"/>
        <v>42704.576500856783</v>
      </c>
      <c r="F9" s="36">
        <f t="shared" si="0"/>
        <v>212.68961995324841</v>
      </c>
      <c r="G9" s="36">
        <f t="shared" si="0"/>
        <v>0</v>
      </c>
      <c r="H9" s="36">
        <f t="shared" si="0"/>
        <v>3.2111469335556504</v>
      </c>
      <c r="I9" s="36">
        <f t="shared" si="0"/>
        <v>7.0504098873260022</v>
      </c>
      <c r="J9" s="36">
        <f t="shared" si="0"/>
        <v>88.162762023225241</v>
      </c>
      <c r="K9" s="36">
        <f t="shared" si="0"/>
        <v>1696.6090211673268</v>
      </c>
      <c r="L9" s="38" t="s">
        <v>3</v>
      </c>
      <c r="M9" s="39"/>
      <c r="N9" s="39"/>
      <c r="O9" s="39"/>
      <c r="P9" s="39"/>
      <c r="Q9" s="39"/>
      <c r="R9" s="39"/>
      <c r="S9" s="39"/>
      <c r="T9" s="39"/>
      <c r="U9" s="39"/>
      <c r="V9" s="40"/>
      <c r="W9" s="8"/>
      <c r="X9" s="8"/>
      <c r="Y9" s="8"/>
      <c r="Z9" s="8"/>
      <c r="AA9" s="8"/>
      <c r="AB9" s="6"/>
      <c r="AC9" s="6"/>
      <c r="AD9" s="6"/>
      <c r="AE9" s="6"/>
      <c r="AF9" s="6"/>
    </row>
    <row r="10" spans="1:32" s="10" customFormat="1" ht="15">
      <c r="A10" s="35" t="s">
        <v>4</v>
      </c>
      <c r="B10" s="41">
        <f>SUM(D10:K10)</f>
        <v>24817.541091693121</v>
      </c>
      <c r="C10" s="42"/>
      <c r="D10" s="43">
        <v>19354.194136451391</v>
      </c>
      <c r="E10" s="43">
        <v>5166.4801072579103</v>
      </c>
      <c r="F10" s="43">
        <v>21.810831171841759</v>
      </c>
      <c r="G10" s="43">
        <v>0</v>
      </c>
      <c r="H10" s="43">
        <v>2.204153825727774E-2</v>
      </c>
      <c r="I10" s="43">
        <v>3.5554696711931868</v>
      </c>
      <c r="J10" s="43">
        <v>10.608422812933492</v>
      </c>
      <c r="K10" s="43">
        <v>260.87008278959644</v>
      </c>
      <c r="L10" s="38" t="s">
        <v>5</v>
      </c>
      <c r="M10" s="39"/>
      <c r="N10" s="85"/>
      <c r="O10" s="6"/>
      <c r="P10" s="6"/>
      <c r="Q10" s="6"/>
      <c r="R10" s="8"/>
      <c r="S10" s="8"/>
      <c r="T10" s="8"/>
      <c r="U10" s="8"/>
      <c r="V10" s="8"/>
      <c r="W10" s="8"/>
      <c r="X10" s="8"/>
      <c r="Y10" s="8"/>
      <c r="Z10" s="8"/>
      <c r="AA10" s="8"/>
      <c r="AB10" s="6"/>
      <c r="AC10" s="6"/>
      <c r="AD10" s="6"/>
      <c r="AE10" s="6"/>
      <c r="AF10" s="6"/>
    </row>
    <row r="11" spans="1:32" s="10" customFormat="1" ht="15">
      <c r="A11" s="35" t="s">
        <v>6</v>
      </c>
      <c r="B11" s="41">
        <f>SUM(D11:K11)</f>
        <v>123765.42809092204</v>
      </c>
      <c r="C11" s="42"/>
      <c r="D11" s="43">
        <f t="shared" ref="D11:K11" si="1">SUM(D13:D32)</f>
        <v>84516.475585342298</v>
      </c>
      <c r="E11" s="43">
        <f t="shared" si="1"/>
        <v>37538.096393598877</v>
      </c>
      <c r="F11" s="43">
        <f t="shared" si="1"/>
        <v>190.87878878140666</v>
      </c>
      <c r="G11" s="43">
        <f t="shared" si="1"/>
        <v>0</v>
      </c>
      <c r="H11" s="43">
        <f t="shared" si="1"/>
        <v>3.1891053952983728</v>
      </c>
      <c r="I11" s="43">
        <f t="shared" si="1"/>
        <v>3.4949402161328154</v>
      </c>
      <c r="J11" s="43">
        <f t="shared" si="1"/>
        <v>77.554339210291744</v>
      </c>
      <c r="K11" s="43">
        <f t="shared" si="1"/>
        <v>1435.7389383777304</v>
      </c>
      <c r="L11" s="38" t="s">
        <v>7</v>
      </c>
      <c r="M11" s="39"/>
      <c r="N11" s="85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2" s="10" customFormat="1" ht="15.75" hidden="1">
      <c r="A12" s="44" t="s">
        <v>8</v>
      </c>
      <c r="B12" s="41">
        <f>SUM(D12:K12)</f>
        <v>0</v>
      </c>
      <c r="C12" s="37"/>
      <c r="D12" s="43"/>
      <c r="E12" s="43"/>
      <c r="F12" s="43"/>
      <c r="G12" s="43"/>
      <c r="H12" s="43"/>
      <c r="I12" s="43"/>
      <c r="J12" s="43"/>
      <c r="K12" s="45"/>
      <c r="L12" s="46" t="s">
        <v>71</v>
      </c>
      <c r="M12" s="47"/>
      <c r="N12" s="85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spans="1:32" s="10" customFormat="1" ht="15">
      <c r="A13" s="48" t="s">
        <v>9</v>
      </c>
      <c r="B13" s="49">
        <f t="shared" ref="B13:B32" si="2">SUM(D13:K13)</f>
        <v>7837.2333079125528</v>
      </c>
      <c r="C13" s="37"/>
      <c r="D13" s="50">
        <v>5538.7371375407129</v>
      </c>
      <c r="E13" s="50">
        <v>2275.0284598141689</v>
      </c>
      <c r="F13" s="50">
        <v>16.832953216788724</v>
      </c>
      <c r="G13" s="50">
        <v>0</v>
      </c>
      <c r="H13" s="50">
        <v>0</v>
      </c>
      <c r="I13" s="50">
        <v>1.0088242510061736</v>
      </c>
      <c r="J13" s="50">
        <v>0.8816615302911095</v>
      </c>
      <c r="K13" s="50">
        <v>4.7442715595847469</v>
      </c>
      <c r="L13" s="51" t="s">
        <v>10</v>
      </c>
      <c r="M13" s="52"/>
      <c r="N13" s="85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spans="1:32" s="10" customFormat="1" ht="15">
      <c r="A14" s="48" t="s">
        <v>11</v>
      </c>
      <c r="B14" s="49">
        <f t="shared" si="2"/>
        <v>1742.5440616363173</v>
      </c>
      <c r="C14" s="37"/>
      <c r="D14" s="50">
        <v>457.53131653753502</v>
      </c>
      <c r="E14" s="50">
        <v>1281.6405932057719</v>
      </c>
      <c r="F14" s="50">
        <v>1.1650987572502727</v>
      </c>
      <c r="G14" s="50">
        <v>0</v>
      </c>
      <c r="H14" s="50">
        <v>0</v>
      </c>
      <c r="I14" s="50">
        <v>0</v>
      </c>
      <c r="J14" s="50">
        <v>0</v>
      </c>
      <c r="K14" s="50">
        <v>2.2070531357600776</v>
      </c>
      <c r="L14" s="51" t="s">
        <v>12</v>
      </c>
      <c r="M14" s="52"/>
      <c r="N14" s="85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spans="1:32" s="10" customFormat="1" ht="15">
      <c r="A15" s="48" t="s">
        <v>13</v>
      </c>
      <c r="B15" s="49">
        <f t="shared" si="2"/>
        <v>3916.1276980237226</v>
      </c>
      <c r="C15" s="37"/>
      <c r="D15" s="50">
        <v>1400.3418386643382</v>
      </c>
      <c r="E15" s="50">
        <v>2498.2958139770872</v>
      </c>
      <c r="F15" s="50">
        <v>4.0104409308822557</v>
      </c>
      <c r="G15" s="50">
        <v>0</v>
      </c>
      <c r="H15" s="50">
        <v>0</v>
      </c>
      <c r="I15" s="50">
        <v>5.0865088286025553E-2</v>
      </c>
      <c r="J15" s="50">
        <v>4.2828404336833517</v>
      </c>
      <c r="K15" s="50">
        <v>9.1458989294453978</v>
      </c>
      <c r="L15" s="51" t="s">
        <v>14</v>
      </c>
      <c r="M15" s="52"/>
      <c r="N15" s="85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1:32" s="10" customFormat="1" ht="15">
      <c r="A16" s="48" t="s">
        <v>15</v>
      </c>
      <c r="B16" s="49">
        <f t="shared" si="2"/>
        <v>2616.621895499482</v>
      </c>
      <c r="C16" s="37"/>
      <c r="D16" s="50">
        <v>897.83998546189241</v>
      </c>
      <c r="E16" s="50">
        <v>1704.7179674519452</v>
      </c>
      <c r="F16" s="50">
        <v>11.465584325700165</v>
      </c>
      <c r="G16" s="50">
        <v>0</v>
      </c>
      <c r="H16" s="50">
        <v>0</v>
      </c>
      <c r="I16" s="50">
        <v>0.25432544143012775</v>
      </c>
      <c r="J16" s="50">
        <v>0.25432544143012775</v>
      </c>
      <c r="K16" s="50">
        <v>2.0897073770842165</v>
      </c>
      <c r="L16" s="51" t="s">
        <v>16</v>
      </c>
      <c r="M16" s="52"/>
      <c r="N16" s="85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2" s="2" customFormat="1" ht="15">
      <c r="A17" s="48" t="s">
        <v>17</v>
      </c>
      <c r="B17" s="49">
        <f t="shared" si="2"/>
        <v>7759.5142166813057</v>
      </c>
      <c r="C17" s="37"/>
      <c r="D17" s="50">
        <v>4829.6445241107513</v>
      </c>
      <c r="E17" s="50">
        <v>2875.6564098481012</v>
      </c>
      <c r="F17" s="50">
        <v>8.2943664864490447</v>
      </c>
      <c r="G17" s="50">
        <v>0</v>
      </c>
      <c r="H17" s="50">
        <v>0</v>
      </c>
      <c r="I17" s="50">
        <v>0.86301099791956704</v>
      </c>
      <c r="J17" s="50">
        <v>5.1916300110603419</v>
      </c>
      <c r="K17" s="50">
        <v>39.864275227024237</v>
      </c>
      <c r="L17" s="51" t="s">
        <v>18</v>
      </c>
      <c r="M17" s="52"/>
      <c r="N17" s="85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32" s="2" customFormat="1" ht="15">
      <c r="A18" s="48" t="s">
        <v>19</v>
      </c>
      <c r="B18" s="49">
        <f t="shared" si="2"/>
        <v>2242.4289738665666</v>
      </c>
      <c r="C18" s="37"/>
      <c r="D18" s="50">
        <v>660.98878732663434</v>
      </c>
      <c r="E18" s="50">
        <v>1564.3066206513731</v>
      </c>
      <c r="F18" s="50">
        <v>4.5083423250847323</v>
      </c>
      <c r="G18" s="50">
        <v>0</v>
      </c>
      <c r="H18" s="50">
        <v>0</v>
      </c>
      <c r="I18" s="50">
        <v>3.7301064743085408E-2</v>
      </c>
      <c r="J18" s="50">
        <v>0.25432544143012775</v>
      </c>
      <c r="K18" s="50">
        <v>12.333597057301191</v>
      </c>
      <c r="L18" s="51" t="s">
        <v>20</v>
      </c>
      <c r="M18" s="52"/>
      <c r="N18" s="85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32" s="2" customFormat="1" ht="15">
      <c r="A19" s="48" t="s">
        <v>21</v>
      </c>
      <c r="B19" s="49">
        <f t="shared" si="2"/>
        <v>4714.9029731799819</v>
      </c>
      <c r="C19" s="37"/>
      <c r="D19" s="50">
        <v>3656.1506705441889</v>
      </c>
      <c r="E19" s="50">
        <v>1051.9668998584373</v>
      </c>
      <c r="F19" s="50">
        <v>3.758930024337289</v>
      </c>
      <c r="G19" s="50">
        <v>0</v>
      </c>
      <c r="H19" s="50">
        <v>0</v>
      </c>
      <c r="I19" s="50">
        <v>0.95795916272014803</v>
      </c>
      <c r="J19" s="50">
        <v>1.6615928840101681</v>
      </c>
      <c r="K19" s="50">
        <v>0.40692070628820448</v>
      </c>
      <c r="L19" s="51" t="s">
        <v>22</v>
      </c>
      <c r="M19" s="52"/>
      <c r="N19" s="85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pans="1:32" s="2" customFormat="1" ht="15">
      <c r="A20" s="48" t="s">
        <v>23</v>
      </c>
      <c r="B20" s="49">
        <f t="shared" si="2"/>
        <v>6948.9645043832579</v>
      </c>
      <c r="C20" s="37"/>
      <c r="D20" s="50">
        <v>4924.8966247688613</v>
      </c>
      <c r="E20" s="50">
        <v>2011.1991309632383</v>
      </c>
      <c r="F20" s="50">
        <v>4.6551559249076302</v>
      </c>
      <c r="G20" s="50">
        <v>0</v>
      </c>
      <c r="H20" s="50">
        <v>8.4775147143375928E-3</v>
      </c>
      <c r="I20" s="50">
        <v>0</v>
      </c>
      <c r="J20" s="50">
        <v>7.3330502279020182</v>
      </c>
      <c r="K20" s="50">
        <v>0.87206498363447926</v>
      </c>
      <c r="L20" s="51" t="s">
        <v>24</v>
      </c>
      <c r="M20" s="52"/>
      <c r="N20" s="86"/>
      <c r="P20" s="6"/>
      <c r="AB20" s="6"/>
      <c r="AC20" s="6"/>
      <c r="AD20" s="6"/>
      <c r="AE20" s="6"/>
      <c r="AF20" s="6"/>
    </row>
    <row r="21" spans="1:32" s="2" customFormat="1" ht="15">
      <c r="A21" s="48" t="s">
        <v>25</v>
      </c>
      <c r="B21" s="49">
        <f t="shared" si="2"/>
        <v>3221.6682753374389</v>
      </c>
      <c r="C21" s="37"/>
      <c r="D21" s="50">
        <v>518.40243239592269</v>
      </c>
      <c r="E21" s="50">
        <v>2702.8450021560666</v>
      </c>
      <c r="F21" s="50">
        <v>0.24764515983522978</v>
      </c>
      <c r="G21" s="50">
        <v>0</v>
      </c>
      <c r="H21" s="50">
        <v>0</v>
      </c>
      <c r="I21" s="50">
        <v>0</v>
      </c>
      <c r="J21" s="50">
        <v>0</v>
      </c>
      <c r="K21" s="50">
        <v>0.17319562561391702</v>
      </c>
      <c r="L21" s="51" t="s">
        <v>26</v>
      </c>
      <c r="M21" s="52"/>
      <c r="N21" s="86"/>
      <c r="P21" s="6"/>
      <c r="AB21" s="6"/>
      <c r="AC21" s="6"/>
      <c r="AD21" s="6"/>
      <c r="AE21" s="6"/>
      <c r="AF21" s="6"/>
    </row>
    <row r="22" spans="1:32" s="2" customFormat="1" ht="15">
      <c r="A22" s="48" t="s">
        <v>27</v>
      </c>
      <c r="B22" s="49">
        <f t="shared" si="2"/>
        <v>3060.8803911245118</v>
      </c>
      <c r="C22" s="37"/>
      <c r="D22" s="50">
        <v>278.36228146063092</v>
      </c>
      <c r="E22" s="50">
        <v>2779.3682551617098</v>
      </c>
      <c r="F22" s="50">
        <v>0.36490614336394733</v>
      </c>
      <c r="G22" s="50">
        <v>0</v>
      </c>
      <c r="H22" s="50">
        <v>0.16093713933698486</v>
      </c>
      <c r="I22" s="50">
        <v>7.4602129486170824E-3</v>
      </c>
      <c r="J22" s="50">
        <v>0</v>
      </c>
      <c r="K22" s="50">
        <v>2.6165510065214406</v>
      </c>
      <c r="L22" s="51" t="s">
        <v>28</v>
      </c>
      <c r="M22" s="52"/>
      <c r="N22" s="86"/>
      <c r="P22" s="6"/>
      <c r="AB22" s="6"/>
      <c r="AC22" s="6"/>
      <c r="AD22" s="6"/>
      <c r="AE22" s="6"/>
      <c r="AF22" s="6"/>
    </row>
    <row r="23" spans="1:32" s="2" customFormat="1" ht="15">
      <c r="A23" s="48" t="s">
        <v>29</v>
      </c>
      <c r="B23" s="49">
        <f t="shared" si="2"/>
        <v>639.55167891345968</v>
      </c>
      <c r="C23" s="37"/>
      <c r="D23" s="50">
        <v>496.3318501732337</v>
      </c>
      <c r="E23" s="50">
        <v>138.76252105372146</v>
      </c>
      <c r="F23" s="50">
        <v>0</v>
      </c>
      <c r="G23" s="50">
        <v>0</v>
      </c>
      <c r="H23" s="50">
        <v>0</v>
      </c>
      <c r="I23" s="50">
        <v>0</v>
      </c>
      <c r="J23" s="50">
        <v>4.3540515572837872</v>
      </c>
      <c r="K23" s="50">
        <v>0.10325612922063188</v>
      </c>
      <c r="L23" s="51" t="s">
        <v>30</v>
      </c>
      <c r="M23" s="52"/>
      <c r="N23" s="86"/>
      <c r="P23" s="6"/>
      <c r="AB23" s="6"/>
      <c r="AC23" s="6"/>
      <c r="AD23" s="6"/>
      <c r="AE23" s="6"/>
      <c r="AF23" s="6"/>
    </row>
    <row r="24" spans="1:32" s="2" customFormat="1" ht="15">
      <c r="A24" s="48" t="s">
        <v>31</v>
      </c>
      <c r="B24" s="49">
        <f t="shared" si="2"/>
        <v>4086.0262316599055</v>
      </c>
      <c r="C24" s="37"/>
      <c r="D24" s="50">
        <v>3099.5441994028979</v>
      </c>
      <c r="E24" s="50">
        <v>975.15625910397625</v>
      </c>
      <c r="F24" s="50">
        <v>1.3818348984370277</v>
      </c>
      <c r="G24" s="50">
        <v>0</v>
      </c>
      <c r="H24" s="50">
        <v>0</v>
      </c>
      <c r="I24" s="50">
        <v>8.4775147143375931E-2</v>
      </c>
      <c r="J24" s="50">
        <v>9.3479859252057782</v>
      </c>
      <c r="K24" s="50">
        <v>0.5111771822451282</v>
      </c>
      <c r="L24" s="51" t="s">
        <v>32</v>
      </c>
      <c r="M24" s="52"/>
      <c r="N24" s="86"/>
      <c r="P24" s="6"/>
      <c r="AB24" s="6"/>
      <c r="AC24" s="6"/>
      <c r="AD24" s="6"/>
      <c r="AE24" s="6"/>
      <c r="AF24" s="6"/>
    </row>
    <row r="25" spans="1:32" s="2" customFormat="1" ht="15">
      <c r="A25" s="48" t="s">
        <v>33</v>
      </c>
      <c r="B25" s="49">
        <f t="shared" si="2"/>
        <v>3083.7334818653935</v>
      </c>
      <c r="C25" s="37"/>
      <c r="D25" s="50">
        <v>292.52203691757694</v>
      </c>
      <c r="E25" s="50">
        <v>1654.703563857443</v>
      </c>
      <c r="F25" s="50">
        <v>5.3001421994038629E-2</v>
      </c>
      <c r="G25" s="50">
        <v>0</v>
      </c>
      <c r="H25" s="50">
        <v>0</v>
      </c>
      <c r="I25" s="50">
        <v>0</v>
      </c>
      <c r="J25" s="50">
        <v>0</v>
      </c>
      <c r="K25" s="50">
        <v>1136.4548796683798</v>
      </c>
      <c r="L25" s="51" t="s">
        <v>34</v>
      </c>
      <c r="M25" s="52"/>
      <c r="N25" s="86"/>
      <c r="P25" s="6"/>
      <c r="AB25" s="6"/>
      <c r="AC25" s="6"/>
      <c r="AD25" s="6"/>
      <c r="AE25" s="6"/>
      <c r="AF25" s="6"/>
    </row>
    <row r="26" spans="1:32" s="2" customFormat="1" ht="15">
      <c r="A26" s="48" t="s">
        <v>35</v>
      </c>
      <c r="B26" s="49">
        <f t="shared" si="2"/>
        <v>11389.740816779351</v>
      </c>
      <c r="C26" s="37"/>
      <c r="D26" s="50">
        <v>5208.3621157620937</v>
      </c>
      <c r="E26" s="50">
        <v>6052.6651376704103</v>
      </c>
      <c r="F26" s="50">
        <v>24.004049003588037</v>
      </c>
      <c r="G26" s="50">
        <v>0</v>
      </c>
      <c r="H26" s="50">
        <v>0</v>
      </c>
      <c r="I26" s="50">
        <v>0.1186852060007263</v>
      </c>
      <c r="J26" s="50">
        <v>6.1122881090374044</v>
      </c>
      <c r="K26" s="50">
        <v>98.478541028219766</v>
      </c>
      <c r="L26" s="51" t="s">
        <v>36</v>
      </c>
      <c r="M26" s="52"/>
      <c r="N26" s="87"/>
      <c r="O26" s="53"/>
      <c r="P26" s="6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</row>
    <row r="27" spans="1:32" ht="15">
      <c r="A27" s="48" t="s">
        <v>37</v>
      </c>
      <c r="B27" s="49">
        <f t="shared" si="2"/>
        <v>7553.6508780813638</v>
      </c>
      <c r="C27" s="37"/>
      <c r="D27" s="50">
        <v>6477.1965413303269</v>
      </c>
      <c r="E27" s="50">
        <v>1008.6165010305833</v>
      </c>
      <c r="F27" s="50">
        <v>8.942082520683293</v>
      </c>
      <c r="G27" s="50">
        <v>0</v>
      </c>
      <c r="H27" s="50">
        <v>3.0129087294755803</v>
      </c>
      <c r="I27" s="50">
        <v>1.6955029428675186E-2</v>
      </c>
      <c r="J27" s="50">
        <v>13.394473248653398</v>
      </c>
      <c r="K27" s="50">
        <v>42.47141619221275</v>
      </c>
      <c r="L27" s="51" t="s">
        <v>38</v>
      </c>
      <c r="M27" s="52"/>
      <c r="N27" s="88"/>
      <c r="P27" s="6"/>
    </row>
    <row r="28" spans="1:32" ht="15">
      <c r="A28" s="48" t="s">
        <v>39</v>
      </c>
      <c r="B28" s="49">
        <f t="shared" si="2"/>
        <v>10600.246504317003</v>
      </c>
      <c r="C28" s="37"/>
      <c r="D28" s="50">
        <v>9055.3349961545318</v>
      </c>
      <c r="E28" s="50">
        <v>1523.8957491856286</v>
      </c>
      <c r="F28" s="50">
        <v>3.4232204416495198</v>
      </c>
      <c r="G28" s="50">
        <v>0</v>
      </c>
      <c r="H28" s="50">
        <v>0</v>
      </c>
      <c r="I28" s="50">
        <v>0</v>
      </c>
      <c r="J28" s="50">
        <v>16.426032510500523</v>
      </c>
      <c r="K28" s="50">
        <v>1.1665060246928529</v>
      </c>
      <c r="L28" s="51" t="s">
        <v>40</v>
      </c>
      <c r="M28" s="52"/>
      <c r="N28" s="88"/>
      <c r="P28" s="6"/>
    </row>
    <row r="29" spans="1:32" ht="15">
      <c r="A29" s="48" t="s">
        <v>41</v>
      </c>
      <c r="B29" s="49">
        <f t="shared" si="2"/>
        <v>21156.044330819717</v>
      </c>
      <c r="C29" s="37"/>
      <c r="D29" s="50">
        <v>18733.615745849627</v>
      </c>
      <c r="E29" s="50">
        <v>2370.9785481687773</v>
      </c>
      <c r="F29" s="50">
        <v>36.799195871996616</v>
      </c>
      <c r="G29" s="50">
        <v>0</v>
      </c>
      <c r="H29" s="50">
        <v>6.7820117714700746E-3</v>
      </c>
      <c r="I29" s="50">
        <v>9.1048508031985748E-2</v>
      </c>
      <c r="J29" s="50">
        <v>1.6459942569357868</v>
      </c>
      <c r="K29" s="50">
        <v>12.907016152578986</v>
      </c>
      <c r="L29" s="51" t="s">
        <v>42</v>
      </c>
      <c r="M29" s="52"/>
      <c r="N29" s="88"/>
      <c r="P29" s="6"/>
    </row>
    <row r="30" spans="1:32" ht="15">
      <c r="A30" s="48" t="s">
        <v>43</v>
      </c>
      <c r="B30" s="49">
        <f t="shared" si="2"/>
        <v>11610.003248031657</v>
      </c>
      <c r="C30" s="37"/>
      <c r="D30" s="50">
        <v>10138.271291521201</v>
      </c>
      <c r="E30" s="50">
        <v>1449.8870965945493</v>
      </c>
      <c r="F30" s="50">
        <v>17.60610255873631</v>
      </c>
      <c r="G30" s="50">
        <v>0</v>
      </c>
      <c r="H30" s="50">
        <v>0</v>
      </c>
      <c r="I30" s="50">
        <v>0</v>
      </c>
      <c r="J30" s="50">
        <v>4.2387573571687964</v>
      </c>
      <c r="K30" s="50">
        <v>0</v>
      </c>
      <c r="L30" s="51" t="s">
        <v>44</v>
      </c>
      <c r="M30" s="52"/>
      <c r="N30" s="88"/>
      <c r="P30" s="6"/>
    </row>
    <row r="31" spans="1:32" ht="15">
      <c r="A31" s="48" t="s">
        <v>45</v>
      </c>
      <c r="B31" s="49">
        <f t="shared" si="2"/>
        <v>2155.5727494560856</v>
      </c>
      <c r="C31" s="37"/>
      <c r="D31" s="50">
        <v>1220.1697101363759</v>
      </c>
      <c r="E31" s="50">
        <v>827.49614552679225</v>
      </c>
      <c r="F31" s="50">
        <v>38.854145438752049</v>
      </c>
      <c r="G31" s="50">
        <v>0</v>
      </c>
      <c r="H31" s="50">
        <v>0</v>
      </c>
      <c r="I31" s="50">
        <v>0</v>
      </c>
      <c r="J31" s="50">
        <v>0</v>
      </c>
      <c r="K31" s="50">
        <v>69.052748354165431</v>
      </c>
      <c r="L31" s="51" t="s">
        <v>46</v>
      </c>
      <c r="M31" s="52"/>
      <c r="N31" s="88"/>
      <c r="P31" s="6"/>
    </row>
    <row r="32" spans="1:32" ht="15">
      <c r="A32" s="54" t="s">
        <v>14</v>
      </c>
      <c r="B32" s="55">
        <f t="shared" si="2"/>
        <v>7429.9718733529526</v>
      </c>
      <c r="C32" s="56"/>
      <c r="D32" s="57">
        <v>6632.2314992829552</v>
      </c>
      <c r="E32" s="57">
        <v>790.90971831909678</v>
      </c>
      <c r="F32" s="57">
        <v>4.5117333309704675</v>
      </c>
      <c r="G32" s="57">
        <v>0</v>
      </c>
      <c r="H32" s="57">
        <v>0</v>
      </c>
      <c r="I32" s="57">
        <v>3.7301064743085412E-3</v>
      </c>
      <c r="J32" s="57">
        <v>2.175330275699026</v>
      </c>
      <c r="K32" s="57">
        <v>0.13986203775714162</v>
      </c>
      <c r="L32" s="58" t="s">
        <v>47</v>
      </c>
      <c r="M32" s="59"/>
      <c r="N32" s="88"/>
      <c r="P32" s="6"/>
    </row>
    <row r="33" spans="1:32" ht="17.25">
      <c r="A33" s="7" t="s">
        <v>74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4" t="s">
        <v>70</v>
      </c>
    </row>
    <row r="34" spans="1:32" s="9" customFormat="1">
      <c r="A34" s="3"/>
      <c r="B34" s="3"/>
      <c r="C34" s="3"/>
      <c r="D34" s="3"/>
      <c r="E34" s="3"/>
      <c r="F34" s="83"/>
      <c r="G34" s="96" t="s">
        <v>73</v>
      </c>
      <c r="H34" s="96"/>
      <c r="I34" s="96"/>
      <c r="J34" s="96"/>
      <c r="K34" s="96"/>
      <c r="L34" s="96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2" s="9" customFormat="1" ht="19.5" customHeight="1">
      <c r="A35" s="3"/>
      <c r="B35" s="3"/>
      <c r="C35" s="3"/>
      <c r="D35" s="3"/>
      <c r="E35" s="3"/>
      <c r="F35" s="83"/>
      <c r="G35" s="96"/>
      <c r="H35" s="96"/>
      <c r="I35" s="96"/>
      <c r="J35" s="96"/>
      <c r="K35" s="96"/>
      <c r="L35" s="96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2" s="9" customFormat="1" ht="19.5" customHeight="1">
      <c r="A36" s="3"/>
      <c r="B36" s="3"/>
      <c r="C36" s="3"/>
      <c r="D36" s="3"/>
      <c r="E36" s="3"/>
      <c r="F36" s="83"/>
      <c r="G36" s="92"/>
      <c r="H36" s="92"/>
      <c r="I36" s="92"/>
      <c r="J36" s="92"/>
      <c r="K36" s="92"/>
      <c r="L36" s="9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2" s="9" customFormat="1" ht="18.75">
      <c r="A37" s="97" t="s">
        <v>76</v>
      </c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2" s="12" customFormat="1" ht="15.75">
      <c r="A38" s="98" t="s">
        <v>75</v>
      </c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 spans="1:32" s="14" customFormat="1" ht="14.25">
      <c r="A39" s="99" t="s">
        <v>48</v>
      </c>
      <c r="B39" s="99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spans="1:32" s="16" customFormat="1" ht="12">
      <c r="A40" s="100" t="s">
        <v>49</v>
      </c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spans="1:32" s="12" customFormat="1" ht="6" customHeight="1">
      <c r="A41" s="93"/>
      <c r="B41" s="93"/>
      <c r="C41" s="93"/>
      <c r="D41" s="94"/>
      <c r="E41" s="94"/>
      <c r="F41" s="94"/>
      <c r="G41" s="94"/>
      <c r="H41" s="94"/>
      <c r="I41" s="94"/>
      <c r="J41" s="94"/>
      <c r="K41" s="94"/>
      <c r="L41" s="93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spans="1:32" s="10" customFormat="1" ht="17.25" customHeight="1">
      <c r="A42" s="17"/>
      <c r="B42" s="18"/>
      <c r="C42" s="18"/>
      <c r="D42" s="101" t="s">
        <v>50</v>
      </c>
      <c r="E42" s="101"/>
      <c r="F42" s="101"/>
      <c r="G42" s="101"/>
      <c r="H42" s="102" t="s">
        <v>51</v>
      </c>
      <c r="I42" s="102"/>
      <c r="J42" s="102"/>
      <c r="K42" s="102"/>
      <c r="L42" s="19"/>
      <c r="M42" s="6"/>
      <c r="N42" s="6"/>
      <c r="O42" s="6"/>
      <c r="P42" s="6"/>
      <c r="Q42" s="6"/>
      <c r="R42" s="8"/>
      <c r="S42" s="8"/>
      <c r="T42" s="8"/>
      <c r="U42" s="8"/>
      <c r="V42" s="8"/>
      <c r="W42" s="8"/>
      <c r="X42" s="8"/>
      <c r="Y42" s="8"/>
      <c r="Z42" s="8"/>
      <c r="AA42" s="8"/>
      <c r="AB42" s="6"/>
      <c r="AC42" s="6"/>
      <c r="AD42" s="6"/>
      <c r="AE42" s="6"/>
    </row>
    <row r="43" spans="1:32" s="29" customFormat="1" ht="35.25" customHeight="1">
      <c r="A43" s="20" t="s">
        <v>52</v>
      </c>
      <c r="B43" s="21" t="s">
        <v>53</v>
      </c>
      <c r="C43" s="22"/>
      <c r="D43" s="22" t="s">
        <v>54</v>
      </c>
      <c r="E43" s="22" t="s">
        <v>55</v>
      </c>
      <c r="F43" s="22" t="s">
        <v>0</v>
      </c>
      <c r="G43" s="23" t="s">
        <v>56</v>
      </c>
      <c r="H43" s="22" t="s">
        <v>57</v>
      </c>
      <c r="I43" s="22" t="s">
        <v>58</v>
      </c>
      <c r="J43" s="22" t="s">
        <v>59</v>
      </c>
      <c r="K43" s="22" t="s">
        <v>60</v>
      </c>
      <c r="L43" s="24" t="s">
        <v>1</v>
      </c>
      <c r="M43" s="25"/>
      <c r="N43" s="25"/>
      <c r="O43" s="25"/>
      <c r="P43" s="25"/>
      <c r="Q43" s="25"/>
      <c r="R43" s="26"/>
      <c r="S43" s="26"/>
      <c r="T43" s="26"/>
      <c r="U43" s="27"/>
      <c r="V43" s="26"/>
      <c r="W43" s="26"/>
      <c r="X43" s="26"/>
      <c r="Y43" s="26"/>
      <c r="Z43" s="28"/>
      <c r="AA43" s="28"/>
      <c r="AB43" s="25"/>
      <c r="AC43" s="25"/>
      <c r="AD43" s="25"/>
      <c r="AE43" s="25"/>
    </row>
    <row r="44" spans="1:32" s="12" customFormat="1" ht="24">
      <c r="A44" s="30"/>
      <c r="B44" s="31" t="s">
        <v>61</v>
      </c>
      <c r="C44" s="31"/>
      <c r="D44" s="32" t="s">
        <v>62</v>
      </c>
      <c r="E44" s="32" t="s">
        <v>63</v>
      </c>
      <c r="F44" s="32" t="s">
        <v>64</v>
      </c>
      <c r="G44" s="33" t="s">
        <v>65</v>
      </c>
      <c r="H44" s="32" t="s">
        <v>66</v>
      </c>
      <c r="I44" s="32" t="s">
        <v>67</v>
      </c>
      <c r="J44" s="32" t="s">
        <v>68</v>
      </c>
      <c r="K44" s="32" t="s">
        <v>69</v>
      </c>
      <c r="L44" s="34"/>
      <c r="M44" s="11"/>
      <c r="N44" s="11"/>
      <c r="O44" s="11"/>
      <c r="P44" s="11"/>
      <c r="Q44" s="11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1"/>
      <c r="AC44" s="11"/>
      <c r="AD44" s="11"/>
      <c r="AE44" s="11"/>
    </row>
    <row r="45" spans="1:32" s="10" customFormat="1" ht="15">
      <c r="A45" s="35" t="s">
        <v>2</v>
      </c>
      <c r="B45" s="36">
        <f t="shared" ref="B45:B68" si="3">SUM(D45:K45)</f>
        <v>135068.92557018765</v>
      </c>
      <c r="C45" s="37"/>
      <c r="D45" s="36">
        <f t="shared" ref="D45:K45" si="4">D46+D47+D48</f>
        <v>88019.666239199199</v>
      </c>
      <c r="E45" s="36">
        <f t="shared" si="4"/>
        <v>44423.897166028532</v>
      </c>
      <c r="F45" s="36">
        <f t="shared" si="4"/>
        <v>395.98115232852706</v>
      </c>
      <c r="G45" s="36">
        <f>G46+G47+G48</f>
        <v>4.1649999999999991</v>
      </c>
      <c r="H45" s="36">
        <f t="shared" si="4"/>
        <v>3.3175771206069244</v>
      </c>
      <c r="I45" s="36">
        <f t="shared" si="4"/>
        <v>45.756334734952446</v>
      </c>
      <c r="J45" s="36">
        <f t="shared" si="4"/>
        <v>132.90904725091949</v>
      </c>
      <c r="K45" s="36">
        <f t="shared" si="4"/>
        <v>2043.2330535248925</v>
      </c>
      <c r="L45" s="38" t="s">
        <v>3</v>
      </c>
      <c r="M45" s="39"/>
      <c r="N45" s="39"/>
      <c r="O45" s="39"/>
      <c r="P45" s="39"/>
      <c r="Q45" s="39"/>
      <c r="R45" s="39"/>
      <c r="S45" s="39"/>
      <c r="T45" s="39"/>
      <c r="U45" s="39"/>
      <c r="V45" s="40"/>
      <c r="W45" s="8"/>
      <c r="X45" s="8"/>
      <c r="Y45" s="8"/>
      <c r="Z45" s="8"/>
      <c r="AA45" s="8"/>
      <c r="AB45" s="6"/>
      <c r="AC45" s="6"/>
      <c r="AD45" s="6"/>
      <c r="AE45" s="6"/>
      <c r="AF45" s="6"/>
    </row>
    <row r="46" spans="1:32" s="10" customFormat="1" ht="15">
      <c r="A46" s="35" t="s">
        <v>4</v>
      </c>
      <c r="B46" s="41">
        <f t="shared" si="3"/>
        <v>23902.536011453336</v>
      </c>
      <c r="C46" s="42"/>
      <c r="D46" s="43">
        <v>17850.897178296571</v>
      </c>
      <c r="E46" s="43">
        <v>5862.6879271099406</v>
      </c>
      <c r="F46" s="43">
        <v>41.75010678998779</v>
      </c>
      <c r="G46" s="50">
        <v>0</v>
      </c>
      <c r="H46" s="43">
        <v>0.33711007375807944</v>
      </c>
      <c r="I46" s="43">
        <v>14.997406189255825</v>
      </c>
      <c r="J46" s="43">
        <v>12.279382291933553</v>
      </c>
      <c r="K46" s="43">
        <v>119.58690070188669</v>
      </c>
      <c r="L46" s="38" t="s">
        <v>5</v>
      </c>
      <c r="M46" s="39"/>
      <c r="N46" s="85"/>
      <c r="O46" s="6"/>
      <c r="P46" s="6"/>
      <c r="Q46" s="6"/>
      <c r="R46" s="8"/>
      <c r="S46" s="8"/>
      <c r="T46" s="8"/>
      <c r="U46" s="8"/>
      <c r="V46" s="8"/>
      <c r="W46" s="8"/>
      <c r="X46" s="8"/>
      <c r="Y46" s="8"/>
      <c r="Z46" s="8"/>
      <c r="AA46" s="8"/>
      <c r="AB46" s="6"/>
      <c r="AC46" s="6"/>
      <c r="AD46" s="6"/>
      <c r="AE46" s="6"/>
      <c r="AF46" s="6"/>
    </row>
    <row r="47" spans="1:32" s="10" customFormat="1" ht="15">
      <c r="A47" s="35" t="s">
        <v>6</v>
      </c>
      <c r="B47" s="41">
        <f t="shared" si="3"/>
        <v>110466.71250873432</v>
      </c>
      <c r="C47" s="42"/>
      <c r="D47" s="43">
        <f t="shared" ref="D47:K47" si="5">SUM(D49:D68)</f>
        <v>70167.311060902633</v>
      </c>
      <c r="E47" s="43">
        <f t="shared" si="5"/>
        <v>38081.995738918595</v>
      </c>
      <c r="F47" s="43">
        <f t="shared" si="5"/>
        <v>270.63449553853928</v>
      </c>
      <c r="G47" s="43">
        <f>SUM(G49:G68)</f>
        <v>0</v>
      </c>
      <c r="H47" s="43">
        <f t="shared" si="5"/>
        <v>2.9804670468488448</v>
      </c>
      <c r="I47" s="43">
        <f t="shared" si="5"/>
        <v>30.758928545696619</v>
      </c>
      <c r="J47" s="43">
        <f t="shared" si="5"/>
        <v>120.62966495898594</v>
      </c>
      <c r="K47" s="43">
        <f t="shared" si="5"/>
        <v>1792.402152823006</v>
      </c>
      <c r="L47" s="38" t="s">
        <v>7</v>
      </c>
      <c r="M47" s="39"/>
      <c r="N47" s="85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</row>
    <row r="48" spans="1:32" s="10" customFormat="1" ht="15.75">
      <c r="A48" s="44" t="s">
        <v>8</v>
      </c>
      <c r="B48" s="41">
        <f>SUM(D48:K48)</f>
        <v>699.67705000000001</v>
      </c>
      <c r="C48" s="37"/>
      <c r="D48" s="43">
        <v>1.458</v>
      </c>
      <c r="E48" s="43">
        <v>479.21350000000007</v>
      </c>
      <c r="F48" s="43">
        <v>83.596549999999993</v>
      </c>
      <c r="G48" s="43">
        <v>4.1649999999999991</v>
      </c>
      <c r="H48" s="50">
        <v>0</v>
      </c>
      <c r="I48" s="50">
        <v>0</v>
      </c>
      <c r="J48" s="50">
        <v>0</v>
      </c>
      <c r="K48" s="45">
        <v>131.24399999999997</v>
      </c>
      <c r="L48" s="46" t="s">
        <v>71</v>
      </c>
      <c r="M48" s="47"/>
      <c r="N48" s="85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</row>
    <row r="49" spans="1:32" s="10" customFormat="1" ht="15">
      <c r="A49" s="48" t="s">
        <v>9</v>
      </c>
      <c r="B49" s="49">
        <f t="shared" si="3"/>
        <v>4820.649337796397</v>
      </c>
      <c r="C49" s="37"/>
      <c r="D49" s="50">
        <v>1454.3663422742227</v>
      </c>
      <c r="E49" s="50">
        <v>3266.1567496729231</v>
      </c>
      <c r="F49" s="50">
        <v>12.924031380348126</v>
      </c>
      <c r="G49" s="50">
        <v>0</v>
      </c>
      <c r="H49" s="50">
        <v>0.11089147163094717</v>
      </c>
      <c r="I49" s="50">
        <v>0.29571059101585917</v>
      </c>
      <c r="J49" s="50">
        <v>0.19221188416030846</v>
      </c>
      <c r="K49" s="50">
        <v>86.603400522096038</v>
      </c>
      <c r="L49" s="51" t="s">
        <v>10</v>
      </c>
      <c r="M49" s="52"/>
      <c r="N49" s="85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</row>
    <row r="50" spans="1:32" s="10" customFormat="1" ht="15">
      <c r="A50" s="48" t="s">
        <v>11</v>
      </c>
      <c r="B50" s="49">
        <f t="shared" si="3"/>
        <v>2061.359250263466</v>
      </c>
      <c r="C50" s="37"/>
      <c r="D50" s="50">
        <v>393.78883402491186</v>
      </c>
      <c r="E50" s="50">
        <v>1655.5710866618422</v>
      </c>
      <c r="F50" s="50">
        <v>8.5061151505711887</v>
      </c>
      <c r="G50" s="50">
        <v>0</v>
      </c>
      <c r="H50" s="50">
        <v>0</v>
      </c>
      <c r="I50" s="50">
        <v>0.22178294326189438</v>
      </c>
      <c r="J50" s="50">
        <v>0</v>
      </c>
      <c r="K50" s="50">
        <v>3.2714314828788993</v>
      </c>
      <c r="L50" s="51" t="s">
        <v>12</v>
      </c>
      <c r="M50" s="52"/>
      <c r="N50" s="85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</row>
    <row r="51" spans="1:32" s="10" customFormat="1" ht="15">
      <c r="A51" s="48" t="s">
        <v>13</v>
      </c>
      <c r="B51" s="49">
        <f t="shared" si="3"/>
        <v>3194.6032976825468</v>
      </c>
      <c r="C51" s="37"/>
      <c r="D51" s="50">
        <v>804.81179957846439</v>
      </c>
      <c r="E51" s="50">
        <v>2385.53469978982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4.2567983142619443</v>
      </c>
      <c r="L51" s="51" t="s">
        <v>14</v>
      </c>
      <c r="M51" s="52"/>
      <c r="N51" s="85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</row>
    <row r="52" spans="1:32" s="10" customFormat="1" ht="15">
      <c r="A52" s="48" t="s">
        <v>15</v>
      </c>
      <c r="B52" s="49">
        <f t="shared" si="3"/>
        <v>3699.9022280220215</v>
      </c>
      <c r="C52" s="37"/>
      <c r="D52" s="50">
        <v>1378.7801868850161</v>
      </c>
      <c r="E52" s="50">
        <v>2316.6646475433276</v>
      </c>
      <c r="F52" s="50">
        <v>9.610594208015423E-2</v>
      </c>
      <c r="G52" s="50">
        <v>0</v>
      </c>
      <c r="H52" s="50">
        <v>0</v>
      </c>
      <c r="I52" s="50">
        <v>0.66520097449017523</v>
      </c>
      <c r="J52" s="50">
        <v>1.4069909920534578</v>
      </c>
      <c r="K52" s="50">
        <v>2.2890956850537658</v>
      </c>
      <c r="L52" s="51" t="s">
        <v>16</v>
      </c>
      <c r="M52" s="52"/>
      <c r="N52" s="85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 spans="1:32" s="2" customFormat="1" ht="15">
      <c r="A53" s="48" t="s">
        <v>17</v>
      </c>
      <c r="B53" s="49">
        <f t="shared" si="3"/>
        <v>6474.1999351819668</v>
      </c>
      <c r="C53" s="37"/>
      <c r="D53" s="50">
        <v>3346.6128843966512</v>
      </c>
      <c r="E53" s="50">
        <v>3063.4630962553001</v>
      </c>
      <c r="F53" s="50">
        <v>0</v>
      </c>
      <c r="G53" s="50">
        <v>0</v>
      </c>
      <c r="H53" s="50">
        <v>3.2528165011744506E-2</v>
      </c>
      <c r="I53" s="50">
        <v>1.7139385855279194</v>
      </c>
      <c r="J53" s="50">
        <v>10.743165771606167</v>
      </c>
      <c r="K53" s="50">
        <v>51.634322007870182</v>
      </c>
      <c r="L53" s="51" t="s">
        <v>18</v>
      </c>
      <c r="M53" s="52"/>
      <c r="N53" s="85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spans="1:32" s="2" customFormat="1" ht="15">
      <c r="A54" s="48" t="s">
        <v>19</v>
      </c>
      <c r="B54" s="49">
        <f t="shared" si="3"/>
        <v>1655.162966646096</v>
      </c>
      <c r="C54" s="37"/>
      <c r="D54" s="50">
        <v>507.82996351735744</v>
      </c>
      <c r="E54" s="50">
        <v>1134.6069499890755</v>
      </c>
      <c r="F54" s="50">
        <v>1.572736778317847</v>
      </c>
      <c r="G54" s="50">
        <v>0</v>
      </c>
      <c r="H54" s="50">
        <v>3.666811328596653E-2</v>
      </c>
      <c r="I54" s="50">
        <v>0</v>
      </c>
      <c r="J54" s="50">
        <v>0</v>
      </c>
      <c r="K54" s="50">
        <v>11.116648248059192</v>
      </c>
      <c r="L54" s="51" t="s">
        <v>20</v>
      </c>
      <c r="M54" s="52"/>
      <c r="N54" s="85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spans="1:32" s="2" customFormat="1" ht="15">
      <c r="A55" s="48" t="s">
        <v>21</v>
      </c>
      <c r="B55" s="49">
        <f t="shared" si="3"/>
        <v>4554.6509441370617</v>
      </c>
      <c r="C55" s="37"/>
      <c r="D55" s="50">
        <v>3261.6393962956477</v>
      </c>
      <c r="E55" s="50">
        <v>1216.6169344818993</v>
      </c>
      <c r="F55" s="50">
        <v>7.0556547016383986</v>
      </c>
      <c r="G55" s="50">
        <v>0</v>
      </c>
      <c r="H55" s="50">
        <v>8.8713177304757754E-3</v>
      </c>
      <c r="I55" s="50">
        <v>14.925844226229982</v>
      </c>
      <c r="J55" s="50">
        <v>28.562685986221833</v>
      </c>
      <c r="K55" s="50">
        <v>25.841557127693896</v>
      </c>
      <c r="L55" s="51" t="s">
        <v>22</v>
      </c>
      <c r="M55" s="52"/>
      <c r="N55" s="85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spans="1:32" s="2" customFormat="1" ht="15">
      <c r="A56" s="48" t="s">
        <v>23</v>
      </c>
      <c r="B56" s="49">
        <f t="shared" si="3"/>
        <v>4040.3289710183303</v>
      </c>
      <c r="C56" s="37"/>
      <c r="D56" s="50">
        <v>2311.2894746149254</v>
      </c>
      <c r="E56" s="50">
        <v>1712.2996451276467</v>
      </c>
      <c r="F56" s="50">
        <v>5.9100423009838599</v>
      </c>
      <c r="G56" s="50">
        <v>0</v>
      </c>
      <c r="H56" s="50">
        <v>0</v>
      </c>
      <c r="I56" s="50">
        <v>8.8713177304757737E-2</v>
      </c>
      <c r="J56" s="50">
        <v>0.7984185957428197</v>
      </c>
      <c r="K56" s="50">
        <v>9.9426772017262319</v>
      </c>
      <c r="L56" s="51" t="s">
        <v>24</v>
      </c>
      <c r="M56" s="52"/>
      <c r="N56" s="86"/>
      <c r="P56" s="6"/>
      <c r="AB56" s="6"/>
      <c r="AC56" s="6"/>
      <c r="AD56" s="6"/>
      <c r="AE56" s="6"/>
      <c r="AF56" s="6"/>
    </row>
    <row r="57" spans="1:32" s="2" customFormat="1" ht="15">
      <c r="A57" s="48" t="s">
        <v>25</v>
      </c>
      <c r="B57" s="49">
        <f t="shared" si="3"/>
        <v>2836.170164942137</v>
      </c>
      <c r="C57" s="37"/>
      <c r="D57" s="50">
        <v>340.13134886648851</v>
      </c>
      <c r="E57" s="50">
        <v>2480.6349408935116</v>
      </c>
      <c r="F57" s="50">
        <v>14.776658233062481</v>
      </c>
      <c r="G57" s="50">
        <v>0</v>
      </c>
      <c r="H57" s="50">
        <v>0</v>
      </c>
      <c r="I57" s="50">
        <v>0</v>
      </c>
      <c r="J57" s="50">
        <v>0</v>
      </c>
      <c r="K57" s="50">
        <v>0.62721694907418801</v>
      </c>
      <c r="L57" s="51" t="s">
        <v>26</v>
      </c>
      <c r="M57" s="52"/>
      <c r="N57" s="86"/>
      <c r="P57" s="6"/>
      <c r="AB57" s="6"/>
      <c r="AC57" s="6"/>
      <c r="AD57" s="6"/>
      <c r="AE57" s="6"/>
      <c r="AF57" s="6"/>
    </row>
    <row r="58" spans="1:32" s="2" customFormat="1" ht="15">
      <c r="A58" s="48" t="s">
        <v>27</v>
      </c>
      <c r="B58" s="49">
        <f t="shared" si="3"/>
        <v>3008.043363969608</v>
      </c>
      <c r="C58" s="37"/>
      <c r="D58" s="50">
        <v>180.37358378593416</v>
      </c>
      <c r="E58" s="50">
        <v>2764.2194248089331</v>
      </c>
      <c r="F58" s="50">
        <v>23.022548063539716</v>
      </c>
      <c r="G58" s="50">
        <v>0</v>
      </c>
      <c r="H58" s="50">
        <v>3.5485270921903102E-2</v>
      </c>
      <c r="I58" s="50">
        <v>2.5431110827363886E-2</v>
      </c>
      <c r="J58" s="50">
        <v>0</v>
      </c>
      <c r="K58" s="50">
        <v>40.366890929452012</v>
      </c>
      <c r="L58" s="51" t="s">
        <v>28</v>
      </c>
      <c r="M58" s="52"/>
      <c r="N58" s="86"/>
      <c r="P58" s="6"/>
      <c r="AB58" s="6"/>
      <c r="AC58" s="6"/>
      <c r="AD58" s="6"/>
      <c r="AE58" s="6"/>
      <c r="AF58" s="6"/>
    </row>
    <row r="59" spans="1:32" s="2" customFormat="1" ht="15">
      <c r="A59" s="48" t="s">
        <v>29</v>
      </c>
      <c r="B59" s="49">
        <f t="shared" si="3"/>
        <v>256.77748611255839</v>
      </c>
      <c r="C59" s="37"/>
      <c r="D59" s="50">
        <v>74.658496479660485</v>
      </c>
      <c r="E59" s="50">
        <v>177.88670572663116</v>
      </c>
      <c r="F59" s="50">
        <v>3.6963823876982396</v>
      </c>
      <c r="G59" s="50">
        <v>0</v>
      </c>
      <c r="H59" s="50">
        <v>0</v>
      </c>
      <c r="I59" s="50">
        <v>0</v>
      </c>
      <c r="J59" s="50">
        <v>8.1320412529361272E-2</v>
      </c>
      <c r="K59" s="50">
        <v>0.45458110603912949</v>
      </c>
      <c r="L59" s="51" t="s">
        <v>30</v>
      </c>
      <c r="M59" s="52"/>
      <c r="N59" s="86"/>
      <c r="P59" s="6"/>
      <c r="AB59" s="6"/>
      <c r="AC59" s="6"/>
      <c r="AD59" s="6"/>
      <c r="AE59" s="6"/>
      <c r="AF59" s="6"/>
    </row>
    <row r="60" spans="1:32" s="2" customFormat="1" ht="15">
      <c r="A60" s="48" t="s">
        <v>31</v>
      </c>
      <c r="B60" s="49">
        <f t="shared" si="3"/>
        <v>3660.9335097969497</v>
      </c>
      <c r="C60" s="37"/>
      <c r="D60" s="50">
        <v>2495.7374772081089</v>
      </c>
      <c r="E60" s="50">
        <v>957.17664307518885</v>
      </c>
      <c r="F60" s="50">
        <v>33.86477688313618</v>
      </c>
      <c r="G60" s="50">
        <v>0</v>
      </c>
      <c r="H60" s="50">
        <v>0</v>
      </c>
      <c r="I60" s="50">
        <v>3.4021503496374597</v>
      </c>
      <c r="J60" s="50">
        <v>19.524291771822103</v>
      </c>
      <c r="K60" s="50">
        <v>151.22817050905644</v>
      </c>
      <c r="L60" s="51" t="s">
        <v>32</v>
      </c>
      <c r="M60" s="52"/>
      <c r="N60" s="86"/>
      <c r="P60" s="6"/>
      <c r="AB60" s="6"/>
      <c r="AC60" s="6"/>
      <c r="AD60" s="6"/>
      <c r="AE60" s="6"/>
      <c r="AF60" s="6"/>
    </row>
    <row r="61" spans="1:32" s="2" customFormat="1" ht="15">
      <c r="A61" s="48" t="s">
        <v>33</v>
      </c>
      <c r="B61" s="49">
        <f t="shared" si="3"/>
        <v>2658.2474096926744</v>
      </c>
      <c r="C61" s="37"/>
      <c r="D61" s="50">
        <v>224.17445831014646</v>
      </c>
      <c r="E61" s="50">
        <v>1320.2828545589775</v>
      </c>
      <c r="F61" s="50">
        <v>5.914211820317183</v>
      </c>
      <c r="G61" s="50">
        <v>0</v>
      </c>
      <c r="H61" s="50">
        <v>0.17742635460951547</v>
      </c>
      <c r="I61" s="50">
        <v>9.7584495035233518E-2</v>
      </c>
      <c r="J61" s="50">
        <v>0</v>
      </c>
      <c r="K61" s="50">
        <v>1107.6008741535882</v>
      </c>
      <c r="L61" s="51" t="s">
        <v>34</v>
      </c>
      <c r="M61" s="52"/>
      <c r="N61" s="86"/>
      <c r="P61" s="6"/>
      <c r="AB61" s="6"/>
      <c r="AC61" s="6"/>
      <c r="AD61" s="6"/>
      <c r="AE61" s="6"/>
      <c r="AF61" s="6"/>
    </row>
    <row r="62" spans="1:32" s="2" customFormat="1" ht="15">
      <c r="A62" s="48" t="s">
        <v>35</v>
      </c>
      <c r="B62" s="49">
        <f t="shared" si="3"/>
        <v>9900.4574381934053</v>
      </c>
      <c r="C62" s="37"/>
      <c r="D62" s="50">
        <v>3963.2087370312047</v>
      </c>
      <c r="E62" s="50">
        <v>5695.0767196471779</v>
      </c>
      <c r="F62" s="50">
        <v>44.715625666460774</v>
      </c>
      <c r="G62" s="50">
        <v>0</v>
      </c>
      <c r="H62" s="50">
        <v>1.4785529550792958E-3</v>
      </c>
      <c r="I62" s="50">
        <v>5.2120470219500268</v>
      </c>
      <c r="J62" s="50">
        <v>14.493663197460307</v>
      </c>
      <c r="K62" s="50">
        <v>177.74916707619789</v>
      </c>
      <c r="L62" s="51" t="s">
        <v>36</v>
      </c>
      <c r="M62" s="52"/>
      <c r="N62" s="87"/>
      <c r="O62" s="53"/>
      <c r="P62" s="6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</row>
    <row r="63" spans="1:32" ht="15">
      <c r="A63" s="48" t="s">
        <v>37</v>
      </c>
      <c r="B63" s="49">
        <f t="shared" si="3"/>
        <v>7198.9792228439528</v>
      </c>
      <c r="C63" s="37"/>
      <c r="D63" s="50">
        <v>5618.5835699153904</v>
      </c>
      <c r="E63" s="50">
        <v>1375.0054262796323</v>
      </c>
      <c r="F63" s="50">
        <v>55.419121862282125</v>
      </c>
      <c r="G63" s="50">
        <v>0</v>
      </c>
      <c r="H63" s="50">
        <v>2.5771178007032129</v>
      </c>
      <c r="I63" s="50">
        <v>2.7251209515066499</v>
      </c>
      <c r="J63" s="50">
        <v>29.109898434896675</v>
      </c>
      <c r="K63" s="50">
        <v>115.5589675995415</v>
      </c>
      <c r="L63" s="51" t="s">
        <v>38</v>
      </c>
      <c r="M63" s="52"/>
      <c r="N63" s="88"/>
      <c r="P63" s="6"/>
    </row>
    <row r="64" spans="1:32" ht="15">
      <c r="A64" s="48" t="s">
        <v>39</v>
      </c>
      <c r="B64" s="49">
        <f t="shared" si="3"/>
        <v>9774.0388693018449</v>
      </c>
      <c r="C64" s="37"/>
      <c r="D64" s="50">
        <v>7730.4390206056751</v>
      </c>
      <c r="E64" s="50">
        <v>1982.0936721731209</v>
      </c>
      <c r="F64" s="50">
        <v>44.400945241031259</v>
      </c>
      <c r="G64" s="50">
        <v>0</v>
      </c>
      <c r="H64" s="50">
        <v>0</v>
      </c>
      <c r="I64" s="50">
        <v>1.3513974009424763</v>
      </c>
      <c r="J64" s="50">
        <v>14.223679427862825</v>
      </c>
      <c r="K64" s="50">
        <v>1.5301544532115634</v>
      </c>
      <c r="L64" s="51" t="s">
        <v>40</v>
      </c>
      <c r="M64" s="52"/>
      <c r="N64" s="88"/>
      <c r="P64" s="6"/>
    </row>
    <row r="65" spans="1:30" ht="15">
      <c r="A65" s="48" t="s">
        <v>41</v>
      </c>
      <c r="B65" s="49">
        <f t="shared" si="3"/>
        <v>18765.171841803913</v>
      </c>
      <c r="C65" s="37"/>
      <c r="D65" s="50">
        <v>17122.872178248963</v>
      </c>
      <c r="E65" s="50">
        <v>1641.294247545499</v>
      </c>
      <c r="F65" s="50">
        <v>0</v>
      </c>
      <c r="G65" s="50">
        <v>0</v>
      </c>
      <c r="H65" s="50">
        <v>0</v>
      </c>
      <c r="I65" s="50">
        <v>2.9571059101585917E-2</v>
      </c>
      <c r="J65" s="50">
        <v>0.53227906382854639</v>
      </c>
      <c r="K65" s="50">
        <v>0.4435658865237887</v>
      </c>
      <c r="L65" s="51" t="s">
        <v>42</v>
      </c>
      <c r="M65" s="52"/>
      <c r="N65" s="88"/>
      <c r="P65" s="6"/>
    </row>
    <row r="66" spans="1:30" ht="15">
      <c r="A66" s="48" t="s">
        <v>43</v>
      </c>
      <c r="B66" s="49">
        <f t="shared" si="3"/>
        <v>12213.62420039364</v>
      </c>
      <c r="C66" s="37"/>
      <c r="D66" s="50">
        <v>11338.899079403733</v>
      </c>
      <c r="E66" s="50">
        <v>871.89812773979543</v>
      </c>
      <c r="F66" s="50">
        <v>1.6397152271829392</v>
      </c>
      <c r="G66" s="50">
        <v>0</v>
      </c>
      <c r="H66" s="50">
        <v>0</v>
      </c>
      <c r="I66" s="50">
        <v>0</v>
      </c>
      <c r="J66" s="50">
        <v>0.96105942080154216</v>
      </c>
      <c r="K66" s="50">
        <v>0.22621860212713224</v>
      </c>
      <c r="L66" s="51" t="s">
        <v>44</v>
      </c>
      <c r="M66" s="52"/>
      <c r="N66" s="88"/>
      <c r="P66" s="6"/>
    </row>
    <row r="67" spans="1:30" ht="15">
      <c r="A67" s="48" t="s">
        <v>45</v>
      </c>
      <c r="B67" s="49">
        <f t="shared" si="3"/>
        <v>2516.2397100822591</v>
      </c>
      <c r="C67" s="37"/>
      <c r="D67" s="50">
        <v>1340.8729870805737</v>
      </c>
      <c r="E67" s="50">
        <v>1167.3213249519172</v>
      </c>
      <c r="F67" s="50">
        <v>7.1198238998888401</v>
      </c>
      <c r="G67" s="50">
        <v>0</v>
      </c>
      <c r="H67" s="50">
        <v>0</v>
      </c>
      <c r="I67" s="50">
        <v>4.4356588652378877E-3</v>
      </c>
      <c r="J67" s="50">
        <v>0</v>
      </c>
      <c r="K67" s="50">
        <v>0.92113849101440115</v>
      </c>
      <c r="L67" s="51" t="s">
        <v>46</v>
      </c>
      <c r="M67" s="52"/>
      <c r="N67" s="88"/>
      <c r="P67" s="6"/>
    </row>
    <row r="68" spans="1:30" ht="15">
      <c r="A68" s="54" t="s">
        <v>14</v>
      </c>
      <c r="B68" s="55">
        <f t="shared" si="3"/>
        <v>7177.1723608534785</v>
      </c>
      <c r="C68" s="56"/>
      <c r="D68" s="57">
        <v>6278.2412423795677</v>
      </c>
      <c r="E68" s="57">
        <v>898.19184199637129</v>
      </c>
      <c r="F68" s="57">
        <v>0</v>
      </c>
      <c r="G68" s="57">
        <v>0</v>
      </c>
      <c r="H68" s="57">
        <v>0</v>
      </c>
      <c r="I68" s="57">
        <v>0</v>
      </c>
      <c r="J68" s="57">
        <v>0</v>
      </c>
      <c r="K68" s="57">
        <v>0.73927647753964787</v>
      </c>
      <c r="L68" s="58" t="s">
        <v>47</v>
      </c>
      <c r="M68" s="59"/>
      <c r="N68" s="88"/>
      <c r="P68" s="6"/>
    </row>
    <row r="69" spans="1:30" ht="17.25">
      <c r="A69" s="7" t="s">
        <v>74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4" t="s">
        <v>70</v>
      </c>
    </row>
    <row r="70" spans="1:30" s="9" customFormat="1">
      <c r="A70" s="95" t="s">
        <v>72</v>
      </c>
      <c r="B70" s="95"/>
      <c r="C70" s="95"/>
      <c r="D70" s="95"/>
      <c r="E70" s="95"/>
      <c r="F70" s="95"/>
      <c r="G70" s="96" t="s">
        <v>73</v>
      </c>
      <c r="H70" s="96"/>
      <c r="I70" s="96"/>
      <c r="J70" s="96"/>
      <c r="K70" s="96"/>
      <c r="L70" s="96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s="9" customFormat="1" ht="19.5" customHeight="1">
      <c r="A71" s="95"/>
      <c r="B71" s="95"/>
      <c r="C71" s="95"/>
      <c r="D71" s="95"/>
      <c r="E71" s="95"/>
      <c r="F71" s="95"/>
      <c r="G71" s="96"/>
      <c r="H71" s="96"/>
      <c r="I71" s="96"/>
      <c r="J71" s="96"/>
      <c r="K71" s="96"/>
      <c r="L71" s="96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s="12" customFormat="1">
      <c r="A72" s="95"/>
      <c r="B72" s="95"/>
      <c r="C72" s="95"/>
      <c r="D72" s="95"/>
      <c r="E72" s="95"/>
      <c r="F72" s="95"/>
      <c r="G72" s="83"/>
      <c r="H72" s="3"/>
      <c r="I72" s="83"/>
      <c r="J72" s="83"/>
      <c r="K72" s="84"/>
      <c r="L72" s="3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1"/>
    </row>
    <row r="73" spans="1:30" s="14" customFormat="1">
      <c r="A73" s="95"/>
      <c r="B73" s="95"/>
      <c r="C73" s="95"/>
      <c r="D73" s="95"/>
      <c r="E73" s="95"/>
      <c r="F73" s="95"/>
      <c r="G73" s="83"/>
      <c r="H73" s="3"/>
      <c r="I73" s="83"/>
      <c r="J73" s="83"/>
      <c r="K73" s="84"/>
      <c r="L73" s="3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3"/>
    </row>
    <row r="74" spans="1:30" s="12" customFormat="1" ht="12">
      <c r="A74" s="89"/>
      <c r="D74" s="90"/>
      <c r="E74" s="90"/>
      <c r="F74" s="90"/>
      <c r="G74" s="90"/>
      <c r="H74" s="90"/>
      <c r="I74" s="90"/>
      <c r="J74" s="90"/>
      <c r="K74" s="90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1"/>
    </row>
    <row r="75" spans="1:30" s="10" customFormat="1" ht="12">
      <c r="A75" s="60"/>
      <c r="B75" s="61"/>
      <c r="C75" s="61"/>
      <c r="D75" s="91"/>
      <c r="E75" s="91"/>
      <c r="F75" s="91"/>
      <c r="G75" s="91"/>
      <c r="H75" s="91"/>
      <c r="I75" s="91"/>
      <c r="J75" s="91"/>
      <c r="K75" s="91"/>
      <c r="L75" s="6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6"/>
    </row>
    <row r="76" spans="1:30" s="10" customFormat="1" ht="15">
      <c r="A76" s="61"/>
      <c r="B76" s="63"/>
      <c r="C76" s="63"/>
      <c r="D76" s="63"/>
      <c r="E76" s="63"/>
      <c r="F76" s="63"/>
      <c r="G76" s="63"/>
      <c r="H76" s="63"/>
      <c r="I76" s="63"/>
      <c r="J76" s="63"/>
      <c r="K76" s="62"/>
      <c r="L76" s="6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6"/>
    </row>
    <row r="77" spans="1:30" s="12" customFormat="1" ht="12">
      <c r="A77" s="64"/>
      <c r="B77" s="65"/>
      <c r="C77" s="65"/>
      <c r="D77" s="66"/>
      <c r="E77" s="66"/>
      <c r="F77" s="66"/>
      <c r="G77" s="66"/>
      <c r="H77" s="66"/>
      <c r="I77" s="66"/>
      <c r="J77" s="66"/>
      <c r="K77" s="64"/>
      <c r="L77" s="1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1"/>
    </row>
    <row r="78" spans="1:30" s="10" customFormat="1" ht="15">
      <c r="A78" s="61"/>
      <c r="B78" s="67"/>
      <c r="C78" s="67"/>
      <c r="D78" s="68"/>
      <c r="E78" s="68"/>
      <c r="F78" s="68"/>
      <c r="G78" s="68"/>
      <c r="H78" s="68"/>
      <c r="I78" s="68"/>
      <c r="J78" s="68"/>
      <c r="K78" s="62"/>
      <c r="L78" s="6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6"/>
    </row>
    <row r="79" spans="1:30" s="10" customFormat="1" ht="15">
      <c r="A79" s="61"/>
      <c r="B79" s="69"/>
      <c r="C79" s="69"/>
      <c r="D79" s="70"/>
      <c r="E79" s="70"/>
      <c r="F79" s="70"/>
      <c r="G79" s="70"/>
      <c r="H79" s="70"/>
      <c r="I79" s="70"/>
      <c r="J79" s="70"/>
      <c r="K79" s="62"/>
      <c r="L79" s="6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6"/>
    </row>
    <row r="80" spans="1:30" s="10" customFormat="1" ht="15">
      <c r="A80" s="61"/>
      <c r="B80" s="69"/>
      <c r="C80" s="69"/>
      <c r="D80" s="69"/>
      <c r="E80" s="69"/>
      <c r="F80" s="69"/>
      <c r="G80" s="69"/>
      <c r="H80" s="69"/>
      <c r="I80" s="69"/>
      <c r="J80" s="69"/>
      <c r="K80" s="62"/>
      <c r="L80" s="6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6"/>
    </row>
    <row r="81" spans="1:30" s="10" customFormat="1" ht="15">
      <c r="A81" s="61"/>
      <c r="B81" s="68"/>
      <c r="C81" s="68"/>
      <c r="D81" s="71"/>
      <c r="E81" s="70"/>
      <c r="F81" s="72"/>
      <c r="G81" s="72"/>
      <c r="H81" s="72"/>
      <c r="I81" s="72"/>
      <c r="J81" s="70"/>
      <c r="K81" s="62"/>
      <c r="L81" s="6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6"/>
    </row>
    <row r="82" spans="1:30" s="10" customFormat="1" ht="15">
      <c r="A82" s="73"/>
      <c r="B82" s="68"/>
      <c r="C82" s="68"/>
      <c r="D82" s="74"/>
      <c r="E82" s="75"/>
      <c r="F82" s="75"/>
      <c r="G82" s="75"/>
      <c r="H82" s="75"/>
      <c r="I82" s="75"/>
      <c r="J82" s="75"/>
      <c r="K82" s="76"/>
      <c r="L82" s="6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6"/>
    </row>
    <row r="83" spans="1:30" s="10" customFormat="1" ht="15">
      <c r="A83" s="73"/>
      <c r="B83" s="68"/>
      <c r="C83" s="68"/>
      <c r="D83" s="74"/>
      <c r="E83" s="75"/>
      <c r="F83" s="75"/>
      <c r="G83" s="75"/>
      <c r="H83" s="75"/>
      <c r="I83" s="75"/>
      <c r="J83" s="75"/>
      <c r="K83" s="76"/>
      <c r="L83" s="6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6"/>
    </row>
    <row r="84" spans="1:30" s="10" customFormat="1" ht="15">
      <c r="A84" s="73"/>
      <c r="B84" s="68"/>
      <c r="C84" s="68"/>
      <c r="D84" s="74"/>
      <c r="E84" s="75"/>
      <c r="F84" s="75"/>
      <c r="G84" s="75"/>
      <c r="H84" s="75"/>
      <c r="I84" s="75"/>
      <c r="J84" s="75"/>
      <c r="K84" s="76"/>
      <c r="L84" s="6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6"/>
    </row>
    <row r="85" spans="1:30" s="10" customFormat="1" ht="15">
      <c r="A85" s="73"/>
      <c r="B85" s="68"/>
      <c r="C85" s="68"/>
      <c r="D85" s="74"/>
      <c r="E85" s="75"/>
      <c r="F85" s="77"/>
      <c r="G85" s="77"/>
      <c r="H85" s="75"/>
      <c r="I85" s="75"/>
      <c r="J85" s="75"/>
      <c r="K85" s="76"/>
      <c r="L85" s="6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6"/>
    </row>
    <row r="86" spans="1:30" s="2" customFormat="1" ht="15">
      <c r="A86" s="73"/>
      <c r="B86" s="68"/>
      <c r="C86" s="68"/>
      <c r="D86" s="74"/>
      <c r="E86" s="75"/>
      <c r="F86" s="75"/>
      <c r="G86" s="75"/>
      <c r="H86" s="75"/>
      <c r="I86" s="75"/>
      <c r="J86" s="75"/>
      <c r="K86" s="76"/>
      <c r="L86" s="6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6"/>
    </row>
    <row r="87" spans="1:30" s="2" customFormat="1" ht="15">
      <c r="A87" s="73"/>
      <c r="B87" s="68"/>
      <c r="C87" s="68"/>
      <c r="D87" s="74"/>
      <c r="E87" s="75"/>
      <c r="F87" s="75"/>
      <c r="G87" s="75"/>
      <c r="H87" s="75"/>
      <c r="I87" s="75"/>
      <c r="J87" s="75"/>
      <c r="K87" s="76"/>
      <c r="L87" s="6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6"/>
    </row>
    <row r="88" spans="1:30" s="2" customFormat="1" ht="15">
      <c r="A88" s="73"/>
      <c r="B88" s="68"/>
      <c r="C88" s="68"/>
      <c r="D88" s="74"/>
      <c r="E88" s="75"/>
      <c r="F88" s="75"/>
      <c r="G88" s="75"/>
      <c r="H88" s="75"/>
      <c r="I88" s="75"/>
      <c r="J88" s="75"/>
      <c r="K88" s="76"/>
      <c r="L88" s="6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6"/>
    </row>
    <row r="89" spans="1:30" s="2" customFormat="1" ht="15">
      <c r="A89" s="73"/>
      <c r="B89" s="68"/>
      <c r="C89" s="68"/>
      <c r="D89" s="74"/>
      <c r="E89" s="75"/>
      <c r="F89" s="75"/>
      <c r="G89" s="75"/>
      <c r="H89" s="75"/>
      <c r="I89" s="75"/>
      <c r="J89" s="75"/>
      <c r="K89" s="76"/>
      <c r="W89" s="6"/>
      <c r="X89" s="6"/>
      <c r="Y89" s="6"/>
      <c r="Z89" s="6"/>
      <c r="AA89" s="6"/>
      <c r="AB89" s="6"/>
      <c r="AC89" s="6"/>
      <c r="AD89" s="6"/>
    </row>
    <row r="90" spans="1:30" s="2" customFormat="1" ht="15">
      <c r="A90" s="73"/>
      <c r="B90" s="68"/>
      <c r="C90" s="68"/>
      <c r="D90" s="74"/>
      <c r="E90" s="75"/>
      <c r="F90" s="75"/>
      <c r="G90" s="75"/>
      <c r="H90" s="75"/>
      <c r="I90" s="75"/>
      <c r="J90" s="75"/>
      <c r="K90" s="76"/>
      <c r="W90" s="6"/>
      <c r="X90" s="6"/>
      <c r="Y90" s="6"/>
      <c r="Z90" s="6"/>
      <c r="AA90" s="6"/>
      <c r="AB90" s="6"/>
      <c r="AC90" s="6"/>
      <c r="AD90" s="6"/>
    </row>
    <row r="91" spans="1:30" s="2" customFormat="1" ht="15">
      <c r="A91" s="73"/>
      <c r="B91" s="68"/>
      <c r="C91" s="68"/>
      <c r="D91" s="74"/>
      <c r="E91" s="75"/>
      <c r="F91" s="75"/>
      <c r="G91" s="75"/>
      <c r="H91" s="75"/>
      <c r="I91" s="75"/>
      <c r="J91" s="75"/>
      <c r="K91" s="76"/>
      <c r="W91" s="6"/>
      <c r="X91" s="6"/>
      <c r="Y91" s="6"/>
      <c r="Z91" s="6"/>
      <c r="AA91" s="6"/>
      <c r="AB91" s="6"/>
      <c r="AC91" s="6"/>
      <c r="AD91" s="6"/>
    </row>
    <row r="92" spans="1:30" s="2" customFormat="1" ht="15">
      <c r="A92" s="73"/>
      <c r="B92" s="68"/>
      <c r="C92" s="68"/>
      <c r="D92" s="74"/>
      <c r="E92" s="75"/>
      <c r="F92" s="75"/>
      <c r="G92" s="75"/>
      <c r="H92" s="75"/>
      <c r="I92" s="75"/>
      <c r="J92" s="75"/>
      <c r="K92" s="76"/>
      <c r="W92" s="6"/>
      <c r="X92" s="6"/>
      <c r="Y92" s="6"/>
      <c r="Z92" s="6"/>
      <c r="AA92" s="6"/>
      <c r="AB92" s="6"/>
      <c r="AC92" s="6"/>
      <c r="AD92" s="6"/>
    </row>
    <row r="93" spans="1:30" s="2" customFormat="1" ht="15">
      <c r="A93" s="73"/>
      <c r="B93" s="68"/>
      <c r="C93" s="68"/>
      <c r="D93" s="74"/>
      <c r="E93" s="75"/>
      <c r="F93" s="78"/>
      <c r="G93" s="78"/>
      <c r="H93" s="75"/>
      <c r="I93" s="75"/>
      <c r="J93" s="75"/>
      <c r="K93" s="76"/>
      <c r="W93" s="6"/>
      <c r="X93" s="6"/>
      <c r="Y93" s="6"/>
      <c r="Z93" s="6"/>
      <c r="AA93" s="6"/>
      <c r="AB93" s="6"/>
      <c r="AC93" s="6"/>
      <c r="AD93" s="6"/>
    </row>
    <row r="94" spans="1:30" s="2" customFormat="1" ht="15">
      <c r="A94" s="73"/>
      <c r="B94" s="68"/>
      <c r="C94" s="68"/>
      <c r="D94" s="74"/>
      <c r="E94" s="75"/>
      <c r="F94" s="75"/>
      <c r="G94" s="75"/>
      <c r="H94" s="75"/>
      <c r="I94" s="75"/>
      <c r="J94" s="75"/>
      <c r="K94" s="76"/>
      <c r="W94" s="6"/>
      <c r="X94" s="6"/>
      <c r="Y94" s="6"/>
      <c r="Z94" s="6"/>
      <c r="AA94" s="6"/>
      <c r="AB94" s="6"/>
      <c r="AC94" s="6"/>
      <c r="AD94" s="6"/>
    </row>
    <row r="95" spans="1:30" s="2" customFormat="1" ht="15">
      <c r="A95" s="73"/>
      <c r="B95" s="68"/>
      <c r="C95" s="68"/>
      <c r="D95" s="74"/>
      <c r="E95" s="75"/>
      <c r="F95" s="75"/>
      <c r="G95" s="75"/>
      <c r="H95" s="75"/>
      <c r="I95" s="75"/>
      <c r="J95" s="75"/>
      <c r="K95" s="76"/>
      <c r="L95" s="53"/>
      <c r="M95" s="53"/>
      <c r="N95" s="53"/>
      <c r="O95" s="53"/>
      <c r="P95" s="53"/>
      <c r="Q95" s="53"/>
      <c r="R95" s="53"/>
      <c r="S95" s="53"/>
    </row>
    <row r="96" spans="1:30" ht="15">
      <c r="A96" s="73"/>
      <c r="B96" s="68"/>
      <c r="C96" s="68"/>
      <c r="D96" s="74"/>
      <c r="E96" s="75"/>
      <c r="F96" s="75"/>
      <c r="G96" s="75"/>
      <c r="H96" s="75"/>
      <c r="I96" s="75"/>
      <c r="J96" s="75"/>
      <c r="K96" s="76"/>
    </row>
    <row r="97" spans="1:11" ht="15">
      <c r="A97" s="73"/>
      <c r="B97" s="68"/>
      <c r="C97" s="68"/>
      <c r="D97" s="74"/>
      <c r="E97" s="75"/>
      <c r="F97" s="75"/>
      <c r="G97" s="75"/>
      <c r="H97" s="75"/>
      <c r="I97" s="75"/>
      <c r="J97" s="75"/>
      <c r="K97" s="76"/>
    </row>
    <row r="98" spans="1:11" ht="15">
      <c r="A98" s="73"/>
      <c r="B98" s="68"/>
      <c r="C98" s="68"/>
      <c r="D98" s="74"/>
      <c r="E98" s="75"/>
      <c r="F98" s="79"/>
      <c r="G98" s="79"/>
      <c r="H98" s="77"/>
      <c r="I98" s="75"/>
      <c r="J98" s="75"/>
      <c r="K98" s="76"/>
    </row>
    <row r="99" spans="1:11" ht="15">
      <c r="A99" s="73"/>
      <c r="B99" s="68"/>
      <c r="C99" s="68"/>
      <c r="D99" s="74"/>
      <c r="E99" s="75"/>
      <c r="F99" s="77"/>
      <c r="G99" s="77"/>
      <c r="H99" s="75"/>
      <c r="I99" s="75"/>
      <c r="J99" s="75"/>
      <c r="K99" s="76"/>
    </row>
    <row r="100" spans="1:11" ht="15">
      <c r="A100" s="73"/>
      <c r="B100" s="68"/>
      <c r="C100" s="68"/>
      <c r="D100" s="74"/>
      <c r="E100" s="75"/>
      <c r="F100" s="77"/>
      <c r="G100" s="77"/>
      <c r="H100" s="77"/>
      <c r="I100" s="77"/>
      <c r="J100" s="75"/>
      <c r="K100" s="76"/>
    </row>
    <row r="101" spans="1:11" ht="15">
      <c r="A101" s="73"/>
      <c r="B101" s="68"/>
      <c r="C101" s="68"/>
      <c r="D101" s="74"/>
      <c r="E101" s="75"/>
      <c r="F101" s="77"/>
      <c r="G101" s="77"/>
      <c r="H101" s="77"/>
      <c r="I101" s="77"/>
      <c r="J101" s="75"/>
      <c r="K101" s="76"/>
    </row>
    <row r="102" spans="1:11" ht="15">
      <c r="A102" s="80"/>
      <c r="B102" s="81"/>
      <c r="C102" s="81"/>
      <c r="D102" s="81"/>
      <c r="E102" s="81"/>
      <c r="F102" s="81"/>
      <c r="G102" s="81"/>
      <c r="H102" s="81"/>
      <c r="I102" s="81"/>
      <c r="J102" s="81"/>
      <c r="K102" s="82"/>
    </row>
    <row r="103" spans="1:11">
      <c r="A103" s="5"/>
    </row>
    <row r="107" spans="1:11">
      <c r="B107" s="84"/>
      <c r="C107" s="84"/>
      <c r="D107" s="84"/>
      <c r="E107" s="84"/>
      <c r="F107" s="84"/>
      <c r="G107" s="84"/>
      <c r="H107" s="84"/>
      <c r="I107" s="84"/>
      <c r="J107" s="84"/>
    </row>
    <row r="108" spans="1:11">
      <c r="B108" s="84"/>
      <c r="C108" s="84"/>
      <c r="D108" s="84"/>
      <c r="E108" s="84"/>
      <c r="F108" s="84"/>
      <c r="G108" s="84"/>
      <c r="H108" s="84"/>
      <c r="I108" s="84"/>
      <c r="J108" s="84"/>
    </row>
    <row r="109" spans="1:11">
      <c r="B109" s="84"/>
      <c r="C109" s="84"/>
      <c r="D109" s="84"/>
      <c r="E109" s="84"/>
      <c r="F109" s="84"/>
      <c r="G109" s="84"/>
      <c r="H109" s="84"/>
      <c r="I109" s="84"/>
      <c r="J109" s="84"/>
    </row>
  </sheetData>
  <mergeCells count="15">
    <mergeCell ref="A70:F73"/>
    <mergeCell ref="G70:L71"/>
    <mergeCell ref="A37:L37"/>
    <mergeCell ref="A38:L38"/>
    <mergeCell ref="A39:L39"/>
    <mergeCell ref="A40:L40"/>
    <mergeCell ref="D42:G42"/>
    <mergeCell ref="H42:K42"/>
    <mergeCell ref="G34:L35"/>
    <mergeCell ref="A1:L1"/>
    <mergeCell ref="A2:L2"/>
    <mergeCell ref="A3:L3"/>
    <mergeCell ref="A4:L4"/>
    <mergeCell ref="D6:G6"/>
    <mergeCell ref="H6:K6"/>
  </mergeCells>
  <pageMargins left="0.7" right="0.7" top="0.75" bottom="0.75" header="0.3" footer="0.3"/>
  <pageSetup paperSize="9" scale="61" orientation="portrait" horizontalDpi="4294967295" verticalDpi="4294967295" r:id="rId1"/>
  <rowBreaks count="1" manualBreakCount="1">
    <brk id="71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9.3</vt:lpstr>
      <vt:lpstr>'9.3'!Print_Area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2021-07-14T06:41:12Z</cp:lastPrinted>
  <dcterms:created xsi:type="dcterms:W3CDTF">2019-09-09T05:11:24Z</dcterms:created>
  <dcterms:modified xsi:type="dcterms:W3CDTF">2021-07-14T06:42:52Z</dcterms:modified>
</cp:coreProperties>
</file>