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9. Fisheries and Agriculture\"/>
    </mc:Choice>
  </mc:AlternateContent>
  <bookViews>
    <workbookView xWindow="0" yWindow="0" windowWidth="28800" windowHeight="11730" tabRatio="831"/>
  </bookViews>
  <sheets>
    <sheet name="9.18" sheetId="18" r:id="rId1"/>
  </sheets>
  <externalReferences>
    <externalReference r:id="rId2"/>
  </externalReferences>
  <definedNames>
    <definedName name="_xlnm.Print_Area" localSheetId="0">'9.18'!$A$1:$P$45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9" i="18" l="1"/>
  <c r="N18" i="18"/>
  <c r="N17" i="18"/>
  <c r="N16" i="18"/>
  <c r="N15" i="18"/>
  <c r="N14" i="18"/>
  <c r="N13" i="18"/>
  <c r="N12" i="18"/>
  <c r="N11" i="18"/>
  <c r="N10" i="18"/>
  <c r="N9" i="18"/>
  <c r="N8" i="18"/>
  <c r="M7" i="18"/>
  <c r="L7" i="18"/>
  <c r="K7" i="18"/>
  <c r="J7" i="18"/>
  <c r="I7" i="18"/>
  <c r="H7" i="18"/>
  <c r="G7" i="18"/>
  <c r="F7" i="18"/>
  <c r="E7" i="18"/>
  <c r="D7" i="18"/>
  <c r="C7" i="18"/>
  <c r="B7" i="18"/>
  <c r="N7" i="18" l="1"/>
</calcChain>
</file>

<file path=xl/sharedStrings.xml><?xml version="1.0" encoding="utf-8"?>
<sst xmlns="http://schemas.openxmlformats.org/spreadsheetml/2006/main" count="45" uniqueCount="41">
  <si>
    <t>Total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</si>
  <si>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</si>
  <si>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</si>
  <si>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</si>
  <si>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</si>
  <si>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</si>
  <si>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</si>
  <si>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</si>
  <si>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</si>
  <si>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</si>
  <si>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</si>
  <si>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</si>
  <si>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</si>
  <si>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</si>
  <si>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-</t>
  </si>
  <si>
    <t>މަސް</t>
  </si>
  <si>
    <t>ޖުމްލަ</t>
  </si>
  <si>
    <t>ޖެނުއަރީ</t>
  </si>
  <si>
    <t>ފެބްރުއަރީ</t>
  </si>
  <si>
    <t>މާރޗް</t>
  </si>
  <si>
    <t>މެއި</t>
  </si>
  <si>
    <t>ޖޫން</t>
  </si>
  <si>
    <t>ޖުލައި</t>
  </si>
  <si>
    <t>އޯގަސްޓް</t>
  </si>
  <si>
    <t>ސެޕްޓެމްބަރ</t>
  </si>
  <si>
    <t>އޮކްޓޯބަރ</t>
  </si>
  <si>
    <t>ނޮވެމްބަރ</t>
  </si>
  <si>
    <t>ޑިސެމްބަރ</t>
  </si>
  <si>
    <r>
      <t xml:space="preserve">   (</t>
    </r>
    <r>
      <rPr>
        <b/>
        <sz val="11"/>
        <color theme="1"/>
        <rFont val="Faruma"/>
      </rPr>
      <t>ރުފިޔާއިން /</t>
    </r>
    <r>
      <rPr>
        <b/>
        <sz val="11"/>
        <color theme="1"/>
        <rFont val="Calibri"/>
        <family val="2"/>
      </rPr>
      <t xml:space="preserve"> In rufiyaa)</t>
    </r>
  </si>
  <si>
    <t xml:space="preserve"> Value in '000 (MVR) </t>
  </si>
  <si>
    <t xml:space="preserve">އާމްދަނީ ރުފިޔާ (' 000 ރުފިޔާއިން)    </t>
  </si>
  <si>
    <t xml:space="preserve">ކުރީ އަހަރަށް ވުރެން އިތުރު ވިމިންވަރު </t>
  </si>
  <si>
    <t>% change over previous year</t>
  </si>
  <si>
    <t>އޭޕްރިލް</t>
  </si>
  <si>
    <r>
      <rPr>
        <i/>
        <vertAlign val="subscript"/>
        <sz val="10"/>
        <color theme="1"/>
        <rFont val="Calibri"/>
        <family val="2"/>
      </rPr>
      <t xml:space="preserve">       </t>
    </r>
    <r>
      <rPr>
        <i/>
        <sz val="10"/>
        <color theme="1"/>
        <rFont val="Calibri"/>
        <family val="2"/>
      </rPr>
      <t xml:space="preserve">:-Data not available </t>
    </r>
  </si>
  <si>
    <t xml:space="preserve">    މައުލޫމާތު ނެތް</t>
  </si>
  <si>
    <t>Source:  Ministry of Fisheries, Marine Resources and Agriculture</t>
  </si>
  <si>
    <t xml:space="preserve">            ތާވަލް 9.18: މާލެ މާރުކޭޓަށް ވިއްކި ދަނޑުވެރިކަމުގެ ތަކެތިން ލިބުނު އާމްދަނީ، 2013 -2019   </t>
  </si>
  <si>
    <t>Table 9.18: VALUE OF AGRICULTURAL PRODUCTS TRADED IN MALE' MARKET , 2013 - 2019</t>
  </si>
  <si>
    <t xml:space="preserve">މައުލޫމާތު ދެއްވި ފަރާތް: މިނިސްޓްރީ އޮފް ފިޝަރީޒް، މެރިން ރިސޯސަސް އެންޑް އެގްރިކަލްޗަރ </t>
  </si>
  <si>
    <t xml:space="preserve">Note: 2020 data are missing as unable to take data on the Male’ Local Market due to the COVID pandemic.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</si>
</sst>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7" formatCode="0.0"/>
    <numFmt numFmtId="168" formatCode="_(* #,##0_);_(* \(#,##0\);_(* &quot;-&quot;??_);_(@_)"/>
    <numFmt numFmtId="170" formatCode="[$-409]mmmm\ d\,\ yyyy;@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MS Sans Serif"/>
      <family val="2"/>
    </font>
    <font>
      <b/>
      <sz val="11"/>
      <color theme="1"/>
      <name val="Calibri"/>
      <family val="2"/>
    </font>
    <font>
      <b/>
      <sz val="11"/>
      <color theme="1"/>
      <name val="Faruma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1"/>
      <color theme="1"/>
      <name val="Faruma"/>
    </font>
    <font>
      <sz val="10"/>
      <color theme="1"/>
      <name val="Courier"/>
      <family val="3"/>
    </font>
    <font>
      <b/>
      <sz val="10"/>
      <color theme="1"/>
      <name val="Arial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Courier"/>
      <family val="3"/>
    </font>
    <font>
      <b/>
      <sz val="9"/>
      <color theme="1"/>
      <name val="Faruma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6"/>
      <color theme="1"/>
      <name val="Faruma"/>
    </font>
    <font>
      <b/>
      <sz val="20"/>
      <color theme="1"/>
      <name val="Faruma"/>
    </font>
    <font>
      <i/>
      <sz val="10"/>
      <color theme="1"/>
      <name val="Calibri"/>
      <family val="2"/>
    </font>
    <font>
      <i/>
      <vertAlign val="subscript"/>
      <sz val="10"/>
      <color theme="1"/>
      <name val="Calibri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i/>
      <sz val="11"/>
      <color theme="1"/>
      <name val="Courier"/>
      <family val="3"/>
    </font>
    <font>
      <i/>
      <sz val="10"/>
      <color theme="1"/>
      <name val="Arial"/>
      <family val="2"/>
    </font>
    <font>
      <i/>
      <sz val="10"/>
      <color theme="1"/>
      <name val="Faruma"/>
    </font>
    <font>
      <i/>
      <sz val="10"/>
      <color theme="1"/>
      <name val="Courier"/>
      <family val="3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0" fontId="4" fillId="0" borderId="0" applyFont="0" applyFill="0" applyBorder="0" applyAlignment="0" applyProtection="0"/>
    <xf numFmtId="170" fontId="2" fillId="0" borderId="0"/>
    <xf numFmtId="43" fontId="8" fillId="0" borderId="0" applyFont="0" applyFill="0" applyBorder="0" applyAlignment="0" applyProtection="0"/>
    <xf numFmtId="170" fontId="2" fillId="0" borderId="0"/>
    <xf numFmtId="170" fontId="2" fillId="0" borderId="0"/>
    <xf numFmtId="0" fontId="3" fillId="0" borderId="0"/>
  </cellStyleXfs>
  <cellXfs count="80">
    <xf numFmtId="0" fontId="0" fillId="0" borderId="0" xfId="0"/>
    <xf numFmtId="0" fontId="11" fillId="2" borderId="0" xfId="3" applyNumberFormat="1" applyFont="1" applyFill="1" applyAlignment="1">
      <alignment horizontal="center" vertical="center"/>
    </xf>
    <xf numFmtId="0" fontId="12" fillId="2" borderId="0" xfId="3" applyNumberFormat="1" applyFont="1" applyFill="1"/>
    <xf numFmtId="164" fontId="13" fillId="2" borderId="0" xfId="3" applyNumberFormat="1" applyFont="1" applyFill="1"/>
    <xf numFmtId="0" fontId="14" fillId="2" borderId="0" xfId="3" applyNumberFormat="1" applyFont="1" applyFill="1" applyAlignment="1">
      <alignment horizontal="center" vertical="center"/>
    </xf>
    <xf numFmtId="164" fontId="15" fillId="2" borderId="0" xfId="3" applyNumberFormat="1" applyFont="1" applyFill="1"/>
    <xf numFmtId="0" fontId="12" fillId="2" borderId="0" xfId="3" applyNumberFormat="1" applyFont="1" applyFill="1" applyAlignment="1">
      <alignment horizontal="center" vertical="center"/>
    </xf>
    <xf numFmtId="0" fontId="12" fillId="2" borderId="0" xfId="3" applyNumberFormat="1" applyFont="1" applyFill="1" applyAlignment="1">
      <alignment vertical="center"/>
    </xf>
    <xf numFmtId="0" fontId="5" fillId="2" borderId="0" xfId="3" applyNumberFormat="1" applyFont="1" applyFill="1" applyAlignment="1">
      <alignment horizontal="left" vertical="center"/>
    </xf>
    <xf numFmtId="0" fontId="12" fillId="2" borderId="0" xfId="3" applyNumberFormat="1" applyFont="1" applyFill="1" applyBorder="1" applyAlignment="1">
      <alignment vertical="center"/>
    </xf>
    <xf numFmtId="0" fontId="10" fillId="2" borderId="2" xfId="3" applyNumberFormat="1" applyFont="1" applyFill="1" applyBorder="1" applyAlignment="1">
      <alignment horizontal="center" vertical="center" wrapText="1"/>
    </xf>
    <xf numFmtId="0" fontId="12" fillId="2" borderId="0" xfId="3" applyNumberFormat="1" applyFont="1" applyFill="1" applyAlignment="1">
      <alignment horizontal="right" vertical="center"/>
    </xf>
    <xf numFmtId="0" fontId="12" fillId="2" borderId="0" xfId="3" applyNumberFormat="1" applyFont="1" applyFill="1" applyAlignment="1">
      <alignment horizontal="right"/>
    </xf>
    <xf numFmtId="0" fontId="12" fillId="2" borderId="0" xfId="3" applyNumberFormat="1" applyFont="1" applyFill="1" applyBorder="1" applyAlignment="1">
      <alignment horizontal="right"/>
    </xf>
    <xf numFmtId="164" fontId="15" fillId="2" borderId="0" xfId="3" applyNumberFormat="1" applyFont="1" applyFill="1" applyBorder="1"/>
    <xf numFmtId="0" fontId="5" fillId="2" borderId="1" xfId="3" applyNumberFormat="1" applyFont="1" applyFill="1" applyBorder="1" applyAlignment="1">
      <alignment horizontal="right" vertical="center"/>
    </xf>
    <xf numFmtId="0" fontId="5" fillId="2" borderId="4" xfId="3" applyNumberFormat="1" applyFont="1" applyFill="1" applyBorder="1" applyAlignment="1">
      <alignment horizontal="right" vertical="center"/>
    </xf>
    <xf numFmtId="0" fontId="18" fillId="2" borderId="0" xfId="3" applyNumberFormat="1" applyFont="1" applyFill="1" applyBorder="1" applyAlignment="1">
      <alignment horizontal="center" vertical="center" wrapText="1"/>
    </xf>
    <xf numFmtId="0" fontId="12" fillId="2" borderId="0" xfId="3" applyNumberFormat="1" applyFont="1" applyFill="1" applyBorder="1"/>
    <xf numFmtId="0" fontId="5" fillId="2" borderId="0" xfId="3" applyNumberFormat="1" applyFont="1" applyFill="1" applyBorder="1" applyAlignment="1">
      <alignment horizontal="left" vertical="center"/>
    </xf>
    <xf numFmtId="3" fontId="9" fillId="2" borderId="0" xfId="2" applyNumberFormat="1" applyFont="1" applyFill="1" applyBorder="1" applyAlignment="1">
      <alignment horizontal="right" vertical="center"/>
    </xf>
    <xf numFmtId="3" fontId="9" fillId="2" borderId="0" xfId="4" applyNumberFormat="1" applyFont="1" applyFill="1" applyBorder="1" applyAlignment="1">
      <alignment horizontal="right" vertical="center"/>
    </xf>
    <xf numFmtId="167" fontId="19" fillId="2" borderId="2" xfId="3" applyNumberFormat="1" applyFont="1" applyFill="1" applyBorder="1" applyAlignment="1">
      <alignment horizontal="center" vertical="center"/>
    </xf>
    <xf numFmtId="0" fontId="11" fillId="2" borderId="0" xfId="3" applyNumberFormat="1" applyFont="1" applyFill="1" applyBorder="1" applyAlignment="1">
      <alignment vertical="center"/>
    </xf>
    <xf numFmtId="0" fontId="5" fillId="2" borderId="0" xfId="3" applyNumberFormat="1" applyFont="1" applyFill="1" applyBorder="1" applyAlignment="1">
      <alignment horizontal="center"/>
    </xf>
    <xf numFmtId="3" fontId="7" fillId="2" borderId="0" xfId="2" applyNumberFormat="1" applyFont="1" applyFill="1" applyAlignment="1">
      <alignment horizontal="right" vertical="center"/>
    </xf>
    <xf numFmtId="3" fontId="7" fillId="2" borderId="0" xfId="4" applyNumberFormat="1" applyFont="1" applyFill="1" applyBorder="1" applyAlignment="1">
      <alignment horizontal="right" vertical="center"/>
    </xf>
    <xf numFmtId="167" fontId="19" fillId="2" borderId="0" xfId="3" applyNumberFormat="1" applyFont="1" applyFill="1" applyBorder="1" applyAlignment="1">
      <alignment horizontal="center" vertical="center"/>
    </xf>
    <xf numFmtId="0" fontId="11" fillId="2" borderId="0" xfId="3" applyNumberFormat="1" applyFont="1" applyFill="1" applyAlignment="1">
      <alignment vertical="center"/>
    </xf>
    <xf numFmtId="0" fontId="21" fillId="2" borderId="0" xfId="3" applyNumberFormat="1" applyFont="1" applyFill="1" applyAlignment="1">
      <alignment horizontal="center" vertical="center"/>
    </xf>
    <xf numFmtId="0" fontId="12" fillId="2" borderId="0" xfId="3" applyNumberFormat="1" applyFont="1" applyFill="1" applyBorder="1" applyAlignment="1">
      <alignment horizontal="left" vertical="center"/>
    </xf>
    <xf numFmtId="168" fontId="19" fillId="2" borderId="0" xfId="2" applyNumberFormat="1" applyFont="1" applyFill="1" applyBorder="1"/>
    <xf numFmtId="168" fontId="19" fillId="2" borderId="0" xfId="4" applyNumberFormat="1" applyFont="1" applyFill="1" applyBorder="1" applyAlignment="1">
      <alignment horizontal="left"/>
    </xf>
    <xf numFmtId="3" fontId="12" fillId="2" borderId="0" xfId="3" applyNumberFormat="1" applyFont="1" applyFill="1" applyBorder="1" applyAlignment="1">
      <alignment horizontal="left" vertical="center"/>
    </xf>
    <xf numFmtId="167" fontId="19" fillId="2" borderId="0" xfId="3" applyNumberFormat="1" applyFont="1" applyFill="1" applyBorder="1" applyAlignment="1">
      <alignment horizontal="right" vertical="center"/>
    </xf>
    <xf numFmtId="0" fontId="22" fillId="2" borderId="0" xfId="3" applyNumberFormat="1" applyFont="1" applyFill="1" applyAlignment="1">
      <alignment vertical="center" wrapText="1"/>
    </xf>
    <xf numFmtId="3" fontId="19" fillId="2" borderId="0" xfId="3" applyNumberFormat="1" applyFont="1" applyFill="1" applyBorder="1" applyAlignment="1">
      <alignment horizontal="right" vertical="center"/>
    </xf>
    <xf numFmtId="3" fontId="20" fillId="2" borderId="0" xfId="3" applyNumberFormat="1" applyFont="1" applyFill="1" applyBorder="1" applyAlignment="1">
      <alignment horizontal="right" vertical="center"/>
    </xf>
    <xf numFmtId="3" fontId="7" fillId="2" borderId="1" xfId="2" applyNumberFormat="1" applyFont="1" applyFill="1" applyBorder="1" applyAlignment="1">
      <alignment horizontal="right" vertical="center"/>
    </xf>
    <xf numFmtId="3" fontId="7" fillId="2" borderId="1" xfId="4" applyNumberFormat="1" applyFont="1" applyFill="1" applyBorder="1" applyAlignment="1">
      <alignment horizontal="right" vertical="center"/>
    </xf>
    <xf numFmtId="167" fontId="19" fillId="2" borderId="1" xfId="3" applyNumberFormat="1" applyFont="1" applyFill="1" applyBorder="1" applyAlignment="1">
      <alignment horizontal="center" vertical="center"/>
    </xf>
    <xf numFmtId="0" fontId="23" fillId="2" borderId="0" xfId="5" applyNumberFormat="1" applyFont="1" applyFill="1" applyBorder="1" applyAlignment="1">
      <alignment vertical="center"/>
    </xf>
    <xf numFmtId="0" fontId="23" fillId="2" borderId="0" xfId="3" applyNumberFormat="1" applyFont="1" applyFill="1" applyAlignment="1">
      <alignment horizontal="left" vertical="center"/>
    </xf>
    <xf numFmtId="168" fontId="7" fillId="2" borderId="0" xfId="1" applyNumberFormat="1" applyFont="1" applyFill="1" applyAlignment="1">
      <alignment horizontal="right" vertical="center"/>
    </xf>
    <xf numFmtId="0" fontId="16" fillId="2" borderId="0" xfId="3" applyNumberFormat="1" applyFont="1" applyFill="1" applyAlignment="1">
      <alignment horizontal="right" vertical="center"/>
    </xf>
    <xf numFmtId="168" fontId="20" fillId="2" borderId="0" xfId="1" applyNumberFormat="1" applyFont="1" applyFill="1" applyAlignment="1">
      <alignment vertical="center"/>
    </xf>
    <xf numFmtId="43" fontId="20" fillId="2" borderId="0" xfId="1" applyNumberFormat="1" applyFont="1" applyFill="1" applyAlignment="1">
      <alignment vertical="center"/>
    </xf>
    <xf numFmtId="0" fontId="11" fillId="2" borderId="0" xfId="3" applyNumberFormat="1" applyFont="1" applyFill="1" applyAlignment="1">
      <alignment horizontal="right" vertical="center" indent="1"/>
    </xf>
    <xf numFmtId="0" fontId="20" fillId="2" borderId="0" xfId="3" applyNumberFormat="1" applyFont="1" applyFill="1" applyAlignment="1">
      <alignment horizontal="left" vertical="center" indent="1"/>
    </xf>
    <xf numFmtId="0" fontId="20" fillId="2" borderId="1" xfId="3" applyNumberFormat="1" applyFont="1" applyFill="1" applyBorder="1" applyAlignment="1">
      <alignment horizontal="left" vertical="center" indent="1"/>
    </xf>
    <xf numFmtId="0" fontId="17" fillId="2" borderId="2" xfId="3" applyNumberFormat="1" applyFont="1" applyFill="1" applyBorder="1" applyAlignment="1">
      <alignment horizontal="center" vertical="center"/>
    </xf>
    <xf numFmtId="3" fontId="25" fillId="2" borderId="0" xfId="5" applyNumberFormat="1" applyFont="1" applyFill="1" applyBorder="1" applyAlignment="1">
      <alignment horizontal="right"/>
    </xf>
    <xf numFmtId="3" fontId="26" fillId="2" borderId="0" xfId="5" applyNumberFormat="1" applyFont="1" applyFill="1" applyBorder="1" applyAlignment="1">
      <alignment horizontal="right"/>
    </xf>
    <xf numFmtId="3" fontId="26" fillId="2" borderId="0" xfId="2" applyNumberFormat="1" applyFont="1" applyFill="1" applyBorder="1" applyAlignment="1">
      <alignment horizontal="right"/>
    </xf>
    <xf numFmtId="164" fontId="27" fillId="2" borderId="0" xfId="5" applyNumberFormat="1" applyFont="1" applyFill="1"/>
    <xf numFmtId="164" fontId="27" fillId="2" borderId="0" xfId="5" applyNumberFormat="1" applyFont="1" applyFill="1" applyBorder="1"/>
    <xf numFmtId="168" fontId="26" fillId="2" borderId="0" xfId="4" applyNumberFormat="1" applyFont="1" applyFill="1" applyBorder="1" applyAlignment="1">
      <alignment horizontal="left"/>
    </xf>
    <xf numFmtId="164" fontId="28" fillId="2" borderId="0" xfId="3" applyNumberFormat="1" applyFont="1" applyFill="1"/>
    <xf numFmtId="0" fontId="29" fillId="2" borderId="0" xfId="3" applyNumberFormat="1" applyFont="1" applyFill="1" applyAlignment="1">
      <alignment horizontal="right" vertical="center"/>
    </xf>
    <xf numFmtId="0" fontId="30" fillId="2" borderId="0" xfId="3" applyNumberFormat="1" applyFont="1" applyFill="1" applyAlignment="1">
      <alignment horizontal="left"/>
    </xf>
    <xf numFmtId="0" fontId="30" fillId="2" borderId="0" xfId="3" applyNumberFormat="1" applyFont="1" applyFill="1" applyBorder="1" applyAlignment="1">
      <alignment horizontal="right"/>
    </xf>
    <xf numFmtId="164" fontId="28" fillId="2" borderId="0" xfId="3" applyNumberFormat="1" applyFont="1" applyFill="1" applyBorder="1"/>
    <xf numFmtId="0" fontId="23" fillId="2" borderId="0" xfId="3" applyNumberFormat="1" applyFont="1" applyFill="1" applyAlignment="1">
      <alignment vertical="center"/>
    </xf>
    <xf numFmtId="1" fontId="28" fillId="2" borderId="0" xfId="3" applyNumberFormat="1" applyFont="1" applyFill="1"/>
    <xf numFmtId="0" fontId="23" fillId="2" borderId="0" xfId="3" applyNumberFormat="1" applyFont="1" applyFill="1" applyAlignment="1">
      <alignment horizontal="right" vertical="center"/>
    </xf>
    <xf numFmtId="0" fontId="30" fillId="2" borderId="0" xfId="3" applyNumberFormat="1" applyFont="1" applyFill="1" applyAlignment="1">
      <alignment horizontal="right" vertical="center"/>
    </xf>
    <xf numFmtId="0" fontId="30" fillId="2" borderId="0" xfId="3" applyNumberFormat="1" applyFont="1" applyFill="1" applyAlignment="1">
      <alignment horizontal="right"/>
    </xf>
    <xf numFmtId="0" fontId="30" fillId="2" borderId="0" xfId="3" applyNumberFormat="1" applyFont="1" applyFill="1" applyBorder="1" applyAlignment="1">
      <alignment horizontal="left" vertical="center"/>
    </xf>
    <xf numFmtId="3" fontId="31" fillId="2" borderId="0" xfId="4" applyNumberFormat="1" applyFont="1" applyFill="1" applyBorder="1" applyAlignment="1">
      <alignment horizontal="right" vertical="center"/>
    </xf>
    <xf numFmtId="0" fontId="31" fillId="0" borderId="0" xfId="0" applyFont="1" applyAlignment="1">
      <alignment vertical="center"/>
    </xf>
    <xf numFmtId="0" fontId="29" fillId="2" borderId="0" xfId="5" applyNumberFormat="1" applyFont="1" applyFill="1" applyBorder="1" applyAlignment="1">
      <alignment vertical="center"/>
    </xf>
    <xf numFmtId="0" fontId="9" fillId="2" borderId="2" xfId="3" applyNumberFormat="1" applyFont="1" applyFill="1" applyBorder="1" applyAlignment="1">
      <alignment horizontal="left" vertical="center"/>
    </xf>
    <xf numFmtId="0" fontId="9" fillId="2" borderId="1" xfId="3" applyNumberFormat="1" applyFont="1" applyFill="1" applyBorder="1" applyAlignment="1">
      <alignment horizontal="left" vertical="center"/>
    </xf>
    <xf numFmtId="0" fontId="9" fillId="2" borderId="3" xfId="3" applyNumberFormat="1" applyFont="1" applyFill="1" applyBorder="1" applyAlignment="1">
      <alignment horizontal="right" vertical="center"/>
    </xf>
    <xf numFmtId="0" fontId="17" fillId="2" borderId="3" xfId="3" applyNumberFormat="1" applyFont="1" applyFill="1" applyBorder="1" applyAlignment="1">
      <alignment horizontal="center" vertical="center"/>
    </xf>
    <xf numFmtId="0" fontId="10" fillId="2" borderId="0" xfId="3" applyNumberFormat="1" applyFont="1" applyFill="1" applyAlignment="1">
      <alignment horizontal="center" vertical="center"/>
    </xf>
    <xf numFmtId="0" fontId="5" fillId="2" borderId="0" xfId="3" applyNumberFormat="1" applyFont="1" applyFill="1" applyAlignment="1">
      <alignment horizontal="center" vertical="center"/>
    </xf>
    <xf numFmtId="0" fontId="16" fillId="2" borderId="0" xfId="3" applyNumberFormat="1" applyFont="1" applyFill="1" applyAlignment="1">
      <alignment horizontal="center" vertical="center"/>
    </xf>
    <xf numFmtId="0" fontId="10" fillId="2" borderId="2" xfId="3" applyNumberFormat="1" applyFont="1" applyFill="1" applyBorder="1" applyAlignment="1">
      <alignment horizontal="right" vertical="center"/>
    </xf>
    <xf numFmtId="0" fontId="10" fillId="2" borderId="1" xfId="3" applyNumberFormat="1" applyFont="1" applyFill="1" applyBorder="1" applyAlignment="1">
      <alignment horizontal="right" vertical="center"/>
    </xf>
  </cellXfs>
  <cellStyles count="8">
    <cellStyle name="1" xfId="7"/>
    <cellStyle name="Comma" xfId="1" builtinId="3"/>
    <cellStyle name="Comma 2" xfId="2"/>
    <cellStyle name="Comma_agri planning 2009 year book(final)" xfId="4"/>
    <cellStyle name="Normal" xfId="0" builtinId="0"/>
    <cellStyle name="Normal 2_agri planning 2009 year book(final)" xfId="3"/>
    <cellStyle name="Normal 3_agri planning 2009 year book(final)" xfId="6"/>
    <cellStyle name="Normal 4_agri planning 2009 year book(final)" xfId="5"/>
  </cellStyles>
  <dxfs count="0"/>
  <tableStyles count="0" defaultTableStyle="TableStyleMedium2" defaultPivotStyle="PivotStyleLight16"/>
  <colors>
    <mruColors>
      <color rgb="FF249390"/>
      <color rgb="FF33CCCC"/>
      <color rgb="FFEAFAFA"/>
      <color rgb="FFFF9900"/>
      <color rgb="FF196563"/>
      <color rgb="FF00FFCC"/>
      <color rgb="FFC89058"/>
      <color rgb="FF7E542A"/>
      <color rgb="FFD3A77B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9.4: Value of Agricultural Products Traded in Male' Market,  2017 - 2019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2397315031567"/>
          <c:y val="5.177993527508090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01939714800604"/>
          <c:y val="0.17171296296296301"/>
          <c:w val="0.87308791529263952"/>
          <c:h val="0.719334354039078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'9.18'!$K$6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'9.18'!$A$8:$A$19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'9.18'!$K$8:$K$19</c:f>
              <c:numCache>
                <c:formatCode>#,##0</c:formatCode>
                <c:ptCount val="12"/>
                <c:pt idx="0">
                  <c:v>8451.4959999999992</c:v>
                </c:pt>
                <c:pt idx="1">
                  <c:v>8453.8235000000004</c:v>
                </c:pt>
                <c:pt idx="2">
                  <c:v>7567.4920000000002</c:v>
                </c:pt>
                <c:pt idx="3">
                  <c:v>7684.7669999999998</c:v>
                </c:pt>
                <c:pt idx="4">
                  <c:v>4452.6779999999999</c:v>
                </c:pt>
                <c:pt idx="5">
                  <c:v>8162.3275000000003</c:v>
                </c:pt>
                <c:pt idx="6">
                  <c:v>3507.6289999999999</c:v>
                </c:pt>
                <c:pt idx="7">
                  <c:v>4520.3270000000002</c:v>
                </c:pt>
                <c:pt idx="8">
                  <c:v>247.465</c:v>
                </c:pt>
                <c:pt idx="9">
                  <c:v>3873.07</c:v>
                </c:pt>
                <c:pt idx="10">
                  <c:v>2455.6325000000002</c:v>
                </c:pt>
                <c:pt idx="11">
                  <c:v>4703.3100000000004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3-4F99-9801-268698FE9153}"/>
            </c:ext>
          </c:extLst>
        </c:ser>
        <c:ser>
          <c:idx val="1"/>
          <c:order val="1"/>
          <c:tx>
            <c:strRef>
              <c:f>'9.18'!$L$6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249390"/>
            </a:solidFill>
            <a:ln>
              <a:noFill/>
            </a:ln>
            <a:effectLst/>
          </c:spPr>
          <c:invertIfNegative val="0"/>
          <c:cat>
            <c:strRef>
              <c:f>'9.18'!$A$8:$A$19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'9.18'!$L$8:$L$19</c:f>
              <c:numCache>
                <c:formatCode>#,##0</c:formatCode>
                <c:ptCount val="12"/>
                <c:pt idx="0">
                  <c:v>3998.6889999999999</c:v>
                </c:pt>
                <c:pt idx="1">
                  <c:v>5869.7790000000005</c:v>
                </c:pt>
                <c:pt idx="2">
                  <c:v>5047.7060000000001</c:v>
                </c:pt>
                <c:pt idx="3">
                  <c:v>6195.2209999999995</c:v>
                </c:pt>
                <c:pt idx="4">
                  <c:v>5648.06</c:v>
                </c:pt>
                <c:pt idx="5">
                  <c:v>4394.7749999999996</c:v>
                </c:pt>
                <c:pt idx="6">
                  <c:v>1475.635</c:v>
                </c:pt>
                <c:pt idx="7">
                  <c:v>2343.393</c:v>
                </c:pt>
                <c:pt idx="8">
                  <c:v>736.4</c:v>
                </c:pt>
                <c:pt idx="9">
                  <c:v>3165.0529999999999</c:v>
                </c:pt>
                <c:pt idx="10">
                  <c:v>2708.9949999999999</c:v>
                </c:pt>
                <c:pt idx="11">
                  <c:v>1875.7750000000001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83-4F99-9801-268698FE9153}"/>
            </c:ext>
          </c:extLst>
        </c:ser>
        <c:ser>
          <c:idx val="2"/>
          <c:order val="2"/>
          <c:tx>
            <c:strRef>
              <c:f>'9.18'!$M$6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'9.18'!$A$8:$A$19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'9.18'!$M$8:$M$19</c:f>
              <c:numCache>
                <c:formatCode>#,##0</c:formatCode>
                <c:ptCount val="12"/>
                <c:pt idx="0">
                  <c:v>2618.08</c:v>
                </c:pt>
                <c:pt idx="1">
                  <c:v>2885.299</c:v>
                </c:pt>
                <c:pt idx="2">
                  <c:v>2069.3150000000001</c:v>
                </c:pt>
                <c:pt idx="3">
                  <c:v>235.05</c:v>
                </c:pt>
                <c:pt idx="4">
                  <c:v>5236</c:v>
                </c:pt>
                <c:pt idx="5">
                  <c:v>3785.75</c:v>
                </c:pt>
                <c:pt idx="6">
                  <c:v>3096.165</c:v>
                </c:pt>
                <c:pt idx="7">
                  <c:v>1528.56</c:v>
                </c:pt>
                <c:pt idx="8">
                  <c:v>2215.1</c:v>
                </c:pt>
                <c:pt idx="9">
                  <c:v>1908.519</c:v>
                </c:pt>
                <c:pt idx="10">
                  <c:v>2635.1750000000002</c:v>
                </c:pt>
                <c:pt idx="11">
                  <c:v>1911.08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83-4F99-9801-268698FE9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"/>
        <c:overlap val="3"/>
        <c:axId val="424707088"/>
        <c:axId val="424707872"/>
      </c:barChart>
      <c:catAx>
        <c:axId val="42470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707872"/>
        <c:crosses val="autoZero"/>
        <c:auto val="1"/>
        <c:lblAlgn val="ctr"/>
        <c:lblOffset val="100"/>
        <c:noMultiLvlLbl val="0"/>
      </c:catAx>
      <c:valAx>
        <c:axId val="42470787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707088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251627520918859"/>
          <c:y val="0.2135411198600175"/>
          <c:w val="0.15203530301955498"/>
          <c:h val="7.28160436256147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54534</xdr:colOff>
      <xdr:row>19</xdr:row>
      <xdr:rowOff>124394</xdr:rowOff>
    </xdr:from>
    <xdr:to>
      <xdr:col>0</xdr:col>
      <xdr:colOff>131502</xdr:colOff>
      <xdr:row>19</xdr:row>
      <xdr:rowOff>124397</xdr:rowOff>
    </xdr:to>
    <xdr:cxnSp macro="">
      <xdr:nvCxnSpPr>
        <xdr:cNvPr id="2" name="Straight Connector 1"/>
        <xdr:cNvCxnSpPr/>
      </xdr:nvCxnSpPr>
      <xdr:spPr>
        <a:xfrm flipV="1">
          <a:off x="54534" y="5744144"/>
          <a:ext cx="76968" cy="3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683146</xdr:colOff>
      <xdr:row>19</xdr:row>
      <xdr:rowOff>105400</xdr:rowOff>
    </xdr:from>
    <xdr:to>
      <xdr:col>13</xdr:col>
      <xdr:colOff>760114</xdr:colOff>
      <xdr:row>19</xdr:row>
      <xdr:rowOff>105403</xdr:rowOff>
    </xdr:to>
    <xdr:cxnSp macro="">
      <xdr:nvCxnSpPr>
        <xdr:cNvPr id="3" name="Straight Connector 2"/>
        <xdr:cNvCxnSpPr/>
      </xdr:nvCxnSpPr>
      <xdr:spPr>
        <a:xfrm flipV="1">
          <a:off x="8074546" y="5725150"/>
          <a:ext cx="76968" cy="3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381000</xdr:colOff>
      <xdr:row>33</xdr:row>
      <xdr:rowOff>0</xdr:rowOff>
    </xdr:from>
    <xdr:to>
      <xdr:col>0</xdr:col>
      <xdr:colOff>457200</xdr:colOff>
      <xdr:row>34</xdr:row>
      <xdr:rowOff>47625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381000" y="100298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54534</xdr:colOff>
      <xdr:row>19</xdr:row>
      <xdr:rowOff>124394</xdr:rowOff>
    </xdr:from>
    <xdr:to>
      <xdr:col>0</xdr:col>
      <xdr:colOff>131502</xdr:colOff>
      <xdr:row>19</xdr:row>
      <xdr:rowOff>124397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 flipV="1">
          <a:off x="54534" y="5810819"/>
          <a:ext cx="76968" cy="3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683146</xdr:colOff>
      <xdr:row>19</xdr:row>
      <xdr:rowOff>105400</xdr:rowOff>
    </xdr:from>
    <xdr:to>
      <xdr:col>14</xdr:col>
      <xdr:colOff>760114</xdr:colOff>
      <xdr:row>19</xdr:row>
      <xdr:rowOff>105403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 flipV="1">
          <a:off x="8960371" y="5791825"/>
          <a:ext cx="76968" cy="3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381000</xdr:colOff>
      <xdr:row>33</xdr:row>
      <xdr:rowOff>0</xdr:rowOff>
    </xdr:from>
    <xdr:to>
      <xdr:col>0</xdr:col>
      <xdr:colOff>457200</xdr:colOff>
      <xdr:row>34</xdr:row>
      <xdr:rowOff>47625</xdr:rowOff>
    </xdr:to>
    <xdr:sp macro="" textlink="">
      <xdr:nvSpPr>
        <xdr:cNvPr id="8" name="Text 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381000" y="1009650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180975</xdr:colOff>
      <xdr:row>26</xdr:row>
      <xdr:rowOff>57149</xdr:rowOff>
    </xdr:from>
    <xdr:to>
      <xdr:col>14</xdr:col>
      <xdr:colOff>361950</xdr:colOff>
      <xdr:row>44</xdr:row>
      <xdr:rowOff>85724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0.00712</cdr:x>
      <cdr:y>0.07767</cdr:y>
    </cdr:from>
    <cdr:to>
      <cdr:x>0.10399</cdr:x>
      <cdr:y>0.15534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7625" y="228601"/>
          <a:ext cx="64770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/>
            <a:t>in MVR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CHECKING/9.%20%20FISHERIES%20AND%20AGRICULT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8"/>
      <sheetName val="9.9"/>
      <sheetName val="9.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C4" t="str">
            <v>Pole and Line</v>
          </cell>
          <cell r="AD4" t="str">
            <v>Hand  Line</v>
          </cell>
          <cell r="AE4" t="str">
            <v>Other methods</v>
          </cell>
        </row>
        <row r="5">
          <cell r="AC5">
            <v>80.172670134023591</v>
          </cell>
          <cell r="AD5">
            <v>18.70465755671324</v>
          </cell>
          <cell r="AE5">
            <v>1.1226723092631659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33"/>
  <sheetViews>
    <sheetView tabSelected="1" zoomScaleNormal="100" workbookViewId="0">
      <selection activeCell="N7" sqref="N7"/>
    </sheetView>
  </sheetViews>
  <sheetFormatPr defaultColWidth="13.28515625" defaultRowHeight="12.75" x14ac:dyDescent="0.2"/>
  <cols>
    <col min="1" max="1" width="10.5703125" style="5" customWidth="1"/>
    <col min="2" max="6" width="13.28515625" style="5" hidden="1" customWidth="1"/>
    <col min="7" max="8" width="13.28515625" style="5" customWidth="1"/>
    <col min="9" max="9" width="14.5703125" style="5" customWidth="1"/>
    <col min="10" max="13" width="13.28515625" style="5" customWidth="1"/>
    <col min="14" max="14" width="19.28515625" style="5" customWidth="1"/>
    <col min="15" max="15" width="13.28515625" style="5"/>
    <col min="16" max="16" width="6.5703125" style="5" customWidth="1"/>
    <col min="17" max="16384" width="13.28515625" style="5"/>
  </cols>
  <sheetData>
    <row r="1" spans="1:25" s="3" customFormat="1" ht="21" x14ac:dyDescent="0.2">
      <c r="A1" s="75" t="s">
        <v>37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1"/>
      <c r="Q1" s="2"/>
      <c r="R1" s="2"/>
      <c r="S1" s="2"/>
    </row>
    <row r="2" spans="1:25" ht="15.75" x14ac:dyDescent="0.2">
      <c r="A2" s="76" t="s">
        <v>38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4"/>
      <c r="Q2" s="2"/>
      <c r="R2" s="2"/>
      <c r="S2" s="2"/>
    </row>
    <row r="3" spans="1:25" ht="21" x14ac:dyDescent="0.2">
      <c r="A3" s="77" t="s">
        <v>28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6"/>
      <c r="Q3" s="2"/>
      <c r="R3" s="2"/>
      <c r="S3" s="2"/>
    </row>
    <row r="4" spans="1:25" s="3" customFormat="1" ht="15" hidden="1" x14ac:dyDescent="0.2">
      <c r="A4" s="7"/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9"/>
      <c r="O4" s="7"/>
      <c r="P4" s="7"/>
      <c r="Q4" s="2"/>
      <c r="R4" s="2"/>
      <c r="S4" s="2"/>
    </row>
    <row r="5" spans="1:25" ht="37.5" x14ac:dyDescent="0.2">
      <c r="A5" s="71" t="s">
        <v>1</v>
      </c>
      <c r="B5" s="73" t="s">
        <v>29</v>
      </c>
      <c r="C5" s="73"/>
      <c r="D5" s="73"/>
      <c r="E5" s="73"/>
      <c r="F5" s="74" t="s">
        <v>30</v>
      </c>
      <c r="G5" s="74"/>
      <c r="H5" s="74"/>
      <c r="I5" s="74"/>
      <c r="J5" s="74"/>
      <c r="K5" s="74"/>
      <c r="L5" s="74"/>
      <c r="M5" s="50"/>
      <c r="N5" s="10" t="s">
        <v>31</v>
      </c>
      <c r="O5" s="78" t="s">
        <v>15</v>
      </c>
      <c r="P5" s="11"/>
      <c r="Q5" s="12"/>
      <c r="R5" s="13"/>
      <c r="S5" s="13"/>
      <c r="T5" s="14"/>
      <c r="U5" s="14"/>
      <c r="V5" s="14"/>
      <c r="W5" s="14"/>
      <c r="X5" s="14"/>
      <c r="Y5" s="14"/>
    </row>
    <row r="6" spans="1:25" ht="25.5" x14ac:dyDescent="0.2">
      <c r="A6" s="72"/>
      <c r="B6" s="15">
        <v>2008</v>
      </c>
      <c r="C6" s="15">
        <v>2009</v>
      </c>
      <c r="D6" s="15">
        <v>2010</v>
      </c>
      <c r="E6" s="16">
        <v>2011</v>
      </c>
      <c r="F6" s="16">
        <v>2012</v>
      </c>
      <c r="G6" s="16">
        <v>2013</v>
      </c>
      <c r="H6" s="16">
        <v>2014</v>
      </c>
      <c r="I6" s="16">
        <v>2015</v>
      </c>
      <c r="J6" s="16">
        <v>2016</v>
      </c>
      <c r="K6" s="16">
        <v>2017</v>
      </c>
      <c r="L6" s="16">
        <v>2018</v>
      </c>
      <c r="M6" s="16">
        <v>2019</v>
      </c>
      <c r="N6" s="17" t="s">
        <v>32</v>
      </c>
      <c r="O6" s="79"/>
      <c r="P6" s="9"/>
      <c r="Q6" s="2"/>
      <c r="R6" s="18"/>
      <c r="S6" s="18"/>
      <c r="T6" s="14"/>
      <c r="U6" s="14"/>
      <c r="V6" s="14"/>
      <c r="W6" s="14"/>
      <c r="X6" s="14"/>
      <c r="Y6" s="14"/>
    </row>
    <row r="7" spans="1:25" ht="21" x14ac:dyDescent="0.25">
      <c r="A7" s="19" t="s">
        <v>0</v>
      </c>
      <c r="B7" s="20">
        <f t="shared" ref="B7:J7" si="0">SUM(B8:B19)</f>
        <v>143654.00287666667</v>
      </c>
      <c r="C7" s="21">
        <f t="shared" si="0"/>
        <v>146369.77578333335</v>
      </c>
      <c r="D7" s="21">
        <f t="shared" si="0"/>
        <v>235977</v>
      </c>
      <c r="E7" s="21">
        <f t="shared" si="0"/>
        <v>169120562</v>
      </c>
      <c r="F7" s="21">
        <f t="shared" si="0"/>
        <v>88859.01</v>
      </c>
      <c r="G7" s="21">
        <f t="shared" si="0"/>
        <v>34592.806499999999</v>
      </c>
      <c r="H7" s="21">
        <f>SUM(H8:H19)</f>
        <v>33026.041000000005</v>
      </c>
      <c r="I7" s="21">
        <f t="shared" si="0"/>
        <v>71262.36599999998</v>
      </c>
      <c r="J7" s="21">
        <f t="shared" si="0"/>
        <v>65027.706999999995</v>
      </c>
      <c r="K7" s="21">
        <f>SUM(K8:K19)</f>
        <v>64080.017499999987</v>
      </c>
      <c r="L7" s="21">
        <f>SUM(L8:L19)</f>
        <v>43459.481000000007</v>
      </c>
      <c r="M7" s="21">
        <f>SUM(M8:M19)</f>
        <v>30124.093000000001</v>
      </c>
      <c r="N7" s="22">
        <f>(M7-L7)/L7*100</f>
        <v>-30.684646234040404</v>
      </c>
      <c r="O7" s="23" t="s">
        <v>16</v>
      </c>
      <c r="P7" s="23"/>
      <c r="R7" s="18"/>
      <c r="S7" s="24"/>
      <c r="T7" s="24"/>
      <c r="U7" s="14"/>
      <c r="V7" s="24"/>
      <c r="W7" s="24"/>
      <c r="X7" s="14"/>
      <c r="Y7" s="14"/>
    </row>
    <row r="8" spans="1:25" ht="25.5" customHeight="1" x14ac:dyDescent="0.25">
      <c r="A8" s="48" t="s">
        <v>2</v>
      </c>
      <c r="B8" s="25">
        <v>13000.027106666665</v>
      </c>
      <c r="C8" s="26">
        <v>14648.431366666669</v>
      </c>
      <c r="D8" s="26">
        <v>34189</v>
      </c>
      <c r="E8" s="26">
        <v>5372934</v>
      </c>
      <c r="F8" s="26">
        <v>13736.8205</v>
      </c>
      <c r="G8" s="26">
        <v>5494.0505000000003</v>
      </c>
      <c r="H8" s="26">
        <v>3075.7</v>
      </c>
      <c r="I8" s="26">
        <v>4503.7169999999996</v>
      </c>
      <c r="J8" s="26">
        <v>6955.9110000000001</v>
      </c>
      <c r="K8" s="26">
        <v>8451.4959999999992</v>
      </c>
      <c r="L8" s="26">
        <v>3998.6889999999999</v>
      </c>
      <c r="M8" s="26">
        <v>2618.08</v>
      </c>
      <c r="N8" s="27">
        <f t="shared" ref="N8:N19" si="1">(M8-L8)/L8*100</f>
        <v>-34.526541073836945</v>
      </c>
      <c r="O8" s="47" t="s">
        <v>17</v>
      </c>
      <c r="P8" s="29"/>
      <c r="R8" s="30"/>
      <c r="S8" s="31"/>
      <c r="T8" s="32"/>
      <c r="U8" s="32"/>
      <c r="V8" s="26"/>
      <c r="W8" s="26"/>
      <c r="X8" s="26"/>
      <c r="Y8" s="14"/>
    </row>
    <row r="9" spans="1:25" ht="25.5" customHeight="1" x14ac:dyDescent="0.25">
      <c r="A9" s="48" t="s">
        <v>3</v>
      </c>
      <c r="B9" s="25">
        <v>11173.714066666671</v>
      </c>
      <c r="C9" s="26">
        <v>14087.22733333334</v>
      </c>
      <c r="D9" s="26">
        <v>23758</v>
      </c>
      <c r="E9" s="26">
        <v>250037</v>
      </c>
      <c r="F9" s="26">
        <v>13129.5085</v>
      </c>
      <c r="G9" s="26">
        <v>6652.4795000000004</v>
      </c>
      <c r="H9" s="26">
        <v>2827.83</v>
      </c>
      <c r="I9" s="26">
        <v>5279.8779999999997</v>
      </c>
      <c r="J9" s="26">
        <v>8760.8490000000002</v>
      </c>
      <c r="K9" s="26">
        <v>8453.8235000000004</v>
      </c>
      <c r="L9" s="26">
        <v>5869.7790000000005</v>
      </c>
      <c r="M9" s="26">
        <v>2885.299</v>
      </c>
      <c r="N9" s="27">
        <f t="shared" si="1"/>
        <v>-50.844844414074196</v>
      </c>
      <c r="O9" s="47" t="s">
        <v>18</v>
      </c>
      <c r="P9" s="28"/>
      <c r="R9" s="33"/>
      <c r="S9" s="31"/>
      <c r="T9" s="32"/>
      <c r="U9" s="32"/>
      <c r="V9" s="26"/>
      <c r="W9" s="26"/>
      <c r="X9" s="26"/>
      <c r="Y9" s="14"/>
    </row>
    <row r="10" spans="1:25" ht="25.5" customHeight="1" x14ac:dyDescent="0.25">
      <c r="A10" s="48" t="s">
        <v>4</v>
      </c>
      <c r="B10" s="25">
        <v>13533.602203333332</v>
      </c>
      <c r="C10" s="26">
        <v>14675.16883333333</v>
      </c>
      <c r="D10" s="26">
        <v>23913</v>
      </c>
      <c r="E10" s="34">
        <v>0</v>
      </c>
      <c r="F10" s="26">
        <v>10113.8855</v>
      </c>
      <c r="G10" s="26">
        <v>2169.9749999999999</v>
      </c>
      <c r="H10" s="26">
        <v>4973.7240000000002</v>
      </c>
      <c r="I10" s="26">
        <v>9522.0540000000001</v>
      </c>
      <c r="J10" s="26">
        <v>4695.1750000000002</v>
      </c>
      <c r="K10" s="26">
        <v>7567.4920000000002</v>
      </c>
      <c r="L10" s="26">
        <v>5047.7060000000001</v>
      </c>
      <c r="M10" s="26">
        <v>2069.3150000000001</v>
      </c>
      <c r="N10" s="27">
        <f t="shared" si="1"/>
        <v>-59.004842992044303</v>
      </c>
      <c r="O10" s="47" t="s">
        <v>19</v>
      </c>
      <c r="P10" s="35"/>
      <c r="R10" s="30"/>
      <c r="S10" s="31"/>
      <c r="T10" s="32"/>
      <c r="U10" s="32"/>
      <c r="V10" s="26"/>
      <c r="W10" s="26"/>
      <c r="X10" s="26"/>
      <c r="Y10" s="14"/>
    </row>
    <row r="11" spans="1:25" ht="25.5" customHeight="1" x14ac:dyDescent="0.25">
      <c r="A11" s="48" t="s">
        <v>5</v>
      </c>
      <c r="B11" s="25">
        <v>10122.422666666665</v>
      </c>
      <c r="C11" s="26">
        <v>12347.459500000001</v>
      </c>
      <c r="D11" s="26">
        <v>22781</v>
      </c>
      <c r="E11" s="26">
        <v>14202104</v>
      </c>
      <c r="F11" s="26">
        <v>8310.6272499999995</v>
      </c>
      <c r="G11" s="26">
        <v>4903.4449999999997</v>
      </c>
      <c r="H11" s="26">
        <v>3393.68</v>
      </c>
      <c r="I11" s="26">
        <v>7013.7860000000001</v>
      </c>
      <c r="J11" s="26">
        <v>7632.6350000000002</v>
      </c>
      <c r="K11" s="26">
        <v>7684.7669999999998</v>
      </c>
      <c r="L11" s="26">
        <v>6195.2209999999995</v>
      </c>
      <c r="M11" s="26">
        <v>235.05</v>
      </c>
      <c r="N11" s="27">
        <f t="shared" si="1"/>
        <v>-96.205946486816202</v>
      </c>
      <c r="O11" s="47" t="s">
        <v>33</v>
      </c>
      <c r="P11" s="35"/>
      <c r="R11" s="30"/>
      <c r="S11" s="31"/>
      <c r="T11" s="32"/>
      <c r="U11" s="32"/>
      <c r="V11" s="26"/>
      <c r="W11" s="26"/>
      <c r="X11" s="26"/>
      <c r="Y11" s="14"/>
    </row>
    <row r="12" spans="1:25" ht="25.5" customHeight="1" x14ac:dyDescent="0.25">
      <c r="A12" s="48" t="s">
        <v>6</v>
      </c>
      <c r="B12" s="25">
        <v>11974.432499999997</v>
      </c>
      <c r="C12" s="26">
        <v>8401.7029999999995</v>
      </c>
      <c r="D12" s="26">
        <v>25986</v>
      </c>
      <c r="E12" s="26">
        <v>14510890</v>
      </c>
      <c r="F12" s="26">
        <v>9784.75</v>
      </c>
      <c r="G12" s="26">
        <v>1682.45</v>
      </c>
      <c r="H12" s="26">
        <v>1162.385</v>
      </c>
      <c r="I12" s="26">
        <v>6975.7489999999998</v>
      </c>
      <c r="J12" s="26">
        <v>4402.1400000000003</v>
      </c>
      <c r="K12" s="26">
        <v>4452.6779999999999</v>
      </c>
      <c r="L12" s="26">
        <v>5648.06</v>
      </c>
      <c r="M12" s="26">
        <v>5236</v>
      </c>
      <c r="N12" s="27">
        <f t="shared" si="1"/>
        <v>-7.295602383827374</v>
      </c>
      <c r="O12" s="47" t="s">
        <v>20</v>
      </c>
      <c r="P12" s="35"/>
      <c r="R12" s="30"/>
      <c r="S12" s="31"/>
      <c r="T12" s="32"/>
      <c r="U12" s="32"/>
      <c r="V12" s="26"/>
      <c r="W12" s="26"/>
      <c r="X12" s="26"/>
      <c r="Y12" s="14"/>
    </row>
    <row r="13" spans="1:25" ht="25.5" customHeight="1" x14ac:dyDescent="0.25">
      <c r="A13" s="48" t="s">
        <v>7</v>
      </c>
      <c r="B13" s="25">
        <v>10004.824499999997</v>
      </c>
      <c r="C13" s="26">
        <v>11568.870999999999</v>
      </c>
      <c r="D13" s="26">
        <v>30687</v>
      </c>
      <c r="E13" s="26">
        <v>22459504</v>
      </c>
      <c r="F13" s="34" t="s">
        <v>14</v>
      </c>
      <c r="G13" s="26">
        <v>629.17499999999995</v>
      </c>
      <c r="H13" s="26">
        <v>135.19999999999999</v>
      </c>
      <c r="I13" s="26">
        <v>13550.741</v>
      </c>
      <c r="J13" s="26">
        <v>17783.645</v>
      </c>
      <c r="K13" s="26">
        <v>8162.3275000000003</v>
      </c>
      <c r="L13" s="26">
        <v>4394.7749999999996</v>
      </c>
      <c r="M13" s="26">
        <v>3785.75</v>
      </c>
      <c r="N13" s="27">
        <f t="shared" si="1"/>
        <v>-13.857933568840263</v>
      </c>
      <c r="O13" s="47" t="s">
        <v>21</v>
      </c>
      <c r="P13" s="35"/>
      <c r="R13" s="30"/>
      <c r="S13" s="31"/>
      <c r="T13" s="32"/>
      <c r="U13" s="32"/>
      <c r="V13" s="26"/>
      <c r="W13" s="26"/>
      <c r="X13" s="26"/>
      <c r="Y13" s="14"/>
    </row>
    <row r="14" spans="1:25" ht="25.5" customHeight="1" x14ac:dyDescent="0.25">
      <c r="A14" s="48" t="s">
        <v>8</v>
      </c>
      <c r="B14" s="25">
        <v>10589.222333333331</v>
      </c>
      <c r="C14" s="26">
        <v>10521.87725</v>
      </c>
      <c r="D14" s="26">
        <v>36341</v>
      </c>
      <c r="E14" s="26">
        <v>22884935</v>
      </c>
      <c r="F14" s="26">
        <v>7576.585</v>
      </c>
      <c r="G14" s="36" t="s">
        <v>14</v>
      </c>
      <c r="H14" s="36">
        <v>10021.85</v>
      </c>
      <c r="I14" s="36">
        <v>8491.7849999999999</v>
      </c>
      <c r="J14" s="37">
        <v>3498.8449999999998</v>
      </c>
      <c r="K14" s="37">
        <v>3507.6289999999999</v>
      </c>
      <c r="L14" s="37">
        <v>1475.635</v>
      </c>
      <c r="M14" s="37">
        <v>3096.165</v>
      </c>
      <c r="N14" s="27">
        <f t="shared" si="1"/>
        <v>109.81916259779688</v>
      </c>
      <c r="O14" s="47" t="s">
        <v>22</v>
      </c>
      <c r="P14" s="35"/>
      <c r="R14" s="30"/>
      <c r="S14" s="31"/>
      <c r="T14" s="32"/>
      <c r="U14" s="32"/>
      <c r="V14" s="26"/>
      <c r="W14" s="26"/>
      <c r="X14" s="26"/>
      <c r="Y14" s="14"/>
    </row>
    <row r="15" spans="1:25" ht="25.5" customHeight="1" x14ac:dyDescent="0.25">
      <c r="A15" s="48" t="s">
        <v>9</v>
      </c>
      <c r="B15" s="25">
        <v>11753.980333333329</v>
      </c>
      <c r="C15" s="26">
        <v>14592.931</v>
      </c>
      <c r="D15" s="26">
        <v>11056</v>
      </c>
      <c r="E15" s="26">
        <v>32929790</v>
      </c>
      <c r="F15" s="26">
        <v>4974.5874999999996</v>
      </c>
      <c r="G15" s="36" t="s">
        <v>14</v>
      </c>
      <c r="H15" s="36">
        <v>921.5</v>
      </c>
      <c r="I15" s="36">
        <v>3681.6990000000001</v>
      </c>
      <c r="J15" s="37">
        <v>1213.77</v>
      </c>
      <c r="K15" s="37">
        <v>4520.3270000000002</v>
      </c>
      <c r="L15" s="37">
        <v>2343.393</v>
      </c>
      <c r="M15" s="37">
        <v>1528.56</v>
      </c>
      <c r="N15" s="27">
        <f t="shared" si="1"/>
        <v>-34.771504395549535</v>
      </c>
      <c r="O15" s="47" t="s">
        <v>23</v>
      </c>
      <c r="P15" s="35"/>
      <c r="R15" s="30"/>
      <c r="S15" s="31"/>
      <c r="T15" s="32"/>
      <c r="U15" s="32"/>
      <c r="V15" s="26"/>
      <c r="W15" s="26"/>
      <c r="X15" s="26"/>
      <c r="Y15" s="14"/>
    </row>
    <row r="16" spans="1:25" ht="25.5" customHeight="1" x14ac:dyDescent="0.25">
      <c r="A16" s="48" t="s">
        <v>10</v>
      </c>
      <c r="B16" s="25">
        <v>19023.001499999998</v>
      </c>
      <c r="C16" s="26">
        <v>14904.091</v>
      </c>
      <c r="D16" s="26">
        <v>4692</v>
      </c>
      <c r="E16" s="26">
        <v>23395592</v>
      </c>
      <c r="F16" s="34" t="s">
        <v>14</v>
      </c>
      <c r="G16" s="26">
        <v>7582.9790000000003</v>
      </c>
      <c r="H16" s="26">
        <v>1818.71</v>
      </c>
      <c r="I16" s="26">
        <v>2366.8200000000002</v>
      </c>
      <c r="J16" s="26">
        <v>4420.8180000000002</v>
      </c>
      <c r="K16" s="26">
        <v>247.465</v>
      </c>
      <c r="L16" s="26">
        <v>736.4</v>
      </c>
      <c r="M16" s="26">
        <v>2215.1</v>
      </c>
      <c r="N16" s="27">
        <f t="shared" si="1"/>
        <v>200.8011950027159</v>
      </c>
      <c r="O16" s="47" t="s">
        <v>24</v>
      </c>
      <c r="P16" s="35"/>
      <c r="R16" s="30"/>
      <c r="S16" s="31"/>
      <c r="T16" s="32"/>
      <c r="U16" s="32"/>
      <c r="V16" s="26"/>
      <c r="W16" s="26"/>
      <c r="X16" s="26"/>
      <c r="Y16" s="14"/>
    </row>
    <row r="17" spans="1:25" ht="25.5" customHeight="1" x14ac:dyDescent="0.25">
      <c r="A17" s="48" t="s">
        <v>11</v>
      </c>
      <c r="B17" s="25">
        <v>8935.3272500000021</v>
      </c>
      <c r="C17" s="26">
        <v>11448.352500000001</v>
      </c>
      <c r="D17" s="26">
        <v>5618</v>
      </c>
      <c r="E17" s="26">
        <v>13496820</v>
      </c>
      <c r="F17" s="26">
        <v>3558.34175</v>
      </c>
      <c r="G17" s="26">
        <v>3918.48</v>
      </c>
      <c r="H17" s="26">
        <v>1463.45</v>
      </c>
      <c r="I17" s="26">
        <v>4383.7449999999999</v>
      </c>
      <c r="J17" s="26">
        <v>3415.4189999999999</v>
      </c>
      <c r="K17" s="26">
        <v>3873.07</v>
      </c>
      <c r="L17" s="26">
        <v>3165.0529999999999</v>
      </c>
      <c r="M17" s="26">
        <v>1908.519</v>
      </c>
      <c r="N17" s="27">
        <f t="shared" si="1"/>
        <v>-39.700251464983367</v>
      </c>
      <c r="O17" s="47" t="s">
        <v>25</v>
      </c>
      <c r="P17" s="35"/>
      <c r="R17" s="30"/>
      <c r="S17" s="31"/>
      <c r="T17" s="32"/>
      <c r="U17" s="32"/>
      <c r="V17" s="26"/>
      <c r="W17" s="26"/>
      <c r="X17" s="26"/>
      <c r="Y17" s="14"/>
    </row>
    <row r="18" spans="1:25" ht="25.5" customHeight="1" x14ac:dyDescent="0.25">
      <c r="A18" s="48" t="s">
        <v>12</v>
      </c>
      <c r="B18" s="25">
        <v>11802.18075</v>
      </c>
      <c r="C18" s="26">
        <v>11841.538</v>
      </c>
      <c r="D18" s="26">
        <v>7230</v>
      </c>
      <c r="E18" s="26">
        <v>8414125</v>
      </c>
      <c r="F18" s="26">
        <v>9511.2639999999992</v>
      </c>
      <c r="G18" s="26">
        <v>386.66500000000002</v>
      </c>
      <c r="H18" s="26">
        <v>2034.43</v>
      </c>
      <c r="I18" s="36" t="s">
        <v>14</v>
      </c>
      <c r="J18" s="26">
        <v>1232.5</v>
      </c>
      <c r="K18" s="26">
        <v>2455.6325000000002</v>
      </c>
      <c r="L18" s="26">
        <v>2708.9949999999999</v>
      </c>
      <c r="M18" s="26">
        <v>2635.1750000000002</v>
      </c>
      <c r="N18" s="27">
        <f t="shared" si="1"/>
        <v>-2.7249958010258308</v>
      </c>
      <c r="O18" s="47" t="s">
        <v>26</v>
      </c>
      <c r="P18" s="35"/>
      <c r="R18" s="30"/>
      <c r="S18" s="31"/>
      <c r="T18" s="32"/>
      <c r="U18" s="32"/>
      <c r="V18" s="26"/>
      <c r="W18" s="26"/>
      <c r="X18" s="26"/>
      <c r="Y18" s="14"/>
    </row>
    <row r="19" spans="1:25" ht="25.5" customHeight="1" x14ac:dyDescent="0.25">
      <c r="A19" s="49" t="s">
        <v>13</v>
      </c>
      <c r="B19" s="38">
        <v>11741.267666666674</v>
      </c>
      <c r="C19" s="39">
        <v>7332.125</v>
      </c>
      <c r="D19" s="39">
        <v>9726</v>
      </c>
      <c r="E19" s="39">
        <v>11203831</v>
      </c>
      <c r="F19" s="39">
        <v>8162.64</v>
      </c>
      <c r="G19" s="39">
        <v>1173.1075000000001</v>
      </c>
      <c r="H19" s="39">
        <v>1197.5820000000001</v>
      </c>
      <c r="I19" s="39">
        <v>5492.3919999999998</v>
      </c>
      <c r="J19" s="39">
        <v>1016</v>
      </c>
      <c r="K19" s="39">
        <v>4703.3100000000004</v>
      </c>
      <c r="L19" s="39">
        <v>1875.7750000000001</v>
      </c>
      <c r="M19" s="39">
        <v>1911.08</v>
      </c>
      <c r="N19" s="40">
        <f t="shared" si="1"/>
        <v>1.8821553757780032</v>
      </c>
      <c r="O19" s="39" t="s">
        <v>27</v>
      </c>
      <c r="P19" s="28"/>
      <c r="R19" s="30"/>
      <c r="S19" s="31"/>
      <c r="T19" s="32"/>
      <c r="U19" s="32"/>
      <c r="V19" s="26"/>
      <c r="W19" s="26"/>
      <c r="X19" s="26"/>
      <c r="Y19" s="14"/>
    </row>
    <row r="20" spans="1:25" s="54" customFormat="1" ht="13.5" customHeight="1" x14ac:dyDescent="0.25">
      <c r="A20" s="41" t="s">
        <v>34</v>
      </c>
      <c r="B20" s="51"/>
      <c r="C20" s="52"/>
      <c r="D20" s="52"/>
      <c r="E20" s="52"/>
      <c r="F20" s="52"/>
      <c r="G20" s="53"/>
      <c r="H20" s="53"/>
      <c r="I20" s="53"/>
      <c r="J20" s="53"/>
      <c r="K20" s="53"/>
      <c r="L20" s="53"/>
      <c r="M20" s="53"/>
      <c r="N20" s="53"/>
      <c r="O20" s="70" t="s">
        <v>35</v>
      </c>
      <c r="P20" s="53"/>
      <c r="R20" s="55"/>
      <c r="S20" s="55"/>
      <c r="T20" s="56"/>
      <c r="U20" s="55"/>
      <c r="V20" s="55"/>
      <c r="W20" s="55"/>
      <c r="X20" s="55"/>
      <c r="Y20" s="55"/>
    </row>
    <row r="21" spans="1:25" s="57" customFormat="1" ht="13.5" customHeight="1" x14ac:dyDescent="0.25">
      <c r="A21" s="69" t="s">
        <v>40</v>
      </c>
      <c r="P21" s="58"/>
      <c r="Q21" s="59"/>
      <c r="R21" s="60"/>
      <c r="S21" s="60"/>
      <c r="T21" s="56"/>
      <c r="U21" s="61"/>
      <c r="V21" s="61"/>
      <c r="W21" s="61"/>
      <c r="X21" s="61"/>
      <c r="Y21" s="61"/>
    </row>
    <row r="22" spans="1:25" s="57" customFormat="1" ht="13.5" customHeight="1" x14ac:dyDescent="0.25">
      <c r="A22" s="42" t="s">
        <v>36</v>
      </c>
      <c r="B22" s="42"/>
      <c r="C22" s="62"/>
      <c r="D22" s="62"/>
      <c r="G22" s="63"/>
      <c r="H22" s="63"/>
      <c r="I22" s="63"/>
      <c r="J22" s="63"/>
      <c r="K22" s="62"/>
      <c r="L22" s="62"/>
      <c r="M22" s="62"/>
      <c r="N22" s="64"/>
      <c r="O22" s="58" t="s">
        <v>39</v>
      </c>
      <c r="P22" s="65"/>
      <c r="Q22" s="66"/>
      <c r="R22" s="60"/>
      <c r="S22" s="60"/>
      <c r="T22" s="56"/>
      <c r="U22" s="67"/>
      <c r="V22" s="68"/>
      <c r="W22" s="68"/>
      <c r="X22" s="68"/>
      <c r="Y22" s="61"/>
    </row>
    <row r="23" spans="1:25" ht="15" x14ac:dyDescent="0.25">
      <c r="P23" s="11"/>
      <c r="Q23" s="12"/>
      <c r="R23" s="13"/>
      <c r="S23" s="13"/>
      <c r="T23" s="32"/>
      <c r="U23" s="30"/>
      <c r="V23" s="26"/>
      <c r="W23" s="26"/>
      <c r="X23" s="26"/>
      <c r="Y23" s="14"/>
    </row>
    <row r="24" spans="1:25" ht="15" x14ac:dyDescent="0.25">
      <c r="A24" s="43"/>
      <c r="B24" s="43"/>
      <c r="C24" s="43"/>
      <c r="D24" s="44"/>
      <c r="E24" s="46"/>
      <c r="F24" s="45"/>
      <c r="G24" s="45"/>
      <c r="H24" s="45"/>
      <c r="I24" s="45"/>
      <c r="J24" s="45"/>
      <c r="K24" s="45"/>
      <c r="L24" s="45"/>
      <c r="M24" s="45"/>
      <c r="N24" s="7"/>
      <c r="O24" s="11"/>
      <c r="P24" s="11"/>
      <c r="Q24" s="12"/>
      <c r="R24" s="13"/>
      <c r="S24" s="13"/>
      <c r="T24" s="32"/>
      <c r="U24" s="30"/>
      <c r="V24" s="26"/>
      <c r="W24" s="34"/>
      <c r="X24" s="26"/>
      <c r="Y24" s="14"/>
    </row>
    <row r="25" spans="1:25" x14ac:dyDescent="0.2">
      <c r="A25" s="43"/>
      <c r="B25" s="43"/>
      <c r="C25" s="43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2"/>
      <c r="R25" s="13"/>
      <c r="S25" s="13"/>
      <c r="T25" s="14"/>
      <c r="U25" s="14"/>
      <c r="V25" s="14"/>
      <c r="W25" s="14"/>
      <c r="X25" s="14"/>
      <c r="Y25" s="14"/>
    </row>
    <row r="26" spans="1:25" x14ac:dyDescent="0.2">
      <c r="A26" s="43"/>
      <c r="B26" s="43"/>
      <c r="C26" s="43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2"/>
      <c r="R26" s="13"/>
      <c r="S26" s="13"/>
      <c r="T26" s="14"/>
      <c r="U26" s="14"/>
      <c r="V26" s="14"/>
      <c r="W26" s="14"/>
      <c r="X26" s="14"/>
      <c r="Y26" s="14"/>
    </row>
    <row r="27" spans="1:25" x14ac:dyDescent="0.2">
      <c r="A27" s="43"/>
      <c r="B27" s="43"/>
      <c r="C27" s="43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3"/>
      <c r="S27" s="13"/>
      <c r="T27" s="14"/>
      <c r="U27" s="14"/>
      <c r="V27" s="14"/>
      <c r="W27" s="14"/>
      <c r="X27" s="14"/>
      <c r="Y27" s="14"/>
    </row>
    <row r="28" spans="1:25" x14ac:dyDescent="0.2">
      <c r="A28" s="43"/>
      <c r="B28" s="43"/>
      <c r="C28" s="43"/>
      <c r="R28" s="14"/>
      <c r="S28" s="14"/>
      <c r="T28" s="14"/>
      <c r="U28" s="14"/>
      <c r="V28" s="14"/>
      <c r="W28" s="14"/>
      <c r="X28" s="14"/>
      <c r="Y28" s="14"/>
    </row>
    <row r="29" spans="1:25" x14ac:dyDescent="0.2">
      <c r="A29" s="43"/>
      <c r="B29" s="43"/>
      <c r="C29" s="43"/>
      <c r="R29" s="14"/>
      <c r="S29" s="14"/>
      <c r="T29" s="14"/>
      <c r="U29" s="14"/>
      <c r="V29" s="14"/>
      <c r="W29" s="14"/>
      <c r="X29" s="14"/>
      <c r="Y29" s="14"/>
    </row>
    <row r="30" spans="1:25" x14ac:dyDescent="0.2">
      <c r="R30" s="14"/>
      <c r="S30" s="14"/>
      <c r="T30" s="14"/>
      <c r="U30" s="14"/>
      <c r="V30" s="14"/>
      <c r="W30" s="14"/>
      <c r="X30" s="14"/>
      <c r="Y30" s="14"/>
    </row>
    <row r="31" spans="1:25" x14ac:dyDescent="0.2">
      <c r="R31" s="14"/>
      <c r="S31" s="14"/>
      <c r="T31" s="14"/>
      <c r="U31" s="14"/>
      <c r="V31" s="14"/>
      <c r="W31" s="14"/>
      <c r="X31" s="14"/>
      <c r="Y31" s="14"/>
    </row>
    <row r="32" spans="1:25" x14ac:dyDescent="0.2">
      <c r="R32" s="14"/>
      <c r="S32" s="14"/>
      <c r="T32" s="14"/>
      <c r="U32" s="14"/>
      <c r="V32" s="14"/>
      <c r="W32" s="14"/>
      <c r="X32" s="14"/>
      <c r="Y32" s="14"/>
    </row>
    <row r="33" spans="18:25" x14ac:dyDescent="0.2">
      <c r="R33" s="14"/>
      <c r="S33" s="14"/>
      <c r="T33" s="14"/>
      <c r="U33" s="14"/>
      <c r="V33" s="14"/>
      <c r="W33" s="14"/>
      <c r="X33" s="14"/>
      <c r="Y33" s="14"/>
    </row>
  </sheetData>
  <mergeCells count="7">
    <mergeCell ref="A5:A6"/>
    <mergeCell ref="B5:E5"/>
    <mergeCell ref="F5:L5"/>
    <mergeCell ref="A1:O1"/>
    <mergeCell ref="A2:O2"/>
    <mergeCell ref="A3:O3"/>
    <mergeCell ref="O5:O6"/>
  </mergeCells>
  <pageMargins left="0.7" right="0.7" top="0.75" bottom="0.75" header="0.3" footer="0.3"/>
  <pageSetup paperSize="9" scale="60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9.18</vt:lpstr>
      <vt:lpstr>'9.18'!Print_Area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2021-07-15T03:04:49Z</cp:lastPrinted>
  <dcterms:created xsi:type="dcterms:W3CDTF">2019-09-09T05:11:24Z</dcterms:created>
  <dcterms:modified xsi:type="dcterms:W3CDTF">2021-07-15T03:05:00Z</dcterms:modified>
</cp:coreProperties>
</file>