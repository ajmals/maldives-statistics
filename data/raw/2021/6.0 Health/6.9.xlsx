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870"/>
  </bookViews>
  <sheets>
    <sheet name="6.9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8" i="9" l="1"/>
  <c r="B93" i="9"/>
  <c r="B88" i="9"/>
  <c r="B82" i="9"/>
  <c r="B100" i="9"/>
  <c r="B89" i="9"/>
  <c r="B91" i="9"/>
  <c r="B105" i="9"/>
  <c r="B97" i="9"/>
  <c r="B83" i="9"/>
  <c r="B102" i="9"/>
  <c r="B80" i="9"/>
  <c r="B92" i="9"/>
  <c r="B81" i="9"/>
  <c r="B98" i="9"/>
  <c r="B87" i="9"/>
  <c r="B90" i="9"/>
  <c r="B103" i="9"/>
  <c r="B95" i="9"/>
  <c r="B79" i="9"/>
  <c r="B106" i="9"/>
  <c r="B107" i="9"/>
  <c r="B85" i="9"/>
  <c r="B99" i="9"/>
  <c r="B101" i="9"/>
  <c r="B104" i="9"/>
  <c r="B86" i="9"/>
  <c r="B84" i="9"/>
  <c r="B94" i="9"/>
  <c r="B96" i="9"/>
  <c r="D78" i="9"/>
  <c r="C78" i="9"/>
  <c r="B38" i="9"/>
  <c r="B21" i="9"/>
  <c r="B15" i="9"/>
  <c r="B7" i="9"/>
  <c r="B29" i="9"/>
  <c r="B10" i="9"/>
  <c r="B35" i="9"/>
  <c r="B32" i="9"/>
  <c r="B25" i="9"/>
  <c r="B17" i="9"/>
  <c r="B34" i="9"/>
  <c r="B11" i="9"/>
  <c r="B20" i="9"/>
  <c r="B13" i="9"/>
  <c r="B27" i="9"/>
  <c r="B24" i="9"/>
  <c r="B14" i="9"/>
  <c r="B18" i="9"/>
  <c r="B36" i="9"/>
  <c r="B22" i="9"/>
  <c r="B31" i="9"/>
  <c r="B6" i="9"/>
  <c r="B33" i="9"/>
  <c r="B37" i="9"/>
  <c r="B19" i="9"/>
  <c r="B28" i="9"/>
  <c r="B26" i="9"/>
  <c r="B12" i="9"/>
  <c r="B8" i="9"/>
  <c r="B30" i="9"/>
  <c r="B9" i="9"/>
  <c r="B16" i="9"/>
  <c r="B23" i="9"/>
  <c r="D5" i="9"/>
  <c r="C5" i="9"/>
  <c r="B78" i="9" l="1"/>
  <c r="B5" i="9"/>
</calcChain>
</file>

<file path=xl/sharedStrings.xml><?xml version="1.0" encoding="utf-8"?>
<sst xmlns="http://schemas.openxmlformats.org/spreadsheetml/2006/main" count="78" uniqueCount="45">
  <si>
    <t>Both sexes</t>
  </si>
  <si>
    <t>Male</t>
  </si>
  <si>
    <t>Female</t>
  </si>
  <si>
    <t>Total</t>
  </si>
  <si>
    <t>clwTipcsoh clwairOmem IdcnWg Wridcnia :ctWrwf ivcaedutWmUluAwm</t>
  </si>
  <si>
    <t>Source: Indira Gandhi Memorial Hospital</t>
  </si>
  <si>
    <t>Cardiology</t>
  </si>
  <si>
    <t>Dental</t>
  </si>
  <si>
    <t>Urology</t>
  </si>
  <si>
    <t>Pulmonology</t>
  </si>
  <si>
    <t>Neurology</t>
  </si>
  <si>
    <t>Nephrology</t>
  </si>
  <si>
    <t>Oncology</t>
  </si>
  <si>
    <t xml:space="preserve">Outpatients </t>
  </si>
  <si>
    <t>RHC</t>
  </si>
  <si>
    <t>Anaesthesiology</t>
  </si>
  <si>
    <t>Dermatology</t>
  </si>
  <si>
    <t xml:space="preserve">Diabetic clinic </t>
  </si>
  <si>
    <t>Dialysis clinic</t>
  </si>
  <si>
    <t>Dietetics and nutrition therapy</t>
  </si>
  <si>
    <t>Ent</t>
  </si>
  <si>
    <t>Internal medicine</t>
  </si>
  <si>
    <t>Neuro surgery</t>
  </si>
  <si>
    <t>Obstetrics and gynaecology</t>
  </si>
  <si>
    <t>Onco surgery</t>
  </si>
  <si>
    <t>Ophthalmology</t>
  </si>
  <si>
    <t>Optometry</t>
  </si>
  <si>
    <t>Orthopaedics</t>
  </si>
  <si>
    <t>Paediatric cardiology</t>
  </si>
  <si>
    <t>Paediatrics</t>
  </si>
  <si>
    <t>Post interventional clinic</t>
  </si>
  <si>
    <t>Prosthetics and orthotics</t>
  </si>
  <si>
    <t>Psychiatry</t>
  </si>
  <si>
    <t>Respiratory medicine</t>
  </si>
  <si>
    <t>Surgery</t>
  </si>
  <si>
    <t>Other ( casualty)</t>
  </si>
  <si>
    <t>Table 6.9: Number of outpatients by speciality and sex, 2019</t>
  </si>
  <si>
    <t>Fertility &amp; Reproduction</t>
  </si>
  <si>
    <t>Gastroenterology</t>
  </si>
  <si>
    <t>Table 6.9: Number of outpatients by speciality and sex, 2020</t>
  </si>
  <si>
    <t>Center for mental health</t>
  </si>
  <si>
    <t xml:space="preserve"> Direct prescription (COVID-19 situation) </t>
  </si>
  <si>
    <t xml:space="preserve"> Endocrinology</t>
  </si>
  <si>
    <t>National diabetes center</t>
  </si>
  <si>
    <t>PNC paediatrics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</si>
</sst>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9"/>
      <name val="A_Faseyha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0" fontId="1" fillId="0" borderId="0"/>
    <xf numFmtId="165" fontId="10" fillId="0" borderId="0"/>
    <xf numFmtId="165" fontId="10" fillId="0" borderId="0"/>
    <xf numFmtId="165" fontId="10" fillId="0" borderId="0"/>
    <xf numFmtId="40" fontId="11" fillId="0" borderId="0" applyFont="0" applyFill="0" applyBorder="0" applyAlignment="0" applyProtection="0"/>
    <xf numFmtId="165" fontId="10" fillId="0" borderId="0"/>
    <xf numFmtId="0" fontId="1" fillId="0" borderId="0"/>
    <xf numFmtId="0" fontId="7" fillId="0" borderId="0"/>
  </cellStyleXfs>
  <cellXfs count="20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3" fontId="0" fillId="2" borderId="0" xfId="0" applyNumberFormat="1" applyFill="1" applyBorder="1"/>
    <xf numFmtId="3" fontId="0" fillId="2" borderId="2" xfId="0" applyNumberFormat="1" applyFill="1" applyBorder="1"/>
    <xf numFmtId="0" fontId="0" fillId="2" borderId="0" xfId="0" applyFill="1" applyBorder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3" fontId="4" fillId="2" borderId="1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Alignment="1" applyProtection="1">
      <alignment horizontal="left" vertical="center"/>
    </xf>
    <xf numFmtId="3" fontId="4" fillId="2" borderId="0" xfId="0" applyNumberFormat="1" applyFont="1" applyFill="1" applyBorder="1" applyAlignment="1">
      <alignment horizontal="left" vertical="center"/>
    </xf>
    <xf numFmtId="165" fontId="6" fillId="2" borderId="4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vertical="center"/>
    </xf>
    <xf numFmtId="3" fontId="2" fillId="2" borderId="0" xfId="0" applyNumberFormat="1" applyFont="1" applyFill="1" applyBorder="1"/>
    <xf numFmtId="3" fontId="2" fillId="2" borderId="2" xfId="0" applyNumberFormat="1" applyFont="1" applyFill="1" applyBorder="1"/>
    <xf numFmtId="0" fontId="2" fillId="2" borderId="3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3" fontId="9" fillId="2" borderId="0" xfId="0" applyNumberFormat="1" applyFont="1" applyFill="1" applyBorder="1"/>
    <xf numFmtId="165" fontId="8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/>
    </xf>
  </cellXfs>
  <cellStyles count="9">
    <cellStyle name="1" xfId="8"/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6.9</a:t>
            </a:r>
            <a:r>
              <a:rPr lang="en-US" b="1" baseline="0"/>
              <a:t>:  </a:t>
            </a:r>
            <a:r>
              <a:rPr lang="en-US" b="1"/>
              <a:t>Outpatient by speciality</a:t>
            </a:r>
            <a:r>
              <a:rPr lang="en-US" b="1" baseline="0"/>
              <a:t> and sex, 2020</a:t>
            </a:r>
            <a:endParaRPr lang="en-US" b="1"/>
          </a:p>
        </c:rich>
      </c:tx>
      <c:layout>
        <c:manualLayout>
          <c:xMode val="edge"/>
          <c:yMode val="edge"/>
          <c:x val="0.2218408585291734"/>
          <c:y val="3.84053868343108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54954331107761E-2"/>
          <c:y val="0.11930083429512434"/>
          <c:w val="0.92165246995128958"/>
          <c:h val="0.603727418173050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'6.9'!$C$4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'6.9'!$A$6:$A$22</c:f>
              <c:strCache>
                <c:ptCount val="17"/>
                <c:pt idx="0">
                  <c:v>Internal medicine</c:v>
                </c:pt>
                <c:pt idx="1">
                  <c:v>RHC</c:v>
                </c:pt>
                <c:pt idx="2">
                  <c:v>Dental</c:v>
                </c:pt>
                <c:pt idx="3">
                  <c:v>Center for mental health</c:v>
                </c:pt>
                <c:pt idx="4">
                  <c:v>Pulmonology</c:v>
                </c:pt>
                <c:pt idx="5">
                  <c:v>Orthopaedics</c:v>
                </c:pt>
                <c:pt idx="6">
                  <c:v>Dermatology</c:v>
                </c:pt>
                <c:pt idx="7">
                  <c:v>Ophthalmology</c:v>
                </c:pt>
                <c:pt idx="8">
                  <c:v>Obstetrics and gynaecology</c:v>
                </c:pt>
                <c:pt idx="9">
                  <c:v>Surgery</c:v>
                </c:pt>
                <c:pt idx="10">
                  <c:v>Cardiology</c:v>
                </c:pt>
                <c:pt idx="11">
                  <c:v>Paediatrics</c:v>
                </c:pt>
                <c:pt idx="12">
                  <c:v>Neurology</c:v>
                </c:pt>
                <c:pt idx="13">
                  <c:v>Ent</c:v>
                </c:pt>
                <c:pt idx="14">
                  <c:v>Optometry</c:v>
                </c:pt>
                <c:pt idx="15">
                  <c:v>Urology</c:v>
                </c:pt>
                <c:pt idx="16">
                  <c:v>Nephrology</c:v>
                </c:pt>
              </c:strCache>
            </c:strRef>
          </c:cat>
          <c:val>
            <c:numRef>
              <c:f>'6.9'!$C$6:$C$22</c:f>
              <c:numCache>
                <c:formatCode>#,##0</c:formatCode>
                <c:ptCount val="17"/>
                <c:pt idx="0">
                  <c:v>3388</c:v>
                </c:pt>
                <c:pt idx="1">
                  <c:v>0</c:v>
                </c:pt>
                <c:pt idx="2">
                  <c:v>3185</c:v>
                </c:pt>
                <c:pt idx="3">
                  <c:v>2847</c:v>
                </c:pt>
                <c:pt idx="4">
                  <c:v>2652</c:v>
                </c:pt>
                <c:pt idx="5">
                  <c:v>3236</c:v>
                </c:pt>
                <c:pt idx="6">
                  <c:v>2674</c:v>
                </c:pt>
                <c:pt idx="7">
                  <c:v>2769</c:v>
                </c:pt>
                <c:pt idx="8">
                  <c:v>18</c:v>
                </c:pt>
                <c:pt idx="9">
                  <c:v>2554</c:v>
                </c:pt>
                <c:pt idx="10">
                  <c:v>2862</c:v>
                </c:pt>
                <c:pt idx="11">
                  <c:v>2334</c:v>
                </c:pt>
                <c:pt idx="12">
                  <c:v>1737</c:v>
                </c:pt>
                <c:pt idx="13">
                  <c:v>1583</c:v>
                </c:pt>
                <c:pt idx="14">
                  <c:v>1345</c:v>
                </c:pt>
                <c:pt idx="15">
                  <c:v>2155</c:v>
                </c:pt>
                <c:pt idx="16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3-4032-96CC-090210F61C8A}"/>
            </c:ext>
          </c:extLst>
        </c:ser>
        <c:ser>
          <c:idx val="1"/>
          <c:order val="1"/>
          <c:tx>
            <c:strRef>
              <c:f>'6.9'!$D$4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'6.9'!$A$6:$A$22</c:f>
              <c:strCache>
                <c:ptCount val="17"/>
                <c:pt idx="0">
                  <c:v>Internal medicine</c:v>
                </c:pt>
                <c:pt idx="1">
                  <c:v>RHC</c:v>
                </c:pt>
                <c:pt idx="2">
                  <c:v>Dental</c:v>
                </c:pt>
                <c:pt idx="3">
                  <c:v>Center for mental health</c:v>
                </c:pt>
                <c:pt idx="4">
                  <c:v>Pulmonology</c:v>
                </c:pt>
                <c:pt idx="5">
                  <c:v>Orthopaedics</c:v>
                </c:pt>
                <c:pt idx="6">
                  <c:v>Dermatology</c:v>
                </c:pt>
                <c:pt idx="7">
                  <c:v>Ophthalmology</c:v>
                </c:pt>
                <c:pt idx="8">
                  <c:v>Obstetrics and gynaecology</c:v>
                </c:pt>
                <c:pt idx="9">
                  <c:v>Surgery</c:v>
                </c:pt>
                <c:pt idx="10">
                  <c:v>Cardiology</c:v>
                </c:pt>
                <c:pt idx="11">
                  <c:v>Paediatrics</c:v>
                </c:pt>
                <c:pt idx="12">
                  <c:v>Neurology</c:v>
                </c:pt>
                <c:pt idx="13">
                  <c:v>Ent</c:v>
                </c:pt>
                <c:pt idx="14">
                  <c:v>Optometry</c:v>
                </c:pt>
                <c:pt idx="15">
                  <c:v>Urology</c:v>
                </c:pt>
                <c:pt idx="16">
                  <c:v>Nephrology</c:v>
                </c:pt>
              </c:strCache>
            </c:strRef>
          </c:cat>
          <c:val>
            <c:numRef>
              <c:f>'6.9'!$D$6:$D$22</c:f>
              <c:numCache>
                <c:formatCode>#,##0</c:formatCode>
                <c:ptCount val="17"/>
                <c:pt idx="0">
                  <c:v>5901</c:v>
                </c:pt>
                <c:pt idx="1">
                  <c:v>7779</c:v>
                </c:pt>
                <c:pt idx="2">
                  <c:v>4505</c:v>
                </c:pt>
                <c:pt idx="3">
                  <c:v>4583</c:v>
                </c:pt>
                <c:pt idx="4">
                  <c:v>4562</c:v>
                </c:pt>
                <c:pt idx="5">
                  <c:v>3366</c:v>
                </c:pt>
                <c:pt idx="6">
                  <c:v>3924</c:v>
                </c:pt>
                <c:pt idx="7">
                  <c:v>3253</c:v>
                </c:pt>
                <c:pt idx="8">
                  <c:v>5590</c:v>
                </c:pt>
                <c:pt idx="9">
                  <c:v>2183</c:v>
                </c:pt>
                <c:pt idx="10">
                  <c:v>1442</c:v>
                </c:pt>
                <c:pt idx="11">
                  <c:v>1957</c:v>
                </c:pt>
                <c:pt idx="12">
                  <c:v>2104</c:v>
                </c:pt>
                <c:pt idx="13">
                  <c:v>2121</c:v>
                </c:pt>
                <c:pt idx="14">
                  <c:v>1808</c:v>
                </c:pt>
                <c:pt idx="15">
                  <c:v>969</c:v>
                </c:pt>
                <c:pt idx="16">
                  <c:v>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3-4032-96CC-090210F61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8567279"/>
        <c:axId val="1018568111"/>
      </c:barChart>
      <c:catAx>
        <c:axId val="101856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568111"/>
        <c:crosses val="autoZero"/>
        <c:auto val="1"/>
        <c:lblAlgn val="ctr"/>
        <c:lblOffset val="100"/>
        <c:noMultiLvlLbl val="0"/>
      </c:catAx>
      <c:valAx>
        <c:axId val="1018568111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567279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7854825029735111"/>
          <c:y val="0.22016788436209195"/>
          <c:w val="0.23098626790139892"/>
          <c:h val="5.823128685788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26734</xdr:colOff>
      <xdr:row>39</xdr:row>
      <xdr:rowOff>48461</xdr:rowOff>
    </xdr:from>
    <xdr:to>
      <xdr:col>6</xdr:col>
      <xdr:colOff>444500</xdr:colOff>
      <xdr:row>70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F109"/>
  <sheetViews>
    <sheetView tabSelected="1" zoomScale="95" zoomScaleNormal="95" workbookViewId="0">
      <selection activeCell="T53" sqref="T53"/>
    </sheetView>
  </sheetViews>
  <sheetFormatPr defaultRowHeight="15" x14ac:dyDescent="0.25"/>
  <cols>
    <col min="1" max="1" width="35.5703125" style="1" bestFit="1" customWidth="1"/>
    <col min="2" max="4" width="13.7109375" style="1" customWidth="1"/>
    <col min="5" max="16384" width="9.140625" style="1"/>
  </cols>
  <sheetData>
    <row r="2" spans="1:6" x14ac:dyDescent="0.25">
      <c r="A2" s="19" t="s">
        <v>39</v>
      </c>
      <c r="B2" s="19"/>
      <c r="C2" s="19"/>
      <c r="D2" s="19"/>
      <c r="E2" s="2"/>
    </row>
    <row r="3" spans="1:6" x14ac:dyDescent="0.25">
      <c r="E3" s="7"/>
    </row>
    <row r="4" spans="1:6" x14ac:dyDescent="0.25">
      <c r="A4" s="11" t="s">
        <v>13</v>
      </c>
      <c r="B4" s="14" t="s">
        <v>0</v>
      </c>
      <c r="C4" s="14" t="s">
        <v>1</v>
      </c>
      <c r="D4" s="14" t="s">
        <v>2</v>
      </c>
    </row>
    <row r="5" spans="1:6" x14ac:dyDescent="0.25">
      <c r="A5" s="16" t="s">
        <v>3</v>
      </c>
      <c r="B5" s="15">
        <f>SUM(B6:B38)</f>
        <v>197919</v>
      </c>
      <c r="C5" s="15">
        <f>SUM(C6:C38)</f>
        <v>89507</v>
      </c>
      <c r="D5" s="15">
        <f>SUM(D6:D38)</f>
        <v>108412</v>
      </c>
    </row>
    <row r="6" spans="1:6" x14ac:dyDescent="0.25">
      <c r="A6" s="5" t="s">
        <v>21</v>
      </c>
      <c r="B6" s="12">
        <f t="shared" ref="B6:B38" si="0">SUM(C6:D6)</f>
        <v>9289</v>
      </c>
      <c r="C6" s="17">
        <v>3388</v>
      </c>
      <c r="D6" s="17">
        <v>5901</v>
      </c>
    </row>
    <row r="7" spans="1:6" x14ac:dyDescent="0.25">
      <c r="A7" s="5" t="s">
        <v>14</v>
      </c>
      <c r="B7" s="12">
        <f t="shared" si="0"/>
        <v>7779</v>
      </c>
      <c r="C7" s="3">
        <v>0</v>
      </c>
      <c r="D7" s="3">
        <v>7779</v>
      </c>
    </row>
    <row r="8" spans="1:6" x14ac:dyDescent="0.25">
      <c r="A8" s="5" t="s">
        <v>7</v>
      </c>
      <c r="B8" s="12">
        <f t="shared" si="0"/>
        <v>7690</v>
      </c>
      <c r="C8" s="17">
        <v>3185</v>
      </c>
      <c r="D8" s="17">
        <v>4505</v>
      </c>
    </row>
    <row r="9" spans="1:6" x14ac:dyDescent="0.25">
      <c r="A9" s="5" t="s">
        <v>40</v>
      </c>
      <c r="B9" s="12">
        <f t="shared" si="0"/>
        <v>7430</v>
      </c>
      <c r="C9" s="3">
        <v>2847</v>
      </c>
      <c r="D9" s="3">
        <v>4583</v>
      </c>
    </row>
    <row r="10" spans="1:6" x14ac:dyDescent="0.25">
      <c r="A10" s="5" t="s">
        <v>9</v>
      </c>
      <c r="B10" s="12">
        <f t="shared" si="0"/>
        <v>7214</v>
      </c>
      <c r="C10" s="3">
        <v>2652</v>
      </c>
      <c r="D10" s="3">
        <v>4562</v>
      </c>
    </row>
    <row r="11" spans="1:6" x14ac:dyDescent="0.25">
      <c r="A11" s="5" t="s">
        <v>27</v>
      </c>
      <c r="B11" s="12">
        <f t="shared" si="0"/>
        <v>6602</v>
      </c>
      <c r="C11" s="17">
        <v>3236</v>
      </c>
      <c r="D11" s="17">
        <v>3366</v>
      </c>
      <c r="F11" s="3"/>
    </row>
    <row r="12" spans="1:6" x14ac:dyDescent="0.25">
      <c r="A12" s="5" t="s">
        <v>16</v>
      </c>
      <c r="B12" s="12">
        <f t="shared" si="0"/>
        <v>6598</v>
      </c>
      <c r="C12" s="17">
        <v>2674</v>
      </c>
      <c r="D12" s="17">
        <v>3924</v>
      </c>
    </row>
    <row r="13" spans="1:6" x14ac:dyDescent="0.25">
      <c r="A13" s="5" t="s">
        <v>25</v>
      </c>
      <c r="B13" s="12">
        <f t="shared" si="0"/>
        <v>6022</v>
      </c>
      <c r="C13" s="17">
        <v>2769</v>
      </c>
      <c r="D13" s="17">
        <v>3253</v>
      </c>
    </row>
    <row r="14" spans="1:6" x14ac:dyDescent="0.25">
      <c r="A14" s="5" t="s">
        <v>23</v>
      </c>
      <c r="B14" s="12">
        <f t="shared" si="0"/>
        <v>5608</v>
      </c>
      <c r="C14" s="17">
        <v>18</v>
      </c>
      <c r="D14" s="17">
        <v>5590</v>
      </c>
    </row>
    <row r="15" spans="1:6" x14ac:dyDescent="0.25">
      <c r="A15" s="5" t="s">
        <v>34</v>
      </c>
      <c r="B15" s="12">
        <f t="shared" si="0"/>
        <v>4737</v>
      </c>
      <c r="C15" s="3">
        <v>2554</v>
      </c>
      <c r="D15" s="3">
        <v>2183</v>
      </c>
    </row>
    <row r="16" spans="1:6" x14ac:dyDescent="0.25">
      <c r="A16" s="5" t="s">
        <v>6</v>
      </c>
      <c r="B16" s="12">
        <f t="shared" si="0"/>
        <v>4304</v>
      </c>
      <c r="C16" s="17">
        <v>2862</v>
      </c>
      <c r="D16" s="17">
        <v>1442</v>
      </c>
    </row>
    <row r="17" spans="1:4" x14ac:dyDescent="0.25">
      <c r="A17" s="5" t="s">
        <v>29</v>
      </c>
      <c r="B17" s="12">
        <f t="shared" si="0"/>
        <v>4291</v>
      </c>
      <c r="C17" s="17">
        <v>2334</v>
      </c>
      <c r="D17" s="17">
        <v>1957</v>
      </c>
    </row>
    <row r="18" spans="1:4" x14ac:dyDescent="0.25">
      <c r="A18" s="5" t="s">
        <v>10</v>
      </c>
      <c r="B18" s="12">
        <f t="shared" si="0"/>
        <v>3841</v>
      </c>
      <c r="C18" s="17">
        <v>1737</v>
      </c>
      <c r="D18" s="17">
        <v>2104</v>
      </c>
    </row>
    <row r="19" spans="1:4" x14ac:dyDescent="0.25">
      <c r="A19" s="5" t="s">
        <v>20</v>
      </c>
      <c r="B19" s="12">
        <f t="shared" si="0"/>
        <v>3704</v>
      </c>
      <c r="C19" s="17">
        <v>1583</v>
      </c>
      <c r="D19" s="17">
        <v>2121</v>
      </c>
    </row>
    <row r="20" spans="1:4" x14ac:dyDescent="0.25">
      <c r="A20" s="5" t="s">
        <v>26</v>
      </c>
      <c r="B20" s="12">
        <f t="shared" si="0"/>
        <v>3153</v>
      </c>
      <c r="C20" s="17">
        <v>1345</v>
      </c>
      <c r="D20" s="17">
        <v>1808</v>
      </c>
    </row>
    <row r="21" spans="1:4" x14ac:dyDescent="0.25">
      <c r="A21" s="5" t="s">
        <v>8</v>
      </c>
      <c r="B21" s="12">
        <f t="shared" si="0"/>
        <v>3124</v>
      </c>
      <c r="C21" s="3">
        <v>2155</v>
      </c>
      <c r="D21" s="3">
        <v>969</v>
      </c>
    </row>
    <row r="22" spans="1:4" x14ac:dyDescent="0.25">
      <c r="A22" s="5" t="s">
        <v>11</v>
      </c>
      <c r="B22" s="12">
        <f t="shared" si="0"/>
        <v>2880</v>
      </c>
      <c r="C22" s="17">
        <v>1682</v>
      </c>
      <c r="D22" s="17">
        <v>1198</v>
      </c>
    </row>
    <row r="23" spans="1:4" x14ac:dyDescent="0.25">
      <c r="A23" s="5" t="s">
        <v>15</v>
      </c>
      <c r="B23" s="12">
        <f t="shared" si="0"/>
        <v>1513</v>
      </c>
      <c r="C23" s="17">
        <v>704</v>
      </c>
      <c r="D23" s="17">
        <v>809</v>
      </c>
    </row>
    <row r="24" spans="1:4" x14ac:dyDescent="0.25">
      <c r="A24" s="5" t="s">
        <v>24</v>
      </c>
      <c r="B24" s="12">
        <f t="shared" si="0"/>
        <v>1450</v>
      </c>
      <c r="C24" s="17">
        <v>334</v>
      </c>
      <c r="D24" s="17">
        <v>1116</v>
      </c>
    </row>
    <row r="25" spans="1:4" x14ac:dyDescent="0.25">
      <c r="A25" s="5" t="s">
        <v>44</v>
      </c>
      <c r="B25" s="12">
        <f t="shared" si="0"/>
        <v>1142</v>
      </c>
      <c r="C25" s="17">
        <v>548</v>
      </c>
      <c r="D25" s="17">
        <v>594</v>
      </c>
    </row>
    <row r="26" spans="1:4" x14ac:dyDescent="0.25">
      <c r="A26" s="5" t="s">
        <v>19</v>
      </c>
      <c r="B26" s="12">
        <f t="shared" si="0"/>
        <v>1061</v>
      </c>
      <c r="C26" s="17">
        <v>327</v>
      </c>
      <c r="D26" s="17">
        <v>734</v>
      </c>
    </row>
    <row r="27" spans="1:4" x14ac:dyDescent="0.25">
      <c r="A27" s="5" t="s">
        <v>12</v>
      </c>
      <c r="B27" s="12">
        <f t="shared" si="0"/>
        <v>848</v>
      </c>
      <c r="C27" s="17">
        <v>244</v>
      </c>
      <c r="D27" s="17">
        <v>604</v>
      </c>
    </row>
    <row r="28" spans="1:4" x14ac:dyDescent="0.25">
      <c r="A28" s="5" t="s">
        <v>42</v>
      </c>
      <c r="B28" s="12">
        <f t="shared" si="0"/>
        <v>690</v>
      </c>
      <c r="C28" s="17">
        <v>172</v>
      </c>
      <c r="D28" s="17">
        <v>518</v>
      </c>
    </row>
    <row r="29" spans="1:4" x14ac:dyDescent="0.25">
      <c r="A29" s="5" t="s">
        <v>33</v>
      </c>
      <c r="B29" s="12">
        <f t="shared" si="0"/>
        <v>653</v>
      </c>
      <c r="C29" s="3">
        <v>432</v>
      </c>
      <c r="D29" s="3">
        <v>221</v>
      </c>
    </row>
    <row r="30" spans="1:4" x14ac:dyDescent="0.25">
      <c r="A30" s="5" t="s">
        <v>41</v>
      </c>
      <c r="B30" s="12">
        <f t="shared" si="0"/>
        <v>526</v>
      </c>
      <c r="C30" s="3">
        <v>241</v>
      </c>
      <c r="D30" s="3">
        <v>285</v>
      </c>
    </row>
    <row r="31" spans="1:4" x14ac:dyDescent="0.25">
      <c r="A31" s="5" t="s">
        <v>43</v>
      </c>
      <c r="B31" s="12">
        <f t="shared" si="0"/>
        <v>521</v>
      </c>
      <c r="C31" s="17">
        <v>208</v>
      </c>
      <c r="D31" s="17">
        <v>313</v>
      </c>
    </row>
    <row r="32" spans="1:4" x14ac:dyDescent="0.25">
      <c r="A32" s="5" t="s">
        <v>30</v>
      </c>
      <c r="B32" s="12">
        <f t="shared" si="0"/>
        <v>490</v>
      </c>
      <c r="C32" s="17">
        <v>323</v>
      </c>
      <c r="D32" s="17">
        <v>167</v>
      </c>
    </row>
    <row r="33" spans="1:4" x14ac:dyDescent="0.25">
      <c r="A33" s="5" t="s">
        <v>38</v>
      </c>
      <c r="B33" s="12">
        <f t="shared" si="0"/>
        <v>480</v>
      </c>
      <c r="C33" s="17">
        <v>209</v>
      </c>
      <c r="D33" s="17">
        <v>271</v>
      </c>
    </row>
    <row r="34" spans="1:4" x14ac:dyDescent="0.25">
      <c r="A34" s="5" t="s">
        <v>28</v>
      </c>
      <c r="B34" s="12">
        <f t="shared" si="0"/>
        <v>289</v>
      </c>
      <c r="C34" s="17">
        <v>154</v>
      </c>
      <c r="D34" s="17">
        <v>135</v>
      </c>
    </row>
    <row r="35" spans="1:4" x14ac:dyDescent="0.25">
      <c r="A35" s="5" t="s">
        <v>31</v>
      </c>
      <c r="B35" s="12">
        <f t="shared" si="0"/>
        <v>222</v>
      </c>
      <c r="C35" s="17">
        <v>92</v>
      </c>
      <c r="D35" s="17">
        <v>130</v>
      </c>
    </row>
    <row r="36" spans="1:4" x14ac:dyDescent="0.25">
      <c r="A36" s="5" t="s">
        <v>22</v>
      </c>
      <c r="B36" s="12">
        <f t="shared" si="0"/>
        <v>149</v>
      </c>
      <c r="C36" s="17">
        <v>79</v>
      </c>
      <c r="D36" s="17">
        <v>70</v>
      </c>
    </row>
    <row r="37" spans="1:4" x14ac:dyDescent="0.25">
      <c r="A37" s="5" t="s">
        <v>37</v>
      </c>
      <c r="B37" s="12">
        <f t="shared" si="0"/>
        <v>0</v>
      </c>
      <c r="C37" s="17">
        <v>0</v>
      </c>
      <c r="D37" s="17">
        <v>0</v>
      </c>
    </row>
    <row r="38" spans="1:4" x14ac:dyDescent="0.25">
      <c r="A38" s="6" t="s">
        <v>35</v>
      </c>
      <c r="B38" s="13">
        <f t="shared" si="0"/>
        <v>93619</v>
      </c>
      <c r="C38" s="4">
        <v>48419</v>
      </c>
      <c r="D38" s="4">
        <v>45200</v>
      </c>
    </row>
    <row r="39" spans="1:4" x14ac:dyDescent="0.25">
      <c r="A39" s="8" t="s">
        <v>5</v>
      </c>
      <c r="B39" s="9"/>
      <c r="C39" s="10"/>
      <c r="D39" s="18"/>
    </row>
    <row r="75" spans="1:5" x14ac:dyDescent="0.25">
      <c r="A75" s="19" t="s">
        <v>36</v>
      </c>
      <c r="B75" s="19"/>
      <c r="C75" s="19"/>
      <c r="D75" s="19"/>
      <c r="E75" s="2"/>
    </row>
    <row r="76" spans="1:5" x14ac:dyDescent="0.25">
      <c r="E76" s="7"/>
    </row>
    <row r="77" spans="1:5" x14ac:dyDescent="0.25">
      <c r="A77" s="11" t="s">
        <v>13</v>
      </c>
      <c r="B77" s="14" t="s">
        <v>0</v>
      </c>
      <c r="C77" s="14" t="s">
        <v>1</v>
      </c>
      <c r="D77" s="14" t="s">
        <v>2</v>
      </c>
    </row>
    <row r="78" spans="1:5" x14ac:dyDescent="0.25">
      <c r="A78" s="16" t="s">
        <v>3</v>
      </c>
      <c r="B78" s="15">
        <f>SUM(B79:B108)</f>
        <v>381376</v>
      </c>
      <c r="C78" s="15">
        <f>SUM(C79:C108)</f>
        <v>184572</v>
      </c>
      <c r="D78" s="15">
        <f>SUM(D79:D108)</f>
        <v>196804</v>
      </c>
    </row>
    <row r="79" spans="1:5" x14ac:dyDescent="0.25">
      <c r="A79" s="5" t="s">
        <v>21</v>
      </c>
      <c r="B79" s="12">
        <f t="shared" ref="B79:B108" si="1">SUM(C79:D79)</f>
        <v>19275</v>
      </c>
      <c r="C79" s="17">
        <v>6846</v>
      </c>
      <c r="D79" s="17">
        <v>12429</v>
      </c>
    </row>
    <row r="80" spans="1:5" x14ac:dyDescent="0.25">
      <c r="A80" s="5" t="s">
        <v>27</v>
      </c>
      <c r="B80" s="12">
        <f t="shared" si="1"/>
        <v>14449</v>
      </c>
      <c r="C80" s="17">
        <v>6587</v>
      </c>
      <c r="D80" s="17">
        <v>7862</v>
      </c>
    </row>
    <row r="81" spans="1:6" x14ac:dyDescent="0.25">
      <c r="A81" s="5" t="s">
        <v>25</v>
      </c>
      <c r="B81" s="12">
        <f t="shared" si="1"/>
        <v>12142</v>
      </c>
      <c r="C81" s="17">
        <v>5418</v>
      </c>
      <c r="D81" s="17">
        <v>6724</v>
      </c>
    </row>
    <row r="82" spans="1:6" x14ac:dyDescent="0.25">
      <c r="A82" s="5" t="s">
        <v>14</v>
      </c>
      <c r="B82" s="12">
        <f t="shared" si="1"/>
        <v>11445</v>
      </c>
      <c r="C82" s="3"/>
      <c r="D82" s="3">
        <v>11445</v>
      </c>
      <c r="F82" s="3"/>
    </row>
    <row r="83" spans="1:6" x14ac:dyDescent="0.25">
      <c r="A83" s="5" t="s">
        <v>29</v>
      </c>
      <c r="B83" s="12">
        <f t="shared" si="1"/>
        <v>10916</v>
      </c>
      <c r="C83" s="17">
        <v>5826</v>
      </c>
      <c r="D83" s="17">
        <v>5090</v>
      </c>
    </row>
    <row r="84" spans="1:6" x14ac:dyDescent="0.25">
      <c r="A84" s="5" t="s">
        <v>7</v>
      </c>
      <c r="B84" s="12">
        <f t="shared" si="1"/>
        <v>10896</v>
      </c>
      <c r="C84" s="17">
        <v>4412</v>
      </c>
      <c r="D84" s="17">
        <v>6484</v>
      </c>
    </row>
    <row r="85" spans="1:6" x14ac:dyDescent="0.25">
      <c r="A85" s="5" t="s">
        <v>20</v>
      </c>
      <c r="B85" s="12">
        <f t="shared" si="1"/>
        <v>9103</v>
      </c>
      <c r="C85" s="17">
        <v>3733</v>
      </c>
      <c r="D85" s="17">
        <v>5370</v>
      </c>
    </row>
    <row r="86" spans="1:6" x14ac:dyDescent="0.25">
      <c r="A86" s="5" t="s">
        <v>16</v>
      </c>
      <c r="B86" s="12">
        <f t="shared" si="1"/>
        <v>8733</v>
      </c>
      <c r="C86" s="17">
        <v>3390</v>
      </c>
      <c r="D86" s="17">
        <v>5343</v>
      </c>
    </row>
    <row r="87" spans="1:6" x14ac:dyDescent="0.25">
      <c r="A87" s="5" t="s">
        <v>23</v>
      </c>
      <c r="B87" s="12">
        <f t="shared" si="1"/>
        <v>7925</v>
      </c>
      <c r="C87" s="17">
        <v>10</v>
      </c>
      <c r="D87" s="17">
        <v>7915</v>
      </c>
    </row>
    <row r="88" spans="1:6" x14ac:dyDescent="0.25">
      <c r="A88" s="5" t="s">
        <v>34</v>
      </c>
      <c r="B88" s="12">
        <f t="shared" si="1"/>
        <v>6772</v>
      </c>
      <c r="C88" s="3">
        <v>3780</v>
      </c>
      <c r="D88" s="3">
        <v>2992</v>
      </c>
    </row>
    <row r="89" spans="1:6" x14ac:dyDescent="0.25">
      <c r="A89" s="5" t="s">
        <v>9</v>
      </c>
      <c r="B89" s="12">
        <f t="shared" si="1"/>
        <v>6313</v>
      </c>
      <c r="C89" s="3">
        <v>2471</v>
      </c>
      <c r="D89" s="3">
        <v>3842</v>
      </c>
    </row>
    <row r="90" spans="1:6" x14ac:dyDescent="0.25">
      <c r="A90" s="5" t="s">
        <v>10</v>
      </c>
      <c r="B90" s="12">
        <f t="shared" si="1"/>
        <v>6260</v>
      </c>
      <c r="C90" s="17">
        <v>2711</v>
      </c>
      <c r="D90" s="17">
        <v>3549</v>
      </c>
    </row>
    <row r="91" spans="1:6" x14ac:dyDescent="0.25">
      <c r="A91" s="5" t="s">
        <v>32</v>
      </c>
      <c r="B91" s="12">
        <f t="shared" si="1"/>
        <v>5448</v>
      </c>
      <c r="C91" s="3">
        <v>2417</v>
      </c>
      <c r="D91" s="3">
        <v>3031</v>
      </c>
    </row>
    <row r="92" spans="1:6" x14ac:dyDescent="0.25">
      <c r="A92" s="5" t="s">
        <v>26</v>
      </c>
      <c r="B92" s="12">
        <f t="shared" si="1"/>
        <v>5049</v>
      </c>
      <c r="C92" s="17">
        <v>2114</v>
      </c>
      <c r="D92" s="17">
        <v>2935</v>
      </c>
    </row>
    <row r="93" spans="1:6" x14ac:dyDescent="0.25">
      <c r="A93" s="5" t="s">
        <v>8</v>
      </c>
      <c r="B93" s="12">
        <f t="shared" si="1"/>
        <v>4676</v>
      </c>
      <c r="C93" s="3">
        <v>3102</v>
      </c>
      <c r="D93" s="3">
        <v>1574</v>
      </c>
    </row>
    <row r="94" spans="1:6" x14ac:dyDescent="0.25">
      <c r="A94" s="5" t="s">
        <v>6</v>
      </c>
      <c r="B94" s="12">
        <f t="shared" si="1"/>
        <v>4599</v>
      </c>
      <c r="C94" s="17">
        <v>2977</v>
      </c>
      <c r="D94" s="17">
        <v>1622</v>
      </c>
    </row>
    <row r="95" spans="1:6" x14ac:dyDescent="0.25">
      <c r="A95" s="5" t="s">
        <v>11</v>
      </c>
      <c r="B95" s="12">
        <f t="shared" si="1"/>
        <v>4075</v>
      </c>
      <c r="C95" s="17">
        <v>2272</v>
      </c>
      <c r="D95" s="17">
        <v>1803</v>
      </c>
    </row>
    <row r="96" spans="1:6" x14ac:dyDescent="0.25">
      <c r="A96" s="5" t="s">
        <v>15</v>
      </c>
      <c r="B96" s="12">
        <f t="shared" si="1"/>
        <v>3366</v>
      </c>
      <c r="C96" s="17">
        <v>1639</v>
      </c>
      <c r="D96" s="17">
        <v>1727</v>
      </c>
    </row>
    <row r="97" spans="1:4" x14ac:dyDescent="0.25">
      <c r="A97" s="5" t="s">
        <v>30</v>
      </c>
      <c r="B97" s="12">
        <f t="shared" si="1"/>
        <v>1850</v>
      </c>
      <c r="C97" s="17">
        <v>1296</v>
      </c>
      <c r="D97" s="17">
        <v>554</v>
      </c>
    </row>
    <row r="98" spans="1:4" x14ac:dyDescent="0.25">
      <c r="A98" s="5" t="s">
        <v>24</v>
      </c>
      <c r="B98" s="12">
        <f t="shared" si="1"/>
        <v>1705</v>
      </c>
      <c r="C98" s="17">
        <v>433</v>
      </c>
      <c r="D98" s="17">
        <v>1272</v>
      </c>
    </row>
    <row r="99" spans="1:4" x14ac:dyDescent="0.25">
      <c r="A99" s="5" t="s">
        <v>19</v>
      </c>
      <c r="B99" s="12">
        <f t="shared" si="1"/>
        <v>1482</v>
      </c>
      <c r="C99" s="17">
        <v>446</v>
      </c>
      <c r="D99" s="17">
        <v>1036</v>
      </c>
    </row>
    <row r="100" spans="1:4" x14ac:dyDescent="0.25">
      <c r="A100" s="5" t="s">
        <v>33</v>
      </c>
      <c r="B100" s="12">
        <f t="shared" si="1"/>
        <v>1233</v>
      </c>
      <c r="C100" s="3">
        <v>918</v>
      </c>
      <c r="D100" s="3">
        <v>315</v>
      </c>
    </row>
    <row r="101" spans="1:4" x14ac:dyDescent="0.25">
      <c r="A101" s="5" t="s">
        <v>18</v>
      </c>
      <c r="B101" s="12">
        <f t="shared" si="1"/>
        <v>487</v>
      </c>
      <c r="C101" s="17">
        <v>230</v>
      </c>
      <c r="D101" s="17">
        <v>257</v>
      </c>
    </row>
    <row r="102" spans="1:4" x14ac:dyDescent="0.25">
      <c r="A102" s="5" t="s">
        <v>28</v>
      </c>
      <c r="B102" s="12">
        <f t="shared" si="1"/>
        <v>420</v>
      </c>
      <c r="C102" s="17">
        <v>226</v>
      </c>
      <c r="D102" s="17">
        <v>194</v>
      </c>
    </row>
    <row r="103" spans="1:4" x14ac:dyDescent="0.25">
      <c r="A103" s="5" t="s">
        <v>22</v>
      </c>
      <c r="B103" s="12">
        <f t="shared" si="1"/>
        <v>386</v>
      </c>
      <c r="C103" s="17">
        <v>171</v>
      </c>
      <c r="D103" s="17">
        <v>215</v>
      </c>
    </row>
    <row r="104" spans="1:4" x14ac:dyDescent="0.25">
      <c r="A104" s="5" t="s">
        <v>17</v>
      </c>
      <c r="B104" s="12">
        <f t="shared" si="1"/>
        <v>367</v>
      </c>
      <c r="C104" s="17">
        <v>198</v>
      </c>
      <c r="D104" s="17">
        <v>169</v>
      </c>
    </row>
    <row r="105" spans="1:4" x14ac:dyDescent="0.25">
      <c r="A105" s="5" t="s">
        <v>31</v>
      </c>
      <c r="B105" s="12">
        <f t="shared" si="1"/>
        <v>294</v>
      </c>
      <c r="C105" s="17">
        <v>166</v>
      </c>
      <c r="D105" s="17">
        <v>128</v>
      </c>
    </row>
    <row r="106" spans="1:4" x14ac:dyDescent="0.25">
      <c r="A106" s="5" t="s">
        <v>38</v>
      </c>
      <c r="B106" s="12">
        <f t="shared" si="1"/>
        <v>65</v>
      </c>
      <c r="C106" s="17">
        <v>30</v>
      </c>
      <c r="D106" s="17">
        <v>35</v>
      </c>
    </row>
    <row r="107" spans="1:4" x14ac:dyDescent="0.25">
      <c r="A107" s="5" t="s">
        <v>37</v>
      </c>
      <c r="B107" s="12">
        <f t="shared" si="1"/>
        <v>10</v>
      </c>
      <c r="C107" s="17">
        <v>10</v>
      </c>
      <c r="D107" s="17">
        <v>0</v>
      </c>
    </row>
    <row r="108" spans="1:4" x14ac:dyDescent="0.25">
      <c r="A108" s="6" t="s">
        <v>35</v>
      </c>
      <c r="B108" s="13">
        <f t="shared" si="1"/>
        <v>221635</v>
      </c>
      <c r="C108" s="4">
        <v>120743</v>
      </c>
      <c r="D108" s="4">
        <v>100892</v>
      </c>
    </row>
    <row r="109" spans="1:4" x14ac:dyDescent="0.25">
      <c r="A109" s="8" t="s">
        <v>5</v>
      </c>
      <c r="B109" s="9"/>
      <c r="C109" s="10"/>
      <c r="D109" s="18" t="s">
        <v>4</v>
      </c>
    </row>
  </sheetData>
  <sortState ref="A49:D77">
    <sortCondition descending="1" ref="B49:B77"/>
  </sortState>
  <mergeCells count="2">
    <mergeCell ref="A2:D2"/>
    <mergeCell ref="A75:D75"/>
  </mergeCells>
  <pageMargins left="0.7" right="0.7" top="0.75" bottom="0.75" header="0.3" footer="0.3"/>
  <pageSetup scale="65" orientation="portrait" r:id="rId1"/>
  <rowBreaks count="1" manualBreakCount="1">
    <brk id="7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2021-10-03T03:30:16Z</cp:lastPrinted>
  <dcterms:created xsi:type="dcterms:W3CDTF">2019-08-06T05:35:20Z</dcterms:created>
  <dcterms:modified xsi:type="dcterms:W3CDTF">2021-10-03T03:30:43Z</dcterms:modified>
</cp:coreProperties>
</file>