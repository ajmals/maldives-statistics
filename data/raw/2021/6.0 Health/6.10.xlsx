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6. Health\"/>
    </mc:Choice>
  </mc:AlternateContent>
  <bookViews>
    <workbookView xWindow="0" yWindow="0" windowWidth="28800" windowHeight="11730" tabRatio="870"/>
  </bookViews>
  <sheets>
    <sheet name="6.10" sheetId="10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'6.10'!$A$1:$E$86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2" i="10" l="1"/>
  <c r="B65" i="10"/>
  <c r="B83" i="10"/>
  <c r="B68" i="10"/>
  <c r="B74" i="10"/>
  <c r="B84" i="10"/>
  <c r="B77" i="10"/>
  <c r="B63" i="10"/>
  <c r="B67" i="10"/>
  <c r="B76" i="10"/>
  <c r="B81" i="10"/>
  <c r="B73" i="10"/>
  <c r="B64" i="10"/>
  <c r="B70" i="10"/>
  <c r="B78" i="10"/>
  <c r="B75" i="10"/>
  <c r="B66" i="10"/>
  <c r="B82" i="10"/>
  <c r="B71" i="10"/>
  <c r="B80" i="10"/>
  <c r="B79" i="10"/>
  <c r="B69" i="10"/>
  <c r="D62" i="10"/>
  <c r="C62" i="10"/>
  <c r="B13" i="10"/>
  <c r="B8" i="10"/>
  <c r="B24" i="10"/>
  <c r="B11" i="10"/>
  <c r="B15" i="10"/>
  <c r="B28" i="10"/>
  <c r="B21" i="10"/>
  <c r="B6" i="10"/>
  <c r="B25" i="10"/>
  <c r="B10" i="10"/>
  <c r="B22" i="10"/>
  <c r="B27" i="10"/>
  <c r="B14" i="10"/>
  <c r="B7" i="10"/>
  <c r="B12" i="10"/>
  <c r="B19" i="10"/>
  <c r="B16" i="10"/>
  <c r="B5" i="10"/>
  <c r="B18" i="10"/>
  <c r="B17" i="10"/>
  <c r="B26" i="10"/>
  <c r="B23" i="10"/>
  <c r="B20" i="10"/>
  <c r="B9" i="10"/>
  <c r="D4" i="10"/>
  <c r="C4" i="10"/>
  <c r="B62" i="10" l="1"/>
  <c r="B4" i="10"/>
</calcChain>
</file>

<file path=xl/sharedStrings.xml><?xml version="1.0" encoding="utf-8"?>
<sst xmlns="http://schemas.openxmlformats.org/spreadsheetml/2006/main" count="62" uniqueCount="33">
  <si>
    <t>Both sexes</t>
  </si>
  <si>
    <t>Male</t>
  </si>
  <si>
    <t>Female</t>
  </si>
  <si>
    <t>Total</t>
  </si>
  <si>
    <t>clwTipcsoh clwairOmem IdcnWg Wridcnia :ctWrwf ivcaedutWmUluAwm</t>
  </si>
  <si>
    <t>Source: Indira Gandhi Memorial Hospital</t>
  </si>
  <si>
    <t>Cardiology</t>
  </si>
  <si>
    <t>Dental</t>
  </si>
  <si>
    <t>Urology</t>
  </si>
  <si>
    <t>Pulmonology</t>
  </si>
  <si>
    <t>Neurology</t>
  </si>
  <si>
    <t>Nephrology</t>
  </si>
  <si>
    <t>Oncology</t>
  </si>
  <si>
    <t xml:space="preserve">Outpatients </t>
  </si>
  <si>
    <t>ENT</t>
  </si>
  <si>
    <t>Dermatology</t>
  </si>
  <si>
    <t>Internal medicine</t>
  </si>
  <si>
    <t>Obstetrics and gynaecology</t>
  </si>
  <si>
    <t>Onco surgery</t>
  </si>
  <si>
    <t>Ophthalmology</t>
  </si>
  <si>
    <t>Orthopaedics</t>
  </si>
  <si>
    <t>Paediatrics</t>
  </si>
  <si>
    <t>Post interventional clinic</t>
  </si>
  <si>
    <t>Psychiatry</t>
  </si>
  <si>
    <t>Respiratory medicine</t>
  </si>
  <si>
    <t>Surgery</t>
  </si>
  <si>
    <t>Table 6.10: Number of Inpatients by speciality and sex, 2019</t>
  </si>
  <si>
    <t>Neuro Surgery</t>
  </si>
  <si>
    <t>Gastroenterology</t>
  </si>
  <si>
    <t>Prosthetics and Orthotics</t>
  </si>
  <si>
    <t>Table 6.10: Number of Inpatients by speciality and sex, 2020</t>
  </si>
  <si>
    <t>Endocrinology</t>
  </si>
  <si>
    <t>Paediatrics  Cardiology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</si>
</sst>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General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9"/>
      <name val="A_Faseyha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8" fillId="0" borderId="0"/>
    <xf numFmtId="165" fontId="8" fillId="0" borderId="0"/>
    <xf numFmtId="165" fontId="8" fillId="0" borderId="0"/>
    <xf numFmtId="40" fontId="9" fillId="0" borderId="0" applyFont="0" applyFill="0" applyBorder="0" applyAlignment="0" applyProtection="0"/>
    <xf numFmtId="165" fontId="8" fillId="0" borderId="0"/>
    <xf numFmtId="0" fontId="1" fillId="0" borderId="0"/>
    <xf numFmtId="0" fontId="6" fillId="0" borderId="0"/>
  </cellStyleXfs>
  <cellXfs count="18">
    <xf numFmtId="0" fontId="0" fillId="0" borderId="0" xfId="0"/>
    <xf numFmtId="0" fontId="0" fillId="2" borderId="0" xfId="0" applyFill="1" applyBorder="1"/>
    <xf numFmtId="0" fontId="0" fillId="2" borderId="0" xfId="0" applyFill="1"/>
    <xf numFmtId="37" fontId="2" fillId="2" borderId="0" xfId="1" applyNumberFormat="1" applyFont="1" applyFill="1" applyBorder="1" applyAlignment="1">
      <alignment horizontal="right" vertical="center"/>
    </xf>
    <xf numFmtId="37" fontId="0" fillId="2" borderId="0" xfId="1" applyNumberFormat="1" applyFont="1" applyFill="1" applyBorder="1" applyAlignment="1">
      <alignment horizontal="right" vertical="center"/>
    </xf>
    <xf numFmtId="37" fontId="0" fillId="2" borderId="2" xfId="1" applyNumberFormat="1" applyFont="1" applyFill="1" applyBorder="1" applyAlignment="1">
      <alignment horizontal="right" vertical="center"/>
    </xf>
    <xf numFmtId="3" fontId="4" fillId="2" borderId="1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Alignment="1" applyProtection="1">
      <alignment horizontal="left" vertical="center"/>
    </xf>
    <xf numFmtId="0" fontId="3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37" fontId="2" fillId="2" borderId="2" xfId="1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 indent="2"/>
    </xf>
    <xf numFmtId="0" fontId="0" fillId="2" borderId="2" xfId="0" applyFill="1" applyBorder="1" applyAlignment="1">
      <alignment horizontal="left" vertical="center" indent="2"/>
    </xf>
    <xf numFmtId="0" fontId="3" fillId="2" borderId="0" xfId="0" applyFont="1" applyFill="1" applyBorder="1" applyAlignment="1">
      <alignment vertical="center"/>
    </xf>
    <xf numFmtId="37" fontId="2" fillId="2" borderId="0" xfId="0" applyNumberFormat="1" applyFont="1" applyFill="1" applyBorder="1" applyAlignment="1">
      <alignment horizontal="right" vertical="center"/>
    </xf>
    <xf numFmtId="165" fontId="7" fillId="2" borderId="4" xfId="0" applyNumberFormat="1" applyFont="1" applyFill="1" applyBorder="1" applyAlignment="1">
      <alignment horizontal="right" vertical="center"/>
    </xf>
    <xf numFmtId="0" fontId="0" fillId="2" borderId="0" xfId="0" applyFill="1" applyBorder="1" applyAlignment="1">
      <alignment horizontal="left" vertical="center" indent="2"/>
    </xf>
    <xf numFmtId="0" fontId="2" fillId="2" borderId="0" xfId="0" applyFont="1" applyFill="1" applyBorder="1" applyAlignment="1">
      <alignment horizontal="center"/>
    </xf>
  </cellXfs>
  <cellStyles count="10">
    <cellStyle name="1" xfId="9"/>
    <cellStyle name="Comma" xfId="1" builtinId="3"/>
    <cellStyle name="Comma 3" xfId="6"/>
    <cellStyle name="Normal" xfId="0" builtinId="0"/>
    <cellStyle name="Normal 14" xfId="3"/>
    <cellStyle name="Normal 15" xfId="5"/>
    <cellStyle name="Normal 17" xfId="8"/>
    <cellStyle name="Normal 2" xfId="2"/>
    <cellStyle name="Normal 3" xfId="4"/>
    <cellStyle name="Normal 9" xfId="7"/>
  </cellStyles>
  <dxfs count="0"/>
  <tableStyles count="0" defaultTableStyle="TableStyleMedium2" defaultPivotStyle="PivotStyleLight16"/>
  <colors>
    <mruColors>
      <color rgb="FF33CCCC"/>
      <color rgb="FFDAF7F6"/>
      <color rgb="FFC4F2F1"/>
      <color rgb="FF249390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6.10: Number of Inpatient</a:t>
            </a:r>
            <a:r>
              <a:rPr lang="en-US" sz="1200" b="1" baseline="0"/>
              <a:t>s by speciality and sex, 2020</a:t>
            </a:r>
            <a:endParaRPr lang="en-US" sz="1200" b="1"/>
          </a:p>
        </c:rich>
      </c:tx>
      <c:layout>
        <c:manualLayout>
          <c:xMode val="edge"/>
          <c:yMode val="edge"/>
          <c:x val="0.2631987034229456"/>
          <c:y val="1.36402423667001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032913418407597"/>
          <c:y val="9.2378541428477068E-2"/>
          <c:w val="0.73407407118709356"/>
          <c:h val="0.83391943378593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'6.10'!$C$3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'6.10'!$A$5:$A$16</c:f>
              <c:strCache>
                <c:ptCount val="12"/>
                <c:pt idx="0">
                  <c:v>Internal medicine</c:v>
                </c:pt>
                <c:pt idx="1">
                  <c:v>Paediatrics</c:v>
                </c:pt>
                <c:pt idx="2">
                  <c:v>Obstetrics and gynaecology</c:v>
                </c:pt>
                <c:pt idx="3">
                  <c:v>Surgery</c:v>
                </c:pt>
                <c:pt idx="4">
                  <c:v>Cardiology</c:v>
                </c:pt>
                <c:pt idx="5">
                  <c:v>Orthopaedics</c:v>
                </c:pt>
                <c:pt idx="6">
                  <c:v>Pulmonology</c:v>
                </c:pt>
                <c:pt idx="7">
                  <c:v>Neurology</c:v>
                </c:pt>
                <c:pt idx="8">
                  <c:v>Urology</c:v>
                </c:pt>
                <c:pt idx="9">
                  <c:v>Onco surgery</c:v>
                </c:pt>
                <c:pt idx="10">
                  <c:v>Psychiatry</c:v>
                </c:pt>
                <c:pt idx="11">
                  <c:v>Nephrology</c:v>
                </c:pt>
              </c:strCache>
            </c:strRef>
          </c:cat>
          <c:val>
            <c:numRef>
              <c:f>'6.10'!$C$5:$C$16</c:f>
              <c:numCache>
                <c:formatCode>#,##0_);\(#,##0\)</c:formatCode>
                <c:ptCount val="12"/>
                <c:pt idx="0">
                  <c:v>1325</c:v>
                </c:pt>
                <c:pt idx="1">
                  <c:v>1094</c:v>
                </c:pt>
                <c:pt idx="2">
                  <c:v>6</c:v>
                </c:pt>
                <c:pt idx="3">
                  <c:v>668</c:v>
                </c:pt>
                <c:pt idx="4">
                  <c:v>598</c:v>
                </c:pt>
                <c:pt idx="5">
                  <c:v>459</c:v>
                </c:pt>
                <c:pt idx="6">
                  <c:v>254</c:v>
                </c:pt>
                <c:pt idx="7">
                  <c:v>316</c:v>
                </c:pt>
                <c:pt idx="8">
                  <c:v>236</c:v>
                </c:pt>
                <c:pt idx="9">
                  <c:v>111</c:v>
                </c:pt>
                <c:pt idx="10">
                  <c:v>100</c:v>
                </c:pt>
                <c:pt idx="11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7-454B-8320-CEBDB59C567C}"/>
            </c:ext>
          </c:extLst>
        </c:ser>
        <c:ser>
          <c:idx val="1"/>
          <c:order val="1"/>
          <c:tx>
            <c:strRef>
              <c:f>'6.10'!$D$3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'6.10'!$A$5:$A$16</c:f>
              <c:strCache>
                <c:ptCount val="12"/>
                <c:pt idx="0">
                  <c:v>Internal medicine</c:v>
                </c:pt>
                <c:pt idx="1">
                  <c:v>Paediatrics</c:v>
                </c:pt>
                <c:pt idx="2">
                  <c:v>Obstetrics and gynaecology</c:v>
                </c:pt>
                <c:pt idx="3">
                  <c:v>Surgery</c:v>
                </c:pt>
                <c:pt idx="4">
                  <c:v>Cardiology</c:v>
                </c:pt>
                <c:pt idx="5">
                  <c:v>Orthopaedics</c:v>
                </c:pt>
                <c:pt idx="6">
                  <c:v>Pulmonology</c:v>
                </c:pt>
                <c:pt idx="7">
                  <c:v>Neurology</c:v>
                </c:pt>
                <c:pt idx="8">
                  <c:v>Urology</c:v>
                </c:pt>
                <c:pt idx="9">
                  <c:v>Onco surgery</c:v>
                </c:pt>
                <c:pt idx="10">
                  <c:v>Psychiatry</c:v>
                </c:pt>
                <c:pt idx="11">
                  <c:v>Nephrology</c:v>
                </c:pt>
              </c:strCache>
            </c:strRef>
          </c:cat>
          <c:val>
            <c:numRef>
              <c:f>'6.10'!$D$5:$D$16</c:f>
              <c:numCache>
                <c:formatCode>#,##0_);\(#,##0\)</c:formatCode>
                <c:ptCount val="12"/>
                <c:pt idx="0">
                  <c:v>1179</c:v>
                </c:pt>
                <c:pt idx="1">
                  <c:v>957</c:v>
                </c:pt>
                <c:pt idx="2">
                  <c:v>2007</c:v>
                </c:pt>
                <c:pt idx="3">
                  <c:v>357</c:v>
                </c:pt>
                <c:pt idx="4">
                  <c:v>267</c:v>
                </c:pt>
                <c:pt idx="5">
                  <c:v>256</c:v>
                </c:pt>
                <c:pt idx="6">
                  <c:v>343</c:v>
                </c:pt>
                <c:pt idx="7">
                  <c:v>178</c:v>
                </c:pt>
                <c:pt idx="8">
                  <c:v>82</c:v>
                </c:pt>
                <c:pt idx="9">
                  <c:v>193</c:v>
                </c:pt>
                <c:pt idx="10">
                  <c:v>111</c:v>
                </c:pt>
                <c:pt idx="11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D7-454B-8320-CEBDB59C5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3263023"/>
        <c:axId val="1073275919"/>
      </c:barChart>
      <c:catAx>
        <c:axId val="1073263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275919"/>
        <c:crosses val="autoZero"/>
        <c:auto val="1"/>
        <c:lblAlgn val="ctr"/>
        <c:lblOffset val="100"/>
        <c:noMultiLvlLbl val="0"/>
      </c:catAx>
      <c:valAx>
        <c:axId val="1073275919"/>
        <c:scaling>
          <c:orientation val="minMax"/>
          <c:max val="2200"/>
          <c:min val="0"/>
        </c:scaling>
        <c:delete val="0"/>
        <c:axPos val="b"/>
        <c:majorGridlines>
          <c:spPr>
            <a:ln w="9525" cap="flat" cmpd="sng" algn="ctr">
              <a:solidFill>
                <a:srgbClr val="C4F2F1"/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263023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7120243954703731"/>
          <c:y val="0.16496100985051043"/>
          <c:w val="0.16082459092478393"/>
          <c:h val="4.9669221810849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176212</xdr:colOff>
      <xdr:row>29</xdr:row>
      <xdr:rowOff>82550</xdr:rowOff>
    </xdr:from>
    <xdr:to>
      <xdr:col>4</xdr:col>
      <xdr:colOff>133350</xdr:colOff>
      <xdr:row>56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85"/>
  <sheetViews>
    <sheetView tabSelected="1" zoomScaleNormal="100" workbookViewId="0">
      <selection activeCell="M67" sqref="M67"/>
    </sheetView>
  </sheetViews>
  <sheetFormatPr defaultRowHeight="15" x14ac:dyDescent="0.25"/>
  <cols>
    <col min="1" max="1" width="29" style="2" customWidth="1"/>
    <col min="2" max="2" width="14.28515625" style="2" customWidth="1"/>
    <col min="3" max="4" width="15.85546875" style="2" customWidth="1"/>
    <col min="5" max="16384" width="9.140625" style="2"/>
  </cols>
  <sheetData>
    <row r="1" spans="1:5" x14ac:dyDescent="0.25">
      <c r="A1" s="17" t="s">
        <v>30</v>
      </c>
      <c r="B1" s="17"/>
      <c r="C1" s="17"/>
      <c r="D1" s="17"/>
    </row>
    <row r="2" spans="1:5" x14ac:dyDescent="0.25">
      <c r="A2" s="1"/>
      <c r="B2" s="1"/>
      <c r="C2" s="1"/>
      <c r="D2" s="1"/>
    </row>
    <row r="3" spans="1:5" x14ac:dyDescent="0.25">
      <c r="A3" s="8" t="s">
        <v>13</v>
      </c>
      <c r="B3" s="9" t="s">
        <v>0</v>
      </c>
      <c r="C3" s="9" t="s">
        <v>1</v>
      </c>
      <c r="D3" s="9" t="s">
        <v>2</v>
      </c>
    </row>
    <row r="4" spans="1:5" x14ac:dyDescent="0.25">
      <c r="A4" s="13" t="s">
        <v>3</v>
      </c>
      <c r="B4" s="14">
        <f>SUM(B5:B28)</f>
        <v>11626</v>
      </c>
      <c r="C4" s="14">
        <f>SUM(C5:C28)</f>
        <v>5472</v>
      </c>
      <c r="D4" s="14">
        <f>SUM(D5:D28)</f>
        <v>6154</v>
      </c>
      <c r="E4" s="6"/>
    </row>
    <row r="5" spans="1:5" x14ac:dyDescent="0.25">
      <c r="A5" s="11" t="s">
        <v>16</v>
      </c>
      <c r="B5" s="3">
        <f t="shared" ref="B5:B28" si="0">SUM(C5:D5)</f>
        <v>2504</v>
      </c>
      <c r="C5" s="4">
        <v>1325</v>
      </c>
      <c r="D5" s="4">
        <v>1179</v>
      </c>
    </row>
    <row r="6" spans="1:5" x14ac:dyDescent="0.25">
      <c r="A6" s="11" t="s">
        <v>21</v>
      </c>
      <c r="B6" s="3">
        <f t="shared" si="0"/>
        <v>2051</v>
      </c>
      <c r="C6" s="4">
        <v>1094</v>
      </c>
      <c r="D6" s="4">
        <v>957</v>
      </c>
    </row>
    <row r="7" spans="1:5" x14ac:dyDescent="0.25">
      <c r="A7" s="11" t="s">
        <v>17</v>
      </c>
      <c r="B7" s="3">
        <f t="shared" si="0"/>
        <v>2013</v>
      </c>
      <c r="C7" s="4">
        <v>6</v>
      </c>
      <c r="D7" s="4">
        <v>2007</v>
      </c>
    </row>
    <row r="8" spans="1:5" x14ac:dyDescent="0.25">
      <c r="A8" s="11" t="s">
        <v>25</v>
      </c>
      <c r="B8" s="3">
        <f t="shared" si="0"/>
        <v>1025</v>
      </c>
      <c r="C8" s="4">
        <v>668</v>
      </c>
      <c r="D8" s="4">
        <v>357</v>
      </c>
    </row>
    <row r="9" spans="1:5" x14ac:dyDescent="0.25">
      <c r="A9" s="11" t="s">
        <v>6</v>
      </c>
      <c r="B9" s="3">
        <f t="shared" si="0"/>
        <v>865</v>
      </c>
      <c r="C9" s="4">
        <v>598</v>
      </c>
      <c r="D9" s="4">
        <v>267</v>
      </c>
    </row>
    <row r="10" spans="1:5" x14ac:dyDescent="0.25">
      <c r="A10" s="11" t="s">
        <v>20</v>
      </c>
      <c r="B10" s="3">
        <f t="shared" si="0"/>
        <v>715</v>
      </c>
      <c r="C10" s="4">
        <v>459</v>
      </c>
      <c r="D10" s="4">
        <v>256</v>
      </c>
    </row>
    <row r="11" spans="1:5" x14ac:dyDescent="0.25">
      <c r="A11" s="11" t="s">
        <v>9</v>
      </c>
      <c r="B11" s="3">
        <f t="shared" si="0"/>
        <v>597</v>
      </c>
      <c r="C11" s="4">
        <v>254</v>
      </c>
      <c r="D11" s="4">
        <v>343</v>
      </c>
    </row>
    <row r="12" spans="1:5" x14ac:dyDescent="0.25">
      <c r="A12" s="11" t="s">
        <v>10</v>
      </c>
      <c r="B12" s="3">
        <f t="shared" si="0"/>
        <v>494</v>
      </c>
      <c r="C12" s="4">
        <v>316</v>
      </c>
      <c r="D12" s="4">
        <v>178</v>
      </c>
    </row>
    <row r="13" spans="1:5" x14ac:dyDescent="0.25">
      <c r="A13" s="16" t="s">
        <v>8</v>
      </c>
      <c r="B13" s="3">
        <f t="shared" si="0"/>
        <v>318</v>
      </c>
      <c r="C13" s="4">
        <v>236</v>
      </c>
      <c r="D13" s="4">
        <v>82</v>
      </c>
    </row>
    <row r="14" spans="1:5" x14ac:dyDescent="0.25">
      <c r="A14" s="11" t="s">
        <v>18</v>
      </c>
      <c r="B14" s="3">
        <f t="shared" si="0"/>
        <v>304</v>
      </c>
      <c r="C14" s="4">
        <v>111</v>
      </c>
      <c r="D14" s="4">
        <v>193</v>
      </c>
    </row>
    <row r="15" spans="1:5" x14ac:dyDescent="0.25">
      <c r="A15" s="11" t="s">
        <v>23</v>
      </c>
      <c r="B15" s="3">
        <f t="shared" si="0"/>
        <v>211</v>
      </c>
      <c r="C15" s="4">
        <v>100</v>
      </c>
      <c r="D15" s="4">
        <v>111</v>
      </c>
    </row>
    <row r="16" spans="1:5" x14ac:dyDescent="0.25">
      <c r="A16" s="11" t="s">
        <v>11</v>
      </c>
      <c r="B16" s="3">
        <f t="shared" si="0"/>
        <v>140</v>
      </c>
      <c r="C16" s="4">
        <v>62</v>
      </c>
      <c r="D16" s="4">
        <v>78</v>
      </c>
    </row>
    <row r="17" spans="1:4" x14ac:dyDescent="0.25">
      <c r="A17" s="11" t="s">
        <v>14</v>
      </c>
      <c r="B17" s="3">
        <f t="shared" si="0"/>
        <v>99</v>
      </c>
      <c r="C17" s="4">
        <v>57</v>
      </c>
      <c r="D17" s="4">
        <v>42</v>
      </c>
    </row>
    <row r="18" spans="1:4" x14ac:dyDescent="0.25">
      <c r="A18" s="11" t="s">
        <v>28</v>
      </c>
      <c r="B18" s="3">
        <f t="shared" si="0"/>
        <v>77</v>
      </c>
      <c r="C18" s="4">
        <v>37</v>
      </c>
      <c r="D18" s="4">
        <v>40</v>
      </c>
    </row>
    <row r="19" spans="1:4" x14ac:dyDescent="0.25">
      <c r="A19" s="11" t="s">
        <v>27</v>
      </c>
      <c r="B19" s="3">
        <f t="shared" si="0"/>
        <v>67</v>
      </c>
      <c r="C19" s="4">
        <v>51</v>
      </c>
      <c r="D19" s="4">
        <v>16</v>
      </c>
    </row>
    <row r="20" spans="1:4" x14ac:dyDescent="0.25">
      <c r="A20" s="11" t="s">
        <v>7</v>
      </c>
      <c r="B20" s="3">
        <f t="shared" si="0"/>
        <v>56</v>
      </c>
      <c r="C20" s="4">
        <v>34</v>
      </c>
      <c r="D20" s="4">
        <v>22</v>
      </c>
    </row>
    <row r="21" spans="1:4" x14ac:dyDescent="0.25">
      <c r="A21" s="11" t="s">
        <v>22</v>
      </c>
      <c r="B21" s="3">
        <f t="shared" si="0"/>
        <v>42</v>
      </c>
      <c r="C21" s="4">
        <v>31</v>
      </c>
      <c r="D21" s="4">
        <v>11</v>
      </c>
    </row>
    <row r="22" spans="1:4" x14ac:dyDescent="0.25">
      <c r="A22" s="11" t="s">
        <v>19</v>
      </c>
      <c r="B22" s="3">
        <f t="shared" si="0"/>
        <v>33</v>
      </c>
      <c r="C22" s="4">
        <v>26</v>
      </c>
      <c r="D22" s="4">
        <v>7</v>
      </c>
    </row>
    <row r="23" spans="1:4" x14ac:dyDescent="0.25">
      <c r="A23" s="11" t="s">
        <v>15</v>
      </c>
      <c r="B23" s="3">
        <f t="shared" si="0"/>
        <v>6</v>
      </c>
      <c r="C23" s="4">
        <v>2</v>
      </c>
      <c r="D23" s="4">
        <v>4</v>
      </c>
    </row>
    <row r="24" spans="1:4" x14ac:dyDescent="0.25">
      <c r="A24" s="11" t="s">
        <v>24</v>
      </c>
      <c r="B24" s="3">
        <f t="shared" si="0"/>
        <v>6</v>
      </c>
      <c r="C24" s="4">
        <v>3</v>
      </c>
      <c r="D24" s="4">
        <v>3</v>
      </c>
    </row>
    <row r="25" spans="1:4" x14ac:dyDescent="0.25">
      <c r="A25" s="11" t="s">
        <v>32</v>
      </c>
      <c r="B25" s="3">
        <f t="shared" si="0"/>
        <v>2</v>
      </c>
      <c r="C25" s="4">
        <v>2</v>
      </c>
      <c r="D25" s="4">
        <v>0</v>
      </c>
    </row>
    <row r="26" spans="1:4" x14ac:dyDescent="0.25">
      <c r="A26" s="11" t="s">
        <v>31</v>
      </c>
      <c r="B26" s="3">
        <f t="shared" si="0"/>
        <v>1</v>
      </c>
      <c r="C26" s="4">
        <v>0</v>
      </c>
      <c r="D26" s="4">
        <v>1</v>
      </c>
    </row>
    <row r="27" spans="1:4" x14ac:dyDescent="0.25">
      <c r="A27" s="11" t="s">
        <v>12</v>
      </c>
      <c r="B27" s="3">
        <f t="shared" si="0"/>
        <v>0</v>
      </c>
      <c r="C27" s="4">
        <v>0</v>
      </c>
      <c r="D27" s="4">
        <v>0</v>
      </c>
    </row>
    <row r="28" spans="1:4" x14ac:dyDescent="0.25">
      <c r="A28" s="12" t="s">
        <v>29</v>
      </c>
      <c r="B28" s="10">
        <f t="shared" si="0"/>
        <v>0</v>
      </c>
      <c r="C28" s="5">
        <v>0</v>
      </c>
      <c r="D28" s="5">
        <v>0</v>
      </c>
    </row>
    <row r="29" spans="1:4" x14ac:dyDescent="0.25">
      <c r="A29" s="7" t="s">
        <v>5</v>
      </c>
      <c r="D29" s="15" t="s">
        <v>4</v>
      </c>
    </row>
    <row r="59" spans="1:4" x14ac:dyDescent="0.25">
      <c r="A59" s="17" t="s">
        <v>26</v>
      </c>
      <c r="B59" s="17"/>
      <c r="C59" s="17"/>
      <c r="D59" s="17"/>
    </row>
    <row r="60" spans="1:4" x14ac:dyDescent="0.25">
      <c r="A60" s="1"/>
      <c r="B60" s="1"/>
      <c r="C60" s="1"/>
      <c r="D60" s="1"/>
    </row>
    <row r="61" spans="1:4" x14ac:dyDescent="0.25">
      <c r="A61" s="8" t="s">
        <v>13</v>
      </c>
      <c r="B61" s="9" t="s">
        <v>0</v>
      </c>
      <c r="C61" s="9" t="s">
        <v>1</v>
      </c>
      <c r="D61" s="9" t="s">
        <v>2</v>
      </c>
    </row>
    <row r="62" spans="1:4" x14ac:dyDescent="0.25">
      <c r="A62" s="13" t="s">
        <v>3</v>
      </c>
      <c r="B62" s="14">
        <f>SUM(B63:B84)</f>
        <v>15771</v>
      </c>
      <c r="C62" s="14">
        <f>SUM(C63:C84)</f>
        <v>7150</v>
      </c>
      <c r="D62" s="14">
        <f>SUM(D63:D84)</f>
        <v>8621</v>
      </c>
    </row>
    <row r="63" spans="1:4" x14ac:dyDescent="0.25">
      <c r="A63" s="11" t="s">
        <v>21</v>
      </c>
      <c r="B63" s="3">
        <f t="shared" ref="B63:B84" si="1">SUM(C63:D63)</f>
        <v>4119</v>
      </c>
      <c r="C63" s="4">
        <v>2173</v>
      </c>
      <c r="D63" s="4">
        <v>1946</v>
      </c>
    </row>
    <row r="64" spans="1:4" x14ac:dyDescent="0.25">
      <c r="A64" s="11" t="s">
        <v>17</v>
      </c>
      <c r="B64" s="3">
        <f t="shared" si="1"/>
        <v>3330</v>
      </c>
      <c r="C64" s="4">
        <v>2</v>
      </c>
      <c r="D64" s="4">
        <v>3328</v>
      </c>
    </row>
    <row r="65" spans="1:4" x14ac:dyDescent="0.25">
      <c r="A65" s="11" t="s">
        <v>25</v>
      </c>
      <c r="B65" s="3">
        <f t="shared" si="1"/>
        <v>1879</v>
      </c>
      <c r="C65" s="4">
        <v>1312</v>
      </c>
      <c r="D65" s="4">
        <v>567</v>
      </c>
    </row>
    <row r="66" spans="1:4" x14ac:dyDescent="0.25">
      <c r="A66" s="11" t="s">
        <v>16</v>
      </c>
      <c r="B66" s="3">
        <f t="shared" si="1"/>
        <v>1805</v>
      </c>
      <c r="C66" s="4">
        <v>991</v>
      </c>
      <c r="D66" s="4">
        <v>814</v>
      </c>
    </row>
    <row r="67" spans="1:4" x14ac:dyDescent="0.25">
      <c r="A67" s="11" t="s">
        <v>20</v>
      </c>
      <c r="B67" s="3">
        <f t="shared" si="1"/>
        <v>1073</v>
      </c>
      <c r="C67" s="4">
        <v>658</v>
      </c>
      <c r="D67" s="4">
        <v>415</v>
      </c>
    </row>
    <row r="68" spans="1:4" x14ac:dyDescent="0.25">
      <c r="A68" s="11" t="s">
        <v>9</v>
      </c>
      <c r="B68" s="3">
        <f t="shared" si="1"/>
        <v>906</v>
      </c>
      <c r="C68" s="4">
        <v>394</v>
      </c>
      <c r="D68" s="4">
        <v>512</v>
      </c>
    </row>
    <row r="69" spans="1:4" x14ac:dyDescent="0.25">
      <c r="A69" s="11" t="s">
        <v>6</v>
      </c>
      <c r="B69" s="3">
        <f t="shared" si="1"/>
        <v>718</v>
      </c>
      <c r="C69" s="4">
        <v>538</v>
      </c>
      <c r="D69" s="4">
        <v>180</v>
      </c>
    </row>
    <row r="70" spans="1:4" x14ac:dyDescent="0.25">
      <c r="A70" s="11" t="s">
        <v>10</v>
      </c>
      <c r="B70" s="3">
        <f t="shared" si="1"/>
        <v>406</v>
      </c>
      <c r="C70" s="4">
        <v>254</v>
      </c>
      <c r="D70" s="4">
        <v>152</v>
      </c>
    </row>
    <row r="71" spans="1:4" x14ac:dyDescent="0.25">
      <c r="A71" s="11" t="s">
        <v>14</v>
      </c>
      <c r="B71" s="3">
        <f t="shared" si="1"/>
        <v>281</v>
      </c>
      <c r="C71" s="4">
        <v>133</v>
      </c>
      <c r="D71" s="4">
        <v>148</v>
      </c>
    </row>
    <row r="72" spans="1:4" x14ac:dyDescent="0.25">
      <c r="A72" s="16" t="s">
        <v>8</v>
      </c>
      <c r="B72" s="3">
        <f t="shared" si="1"/>
        <v>280</v>
      </c>
      <c r="C72" s="4">
        <v>194</v>
      </c>
      <c r="D72" s="4">
        <v>86</v>
      </c>
    </row>
    <row r="73" spans="1:4" x14ac:dyDescent="0.25">
      <c r="A73" s="11" t="s">
        <v>18</v>
      </c>
      <c r="B73" s="3">
        <f t="shared" si="1"/>
        <v>265</v>
      </c>
      <c r="C73" s="4">
        <v>94</v>
      </c>
      <c r="D73" s="4">
        <v>171</v>
      </c>
    </row>
    <row r="74" spans="1:4" x14ac:dyDescent="0.25">
      <c r="A74" s="11" t="s">
        <v>23</v>
      </c>
      <c r="B74" s="3">
        <f t="shared" si="1"/>
        <v>252</v>
      </c>
      <c r="C74" s="4">
        <v>136</v>
      </c>
      <c r="D74" s="4">
        <v>116</v>
      </c>
    </row>
    <row r="75" spans="1:4" x14ac:dyDescent="0.25">
      <c r="A75" s="11" t="s">
        <v>11</v>
      </c>
      <c r="B75" s="3">
        <f t="shared" si="1"/>
        <v>181</v>
      </c>
      <c r="C75" s="4">
        <v>90</v>
      </c>
      <c r="D75" s="4">
        <v>91</v>
      </c>
    </row>
    <row r="76" spans="1:4" x14ac:dyDescent="0.25">
      <c r="A76" s="11" t="s">
        <v>19</v>
      </c>
      <c r="B76" s="3">
        <f t="shared" si="1"/>
        <v>64</v>
      </c>
      <c r="C76" s="4">
        <v>36</v>
      </c>
      <c r="D76" s="4">
        <v>28</v>
      </c>
    </row>
    <row r="77" spans="1:4" x14ac:dyDescent="0.25">
      <c r="A77" s="11" t="s">
        <v>22</v>
      </c>
      <c r="B77" s="3">
        <f t="shared" si="1"/>
        <v>60</v>
      </c>
      <c r="C77" s="4">
        <v>49</v>
      </c>
      <c r="D77" s="4">
        <v>11</v>
      </c>
    </row>
    <row r="78" spans="1:4" x14ac:dyDescent="0.25">
      <c r="A78" s="11" t="s">
        <v>27</v>
      </c>
      <c r="B78" s="3">
        <f t="shared" si="1"/>
        <v>57</v>
      </c>
      <c r="C78" s="4">
        <v>37</v>
      </c>
      <c r="D78" s="4">
        <v>20</v>
      </c>
    </row>
    <row r="79" spans="1:4" x14ac:dyDescent="0.25">
      <c r="A79" s="11" t="s">
        <v>7</v>
      </c>
      <c r="B79" s="3">
        <f t="shared" si="1"/>
        <v>52</v>
      </c>
      <c r="C79" s="4">
        <v>37</v>
      </c>
      <c r="D79" s="4">
        <v>15</v>
      </c>
    </row>
    <row r="80" spans="1:4" x14ac:dyDescent="0.25">
      <c r="A80" s="11" t="s">
        <v>15</v>
      </c>
      <c r="B80" s="3">
        <f t="shared" si="1"/>
        <v>20</v>
      </c>
      <c r="C80" s="4">
        <v>11</v>
      </c>
      <c r="D80" s="4">
        <v>9</v>
      </c>
    </row>
    <row r="81" spans="1:4" x14ac:dyDescent="0.25">
      <c r="A81" s="11" t="s">
        <v>12</v>
      </c>
      <c r="B81" s="3">
        <f t="shared" si="1"/>
        <v>10</v>
      </c>
      <c r="C81" s="4">
        <v>3</v>
      </c>
      <c r="D81" s="4">
        <v>7</v>
      </c>
    </row>
    <row r="82" spans="1:4" x14ac:dyDescent="0.25">
      <c r="A82" s="11" t="s">
        <v>28</v>
      </c>
      <c r="B82" s="3">
        <f t="shared" si="1"/>
        <v>9</v>
      </c>
      <c r="C82" s="4">
        <v>5</v>
      </c>
      <c r="D82" s="4">
        <v>4</v>
      </c>
    </row>
    <row r="83" spans="1:4" x14ac:dyDescent="0.25">
      <c r="A83" s="11" t="s">
        <v>24</v>
      </c>
      <c r="B83" s="3">
        <f t="shared" si="1"/>
        <v>3</v>
      </c>
      <c r="C83" s="4">
        <v>2</v>
      </c>
      <c r="D83" s="4">
        <v>1</v>
      </c>
    </row>
    <row r="84" spans="1:4" x14ac:dyDescent="0.25">
      <c r="A84" s="12" t="s">
        <v>29</v>
      </c>
      <c r="B84" s="10">
        <f t="shared" si="1"/>
        <v>1</v>
      </c>
      <c r="C84" s="5">
        <v>1</v>
      </c>
      <c r="D84" s="5">
        <v>0</v>
      </c>
    </row>
    <row r="85" spans="1:4" x14ac:dyDescent="0.25">
      <c r="A85" s="7" t="s">
        <v>5</v>
      </c>
      <c r="D85" s="15" t="s">
        <v>4</v>
      </c>
    </row>
  </sheetData>
  <sortState ref="A38:D59">
    <sortCondition descending="1" ref="B38:B59"/>
  </sortState>
  <mergeCells count="2">
    <mergeCell ref="A1:D1"/>
    <mergeCell ref="A59:D59"/>
  </mergeCells>
  <pageMargins left="0.7" right="0.7" top="0.75" bottom="0.75" header="0.3" footer="0.3"/>
  <pageSetup scale="82" orientation="portrait" r:id="rId1"/>
  <rowBreaks count="1" manualBreakCount="1">
    <brk id="5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6.10</vt:lpstr>
      <vt:lpstr>'6.10'!Print_Area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2021-10-03T03:32:14Z</cp:lastPrinted>
  <dcterms:created xsi:type="dcterms:W3CDTF">2019-08-06T05:35:20Z</dcterms:created>
  <dcterms:modified xsi:type="dcterms:W3CDTF">2021-10-03T03:35:50Z</dcterms:modified>
</cp:coreProperties>
</file>