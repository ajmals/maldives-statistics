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.2" sheetId="1" r:id="rId4"/>
  </sheets>
  <definedNames/>
  <calcPr/>
  <extLst>
    <ext uri="GoogleSheetsCustomDataVersion1">
      <go:sheetsCustomData xmlns:go="http://customooxmlschemas.google.com/" r:id="rId5" roundtripDataSignature="AMtx7mj4jc+8mY1bSJV5r44+0zAqJTmPCQ=="/>
    </ext>
  </extLst>
</workbook>
</file>

<file path=xl/sharedStrings.xml><?xml version="1.0" encoding="utf-8"?>
<sst xmlns="http://schemas.openxmlformats.org/spreadsheetml/2006/main" count="68" uniqueCount="39">
  <si>
    <t>ތާވަލު 20.2: އިންތިޚާބުތަކަށް ހިނގި ޚަރަދު، 2008 - 2019</t>
  </si>
  <si>
    <t>million Rf</t>
  </si>
  <si>
    <t>TABLE 20.2: EXPENDITURE ON ELECTIONS, 2008 - 2019</t>
  </si>
  <si>
    <t>Presidential election, 2008</t>
  </si>
  <si>
    <t>Parliamentary election,2009</t>
  </si>
  <si>
    <t>Election</t>
  </si>
  <si>
    <t>Year</t>
  </si>
  <si>
    <t>Expenditure (MVR)</t>
  </si>
  <si>
    <t>އިންތިހާބުތައް</t>
  </si>
  <si>
    <t>Local Council elections ,2011</t>
  </si>
  <si>
    <t>އަހަރު</t>
  </si>
  <si>
    <t>ހިނގި ޚަރަދު (ރުފިޔާ)</t>
  </si>
  <si>
    <t>Presidential election, 2013</t>
  </si>
  <si>
    <t>Presidential election</t>
  </si>
  <si>
    <t>ރިޔާސީ އިންތިހާބު</t>
  </si>
  <si>
    <t xml:space="preserve">Local Council elections, 2014 </t>
  </si>
  <si>
    <t>Parliamentary election</t>
  </si>
  <si>
    <t>ރައްޔިތުންގެ މަޖިލީހުގެ އިންތިހާބު</t>
  </si>
  <si>
    <t>Parliamentary election,2014</t>
  </si>
  <si>
    <t xml:space="preserve">Local Council elections </t>
  </si>
  <si>
    <t>ލޯކަލް ކައުންސިލް އިންތިހާބު</t>
  </si>
  <si>
    <t>Local Council elections 2017</t>
  </si>
  <si>
    <t>Presidential election, 2018</t>
  </si>
  <si>
    <t>Parliamentary election,2019</t>
  </si>
  <si>
    <t>Note:  Presidential Election &amp; Parlament Election is held every 5 years. Local Council election is held every 3 years. Hence, there were no elections in 2010, 2012, 2015 &amp;  2016.</t>
  </si>
  <si>
    <t>Source: Elections Commission</t>
  </si>
  <si>
    <t xml:space="preserve">މަޢުލޫމާތު ދެއްވި ފަރާތް: އިލެކްޝަންސް ކޮމިޝަން </t>
  </si>
  <si>
    <t>Rf</t>
  </si>
  <si>
    <t>No election in 2010</t>
  </si>
  <si>
    <t>No election in 2012</t>
  </si>
  <si>
    <t>No election in 2015</t>
  </si>
  <si>
    <t>No election in 2016</t>
  </si>
  <si>
    <t>male</t>
  </si>
  <si>
    <t>Female</t>
  </si>
  <si>
    <t>773000001855477300000185547730000018554</t>
  </si>
  <si>
    <t>Local Council elections</t>
  </si>
  <si>
    <t>kk</t>
  </si>
  <si>
    <t>kkk</t>
  </si>
  <si>
    <t>iko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</si>
</sst>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_);_(* \(#,##0.0\);_(* &quot;-&quot;??_);_(@_)"/>
    <numFmt numFmtId="165" formatCode="0.0"/>
    <numFmt numFmtId="166" formatCode="_(* #,##0_);_(* \(#,##0\);_(* &quot;-&quot;??_);_(@_)"/>
    <numFmt numFmtId="167" formatCode="_(* #,##0.00_);_(* \(#,##0.00\);_(* &quot;-&quot;??_);_(@_)"/>
  </numFmts>
  <fonts count="13">
    <font>
      <sz val="11.0"/>
      <color theme="1"/>
      <name val="Calibri"/>
      <scheme val="minor"/>
    </font>
    <font>
      <b/>
      <sz val="11.0"/>
      <color theme="1"/>
      <name val="Faruma"/>
    </font>
    <font/>
    <font>
      <sz val="11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10.0"/>
      <color theme="1"/>
      <name val="Faruma"/>
    </font>
    <font>
      <sz val="10.0"/>
      <color theme="1"/>
      <name val="Calibri"/>
    </font>
    <font>
      <sz val="10.0"/>
      <color theme="1"/>
      <name val="Faruma"/>
    </font>
    <font>
      <i/>
      <sz val="8.0"/>
      <color theme="1"/>
      <name val="Calibri"/>
    </font>
    <font>
      <sz val="8.0"/>
      <color theme="1"/>
      <name val="Calibri"/>
    </font>
    <font>
      <sz val="8.0"/>
      <color theme="1"/>
      <name val="Faruma"/>
    </font>
    <font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 style="thin">
        <color rgb="FF000000"/>
      </top>
    </border>
    <border>
      <left/>
      <right/>
      <top style="thin">
        <color rgb="FF000000"/>
      </top>
      <bottom style="hair">
        <color theme="1"/>
      </bottom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1" fillId="2" fontId="4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left" vertical="center"/>
    </xf>
    <xf borderId="6" fillId="2" fontId="5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right" vertical="center"/>
    </xf>
    <xf borderId="5" fillId="2" fontId="6" numFmtId="0" xfId="0" applyAlignment="1" applyBorder="1" applyFont="1">
      <alignment horizontal="right" readingOrder="0" vertical="center"/>
    </xf>
    <xf borderId="7" fillId="0" fontId="2" numFmtId="0" xfId="0" applyBorder="1" applyFont="1"/>
    <xf borderId="8" fillId="2" fontId="6" numFmtId="0" xfId="0" applyAlignment="1" applyBorder="1" applyFont="1">
      <alignment horizontal="center" readingOrder="0" vertical="center"/>
    </xf>
    <xf borderId="8" fillId="2" fontId="6" numFmtId="0" xfId="0" applyAlignment="1" applyBorder="1" applyFont="1">
      <alignment horizontal="right" readingOrder="0" vertical="center"/>
    </xf>
    <xf borderId="4" fillId="2" fontId="7" numFmtId="0" xfId="0" applyBorder="1" applyFont="1"/>
    <xf borderId="4" fillId="2" fontId="7" numFmtId="0" xfId="0" applyAlignment="1" applyBorder="1" applyFont="1">
      <alignment horizontal="center" vertical="center"/>
    </xf>
    <xf borderId="0" fillId="0" fontId="7" numFmtId="164" xfId="0" applyAlignment="1" applyFont="1" applyNumberFormat="1">
      <alignment horizontal="right" vertical="center"/>
    </xf>
    <xf borderId="4" fillId="2" fontId="8" numFmtId="0" xfId="0" applyAlignment="1" applyBorder="1" applyFont="1">
      <alignment readingOrder="0"/>
    </xf>
    <xf borderId="4" fillId="2" fontId="7" numFmtId="164" xfId="0" applyAlignment="1" applyBorder="1" applyFont="1" applyNumberFormat="1">
      <alignment horizontal="right" vertical="center"/>
    </xf>
    <xf borderId="4" fillId="2" fontId="3" numFmtId="165" xfId="0" applyBorder="1" applyFont="1" applyNumberFormat="1"/>
    <xf borderId="8" fillId="2" fontId="7" numFmtId="0" xfId="0" applyBorder="1" applyFont="1"/>
    <xf borderId="8" fillId="2" fontId="7" numFmtId="164" xfId="0" applyAlignment="1" applyBorder="1" applyFont="1" applyNumberFormat="1">
      <alignment horizontal="right" vertical="center"/>
    </xf>
    <xf borderId="9" fillId="2" fontId="9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11" fillId="0" fontId="2" numFmtId="0" xfId="0" applyBorder="1" applyFont="1"/>
    <xf borderId="4" fillId="2" fontId="9" numFmtId="0" xfId="0" applyAlignment="1" applyBorder="1" applyFont="1">
      <alignment horizontal="left" vertical="center"/>
    </xf>
    <xf borderId="4" fillId="2" fontId="10" numFmtId="0" xfId="0" applyAlignment="1" applyBorder="1" applyFont="1">
      <alignment vertical="center"/>
    </xf>
    <xf borderId="4" fillId="2" fontId="11" numFmtId="0" xfId="0" applyAlignment="1" applyBorder="1" applyFont="1">
      <alignment readingOrder="0" vertical="center"/>
    </xf>
    <xf borderId="4" fillId="2" fontId="12" numFmtId="0" xfId="0" applyAlignment="1" applyBorder="1" applyFont="1">
      <alignment vertical="center"/>
    </xf>
    <xf borderId="4" fillId="2" fontId="3" numFmtId="166" xfId="0" applyBorder="1" applyFont="1" applyNumberFormat="1"/>
    <xf borderId="8" fillId="2" fontId="3" numFmtId="0" xfId="0" applyBorder="1" applyFont="1"/>
    <xf borderId="4" fillId="2" fontId="3" numFmtId="167" xfId="0" applyBorder="1" applyFont="1" applyNumberFormat="1"/>
    <xf borderId="0" fillId="0" fontId="3" numFmtId="3" xfId="0" applyFont="1" applyNumberFormat="1"/>
    <xf borderId="4" fillId="2" fontId="3" numFmtId="164" xfId="0" applyBorder="1" applyFont="1" applyNumberFormat="1"/>
    <xf borderId="4" fillId="2" fontId="3" numFmtId="0" xfId="0" applyAlignment="1" applyBorder="1" applyFont="1">
      <alignment readingOrder="0"/>
    </xf>
    <xf borderId="1" fillId="2" fontId="3" numFmtId="0" xfId="0" applyAlignment="1" applyBorder="1" applyFont="1">
      <alignment horizontal="center"/>
    </xf>
    <xf borderId="4" fillId="2" fontId="10" numFmtId="0" xfId="0" applyAlignment="1" applyBorder="1" applyFont="1">
      <alignment shrinkToFit="0" wrapText="1"/>
    </xf>
    <xf borderId="8" fillId="2" fontId="10" numFmtId="0" xfId="0" applyAlignment="1" applyBorder="1" applyFont="1">
      <alignment shrinkToFit="0" wrapText="1"/>
    </xf>
    <xf borderId="4" fillId="2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andara"/>
              </a:defRPr>
            </a:pPr>
            <a:r>
              <a:rPr b="1" i="0">
                <a:solidFill>
                  <a:srgbClr val="757575"/>
                </a:solidFill>
                <a:latin typeface="Candara"/>
              </a:rPr>
              <a:t>Figure 20.2: Expenditure on elections during 2008 - 2019</a:t>
            </a:r>
          </a:p>
        </c:rich>
      </c:tx>
      <c:layout>
        <c:manualLayout>
          <c:xMode val="edge"/>
          <c:yMode val="edge"/>
          <c:x val="0.21345287760457876"/>
          <c:y val="0.02250551522170184"/>
        </c:manualLayout>
      </c:layout>
      <c:overlay val="0"/>
    </c:title>
    <c:plotArea>
      <c:layout>
        <c:manualLayout>
          <c:xMode val="edge"/>
          <c:yMode val="edge"/>
          <c:x val="0.09379952454897193"/>
          <c:y val="0.12767873891723366"/>
          <c:w val="0.8790445439957478"/>
          <c:h val="0.7350209989256363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A7FF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7FFFF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CC6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A29E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A7FFFF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00A29E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FCC66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00A29E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A7FFFF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FCC6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'20.2'!$AO$2:$AO$10</c:f>
            </c:strRef>
          </c:cat>
          <c:val>
            <c:numRef>
              <c:f>'20.2'!$AP$2:$AP$10</c:f>
              <c:numCache/>
            </c:numRef>
          </c:val>
        </c:ser>
        <c:overlap val="100"/>
        <c:axId val="482004731"/>
        <c:axId val="311413021"/>
      </c:barChart>
      <c:catAx>
        <c:axId val="482004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 rot="0"/>
          <a:lstStyle/>
          <a:p>
            <a:pPr lvl="0">
              <a:defRPr b="1" i="0" sz="800">
                <a:solidFill>
                  <a:srgbClr val="000000"/>
                </a:solidFill>
                <a:latin typeface="+mn-lt"/>
              </a:defRPr>
            </a:pPr>
          </a:p>
        </c:txPr>
        <c:crossAx val="311413021"/>
      </c:catAx>
      <c:valAx>
        <c:axId val="311413021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In  million  MVR</a:t>
                </a:r>
              </a:p>
            </c:rich>
          </c:tx>
          <c:layout>
            <c:manualLayout>
              <c:xMode val="edge"/>
              <c:yMode val="edge"/>
              <c:x val="4.903231720806709E-4"/>
              <c:y val="0.34262960189633707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200473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16</xdr:row>
      <xdr:rowOff>171450</xdr:rowOff>
    </xdr:from>
    <xdr:ext cx="6419850" cy="3390900"/>
    <xdr:graphicFrame>
      <xdr:nvGraphicFramePr>
        <xdr:cNvPr id="91291682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3.29"/>
    <col customWidth="1" min="3" max="3" width="19.14"/>
    <col customWidth="1" min="4" max="4" width="25.43"/>
    <col customWidth="1" min="5" max="5" width="3.0"/>
    <col customWidth="1" min="6" max="10" width="3.57"/>
    <col customWidth="1" min="11" max="29" width="14.71"/>
    <col customWidth="1" min="30" max="32" width="5.43"/>
    <col customWidth="1" min="33" max="39" width="3.57"/>
    <col customWidth="1" min="40" max="40" width="8.0"/>
    <col customWidth="1" min="41" max="41" width="16.14"/>
    <col customWidth="1" min="42" max="42" width="11.14"/>
    <col customWidth="1" min="43" max="43" width="12.86"/>
    <col customWidth="1" min="44" max="48" width="8.0"/>
    <col customWidth="1" min="49" max="49" width="9.14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 t="s">
        <v>1</v>
      </c>
      <c r="AQ1" s="4"/>
      <c r="AR1" s="4"/>
      <c r="AS1" s="4"/>
      <c r="AT1" s="4"/>
      <c r="AU1" s="4"/>
      <c r="AV1" s="4"/>
      <c r="AW1" s="4"/>
    </row>
    <row r="2">
      <c r="A2" s="5" t="s">
        <v>2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 t="s">
        <v>3</v>
      </c>
      <c r="AP2" s="4">
        <v>61.59948475</v>
      </c>
      <c r="AQ2" s="4"/>
      <c r="AR2" s="4"/>
      <c r="AS2" s="4"/>
      <c r="AT2" s="4"/>
      <c r="AU2" s="4"/>
      <c r="AV2" s="4"/>
      <c r="AW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 t="s">
        <v>4</v>
      </c>
      <c r="AP3" s="4">
        <v>22.06917683</v>
      </c>
      <c r="AQ3" s="4"/>
      <c r="AR3" s="4"/>
      <c r="AS3" s="4"/>
      <c r="AT3" s="4"/>
      <c r="AU3" s="4"/>
      <c r="AV3" s="4"/>
      <c r="AW3" s="4"/>
    </row>
    <row r="4">
      <c r="A4" s="6" t="s">
        <v>5</v>
      </c>
      <c r="B4" s="7" t="s">
        <v>6</v>
      </c>
      <c r="C4" s="8" t="s">
        <v>7</v>
      </c>
      <c r="D4" s="9" t="s">
        <v>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 t="s">
        <v>9</v>
      </c>
      <c r="AP4" s="4">
        <v>45.43417403</v>
      </c>
      <c r="AQ4" s="4"/>
      <c r="AR4" s="4"/>
      <c r="AS4" s="4"/>
      <c r="AT4" s="4"/>
      <c r="AU4" s="4"/>
      <c r="AV4" s="4"/>
      <c r="AW4" s="4"/>
    </row>
    <row r="5">
      <c r="A5" s="10"/>
      <c r="B5" s="11" t="s">
        <v>10</v>
      </c>
      <c r="C5" s="12" t="s">
        <v>11</v>
      </c>
      <c r="D5" s="10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 t="s">
        <v>12</v>
      </c>
      <c r="AP5" s="4">
        <v>76.487272</v>
      </c>
      <c r="AQ5" s="4"/>
      <c r="AR5" s="4"/>
      <c r="AS5" s="4"/>
      <c r="AT5" s="4"/>
      <c r="AU5" s="4"/>
      <c r="AV5" s="4"/>
      <c r="AW5" s="4"/>
    </row>
    <row r="6">
      <c r="A6" s="13" t="s">
        <v>13</v>
      </c>
      <c r="B6" s="14">
        <v>2008.0</v>
      </c>
      <c r="C6" s="15">
        <v>6.159948475E7</v>
      </c>
      <c r="D6" s="16" t="s">
        <v>14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 t="s">
        <v>15</v>
      </c>
      <c r="AP6" s="4">
        <v>29.704529</v>
      </c>
      <c r="AQ6" s="4"/>
      <c r="AR6" s="4"/>
      <c r="AS6" s="4"/>
      <c r="AT6" s="4"/>
      <c r="AU6" s="4"/>
      <c r="AV6" s="4"/>
      <c r="AW6" s="4"/>
    </row>
    <row r="7">
      <c r="A7" s="13" t="s">
        <v>16</v>
      </c>
      <c r="B7" s="14">
        <v>2009.0</v>
      </c>
      <c r="C7" s="17">
        <v>2.206917683E7</v>
      </c>
      <c r="D7" s="16" t="s">
        <v>17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 t="s">
        <v>18</v>
      </c>
      <c r="AP7" s="4">
        <v>25.929972</v>
      </c>
      <c r="AQ7" s="4"/>
      <c r="AR7" s="4"/>
      <c r="AS7" s="4"/>
      <c r="AT7" s="4"/>
      <c r="AU7" s="4"/>
      <c r="AV7" s="4"/>
      <c r="AW7" s="4"/>
    </row>
    <row r="8">
      <c r="A8" s="13" t="s">
        <v>19</v>
      </c>
      <c r="B8" s="14">
        <v>2011.0</v>
      </c>
      <c r="C8" s="17">
        <v>4.484012975E7</v>
      </c>
      <c r="D8" s="16" t="s">
        <v>20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 t="s">
        <v>21</v>
      </c>
      <c r="AP8" s="4">
        <v>46.220447</v>
      </c>
      <c r="AQ8" s="4"/>
      <c r="AR8" s="4"/>
      <c r="AS8" s="4"/>
      <c r="AT8" s="4"/>
      <c r="AU8" s="4"/>
      <c r="AV8" s="4"/>
      <c r="AW8" s="4"/>
    </row>
    <row r="9">
      <c r="A9" s="13" t="s">
        <v>13</v>
      </c>
      <c r="B9" s="14">
        <v>2013.0</v>
      </c>
      <c r="C9" s="17">
        <v>2.5123505E7</v>
      </c>
      <c r="D9" s="16" t="s">
        <v>14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 t="s">
        <v>22</v>
      </c>
      <c r="AP9" s="18">
        <v>65.829595</v>
      </c>
      <c r="AQ9" s="4"/>
      <c r="AR9" s="4"/>
      <c r="AS9" s="4"/>
      <c r="AT9" s="4"/>
      <c r="AU9" s="4"/>
      <c r="AV9" s="4"/>
      <c r="AW9" s="4"/>
    </row>
    <row r="10">
      <c r="A10" s="13" t="s">
        <v>19</v>
      </c>
      <c r="B10" s="14">
        <v>2014.0</v>
      </c>
      <c r="C10" s="17">
        <v>2.9564148E7</v>
      </c>
      <c r="D10" s="16" t="s">
        <v>20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19" t="s">
        <v>23</v>
      </c>
      <c r="AP10" s="18">
        <v>45.440227</v>
      </c>
      <c r="AQ10" s="4"/>
      <c r="AR10" s="4"/>
      <c r="AS10" s="4"/>
      <c r="AT10" s="4"/>
      <c r="AU10" s="4"/>
      <c r="AV10" s="4"/>
      <c r="AW10" s="4"/>
    </row>
    <row r="11">
      <c r="A11" s="13" t="s">
        <v>16</v>
      </c>
      <c r="B11" s="14">
        <v>2014.0</v>
      </c>
      <c r="C11" s="17">
        <v>2.5929972E7</v>
      </c>
      <c r="D11" s="16" t="s">
        <v>17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>
      <c r="A12" s="13" t="s">
        <v>19</v>
      </c>
      <c r="B12" s="14">
        <v>2017.0</v>
      </c>
      <c r="C12" s="15">
        <v>4.6220447E7</v>
      </c>
      <c r="D12" s="16" t="s">
        <v>20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>
      <c r="A13" s="13" t="s">
        <v>13</v>
      </c>
      <c r="B13" s="14">
        <v>2018.0</v>
      </c>
      <c r="C13" s="17">
        <v>6.5829595E7</v>
      </c>
      <c r="D13" s="16" t="s">
        <v>14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>
      <c r="A14" s="13" t="s">
        <v>16</v>
      </c>
      <c r="B14" s="14">
        <v>2019.0</v>
      </c>
      <c r="C14" s="20">
        <v>4.5440227E7</v>
      </c>
      <c r="D14" s="16" t="s">
        <v>17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ht="21.75" customHeight="1">
      <c r="A15" s="21" t="s">
        <v>24</v>
      </c>
      <c r="B15" s="22"/>
      <c r="C15" s="22"/>
      <c r="D15" s="2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>
      <c r="A16" s="24" t="s">
        <v>25</v>
      </c>
      <c r="B16" s="25"/>
      <c r="C16" s="25"/>
      <c r="D16" s="26" t="s">
        <v>26</v>
      </c>
      <c r="E16" s="27"/>
      <c r="F16" s="27"/>
      <c r="G16" s="27"/>
      <c r="H16" s="27"/>
      <c r="I16" s="27"/>
      <c r="J16" s="27"/>
      <c r="K16" s="27"/>
      <c r="L16" s="4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 t="s">
        <v>1</v>
      </c>
      <c r="AQ17" s="4" t="s">
        <v>27</v>
      </c>
      <c r="AR17" s="4"/>
      <c r="AS17" s="4"/>
      <c r="AT17" s="4"/>
      <c r="AU17" s="4"/>
      <c r="AV17" s="4"/>
      <c r="AW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 t="s">
        <v>3</v>
      </c>
      <c r="AP18" s="18">
        <f t="shared" ref="AP18:AP30" si="1">AQ18/1000000</f>
        <v>61.59948475</v>
      </c>
      <c r="AQ18" s="28">
        <f t="shared" ref="AQ18:AQ19" si="2">C6</f>
        <v>61599484.75</v>
      </c>
      <c r="AR18" s="4"/>
      <c r="AS18" s="4"/>
      <c r="AT18" s="4"/>
      <c r="AU18" s="4"/>
      <c r="AV18" s="4"/>
      <c r="AW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27"/>
      <c r="AO19" s="4" t="s">
        <v>4</v>
      </c>
      <c r="AP19" s="18">
        <f t="shared" si="1"/>
        <v>22.06917683</v>
      </c>
      <c r="AQ19" s="28">
        <f t="shared" si="2"/>
        <v>22069176.83</v>
      </c>
      <c r="AR19" s="4"/>
      <c r="AS19" s="4"/>
      <c r="AT19" s="4"/>
      <c r="AU19" s="4"/>
      <c r="AV19" s="4"/>
      <c r="AW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 t="s">
        <v>28</v>
      </c>
      <c r="AP20" s="18">
        <f t="shared" si="1"/>
        <v>0</v>
      </c>
      <c r="AQ20" s="4"/>
      <c r="AR20" s="4"/>
      <c r="AS20" s="4"/>
      <c r="AT20" s="4"/>
      <c r="AU20" s="4"/>
      <c r="AV20" s="4"/>
      <c r="AW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29" t="s">
        <v>9</v>
      </c>
      <c r="AP21" s="18">
        <f t="shared" si="1"/>
        <v>44.84012975</v>
      </c>
      <c r="AQ21" s="28">
        <f>C8</f>
        <v>44840129.75</v>
      </c>
      <c r="AR21" s="4"/>
      <c r="AS21" s="4"/>
      <c r="AT21" s="4"/>
      <c r="AU21" s="4"/>
      <c r="AV21" s="4"/>
      <c r="AW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 t="s">
        <v>29</v>
      </c>
      <c r="AP22" s="18">
        <f t="shared" si="1"/>
        <v>0</v>
      </c>
      <c r="AQ22" s="4"/>
      <c r="AR22" s="4"/>
      <c r="AS22" s="4"/>
      <c r="AT22" s="4"/>
      <c r="AU22" s="4"/>
      <c r="AV22" s="4"/>
      <c r="AW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 t="s">
        <v>12</v>
      </c>
      <c r="AP23" s="18">
        <f t="shared" si="1"/>
        <v>25.123505</v>
      </c>
      <c r="AQ23" s="30">
        <f t="shared" ref="AQ23:AQ25" si="3">C9</f>
        <v>25123505</v>
      </c>
      <c r="AR23" s="4"/>
      <c r="AS23" s="4"/>
      <c r="AT23" s="4"/>
      <c r="AU23" s="4"/>
      <c r="AV23" s="4"/>
      <c r="AW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13" t="s">
        <v>15</v>
      </c>
      <c r="AP24" s="18">
        <f t="shared" si="1"/>
        <v>29.564148</v>
      </c>
      <c r="AQ24" s="30">
        <f t="shared" si="3"/>
        <v>29564148</v>
      </c>
      <c r="AR24" s="4"/>
      <c r="AS24" s="4"/>
      <c r="AT24" s="4"/>
      <c r="AU24" s="4"/>
      <c r="AV24" s="4"/>
      <c r="AW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31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19" t="s">
        <v>18</v>
      </c>
      <c r="AP25" s="18">
        <f t="shared" si="1"/>
        <v>25.929972</v>
      </c>
      <c r="AQ25" s="30">
        <f t="shared" si="3"/>
        <v>25929972</v>
      </c>
      <c r="AR25" s="4"/>
      <c r="AS25" s="4"/>
      <c r="AT25" s="4"/>
      <c r="AU25" s="4"/>
      <c r="AV25" s="4"/>
      <c r="AW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 t="s">
        <v>30</v>
      </c>
      <c r="AP26" s="18">
        <f t="shared" si="1"/>
        <v>0</v>
      </c>
      <c r="AQ26" s="4"/>
      <c r="AR26" s="4"/>
      <c r="AS26" s="4"/>
      <c r="AT26" s="4"/>
      <c r="AU26" s="4"/>
      <c r="AV26" s="4"/>
      <c r="AW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 t="s">
        <v>31</v>
      </c>
      <c r="AP27" s="18">
        <f t="shared" si="1"/>
        <v>0</v>
      </c>
      <c r="AQ27" s="4"/>
      <c r="AR27" s="4"/>
      <c r="AS27" s="4"/>
      <c r="AT27" s="4"/>
      <c r="AU27" s="4"/>
      <c r="AV27" s="4"/>
      <c r="AW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 t="s">
        <v>21</v>
      </c>
      <c r="AP28" s="18">
        <f t="shared" si="1"/>
        <v>46.220447</v>
      </c>
      <c r="AQ28" s="32">
        <f t="shared" ref="AQ28:AQ30" si="4">C12</f>
        <v>46220447</v>
      </c>
      <c r="AR28" s="4"/>
      <c r="AS28" s="4"/>
      <c r="AT28" s="4"/>
      <c r="AU28" s="4"/>
      <c r="AV28" s="4"/>
      <c r="AW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 t="s">
        <v>22</v>
      </c>
      <c r="AP29" s="18">
        <f t="shared" si="1"/>
        <v>65.829595</v>
      </c>
      <c r="AQ29" s="32">
        <f t="shared" si="4"/>
        <v>65829595</v>
      </c>
      <c r="AR29" s="4"/>
      <c r="AS29" s="4"/>
      <c r="AT29" s="4"/>
      <c r="AU29" s="4"/>
      <c r="AV29" s="4"/>
      <c r="AW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19" t="s">
        <v>23</v>
      </c>
      <c r="AP30" s="18">
        <f t="shared" si="1"/>
        <v>45.440227</v>
      </c>
      <c r="AQ30" s="32">
        <f t="shared" si="4"/>
        <v>45440227</v>
      </c>
      <c r="AR30" s="4"/>
      <c r="AS30" s="4"/>
      <c r="AT30" s="4"/>
      <c r="AU30" s="4"/>
      <c r="AV30" s="4"/>
      <c r="AW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 t="s">
        <v>32</v>
      </c>
      <c r="AP31" s="4" t="s">
        <v>33</v>
      </c>
      <c r="AQ31" s="32"/>
      <c r="AR31" s="4"/>
      <c r="AS31" s="4"/>
      <c r="AT31" s="4"/>
      <c r="AU31" s="4"/>
      <c r="AV31" s="4"/>
      <c r="AW31" s="4"/>
    </row>
    <row r="32" ht="15.75" customHeight="1">
      <c r="A32" s="4"/>
      <c r="B32" s="4"/>
      <c r="C32" s="33" t="s">
        <v>34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>
        <v>155.0</v>
      </c>
      <c r="AP32" s="4">
        <v>320.0</v>
      </c>
      <c r="AQ32" s="32"/>
      <c r="AR32" s="4"/>
      <c r="AS32" s="4"/>
      <c r="AT32" s="4"/>
      <c r="AU32" s="4"/>
      <c r="AV32" s="4"/>
      <c r="AW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>
        <v>600.0</v>
      </c>
      <c r="AP33" s="4">
        <v>88.0</v>
      </c>
      <c r="AQ33" s="4"/>
      <c r="AR33" s="4"/>
      <c r="AS33" s="4"/>
      <c r="AT33" s="4"/>
      <c r="AU33" s="4"/>
      <c r="AV33" s="4"/>
      <c r="AW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34">
        <v>2014.0</v>
      </c>
      <c r="AU34" s="3"/>
      <c r="AV34" s="4"/>
      <c r="AW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35" t="s">
        <v>3</v>
      </c>
      <c r="AO35" s="35" t="s">
        <v>4</v>
      </c>
      <c r="AP35" s="35" t="s">
        <v>28</v>
      </c>
      <c r="AQ35" s="36" t="s">
        <v>9</v>
      </c>
      <c r="AR35" s="35" t="s">
        <v>29</v>
      </c>
      <c r="AS35" s="35" t="s">
        <v>12</v>
      </c>
      <c r="AT35" s="35" t="s">
        <v>35</v>
      </c>
      <c r="AU35" s="36" t="s">
        <v>16</v>
      </c>
      <c r="AV35" s="35"/>
      <c r="AW35" s="37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>
        <v>61.59948475</v>
      </c>
      <c r="AO36" s="4">
        <v>22.06917683</v>
      </c>
      <c r="AP36" s="4">
        <v>0.0</v>
      </c>
      <c r="AQ36" s="4">
        <v>45.43417403</v>
      </c>
      <c r="AR36" s="4"/>
      <c r="AS36" s="4">
        <v>76.487272</v>
      </c>
      <c r="AT36" s="4">
        <v>29.704529</v>
      </c>
      <c r="AU36" s="4">
        <v>25.929972</v>
      </c>
      <c r="AV36" s="4"/>
      <c r="AW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ht="15.75" customHeight="1">
      <c r="A41" s="4"/>
      <c r="B41" s="4"/>
      <c r="C41" s="33" t="s">
        <v>36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ht="15.75" customHeight="1">
      <c r="A49" s="4"/>
      <c r="B49" s="4"/>
      <c r="C49" s="33" t="s">
        <v>37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ht="15.75" customHeight="1">
      <c r="A51" s="4"/>
      <c r="B51" s="4"/>
      <c r="C51" s="33" t="s">
        <v>38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</row>
  </sheetData>
  <mergeCells count="6">
    <mergeCell ref="A1:D1"/>
    <mergeCell ref="A2:D2"/>
    <mergeCell ref="A4:A5"/>
    <mergeCell ref="D4:D5"/>
    <mergeCell ref="A15:D15"/>
    <mergeCell ref="AT34:AU34"/>
  </mergeCells>
  <printOptions/>
  <pageMargins bottom="0.75" footer="0.0" header="0.0" left="0.7" right="0.7" top="0.75"/>
  <pageSetup paperSize="9" scale="84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2019-09-10T03:17:03Z</dcterms:created>
  <dc:creator>Fathimath Shifaza</dc:creator>
</cp:coreProperties>
</file>