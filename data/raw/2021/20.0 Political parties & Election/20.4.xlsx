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0. Political Parties and Election\"/>
    </mc:Choice>
  </mc:AlternateContent>
  <bookViews>
    <workbookView xWindow="0" yWindow="0" windowWidth="28800" windowHeight="12435" tabRatio="682"/>
  </bookViews>
  <sheets>
    <sheet name="20.4" sheetId="9" r:id="rId1"/>
  </sheets>
  <definedNames>
    <definedName name="_xlnm.Print_Area" localSheetId="0">'20.4'!$A$1:$F$87</definedName>
    <definedName name="_xlnm.Print_Titles" localSheetId="0">'20.4'!$4:$5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0" i="9" l="1"/>
  <c r="D79" i="9"/>
  <c r="D78" i="9"/>
  <c r="D77" i="9"/>
  <c r="C76" i="9"/>
  <c r="B76" i="9"/>
  <c r="D75" i="9"/>
  <c r="D74" i="9"/>
  <c r="D73" i="9"/>
  <c r="D72" i="9"/>
  <c r="D71" i="9"/>
  <c r="D70" i="9"/>
  <c r="D69" i="9"/>
  <c r="D68" i="9"/>
  <c r="D67" i="9"/>
  <c r="C66" i="9"/>
  <c r="B66" i="9"/>
  <c r="D65" i="9"/>
  <c r="D64" i="9"/>
  <c r="D63" i="9"/>
  <c r="C62" i="9"/>
  <c r="D62" i="9" s="1"/>
  <c r="B62" i="9"/>
  <c r="D61" i="9"/>
  <c r="D60" i="9"/>
  <c r="D59" i="9"/>
  <c r="D58" i="9"/>
  <c r="D57" i="9"/>
  <c r="D56" i="9"/>
  <c r="C55" i="9"/>
  <c r="B55" i="9"/>
  <c r="D54" i="9"/>
  <c r="D53" i="9"/>
  <c r="D52" i="9"/>
  <c r="D51" i="9"/>
  <c r="C50" i="9"/>
  <c r="B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C29" i="9"/>
  <c r="B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C8" i="9"/>
  <c r="B8" i="9"/>
  <c r="D8" i="9" l="1"/>
  <c r="D50" i="9"/>
  <c r="D66" i="9"/>
  <c r="D55" i="9"/>
  <c r="D76" i="9"/>
  <c r="D29" i="9"/>
  <c r="B6" i="9"/>
  <c r="C6" i="9"/>
  <c r="D6" i="9" s="1"/>
</calcChain>
</file>

<file path=xl/sharedStrings.xml><?xml version="1.0" encoding="utf-8"?>
<sst xmlns="http://schemas.openxmlformats.org/spreadsheetml/2006/main" count="164" uniqueCount="100">
  <si>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</si>
  <si>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</si>
  <si>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</si>
  <si>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</si>
  <si>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</si>
  <si>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 xml:space="preserve">ވޯޓުލުމުގެ ޙައްޤުލިބިފައިވާ މީހުންގެ އަދަދު </t>
  </si>
  <si>
    <t>ވޯޓްލީ މީހުންގެ އަދަދު</t>
  </si>
  <si>
    <t>ވޯޓްލީ މީހުންގެ އިން ސައްތަ</t>
  </si>
  <si>
    <t>Republic</t>
  </si>
  <si>
    <t>މުޅި ރާއްޖެ</t>
  </si>
  <si>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</si>
  <si>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</si>
  <si>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</si>
  <si>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</si>
  <si>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</si>
  <si>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</si>
  <si>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</si>
  <si>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</si>
  <si>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</si>
  <si>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</si>
  <si>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</si>
  <si>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</si>
  <si>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</si>
  <si>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</si>
  <si>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</si>
  <si>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</si>
  <si>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</si>
  <si>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</si>
  <si>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</si>
  <si>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</si>
  <si>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</si>
  <si>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</si>
  <si>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</si>
  <si>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</si>
  <si>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</si>
  <si>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</si>
  <si>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</si>
  <si>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</si>
  <si>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</si>
  <si>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</si>
  <si>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</si>
  <si>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</si>
  <si>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</si>
  <si>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</si>
  <si>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</si>
  <si>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</si>
  <si>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Gn</t>
  </si>
  <si>
    <t>ޏ</t>
  </si>
  <si>
    <t>S</t>
  </si>
  <si>
    <t>ސ</t>
  </si>
  <si>
    <t>ތާވަލު 20.4:  2018 ވަނަ އަހަރުގެ ރިޔާސީ އިންތިޚާބުގެ ދެވަނަ ބުރުގައި ބެހެއްޓުނު ވޯޓު ފޮށިތަކުގެ ތަފްސީލް</t>
  </si>
  <si>
    <t>TABLE 20.4: DETAILS OF THE BALLOT BOXES KEPT DURING PRESIDENTIAL  ELECTIONS 2018</t>
  </si>
  <si>
    <t>Atoll/Island</t>
  </si>
  <si>
    <t>އަތޮޅާއި ރަށް</t>
  </si>
  <si>
    <t xml:space="preserve">Boxes kept in Atolls  </t>
  </si>
  <si>
    <t>އަތޮޅުތަކުގައި ބެހެއްޓުނު ފޮށިތައް</t>
  </si>
  <si>
    <t xml:space="preserve">Boxes kept in Male' for the Atolls people  </t>
  </si>
  <si>
    <t>މާލޭގައި ބެހެއްޓުނު އަތޮޅުތަކުގެ ވޯޓުފޮށިތައް</t>
  </si>
  <si>
    <t xml:space="preserve">Boxes kept in Jails  </t>
  </si>
  <si>
    <t>ޖަލުތައް</t>
  </si>
  <si>
    <t>Male' Jail</t>
  </si>
  <si>
    <t>މާލެ ޖަލު</t>
  </si>
  <si>
    <t>Maafushi Jail</t>
  </si>
  <si>
    <t>މާފުށި ޖަލު</t>
  </si>
  <si>
    <t>Asseyri Jail</t>
  </si>
  <si>
    <t>އައްސޭރި ޖަލު</t>
  </si>
  <si>
    <t>Dhoonidhoo Jail</t>
  </si>
  <si>
    <t>ދޫނިދޫ ޖަލު</t>
  </si>
  <si>
    <t xml:space="preserve">Boxes kept in Male'  </t>
  </si>
  <si>
    <t>މާލެގައި ބެހެއްޓުނު ވޯޓުފޮށިތައް</t>
  </si>
  <si>
    <t>Henveyru</t>
  </si>
  <si>
    <t>ހެންވޭރު</t>
  </si>
  <si>
    <t>Galolhu</t>
  </si>
  <si>
    <t>ގަލޮޅު</t>
  </si>
  <si>
    <t>Machangolhi</t>
  </si>
  <si>
    <t>މައްޗަންގޮޅި</t>
  </si>
  <si>
    <t>Maafannu</t>
  </si>
  <si>
    <t>މާފަންނު</t>
  </si>
  <si>
    <t>Villingili</t>
  </si>
  <si>
    <t>ވިލިގިލި</t>
  </si>
  <si>
    <t>Hulhumale</t>
  </si>
  <si>
    <t>ހުޅުމާލެ</t>
  </si>
  <si>
    <t xml:space="preserve">Boxes kept in places where Industrial works are done  </t>
  </si>
  <si>
    <t>އިޤްތިސާދީ ބޮޑެތި މަސައްކަތް ކުރާ ތަންތަނުގައި ބެހެއްޓުނު ވޯޓުފޮށިތައް</t>
  </si>
  <si>
    <t xml:space="preserve">Boxes kept in Tourist Resorts  </t>
  </si>
  <si>
    <t>ރިސޯޓްތަކުގައި ބެހެއްޓުނު ވޯޓުފޮށިތައް</t>
  </si>
  <si>
    <t xml:space="preserve">Boxes kept abroad  </t>
  </si>
  <si>
    <t>ރާއްޖެއިންބޭރުގައި ބެހެއްޓުނު ވޯޓުފޮށިތަކުން ލިބުނު ވޯޓު</t>
  </si>
  <si>
    <t>Colombo</t>
  </si>
  <si>
    <t>ކޮލަމްބޯ</t>
  </si>
  <si>
    <t>Kuala lumpur</t>
  </si>
  <si>
    <t>ކުއަލަމްޕޫރު</t>
  </si>
  <si>
    <t>India</t>
  </si>
  <si>
    <t>ޓްރިވެންޑްރަމް</t>
  </si>
  <si>
    <t>U.K</t>
  </si>
  <si>
    <t>ޔޫކޭ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</si>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</sst>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3" fillId="0" borderId="0"/>
    <xf numFmtId="0" fontId="1" fillId="0" borderId="0"/>
  </cellStyleXfs>
  <cellXfs count="79">
    <xf numFmtId="0" fontId="0" fillId="0" borderId="0" xfId="0"/>
    <xf numFmtId="0" fontId="0" fillId="2" borderId="0" xfId="0" applyFont="1" applyFill="1" applyAlignment="1">
      <alignment horizontal="center" vertical="center"/>
    </xf>
    <xf numFmtId="0" fontId="2" fillId="2" borderId="0" xfId="0" applyFont="1" applyFill="1"/>
    <xf numFmtId="0" fontId="9" fillId="2" borderId="0" xfId="0" applyFont="1" applyFill="1"/>
    <xf numFmtId="0" fontId="9" fillId="2" borderId="0" xfId="0" applyFont="1" applyFill="1" applyBorder="1"/>
    <xf numFmtId="0" fontId="2" fillId="2" borderId="4" xfId="0" applyFont="1" applyFill="1" applyBorder="1" applyAlignment="1">
      <alignment horizontal="right" vertical="center" wrapText="1"/>
    </xf>
    <xf numFmtId="0" fontId="11" fillId="2" borderId="0" xfId="0" applyFont="1" applyFill="1"/>
    <xf numFmtId="0" fontId="7" fillId="2" borderId="0" xfId="0" applyFont="1" applyFill="1"/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right" vertical="center" wrapText="1"/>
    </xf>
    <xf numFmtId="0" fontId="3" fillId="2" borderId="0" xfId="0" applyFont="1" applyFill="1"/>
    <xf numFmtId="165" fontId="3" fillId="2" borderId="0" xfId="1" applyNumberFormat="1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right"/>
    </xf>
    <xf numFmtId="165" fontId="3" fillId="2" borderId="0" xfId="0" applyNumberFormat="1" applyFont="1" applyFill="1"/>
    <xf numFmtId="3" fontId="9" fillId="2" borderId="0" xfId="2" applyNumberFormat="1" applyFont="1" applyFill="1" applyBorder="1"/>
    <xf numFmtId="165" fontId="9" fillId="2" borderId="0" xfId="1" applyNumberFormat="1" applyFont="1" applyFill="1" applyAlignment="1">
      <alignment horizontal="center" vertical="center"/>
    </xf>
    <xf numFmtId="3" fontId="3" fillId="2" borderId="0" xfId="2" applyNumberFormat="1" applyFont="1" applyFill="1" applyBorder="1" applyAlignment="1">
      <alignment vertical="center" wrapText="1"/>
    </xf>
    <xf numFmtId="165" fontId="3" fillId="2" borderId="0" xfId="1" applyNumberFormat="1" applyFont="1" applyFill="1" applyBorder="1" applyAlignment="1">
      <alignment vertical="center" wrapText="1"/>
    </xf>
    <xf numFmtId="166" fontId="3" fillId="2" borderId="0" xfId="0" applyNumberFormat="1" applyFont="1" applyFill="1" applyBorder="1" applyAlignment="1">
      <alignment horizontal="center" vertical="center" wrapText="1"/>
    </xf>
    <xf numFmtId="3" fontId="8" fillId="2" borderId="0" xfId="2" applyNumberFormat="1" applyFont="1" applyFill="1" applyBorder="1" applyAlignment="1" applyProtection="1">
      <alignment vertical="center" wrapText="1"/>
    </xf>
    <xf numFmtId="0" fontId="9" fillId="2" borderId="0" xfId="0" applyFont="1" applyFill="1" applyBorder="1" applyAlignment="1">
      <alignment vertical="center" wrapText="1"/>
    </xf>
    <xf numFmtId="166" fontId="9" fillId="2" borderId="0" xfId="0" applyNumberFormat="1" applyFont="1" applyFill="1" applyAlignment="1">
      <alignment horizontal="center" vertical="center"/>
    </xf>
    <xf numFmtId="3" fontId="10" fillId="2" borderId="0" xfId="2" applyNumberFormat="1" applyFont="1" applyFill="1" applyBorder="1" applyAlignment="1" applyProtection="1">
      <alignment horizontal="right" vertical="center"/>
    </xf>
    <xf numFmtId="165" fontId="9" fillId="2" borderId="0" xfId="1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horizontal="lef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9" fillId="2" borderId="5" xfId="2" applyNumberFormat="1" applyFont="1" applyFill="1" applyBorder="1"/>
    <xf numFmtId="165" fontId="9" fillId="2" borderId="5" xfId="1" applyNumberFormat="1" applyFont="1" applyFill="1" applyBorder="1" applyAlignment="1">
      <alignment horizontal="center" vertical="center"/>
    </xf>
    <xf numFmtId="166" fontId="9" fillId="2" borderId="5" xfId="0" applyNumberFormat="1" applyFont="1" applyFill="1" applyBorder="1" applyAlignment="1">
      <alignment horizontal="center" vertical="center"/>
    </xf>
    <xf numFmtId="3" fontId="10" fillId="2" borderId="5" xfId="2" applyNumberFormat="1" applyFont="1" applyFill="1" applyBorder="1" applyAlignment="1" applyProtection="1">
      <alignment horizontal="right" vertical="center"/>
    </xf>
    <xf numFmtId="165" fontId="3" fillId="2" borderId="0" xfId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3" fontId="8" fillId="2" borderId="0" xfId="2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Border="1" applyAlignment="1">
      <alignment vertical="center" wrapText="1"/>
    </xf>
    <xf numFmtId="0" fontId="8" fillId="2" borderId="0" xfId="0" applyFont="1" applyFill="1" applyBorder="1"/>
    <xf numFmtId="0" fontId="10" fillId="2" borderId="0" xfId="0" applyFont="1" applyFill="1"/>
    <xf numFmtId="0" fontId="3" fillId="2" borderId="0" xfId="0" applyFont="1" applyFill="1" applyBorder="1"/>
    <xf numFmtId="0" fontId="9" fillId="2" borderId="5" xfId="0" applyFont="1" applyFill="1" applyBorder="1"/>
    <xf numFmtId="0" fontId="10" fillId="2" borderId="5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top" indent="3"/>
    </xf>
    <xf numFmtId="165" fontId="11" fillId="2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 indent="3"/>
    </xf>
    <xf numFmtId="0" fontId="7" fillId="2" borderId="0" xfId="0" applyFont="1" applyFill="1" applyAlignment="1">
      <alignment horizontal="right" vertical="center" wrapText="1"/>
    </xf>
    <xf numFmtId="3" fontId="9" fillId="2" borderId="5" xfId="2" applyNumberFormat="1" applyFont="1" applyFill="1" applyBorder="1" applyAlignment="1">
      <alignment vertical="center"/>
    </xf>
    <xf numFmtId="0" fontId="9" fillId="2" borderId="0" xfId="0" applyFont="1" applyFill="1" applyAlignment="1">
      <alignment vertical="top"/>
    </xf>
    <xf numFmtId="165" fontId="9" fillId="2" borderId="0" xfId="1" applyNumberFormat="1" applyFont="1" applyFill="1" applyAlignment="1">
      <alignment horizontal="center" vertical="top"/>
    </xf>
    <xf numFmtId="166" fontId="9" fillId="2" borderId="0" xfId="0" applyNumberFormat="1" applyFont="1" applyFill="1" applyAlignment="1">
      <alignment horizontal="center" vertical="top"/>
    </xf>
    <xf numFmtId="0" fontId="10" fillId="2" borderId="0" xfId="0" applyFont="1" applyFill="1" applyAlignment="1">
      <alignment vertical="top"/>
    </xf>
    <xf numFmtId="0" fontId="9" fillId="2" borderId="3" xfId="0" applyFont="1" applyFill="1" applyBorder="1" applyAlignment="1">
      <alignment vertical="top"/>
    </xf>
    <xf numFmtId="165" fontId="9" fillId="2" borderId="3" xfId="1" applyNumberFormat="1" applyFont="1" applyFill="1" applyBorder="1" applyAlignment="1">
      <alignment horizontal="center" vertical="top"/>
    </xf>
    <xf numFmtId="166" fontId="9" fillId="2" borderId="3" xfId="0" applyNumberFormat="1" applyFont="1" applyFill="1" applyBorder="1" applyAlignment="1">
      <alignment horizontal="center" vertical="top"/>
    </xf>
    <xf numFmtId="0" fontId="10" fillId="2" borderId="3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165" fontId="3" fillId="2" borderId="0" xfId="1" applyNumberFormat="1" applyFont="1" applyFill="1" applyBorder="1" applyAlignment="1">
      <alignment horizontal="center" vertical="top"/>
    </xf>
    <xf numFmtId="166" fontId="3" fillId="2" borderId="0" xfId="0" applyNumberFormat="1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8" fillId="2" borderId="0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  <xf numFmtId="165" fontId="9" fillId="2" borderId="1" xfId="1" applyNumberFormat="1" applyFont="1" applyFill="1" applyBorder="1" applyAlignment="1">
      <alignment horizontal="center" vertical="top"/>
    </xf>
    <xf numFmtId="166" fontId="9" fillId="2" borderId="1" xfId="0" applyNumberFormat="1" applyFont="1" applyFill="1" applyBorder="1" applyAlignment="1">
      <alignment horizontal="center" vertical="top"/>
    </xf>
    <xf numFmtId="0" fontId="10" fillId="2" borderId="1" xfId="0" applyFont="1" applyFill="1" applyBorder="1" applyAlignment="1">
      <alignment vertical="top"/>
    </xf>
  </cellXfs>
  <cellStyles count="10">
    <cellStyle name="Comma" xfId="1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II-15(Population) 2" xfId="2"/>
  </cellStyles>
  <dxfs count="0"/>
  <tableStyles count="0" defaultTableStyle="TableStyleMedium2" defaultPivotStyle="PivotStyleLight16"/>
  <colors>
    <mruColors>
      <color rgb="FFEFFFFF"/>
      <color rgb="FF00A29E"/>
      <color rgb="FFFFCC66"/>
      <color rgb="FFE7FFFF"/>
      <color rgb="FFD9FFFF"/>
      <color rgb="FFA7FFFF"/>
      <color rgb="FFF6ECE2"/>
      <color rgb="FFE1C2A3"/>
      <color rgb="FF996633"/>
      <color rgb="FF714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87"/>
  <sheetViews>
    <sheetView tabSelected="1" zoomScaleNormal="100" zoomScaleSheetLayoutView="154" workbookViewId="0">
      <selection activeCell="C14" sqref="C14"/>
    </sheetView>
  </sheetViews>
  <sheetFormatPr defaultColWidth="9.140625" defaultRowHeight="15" x14ac:dyDescent="0.25"/>
  <cols>
    <col min="1" max="1" width="23.140625" style="10" customWidth="1"/>
    <col min="2" max="2" width="16" style="1" customWidth="1"/>
    <col min="3" max="3" width="15.140625" style="1" customWidth="1"/>
    <col min="4" max="4" width="16.42578125" style="1" customWidth="1"/>
    <col min="5" max="5" width="23.5703125" style="10" customWidth="1"/>
    <col min="6" max="16384" width="9.140625" style="10"/>
  </cols>
  <sheetData>
    <row r="1" spans="1:8" ht="21" x14ac:dyDescent="0.55000000000000004">
      <c r="A1" s="51" t="s">
        <v>50</v>
      </c>
      <c r="B1" s="51"/>
      <c r="C1" s="51"/>
      <c r="D1" s="51"/>
      <c r="E1" s="51"/>
    </row>
    <row r="2" spans="1:8" x14ac:dyDescent="0.25">
      <c r="A2" s="52" t="s">
        <v>51</v>
      </c>
      <c r="B2" s="52"/>
      <c r="C2" s="52"/>
      <c r="D2" s="52"/>
      <c r="E2" s="52"/>
    </row>
    <row r="3" spans="1:8" ht="7.5" customHeight="1" x14ac:dyDescent="0.25"/>
    <row r="4" spans="1:8" s="2" customFormat="1" ht="19.5" customHeight="1" x14ac:dyDescent="0.25">
      <c r="A4" s="53" t="s">
        <v>52</v>
      </c>
      <c r="B4" s="5" t="s">
        <v>2</v>
      </c>
      <c r="C4" s="5" t="s">
        <v>3</v>
      </c>
      <c r="D4" s="5" t="s">
        <v>4</v>
      </c>
      <c r="E4" s="54" t="s">
        <v>53</v>
      </c>
    </row>
    <row r="5" spans="1:8" s="11" customFormat="1" ht="33" customHeight="1" x14ac:dyDescent="0.25">
      <c r="A5" s="50"/>
      <c r="B5" s="12" t="s">
        <v>5</v>
      </c>
      <c r="C5" s="12" t="s">
        <v>6</v>
      </c>
      <c r="D5" s="12" t="s">
        <v>7</v>
      </c>
      <c r="E5" s="55"/>
    </row>
    <row r="6" spans="1:8" s="13" customFormat="1" ht="18.75" x14ac:dyDescent="0.5">
      <c r="A6" s="13" t="s">
        <v>8</v>
      </c>
      <c r="B6" s="14">
        <f>SUM(B8+B29+B55+B62+B66+B76+B50)</f>
        <v>262135</v>
      </c>
      <c r="C6" s="14">
        <f>SUM(C8+C29+C55+C62+C66+C76+C50)</f>
        <v>233889</v>
      </c>
      <c r="D6" s="15">
        <f>C6/B6*100</f>
        <v>89.224636160756859</v>
      </c>
      <c r="E6" s="16" t="s">
        <v>9</v>
      </c>
      <c r="G6" s="17"/>
      <c r="H6" s="17"/>
    </row>
    <row r="7" spans="1:8" s="3" customFormat="1" ht="12.75" x14ac:dyDescent="0.2">
      <c r="A7" s="18"/>
      <c r="B7" s="19"/>
      <c r="C7" s="19"/>
      <c r="D7" s="19"/>
    </row>
    <row r="8" spans="1:8" s="24" customFormat="1" ht="16.5" customHeight="1" x14ac:dyDescent="0.25">
      <c r="A8" s="20" t="s">
        <v>54</v>
      </c>
      <c r="B8" s="21">
        <f>SUM(B9:B28)</f>
        <v>152264</v>
      </c>
      <c r="C8" s="21">
        <f>SUM(C9:C28)</f>
        <v>135203</v>
      </c>
      <c r="D8" s="22">
        <f>(C8/B8)*100</f>
        <v>88.795119003835438</v>
      </c>
      <c r="E8" s="23" t="s">
        <v>55</v>
      </c>
    </row>
    <row r="9" spans="1:8" s="3" customFormat="1" ht="13.5" customHeight="1" x14ac:dyDescent="0.2">
      <c r="A9" s="18" t="s">
        <v>10</v>
      </c>
      <c r="B9" s="19">
        <v>9559</v>
      </c>
      <c r="C9" s="19">
        <v>8529</v>
      </c>
      <c r="D9" s="25">
        <f>C9/B9*100</f>
        <v>89.224814311120412</v>
      </c>
      <c r="E9" s="26" t="s">
        <v>11</v>
      </c>
    </row>
    <row r="10" spans="1:8" s="3" customFormat="1" ht="13.5" customHeight="1" x14ac:dyDescent="0.2">
      <c r="A10" s="18" t="s">
        <v>12</v>
      </c>
      <c r="B10" s="19">
        <v>13449</v>
      </c>
      <c r="C10" s="19">
        <v>11303</v>
      </c>
      <c r="D10" s="25">
        <f t="shared" ref="D10:D38" si="0">C10/B10*100</f>
        <v>84.043423302847799</v>
      </c>
      <c r="E10" s="26" t="s">
        <v>13</v>
      </c>
    </row>
    <row r="11" spans="1:8" s="3" customFormat="1" ht="13.5" customHeight="1" x14ac:dyDescent="0.2">
      <c r="A11" s="18" t="s">
        <v>14</v>
      </c>
      <c r="B11" s="19">
        <v>8716</v>
      </c>
      <c r="C11" s="19">
        <v>7772</v>
      </c>
      <c r="D11" s="25">
        <f t="shared" si="0"/>
        <v>89.169343735658558</v>
      </c>
      <c r="E11" s="26" t="s">
        <v>15</v>
      </c>
    </row>
    <row r="12" spans="1:8" s="3" customFormat="1" ht="13.5" customHeight="1" x14ac:dyDescent="0.2">
      <c r="A12" s="18" t="s">
        <v>16</v>
      </c>
      <c r="B12" s="19">
        <v>8492</v>
      </c>
      <c r="C12" s="19">
        <v>7489</v>
      </c>
      <c r="D12" s="25">
        <f t="shared" si="0"/>
        <v>88.188883655204904</v>
      </c>
      <c r="E12" s="26" t="s">
        <v>17</v>
      </c>
    </row>
    <row r="13" spans="1:8" s="3" customFormat="1" ht="13.5" customHeight="1" x14ac:dyDescent="0.2">
      <c r="A13" s="18" t="s">
        <v>18</v>
      </c>
      <c r="B13" s="19">
        <v>11857</v>
      </c>
      <c r="C13" s="19">
        <v>10520</v>
      </c>
      <c r="D13" s="25">
        <f t="shared" si="0"/>
        <v>88.723960529644941</v>
      </c>
      <c r="E13" s="26" t="s">
        <v>19</v>
      </c>
    </row>
    <row r="14" spans="1:8" s="3" customFormat="1" ht="13.5" customHeight="1" x14ac:dyDescent="0.2">
      <c r="A14" s="18" t="s">
        <v>20</v>
      </c>
      <c r="B14" s="19">
        <v>7633</v>
      </c>
      <c r="C14" s="19">
        <v>6911</v>
      </c>
      <c r="D14" s="25">
        <f t="shared" si="0"/>
        <v>90.541071662518007</v>
      </c>
      <c r="E14" s="26" t="s">
        <v>21</v>
      </c>
    </row>
    <row r="15" spans="1:8" s="3" customFormat="1" ht="13.5" customHeight="1" x14ac:dyDescent="0.2">
      <c r="A15" s="18" t="s">
        <v>22</v>
      </c>
      <c r="B15" s="19">
        <v>7042</v>
      </c>
      <c r="C15" s="19">
        <v>6360</v>
      </c>
      <c r="D15" s="25">
        <f t="shared" si="0"/>
        <v>90.315251349048566</v>
      </c>
      <c r="E15" s="26" t="s">
        <v>23</v>
      </c>
    </row>
    <row r="16" spans="1:8" s="3" customFormat="1" ht="13.5" customHeight="1" x14ac:dyDescent="0.2">
      <c r="A16" s="18" t="s">
        <v>24</v>
      </c>
      <c r="B16" s="19">
        <v>8863</v>
      </c>
      <c r="C16" s="19">
        <v>8161</v>
      </c>
      <c r="D16" s="25">
        <f t="shared" si="0"/>
        <v>92.079431343788784</v>
      </c>
      <c r="E16" s="26" t="s">
        <v>25</v>
      </c>
    </row>
    <row r="17" spans="1:5" s="3" customFormat="1" ht="13.5" customHeight="1" x14ac:dyDescent="0.2">
      <c r="A17" s="18" t="s">
        <v>26</v>
      </c>
      <c r="B17" s="19">
        <v>4726</v>
      </c>
      <c r="C17" s="19">
        <v>4300</v>
      </c>
      <c r="D17" s="25">
        <f t="shared" si="0"/>
        <v>90.986034701650439</v>
      </c>
      <c r="E17" s="26" t="s">
        <v>27</v>
      </c>
    </row>
    <row r="18" spans="1:5" s="3" customFormat="1" ht="13.5" customHeight="1" x14ac:dyDescent="0.2">
      <c r="A18" s="18" t="s">
        <v>28</v>
      </c>
      <c r="B18" s="19">
        <v>6917</v>
      </c>
      <c r="C18" s="19">
        <v>6283</v>
      </c>
      <c r="D18" s="25">
        <f t="shared" si="0"/>
        <v>90.83417666618476</v>
      </c>
      <c r="E18" s="26" t="s">
        <v>29</v>
      </c>
    </row>
    <row r="19" spans="1:5" s="4" customFormat="1" ht="13.5" customHeight="1" x14ac:dyDescent="0.2">
      <c r="A19" s="18" t="s">
        <v>30</v>
      </c>
      <c r="B19" s="27">
        <v>1293</v>
      </c>
      <c r="C19" s="19">
        <v>1159</v>
      </c>
      <c r="D19" s="25">
        <f t="shared" si="0"/>
        <v>89.636504253673635</v>
      </c>
      <c r="E19" s="26" t="s">
        <v>31</v>
      </c>
    </row>
    <row r="20" spans="1:5" s="4" customFormat="1" ht="13.5" customHeight="1" x14ac:dyDescent="0.2">
      <c r="A20" s="18" t="s">
        <v>32</v>
      </c>
      <c r="B20" s="27">
        <v>3626</v>
      </c>
      <c r="C20" s="19">
        <v>3268</v>
      </c>
      <c r="D20" s="25">
        <f t="shared" si="0"/>
        <v>90.126861555432981</v>
      </c>
      <c r="E20" s="26" t="s">
        <v>33</v>
      </c>
    </row>
    <row r="21" spans="1:5" s="4" customFormat="1" ht="13.5" customHeight="1" x14ac:dyDescent="0.2">
      <c r="A21" s="18" t="s">
        <v>34</v>
      </c>
      <c r="B21" s="27">
        <v>2960</v>
      </c>
      <c r="C21" s="19">
        <v>2781</v>
      </c>
      <c r="D21" s="25">
        <f t="shared" si="0"/>
        <v>93.952702702702709</v>
      </c>
      <c r="E21" s="26" t="s">
        <v>35</v>
      </c>
    </row>
    <row r="22" spans="1:5" s="4" customFormat="1" ht="13.5" customHeight="1" x14ac:dyDescent="0.2">
      <c r="A22" s="18" t="s">
        <v>36</v>
      </c>
      <c r="B22" s="27">
        <v>4319</v>
      </c>
      <c r="C22" s="19">
        <v>4023</v>
      </c>
      <c r="D22" s="25">
        <f t="shared" si="0"/>
        <v>93.146561704098175</v>
      </c>
      <c r="E22" s="26" t="s">
        <v>37</v>
      </c>
    </row>
    <row r="23" spans="1:5" s="4" customFormat="1" ht="13.5" customHeight="1" x14ac:dyDescent="0.2">
      <c r="A23" s="18" t="s">
        <v>38</v>
      </c>
      <c r="B23" s="27">
        <v>6920</v>
      </c>
      <c r="C23" s="19">
        <v>6189</v>
      </c>
      <c r="D23" s="25">
        <f t="shared" si="0"/>
        <v>89.436416184971108</v>
      </c>
      <c r="E23" s="26" t="s">
        <v>39</v>
      </c>
    </row>
    <row r="24" spans="1:5" s="4" customFormat="1" ht="13.5" customHeight="1" x14ac:dyDescent="0.2">
      <c r="A24" s="18" t="s">
        <v>40</v>
      </c>
      <c r="B24" s="27">
        <v>9296</v>
      </c>
      <c r="C24" s="19">
        <v>8584</v>
      </c>
      <c r="D24" s="25">
        <f t="shared" si="0"/>
        <v>92.340791738382094</v>
      </c>
      <c r="E24" s="26" t="s">
        <v>41</v>
      </c>
    </row>
    <row r="25" spans="1:5" s="4" customFormat="1" ht="13.5" customHeight="1" x14ac:dyDescent="0.2">
      <c r="A25" s="28" t="s">
        <v>42</v>
      </c>
      <c r="B25" s="19">
        <v>5970</v>
      </c>
      <c r="C25" s="19">
        <v>5452</v>
      </c>
      <c r="D25" s="25">
        <f t="shared" si="0"/>
        <v>91.323283082077054</v>
      </c>
      <c r="E25" s="29" t="s">
        <v>43</v>
      </c>
    </row>
    <row r="26" spans="1:5" s="4" customFormat="1" ht="13.5" customHeight="1" x14ac:dyDescent="0.2">
      <c r="A26" s="18" t="s">
        <v>44</v>
      </c>
      <c r="B26" s="27">
        <v>9075</v>
      </c>
      <c r="C26" s="19">
        <v>7769</v>
      </c>
      <c r="D26" s="25">
        <f t="shared" si="0"/>
        <v>85.608815426997239</v>
      </c>
      <c r="E26" s="26" t="s">
        <v>45</v>
      </c>
    </row>
    <row r="27" spans="1:5" s="4" customFormat="1" ht="13.5" customHeight="1" x14ac:dyDescent="0.2">
      <c r="A27" s="18" t="s">
        <v>46</v>
      </c>
      <c r="B27" s="27">
        <v>5726</v>
      </c>
      <c r="C27" s="19">
        <v>5299</v>
      </c>
      <c r="D27" s="25">
        <f t="shared" si="0"/>
        <v>92.542787286063572</v>
      </c>
      <c r="E27" s="26" t="s">
        <v>47</v>
      </c>
    </row>
    <row r="28" spans="1:5" s="4" customFormat="1" ht="13.5" customHeight="1" x14ac:dyDescent="0.2">
      <c r="A28" s="30" t="s">
        <v>48</v>
      </c>
      <c r="B28" s="31">
        <v>15825</v>
      </c>
      <c r="C28" s="31">
        <v>13051</v>
      </c>
      <c r="D28" s="32">
        <f t="shared" si="0"/>
        <v>82.470774091627177</v>
      </c>
      <c r="E28" s="33" t="s">
        <v>49</v>
      </c>
    </row>
    <row r="29" spans="1:5" s="4" customFormat="1" ht="32.25" customHeight="1" x14ac:dyDescent="0.2">
      <c r="A29" s="20" t="s">
        <v>56</v>
      </c>
      <c r="B29" s="34">
        <f>SUM(B30:B49)</f>
        <v>44541</v>
      </c>
      <c r="C29" s="34">
        <f>SUM(C30:C49)</f>
        <v>42044</v>
      </c>
      <c r="D29" s="35">
        <f>C29/B29*100</f>
        <v>94.393929188837262</v>
      </c>
      <c r="E29" s="36" t="s">
        <v>57</v>
      </c>
    </row>
    <row r="30" spans="1:5" s="4" customFormat="1" ht="13.5" customHeight="1" x14ac:dyDescent="0.2">
      <c r="A30" s="18" t="s">
        <v>10</v>
      </c>
      <c r="B30" s="27">
        <v>4123</v>
      </c>
      <c r="C30" s="19">
        <v>3936</v>
      </c>
      <c r="D30" s="25">
        <f t="shared" si="0"/>
        <v>95.464467620664564</v>
      </c>
      <c r="E30" s="26" t="s">
        <v>11</v>
      </c>
    </row>
    <row r="31" spans="1:5" s="4" customFormat="1" ht="13.5" customHeight="1" x14ac:dyDescent="0.2">
      <c r="A31" s="18" t="s">
        <v>12</v>
      </c>
      <c r="B31" s="19">
        <v>2817</v>
      </c>
      <c r="C31" s="27">
        <v>2588</v>
      </c>
      <c r="D31" s="25">
        <f t="shared" si="0"/>
        <v>91.870784522541712</v>
      </c>
      <c r="E31" s="26" t="s">
        <v>13</v>
      </c>
    </row>
    <row r="32" spans="1:5" s="3" customFormat="1" ht="13.5" customHeight="1" x14ac:dyDescent="0.2">
      <c r="A32" s="18" t="s">
        <v>14</v>
      </c>
      <c r="B32" s="19">
        <v>2361</v>
      </c>
      <c r="C32" s="19">
        <v>2219</v>
      </c>
      <c r="D32" s="25">
        <f t="shared" si="0"/>
        <v>93.98559932232105</v>
      </c>
      <c r="E32" s="26" t="s">
        <v>15</v>
      </c>
    </row>
    <row r="33" spans="1:5" s="3" customFormat="1" ht="13.5" customHeight="1" x14ac:dyDescent="0.2">
      <c r="A33" s="18" t="s">
        <v>16</v>
      </c>
      <c r="B33" s="19">
        <v>2137</v>
      </c>
      <c r="C33" s="19">
        <v>2035</v>
      </c>
      <c r="D33" s="25">
        <f t="shared" si="0"/>
        <v>95.226953673373899</v>
      </c>
      <c r="E33" s="26" t="s">
        <v>17</v>
      </c>
    </row>
    <row r="34" spans="1:5" s="3" customFormat="1" ht="13.5" customHeight="1" x14ac:dyDescent="0.2">
      <c r="A34" s="18" t="s">
        <v>18</v>
      </c>
      <c r="B34" s="19">
        <v>3198</v>
      </c>
      <c r="C34" s="19">
        <v>2990</v>
      </c>
      <c r="D34" s="25">
        <f t="shared" si="0"/>
        <v>93.495934959349597</v>
      </c>
      <c r="E34" s="26" t="s">
        <v>19</v>
      </c>
    </row>
    <row r="35" spans="1:5" s="3" customFormat="1" ht="13.5" customHeight="1" x14ac:dyDescent="0.2">
      <c r="A35" s="18" t="s">
        <v>20</v>
      </c>
      <c r="B35" s="19">
        <v>2344</v>
      </c>
      <c r="C35" s="19">
        <v>2266</v>
      </c>
      <c r="D35" s="25">
        <f t="shared" si="0"/>
        <v>96.672354948805463</v>
      </c>
      <c r="E35" s="26" t="s">
        <v>21</v>
      </c>
    </row>
    <row r="36" spans="1:5" s="3" customFormat="1" ht="13.5" customHeight="1" x14ac:dyDescent="0.2">
      <c r="A36" s="18" t="s">
        <v>22</v>
      </c>
      <c r="B36" s="19">
        <v>1906</v>
      </c>
      <c r="C36" s="19">
        <v>1818</v>
      </c>
      <c r="D36" s="25">
        <f t="shared" si="0"/>
        <v>95.38300104931794</v>
      </c>
      <c r="E36" s="26" t="s">
        <v>23</v>
      </c>
    </row>
    <row r="37" spans="1:5" s="3" customFormat="1" ht="13.5" customHeight="1" x14ac:dyDescent="0.2">
      <c r="A37" s="18" t="s">
        <v>24</v>
      </c>
      <c r="B37" s="19">
        <v>825</v>
      </c>
      <c r="C37" s="19">
        <v>769</v>
      </c>
      <c r="D37" s="25">
        <f t="shared" si="0"/>
        <v>93.212121212121218</v>
      </c>
      <c r="E37" s="26" t="s">
        <v>25</v>
      </c>
    </row>
    <row r="38" spans="1:5" s="3" customFormat="1" ht="13.5" customHeight="1" x14ac:dyDescent="0.2">
      <c r="A38" s="18" t="s">
        <v>26</v>
      </c>
      <c r="B38" s="19">
        <v>833</v>
      </c>
      <c r="C38" s="19">
        <v>796</v>
      </c>
      <c r="D38" s="25">
        <f t="shared" si="0"/>
        <v>95.55822328931572</v>
      </c>
      <c r="E38" s="26" t="s">
        <v>27</v>
      </c>
    </row>
    <row r="39" spans="1:5" s="3" customFormat="1" ht="13.5" customHeight="1" x14ac:dyDescent="0.2">
      <c r="A39" s="18" t="s">
        <v>28</v>
      </c>
      <c r="B39" s="19">
        <v>940</v>
      </c>
      <c r="C39" s="19">
        <v>879</v>
      </c>
      <c r="D39" s="25">
        <f>C39/B39*100</f>
        <v>93.510638297872333</v>
      </c>
      <c r="E39" s="26" t="s">
        <v>29</v>
      </c>
    </row>
    <row r="40" spans="1:5" s="3" customFormat="1" ht="13.5" customHeight="1" x14ac:dyDescent="0.2">
      <c r="A40" s="18" t="s">
        <v>30</v>
      </c>
      <c r="B40" s="19">
        <v>387</v>
      </c>
      <c r="C40" s="19">
        <v>373</v>
      </c>
      <c r="D40" s="25">
        <f>C40/B40*100</f>
        <v>96.382428940568474</v>
      </c>
      <c r="E40" s="26" t="s">
        <v>31</v>
      </c>
    </row>
    <row r="41" spans="1:5" s="3" customFormat="1" ht="13.5" customHeight="1" x14ac:dyDescent="0.2">
      <c r="A41" s="18" t="s">
        <v>32</v>
      </c>
      <c r="B41" s="19">
        <v>1265</v>
      </c>
      <c r="C41" s="19">
        <v>1180</v>
      </c>
      <c r="D41" s="25">
        <f t="shared" ref="D41:D80" si="1">C41/B41*100</f>
        <v>93.280632411067202</v>
      </c>
      <c r="E41" s="26" t="s">
        <v>33</v>
      </c>
    </row>
    <row r="42" spans="1:5" s="3" customFormat="1" ht="13.5" customHeight="1" x14ac:dyDescent="0.2">
      <c r="A42" s="18" t="s">
        <v>34</v>
      </c>
      <c r="B42" s="19">
        <v>805</v>
      </c>
      <c r="C42" s="19">
        <v>772</v>
      </c>
      <c r="D42" s="25">
        <f t="shared" si="1"/>
        <v>95.900621118012424</v>
      </c>
      <c r="E42" s="26" t="s">
        <v>35</v>
      </c>
    </row>
    <row r="43" spans="1:5" s="3" customFormat="1" ht="13.5" customHeight="1" x14ac:dyDescent="0.2">
      <c r="A43" s="18" t="s">
        <v>36</v>
      </c>
      <c r="B43" s="19">
        <v>1070</v>
      </c>
      <c r="C43" s="19">
        <v>1028</v>
      </c>
      <c r="D43" s="25">
        <f t="shared" si="1"/>
        <v>96.074766355140184</v>
      </c>
      <c r="E43" s="26" t="s">
        <v>37</v>
      </c>
    </row>
    <row r="44" spans="1:5" s="3" customFormat="1" ht="13.5" customHeight="1" x14ac:dyDescent="0.2">
      <c r="A44" s="18" t="s">
        <v>38</v>
      </c>
      <c r="B44" s="19">
        <v>3151</v>
      </c>
      <c r="C44" s="19">
        <v>2983</v>
      </c>
      <c r="D44" s="25">
        <f t="shared" si="1"/>
        <v>94.668359251031418</v>
      </c>
      <c r="E44" s="26" t="s">
        <v>39</v>
      </c>
    </row>
    <row r="45" spans="1:5" s="3" customFormat="1" ht="13.5" customHeight="1" x14ac:dyDescent="0.2">
      <c r="A45" s="18" t="s">
        <v>40</v>
      </c>
      <c r="B45" s="19">
        <v>2160</v>
      </c>
      <c r="C45" s="19">
        <v>2002</v>
      </c>
      <c r="D45" s="25">
        <f t="shared" si="1"/>
        <v>92.685185185185176</v>
      </c>
      <c r="E45" s="26" t="s">
        <v>41</v>
      </c>
    </row>
    <row r="46" spans="1:5" s="3" customFormat="1" ht="13.5" customHeight="1" x14ac:dyDescent="0.2">
      <c r="A46" s="28" t="s">
        <v>42</v>
      </c>
      <c r="B46" s="19">
        <v>3065</v>
      </c>
      <c r="C46" s="19">
        <v>2924</v>
      </c>
      <c r="D46" s="25">
        <f t="shared" si="1"/>
        <v>95.399673735725941</v>
      </c>
      <c r="E46" s="29" t="s">
        <v>43</v>
      </c>
    </row>
    <row r="47" spans="1:5" s="3" customFormat="1" ht="13.5" customHeight="1" x14ac:dyDescent="0.2">
      <c r="A47" s="18" t="s">
        <v>44</v>
      </c>
      <c r="B47" s="19">
        <v>4111</v>
      </c>
      <c r="C47" s="27">
        <v>3867</v>
      </c>
      <c r="D47" s="25">
        <f t="shared" si="1"/>
        <v>94.064704451471655</v>
      </c>
      <c r="E47" s="26" t="s">
        <v>45</v>
      </c>
    </row>
    <row r="48" spans="1:5" s="3" customFormat="1" ht="13.5" customHeight="1" x14ac:dyDescent="0.2">
      <c r="A48" s="18" t="s">
        <v>46</v>
      </c>
      <c r="B48" s="19">
        <v>1700</v>
      </c>
      <c r="C48" s="19">
        <v>1620</v>
      </c>
      <c r="D48" s="25">
        <f t="shared" si="1"/>
        <v>95.294117647058812</v>
      </c>
      <c r="E48" s="26" t="s">
        <v>47</v>
      </c>
    </row>
    <row r="49" spans="1:5" s="3" customFormat="1" ht="13.5" customHeight="1" x14ac:dyDescent="0.2">
      <c r="A49" s="30" t="s">
        <v>48</v>
      </c>
      <c r="B49" s="31">
        <v>5343</v>
      </c>
      <c r="C49" s="31">
        <v>4999</v>
      </c>
      <c r="D49" s="32">
        <f>C49/B49*100</f>
        <v>93.561669474078229</v>
      </c>
      <c r="E49" s="33" t="s">
        <v>49</v>
      </c>
    </row>
    <row r="50" spans="1:5" s="3" customFormat="1" ht="18.75" x14ac:dyDescent="0.5">
      <c r="A50" s="37" t="s">
        <v>58</v>
      </c>
      <c r="B50" s="34">
        <f>SUM(B51:B54)</f>
        <v>2019</v>
      </c>
      <c r="C50" s="34">
        <f>SUM(C51:C54)</f>
        <v>1755</v>
      </c>
      <c r="D50" s="35">
        <f>C50/B50*100</f>
        <v>86.924219910846958</v>
      </c>
      <c r="E50" s="38" t="s">
        <v>59</v>
      </c>
    </row>
    <row r="51" spans="1:5" s="4" customFormat="1" ht="16.5" customHeight="1" x14ac:dyDescent="0.5">
      <c r="A51" s="3" t="s">
        <v>60</v>
      </c>
      <c r="B51" s="19">
        <v>518</v>
      </c>
      <c r="C51" s="19">
        <v>481</v>
      </c>
      <c r="D51" s="25">
        <f>C51/B51*100</f>
        <v>92.857142857142861</v>
      </c>
      <c r="E51" s="39" t="s">
        <v>61</v>
      </c>
    </row>
    <row r="52" spans="1:5" s="3" customFormat="1" ht="16.5" customHeight="1" x14ac:dyDescent="0.5">
      <c r="A52" s="3" t="s">
        <v>62</v>
      </c>
      <c r="B52" s="19">
        <v>1071</v>
      </c>
      <c r="C52" s="19">
        <v>895</v>
      </c>
      <c r="D52" s="25">
        <f>C52/B52*100</f>
        <v>83.566760037348274</v>
      </c>
      <c r="E52" s="39" t="s">
        <v>63</v>
      </c>
    </row>
    <row r="53" spans="1:5" s="3" customFormat="1" ht="16.5" customHeight="1" x14ac:dyDescent="0.5">
      <c r="A53" s="3" t="s">
        <v>64</v>
      </c>
      <c r="B53" s="19">
        <v>252</v>
      </c>
      <c r="C53" s="19">
        <v>208</v>
      </c>
      <c r="D53" s="25">
        <f t="shared" ref="D53:D54" si="2">C53/B53*100</f>
        <v>82.539682539682531</v>
      </c>
      <c r="E53" s="39" t="s">
        <v>65</v>
      </c>
    </row>
    <row r="54" spans="1:5" s="45" customFormat="1" ht="16.5" customHeight="1" x14ac:dyDescent="0.25">
      <c r="A54" s="59" t="s">
        <v>66</v>
      </c>
      <c r="B54" s="31">
        <v>178</v>
      </c>
      <c r="C54" s="31">
        <v>171</v>
      </c>
      <c r="D54" s="32">
        <f t="shared" si="2"/>
        <v>96.067415730337075</v>
      </c>
      <c r="E54" s="33" t="s">
        <v>67</v>
      </c>
    </row>
    <row r="55" spans="1:5" s="4" customFormat="1" ht="18.75" x14ac:dyDescent="0.5">
      <c r="A55" s="37" t="s">
        <v>68</v>
      </c>
      <c r="B55" s="34">
        <f>SUM(B56:B61)</f>
        <v>51203</v>
      </c>
      <c r="C55" s="34">
        <f>SUM(C56:C61)</f>
        <v>44046</v>
      </c>
      <c r="D55" s="35">
        <f t="shared" si="1"/>
        <v>86.022303380661285</v>
      </c>
      <c r="E55" s="38" t="s">
        <v>69</v>
      </c>
    </row>
    <row r="56" spans="1:5" s="3" customFormat="1" ht="17.25" customHeight="1" x14ac:dyDescent="0.5">
      <c r="A56" s="3" t="s">
        <v>70</v>
      </c>
      <c r="B56" s="19">
        <v>13102</v>
      </c>
      <c r="C56" s="19">
        <v>11203</v>
      </c>
      <c r="D56" s="25">
        <f t="shared" si="1"/>
        <v>85.506029613799413</v>
      </c>
      <c r="E56" s="39" t="s">
        <v>71</v>
      </c>
    </row>
    <row r="57" spans="1:5" s="3" customFormat="1" ht="14.25" customHeight="1" x14ac:dyDescent="0.5">
      <c r="A57" s="3" t="s">
        <v>72</v>
      </c>
      <c r="B57" s="19">
        <v>6167</v>
      </c>
      <c r="C57" s="19">
        <v>5129</v>
      </c>
      <c r="D57" s="25">
        <f t="shared" si="1"/>
        <v>83.1684773796011</v>
      </c>
      <c r="E57" s="39" t="s">
        <v>73</v>
      </c>
    </row>
    <row r="58" spans="1:5" s="3" customFormat="1" ht="14.25" customHeight="1" x14ac:dyDescent="0.5">
      <c r="A58" s="3" t="s">
        <v>74</v>
      </c>
      <c r="B58" s="19">
        <v>8478</v>
      </c>
      <c r="C58" s="19">
        <v>7124</v>
      </c>
      <c r="D58" s="25">
        <f t="shared" si="1"/>
        <v>84.029252182118412</v>
      </c>
      <c r="E58" s="39" t="s">
        <v>75</v>
      </c>
    </row>
    <row r="59" spans="1:5" s="40" customFormat="1" ht="13.5" customHeight="1" x14ac:dyDescent="0.5">
      <c r="A59" s="3" t="s">
        <v>76</v>
      </c>
      <c r="B59" s="19">
        <v>12629</v>
      </c>
      <c r="C59" s="19">
        <v>10581</v>
      </c>
      <c r="D59" s="25">
        <f t="shared" si="1"/>
        <v>83.783355768469391</v>
      </c>
      <c r="E59" s="39" t="s">
        <v>77</v>
      </c>
    </row>
    <row r="60" spans="1:5" s="3" customFormat="1" ht="13.5" customHeight="1" x14ac:dyDescent="0.5">
      <c r="A60" s="3" t="s">
        <v>78</v>
      </c>
      <c r="B60" s="19">
        <v>3623</v>
      </c>
      <c r="C60" s="19">
        <v>3292</v>
      </c>
      <c r="D60" s="25">
        <f t="shared" si="1"/>
        <v>90.863924924096054</v>
      </c>
      <c r="E60" s="39" t="s">
        <v>79</v>
      </c>
    </row>
    <row r="61" spans="1:5" s="3" customFormat="1" ht="18.75" x14ac:dyDescent="0.5">
      <c r="A61" s="41" t="s">
        <v>80</v>
      </c>
      <c r="B61" s="31">
        <v>7204</v>
      </c>
      <c r="C61" s="31">
        <v>6717</v>
      </c>
      <c r="D61" s="32">
        <f t="shared" si="1"/>
        <v>93.239866740699611</v>
      </c>
      <c r="E61" s="42" t="s">
        <v>81</v>
      </c>
    </row>
    <row r="62" spans="1:5" s="3" customFormat="1" ht="37.5" x14ac:dyDescent="0.2">
      <c r="A62" s="43" t="s">
        <v>82</v>
      </c>
      <c r="B62" s="34">
        <f>SUM(B63:B65)</f>
        <v>1055</v>
      </c>
      <c r="C62" s="34">
        <f>SUM(C63:C65)</f>
        <v>995</v>
      </c>
      <c r="D62" s="35">
        <f t="shared" si="1"/>
        <v>94.312796208530798</v>
      </c>
      <c r="E62" s="44" t="s">
        <v>83</v>
      </c>
    </row>
    <row r="63" spans="1:5" s="60" customFormat="1" ht="13.5" customHeight="1" x14ac:dyDescent="0.25">
      <c r="A63" s="60" t="s">
        <v>24</v>
      </c>
      <c r="B63" s="61">
        <v>709</v>
      </c>
      <c r="C63" s="61">
        <v>665</v>
      </c>
      <c r="D63" s="62">
        <f t="shared" si="1"/>
        <v>93.794076163610711</v>
      </c>
      <c r="E63" s="63" t="s">
        <v>25</v>
      </c>
    </row>
    <row r="64" spans="1:5" s="60" customFormat="1" ht="13.5" customHeight="1" x14ac:dyDescent="0.25">
      <c r="A64" s="60" t="s">
        <v>40</v>
      </c>
      <c r="B64" s="61">
        <v>141</v>
      </c>
      <c r="C64" s="61">
        <v>140</v>
      </c>
      <c r="D64" s="62">
        <f t="shared" si="1"/>
        <v>99.290780141843967</v>
      </c>
      <c r="E64" s="63" t="s">
        <v>41</v>
      </c>
    </row>
    <row r="65" spans="1:5" s="60" customFormat="1" ht="13.5" customHeight="1" x14ac:dyDescent="0.25">
      <c r="A65" s="64" t="s">
        <v>42</v>
      </c>
      <c r="B65" s="65">
        <v>205</v>
      </c>
      <c r="C65" s="65">
        <v>190</v>
      </c>
      <c r="D65" s="66">
        <f t="shared" si="1"/>
        <v>92.682926829268297</v>
      </c>
      <c r="E65" s="67" t="s">
        <v>43</v>
      </c>
    </row>
    <row r="66" spans="1:5" s="60" customFormat="1" ht="13.5" customHeight="1" x14ac:dyDescent="0.25">
      <c r="A66" s="68" t="s">
        <v>84</v>
      </c>
      <c r="B66" s="69">
        <f>SUM(B67:B75)</f>
        <v>5166</v>
      </c>
      <c r="C66" s="69">
        <f>SUM(C67:C75)</f>
        <v>4836</v>
      </c>
      <c r="D66" s="70">
        <f t="shared" si="1"/>
        <v>93.61207897793264</v>
      </c>
      <c r="E66" s="71" t="s">
        <v>85</v>
      </c>
    </row>
    <row r="67" spans="1:5" s="60" customFormat="1" ht="13.5" customHeight="1" x14ac:dyDescent="0.25">
      <c r="A67" s="60" t="s">
        <v>10</v>
      </c>
      <c r="B67" s="61">
        <v>123</v>
      </c>
      <c r="C67" s="61">
        <v>115</v>
      </c>
      <c r="D67" s="62">
        <f t="shared" si="1"/>
        <v>93.495934959349597</v>
      </c>
      <c r="E67" s="63" t="s">
        <v>11</v>
      </c>
    </row>
    <row r="68" spans="1:5" s="60" customFormat="1" ht="13.5" customHeight="1" x14ac:dyDescent="0.25">
      <c r="A68" s="60" t="s">
        <v>16</v>
      </c>
      <c r="B68" s="61">
        <v>218</v>
      </c>
      <c r="C68" s="61">
        <v>201</v>
      </c>
      <c r="D68" s="62">
        <f t="shared" si="1"/>
        <v>92.201834862385326</v>
      </c>
      <c r="E68" s="63" t="s">
        <v>17</v>
      </c>
    </row>
    <row r="69" spans="1:5" s="72" customFormat="1" ht="13.5" customHeight="1" x14ac:dyDescent="0.25">
      <c r="A69" s="60" t="s">
        <v>20</v>
      </c>
      <c r="B69" s="61">
        <v>357</v>
      </c>
      <c r="C69" s="61">
        <v>336</v>
      </c>
      <c r="D69" s="62">
        <f t="shared" si="1"/>
        <v>94.117647058823522</v>
      </c>
      <c r="E69" s="63" t="s">
        <v>21</v>
      </c>
    </row>
    <row r="70" spans="1:5" s="60" customFormat="1" ht="13.5" customHeight="1" x14ac:dyDescent="0.25">
      <c r="A70" s="60" t="s">
        <v>22</v>
      </c>
      <c r="B70" s="61">
        <v>111</v>
      </c>
      <c r="C70" s="61">
        <v>105</v>
      </c>
      <c r="D70" s="62">
        <f t="shared" si="1"/>
        <v>94.594594594594597</v>
      </c>
      <c r="E70" s="63" t="s">
        <v>23</v>
      </c>
    </row>
    <row r="71" spans="1:5" s="60" customFormat="1" ht="13.5" customHeight="1" x14ac:dyDescent="0.25">
      <c r="A71" s="60" t="s">
        <v>24</v>
      </c>
      <c r="B71" s="61">
        <v>2725</v>
      </c>
      <c r="C71" s="61">
        <v>2560</v>
      </c>
      <c r="D71" s="62">
        <f t="shared" si="1"/>
        <v>93.944954128440372</v>
      </c>
      <c r="E71" s="63" t="s">
        <v>25</v>
      </c>
    </row>
    <row r="72" spans="1:5" s="60" customFormat="1" ht="13.5" customHeight="1" x14ac:dyDescent="0.25">
      <c r="A72" s="60" t="s">
        <v>26</v>
      </c>
      <c r="B72" s="61">
        <v>624</v>
      </c>
      <c r="C72" s="61">
        <v>590</v>
      </c>
      <c r="D72" s="62">
        <f t="shared" si="1"/>
        <v>94.551282051282044</v>
      </c>
      <c r="E72" s="63" t="s">
        <v>27</v>
      </c>
    </row>
    <row r="73" spans="1:5" s="60" customFormat="1" ht="13.5" customHeight="1" x14ac:dyDescent="0.25">
      <c r="A73" s="60" t="s">
        <v>28</v>
      </c>
      <c r="B73" s="61">
        <v>405</v>
      </c>
      <c r="C73" s="61">
        <v>380</v>
      </c>
      <c r="D73" s="62">
        <f t="shared" si="1"/>
        <v>93.827160493827151</v>
      </c>
      <c r="E73" s="63" t="s">
        <v>29</v>
      </c>
    </row>
    <row r="74" spans="1:5" s="73" customFormat="1" ht="13.5" customHeight="1" x14ac:dyDescent="0.25">
      <c r="A74" s="60" t="s">
        <v>36</v>
      </c>
      <c r="B74" s="61">
        <v>374</v>
      </c>
      <c r="C74" s="61">
        <v>341</v>
      </c>
      <c r="D74" s="62">
        <f t="shared" si="1"/>
        <v>91.17647058823529</v>
      </c>
      <c r="E74" s="63" t="s">
        <v>37</v>
      </c>
    </row>
    <row r="75" spans="1:5" s="73" customFormat="1" ht="13.5" customHeight="1" x14ac:dyDescent="0.25">
      <c r="A75" s="64" t="s">
        <v>18</v>
      </c>
      <c r="B75" s="65">
        <v>229</v>
      </c>
      <c r="C75" s="65">
        <v>208</v>
      </c>
      <c r="D75" s="66">
        <f>C75/B75*100</f>
        <v>90.829694323144111</v>
      </c>
      <c r="E75" s="67" t="s">
        <v>19</v>
      </c>
    </row>
    <row r="76" spans="1:5" s="73" customFormat="1" ht="13.5" customHeight="1" x14ac:dyDescent="0.25">
      <c r="A76" s="68" t="s">
        <v>86</v>
      </c>
      <c r="B76" s="69">
        <f>SUM(B77:B80)</f>
        <v>5887</v>
      </c>
      <c r="C76" s="69">
        <f>SUM(C77:C80)</f>
        <v>5010</v>
      </c>
      <c r="D76" s="70">
        <f t="shared" si="1"/>
        <v>85.102768812638018</v>
      </c>
      <c r="E76" s="74" t="s">
        <v>87</v>
      </c>
    </row>
    <row r="77" spans="1:5" s="73" customFormat="1" ht="13.5" customHeight="1" x14ac:dyDescent="0.25">
      <c r="A77" s="60" t="s">
        <v>88</v>
      </c>
      <c r="B77" s="61">
        <v>2788</v>
      </c>
      <c r="C77" s="61">
        <v>2469</v>
      </c>
      <c r="D77" s="62">
        <f t="shared" si="1"/>
        <v>88.558106169296991</v>
      </c>
      <c r="E77" s="63" t="s">
        <v>89</v>
      </c>
    </row>
    <row r="78" spans="1:5" s="73" customFormat="1" ht="13.5" customHeight="1" x14ac:dyDescent="0.25">
      <c r="A78" s="60" t="s">
        <v>90</v>
      </c>
      <c r="B78" s="61">
        <v>1858</v>
      </c>
      <c r="C78" s="61">
        <v>1626</v>
      </c>
      <c r="D78" s="62">
        <f t="shared" si="1"/>
        <v>87.513455328310002</v>
      </c>
      <c r="E78" s="63" t="s">
        <v>91</v>
      </c>
    </row>
    <row r="79" spans="1:5" s="73" customFormat="1" ht="13.5" customHeight="1" x14ac:dyDescent="0.25">
      <c r="A79" s="60" t="s">
        <v>92</v>
      </c>
      <c r="B79" s="61">
        <v>687</v>
      </c>
      <c r="C79" s="61">
        <v>521</v>
      </c>
      <c r="D79" s="62">
        <f t="shared" si="1"/>
        <v>75.836972343522561</v>
      </c>
      <c r="E79" s="63" t="s">
        <v>93</v>
      </c>
    </row>
    <row r="80" spans="1:5" s="73" customFormat="1" ht="13.5" customHeight="1" x14ac:dyDescent="0.25">
      <c r="A80" s="75" t="s">
        <v>94</v>
      </c>
      <c r="B80" s="76">
        <v>554</v>
      </c>
      <c r="C80" s="76">
        <v>394</v>
      </c>
      <c r="D80" s="77">
        <f t="shared" si="1"/>
        <v>71.119133574007222</v>
      </c>
      <c r="E80" s="78" t="s">
        <v>95</v>
      </c>
    </row>
    <row r="81" spans="1:5" s="6" customFormat="1" ht="15.75" customHeight="1" x14ac:dyDescent="0.2">
      <c r="A81" s="56" t="s">
        <v>96</v>
      </c>
      <c r="B81" s="56"/>
      <c r="C81" s="56"/>
      <c r="D81" s="56"/>
      <c r="E81" s="56"/>
    </row>
    <row r="82" spans="1:5" x14ac:dyDescent="0.25">
      <c r="A82" s="57" t="s">
        <v>97</v>
      </c>
      <c r="B82" s="57"/>
      <c r="C82" s="57"/>
      <c r="D82" s="57"/>
      <c r="E82" s="57"/>
    </row>
    <row r="83" spans="1:5" x14ac:dyDescent="0.25">
      <c r="A83" s="9" t="s">
        <v>0</v>
      </c>
      <c r="B83" s="8"/>
      <c r="C83" s="8"/>
      <c r="D83" s="8"/>
      <c r="E83" s="46"/>
    </row>
    <row r="84" spans="1:5" ht="7.5" customHeight="1" x14ac:dyDescent="0.25">
      <c r="B84" s="47"/>
      <c r="C84" s="47"/>
      <c r="D84" s="48"/>
      <c r="E84" s="6"/>
    </row>
    <row r="85" spans="1:5" s="2" customFormat="1" ht="16.5" customHeight="1" x14ac:dyDescent="0.25">
      <c r="A85" s="58" t="s">
        <v>98</v>
      </c>
      <c r="B85" s="58"/>
      <c r="C85" s="58"/>
      <c r="D85" s="58"/>
      <c r="E85" s="58"/>
    </row>
    <row r="86" spans="1:5" s="11" customFormat="1" ht="20.25" customHeight="1" x14ac:dyDescent="0.25">
      <c r="A86" s="58" t="s">
        <v>99</v>
      </c>
      <c r="B86" s="58"/>
      <c r="C86" s="58"/>
      <c r="D86" s="58"/>
      <c r="E86" s="58"/>
    </row>
    <row r="87" spans="1:5" s="3" customFormat="1" ht="16.5" customHeight="1" x14ac:dyDescent="0.45">
      <c r="A87" s="6"/>
      <c r="B87" s="47"/>
      <c r="C87" s="47"/>
      <c r="D87" s="49"/>
      <c r="E87" s="7" t="s">
        <v>1</v>
      </c>
    </row>
  </sheetData>
  <mergeCells count="8">
    <mergeCell ref="A82:E82"/>
    <mergeCell ref="A1:E1"/>
    <mergeCell ref="A2:E2"/>
    <mergeCell ref="A4:A5"/>
    <mergeCell ref="E4:E5"/>
    <mergeCell ref="A81:E81"/>
    <mergeCell ref="A85:E85"/>
    <mergeCell ref="A86:E86"/>
  </mergeCells>
  <pageMargins left="0.70866141732283472" right="0.70866141732283472" top="0.74803149606299213" bottom="0.74803149606299213" header="0.31496062992125984" footer="0.31496062992125984"/>
  <pageSetup scale="80" orientation="portrait" horizontalDpi="0" verticalDpi="0" r:id="rId1"/>
  <rowBreaks count="1" manualBreakCount="1">
    <brk id="5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20.4</vt:lpstr>
      <vt:lpstr>'20.4'!Print_Area</vt:lpstr>
      <vt:lpstr>'20.4'!Print_Titles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2021-06-20T07:41:05Z</cp:lastPrinted>
  <dcterms:created xsi:type="dcterms:W3CDTF">2019-09-10T03:17:03Z</dcterms:created>
  <dcterms:modified xsi:type="dcterms:W3CDTF">2021-06-20T07:48:42Z</dcterms:modified>
</cp:coreProperties>
</file>