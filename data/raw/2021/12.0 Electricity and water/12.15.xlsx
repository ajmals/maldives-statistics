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15" sheetId="20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'12.15'!$A$1:$I$45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41" i="20" l="1"/>
  <c r="BH42" i="20"/>
  <c r="BH43" i="20"/>
  <c r="BH44" i="20"/>
  <c r="BH45" i="20"/>
  <c r="BH40" i="20"/>
  <c r="H23" i="20" l="1"/>
  <c r="H22" i="20"/>
</calcChain>
</file>

<file path=xl/sharedStrings.xml><?xml version="1.0" encoding="utf-8"?>
<sst xmlns="http://schemas.openxmlformats.org/spreadsheetml/2006/main" count="48" uniqueCount="27">
  <si>
    <t>Year</t>
  </si>
  <si>
    <t>Number of islands</t>
  </si>
  <si>
    <t>Number of tons supplied</t>
  </si>
  <si>
    <r>
      <t xml:space="preserve">Total Expenses                                           </t>
    </r>
    <r>
      <rPr>
        <b/>
        <sz val="11"/>
        <color theme="1"/>
        <rFont val="Faruma"/>
      </rPr>
      <t xml:space="preserve">    ޖުމްލަ ޚަރަދު</t>
    </r>
  </si>
  <si>
    <t xml:space="preserve">Expenses on average for ton
(MVR) </t>
  </si>
  <si>
    <t>Cost of water
(MVR)</t>
  </si>
  <si>
    <t>Cost of transport
(MVR)</t>
  </si>
  <si>
    <t>Total cost*
(MVR)</t>
  </si>
  <si>
    <t>އަހަރު</t>
  </si>
  <si>
    <t>ރަށުގެ އަދަދު</t>
  </si>
  <si>
    <t>ފޯރުކޮށްދެވުނު ޓަނުގެ އަދަދު</t>
  </si>
  <si>
    <t>ފެނުގެ ޚަރަދު</t>
  </si>
  <si>
    <t>އުފުލުމުގެ (ދަތުރުފަތުރު) ޚަރަދު</t>
  </si>
  <si>
    <t>ޖުމްލަ ޚަރަދު</t>
  </si>
  <si>
    <t xml:space="preserve">އެވަރެކްޖޮށް ޓަނަކަށް </t>
  </si>
  <si>
    <t xml:space="preserve">ހިނގި ޚަރަދު </t>
  </si>
  <si>
    <t>-</t>
  </si>
  <si>
    <t>Note: * Expenditure on water and transport that cannot be separated are given                under total cost</t>
  </si>
  <si>
    <t xml:space="preserve">ނޯޓް: ފެނުގެ ޚަރަދާއި އުފުލުމުގެ ޚަރަދު ވަކިން ބެލެހެއްޓިފައިނުވާތީ މަޢުލޫމާތުތައް ހިމެނިފައިއެވަނީ ޖުމްލަ ޚަރަދުގެ ގޮތުގައެވެ. </t>
  </si>
  <si>
    <t>Total cost</t>
  </si>
  <si>
    <t xml:space="preserve">water not supplied </t>
  </si>
  <si>
    <t>މަޢުލޫމާތު ދެއްވި ފަރާތް: ނޭޝަނަލް ޑިޒާސްޓަރ މެނޭޖްމަންޓް ސެންޓަރ</t>
  </si>
  <si>
    <t xml:space="preserve"> މިނިސްޓްރީ އޮފް އެންވަޔަރަންމަންޓް</t>
  </si>
  <si>
    <t>Source: National Dissaster Management Centre (2005 - 2016)</t>
  </si>
  <si>
    <t xml:space="preserve"> Ministry of Environment (2017 - 2020)</t>
  </si>
  <si>
    <t>TABLE 12.15: SUPPLY OF WATER ON EMERGENCY BY  NUMBER OF ISLANDS , QUANTITY AND EXPENDITURE , 2005 - 2020</t>
  </si>
  <si>
    <t xml:space="preserve">ތާވަލު 12.15: އެމަޖެންސީ ފެންފޯރުކޮށްދެވުނު ރަށްތަކުގެ އަދަދާއި މިންވަރު އަދި ހިނގި ޚަރަދު، 2005 - 2020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</si>
</sst>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1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0" fontId="0" fillId="2" borderId="0" xfId="0" applyFill="1"/>
    <xf numFmtId="0" fontId="0" fillId="2" borderId="0" xfId="0" applyFill="1" applyBorder="1"/>
    <xf numFmtId="3" fontId="0" fillId="2" borderId="0" xfId="1" applyNumberFormat="1" applyFont="1" applyFill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37" fontId="0" fillId="2" borderId="0" xfId="0" applyNumberFormat="1" applyFill="1"/>
    <xf numFmtId="0" fontId="9" fillId="2" borderId="0" xfId="0" applyFont="1" applyFill="1" applyBorder="1" applyAlignment="1"/>
    <xf numFmtId="0" fontId="7" fillId="2" borderId="4" xfId="0" applyFont="1" applyFill="1" applyBorder="1" applyAlignment="1">
      <alignment horizontal="right" wrapText="1"/>
    </xf>
    <xf numFmtId="0" fontId="9" fillId="2" borderId="0" xfId="0" applyFont="1" applyFill="1" applyAlignment="1"/>
    <xf numFmtId="0" fontId="7" fillId="2" borderId="2" xfId="0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wrapText="1"/>
    </xf>
    <xf numFmtId="0" fontId="13" fillId="2" borderId="3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1" fontId="0" fillId="2" borderId="0" xfId="0" applyNumberFormat="1" applyFont="1" applyFill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>
      <alignment horizontal="right"/>
    </xf>
    <xf numFmtId="3" fontId="0" fillId="2" borderId="0" xfId="1" applyNumberFormat="1" applyFont="1" applyFill="1" applyAlignment="1">
      <alignment horizontal="right"/>
    </xf>
    <xf numFmtId="3" fontId="0" fillId="2" borderId="0" xfId="0" applyNumberFormat="1" applyFont="1" applyFill="1"/>
    <xf numFmtId="1" fontId="0" fillId="2" borderId="0" xfId="1" applyNumberFormat="1" applyFont="1" applyFill="1" applyAlignment="1">
      <alignment horizontal="right"/>
    </xf>
    <xf numFmtId="1" fontId="0" fillId="2" borderId="0" xfId="1" applyNumberFormat="1" applyFont="1" applyFill="1" applyAlignment="1">
      <alignment vertical="center"/>
    </xf>
    <xf numFmtId="3" fontId="0" fillId="2" borderId="0" xfId="1" applyNumberFormat="1" applyFont="1" applyFill="1" applyBorder="1" applyAlignment="1">
      <alignment horizontal="right" vertical="center"/>
    </xf>
    <xf numFmtId="1" fontId="0" fillId="2" borderId="0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 vertical="center"/>
    </xf>
    <xf numFmtId="1" fontId="0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/>
    </xf>
    <xf numFmtId="1" fontId="0" fillId="2" borderId="0" xfId="0" applyNumberForma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right" vertical="center"/>
    </xf>
    <xf numFmtId="3" fontId="5" fillId="2" borderId="1" xfId="1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3" fontId="0" fillId="2" borderId="1" xfId="1" applyNumberFormat="1" applyFont="1" applyFill="1" applyBorder="1" applyAlignment="1">
      <alignment horizontal="right"/>
    </xf>
    <xf numFmtId="3" fontId="0" fillId="2" borderId="0" xfId="0" applyNumberFormat="1" applyFill="1"/>
    <xf numFmtId="0" fontId="4" fillId="2" borderId="0" xfId="0" applyFont="1" applyFill="1" applyAlignment="1">
      <alignment horizontal="left" indent="4"/>
    </xf>
    <xf numFmtId="0" fontId="11" fillId="2" borderId="0" xfId="0" applyFont="1" applyFill="1" applyAlignment="1">
      <alignment horizontal="right" vertical="center" indent="10"/>
    </xf>
    <xf numFmtId="0" fontId="8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right" wrapText="1"/>
    </xf>
    <xf numFmtId="0" fontId="7" fillId="2" borderId="5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 2 2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3479664451066"/>
          <c:y val="0.14407583140468583"/>
          <c:w val="0.86498213162970095"/>
          <c:h val="0.76788627073263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numRef>
              <c:f>'12.15'!$BG$30:$BG$45</c:f>
              <c:numCache>
                <c:formatCode>0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'12.15'!$BH$30:$BH$45</c:f>
              <c:numCache>
                <c:formatCode>#,##0</c:formatCode>
                <c:ptCount val="16"/>
                <c:pt idx="0">
                  <c:v>2455200</c:v>
                </c:pt>
                <c:pt idx="1">
                  <c:v>2244000</c:v>
                </c:pt>
                <c:pt idx="2">
                  <c:v>2020500</c:v>
                </c:pt>
                <c:pt idx="3">
                  <c:v>1566000</c:v>
                </c:pt>
                <c:pt idx="4">
                  <c:v>7310472.2999999998</c:v>
                </c:pt>
                <c:pt idx="5" formatCode="General">
                  <c:v>0</c:v>
                </c:pt>
                <c:pt idx="6">
                  <c:v>2192390</c:v>
                </c:pt>
                <c:pt idx="7">
                  <c:v>4411289.87</c:v>
                </c:pt>
                <c:pt idx="8">
                  <c:v>1785398.5</c:v>
                </c:pt>
                <c:pt idx="9">
                  <c:v>3924657.9</c:v>
                </c:pt>
                <c:pt idx="10">
                  <c:v>7831774.3299999991</c:v>
                </c:pt>
                <c:pt idx="11">
                  <c:v>8139399.7400000012</c:v>
                </c:pt>
                <c:pt idx="12">
                  <c:v>4016386.67</c:v>
                </c:pt>
                <c:pt idx="13">
                  <c:v>3345509.23</c:v>
                </c:pt>
                <c:pt idx="14">
                  <c:v>11043280.689999999</c:v>
                </c:pt>
                <c:pt idx="15">
                  <c:v>9213843.4399999976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E-4EB2-96C1-FD816A44C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-1417851760"/>
        <c:axId val="-1417847408"/>
      </c:barChart>
      <c:catAx>
        <c:axId val="-14178517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-1417847408"/>
        <c:crosses val="autoZero"/>
        <c:auto val="1"/>
        <c:lblAlgn val="ctr"/>
        <c:lblOffset val="100"/>
        <c:noMultiLvlLbl val="0"/>
      </c:catAx>
      <c:valAx>
        <c:axId val="-1417847408"/>
        <c:scaling>
          <c:orientation val="minMax"/>
        </c:scaling>
        <c:delete val="0"/>
        <c:axPos val="l"/>
        <c:majorGridlines>
          <c:spPr>
            <a:ln>
              <a:solidFill>
                <a:srgbClr val="C7F2F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anchor="ctr" anchorCtr="0"/>
          <a:lstStyle/>
          <a:p>
            <a:pPr>
              <a:defRPr/>
            </a:pPr>
            <a:endParaRPr lang="en-US"/>
          </a:p>
        </c:txPr>
        <c:crossAx val="-1417851760"/>
        <c:crosses val="autoZero"/>
        <c:crossBetween val="between"/>
      </c:valAx>
      <c:spPr>
        <a:noFill/>
        <a:ln w="19050">
          <a:solidFill>
            <a:srgbClr val="C7F2F1"/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487564</xdr:colOff>
      <xdr:row>27</xdr:row>
      <xdr:rowOff>115131</xdr:rowOff>
    </xdr:from>
    <xdr:to>
      <xdr:col>7</xdr:col>
      <xdr:colOff>876300</xdr:colOff>
      <xdr:row>43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0.13792</cdr:x>
      <cdr:y>0.02244</cdr:y>
    </cdr:from>
    <cdr:to>
      <cdr:x>0.96599</cdr:x>
      <cdr:y>0.12292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916716" y="69415"/>
          <a:ext cx="5503888" cy="31075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05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</a:t>
          </a:r>
          <a:r>
            <a:rPr lang="en-US" sz="105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12.9</a:t>
          </a:r>
          <a:r>
            <a:rPr lang="en-US" sz="10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: </a:t>
          </a:r>
          <a:r>
            <a:rPr lang="en-US" sz="105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Expenditure on supply of water on emergency, 2005 -  2020</a:t>
          </a:r>
          <a:endParaRPr lang="en-US" sz="10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0.02298</cdr:x>
      <cdr:y>0.06706</cdr:y>
    </cdr:from>
    <cdr:to>
      <cdr:x>0.14231</cdr:x>
      <cdr:y>0.12012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2882" y="207409"/>
          <a:ext cx="793715" cy="1641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100" b="1"/>
            <a:t>in</a:t>
          </a:r>
          <a:r>
            <a:rPr lang="en-US" sz="1100" b="1" baseline="0"/>
            <a:t> mvr</a:t>
          </a:r>
          <a:endParaRPr lang="en-US" sz="1100" b="1"/>
        </a:p>
      </cdr:txBody>
    </cdr:sp>
  </cdr:relSizeAnchor>
  <cdr:relSizeAnchor xmlns:cdr="http://schemas.openxmlformats.org/drawingml/2006/chartDrawing">
    <cdr:from>
      <cdr:x>0.36134</cdr:x>
      <cdr:y>0.8197</cdr:y>
    </cdr:from>
    <cdr:to>
      <cdr:x>0.45421</cdr:x>
      <cdr:y>0.89803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401705" y="2535228"/>
          <a:ext cx="617275" cy="242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700" b="0"/>
            <a:t> water not supplied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H45"/>
  <sheetViews>
    <sheetView tabSelected="1" zoomScaleNormal="100" workbookViewId="0">
      <selection activeCell="M11" sqref="M11"/>
    </sheetView>
  </sheetViews>
  <sheetFormatPr defaultColWidth="9.140625" defaultRowHeight="15" x14ac:dyDescent="0.25"/>
  <cols>
    <col min="1" max="1" width="10.42578125" style="3" customWidth="1"/>
    <col min="2" max="2" width="11.42578125" style="3" customWidth="1"/>
    <col min="3" max="3" width="17.28515625" style="3" customWidth="1"/>
    <col min="4" max="4" width="1.85546875" style="3" customWidth="1"/>
    <col min="5" max="5" width="17.5703125" style="3" customWidth="1"/>
    <col min="6" max="6" width="17.7109375" style="3" customWidth="1"/>
    <col min="7" max="7" width="17.5703125" style="3" customWidth="1"/>
    <col min="8" max="8" width="23.5703125" style="3" customWidth="1"/>
    <col min="9" max="59" width="9.140625" style="3"/>
    <col min="60" max="60" width="17.140625" style="3" customWidth="1"/>
    <col min="61" max="16384" width="9.140625" style="3"/>
  </cols>
  <sheetData>
    <row r="2" spans="1:56" s="4" customFormat="1" ht="21.75" x14ac:dyDescent="0.55000000000000004">
      <c r="A2" s="43" t="s">
        <v>26</v>
      </c>
      <c r="B2" s="43"/>
      <c r="C2" s="43"/>
      <c r="D2" s="43"/>
      <c r="E2" s="43"/>
      <c r="F2" s="43"/>
      <c r="G2" s="43"/>
      <c r="H2" s="43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 spans="1:56" ht="15.75" x14ac:dyDescent="0.25">
      <c r="A3" s="44" t="s">
        <v>25</v>
      </c>
      <c r="B3" s="44"/>
      <c r="C3" s="44"/>
      <c r="D3" s="44"/>
      <c r="E3" s="44"/>
      <c r="F3" s="44"/>
      <c r="G3" s="44"/>
      <c r="H3" s="44"/>
    </row>
    <row r="4" spans="1:56" ht="21" x14ac:dyDescent="0.55000000000000004">
      <c r="A4" s="45"/>
      <c r="B4" s="47" t="s">
        <v>1</v>
      </c>
      <c r="C4" s="49" t="s">
        <v>2</v>
      </c>
      <c r="D4" s="9"/>
      <c r="E4" s="51" t="s">
        <v>3</v>
      </c>
      <c r="F4" s="51"/>
      <c r="G4" s="51"/>
      <c r="H4" s="49" t="s">
        <v>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</row>
    <row r="5" spans="1:56" s="13" customFormat="1" ht="30" x14ac:dyDescent="0.25">
      <c r="A5" s="46"/>
      <c r="B5" s="48"/>
      <c r="C5" s="50"/>
      <c r="D5" s="11"/>
      <c r="E5" s="12" t="s">
        <v>5</v>
      </c>
      <c r="F5" s="12" t="s">
        <v>6</v>
      </c>
      <c r="G5" s="12" t="s">
        <v>7</v>
      </c>
      <c r="H5" s="50"/>
    </row>
    <row r="6" spans="1:56" s="15" customFormat="1" ht="18.75" x14ac:dyDescent="0.25">
      <c r="A6" s="56" t="s">
        <v>8</v>
      </c>
      <c r="B6" s="52" t="s">
        <v>9</v>
      </c>
      <c r="C6" s="52" t="s">
        <v>10</v>
      </c>
      <c r="D6" s="14"/>
      <c r="E6" s="52" t="s">
        <v>11</v>
      </c>
      <c r="F6" s="52" t="s">
        <v>12</v>
      </c>
      <c r="G6" s="52" t="s">
        <v>13</v>
      </c>
      <c r="H6" s="14" t="s">
        <v>14</v>
      </c>
    </row>
    <row r="7" spans="1:56" s="15" customFormat="1" ht="18.75" x14ac:dyDescent="0.25">
      <c r="A7" s="57"/>
      <c r="B7" s="53"/>
      <c r="C7" s="53"/>
      <c r="D7" s="16"/>
      <c r="E7" s="53"/>
      <c r="F7" s="53"/>
      <c r="G7" s="53"/>
      <c r="H7" s="16" t="s">
        <v>15</v>
      </c>
    </row>
    <row r="8" spans="1:56" s="1" customFormat="1" x14ac:dyDescent="0.25">
      <c r="A8" s="17">
        <v>2005</v>
      </c>
      <c r="B8" s="18">
        <v>91</v>
      </c>
      <c r="C8" s="19">
        <v>2728</v>
      </c>
      <c r="D8" s="19"/>
      <c r="E8" s="19" t="s">
        <v>16</v>
      </c>
      <c r="F8" s="19" t="s">
        <v>16</v>
      </c>
      <c r="G8" s="19">
        <v>2455200</v>
      </c>
      <c r="H8" s="20">
        <v>900</v>
      </c>
      <c r="J8" s="15"/>
      <c r="BD8" s="21"/>
    </row>
    <row r="9" spans="1:56" s="1" customFormat="1" x14ac:dyDescent="0.25">
      <c r="A9" s="17">
        <v>2006</v>
      </c>
      <c r="B9" s="22">
        <v>86</v>
      </c>
      <c r="C9" s="20">
        <v>2805</v>
      </c>
      <c r="D9" s="20"/>
      <c r="E9" s="19" t="s">
        <v>16</v>
      </c>
      <c r="F9" s="19" t="s">
        <v>16</v>
      </c>
      <c r="G9" s="5">
        <v>2244000</v>
      </c>
      <c r="H9" s="20">
        <v>800</v>
      </c>
      <c r="J9" s="15"/>
      <c r="BD9" s="21"/>
    </row>
    <row r="10" spans="1:56" s="1" customFormat="1" x14ac:dyDescent="0.25">
      <c r="A10" s="17">
        <v>2007</v>
      </c>
      <c r="B10" s="22">
        <v>82</v>
      </c>
      <c r="C10" s="20">
        <v>2694</v>
      </c>
      <c r="D10" s="20"/>
      <c r="E10" s="19" t="s">
        <v>16</v>
      </c>
      <c r="F10" s="19" t="s">
        <v>16</v>
      </c>
      <c r="G10" s="19">
        <v>2020500</v>
      </c>
      <c r="H10" s="20">
        <v>750</v>
      </c>
      <c r="J10" s="15"/>
      <c r="BD10" s="21"/>
    </row>
    <row r="11" spans="1:56" s="1" customFormat="1" x14ac:dyDescent="0.25">
      <c r="A11" s="17">
        <v>2008</v>
      </c>
      <c r="B11" s="22">
        <v>74</v>
      </c>
      <c r="C11" s="20">
        <v>2088</v>
      </c>
      <c r="D11" s="20"/>
      <c r="E11" s="19" t="s">
        <v>16</v>
      </c>
      <c r="F11" s="19" t="s">
        <v>16</v>
      </c>
      <c r="G11" s="19">
        <v>1566000</v>
      </c>
      <c r="H11" s="20">
        <v>750</v>
      </c>
      <c r="J11" s="15"/>
      <c r="BD11" s="21"/>
    </row>
    <row r="12" spans="1:56" s="1" customFormat="1" x14ac:dyDescent="0.25">
      <c r="A12" s="17">
        <v>2009</v>
      </c>
      <c r="B12" s="22">
        <v>88</v>
      </c>
      <c r="C12" s="20">
        <v>7469.01</v>
      </c>
      <c r="D12" s="20"/>
      <c r="E12" s="20">
        <v>747101</v>
      </c>
      <c r="F12" s="19">
        <v>6563371.2999999998</v>
      </c>
      <c r="G12" s="19">
        <v>7310472.2999999998</v>
      </c>
      <c r="H12" s="20">
        <v>978</v>
      </c>
      <c r="J12" s="15"/>
      <c r="BD12" s="21"/>
    </row>
    <row r="13" spans="1:56" s="1" customFormat="1" x14ac:dyDescent="0.25">
      <c r="A13" s="17">
        <v>2010</v>
      </c>
      <c r="B13" s="23">
        <v>0</v>
      </c>
      <c r="C13" s="5">
        <v>0</v>
      </c>
      <c r="D13" s="5"/>
      <c r="E13" s="24">
        <v>0</v>
      </c>
      <c r="F13" s="24">
        <v>0</v>
      </c>
      <c r="G13" s="24">
        <v>0</v>
      </c>
      <c r="H13" s="5">
        <v>0</v>
      </c>
      <c r="J13" s="15"/>
      <c r="BD13" s="21"/>
    </row>
    <row r="14" spans="1:56" s="1" customFormat="1" x14ac:dyDescent="0.25">
      <c r="A14" s="17">
        <v>2011</v>
      </c>
      <c r="B14" s="22">
        <v>85</v>
      </c>
      <c r="C14" s="19">
        <v>3920</v>
      </c>
      <c r="D14" s="19"/>
      <c r="E14" s="19">
        <v>391950</v>
      </c>
      <c r="F14" s="19">
        <v>1800440</v>
      </c>
      <c r="G14" s="19">
        <v>2192390</v>
      </c>
      <c r="H14" s="19">
        <v>559</v>
      </c>
      <c r="I14" s="2"/>
      <c r="J14" s="15"/>
      <c r="BD14" s="21"/>
    </row>
    <row r="15" spans="1:56" s="2" customFormat="1" x14ac:dyDescent="0.25">
      <c r="A15" s="17">
        <v>2012</v>
      </c>
      <c r="B15" s="25">
        <v>84</v>
      </c>
      <c r="C15" s="26">
        <v>2745.24</v>
      </c>
      <c r="D15" s="26"/>
      <c r="E15" s="19" t="s">
        <v>16</v>
      </c>
      <c r="F15" s="19" t="s">
        <v>16</v>
      </c>
      <c r="G15" s="19">
        <v>4411289.87</v>
      </c>
      <c r="H15" s="24">
        <v>1606</v>
      </c>
      <c r="J15" s="15"/>
      <c r="BD15" s="21"/>
    </row>
    <row r="16" spans="1:56" s="2" customFormat="1" x14ac:dyDescent="0.25">
      <c r="A16" s="17">
        <v>2013</v>
      </c>
      <c r="B16" s="25">
        <v>28</v>
      </c>
      <c r="C16" s="26">
        <v>1225</v>
      </c>
      <c r="D16" s="26"/>
      <c r="E16" s="19">
        <v>537362.5</v>
      </c>
      <c r="F16" s="19">
        <v>1248036</v>
      </c>
      <c r="G16" s="19">
        <v>1785398.5</v>
      </c>
      <c r="H16" s="19">
        <v>1457.47</v>
      </c>
      <c r="J16" s="15"/>
      <c r="BD16" s="21"/>
    </row>
    <row r="17" spans="1:60" s="2" customFormat="1" x14ac:dyDescent="0.25">
      <c r="A17" s="17">
        <v>2014</v>
      </c>
      <c r="B17" s="18">
        <v>77</v>
      </c>
      <c r="C17" s="27">
        <v>2909</v>
      </c>
      <c r="D17" s="27"/>
      <c r="E17" s="24">
        <v>349692</v>
      </c>
      <c r="F17" s="24">
        <v>3574966.15</v>
      </c>
      <c r="G17" s="24">
        <v>3924657.9</v>
      </c>
      <c r="H17" s="24">
        <v>1229.48</v>
      </c>
      <c r="J17" s="15"/>
      <c r="BD17" s="21"/>
    </row>
    <row r="18" spans="1:60" s="2" customFormat="1" x14ac:dyDescent="0.25">
      <c r="A18" s="17">
        <v>2015</v>
      </c>
      <c r="B18" s="19">
        <v>74</v>
      </c>
      <c r="C18" s="19">
        <v>2949</v>
      </c>
      <c r="D18" s="18"/>
      <c r="E18" s="19" t="s">
        <v>16</v>
      </c>
      <c r="F18" s="19" t="s">
        <v>16</v>
      </c>
      <c r="G18" s="24">
        <v>7831774.3299999991</v>
      </c>
      <c r="H18" s="24">
        <v>2655.7390064428619</v>
      </c>
      <c r="J18" s="15"/>
    </row>
    <row r="19" spans="1:60" s="2" customFormat="1" x14ac:dyDescent="0.25">
      <c r="A19" s="17">
        <v>2016</v>
      </c>
      <c r="B19" s="19">
        <v>79</v>
      </c>
      <c r="C19" s="19">
        <v>3747</v>
      </c>
      <c r="D19" s="18"/>
      <c r="E19" s="19" t="s">
        <v>16</v>
      </c>
      <c r="F19" s="19" t="s">
        <v>16</v>
      </c>
      <c r="G19" s="24">
        <v>8139399.7400000012</v>
      </c>
      <c r="H19" s="24">
        <v>2172.2443928476118</v>
      </c>
      <c r="J19" s="15"/>
    </row>
    <row r="20" spans="1:60" s="1" customFormat="1" x14ac:dyDescent="0.25">
      <c r="A20" s="17">
        <v>2017</v>
      </c>
      <c r="B20" s="18">
        <v>33</v>
      </c>
      <c r="C20" s="19">
        <v>1375.5</v>
      </c>
      <c r="D20" s="27"/>
      <c r="E20" s="19" t="s">
        <v>16</v>
      </c>
      <c r="F20" s="19" t="s">
        <v>16</v>
      </c>
      <c r="G20" s="24">
        <v>4016386.67</v>
      </c>
      <c r="H20" s="24">
        <v>2919.9466884769176</v>
      </c>
      <c r="J20" s="15"/>
    </row>
    <row r="21" spans="1:60" s="1" customFormat="1" x14ac:dyDescent="0.25">
      <c r="A21" s="17">
        <v>2018</v>
      </c>
      <c r="B21" s="18">
        <v>48</v>
      </c>
      <c r="C21" s="19">
        <v>1459.52</v>
      </c>
      <c r="D21" s="27"/>
      <c r="E21" s="19" t="s">
        <v>16</v>
      </c>
      <c r="F21" s="19" t="s">
        <v>16</v>
      </c>
      <c r="G21" s="24">
        <v>3345509.23</v>
      </c>
      <c r="H21" s="24">
        <v>2292.1982775158958</v>
      </c>
      <c r="J21" s="15"/>
    </row>
    <row r="22" spans="1:60" s="1" customFormat="1" x14ac:dyDescent="0.25">
      <c r="A22" s="17">
        <v>2019</v>
      </c>
      <c r="B22" s="18">
        <v>82</v>
      </c>
      <c r="C22" s="19">
        <v>3886.67</v>
      </c>
      <c r="D22" s="27"/>
      <c r="E22" s="19" t="s">
        <v>16</v>
      </c>
      <c r="F22" s="19" t="s">
        <v>16</v>
      </c>
      <c r="G22" s="24">
        <v>11043280.689999999</v>
      </c>
      <c r="H22" s="24">
        <f t="shared" ref="H22:H23" si="0">G22/C22</f>
        <v>2841.3219259674734</v>
      </c>
      <c r="J22" s="15"/>
    </row>
    <row r="23" spans="1:60" s="1" customFormat="1" x14ac:dyDescent="0.25">
      <c r="A23" s="28">
        <v>2020</v>
      </c>
      <c r="B23" s="36">
        <v>73</v>
      </c>
      <c r="C23" s="39">
        <v>3348.9599999999996</v>
      </c>
      <c r="D23" s="37"/>
      <c r="E23" s="39" t="s">
        <v>16</v>
      </c>
      <c r="F23" s="39" t="s">
        <v>16</v>
      </c>
      <c r="G23" s="6">
        <v>9213843.4399999976</v>
      </c>
      <c r="H23" s="6">
        <f t="shared" si="0"/>
        <v>2751.2551478668001</v>
      </c>
      <c r="J23" s="15"/>
    </row>
    <row r="24" spans="1:60" s="29" customFormat="1" ht="30" customHeight="1" x14ac:dyDescent="0.2">
      <c r="A24" s="54" t="s">
        <v>17</v>
      </c>
      <c r="B24" s="54"/>
      <c r="C24" s="54"/>
      <c r="D24" s="54"/>
      <c r="E24" s="54"/>
      <c r="F24" s="55" t="s">
        <v>18</v>
      </c>
      <c r="G24" s="55"/>
      <c r="H24" s="55"/>
    </row>
    <row r="25" spans="1:60" s="34" customFormat="1" ht="17.25" x14ac:dyDescent="0.45">
      <c r="A25" s="30" t="s">
        <v>23</v>
      </c>
      <c r="B25" s="31"/>
      <c r="C25" s="31"/>
      <c r="D25" s="31"/>
      <c r="E25" s="31"/>
      <c r="F25" s="32"/>
      <c r="G25" s="32"/>
      <c r="H25" s="33" t="s">
        <v>21</v>
      </c>
    </row>
    <row r="26" spans="1:60" ht="12.75" customHeight="1" x14ac:dyDescent="0.25">
      <c r="A26" s="41" t="s">
        <v>24</v>
      </c>
      <c r="E26" s="7"/>
      <c r="H26" s="42" t="s">
        <v>22</v>
      </c>
    </row>
    <row r="27" spans="1:60" x14ac:dyDescent="0.25">
      <c r="E27" s="7"/>
    </row>
    <row r="29" spans="1:60" x14ac:dyDescent="0.25">
      <c r="BG29" s="3" t="s">
        <v>0</v>
      </c>
      <c r="BH29" s="12" t="s">
        <v>19</v>
      </c>
    </row>
    <row r="30" spans="1:60" x14ac:dyDescent="0.25">
      <c r="BG30" s="17">
        <v>2005</v>
      </c>
      <c r="BH30" s="19">
        <v>2455200</v>
      </c>
    </row>
    <row r="31" spans="1:60" x14ac:dyDescent="0.25">
      <c r="BG31" s="17">
        <v>2006</v>
      </c>
      <c r="BH31" s="5">
        <v>2244000</v>
      </c>
    </row>
    <row r="32" spans="1:60" x14ac:dyDescent="0.25">
      <c r="BG32" s="17">
        <v>2007</v>
      </c>
      <c r="BH32" s="19">
        <v>2020500</v>
      </c>
    </row>
    <row r="33" spans="59:60" x14ac:dyDescent="0.25">
      <c r="BG33" s="17">
        <v>2008</v>
      </c>
      <c r="BH33" s="19">
        <v>1566000</v>
      </c>
    </row>
    <row r="34" spans="59:60" x14ac:dyDescent="0.25">
      <c r="BG34" s="17">
        <v>2009</v>
      </c>
      <c r="BH34" s="19">
        <v>7310472.2999999998</v>
      </c>
    </row>
    <row r="35" spans="59:60" x14ac:dyDescent="0.25">
      <c r="BG35" s="35">
        <v>2010</v>
      </c>
      <c r="BH35" s="38" t="s">
        <v>20</v>
      </c>
    </row>
    <row r="36" spans="59:60" x14ac:dyDescent="0.25">
      <c r="BG36" s="17">
        <v>2011</v>
      </c>
      <c r="BH36" s="19">
        <v>2192390</v>
      </c>
    </row>
    <row r="37" spans="59:60" x14ac:dyDescent="0.25">
      <c r="BG37" s="17">
        <v>2012</v>
      </c>
      <c r="BH37" s="19">
        <v>4411289.87</v>
      </c>
    </row>
    <row r="38" spans="59:60" x14ac:dyDescent="0.25">
      <c r="BG38" s="17">
        <v>2013</v>
      </c>
      <c r="BH38" s="19">
        <v>1785398.5</v>
      </c>
    </row>
    <row r="39" spans="59:60" x14ac:dyDescent="0.25">
      <c r="BG39" s="17">
        <v>2014</v>
      </c>
      <c r="BH39" s="6">
        <v>3924657.9</v>
      </c>
    </row>
    <row r="40" spans="59:60" x14ac:dyDescent="0.25">
      <c r="BG40" s="17">
        <v>2015</v>
      </c>
      <c r="BH40" s="40">
        <f>G18</f>
        <v>7831774.3299999991</v>
      </c>
    </row>
    <row r="41" spans="59:60" x14ac:dyDescent="0.25">
      <c r="BG41" s="17">
        <v>2016</v>
      </c>
      <c r="BH41" s="40">
        <f t="shared" ref="BH41:BH45" si="1">G19</f>
        <v>8139399.7400000012</v>
      </c>
    </row>
    <row r="42" spans="59:60" x14ac:dyDescent="0.25">
      <c r="BG42" s="17">
        <v>2017</v>
      </c>
      <c r="BH42" s="40">
        <f t="shared" si="1"/>
        <v>4016386.67</v>
      </c>
    </row>
    <row r="43" spans="59:60" x14ac:dyDescent="0.25">
      <c r="BG43" s="17">
        <v>2018</v>
      </c>
      <c r="BH43" s="40">
        <f t="shared" si="1"/>
        <v>3345509.23</v>
      </c>
    </row>
    <row r="44" spans="59:60" x14ac:dyDescent="0.25">
      <c r="BG44" s="17">
        <v>2019</v>
      </c>
      <c r="BH44" s="40">
        <f t="shared" si="1"/>
        <v>11043280.689999999</v>
      </c>
    </row>
    <row r="45" spans="59:60" x14ac:dyDescent="0.25">
      <c r="BG45" s="17">
        <v>2020</v>
      </c>
      <c r="BH45" s="40">
        <f t="shared" si="1"/>
        <v>9213843.4399999976</v>
      </c>
    </row>
  </sheetData>
  <mergeCells count="15">
    <mergeCell ref="G6:G7"/>
    <mergeCell ref="A24:E24"/>
    <mergeCell ref="F24:H24"/>
    <mergeCell ref="A6:A7"/>
    <mergeCell ref="B6:B7"/>
    <mergeCell ref="C6:C7"/>
    <mergeCell ref="E6:E7"/>
    <mergeCell ref="F6:F7"/>
    <mergeCell ref="A2:H2"/>
    <mergeCell ref="A3:H3"/>
    <mergeCell ref="A4:A5"/>
    <mergeCell ref="B4:B5"/>
    <mergeCell ref="C4:C5"/>
    <mergeCell ref="E4:G4"/>
    <mergeCell ref="H4:H5"/>
  </mergeCells>
  <pageMargins left="0.7" right="0.7" top="0.75" bottom="0.75" header="0.3" footer="0.3"/>
  <pageSetup paperSize="9" scale="6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2021-08-22T04:19:25Z</cp:lastPrinted>
  <dcterms:created xsi:type="dcterms:W3CDTF">2019-05-21T05:57:01Z</dcterms:created>
  <dcterms:modified xsi:type="dcterms:W3CDTF">2021-08-22T08:44:48Z</dcterms:modified>
</cp:coreProperties>
</file>