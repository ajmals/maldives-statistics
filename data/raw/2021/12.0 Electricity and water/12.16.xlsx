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2.Electricity and Water\"/>
    </mc:Choice>
  </mc:AlternateContent>
  <bookViews>
    <workbookView xWindow="0" yWindow="0" windowWidth="28800" windowHeight="10230"/>
  </bookViews>
  <sheets>
    <sheet name="12.16" sheetId="1" r:id="rId1"/>
  </sheets>
  <definedNames>
    <definedName name="_xlnm.Print_Area" localSheetId="0">'12.16'!$A$1:$D$274</definedName>
  </definedNames>
  <calcPr calcId="162913" refMode="R1C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2" i="1" l="1"/>
  <c r="D227" i="1"/>
  <c r="D165" i="1"/>
  <c r="D163" i="1"/>
  <c r="D162" i="1"/>
  <c r="D157" i="1"/>
  <c r="D156" i="1"/>
  <c r="D149" i="1"/>
  <c r="D148" i="1"/>
  <c r="D145" i="1"/>
  <c r="D143" i="1"/>
  <c r="D139" i="1"/>
  <c r="D129" i="1"/>
  <c r="D121" i="1"/>
  <c r="D104" i="1"/>
  <c r="D101" i="1"/>
  <c r="D97" i="1"/>
  <c r="D95" i="1"/>
  <c r="D94" i="1"/>
  <c r="D92" i="1"/>
  <c r="D91" i="1"/>
  <c r="D170" i="1" s="1"/>
  <c r="D77" i="1"/>
  <c r="D52" i="1"/>
  <c r="D51" i="1"/>
  <c r="D50" i="1"/>
  <c r="D44" i="1"/>
  <c r="D41" i="1"/>
  <c r="D30" i="1"/>
  <c r="D22" i="1"/>
  <c r="D19" i="1"/>
  <c r="D79" i="1" s="1"/>
</calcChain>
</file>

<file path=xl/sharedStrings.xml><?xml version="1.0" encoding="utf-8"?>
<sst xmlns="http://schemas.openxmlformats.org/spreadsheetml/2006/main" count="508" uniqueCount="151">
  <si>
    <t>ތާވަލު 12.17: އިމަޖެންސީގައި ފެން ފޯރުކޮށްދެވުނު ރަށްރަށާއި ފެންފޯރުކޮށްދެވުނު މިންވަރު، 2020</t>
  </si>
  <si>
    <t>Table 12.16:  Islands supplied with emergency water and quanity supplied, 2020</t>
  </si>
  <si>
    <t>Atoll / Island</t>
  </si>
  <si>
    <t>Island</t>
  </si>
  <si>
    <t xml:space="preserve">Quantity (ton)          </t>
  </si>
  <si>
    <t xml:space="preserve">ފެން ފޯރުކޮށްދެވުނުނު ވަރު (ޓަނުން) </t>
  </si>
  <si>
    <t>Ha</t>
  </si>
  <si>
    <t>Maarandhoo</t>
  </si>
  <si>
    <t>Utheemu</t>
  </si>
  <si>
    <t>Muraidhoo</t>
  </si>
  <si>
    <t>HDh</t>
  </si>
  <si>
    <t>Naivaadhoo</t>
  </si>
  <si>
    <t>Hirimaradhoo</t>
  </si>
  <si>
    <t>Nolhivaranfaru</t>
  </si>
  <si>
    <t>Nellaidhoo</t>
  </si>
  <si>
    <t>Nolhivaramu</t>
  </si>
  <si>
    <t>Kumundhoo</t>
  </si>
  <si>
    <t>Neykurendhoo</t>
  </si>
  <si>
    <t>Vaikaradhoo</t>
  </si>
  <si>
    <t>Sh</t>
  </si>
  <si>
    <t>Kaditheemu</t>
  </si>
  <si>
    <t>Noomaraa</t>
  </si>
  <si>
    <t>Feydhoo</t>
  </si>
  <si>
    <t>Feevah</t>
  </si>
  <si>
    <t>Foakaidhoo</t>
  </si>
  <si>
    <t>Narudhoo</t>
  </si>
  <si>
    <t>Maroshi</t>
  </si>
  <si>
    <t>Maaugoodhoo</t>
  </si>
  <si>
    <t>N</t>
  </si>
  <si>
    <t>Henbadhoo</t>
  </si>
  <si>
    <t>Landhoo</t>
  </si>
  <si>
    <t>Maafaru</t>
  </si>
  <si>
    <t>Lhohi</t>
  </si>
  <si>
    <t>Magoodhoo</t>
  </si>
  <si>
    <t>Holhudhoo</t>
  </si>
  <si>
    <t>Fodhdhoo</t>
  </si>
  <si>
    <t>R</t>
  </si>
  <si>
    <t>Agolhitheemu</t>
  </si>
  <si>
    <t>Rasmaadhoo</t>
  </si>
  <si>
    <t>Innamaadhoo</t>
  </si>
  <si>
    <t>Maduvvari</t>
  </si>
  <si>
    <t>Inguraidhoo</t>
  </si>
  <si>
    <t>Fainu</t>
  </si>
  <si>
    <t>Kinolhas</t>
  </si>
  <si>
    <t>B</t>
  </si>
  <si>
    <t>Kudarikilu</t>
  </si>
  <si>
    <t>Dharavandhoo</t>
  </si>
  <si>
    <t>Hithaadhoo</t>
  </si>
  <si>
    <t>Fulhadhoo</t>
  </si>
  <si>
    <t>Fehendhoo</t>
  </si>
  <si>
    <t>Lh</t>
  </si>
  <si>
    <t>Naifaru</t>
  </si>
  <si>
    <t>K</t>
  </si>
  <si>
    <t>Kaashidhoo</t>
  </si>
  <si>
    <t>Gaafaru</t>
  </si>
  <si>
    <t>Aa</t>
  </si>
  <si>
    <t>Bodufolhudhoo</t>
  </si>
  <si>
    <t>Maalhos</t>
  </si>
  <si>
    <t>Himandhoo</t>
  </si>
  <si>
    <t>Adh</t>
  </si>
  <si>
    <t>Kuburudhoo</t>
  </si>
  <si>
    <t>Dhagethi</t>
  </si>
  <si>
    <t>V</t>
  </si>
  <si>
    <t>Thinadhoo</t>
  </si>
  <si>
    <t>M</t>
  </si>
  <si>
    <t>Raimandhoo</t>
  </si>
  <si>
    <t>Veyvah</t>
  </si>
  <si>
    <t>Muli</t>
  </si>
  <si>
    <t>Naalaafushi</t>
  </si>
  <si>
    <t>F</t>
  </si>
  <si>
    <t>Biledhdhoo</t>
  </si>
  <si>
    <t>Dh</t>
  </si>
  <si>
    <t>Meedhoo</t>
  </si>
  <si>
    <t>Badidhoo</t>
  </si>
  <si>
    <t>Hulhudheli</t>
  </si>
  <si>
    <t>Th</t>
  </si>
  <si>
    <t>Dhiyamigili</t>
  </si>
  <si>
    <t>Kadoodhoo</t>
  </si>
  <si>
    <t>Hirilandhoo</t>
  </si>
  <si>
    <t>Gaadhiffushi</t>
  </si>
  <si>
    <t>Veymandoo</t>
  </si>
  <si>
    <t>Omadhoo</t>
  </si>
  <si>
    <t>L</t>
  </si>
  <si>
    <t>Isdhoo</t>
  </si>
  <si>
    <t>Dhabidhoo</t>
  </si>
  <si>
    <t>Gamu</t>
  </si>
  <si>
    <t>Maamendhoo</t>
  </si>
  <si>
    <t>Kalaidhoo</t>
  </si>
  <si>
    <t>Ga</t>
  </si>
  <si>
    <t>Nilandhoo</t>
  </si>
  <si>
    <t>Dhaandhoo</t>
  </si>
  <si>
    <t>Kodey</t>
  </si>
  <si>
    <t>Gdh</t>
  </si>
  <si>
    <t>Hoadedhdhoo</t>
  </si>
  <si>
    <t>Nadallaa</t>
  </si>
  <si>
    <t>Faresmaathodaa</t>
  </si>
  <si>
    <t>Total</t>
  </si>
  <si>
    <t>73 islands</t>
  </si>
  <si>
    <t>Source: Ministry of Environment</t>
  </si>
  <si>
    <t>Hoarafushi</t>
  </si>
  <si>
    <t>Kuribi</t>
  </si>
  <si>
    <t>Makunudhoo</t>
  </si>
  <si>
    <t>Goidhoo</t>
  </si>
  <si>
    <t>Lhaimagu</t>
  </si>
  <si>
    <t>Maalhendhoo</t>
  </si>
  <si>
    <t>Kudafari</t>
  </si>
  <si>
    <t>Miladhoo</t>
  </si>
  <si>
    <t>Velidhoo</t>
  </si>
  <si>
    <t>Rasgetheemu</t>
  </si>
  <si>
    <t>Maakurathu</t>
  </si>
  <si>
    <t>Kamadhoo</t>
  </si>
  <si>
    <t>Kendhoo</t>
  </si>
  <si>
    <t>Dhonfanu</t>
  </si>
  <si>
    <t>Kurendhoo</t>
  </si>
  <si>
    <t>Olhuvelifushi</t>
  </si>
  <si>
    <t>Rasdhoo</t>
  </si>
  <si>
    <t>Mathiveri</t>
  </si>
  <si>
    <t>Feridhoo</t>
  </si>
  <si>
    <t>Hangnameedhoo</t>
  </si>
  <si>
    <t>Dhigurah</t>
  </si>
  <si>
    <t>Keyodhoo</t>
  </si>
  <si>
    <t>Feeali</t>
  </si>
  <si>
    <t>Ribudhoo</t>
  </si>
  <si>
    <t>Maaeboodhoo</t>
  </si>
  <si>
    <t>Vandhoo</t>
  </si>
  <si>
    <t>Kibidhoo</t>
  </si>
  <si>
    <t>Kunahandhoo</t>
  </si>
  <si>
    <t>82 islands</t>
  </si>
  <si>
    <t>Kelaa</t>
  </si>
  <si>
    <t>Vashafaru</t>
  </si>
  <si>
    <t>Filladhoo</t>
  </si>
  <si>
    <t>Hanimaadhoo</t>
  </si>
  <si>
    <t>Finey</t>
  </si>
  <si>
    <t>Kihaadhoo</t>
  </si>
  <si>
    <t>Thulhaadhoo</t>
  </si>
  <si>
    <t>Dhiffushi</t>
  </si>
  <si>
    <t>Guraidhoo</t>
  </si>
  <si>
    <t>48 islands</t>
  </si>
  <si>
    <t>Kudahuvadhoo</t>
  </si>
  <si>
    <t>Fonadhoo</t>
  </si>
  <si>
    <t>Gemanafushi</t>
  </si>
  <si>
    <t>Rathafandhoo</t>
  </si>
  <si>
    <t>S</t>
  </si>
  <si>
    <t>Maradhoo-Feydhoo</t>
  </si>
  <si>
    <t>33 islands</t>
  </si>
  <si>
    <t>Table 12.16:  Islands supplied with emergency water and quanity supplied, 2019</t>
  </si>
  <si>
    <t>ތާވަލު 12.16: އިމަޖެންސީގައި ފެން ފޯރުކޮށްދެވުނު ރަށްރަށާއި ފެންފޯރުކޮށްދެވުނު މިންވަރު، 2019</t>
  </si>
  <si>
    <t>ތާވަލު 12.16: އިމަޖެންސީގައި ފެން ފޯރުކޮށްދެވުނު ރަށްރަށާއި ފެންފޯރުކޮށްދެވުނު މިންވަރު، 2018</t>
  </si>
  <si>
    <t>Table 12.16:  Islands supplied with emergency water and quanity supplied, 2018</t>
  </si>
  <si>
    <t>Table 12.16:  Islands supplied with emergency water and quanity supplied, 2017</t>
  </si>
  <si>
    <t>ތާވަލު 12.16: އިމަޖެންސީގައި ފެން ފޯރުކޮށްދެވުނު ރަށްރަށާއި ފެންފޯރުކޮށްދެވުނު މިންވަރު،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</si>
</sst>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.0_);_(* \(#,##0.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2"/>
      <color theme="1"/>
      <name val="Calibri"/>
      <family val="2"/>
      <scheme val="minor"/>
    </font>
    <font>
      <sz val="12"/>
      <name val="Calibri"/>
      <scheme val="minor"/>
    </font>
    <font>
      <sz val="12"/>
      <color theme="1"/>
      <name val="Calibri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Faruma"/>
    </font>
    <font>
      <i/>
      <sz val="9"/>
      <color theme="1"/>
      <name val="Calibri"/>
      <family val="2"/>
      <scheme val="minor"/>
    </font>
    <font>
      <sz val="1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top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left" indent="1"/>
    </xf>
    <xf numFmtId="164" fontId="0" fillId="2" borderId="0" xfId="1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indent="1"/>
    </xf>
    <xf numFmtId="164" fontId="5" fillId="2" borderId="1" xfId="1" applyNumberFormat="1" applyFont="1" applyFill="1" applyBorder="1" applyAlignment="1">
      <alignment horizontal="left" vertical="center" indent="5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indent="1"/>
    </xf>
    <xf numFmtId="164" fontId="6" fillId="2" borderId="2" xfId="1" applyNumberFormat="1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indent="2"/>
    </xf>
    <xf numFmtId="0" fontId="8" fillId="2" borderId="0" xfId="0" applyFont="1" applyFill="1" applyBorder="1" applyAlignment="1">
      <alignment horizontal="left" vertical="center" indent="1"/>
    </xf>
    <xf numFmtId="164" fontId="9" fillId="2" borderId="0" xfId="1" applyNumberFormat="1" applyFont="1" applyFill="1" applyBorder="1" applyAlignment="1">
      <alignment vertical="center"/>
    </xf>
    <xf numFmtId="0" fontId="9" fillId="2" borderId="0" xfId="0" applyFont="1" applyFill="1" applyBorder="1" applyAlignment="1">
      <alignment horizontal="left" vertical="center" indent="2"/>
    </xf>
    <xf numFmtId="0" fontId="9" fillId="2" borderId="0" xfId="0" applyFont="1" applyFill="1" applyBorder="1" applyAlignment="1">
      <alignment horizontal="left" indent="1"/>
    </xf>
    <xf numFmtId="0" fontId="0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 indent="2"/>
    </xf>
    <xf numFmtId="0" fontId="9" fillId="2" borderId="2" xfId="0" applyFont="1" applyFill="1" applyBorder="1" applyAlignment="1">
      <alignment horizontal="left" indent="1"/>
    </xf>
    <xf numFmtId="164" fontId="9" fillId="2" borderId="2" xfId="1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10" fillId="2" borderId="0" xfId="0" applyFont="1" applyFill="1" applyBorder="1"/>
    <xf numFmtId="0" fontId="4" fillId="2" borderId="3" xfId="0" applyFont="1" applyFill="1" applyBorder="1" applyAlignment="1">
      <alignment horizontal="left" vertical="center"/>
    </xf>
    <xf numFmtId="164" fontId="11" fillId="2" borderId="0" xfId="1" applyNumberFormat="1" applyFont="1" applyFill="1" applyBorder="1" applyAlignment="1">
      <alignment vertical="center"/>
    </xf>
    <xf numFmtId="0" fontId="12" fillId="2" borderId="4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left" vertical="center" wrapText="1" indent="1"/>
    </xf>
    <xf numFmtId="164" fontId="12" fillId="2" borderId="0" xfId="1" applyNumberFormat="1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/>
    </xf>
    <xf numFmtId="0" fontId="10" fillId="2" borderId="5" xfId="0" applyFont="1" applyFill="1" applyBorder="1"/>
    <xf numFmtId="164" fontId="11" fillId="2" borderId="5" xfId="1" applyNumberFormat="1" applyFont="1" applyFill="1" applyBorder="1" applyAlignment="1">
      <alignment vertical="center"/>
    </xf>
    <xf numFmtId="0" fontId="13" fillId="2" borderId="0" xfId="0" applyFont="1" applyFill="1" applyAlignment="1">
      <alignment horizontal="left"/>
    </xf>
    <xf numFmtId="0" fontId="0" fillId="2" borderId="0" xfId="0" applyFill="1" applyBorder="1" applyAlignment="1"/>
    <xf numFmtId="164" fontId="12" fillId="2" borderId="0" xfId="1" applyNumberFormat="1" applyFont="1" applyFill="1" applyAlignment="1">
      <alignment vertical="center"/>
    </xf>
    <xf numFmtId="0" fontId="2" fillId="2" borderId="5" xfId="0" applyFont="1" applyFill="1" applyBorder="1" applyAlignment="1">
      <alignment vertical="center"/>
    </xf>
    <xf numFmtId="0" fontId="0" fillId="2" borderId="5" xfId="0" applyFill="1" applyBorder="1"/>
    <xf numFmtId="164" fontId="14" fillId="2" borderId="0" xfId="1" applyNumberFormat="1" applyFont="1" applyFill="1" applyBorder="1" applyAlignment="1">
      <alignment vertical="center"/>
    </xf>
    <xf numFmtId="0" fontId="0" fillId="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8"/>
  <sheetViews>
    <sheetView tabSelected="1" zoomScaleNormal="100" workbookViewId="0">
      <selection activeCell="O12" sqref="O12"/>
    </sheetView>
  </sheetViews>
  <sheetFormatPr defaultRowHeight="15" x14ac:dyDescent="0.25"/>
  <cols>
    <col min="1" max="1" width="5.28515625" style="3" customWidth="1"/>
    <col min="2" max="2" width="11.28515625" style="4" customWidth="1"/>
    <col min="3" max="3" width="34.28515625" style="5" customWidth="1"/>
    <col min="4" max="4" width="28.140625" style="6" customWidth="1"/>
    <col min="5" max="16384" width="9.140625" style="42"/>
  </cols>
  <sheetData>
    <row r="1" spans="1:4" ht="21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spans="1:4" x14ac:dyDescent="0.25">
      <c r="A4" s="7"/>
      <c r="B4" s="8" t="s">
        <v>2</v>
      </c>
      <c r="C4" s="9" t="s">
        <v>3</v>
      </c>
      <c r="D4" s="10" t="s">
        <v>4</v>
      </c>
    </row>
    <row r="5" spans="1:4" ht="18.75" x14ac:dyDescent="0.25">
      <c r="A5" s="11"/>
      <c r="B5" s="12"/>
      <c r="C5" s="13"/>
      <c r="D5" s="14" t="s">
        <v>5</v>
      </c>
    </row>
    <row r="6" spans="1:4" ht="15.75" x14ac:dyDescent="0.25">
      <c r="A6" s="15">
        <v>1</v>
      </c>
      <c r="B6" s="16" t="s">
        <v>6</v>
      </c>
      <c r="C6" s="17" t="s">
        <v>7</v>
      </c>
      <c r="D6" s="18">
        <v>12</v>
      </c>
    </row>
    <row r="7" spans="1:4" ht="15.75" x14ac:dyDescent="0.25">
      <c r="A7" s="15">
        <v>2</v>
      </c>
      <c r="B7" s="16" t="s">
        <v>6</v>
      </c>
      <c r="C7" s="17" t="s">
        <v>8</v>
      </c>
      <c r="D7" s="18">
        <v>20</v>
      </c>
    </row>
    <row r="8" spans="1:4" ht="15.75" x14ac:dyDescent="0.25">
      <c r="A8" s="15">
        <v>3</v>
      </c>
      <c r="B8" s="19" t="s">
        <v>6</v>
      </c>
      <c r="C8" s="17" t="s">
        <v>9</v>
      </c>
      <c r="D8" s="18">
        <v>12</v>
      </c>
    </row>
    <row r="9" spans="1:4" ht="15.75" x14ac:dyDescent="0.25">
      <c r="A9" s="15">
        <v>4</v>
      </c>
      <c r="B9" s="19" t="s">
        <v>10</v>
      </c>
      <c r="C9" s="17" t="s">
        <v>11</v>
      </c>
      <c r="D9" s="18">
        <v>10</v>
      </c>
    </row>
    <row r="10" spans="1:4" ht="15.75" x14ac:dyDescent="0.25">
      <c r="A10" s="15">
        <v>5</v>
      </c>
      <c r="B10" s="19" t="s">
        <v>10</v>
      </c>
      <c r="C10" s="20" t="s">
        <v>12</v>
      </c>
      <c r="D10" s="18">
        <v>15</v>
      </c>
    </row>
    <row r="11" spans="1:4" ht="15.75" x14ac:dyDescent="0.25">
      <c r="A11" s="15">
        <v>6</v>
      </c>
      <c r="B11" s="19" t="s">
        <v>10</v>
      </c>
      <c r="C11" s="20" t="s">
        <v>13</v>
      </c>
      <c r="D11" s="18">
        <v>43.4</v>
      </c>
    </row>
    <row r="12" spans="1:4" ht="15.75" x14ac:dyDescent="0.25">
      <c r="A12" s="15">
        <v>7</v>
      </c>
      <c r="B12" s="19" t="s">
        <v>10</v>
      </c>
      <c r="C12" s="20" t="s">
        <v>14</v>
      </c>
      <c r="D12" s="18">
        <v>35.331000000000003</v>
      </c>
    </row>
    <row r="13" spans="1:4" ht="15.75" x14ac:dyDescent="0.25">
      <c r="A13" s="15">
        <v>8</v>
      </c>
      <c r="B13" s="19" t="s">
        <v>10</v>
      </c>
      <c r="C13" s="20" t="s">
        <v>15</v>
      </c>
      <c r="D13" s="18">
        <v>42.441000000000003</v>
      </c>
    </row>
    <row r="14" spans="1:4" ht="15.75" x14ac:dyDescent="0.25">
      <c r="A14" s="15">
        <v>9</v>
      </c>
      <c r="B14" s="19" t="s">
        <v>10</v>
      </c>
      <c r="C14" s="20" t="s">
        <v>16</v>
      </c>
      <c r="D14" s="18">
        <v>75</v>
      </c>
    </row>
    <row r="15" spans="1:4" ht="15.75" x14ac:dyDescent="0.25">
      <c r="A15" s="15">
        <v>10</v>
      </c>
      <c r="B15" s="19" t="s">
        <v>10</v>
      </c>
      <c r="C15" s="20" t="s">
        <v>17</v>
      </c>
      <c r="D15" s="18">
        <v>37</v>
      </c>
    </row>
    <row r="16" spans="1:4" ht="15.75" x14ac:dyDescent="0.25">
      <c r="A16" s="15">
        <v>11</v>
      </c>
      <c r="B16" s="19" t="s">
        <v>10</v>
      </c>
      <c r="C16" s="20" t="s">
        <v>18</v>
      </c>
      <c r="D16" s="18">
        <v>40</v>
      </c>
    </row>
    <row r="17" spans="1:4" ht="15.75" x14ac:dyDescent="0.25">
      <c r="A17" s="15">
        <v>12</v>
      </c>
      <c r="B17" s="19" t="s">
        <v>19</v>
      </c>
      <c r="C17" s="20" t="s">
        <v>20</v>
      </c>
      <c r="D17" s="18">
        <v>79.709999999999994</v>
      </c>
    </row>
    <row r="18" spans="1:4" ht="15.75" x14ac:dyDescent="0.25">
      <c r="A18" s="15">
        <v>13</v>
      </c>
      <c r="B18" s="19" t="s">
        <v>19</v>
      </c>
      <c r="C18" s="20" t="s">
        <v>21</v>
      </c>
      <c r="D18" s="18">
        <v>40</v>
      </c>
    </row>
    <row r="19" spans="1:4" ht="15.75" x14ac:dyDescent="0.25">
      <c r="A19" s="15">
        <v>14</v>
      </c>
      <c r="B19" s="19" t="s">
        <v>19</v>
      </c>
      <c r="C19" s="20" t="s">
        <v>22</v>
      </c>
      <c r="D19" s="18">
        <f>45+55</f>
        <v>100</v>
      </c>
    </row>
    <row r="20" spans="1:4" ht="15.75" x14ac:dyDescent="0.25">
      <c r="A20" s="15">
        <v>15</v>
      </c>
      <c r="B20" s="19" t="s">
        <v>19</v>
      </c>
      <c r="C20" s="20" t="s">
        <v>23</v>
      </c>
      <c r="D20" s="18">
        <v>20</v>
      </c>
    </row>
    <row r="21" spans="1:4" ht="15.75" x14ac:dyDescent="0.25">
      <c r="A21" s="15">
        <v>16</v>
      </c>
      <c r="B21" s="19" t="s">
        <v>19</v>
      </c>
      <c r="C21" s="20" t="s">
        <v>24</v>
      </c>
      <c r="D21" s="18">
        <v>79.823999999999998</v>
      </c>
    </row>
    <row r="22" spans="1:4" ht="15.75" x14ac:dyDescent="0.25">
      <c r="A22" s="15">
        <v>17</v>
      </c>
      <c r="B22" s="19" t="s">
        <v>19</v>
      </c>
      <c r="C22" s="20" t="s">
        <v>25</v>
      </c>
      <c r="D22" s="18">
        <f>40+22.365</f>
        <v>62.364999999999995</v>
      </c>
    </row>
    <row r="23" spans="1:4" ht="15.75" x14ac:dyDescent="0.25">
      <c r="A23" s="15">
        <v>18</v>
      </c>
      <c r="B23" s="19" t="s">
        <v>19</v>
      </c>
      <c r="C23" s="20" t="s">
        <v>26</v>
      </c>
      <c r="D23" s="18">
        <v>30</v>
      </c>
    </row>
    <row r="24" spans="1:4" ht="15.75" x14ac:dyDescent="0.25">
      <c r="A24" s="15">
        <v>19</v>
      </c>
      <c r="B24" s="19" t="s">
        <v>19</v>
      </c>
      <c r="C24" s="20" t="s">
        <v>27</v>
      </c>
      <c r="D24" s="18">
        <v>27.245000000000001</v>
      </c>
    </row>
    <row r="25" spans="1:4" ht="15.75" x14ac:dyDescent="0.25">
      <c r="A25" s="15">
        <v>20</v>
      </c>
      <c r="B25" s="19" t="s">
        <v>28</v>
      </c>
      <c r="C25" s="20" t="s">
        <v>29</v>
      </c>
      <c r="D25" s="18">
        <v>30</v>
      </c>
    </row>
    <row r="26" spans="1:4" ht="15.75" x14ac:dyDescent="0.25">
      <c r="A26" s="15">
        <v>21</v>
      </c>
      <c r="B26" s="19" t="s">
        <v>28</v>
      </c>
      <c r="C26" s="20" t="s">
        <v>30</v>
      </c>
      <c r="D26" s="18">
        <v>35</v>
      </c>
    </row>
    <row r="27" spans="1:4" ht="15.75" x14ac:dyDescent="0.25">
      <c r="A27" s="15">
        <v>22</v>
      </c>
      <c r="B27" s="19" t="s">
        <v>28</v>
      </c>
      <c r="C27" s="20" t="s">
        <v>31</v>
      </c>
      <c r="D27" s="18">
        <v>35</v>
      </c>
    </row>
    <row r="28" spans="1:4" ht="15.75" x14ac:dyDescent="0.25">
      <c r="A28" s="15">
        <v>23</v>
      </c>
      <c r="B28" s="19" t="s">
        <v>28</v>
      </c>
      <c r="C28" s="20" t="s">
        <v>32</v>
      </c>
      <c r="D28" s="18">
        <v>32</v>
      </c>
    </row>
    <row r="29" spans="1:4" ht="15.75" x14ac:dyDescent="0.25">
      <c r="A29" s="15">
        <v>24</v>
      </c>
      <c r="B29" s="19" t="s">
        <v>28</v>
      </c>
      <c r="C29" s="20" t="s">
        <v>33</v>
      </c>
      <c r="D29" s="18">
        <v>28</v>
      </c>
    </row>
    <row r="30" spans="1:4" ht="15.75" x14ac:dyDescent="0.25">
      <c r="A30" s="15">
        <v>25</v>
      </c>
      <c r="B30" s="19" t="s">
        <v>28</v>
      </c>
      <c r="C30" s="20" t="s">
        <v>34</v>
      </c>
      <c r="D30" s="18">
        <f>139.29+50</f>
        <v>189.29</v>
      </c>
    </row>
    <row r="31" spans="1:4" ht="15.75" x14ac:dyDescent="0.25">
      <c r="A31" s="15">
        <v>26</v>
      </c>
      <c r="B31" s="19" t="s">
        <v>28</v>
      </c>
      <c r="C31" s="20" t="s">
        <v>35</v>
      </c>
      <c r="D31" s="18">
        <v>83.078000000000003</v>
      </c>
    </row>
    <row r="32" spans="1:4" ht="15.75" x14ac:dyDescent="0.25">
      <c r="A32" s="15">
        <v>27</v>
      </c>
      <c r="B32" s="19" t="s">
        <v>36</v>
      </c>
      <c r="C32" s="20" t="s">
        <v>37</v>
      </c>
      <c r="D32" s="18">
        <v>30</v>
      </c>
    </row>
    <row r="33" spans="1:4" ht="15.75" x14ac:dyDescent="0.25">
      <c r="A33" s="15">
        <v>28</v>
      </c>
      <c r="B33" s="19" t="s">
        <v>36</v>
      </c>
      <c r="C33" s="20" t="s">
        <v>38</v>
      </c>
      <c r="D33" s="18">
        <v>21.414000000000001</v>
      </c>
    </row>
    <row r="34" spans="1:4" ht="15.75" x14ac:dyDescent="0.25">
      <c r="A34" s="15">
        <v>29</v>
      </c>
      <c r="B34" s="19" t="s">
        <v>36</v>
      </c>
      <c r="C34" s="20" t="s">
        <v>39</v>
      </c>
      <c r="D34" s="18">
        <v>23.5</v>
      </c>
    </row>
    <row r="35" spans="1:4" ht="15.75" x14ac:dyDescent="0.25">
      <c r="A35" s="15">
        <v>30</v>
      </c>
      <c r="B35" s="19" t="s">
        <v>36</v>
      </c>
      <c r="C35" s="20" t="s">
        <v>40</v>
      </c>
      <c r="D35" s="18">
        <v>12</v>
      </c>
    </row>
    <row r="36" spans="1:4" ht="15.75" x14ac:dyDescent="0.25">
      <c r="A36" s="15">
        <v>31</v>
      </c>
      <c r="B36" s="19" t="s">
        <v>36</v>
      </c>
      <c r="C36" s="20" t="s">
        <v>41</v>
      </c>
      <c r="D36" s="18">
        <v>18.164999999999999</v>
      </c>
    </row>
    <row r="37" spans="1:4" ht="15.75" x14ac:dyDescent="0.25">
      <c r="A37" s="15">
        <v>32</v>
      </c>
      <c r="B37" s="19" t="s">
        <v>36</v>
      </c>
      <c r="C37" s="20" t="s">
        <v>42</v>
      </c>
      <c r="D37" s="18">
        <v>20</v>
      </c>
    </row>
    <row r="38" spans="1:4" ht="15.75" x14ac:dyDescent="0.25">
      <c r="A38" s="15">
        <v>33</v>
      </c>
      <c r="B38" s="19" t="s">
        <v>36</v>
      </c>
      <c r="C38" s="20" t="s">
        <v>43</v>
      </c>
      <c r="D38" s="18">
        <v>37.177</v>
      </c>
    </row>
    <row r="39" spans="1:4" ht="15.75" x14ac:dyDescent="0.25">
      <c r="A39" s="15">
        <v>34</v>
      </c>
      <c r="B39" s="19" t="s">
        <v>44</v>
      </c>
      <c r="C39" s="20" t="s">
        <v>45</v>
      </c>
      <c r="D39" s="18">
        <v>25</v>
      </c>
    </row>
    <row r="40" spans="1:4" ht="15.75" x14ac:dyDescent="0.25">
      <c r="A40" s="15">
        <v>35</v>
      </c>
      <c r="B40" s="19" t="s">
        <v>44</v>
      </c>
      <c r="C40" s="20" t="s">
        <v>46</v>
      </c>
      <c r="D40" s="18">
        <v>40</v>
      </c>
    </row>
    <row r="41" spans="1:4" ht="15.75" x14ac:dyDescent="0.25">
      <c r="A41" s="15">
        <v>36</v>
      </c>
      <c r="B41" s="19" t="s">
        <v>44</v>
      </c>
      <c r="C41" s="20" t="s">
        <v>47</v>
      </c>
      <c r="D41" s="18">
        <f>30+30</f>
        <v>60</v>
      </c>
    </row>
    <row r="42" spans="1:4" ht="15.75" x14ac:dyDescent="0.25">
      <c r="A42" s="15">
        <v>37</v>
      </c>
      <c r="B42" s="19" t="s">
        <v>44</v>
      </c>
      <c r="C42" s="20" t="s">
        <v>48</v>
      </c>
      <c r="D42" s="18">
        <v>25</v>
      </c>
    </row>
    <row r="43" spans="1:4" ht="15.75" x14ac:dyDescent="0.25">
      <c r="A43" s="15">
        <v>38</v>
      </c>
      <c r="B43" s="19" t="s">
        <v>44</v>
      </c>
      <c r="C43" s="20" t="s">
        <v>49</v>
      </c>
      <c r="D43" s="18">
        <v>26</v>
      </c>
    </row>
    <row r="44" spans="1:4" ht="15.75" x14ac:dyDescent="0.25">
      <c r="A44" s="15">
        <v>39</v>
      </c>
      <c r="B44" s="19" t="s">
        <v>50</v>
      </c>
      <c r="C44" s="20" t="s">
        <v>51</v>
      </c>
      <c r="D44" s="18">
        <f>140+40.647</f>
        <v>180.64699999999999</v>
      </c>
    </row>
    <row r="45" spans="1:4" ht="15.75" x14ac:dyDescent="0.25">
      <c r="A45" s="15">
        <v>40</v>
      </c>
      <c r="B45" s="19" t="s">
        <v>52</v>
      </c>
      <c r="C45" s="20" t="s">
        <v>53</v>
      </c>
      <c r="D45" s="18">
        <v>36.896999999999998</v>
      </c>
    </row>
    <row r="46" spans="1:4" ht="15.75" x14ac:dyDescent="0.25">
      <c r="A46" s="15">
        <v>41</v>
      </c>
      <c r="B46" s="19" t="s">
        <v>52</v>
      </c>
      <c r="C46" s="20" t="s">
        <v>54</v>
      </c>
      <c r="D46" s="18">
        <v>30</v>
      </c>
    </row>
    <row r="47" spans="1:4" ht="15.75" x14ac:dyDescent="0.25">
      <c r="A47" s="15">
        <v>42</v>
      </c>
      <c r="B47" s="19" t="s">
        <v>55</v>
      </c>
      <c r="C47" s="20" t="s">
        <v>56</v>
      </c>
      <c r="D47" s="18">
        <v>14.736000000000001</v>
      </c>
    </row>
    <row r="48" spans="1:4" ht="15.75" x14ac:dyDescent="0.25">
      <c r="A48" s="15">
        <v>43</v>
      </c>
      <c r="B48" s="19" t="s">
        <v>55</v>
      </c>
      <c r="C48" s="20" t="s">
        <v>57</v>
      </c>
      <c r="D48" s="18">
        <v>100</v>
      </c>
    </row>
    <row r="49" spans="1:4" ht="15.75" x14ac:dyDescent="0.25">
      <c r="A49" s="15">
        <v>44</v>
      </c>
      <c r="B49" s="19" t="s">
        <v>55</v>
      </c>
      <c r="C49" s="20" t="s">
        <v>58</v>
      </c>
      <c r="D49" s="18">
        <v>45</v>
      </c>
    </row>
    <row r="50" spans="1:4" ht="15.75" x14ac:dyDescent="0.25">
      <c r="A50" s="15">
        <v>45</v>
      </c>
      <c r="B50" s="19" t="s">
        <v>59</v>
      </c>
      <c r="C50" s="20" t="s">
        <v>60</v>
      </c>
      <c r="D50" s="18">
        <f>23.775+22.115</f>
        <v>45.89</v>
      </c>
    </row>
    <row r="51" spans="1:4" ht="15.75" x14ac:dyDescent="0.25">
      <c r="A51" s="15">
        <v>46</v>
      </c>
      <c r="B51" s="19" t="s">
        <v>59</v>
      </c>
      <c r="C51" s="20" t="s">
        <v>61</v>
      </c>
      <c r="D51" s="18">
        <f>19+17</f>
        <v>36</v>
      </c>
    </row>
    <row r="52" spans="1:4" ht="15.75" x14ac:dyDescent="0.25">
      <c r="A52" s="15">
        <v>47</v>
      </c>
      <c r="B52" s="19" t="s">
        <v>62</v>
      </c>
      <c r="C52" s="20" t="s">
        <v>63</v>
      </c>
      <c r="D52" s="18">
        <f>20+30</f>
        <v>50</v>
      </c>
    </row>
    <row r="53" spans="1:4" ht="15.75" x14ac:dyDescent="0.25">
      <c r="A53" s="15">
        <v>48</v>
      </c>
      <c r="B53" s="19" t="s">
        <v>64</v>
      </c>
      <c r="C53" s="20" t="s">
        <v>65</v>
      </c>
      <c r="D53" s="18">
        <v>30</v>
      </c>
    </row>
    <row r="54" spans="1:4" ht="15.75" x14ac:dyDescent="0.25">
      <c r="A54" s="15">
        <v>49</v>
      </c>
      <c r="B54" s="19" t="s">
        <v>64</v>
      </c>
      <c r="C54" s="20" t="s">
        <v>66</v>
      </c>
      <c r="D54" s="18">
        <v>20</v>
      </c>
    </row>
    <row r="55" spans="1:4" ht="15.75" x14ac:dyDescent="0.25">
      <c r="A55" s="15">
        <v>50</v>
      </c>
      <c r="B55" s="19" t="s">
        <v>64</v>
      </c>
      <c r="C55" s="20" t="s">
        <v>67</v>
      </c>
      <c r="D55" s="18">
        <v>50</v>
      </c>
    </row>
    <row r="56" spans="1:4" ht="15.75" x14ac:dyDescent="0.25">
      <c r="A56" s="15">
        <v>51</v>
      </c>
      <c r="B56" s="19" t="s">
        <v>64</v>
      </c>
      <c r="C56" s="20" t="s">
        <v>68</v>
      </c>
      <c r="D56" s="18">
        <v>45</v>
      </c>
    </row>
    <row r="57" spans="1:4" ht="15.75" x14ac:dyDescent="0.25">
      <c r="A57" s="15">
        <v>52</v>
      </c>
      <c r="B57" s="19" t="s">
        <v>69</v>
      </c>
      <c r="C57" s="20" t="s">
        <v>70</v>
      </c>
      <c r="D57" s="18">
        <v>50</v>
      </c>
    </row>
    <row r="58" spans="1:4" ht="15.75" x14ac:dyDescent="0.25">
      <c r="A58" s="15">
        <v>53</v>
      </c>
      <c r="B58" s="19" t="s">
        <v>71</v>
      </c>
      <c r="C58" s="20" t="s">
        <v>72</v>
      </c>
      <c r="D58" s="18">
        <v>70</v>
      </c>
    </row>
    <row r="59" spans="1:4" ht="15.75" x14ac:dyDescent="0.25">
      <c r="A59" s="15">
        <v>54</v>
      </c>
      <c r="B59" s="19" t="s">
        <v>71</v>
      </c>
      <c r="C59" s="20" t="s">
        <v>73</v>
      </c>
      <c r="D59" s="18">
        <v>8.5</v>
      </c>
    </row>
    <row r="60" spans="1:4" ht="15.75" x14ac:dyDescent="0.25">
      <c r="A60" s="15">
        <v>55</v>
      </c>
      <c r="B60" s="19" t="s">
        <v>71</v>
      </c>
      <c r="C60" s="20" t="s">
        <v>74</v>
      </c>
      <c r="D60" s="18">
        <v>35</v>
      </c>
    </row>
    <row r="61" spans="1:4" ht="15.75" x14ac:dyDescent="0.25">
      <c r="A61" s="15">
        <v>56</v>
      </c>
      <c r="B61" s="19" t="s">
        <v>75</v>
      </c>
      <c r="C61" s="20" t="s">
        <v>76</v>
      </c>
      <c r="D61" s="18">
        <v>48</v>
      </c>
    </row>
    <row r="62" spans="1:4" ht="15.75" x14ac:dyDescent="0.25">
      <c r="A62" s="15">
        <v>57</v>
      </c>
      <c r="B62" s="19" t="s">
        <v>75</v>
      </c>
      <c r="C62" s="20" t="s">
        <v>77</v>
      </c>
      <c r="D62" s="18">
        <v>40</v>
      </c>
    </row>
    <row r="63" spans="1:4" ht="15.75" x14ac:dyDescent="0.25">
      <c r="A63" s="15">
        <v>58</v>
      </c>
      <c r="B63" s="19" t="s">
        <v>75</v>
      </c>
      <c r="C63" s="20" t="s">
        <v>78</v>
      </c>
      <c r="D63" s="18">
        <v>52</v>
      </c>
    </row>
    <row r="64" spans="1:4" ht="15.75" x14ac:dyDescent="0.25">
      <c r="A64" s="15">
        <v>59</v>
      </c>
      <c r="B64" s="19" t="s">
        <v>75</v>
      </c>
      <c r="C64" s="20" t="s">
        <v>79</v>
      </c>
      <c r="D64" s="18">
        <v>27</v>
      </c>
    </row>
    <row r="65" spans="1:4" ht="15.75" x14ac:dyDescent="0.25">
      <c r="A65" s="15">
        <v>60</v>
      </c>
      <c r="B65" s="19" t="s">
        <v>75</v>
      </c>
      <c r="C65" s="20" t="s">
        <v>80</v>
      </c>
      <c r="D65" s="18">
        <v>57</v>
      </c>
    </row>
    <row r="66" spans="1:4" ht="15.75" x14ac:dyDescent="0.25">
      <c r="A66" s="15">
        <v>61</v>
      </c>
      <c r="B66" s="16" t="s">
        <v>75</v>
      </c>
      <c r="C66" s="20" t="s">
        <v>81</v>
      </c>
      <c r="D66" s="18">
        <v>52.85</v>
      </c>
    </row>
    <row r="67" spans="1:4" ht="15.75" x14ac:dyDescent="0.25">
      <c r="A67" s="15">
        <v>62</v>
      </c>
      <c r="B67" s="16" t="s">
        <v>82</v>
      </c>
      <c r="C67" s="20" t="s">
        <v>83</v>
      </c>
      <c r="D67" s="18">
        <v>100</v>
      </c>
    </row>
    <row r="68" spans="1:4" ht="15.75" x14ac:dyDescent="0.25">
      <c r="A68" s="15">
        <v>63</v>
      </c>
      <c r="B68" s="16" t="s">
        <v>82</v>
      </c>
      <c r="C68" s="20" t="s">
        <v>84</v>
      </c>
      <c r="D68" s="18">
        <v>69</v>
      </c>
    </row>
    <row r="69" spans="1:4" ht="15.75" x14ac:dyDescent="0.25">
      <c r="A69" s="15">
        <v>64</v>
      </c>
      <c r="B69" s="16" t="s">
        <v>82</v>
      </c>
      <c r="C69" s="20" t="s">
        <v>85</v>
      </c>
      <c r="D69" s="18">
        <v>61</v>
      </c>
    </row>
    <row r="70" spans="1:4" ht="15.75" x14ac:dyDescent="0.25">
      <c r="A70" s="15">
        <v>65</v>
      </c>
      <c r="B70" s="19" t="s">
        <v>82</v>
      </c>
      <c r="C70" s="20" t="s">
        <v>86</v>
      </c>
      <c r="D70" s="18">
        <v>54</v>
      </c>
    </row>
    <row r="71" spans="1:4" ht="15.75" x14ac:dyDescent="0.25">
      <c r="A71" s="15">
        <v>66</v>
      </c>
      <c r="B71" s="16" t="s">
        <v>82</v>
      </c>
      <c r="C71" s="20" t="s">
        <v>87</v>
      </c>
      <c r="D71" s="18">
        <v>59</v>
      </c>
    </row>
    <row r="72" spans="1:4" ht="15.75" x14ac:dyDescent="0.25">
      <c r="A72" s="15">
        <v>67</v>
      </c>
      <c r="B72" s="19" t="s">
        <v>88</v>
      </c>
      <c r="C72" s="20" t="s">
        <v>86</v>
      </c>
      <c r="D72" s="18">
        <v>35</v>
      </c>
    </row>
    <row r="73" spans="1:4" ht="15.75" x14ac:dyDescent="0.25">
      <c r="A73" s="15">
        <v>68</v>
      </c>
      <c r="B73" s="19" t="s">
        <v>88</v>
      </c>
      <c r="C73" s="20" t="s">
        <v>89</v>
      </c>
      <c r="D73" s="18">
        <v>25</v>
      </c>
    </row>
    <row r="74" spans="1:4" ht="15.75" x14ac:dyDescent="0.25">
      <c r="A74" s="15">
        <v>69</v>
      </c>
      <c r="B74" s="19" t="s">
        <v>88</v>
      </c>
      <c r="C74" s="20" t="s">
        <v>90</v>
      </c>
      <c r="D74" s="18">
        <v>62.5</v>
      </c>
    </row>
    <row r="75" spans="1:4" ht="15.75" x14ac:dyDescent="0.25">
      <c r="A75" s="15">
        <v>70</v>
      </c>
      <c r="B75" s="16" t="s">
        <v>88</v>
      </c>
      <c r="C75" s="20" t="s">
        <v>91</v>
      </c>
      <c r="D75" s="18">
        <v>30</v>
      </c>
    </row>
    <row r="76" spans="1:4" ht="15.75" x14ac:dyDescent="0.25">
      <c r="A76" s="15">
        <v>71</v>
      </c>
      <c r="B76" s="16" t="s">
        <v>92</v>
      </c>
      <c r="C76" s="20" t="s">
        <v>93</v>
      </c>
      <c r="D76" s="18">
        <v>44</v>
      </c>
    </row>
    <row r="77" spans="1:4" ht="15.75" x14ac:dyDescent="0.25">
      <c r="A77" s="15">
        <v>72</v>
      </c>
      <c r="B77" s="16" t="s">
        <v>92</v>
      </c>
      <c r="C77" s="20" t="s">
        <v>94</v>
      </c>
      <c r="D77" s="18">
        <f>23+25+26</f>
        <v>74</v>
      </c>
    </row>
    <row r="78" spans="1:4" ht="15.75" x14ac:dyDescent="0.25">
      <c r="A78" s="21">
        <v>73</v>
      </c>
      <c r="B78" s="22" t="s">
        <v>92</v>
      </c>
      <c r="C78" s="23" t="s">
        <v>95</v>
      </c>
      <c r="D78" s="24">
        <v>59</v>
      </c>
    </row>
    <row r="79" spans="1:4" ht="16.5" thickBot="1" x14ac:dyDescent="0.3">
      <c r="A79" s="25" t="s">
        <v>96</v>
      </c>
      <c r="B79" s="26"/>
      <c r="C79" s="27" t="s">
        <v>97</v>
      </c>
      <c r="D79" s="28">
        <f>SUM(D6:D78)</f>
        <v>3348.9599999999996</v>
      </c>
    </row>
    <row r="80" spans="1:4" ht="17.25" x14ac:dyDescent="0.25">
      <c r="A80" s="29" t="s">
        <v>98</v>
      </c>
      <c r="B80" s="29"/>
      <c r="C80" s="29"/>
      <c r="D80" s="29"/>
    </row>
    <row r="81" spans="1:4" ht="17.25" x14ac:dyDescent="0.25">
      <c r="A81" s="30"/>
      <c r="B81" s="30"/>
      <c r="C81" s="30"/>
      <c r="D81" s="30"/>
    </row>
    <row r="82" spans="1:4" ht="17.25" x14ac:dyDescent="0.25">
      <c r="A82" s="30"/>
      <c r="B82" s="30"/>
      <c r="C82" s="31"/>
      <c r="D82" s="32"/>
    </row>
    <row r="83" spans="1:4" ht="21" x14ac:dyDescent="0.25">
      <c r="A83" s="1" t="s">
        <v>146</v>
      </c>
      <c r="B83" s="1"/>
      <c r="C83" s="1"/>
      <c r="D83" s="1"/>
    </row>
    <row r="84" spans="1:4" x14ac:dyDescent="0.25">
      <c r="A84" s="2" t="s">
        <v>145</v>
      </c>
      <c r="B84" s="2"/>
      <c r="C84" s="2"/>
      <c r="D84" s="2"/>
    </row>
    <row r="86" spans="1:4" x14ac:dyDescent="0.25">
      <c r="A86" s="7"/>
      <c r="B86" s="8" t="s">
        <v>2</v>
      </c>
      <c r="C86" s="9" t="s">
        <v>3</v>
      </c>
      <c r="D86" s="10" t="s">
        <v>4</v>
      </c>
    </row>
    <row r="87" spans="1:4" ht="18.75" x14ac:dyDescent="0.25">
      <c r="A87" s="11"/>
      <c r="B87" s="12"/>
      <c r="C87" s="13"/>
      <c r="D87" s="14" t="s">
        <v>5</v>
      </c>
    </row>
    <row r="88" spans="1:4" ht="15.75" x14ac:dyDescent="0.25">
      <c r="A88" s="15">
        <v>1</v>
      </c>
      <c r="B88" s="16" t="s">
        <v>6</v>
      </c>
      <c r="C88" s="17" t="s">
        <v>99</v>
      </c>
      <c r="D88" s="18">
        <v>50</v>
      </c>
    </row>
    <row r="89" spans="1:4" ht="15.75" x14ac:dyDescent="0.25">
      <c r="A89" s="15">
        <v>2</v>
      </c>
      <c r="B89" s="16" t="s">
        <v>6</v>
      </c>
      <c r="C89" s="17" t="s">
        <v>7</v>
      </c>
      <c r="D89" s="18">
        <v>10</v>
      </c>
    </row>
    <row r="90" spans="1:4" ht="15.75" x14ac:dyDescent="0.25">
      <c r="A90" s="15">
        <v>3</v>
      </c>
      <c r="B90" s="16" t="s">
        <v>6</v>
      </c>
      <c r="C90" s="17" t="s">
        <v>8</v>
      </c>
      <c r="D90" s="18">
        <v>40</v>
      </c>
    </row>
    <row r="91" spans="1:4" ht="15.75" x14ac:dyDescent="0.25">
      <c r="A91" s="15">
        <v>4</v>
      </c>
      <c r="B91" s="16" t="s">
        <v>10</v>
      </c>
      <c r="C91" s="17" t="s">
        <v>13</v>
      </c>
      <c r="D91" s="18">
        <f>36+24.43</f>
        <v>60.43</v>
      </c>
    </row>
    <row r="92" spans="1:4" ht="15.75" x14ac:dyDescent="0.25">
      <c r="A92" s="15">
        <v>5</v>
      </c>
      <c r="B92" s="16" t="s">
        <v>10</v>
      </c>
      <c r="C92" s="17" t="s">
        <v>14</v>
      </c>
      <c r="D92" s="18">
        <f>50+15+50</f>
        <v>115</v>
      </c>
    </row>
    <row r="93" spans="1:4" ht="15.75" x14ac:dyDescent="0.25">
      <c r="A93" s="15">
        <v>6</v>
      </c>
      <c r="B93" s="16" t="s">
        <v>10</v>
      </c>
      <c r="C93" s="17" t="s">
        <v>15</v>
      </c>
      <c r="D93" s="18">
        <v>68.739999999999995</v>
      </c>
    </row>
    <row r="94" spans="1:4" ht="15.75" x14ac:dyDescent="0.25">
      <c r="A94" s="15">
        <v>7</v>
      </c>
      <c r="B94" s="16" t="s">
        <v>10</v>
      </c>
      <c r="C94" s="17" t="s">
        <v>100</v>
      </c>
      <c r="D94" s="18">
        <f>20+20</f>
        <v>40</v>
      </c>
    </row>
    <row r="95" spans="1:4" ht="15.75" x14ac:dyDescent="0.25">
      <c r="A95" s="15">
        <v>8</v>
      </c>
      <c r="B95" s="16" t="s">
        <v>10</v>
      </c>
      <c r="C95" s="17" t="s">
        <v>16</v>
      </c>
      <c r="D95" s="18">
        <f>75+15</f>
        <v>90</v>
      </c>
    </row>
    <row r="96" spans="1:4" ht="15.75" x14ac:dyDescent="0.25">
      <c r="A96" s="15">
        <v>9</v>
      </c>
      <c r="B96" s="16" t="s">
        <v>10</v>
      </c>
      <c r="C96" s="17" t="s">
        <v>17</v>
      </c>
      <c r="D96" s="18">
        <v>20</v>
      </c>
    </row>
    <row r="97" spans="1:4" ht="15.75" x14ac:dyDescent="0.25">
      <c r="A97" s="15">
        <v>10</v>
      </c>
      <c r="B97" s="16" t="s">
        <v>10</v>
      </c>
      <c r="C97" s="17" t="s">
        <v>18</v>
      </c>
      <c r="D97" s="18">
        <f>32.5+20</f>
        <v>52.5</v>
      </c>
    </row>
    <row r="98" spans="1:4" ht="15.75" x14ac:dyDescent="0.25">
      <c r="A98" s="15">
        <v>11</v>
      </c>
      <c r="B98" s="16" t="s">
        <v>10</v>
      </c>
      <c r="C98" s="17" t="s">
        <v>101</v>
      </c>
      <c r="D98" s="18">
        <v>80</v>
      </c>
    </row>
    <row r="99" spans="1:4" ht="15.75" x14ac:dyDescent="0.25">
      <c r="A99" s="15">
        <v>12</v>
      </c>
      <c r="B99" s="16" t="s">
        <v>19</v>
      </c>
      <c r="C99" s="17" t="s">
        <v>20</v>
      </c>
      <c r="D99" s="18">
        <v>100</v>
      </c>
    </row>
    <row r="100" spans="1:4" ht="15.75" x14ac:dyDescent="0.25">
      <c r="A100" s="15">
        <v>13</v>
      </c>
      <c r="B100" s="16" t="s">
        <v>19</v>
      </c>
      <c r="C100" s="17" t="s">
        <v>21</v>
      </c>
      <c r="D100" s="18">
        <v>30</v>
      </c>
    </row>
    <row r="101" spans="1:4" ht="15.75" x14ac:dyDescent="0.25">
      <c r="A101" s="15">
        <v>14</v>
      </c>
      <c r="B101" s="16" t="s">
        <v>19</v>
      </c>
      <c r="C101" s="17" t="s">
        <v>102</v>
      </c>
      <c r="D101" s="18">
        <f>43+45</f>
        <v>88</v>
      </c>
    </row>
    <row r="102" spans="1:4" ht="15.75" x14ac:dyDescent="0.25">
      <c r="A102" s="15">
        <v>15</v>
      </c>
      <c r="B102" s="16" t="s">
        <v>19</v>
      </c>
      <c r="C102" s="17" t="s">
        <v>23</v>
      </c>
      <c r="D102" s="18">
        <v>20</v>
      </c>
    </row>
    <row r="103" spans="1:4" ht="15.75" x14ac:dyDescent="0.25">
      <c r="A103" s="15">
        <v>16</v>
      </c>
      <c r="B103" s="16" t="s">
        <v>19</v>
      </c>
      <c r="C103" s="17" t="s">
        <v>24</v>
      </c>
      <c r="D103" s="18">
        <v>90</v>
      </c>
    </row>
    <row r="104" spans="1:4" ht="15.75" x14ac:dyDescent="0.25">
      <c r="A104" s="15">
        <v>17</v>
      </c>
      <c r="B104" s="16" t="s">
        <v>19</v>
      </c>
      <c r="C104" s="17" t="s">
        <v>25</v>
      </c>
      <c r="D104" s="18">
        <f>40+40</f>
        <v>80</v>
      </c>
    </row>
    <row r="105" spans="1:4" ht="15.75" x14ac:dyDescent="0.25">
      <c r="A105" s="15">
        <v>18</v>
      </c>
      <c r="B105" s="16" t="s">
        <v>19</v>
      </c>
      <c r="C105" s="17" t="s">
        <v>26</v>
      </c>
      <c r="D105" s="18">
        <v>20</v>
      </c>
    </row>
    <row r="106" spans="1:4" ht="15.75" x14ac:dyDescent="0.25">
      <c r="A106" s="15">
        <v>19</v>
      </c>
      <c r="B106" s="16" t="s">
        <v>19</v>
      </c>
      <c r="C106" s="17" t="s">
        <v>103</v>
      </c>
      <c r="D106" s="18">
        <v>50</v>
      </c>
    </row>
    <row r="107" spans="1:4" ht="15.75" x14ac:dyDescent="0.25">
      <c r="A107" s="15">
        <v>20</v>
      </c>
      <c r="B107" s="16" t="s">
        <v>28</v>
      </c>
      <c r="C107" s="17" t="s">
        <v>29</v>
      </c>
      <c r="D107" s="18">
        <v>25</v>
      </c>
    </row>
    <row r="108" spans="1:4" ht="15.75" x14ac:dyDescent="0.25">
      <c r="A108" s="15">
        <v>21</v>
      </c>
      <c r="B108" s="16" t="s">
        <v>28</v>
      </c>
      <c r="C108" s="17" t="s">
        <v>104</v>
      </c>
      <c r="D108" s="18">
        <v>50</v>
      </c>
    </row>
    <row r="109" spans="1:4" ht="15.75" x14ac:dyDescent="0.25">
      <c r="A109" s="15">
        <v>22</v>
      </c>
      <c r="B109" s="16" t="s">
        <v>28</v>
      </c>
      <c r="C109" s="17" t="s">
        <v>105</v>
      </c>
      <c r="D109" s="18">
        <v>67</v>
      </c>
    </row>
    <row r="110" spans="1:4" ht="15.75" x14ac:dyDescent="0.25">
      <c r="A110" s="15">
        <v>23</v>
      </c>
      <c r="B110" s="16" t="s">
        <v>28</v>
      </c>
      <c r="C110" s="17" t="s">
        <v>30</v>
      </c>
      <c r="D110" s="18">
        <v>25</v>
      </c>
    </row>
    <row r="111" spans="1:4" ht="15.75" x14ac:dyDescent="0.25">
      <c r="A111" s="15">
        <v>24</v>
      </c>
      <c r="B111" s="16" t="s">
        <v>28</v>
      </c>
      <c r="C111" s="17" t="s">
        <v>31</v>
      </c>
      <c r="D111" s="18">
        <v>25</v>
      </c>
    </row>
    <row r="112" spans="1:4" ht="15.75" x14ac:dyDescent="0.25">
      <c r="A112" s="15">
        <v>25</v>
      </c>
      <c r="B112" s="16" t="s">
        <v>28</v>
      </c>
      <c r="C112" s="17" t="s">
        <v>32</v>
      </c>
      <c r="D112" s="18">
        <v>28</v>
      </c>
    </row>
    <row r="113" spans="1:4" ht="15.75" x14ac:dyDescent="0.25">
      <c r="A113" s="15">
        <v>26</v>
      </c>
      <c r="B113" s="16" t="s">
        <v>28</v>
      </c>
      <c r="C113" s="17" t="s">
        <v>106</v>
      </c>
      <c r="D113" s="18">
        <v>100</v>
      </c>
    </row>
    <row r="114" spans="1:4" ht="15.75" x14ac:dyDescent="0.25">
      <c r="A114" s="15">
        <v>27</v>
      </c>
      <c r="B114" s="16" t="s">
        <v>28</v>
      </c>
      <c r="C114" s="17" t="s">
        <v>33</v>
      </c>
      <c r="D114" s="18">
        <v>37</v>
      </c>
    </row>
    <row r="115" spans="1:4" ht="15.75" x14ac:dyDescent="0.25">
      <c r="A115" s="15">
        <v>28</v>
      </c>
      <c r="B115" s="16" t="s">
        <v>28</v>
      </c>
      <c r="C115" s="17" t="s">
        <v>34</v>
      </c>
      <c r="D115" s="18">
        <v>150</v>
      </c>
    </row>
    <row r="116" spans="1:4" ht="15.75" x14ac:dyDescent="0.25">
      <c r="A116" s="15">
        <v>29</v>
      </c>
      <c r="B116" s="16" t="s">
        <v>28</v>
      </c>
      <c r="C116" s="17" t="s">
        <v>35</v>
      </c>
      <c r="D116" s="18">
        <v>16</v>
      </c>
    </row>
    <row r="117" spans="1:4" ht="15.75" x14ac:dyDescent="0.25">
      <c r="A117" s="15">
        <v>30</v>
      </c>
      <c r="B117" s="16" t="s">
        <v>28</v>
      </c>
      <c r="C117" s="17" t="s">
        <v>107</v>
      </c>
      <c r="D117" s="18">
        <v>60</v>
      </c>
    </row>
    <row r="118" spans="1:4" ht="15.75" x14ac:dyDescent="0.25">
      <c r="A118" s="15">
        <v>31</v>
      </c>
      <c r="B118" s="16" t="s">
        <v>36</v>
      </c>
      <c r="C118" s="17" t="s">
        <v>108</v>
      </c>
      <c r="D118" s="18">
        <v>10</v>
      </c>
    </row>
    <row r="119" spans="1:4" ht="15.75" x14ac:dyDescent="0.25">
      <c r="A119" s="15">
        <v>32</v>
      </c>
      <c r="B119" s="16" t="s">
        <v>36</v>
      </c>
      <c r="C119" s="17" t="s">
        <v>37</v>
      </c>
      <c r="D119" s="18">
        <v>15</v>
      </c>
    </row>
    <row r="120" spans="1:4" ht="15.75" x14ac:dyDescent="0.25">
      <c r="A120" s="15">
        <v>33</v>
      </c>
      <c r="B120" s="16" t="s">
        <v>36</v>
      </c>
      <c r="C120" s="17" t="s">
        <v>109</v>
      </c>
      <c r="D120" s="18">
        <v>40</v>
      </c>
    </row>
    <row r="121" spans="1:4" ht="15.75" x14ac:dyDescent="0.25">
      <c r="A121" s="15">
        <v>34</v>
      </c>
      <c r="B121" s="16" t="s">
        <v>36</v>
      </c>
      <c r="C121" s="17" t="s">
        <v>40</v>
      </c>
      <c r="D121" s="18">
        <f>15+10</f>
        <v>25</v>
      </c>
    </row>
    <row r="122" spans="1:4" ht="15.75" x14ac:dyDescent="0.25">
      <c r="A122" s="15">
        <v>35</v>
      </c>
      <c r="B122" s="16" t="s">
        <v>36</v>
      </c>
      <c r="C122" s="17" t="s">
        <v>41</v>
      </c>
      <c r="D122" s="18">
        <v>103</v>
      </c>
    </row>
    <row r="123" spans="1:4" ht="15.75" x14ac:dyDescent="0.25">
      <c r="A123" s="15">
        <v>36</v>
      </c>
      <c r="B123" s="16" t="s">
        <v>36</v>
      </c>
      <c r="C123" s="17" t="s">
        <v>42</v>
      </c>
      <c r="D123" s="18">
        <v>17</v>
      </c>
    </row>
    <row r="124" spans="1:4" ht="15.75" x14ac:dyDescent="0.25">
      <c r="A124" s="15">
        <v>37</v>
      </c>
      <c r="B124" s="16" t="s">
        <v>36</v>
      </c>
      <c r="C124" s="17" t="s">
        <v>43</v>
      </c>
      <c r="D124" s="18">
        <v>15</v>
      </c>
    </row>
    <row r="125" spans="1:4" ht="15.75" x14ac:dyDescent="0.25">
      <c r="A125" s="15">
        <v>38</v>
      </c>
      <c r="B125" s="16" t="s">
        <v>44</v>
      </c>
      <c r="C125" s="17" t="s">
        <v>45</v>
      </c>
      <c r="D125" s="18">
        <v>45</v>
      </c>
    </row>
    <row r="126" spans="1:4" ht="15.75" x14ac:dyDescent="0.25">
      <c r="A126" s="15">
        <v>39</v>
      </c>
      <c r="B126" s="16" t="s">
        <v>44</v>
      </c>
      <c r="C126" s="17" t="s">
        <v>110</v>
      </c>
      <c r="D126" s="18">
        <v>20</v>
      </c>
    </row>
    <row r="127" spans="1:4" ht="15.75" x14ac:dyDescent="0.25">
      <c r="A127" s="15">
        <v>40</v>
      </c>
      <c r="B127" s="16" t="s">
        <v>44</v>
      </c>
      <c r="C127" s="17" t="s">
        <v>111</v>
      </c>
      <c r="D127" s="18">
        <v>22</v>
      </c>
    </row>
    <row r="128" spans="1:4" ht="15.75" x14ac:dyDescent="0.25">
      <c r="A128" s="15">
        <v>41</v>
      </c>
      <c r="B128" s="16" t="s">
        <v>44</v>
      </c>
      <c r="C128" s="17" t="s">
        <v>112</v>
      </c>
      <c r="D128" s="18">
        <v>22.5</v>
      </c>
    </row>
    <row r="129" spans="1:4" ht="15.75" x14ac:dyDescent="0.25">
      <c r="A129" s="15">
        <v>42</v>
      </c>
      <c r="B129" s="16" t="s">
        <v>44</v>
      </c>
      <c r="C129" s="17" t="s">
        <v>46</v>
      </c>
      <c r="D129" s="18">
        <f>20+20</f>
        <v>40</v>
      </c>
    </row>
    <row r="130" spans="1:4" ht="15.75" x14ac:dyDescent="0.25">
      <c r="A130" s="15">
        <v>43</v>
      </c>
      <c r="B130" s="16" t="s">
        <v>44</v>
      </c>
      <c r="C130" s="17" t="s">
        <v>47</v>
      </c>
      <c r="D130" s="18">
        <v>15</v>
      </c>
    </row>
    <row r="131" spans="1:4" ht="15.75" x14ac:dyDescent="0.25">
      <c r="A131" s="15">
        <v>44</v>
      </c>
      <c r="B131" s="16" t="s">
        <v>44</v>
      </c>
      <c r="C131" s="17" t="s">
        <v>48</v>
      </c>
      <c r="D131" s="18">
        <v>13</v>
      </c>
    </row>
    <row r="132" spans="1:4" ht="15.75" x14ac:dyDescent="0.25">
      <c r="A132" s="15">
        <v>45</v>
      </c>
      <c r="B132" s="16" t="s">
        <v>44</v>
      </c>
      <c r="C132" s="17" t="s">
        <v>49</v>
      </c>
      <c r="D132" s="18">
        <v>30</v>
      </c>
    </row>
    <row r="133" spans="1:4" ht="15.75" x14ac:dyDescent="0.25">
      <c r="A133" s="15">
        <v>46</v>
      </c>
      <c r="B133" s="16" t="s">
        <v>44</v>
      </c>
      <c r="C133" s="17" t="s">
        <v>102</v>
      </c>
      <c r="D133" s="18">
        <v>25</v>
      </c>
    </row>
    <row r="134" spans="1:4" ht="15.75" x14ac:dyDescent="0.25">
      <c r="A134" s="15">
        <v>47</v>
      </c>
      <c r="B134" s="16" t="s">
        <v>50</v>
      </c>
      <c r="C134" s="17" t="s">
        <v>51</v>
      </c>
      <c r="D134" s="18">
        <v>148</v>
      </c>
    </row>
    <row r="135" spans="1:4" ht="15.75" x14ac:dyDescent="0.25">
      <c r="A135" s="15">
        <v>48</v>
      </c>
      <c r="B135" s="16" t="s">
        <v>50</v>
      </c>
      <c r="C135" s="17" t="s">
        <v>113</v>
      </c>
      <c r="D135" s="18">
        <v>55</v>
      </c>
    </row>
    <row r="136" spans="1:4" ht="15.75" x14ac:dyDescent="0.25">
      <c r="A136" s="15">
        <v>49</v>
      </c>
      <c r="B136" s="16" t="s">
        <v>50</v>
      </c>
      <c r="C136" s="17" t="s">
        <v>114</v>
      </c>
      <c r="D136" s="18">
        <v>30</v>
      </c>
    </row>
    <row r="137" spans="1:4" ht="15.75" x14ac:dyDescent="0.25">
      <c r="A137" s="15">
        <v>50</v>
      </c>
      <c r="B137" s="16" t="s">
        <v>52</v>
      </c>
      <c r="C137" s="17" t="s">
        <v>53</v>
      </c>
      <c r="D137" s="18">
        <v>37.5</v>
      </c>
    </row>
    <row r="138" spans="1:4" ht="15.75" x14ac:dyDescent="0.25">
      <c r="A138" s="15">
        <v>51</v>
      </c>
      <c r="B138" s="16" t="s">
        <v>52</v>
      </c>
      <c r="C138" s="17" t="s">
        <v>54</v>
      </c>
      <c r="D138" s="18">
        <v>30</v>
      </c>
    </row>
    <row r="139" spans="1:4" ht="15.75" x14ac:dyDescent="0.25">
      <c r="A139" s="15">
        <v>52</v>
      </c>
      <c r="B139" s="16" t="s">
        <v>55</v>
      </c>
      <c r="C139" s="17" t="s">
        <v>115</v>
      </c>
      <c r="D139" s="18">
        <f>51+7.5</f>
        <v>58.5</v>
      </c>
    </row>
    <row r="140" spans="1:4" ht="15.75" x14ac:dyDescent="0.25">
      <c r="A140" s="15">
        <v>53</v>
      </c>
      <c r="B140" s="16" t="s">
        <v>55</v>
      </c>
      <c r="C140" s="17" t="s">
        <v>116</v>
      </c>
      <c r="D140" s="18">
        <v>20</v>
      </c>
    </row>
    <row r="141" spans="1:4" ht="15.75" x14ac:dyDescent="0.25">
      <c r="A141" s="15">
        <v>54</v>
      </c>
      <c r="B141" s="16" t="s">
        <v>55</v>
      </c>
      <c r="C141" s="17" t="s">
        <v>56</v>
      </c>
      <c r="D141" s="18">
        <v>25</v>
      </c>
    </row>
    <row r="142" spans="1:4" ht="15.75" x14ac:dyDescent="0.25">
      <c r="A142" s="15">
        <v>55</v>
      </c>
      <c r="B142" s="16" t="s">
        <v>55</v>
      </c>
      <c r="C142" s="17" t="s">
        <v>117</v>
      </c>
      <c r="D142" s="18">
        <v>20</v>
      </c>
    </row>
    <row r="143" spans="1:4" ht="15.75" x14ac:dyDescent="0.25">
      <c r="A143" s="15">
        <v>56</v>
      </c>
      <c r="B143" s="16" t="s">
        <v>55</v>
      </c>
      <c r="C143" s="17" t="s">
        <v>57</v>
      </c>
      <c r="D143" s="18">
        <f>12+25+7.5</f>
        <v>44.5</v>
      </c>
    </row>
    <row r="144" spans="1:4" ht="15.75" x14ac:dyDescent="0.25">
      <c r="A144" s="15">
        <v>57</v>
      </c>
      <c r="B144" s="16" t="s">
        <v>55</v>
      </c>
      <c r="C144" s="17" t="s">
        <v>58</v>
      </c>
      <c r="D144" s="18">
        <v>48</v>
      </c>
    </row>
    <row r="145" spans="1:4" ht="15.75" x14ac:dyDescent="0.25">
      <c r="A145" s="15">
        <v>58</v>
      </c>
      <c r="B145" s="16" t="s">
        <v>59</v>
      </c>
      <c r="C145" s="17" t="s">
        <v>118</v>
      </c>
      <c r="D145" s="18">
        <f>10+17</f>
        <v>27</v>
      </c>
    </row>
    <row r="146" spans="1:4" ht="15.75" x14ac:dyDescent="0.25">
      <c r="A146" s="15">
        <v>59</v>
      </c>
      <c r="B146" s="16" t="s">
        <v>59</v>
      </c>
      <c r="C146" s="17" t="s">
        <v>60</v>
      </c>
      <c r="D146" s="18">
        <v>20</v>
      </c>
    </row>
    <row r="147" spans="1:4" ht="15.75" x14ac:dyDescent="0.25">
      <c r="A147" s="15">
        <v>60</v>
      </c>
      <c r="B147" s="16" t="s">
        <v>59</v>
      </c>
      <c r="C147" s="17" t="s">
        <v>119</v>
      </c>
      <c r="D147" s="18">
        <v>20</v>
      </c>
    </row>
    <row r="148" spans="1:4" ht="15.75" x14ac:dyDescent="0.25">
      <c r="A148" s="15">
        <v>61</v>
      </c>
      <c r="B148" s="16" t="s">
        <v>62</v>
      </c>
      <c r="C148" s="17" t="s">
        <v>63</v>
      </c>
      <c r="D148" s="18">
        <f>20+45</f>
        <v>65</v>
      </c>
    </row>
    <row r="149" spans="1:4" ht="15.75" x14ac:dyDescent="0.25">
      <c r="A149" s="15">
        <v>62</v>
      </c>
      <c r="B149" s="16" t="s">
        <v>62</v>
      </c>
      <c r="C149" s="17" t="s">
        <v>120</v>
      </c>
      <c r="D149" s="18">
        <f>25+20</f>
        <v>45</v>
      </c>
    </row>
    <row r="150" spans="1:4" ht="15.75" x14ac:dyDescent="0.25">
      <c r="A150" s="15">
        <v>63</v>
      </c>
      <c r="B150" s="16" t="s">
        <v>64</v>
      </c>
      <c r="C150" s="17" t="s">
        <v>65</v>
      </c>
      <c r="D150" s="18">
        <v>30</v>
      </c>
    </row>
    <row r="151" spans="1:4" ht="15.75" x14ac:dyDescent="0.25">
      <c r="A151" s="15">
        <v>64</v>
      </c>
      <c r="B151" s="16" t="s">
        <v>64</v>
      </c>
      <c r="C151" s="17" t="s">
        <v>68</v>
      </c>
      <c r="D151" s="18">
        <v>45</v>
      </c>
    </row>
    <row r="152" spans="1:4" ht="15.75" x14ac:dyDescent="0.25">
      <c r="A152" s="15">
        <v>65</v>
      </c>
      <c r="B152" s="16" t="s">
        <v>69</v>
      </c>
      <c r="C152" s="17" t="s">
        <v>121</v>
      </c>
      <c r="D152" s="18">
        <v>35</v>
      </c>
    </row>
    <row r="153" spans="1:4" ht="15.75" x14ac:dyDescent="0.25">
      <c r="A153" s="15">
        <v>66</v>
      </c>
      <c r="B153" s="16" t="s">
        <v>69</v>
      </c>
      <c r="C153" s="17" t="s">
        <v>70</v>
      </c>
      <c r="D153" s="18">
        <v>46</v>
      </c>
    </row>
    <row r="154" spans="1:4" ht="15.75" x14ac:dyDescent="0.25">
      <c r="A154" s="15">
        <v>67</v>
      </c>
      <c r="B154" s="16" t="s">
        <v>69</v>
      </c>
      <c r="C154" s="17" t="s">
        <v>33</v>
      </c>
      <c r="D154" s="18">
        <v>55</v>
      </c>
    </row>
    <row r="155" spans="1:4" ht="15.75" x14ac:dyDescent="0.25">
      <c r="A155" s="15">
        <v>68</v>
      </c>
      <c r="B155" s="16" t="s">
        <v>69</v>
      </c>
      <c r="C155" s="17" t="s">
        <v>89</v>
      </c>
      <c r="D155" s="18">
        <v>80.5</v>
      </c>
    </row>
    <row r="156" spans="1:4" ht="15.75" x14ac:dyDescent="0.25">
      <c r="A156" s="15">
        <v>69</v>
      </c>
      <c r="B156" s="16" t="s">
        <v>71</v>
      </c>
      <c r="C156" s="17" t="s">
        <v>72</v>
      </c>
      <c r="D156" s="18">
        <f>20+30</f>
        <v>50</v>
      </c>
    </row>
    <row r="157" spans="1:4" ht="15.75" x14ac:dyDescent="0.25">
      <c r="A157" s="15">
        <v>70</v>
      </c>
      <c r="B157" s="16" t="s">
        <v>71</v>
      </c>
      <c r="C157" s="17" t="s">
        <v>122</v>
      </c>
      <c r="D157" s="18">
        <f>30+30</f>
        <v>60</v>
      </c>
    </row>
    <row r="158" spans="1:4" ht="15.75" x14ac:dyDescent="0.25">
      <c r="A158" s="15">
        <v>71</v>
      </c>
      <c r="B158" s="16" t="s">
        <v>71</v>
      </c>
      <c r="C158" s="17" t="s">
        <v>74</v>
      </c>
      <c r="D158" s="18">
        <v>37</v>
      </c>
    </row>
    <row r="159" spans="1:4" ht="15.75" x14ac:dyDescent="0.25">
      <c r="A159" s="15">
        <v>72</v>
      </c>
      <c r="B159" s="16" t="s">
        <v>71</v>
      </c>
      <c r="C159" s="17" t="s">
        <v>123</v>
      </c>
      <c r="D159" s="18">
        <v>60</v>
      </c>
    </row>
    <row r="160" spans="1:4" ht="15.75" x14ac:dyDescent="0.25">
      <c r="A160" s="15">
        <v>73</v>
      </c>
      <c r="B160" s="16" t="s">
        <v>75</v>
      </c>
      <c r="C160" s="17" t="s">
        <v>76</v>
      </c>
      <c r="D160" s="18">
        <v>50</v>
      </c>
    </row>
    <row r="161" spans="1:4" ht="15.75" x14ac:dyDescent="0.25">
      <c r="A161" s="15">
        <v>74</v>
      </c>
      <c r="B161" s="16" t="s">
        <v>75</v>
      </c>
      <c r="C161" s="17" t="s">
        <v>77</v>
      </c>
      <c r="D161" s="18">
        <v>28</v>
      </c>
    </row>
    <row r="162" spans="1:4" ht="15.75" x14ac:dyDescent="0.25">
      <c r="A162" s="15">
        <v>75</v>
      </c>
      <c r="B162" s="16" t="s">
        <v>75</v>
      </c>
      <c r="C162" s="17" t="s">
        <v>124</v>
      </c>
      <c r="D162" s="18">
        <f>10+20</f>
        <v>30</v>
      </c>
    </row>
    <row r="163" spans="1:4" ht="15.75" x14ac:dyDescent="0.25">
      <c r="A163" s="15">
        <v>76</v>
      </c>
      <c r="B163" s="16" t="s">
        <v>75</v>
      </c>
      <c r="C163" s="17" t="s">
        <v>78</v>
      </c>
      <c r="D163" s="18">
        <f>77.5+75</f>
        <v>152.5</v>
      </c>
    </row>
    <row r="164" spans="1:4" ht="15.75" x14ac:dyDescent="0.25">
      <c r="A164" s="15">
        <v>77</v>
      </c>
      <c r="B164" s="16" t="s">
        <v>75</v>
      </c>
      <c r="C164" s="17" t="s">
        <v>80</v>
      </c>
      <c r="D164" s="18">
        <v>19</v>
      </c>
    </row>
    <row r="165" spans="1:4" ht="15.75" x14ac:dyDescent="0.25">
      <c r="A165" s="15">
        <v>78</v>
      </c>
      <c r="B165" s="16" t="s">
        <v>75</v>
      </c>
      <c r="C165" s="17" t="s">
        <v>125</v>
      </c>
      <c r="D165" s="18">
        <f>30+35</f>
        <v>65</v>
      </c>
    </row>
    <row r="166" spans="1:4" ht="15.75" x14ac:dyDescent="0.25">
      <c r="A166" s="15">
        <v>79</v>
      </c>
      <c r="B166" s="16" t="s">
        <v>75</v>
      </c>
      <c r="C166" s="17" t="s">
        <v>81</v>
      </c>
      <c r="D166" s="18">
        <v>60</v>
      </c>
    </row>
    <row r="167" spans="1:4" ht="15.75" x14ac:dyDescent="0.25">
      <c r="A167" s="15">
        <v>80</v>
      </c>
      <c r="B167" s="16" t="s">
        <v>82</v>
      </c>
      <c r="C167" s="17" t="s">
        <v>86</v>
      </c>
      <c r="D167" s="18">
        <v>60</v>
      </c>
    </row>
    <row r="168" spans="1:4" ht="15.75" x14ac:dyDescent="0.25">
      <c r="A168" s="15">
        <v>81</v>
      </c>
      <c r="B168" s="16" t="s">
        <v>82</v>
      </c>
      <c r="C168" s="17" t="s">
        <v>126</v>
      </c>
      <c r="D168" s="18">
        <v>60</v>
      </c>
    </row>
    <row r="169" spans="1:4" ht="15.75" x14ac:dyDescent="0.25">
      <c r="A169" s="15">
        <v>82</v>
      </c>
      <c r="B169" s="16" t="s">
        <v>92</v>
      </c>
      <c r="C169" s="17" t="s">
        <v>94</v>
      </c>
      <c r="D169" s="18">
        <v>25</v>
      </c>
    </row>
    <row r="170" spans="1:4" ht="16.5" thickBot="1" x14ac:dyDescent="0.3">
      <c r="A170" s="33" t="s">
        <v>96</v>
      </c>
      <c r="B170" s="34"/>
      <c r="C170" s="33" t="s">
        <v>127</v>
      </c>
      <c r="D170" s="35">
        <f>SUM(D88:D169)</f>
        <v>3886.67</v>
      </c>
    </row>
    <row r="171" spans="1:4" ht="17.25" x14ac:dyDescent="0.25">
      <c r="A171" s="29" t="s">
        <v>98</v>
      </c>
      <c r="B171" s="29"/>
      <c r="C171" s="29"/>
      <c r="D171" s="29"/>
    </row>
    <row r="172" spans="1:4" ht="17.25" x14ac:dyDescent="0.25">
      <c r="A172" s="30"/>
      <c r="B172" s="30"/>
      <c r="C172" s="30"/>
      <c r="D172" s="30"/>
    </row>
    <row r="173" spans="1:4" ht="17.25" x14ac:dyDescent="0.25">
      <c r="A173" s="30"/>
      <c r="B173" s="30"/>
      <c r="C173" s="31"/>
      <c r="D173" s="32"/>
    </row>
    <row r="174" spans="1:4" ht="21" x14ac:dyDescent="0.25">
      <c r="A174" s="1" t="s">
        <v>147</v>
      </c>
      <c r="B174" s="1"/>
      <c r="C174" s="1"/>
      <c r="D174" s="1"/>
    </row>
    <row r="175" spans="1:4" x14ac:dyDescent="0.25">
      <c r="A175" s="2" t="s">
        <v>148</v>
      </c>
      <c r="B175" s="2"/>
      <c r="C175" s="2"/>
      <c r="D175" s="2"/>
    </row>
    <row r="177" spans="1:4" x14ac:dyDescent="0.25">
      <c r="A177" s="7"/>
      <c r="B177" s="8" t="s">
        <v>2</v>
      </c>
      <c r="C177" s="9" t="s">
        <v>3</v>
      </c>
      <c r="D177" s="10" t="s">
        <v>4</v>
      </c>
    </row>
    <row r="178" spans="1:4" ht="18.75" x14ac:dyDescent="0.25">
      <c r="A178" s="11"/>
      <c r="B178" s="12"/>
      <c r="C178" s="13"/>
      <c r="D178" s="14" t="s">
        <v>5</v>
      </c>
    </row>
    <row r="179" spans="1:4" ht="15.75" x14ac:dyDescent="0.25">
      <c r="A179" s="15">
        <v>1</v>
      </c>
      <c r="B179" s="16" t="s">
        <v>6</v>
      </c>
      <c r="C179" s="17" t="s">
        <v>99</v>
      </c>
      <c r="D179" s="18">
        <v>40</v>
      </c>
    </row>
    <row r="180" spans="1:4" ht="15.75" x14ac:dyDescent="0.25">
      <c r="A180" s="15">
        <v>2</v>
      </c>
      <c r="B180" s="16" t="s">
        <v>6</v>
      </c>
      <c r="C180" s="17" t="s">
        <v>128</v>
      </c>
      <c r="D180" s="18">
        <v>37.795999999999999</v>
      </c>
    </row>
    <row r="181" spans="1:4" ht="15.75" x14ac:dyDescent="0.25">
      <c r="A181" s="15">
        <v>3</v>
      </c>
      <c r="B181" s="16" t="s">
        <v>6</v>
      </c>
      <c r="C181" s="17" t="s">
        <v>129</v>
      </c>
      <c r="D181" s="18">
        <v>20</v>
      </c>
    </row>
    <row r="182" spans="1:4" ht="15.75" x14ac:dyDescent="0.25">
      <c r="A182" s="15">
        <v>4</v>
      </c>
      <c r="B182" s="16" t="s">
        <v>6</v>
      </c>
      <c r="C182" s="17" t="s">
        <v>130</v>
      </c>
      <c r="D182" s="18">
        <v>30</v>
      </c>
    </row>
    <row r="183" spans="1:4" ht="15.75" x14ac:dyDescent="0.25">
      <c r="A183" s="15">
        <v>5</v>
      </c>
      <c r="B183" s="16" t="s">
        <v>6</v>
      </c>
      <c r="C183" s="17" t="s">
        <v>7</v>
      </c>
      <c r="D183" s="18">
        <v>10</v>
      </c>
    </row>
    <row r="184" spans="1:4" ht="15.75" x14ac:dyDescent="0.25">
      <c r="A184" s="15">
        <v>6</v>
      </c>
      <c r="B184" s="16" t="s">
        <v>6</v>
      </c>
      <c r="C184" s="17" t="s">
        <v>8</v>
      </c>
      <c r="D184" s="18">
        <v>38.22</v>
      </c>
    </row>
    <row r="185" spans="1:4" ht="15.75" x14ac:dyDescent="0.25">
      <c r="A185" s="15">
        <v>7</v>
      </c>
      <c r="B185" s="16" t="s">
        <v>6</v>
      </c>
      <c r="C185" s="17" t="s">
        <v>9</v>
      </c>
      <c r="D185" s="18">
        <v>25</v>
      </c>
    </row>
    <row r="186" spans="1:4" ht="15.75" x14ac:dyDescent="0.25">
      <c r="A186" s="15">
        <v>8</v>
      </c>
      <c r="B186" s="16" t="s">
        <v>10</v>
      </c>
      <c r="C186" s="17" t="s">
        <v>131</v>
      </c>
      <c r="D186" s="18">
        <v>49.15</v>
      </c>
    </row>
    <row r="187" spans="1:4" ht="15.75" x14ac:dyDescent="0.25">
      <c r="A187" s="15">
        <v>9</v>
      </c>
      <c r="B187" s="16" t="s">
        <v>10</v>
      </c>
      <c r="C187" s="17" t="s">
        <v>132</v>
      </c>
      <c r="D187" s="18">
        <v>25</v>
      </c>
    </row>
    <row r="188" spans="1:4" ht="15.75" x14ac:dyDescent="0.25">
      <c r="A188" s="15">
        <v>10</v>
      </c>
      <c r="B188" s="16" t="s">
        <v>10</v>
      </c>
      <c r="C188" s="17" t="s">
        <v>11</v>
      </c>
      <c r="D188" s="18">
        <v>20.332999999999998</v>
      </c>
    </row>
    <row r="189" spans="1:4" ht="15.75" x14ac:dyDescent="0.25">
      <c r="A189" s="15">
        <v>11</v>
      </c>
      <c r="B189" s="16" t="s">
        <v>10</v>
      </c>
      <c r="C189" s="17" t="s">
        <v>12</v>
      </c>
      <c r="D189" s="18">
        <v>15</v>
      </c>
    </row>
    <row r="190" spans="1:4" ht="15.75" x14ac:dyDescent="0.25">
      <c r="A190" s="15">
        <v>12</v>
      </c>
      <c r="B190" s="16" t="s">
        <v>10</v>
      </c>
      <c r="C190" s="17" t="s">
        <v>13</v>
      </c>
      <c r="D190" s="18">
        <v>55.85</v>
      </c>
    </row>
    <row r="191" spans="1:4" ht="15.75" x14ac:dyDescent="0.25">
      <c r="A191" s="15">
        <v>13</v>
      </c>
      <c r="B191" s="16" t="s">
        <v>10</v>
      </c>
      <c r="C191" s="17" t="s">
        <v>14</v>
      </c>
      <c r="D191" s="18">
        <v>65</v>
      </c>
    </row>
    <row r="192" spans="1:4" ht="15.75" x14ac:dyDescent="0.25">
      <c r="A192" s="15">
        <v>14</v>
      </c>
      <c r="B192" s="16" t="s">
        <v>10</v>
      </c>
      <c r="C192" s="17" t="s">
        <v>15</v>
      </c>
      <c r="D192" s="18">
        <v>19.64</v>
      </c>
    </row>
    <row r="193" spans="1:4" ht="15.75" x14ac:dyDescent="0.25">
      <c r="A193" s="15">
        <v>15</v>
      </c>
      <c r="B193" s="16" t="s">
        <v>10</v>
      </c>
      <c r="C193" s="17" t="s">
        <v>16</v>
      </c>
      <c r="D193" s="18">
        <v>36.786999999999999</v>
      </c>
    </row>
    <row r="194" spans="1:4" ht="15.75" x14ac:dyDescent="0.25">
      <c r="A194" s="15">
        <v>16</v>
      </c>
      <c r="B194" s="16" t="s">
        <v>10</v>
      </c>
      <c r="C194" s="17" t="s">
        <v>101</v>
      </c>
      <c r="D194" s="18">
        <v>45</v>
      </c>
    </row>
    <row r="195" spans="1:4" ht="15.75" x14ac:dyDescent="0.25">
      <c r="A195" s="15">
        <v>17</v>
      </c>
      <c r="B195" s="16" t="s">
        <v>19</v>
      </c>
      <c r="C195" s="17" t="s">
        <v>21</v>
      </c>
      <c r="D195" s="18">
        <v>37.436999999999998</v>
      </c>
    </row>
    <row r="196" spans="1:4" ht="15.75" x14ac:dyDescent="0.25">
      <c r="A196" s="15">
        <v>18</v>
      </c>
      <c r="B196" s="16" t="s">
        <v>19</v>
      </c>
      <c r="C196" s="17" t="s">
        <v>102</v>
      </c>
      <c r="D196" s="18">
        <v>50</v>
      </c>
    </row>
    <row r="197" spans="1:4" ht="15.75" x14ac:dyDescent="0.25">
      <c r="A197" s="15">
        <v>19</v>
      </c>
      <c r="B197" s="16" t="s">
        <v>19</v>
      </c>
      <c r="C197" s="17" t="s">
        <v>23</v>
      </c>
      <c r="D197" s="18">
        <v>20.3</v>
      </c>
    </row>
    <row r="198" spans="1:4" ht="15.75" x14ac:dyDescent="0.25">
      <c r="A198" s="15">
        <v>20</v>
      </c>
      <c r="B198" s="16" t="s">
        <v>19</v>
      </c>
      <c r="C198" s="17" t="s">
        <v>24</v>
      </c>
      <c r="D198" s="18">
        <v>48.134999999999998</v>
      </c>
    </row>
    <row r="199" spans="1:4" ht="15.75" x14ac:dyDescent="0.25">
      <c r="A199" s="15">
        <v>21</v>
      </c>
      <c r="B199" s="16" t="s">
        <v>19</v>
      </c>
      <c r="C199" s="17" t="s">
        <v>25</v>
      </c>
      <c r="D199" s="18">
        <v>40</v>
      </c>
    </row>
    <row r="200" spans="1:4" ht="15.75" x14ac:dyDescent="0.25">
      <c r="A200" s="15">
        <v>22</v>
      </c>
      <c r="B200" s="16" t="s">
        <v>19</v>
      </c>
      <c r="C200" s="17" t="s">
        <v>26</v>
      </c>
      <c r="D200" s="18">
        <v>40.887</v>
      </c>
    </row>
    <row r="201" spans="1:4" ht="15.75" x14ac:dyDescent="0.25">
      <c r="A201" s="15">
        <v>23</v>
      </c>
      <c r="B201" s="16" t="s">
        <v>28</v>
      </c>
      <c r="C201" s="17" t="s">
        <v>104</v>
      </c>
      <c r="D201" s="18">
        <v>27.31</v>
      </c>
    </row>
    <row r="202" spans="1:4" ht="15.75" x14ac:dyDescent="0.25">
      <c r="A202" s="15">
        <v>24</v>
      </c>
      <c r="B202" s="16" t="s">
        <v>28</v>
      </c>
      <c r="C202" s="17" t="s">
        <v>105</v>
      </c>
      <c r="D202" s="18">
        <v>11.25</v>
      </c>
    </row>
    <row r="203" spans="1:4" ht="15.75" x14ac:dyDescent="0.25">
      <c r="A203" s="15">
        <v>25</v>
      </c>
      <c r="B203" s="16" t="s">
        <v>28</v>
      </c>
      <c r="C203" s="17" t="s">
        <v>30</v>
      </c>
      <c r="D203" s="18">
        <v>24.565999999999999</v>
      </c>
    </row>
    <row r="204" spans="1:4" ht="15.75" x14ac:dyDescent="0.25">
      <c r="A204" s="15">
        <v>26</v>
      </c>
      <c r="B204" s="16" t="s">
        <v>28</v>
      </c>
      <c r="C204" s="17" t="s">
        <v>31</v>
      </c>
      <c r="D204" s="18">
        <v>25</v>
      </c>
    </row>
    <row r="205" spans="1:4" ht="15.75" x14ac:dyDescent="0.25">
      <c r="A205" s="15">
        <v>27</v>
      </c>
      <c r="B205" s="16" t="s">
        <v>28</v>
      </c>
      <c r="C205" s="17" t="s">
        <v>32</v>
      </c>
      <c r="D205" s="18">
        <v>20</v>
      </c>
    </row>
    <row r="206" spans="1:4" ht="15.75" x14ac:dyDescent="0.25">
      <c r="A206" s="15">
        <v>28</v>
      </c>
      <c r="B206" s="16" t="s">
        <v>28</v>
      </c>
      <c r="C206" s="17" t="s">
        <v>34</v>
      </c>
      <c r="D206" s="18">
        <v>70</v>
      </c>
    </row>
    <row r="207" spans="1:4" ht="15.75" x14ac:dyDescent="0.25">
      <c r="A207" s="15">
        <v>29</v>
      </c>
      <c r="B207" s="16" t="s">
        <v>28</v>
      </c>
      <c r="C207" s="17" t="s">
        <v>35</v>
      </c>
      <c r="D207" s="18">
        <v>28.5</v>
      </c>
    </row>
    <row r="208" spans="1:4" ht="15.75" x14ac:dyDescent="0.25">
      <c r="A208" s="15">
        <v>30</v>
      </c>
      <c r="B208" s="16" t="s">
        <v>28</v>
      </c>
      <c r="C208" s="17" t="s">
        <v>107</v>
      </c>
      <c r="D208" s="18">
        <v>72.397999999999996</v>
      </c>
    </row>
    <row r="209" spans="1:4" ht="15.75" x14ac:dyDescent="0.25">
      <c r="A209" s="15">
        <v>31</v>
      </c>
      <c r="B209" s="16" t="s">
        <v>36</v>
      </c>
      <c r="C209" s="17" t="s">
        <v>109</v>
      </c>
      <c r="D209" s="18">
        <v>19.643000000000001</v>
      </c>
    </row>
    <row r="210" spans="1:4" ht="15.75" x14ac:dyDescent="0.25">
      <c r="A210" s="15">
        <v>32</v>
      </c>
      <c r="B210" s="16" t="s">
        <v>36</v>
      </c>
      <c r="C210" s="17" t="s">
        <v>40</v>
      </c>
      <c r="D210" s="18">
        <v>27.300999999999998</v>
      </c>
    </row>
    <row r="211" spans="1:4" ht="15.75" x14ac:dyDescent="0.25">
      <c r="A211" s="15">
        <v>33</v>
      </c>
      <c r="B211" s="16" t="s">
        <v>36</v>
      </c>
      <c r="C211" s="17" t="s">
        <v>42</v>
      </c>
      <c r="D211" s="18">
        <v>20</v>
      </c>
    </row>
    <row r="212" spans="1:4" ht="15.75" x14ac:dyDescent="0.25">
      <c r="A212" s="15">
        <v>34</v>
      </c>
      <c r="B212" s="16" t="s">
        <v>36</v>
      </c>
      <c r="C212" s="17" t="s">
        <v>43</v>
      </c>
      <c r="D212" s="18">
        <v>14</v>
      </c>
    </row>
    <row r="213" spans="1:4" ht="15.75" x14ac:dyDescent="0.25">
      <c r="A213" s="15">
        <v>35</v>
      </c>
      <c r="B213" s="16" t="s">
        <v>44</v>
      </c>
      <c r="C213" s="17" t="s">
        <v>111</v>
      </c>
      <c r="D213" s="18">
        <v>34.770000000000003</v>
      </c>
    </row>
    <row r="214" spans="1:4" ht="15.75" x14ac:dyDescent="0.25">
      <c r="A214" s="15">
        <v>36</v>
      </c>
      <c r="B214" s="16" t="s">
        <v>44</v>
      </c>
      <c r="C214" s="17" t="s">
        <v>133</v>
      </c>
      <c r="D214" s="18">
        <v>30</v>
      </c>
    </row>
    <row r="215" spans="1:4" ht="15.75" x14ac:dyDescent="0.25">
      <c r="A215" s="15">
        <v>37</v>
      </c>
      <c r="B215" s="16" t="s">
        <v>44</v>
      </c>
      <c r="C215" s="17" t="s">
        <v>134</v>
      </c>
      <c r="D215" s="18">
        <v>15</v>
      </c>
    </row>
    <row r="216" spans="1:4" ht="15.75" x14ac:dyDescent="0.25">
      <c r="A216" s="15">
        <v>38</v>
      </c>
      <c r="B216" s="16" t="s">
        <v>44</v>
      </c>
      <c r="C216" s="17" t="s">
        <v>47</v>
      </c>
      <c r="D216" s="18">
        <v>10</v>
      </c>
    </row>
    <row r="217" spans="1:4" ht="15.75" x14ac:dyDescent="0.25">
      <c r="A217" s="15">
        <v>39</v>
      </c>
      <c r="B217" s="16" t="s">
        <v>44</v>
      </c>
      <c r="C217" s="17" t="s">
        <v>49</v>
      </c>
      <c r="D217" s="18">
        <v>25.574999999999999</v>
      </c>
    </row>
    <row r="218" spans="1:4" ht="15.75" x14ac:dyDescent="0.25">
      <c r="A218" s="15">
        <v>40</v>
      </c>
      <c r="B218" s="16" t="s">
        <v>44</v>
      </c>
      <c r="C218" s="17" t="s">
        <v>102</v>
      </c>
      <c r="D218" s="18">
        <v>25</v>
      </c>
    </row>
    <row r="219" spans="1:4" ht="15.75" x14ac:dyDescent="0.25">
      <c r="A219" s="15">
        <v>41</v>
      </c>
      <c r="B219" s="16" t="s">
        <v>52</v>
      </c>
      <c r="C219" s="17" t="s">
        <v>135</v>
      </c>
      <c r="D219" s="18">
        <v>40</v>
      </c>
    </row>
    <row r="220" spans="1:4" ht="15.75" x14ac:dyDescent="0.25">
      <c r="A220" s="15">
        <v>42</v>
      </c>
      <c r="B220" s="16" t="s">
        <v>52</v>
      </c>
      <c r="C220" s="17" t="s">
        <v>136</v>
      </c>
      <c r="D220" s="18">
        <v>20</v>
      </c>
    </row>
    <row r="221" spans="1:4" ht="15.75" x14ac:dyDescent="0.25">
      <c r="A221" s="15">
        <v>43</v>
      </c>
      <c r="B221" s="16" t="s">
        <v>55</v>
      </c>
      <c r="C221" s="17" t="s">
        <v>115</v>
      </c>
      <c r="D221" s="18">
        <v>17.081</v>
      </c>
    </row>
    <row r="222" spans="1:4" ht="15.75" x14ac:dyDescent="0.25">
      <c r="A222" s="15">
        <v>44</v>
      </c>
      <c r="B222" s="16" t="s">
        <v>55</v>
      </c>
      <c r="C222" s="17" t="s">
        <v>57</v>
      </c>
      <c r="D222" s="18">
        <v>25</v>
      </c>
    </row>
    <row r="223" spans="1:4" ht="15.75" x14ac:dyDescent="0.25">
      <c r="A223" s="15">
        <v>45</v>
      </c>
      <c r="B223" s="16" t="s">
        <v>55</v>
      </c>
      <c r="C223" s="17" t="s">
        <v>58</v>
      </c>
      <c r="D223" s="18">
        <v>25.094999999999999</v>
      </c>
    </row>
    <row r="224" spans="1:4" ht="15.75" x14ac:dyDescent="0.25">
      <c r="A224" s="15">
        <v>46</v>
      </c>
      <c r="B224" s="16" t="s">
        <v>59</v>
      </c>
      <c r="C224" s="17" t="s">
        <v>118</v>
      </c>
      <c r="D224" s="18">
        <v>17</v>
      </c>
    </row>
    <row r="225" spans="1:4" ht="15.75" x14ac:dyDescent="0.25">
      <c r="A225" s="15">
        <v>47</v>
      </c>
      <c r="B225" s="16" t="s">
        <v>59</v>
      </c>
      <c r="C225" s="17" t="s">
        <v>60</v>
      </c>
      <c r="D225" s="18">
        <v>22.5</v>
      </c>
    </row>
    <row r="226" spans="1:4" ht="15.75" x14ac:dyDescent="0.25">
      <c r="A226" s="15">
        <v>48</v>
      </c>
      <c r="B226" s="16" t="s">
        <v>59</v>
      </c>
      <c r="C226" s="17" t="s">
        <v>119</v>
      </c>
      <c r="D226" s="18">
        <v>23</v>
      </c>
    </row>
    <row r="227" spans="1:4" ht="16.5" thickBot="1" x14ac:dyDescent="0.3">
      <c r="A227" s="33" t="s">
        <v>96</v>
      </c>
      <c r="B227" s="34"/>
      <c r="C227" s="33" t="s">
        <v>137</v>
      </c>
      <c r="D227" s="35">
        <f>SUM(D179:D226)</f>
        <v>1459.5239999999999</v>
      </c>
    </row>
    <row r="228" spans="1:4" ht="17.25" x14ac:dyDescent="0.25">
      <c r="A228" s="29" t="s">
        <v>98</v>
      </c>
      <c r="B228" s="29"/>
      <c r="C228" s="29"/>
      <c r="D228" s="29"/>
    </row>
    <row r="229" spans="1:4" ht="17.25" x14ac:dyDescent="0.25">
      <c r="A229" s="30"/>
      <c r="B229" s="30"/>
      <c r="C229" s="31"/>
      <c r="D229" s="32"/>
    </row>
    <row r="230" spans="1:4" ht="17.25" x14ac:dyDescent="0.25">
      <c r="A230" s="30"/>
      <c r="B230" s="30"/>
      <c r="C230" s="31"/>
      <c r="D230" s="32"/>
    </row>
    <row r="231" spans="1:4" ht="17.25" x14ac:dyDescent="0.25">
      <c r="A231" s="30"/>
      <c r="B231" s="30"/>
      <c r="C231" s="31"/>
      <c r="D231" s="32"/>
    </row>
    <row r="232" spans="1:4" ht="17.25" x14ac:dyDescent="0.25">
      <c r="A232" s="30"/>
      <c r="B232" s="30"/>
      <c r="C232" s="31"/>
      <c r="D232" s="32"/>
    </row>
    <row r="233" spans="1:4" ht="17.25" x14ac:dyDescent="0.25">
      <c r="A233" s="36"/>
      <c r="B233" s="37"/>
      <c r="D233" s="38"/>
    </row>
    <row r="234" spans="1:4" ht="21" x14ac:dyDescent="0.25">
      <c r="A234" s="1" t="s">
        <v>150</v>
      </c>
      <c r="B234" s="1"/>
      <c r="C234" s="1"/>
      <c r="D234" s="1"/>
    </row>
    <row r="235" spans="1:4" x14ac:dyDescent="0.25">
      <c r="A235" s="2" t="s">
        <v>149</v>
      </c>
      <c r="B235" s="2"/>
      <c r="C235" s="2"/>
      <c r="D235" s="2"/>
    </row>
    <row r="237" spans="1:4" x14ac:dyDescent="0.25">
      <c r="A237" s="7"/>
      <c r="B237" s="8" t="s">
        <v>2</v>
      </c>
      <c r="C237" s="9" t="s">
        <v>3</v>
      </c>
      <c r="D237" s="10" t="s">
        <v>4</v>
      </c>
    </row>
    <row r="238" spans="1:4" ht="18.75" x14ac:dyDescent="0.25">
      <c r="A238" s="11"/>
      <c r="B238" s="12"/>
      <c r="C238" s="13"/>
      <c r="D238" s="14" t="s">
        <v>5</v>
      </c>
    </row>
    <row r="239" spans="1:4" ht="15.75" x14ac:dyDescent="0.25">
      <c r="A239" s="15">
        <v>1</v>
      </c>
      <c r="B239" s="16" t="s">
        <v>6</v>
      </c>
      <c r="C239" s="17" t="s">
        <v>99</v>
      </c>
      <c r="D239" s="18">
        <v>34</v>
      </c>
    </row>
    <row r="240" spans="1:4" ht="15.75" x14ac:dyDescent="0.25">
      <c r="A240" s="15">
        <v>2</v>
      </c>
      <c r="B240" s="16" t="s">
        <v>6</v>
      </c>
      <c r="C240" s="17" t="s">
        <v>7</v>
      </c>
      <c r="D240" s="18">
        <v>10</v>
      </c>
    </row>
    <row r="241" spans="1:4" ht="15.75" x14ac:dyDescent="0.25">
      <c r="A241" s="15">
        <v>3</v>
      </c>
      <c r="B241" s="16" t="s">
        <v>10</v>
      </c>
      <c r="C241" s="17" t="s">
        <v>12</v>
      </c>
      <c r="D241" s="18">
        <v>35</v>
      </c>
    </row>
    <row r="242" spans="1:4" ht="15.75" x14ac:dyDescent="0.25">
      <c r="A242" s="15">
        <v>4</v>
      </c>
      <c r="B242" s="16" t="s">
        <v>10</v>
      </c>
      <c r="C242" s="17" t="s">
        <v>14</v>
      </c>
      <c r="D242" s="18">
        <v>35</v>
      </c>
    </row>
    <row r="243" spans="1:4" ht="15.75" x14ac:dyDescent="0.25">
      <c r="A243" s="15">
        <v>5</v>
      </c>
      <c r="B243" s="16" t="s">
        <v>28</v>
      </c>
      <c r="C243" s="17" t="s">
        <v>30</v>
      </c>
      <c r="D243" s="18">
        <v>25</v>
      </c>
    </row>
    <row r="244" spans="1:4" ht="15.75" x14ac:dyDescent="0.25">
      <c r="A244" s="15">
        <v>6</v>
      </c>
      <c r="B244" s="16" t="s">
        <v>28</v>
      </c>
      <c r="C244" s="17" t="s">
        <v>32</v>
      </c>
      <c r="D244" s="18">
        <v>25</v>
      </c>
    </row>
    <row r="245" spans="1:4" ht="15.75" x14ac:dyDescent="0.25">
      <c r="A245" s="15">
        <v>7</v>
      </c>
      <c r="B245" s="16" t="s">
        <v>28</v>
      </c>
      <c r="C245" s="17" t="s">
        <v>34</v>
      </c>
      <c r="D245" s="18">
        <v>48</v>
      </c>
    </row>
    <row r="246" spans="1:4" ht="15.75" x14ac:dyDescent="0.25">
      <c r="A246" s="15">
        <v>8</v>
      </c>
      <c r="B246" s="16" t="s">
        <v>36</v>
      </c>
      <c r="C246" s="17" t="s">
        <v>42</v>
      </c>
      <c r="D246" s="18">
        <v>15</v>
      </c>
    </row>
    <row r="247" spans="1:4" ht="15.75" x14ac:dyDescent="0.25">
      <c r="A247" s="15">
        <v>9</v>
      </c>
      <c r="B247" s="16" t="s">
        <v>44</v>
      </c>
      <c r="C247" s="17" t="s">
        <v>111</v>
      </c>
      <c r="D247" s="18">
        <v>20</v>
      </c>
    </row>
    <row r="248" spans="1:4" ht="15.75" x14ac:dyDescent="0.25">
      <c r="A248" s="15">
        <v>10</v>
      </c>
      <c r="B248" s="16" t="s">
        <v>44</v>
      </c>
      <c r="C248" s="17" t="s">
        <v>47</v>
      </c>
      <c r="D248" s="18">
        <v>20</v>
      </c>
    </row>
    <row r="249" spans="1:4" ht="15.75" x14ac:dyDescent="0.25">
      <c r="A249" s="15">
        <v>11</v>
      </c>
      <c r="B249" s="16" t="s">
        <v>52</v>
      </c>
      <c r="C249" s="17" t="s">
        <v>54</v>
      </c>
      <c r="D249" s="18">
        <v>10</v>
      </c>
    </row>
    <row r="250" spans="1:4" ht="15.75" x14ac:dyDescent="0.25">
      <c r="A250" s="15">
        <v>12</v>
      </c>
      <c r="B250" s="16" t="s">
        <v>55</v>
      </c>
      <c r="C250" s="17" t="s">
        <v>116</v>
      </c>
      <c r="D250" s="18">
        <v>40</v>
      </c>
    </row>
    <row r="251" spans="1:4" ht="15.75" x14ac:dyDescent="0.25">
      <c r="A251" s="15">
        <v>13</v>
      </c>
      <c r="B251" s="16" t="s">
        <v>55</v>
      </c>
      <c r="C251" s="17" t="s">
        <v>56</v>
      </c>
      <c r="D251" s="18">
        <v>10</v>
      </c>
    </row>
    <row r="252" spans="1:4" ht="15.75" x14ac:dyDescent="0.25">
      <c r="A252" s="15">
        <v>14</v>
      </c>
      <c r="B252" s="16" t="s">
        <v>55</v>
      </c>
      <c r="C252" s="17" t="s">
        <v>57</v>
      </c>
      <c r="D252" s="18">
        <v>42</v>
      </c>
    </row>
    <row r="253" spans="1:4" ht="15.75" x14ac:dyDescent="0.25">
      <c r="A253" s="15">
        <v>15</v>
      </c>
      <c r="B253" s="16" t="s">
        <v>55</v>
      </c>
      <c r="C253" s="17" t="s">
        <v>58</v>
      </c>
      <c r="D253" s="18">
        <v>62</v>
      </c>
    </row>
    <row r="254" spans="1:4" ht="15.75" x14ac:dyDescent="0.25">
      <c r="A254" s="15">
        <v>16</v>
      </c>
      <c r="B254" s="16" t="s">
        <v>59</v>
      </c>
      <c r="C254" s="17" t="s">
        <v>60</v>
      </c>
      <c r="D254" s="18">
        <v>25</v>
      </c>
    </row>
    <row r="255" spans="1:4" ht="15.75" x14ac:dyDescent="0.25">
      <c r="A255" s="15">
        <v>17</v>
      </c>
      <c r="B255" s="16" t="s">
        <v>62</v>
      </c>
      <c r="C255" s="17" t="s">
        <v>63</v>
      </c>
      <c r="D255" s="18">
        <v>11</v>
      </c>
    </row>
    <row r="256" spans="1:4" ht="15.75" x14ac:dyDescent="0.25">
      <c r="A256" s="15">
        <v>18</v>
      </c>
      <c r="B256" s="16" t="s">
        <v>64</v>
      </c>
      <c r="C256" s="17" t="s">
        <v>65</v>
      </c>
      <c r="D256" s="18">
        <v>19</v>
      </c>
    </row>
    <row r="257" spans="1:4" ht="15.75" x14ac:dyDescent="0.25">
      <c r="A257" s="15">
        <v>19</v>
      </c>
      <c r="B257" s="16" t="s">
        <v>64</v>
      </c>
      <c r="C257" s="17" t="s">
        <v>66</v>
      </c>
      <c r="D257" s="18">
        <v>16</v>
      </c>
    </row>
    <row r="258" spans="1:4" ht="15.75" x14ac:dyDescent="0.25">
      <c r="A258" s="15">
        <v>20</v>
      </c>
      <c r="B258" s="16" t="s">
        <v>71</v>
      </c>
      <c r="C258" s="17" t="s">
        <v>72</v>
      </c>
      <c r="D258" s="18">
        <v>50</v>
      </c>
    </row>
    <row r="259" spans="1:4" ht="15.75" x14ac:dyDescent="0.25">
      <c r="A259" s="15">
        <v>21</v>
      </c>
      <c r="B259" s="16" t="s">
        <v>71</v>
      </c>
      <c r="C259" s="17" t="s">
        <v>74</v>
      </c>
      <c r="D259" s="18">
        <v>28</v>
      </c>
    </row>
    <row r="260" spans="1:4" ht="15.75" x14ac:dyDescent="0.25">
      <c r="A260" s="15">
        <v>22</v>
      </c>
      <c r="B260" s="16" t="s">
        <v>71</v>
      </c>
      <c r="C260" s="17" t="s">
        <v>138</v>
      </c>
      <c r="D260" s="18">
        <v>114</v>
      </c>
    </row>
    <row r="261" spans="1:4" ht="15.75" x14ac:dyDescent="0.25">
      <c r="A261" s="15">
        <v>23</v>
      </c>
      <c r="B261" s="16" t="s">
        <v>75</v>
      </c>
      <c r="C261" s="17" t="s">
        <v>125</v>
      </c>
      <c r="D261" s="18">
        <v>65</v>
      </c>
    </row>
    <row r="262" spans="1:4" ht="15.75" x14ac:dyDescent="0.25">
      <c r="A262" s="15">
        <v>24</v>
      </c>
      <c r="B262" s="16" t="s">
        <v>75</v>
      </c>
      <c r="C262" s="17" t="s">
        <v>81</v>
      </c>
      <c r="D262" s="18">
        <v>70</v>
      </c>
    </row>
    <row r="263" spans="1:4" ht="15.75" x14ac:dyDescent="0.25">
      <c r="A263" s="15">
        <v>25</v>
      </c>
      <c r="B263" s="16" t="s">
        <v>82</v>
      </c>
      <c r="C263" s="17" t="s">
        <v>139</v>
      </c>
      <c r="D263" s="18">
        <v>47</v>
      </c>
    </row>
    <row r="264" spans="1:4" ht="15.75" x14ac:dyDescent="0.25">
      <c r="A264" s="15">
        <v>26</v>
      </c>
      <c r="B264" s="16" t="s">
        <v>82</v>
      </c>
      <c r="C264" s="17" t="s">
        <v>86</v>
      </c>
      <c r="D264" s="18">
        <v>75</v>
      </c>
    </row>
    <row r="265" spans="1:4" ht="15.75" x14ac:dyDescent="0.25">
      <c r="A265" s="15">
        <v>27</v>
      </c>
      <c r="B265" s="16" t="s">
        <v>82</v>
      </c>
      <c r="C265" s="17" t="s">
        <v>126</v>
      </c>
      <c r="D265" s="18">
        <v>43</v>
      </c>
    </row>
    <row r="266" spans="1:4" ht="15.75" x14ac:dyDescent="0.25">
      <c r="A266" s="15">
        <v>28</v>
      </c>
      <c r="B266" s="16" t="s">
        <v>88</v>
      </c>
      <c r="C266" s="17" t="s">
        <v>90</v>
      </c>
      <c r="D266" s="18">
        <v>66</v>
      </c>
    </row>
    <row r="267" spans="1:4" ht="15.75" x14ac:dyDescent="0.25">
      <c r="A267" s="15">
        <v>29</v>
      </c>
      <c r="B267" s="16" t="s">
        <v>88</v>
      </c>
      <c r="C267" s="17" t="s">
        <v>140</v>
      </c>
      <c r="D267" s="18">
        <v>17</v>
      </c>
    </row>
    <row r="268" spans="1:4" ht="15.75" x14ac:dyDescent="0.25">
      <c r="A268" s="15">
        <v>30</v>
      </c>
      <c r="B268" s="16" t="s">
        <v>92</v>
      </c>
      <c r="C268" s="17" t="s">
        <v>94</v>
      </c>
      <c r="D268" s="18">
        <v>25</v>
      </c>
    </row>
    <row r="269" spans="1:4" ht="15.75" x14ac:dyDescent="0.25">
      <c r="A269" s="15">
        <v>31</v>
      </c>
      <c r="B269" s="16" t="s">
        <v>92</v>
      </c>
      <c r="C269" s="17" t="s">
        <v>141</v>
      </c>
      <c r="D269" s="18">
        <v>23.5</v>
      </c>
    </row>
    <row r="270" spans="1:4" ht="15.75" x14ac:dyDescent="0.25">
      <c r="A270" s="15">
        <v>32</v>
      </c>
      <c r="B270" s="16" t="s">
        <v>92</v>
      </c>
      <c r="C270" s="17" t="s">
        <v>95</v>
      </c>
      <c r="D270" s="18">
        <v>50</v>
      </c>
    </row>
    <row r="271" spans="1:4" ht="15.75" x14ac:dyDescent="0.25">
      <c r="A271" s="15">
        <v>33</v>
      </c>
      <c r="B271" s="16" t="s">
        <v>142</v>
      </c>
      <c r="C271" s="17" t="s">
        <v>143</v>
      </c>
      <c r="D271" s="18">
        <v>200</v>
      </c>
    </row>
    <row r="272" spans="1:4" ht="16.5" thickBot="1" x14ac:dyDescent="0.3">
      <c r="A272" s="39" t="s">
        <v>96</v>
      </c>
      <c r="B272" s="40"/>
      <c r="C272" s="39" t="s">
        <v>144</v>
      </c>
      <c r="D272" s="35">
        <f>SUM(D239:D271)</f>
        <v>1375.5</v>
      </c>
    </row>
    <row r="273" spans="1:4" ht="17.25" x14ac:dyDescent="0.25">
      <c r="A273" s="29" t="s">
        <v>98</v>
      </c>
      <c r="B273" s="29"/>
      <c r="C273" s="29"/>
      <c r="D273" s="29"/>
    </row>
    <row r="274" spans="1:4" ht="17.25" x14ac:dyDescent="0.25">
      <c r="A274" s="36"/>
      <c r="B274" s="37"/>
      <c r="D274" s="38"/>
    </row>
    <row r="275" spans="1:4" ht="17.25" x14ac:dyDescent="0.25">
      <c r="A275" s="36"/>
      <c r="B275" s="37"/>
      <c r="D275" s="38"/>
    </row>
    <row r="277" spans="1:4" ht="21" x14ac:dyDescent="0.25">
      <c r="A277" s="4"/>
      <c r="D277" s="41"/>
    </row>
    <row r="278" spans="1:4" ht="21" x14ac:dyDescent="0.25">
      <c r="A278" s="4"/>
      <c r="D278" s="41"/>
    </row>
  </sheetData>
  <mergeCells count="24">
    <mergeCell ref="A234:D234"/>
    <mergeCell ref="A235:D235"/>
    <mergeCell ref="A237:A238"/>
    <mergeCell ref="B237:B238"/>
    <mergeCell ref="C237:C238"/>
    <mergeCell ref="A273:D273"/>
    <mergeCell ref="A174:D174"/>
    <mergeCell ref="A175:D175"/>
    <mergeCell ref="A177:A178"/>
    <mergeCell ref="B177:B178"/>
    <mergeCell ref="C177:C178"/>
    <mergeCell ref="A228:D228"/>
    <mergeCell ref="A83:D83"/>
    <mergeCell ref="A84:D84"/>
    <mergeCell ref="A86:A87"/>
    <mergeCell ref="B86:B87"/>
    <mergeCell ref="C86:C87"/>
    <mergeCell ref="A171:D171"/>
    <mergeCell ref="A1:D1"/>
    <mergeCell ref="A2:D2"/>
    <mergeCell ref="A4:A5"/>
    <mergeCell ref="B4:B5"/>
    <mergeCell ref="C4:C5"/>
    <mergeCell ref="A80:D80"/>
  </mergeCells>
  <pageMargins left="0.7" right="0.7" top="0.75" bottom="0.75" header="0.3" footer="0.3"/>
  <pageSetup paperSize="9" scale="81" orientation="portrait" horizontalDpi="4294967295" verticalDpi="4294967295" r:id="rId1"/>
  <rowBreaks count="3" manualBreakCount="3">
    <brk id="80" max="16383" man="1"/>
    <brk id="171" max="16383" man="1"/>
    <brk id="2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12.16</vt:lpstr>
      <vt:lpstr>'12.16'!Print_Area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2021-08-23T04:32:23Z</cp:lastPrinted>
  <dcterms:created xsi:type="dcterms:W3CDTF">2021-08-23T04:29:17Z</dcterms:created>
  <dcterms:modified xsi:type="dcterms:W3CDTF">2021-08-23T04:54:02Z</dcterms:modified>
</cp:coreProperties>
</file>