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778"/>
  </bookViews>
  <sheets>
    <sheet name="12.2" sheetId="16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6" l="1"/>
  <c r="D11" i="16"/>
  <c r="E11" i="16"/>
  <c r="F11" i="16"/>
  <c r="G11" i="16"/>
  <c r="H11" i="16"/>
  <c r="I11" i="16"/>
  <c r="J11" i="16"/>
  <c r="K11" i="16"/>
  <c r="M11" i="16"/>
  <c r="N11" i="16"/>
  <c r="B43" i="16" l="1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19" i="16"/>
  <c r="B18" i="16"/>
  <c r="B17" i="16"/>
  <c r="B16" i="16"/>
  <c r="B15" i="16"/>
  <c r="B14" i="16"/>
  <c r="B13" i="16"/>
  <c r="B12" i="16"/>
  <c r="N7" i="16"/>
  <c r="J7" i="16"/>
  <c r="G7" i="16"/>
  <c r="F7" i="16"/>
  <c r="B10" i="16"/>
  <c r="B9" i="16"/>
  <c r="B8" i="16"/>
  <c r="M7" i="16"/>
  <c r="K7" i="16"/>
  <c r="I7" i="16"/>
  <c r="H7" i="16"/>
  <c r="E7" i="16"/>
  <c r="D7" i="16"/>
  <c r="C7" i="16"/>
  <c r="B20" i="16" l="1"/>
  <c r="B11" i="16" s="1"/>
  <c r="L11" i="16"/>
  <c r="L7" i="16" l="1"/>
  <c r="B7" i="16" l="1"/>
</calcChain>
</file>

<file path=xl/sharedStrings.xml><?xml version="1.0" encoding="utf-8"?>
<sst xmlns="http://schemas.openxmlformats.org/spreadsheetml/2006/main" count="107" uniqueCount="105">
  <si>
    <t>wlcmuj</t>
  </si>
  <si>
    <t>cCrWm</t>
  </si>
  <si>
    <t>Em</t>
  </si>
  <si>
    <t>cnUj</t>
  </si>
  <si>
    <t>iawluj</t>
  </si>
  <si>
    <t>cnwt</t>
  </si>
  <si>
    <t>Source: State Electric Company Limited</t>
  </si>
  <si>
    <t>cDeTimil Inepcmok ckircTckeliacTETcs :ctWrwf ivcaedutWmUluAwm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</si>
  <si>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</si>
  <si>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</si>
  <si>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</si>
  <si>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</si>
  <si>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</si>
  <si>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</si>
  <si>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</si>
  <si>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</si>
  <si>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</si>
  <si>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</si>
  <si>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</si>
  <si>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</si>
  <si>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</si>
  <si>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</si>
  <si>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</si>
  <si>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</si>
  <si>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</si>
  <si>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</si>
  <si>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</si>
  <si>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</si>
  <si>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</si>
  <si>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</si>
  <si>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</si>
  <si>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</si>
  <si>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</si>
  <si>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</si>
  <si>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</si>
  <si>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</si>
  <si>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</si>
  <si>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</si>
  <si>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</si>
  <si>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</si>
  <si>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</si>
  <si>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</si>
  <si>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</si>
  <si>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</si>
  <si>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</si>
  <si>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</si>
  <si>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</si>
  <si>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</si>
  <si>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</si>
  <si>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</si>
  <si>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</si>
  <si>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</si>
  <si>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</si>
  <si>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</si>
  <si>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</si>
  <si>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</si>
  <si>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</si>
  <si>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</si>
  <si>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</si>
  <si>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</si>
  <si>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</si>
  <si>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</si>
  <si>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</si>
  <si>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</si>
  <si>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</si>
  <si>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</si>
  <si>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</si>
  <si>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</si>
  <si>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</si>
  <si>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</si>
  <si>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</si>
  <si>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</si>
  <si>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</si>
  <si>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</si>
  <si>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</si>
  <si>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</si>
  <si>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</si>
  <si>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</si>
  <si>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</si>
  <si>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</si>
  <si>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</si>
  <si>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</si>
  <si>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</si>
  <si>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</si>
  <si>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</si>
  <si>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</si>
  <si>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</si>
  <si>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</si>
  <si>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</si>
  <si>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</si>
  <si>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</si>
  <si>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</si>
  <si>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</si>
  <si>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</si>
  <si>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</si>
  <si>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</si>
  <si>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</si>
  <si>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</si>
  <si>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</si>
  <si>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</si>
  <si>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</si>
  <si>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</si>
  <si>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</si>
  <si>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Table  12.2 :  MONTHLY ELECTRICITY PRODUCTION BY PUBLIC SECTOR, 2020</t>
  </si>
  <si>
    <t>2020 ,urwvcnim idcaefua cTcnwrwk uhwmcswmikea cnukwtctWrwf egurWkurws  : 12.2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</si>
</sst>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sz val="10"/>
      <name val="Garamond"/>
      <family val="1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b/>
      <sz val="11"/>
      <name val="A_Faseyha"/>
    </font>
    <font>
      <sz val="11"/>
      <name val="Faruma"/>
    </font>
    <font>
      <b/>
      <sz val="9"/>
      <color theme="1"/>
      <name val="Calibri"/>
      <family val="2"/>
      <scheme val="minor"/>
    </font>
    <font>
      <sz val="10.5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0" fontId="6" fillId="2" borderId="0" xfId="0" applyFont="1" applyFill="1" applyBorder="1" applyAlignment="1">
      <alignment horizontal="right"/>
    </xf>
    <xf numFmtId="0" fontId="0" fillId="2" borderId="0" xfId="0" applyFill="1"/>
    <xf numFmtId="0" fontId="14" fillId="2" borderId="6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right" vertical="center"/>
    </xf>
    <xf numFmtId="0" fontId="16" fillId="2" borderId="11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1" fontId="5" fillId="2" borderId="0" xfId="0" applyNumberFormat="1" applyFont="1" applyFill="1" applyBorder="1"/>
    <xf numFmtId="0" fontId="0" fillId="2" borderId="0" xfId="0" applyFill="1" applyAlignment="1">
      <alignment horizontal="left" vertical="center"/>
    </xf>
    <xf numFmtId="165" fontId="2" fillId="2" borderId="0" xfId="0" applyNumberFormat="1" applyFont="1" applyFill="1" applyBorder="1" applyAlignment="1">
      <alignment horizontal="right" vertical="center"/>
    </xf>
    <xf numFmtId="165" fontId="10" fillId="2" borderId="1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indent="1"/>
    </xf>
    <xf numFmtId="0" fontId="3" fillId="2" borderId="1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right"/>
    </xf>
    <xf numFmtId="0" fontId="17" fillId="2" borderId="5" xfId="0" applyFont="1" applyFill="1" applyBorder="1" applyAlignment="1">
      <alignment horizontal="right"/>
    </xf>
    <xf numFmtId="3" fontId="10" fillId="2" borderId="2" xfId="0" applyNumberFormat="1" applyFont="1" applyFill="1" applyBorder="1" applyAlignment="1">
      <alignment horizontal="right" vertical="center"/>
    </xf>
    <xf numFmtId="165" fontId="10" fillId="2" borderId="7" xfId="0" applyNumberFormat="1" applyFont="1" applyFill="1" applyBorder="1" applyAlignment="1">
      <alignment horizontal="right" vertical="center"/>
    </xf>
    <xf numFmtId="165" fontId="10" fillId="2" borderId="8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right" vertical="center"/>
    </xf>
    <xf numFmtId="0" fontId="14" fillId="2" borderId="8" xfId="0" applyFont="1" applyFill="1" applyBorder="1" applyAlignment="1">
      <alignment horizontal="right" vertical="center"/>
    </xf>
  </cellXfs>
  <cellStyles count="5">
    <cellStyle name="Comma 2" xfId="1"/>
    <cellStyle name="Comma 4" xfId="3"/>
    <cellStyle name="Normal" xfId="0" builtinId="0"/>
    <cellStyle name="Normal 2" xfId="2"/>
    <cellStyle name="Normal 2 2" xfId="4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45"/>
  <sheetViews>
    <sheetView tabSelected="1" zoomScale="91" zoomScaleNormal="91" zoomScaleSheetLayoutView="77" workbookViewId="0">
      <selection activeCell="AB26" sqref="AB26"/>
    </sheetView>
  </sheetViews>
  <sheetFormatPr defaultRowHeight="15" x14ac:dyDescent="0.25"/>
  <cols>
    <col min="1" max="1" width="18.7109375" style="15" customWidth="1"/>
    <col min="2" max="2" width="11.5703125" style="1" bestFit="1" customWidth="1"/>
    <col min="3" max="14" width="11.42578125" style="4" customWidth="1"/>
    <col min="15" max="15" width="17.42578125" style="4" customWidth="1"/>
    <col min="16" max="16" width="3.5703125" style="4" customWidth="1"/>
    <col min="17" max="16384" width="9.140625" style="4"/>
  </cols>
  <sheetData>
    <row r="2" spans="1:15" ht="16.5" x14ac:dyDescent="0.25">
      <c r="A2" s="28" t="s">
        <v>104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15.75" x14ac:dyDescent="0.25">
      <c r="A3" s="29" t="s">
        <v>103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ht="17.25" x14ac:dyDescent="0.4">
      <c r="A4" s="30" t="s">
        <v>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17.25" x14ac:dyDescent="0.4">
      <c r="A5" s="31" t="s">
        <v>9</v>
      </c>
      <c r="B5" s="23" t="s">
        <v>0</v>
      </c>
      <c r="C5" s="5" t="s">
        <v>10</v>
      </c>
      <c r="D5" s="5" t="s">
        <v>11</v>
      </c>
      <c r="E5" s="5" t="s">
        <v>1</v>
      </c>
      <c r="F5" s="5" t="s">
        <v>12</v>
      </c>
      <c r="G5" s="5" t="s">
        <v>2</v>
      </c>
      <c r="H5" s="5" t="s">
        <v>3</v>
      </c>
      <c r="I5" s="5" t="s">
        <v>4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33" t="s">
        <v>5</v>
      </c>
    </row>
    <row r="6" spans="1:15" x14ac:dyDescent="0.25">
      <c r="A6" s="32"/>
      <c r="B6" s="24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s">
        <v>29</v>
      </c>
      <c r="N6" s="6" t="s">
        <v>30</v>
      </c>
      <c r="O6" s="34"/>
    </row>
    <row r="7" spans="1:15" ht="18" x14ac:dyDescent="0.25">
      <c r="A7" s="7" t="s">
        <v>18</v>
      </c>
      <c r="B7" s="26">
        <f>SUM(C7:N7)</f>
        <v>552709.21707000001</v>
      </c>
      <c r="C7" s="16">
        <f>SUM(C8:C11)</f>
        <v>47521.886500000001</v>
      </c>
      <c r="D7" s="16">
        <f t="shared" ref="D7:N7" si="0">SUM(D8:D11)</f>
        <v>47395.3652</v>
      </c>
      <c r="E7" s="16">
        <f t="shared" si="0"/>
        <v>51253.941999999995</v>
      </c>
      <c r="F7" s="16">
        <f t="shared" si="0"/>
        <v>46720.295299999998</v>
      </c>
      <c r="G7" s="16">
        <f t="shared" si="0"/>
        <v>45390.746289999995</v>
      </c>
      <c r="H7" s="16">
        <f t="shared" si="0"/>
        <v>45217.166759999993</v>
      </c>
      <c r="I7" s="16">
        <f t="shared" si="0"/>
        <v>45388.379090000002</v>
      </c>
      <c r="J7" s="16">
        <f t="shared" si="0"/>
        <v>46612.191010000002</v>
      </c>
      <c r="K7" s="16">
        <f t="shared" si="0"/>
        <v>43312.125399999997</v>
      </c>
      <c r="L7" s="16">
        <f t="shared" si="0"/>
        <v>45111.747779999991</v>
      </c>
      <c r="M7" s="16">
        <f t="shared" si="0"/>
        <v>43823.146000000001</v>
      </c>
      <c r="N7" s="16">
        <f t="shared" si="0"/>
        <v>44962.225740000002</v>
      </c>
      <c r="O7" s="8" t="s">
        <v>0</v>
      </c>
    </row>
    <row r="8" spans="1:15" ht="21" x14ac:dyDescent="0.25">
      <c r="A8" s="20" t="s">
        <v>31</v>
      </c>
      <c r="B8" s="17">
        <f>SUM(C8:N8)</f>
        <v>378693.30499999999</v>
      </c>
      <c r="C8" s="18">
        <v>32945.322</v>
      </c>
      <c r="D8" s="18">
        <v>32847.474999999999</v>
      </c>
      <c r="E8" s="18">
        <v>35232.966</v>
      </c>
      <c r="F8" s="18">
        <v>31739.579000000002</v>
      </c>
      <c r="G8" s="18">
        <v>30718.116000000002</v>
      </c>
      <c r="H8" s="18">
        <v>30850.368999999999</v>
      </c>
      <c r="I8" s="18">
        <v>31298.983</v>
      </c>
      <c r="J8" s="18">
        <v>31733.659</v>
      </c>
      <c r="K8" s="18">
        <v>29687.73</v>
      </c>
      <c r="L8" s="18">
        <v>30965.942999999999</v>
      </c>
      <c r="M8" s="18">
        <v>30029.3</v>
      </c>
      <c r="N8" s="18">
        <v>30643.863000000001</v>
      </c>
      <c r="O8" s="9" t="s">
        <v>32</v>
      </c>
    </row>
    <row r="9" spans="1:15" ht="21" x14ac:dyDescent="0.25">
      <c r="A9" s="20" t="s">
        <v>33</v>
      </c>
      <c r="B9" s="17">
        <f>SUM(C9:N9)</f>
        <v>14302.894999999999</v>
      </c>
      <c r="C9" s="18">
        <v>1166.71</v>
      </c>
      <c r="D9" s="18">
        <v>1168.05</v>
      </c>
      <c r="E9" s="18">
        <v>1276.1099999999999</v>
      </c>
      <c r="F9" s="18">
        <v>1261.1300000000001</v>
      </c>
      <c r="G9" s="18">
        <v>1282.71</v>
      </c>
      <c r="H9" s="18">
        <v>1216.01</v>
      </c>
      <c r="I9" s="18">
        <v>1206.32</v>
      </c>
      <c r="J9" s="18">
        <v>1236.1500000000001</v>
      </c>
      <c r="K9" s="18">
        <v>1124.98</v>
      </c>
      <c r="L9" s="18">
        <v>1148.8</v>
      </c>
      <c r="M9" s="18">
        <v>1108.518</v>
      </c>
      <c r="N9" s="18">
        <v>1107.4069999999999</v>
      </c>
      <c r="O9" s="9" t="s">
        <v>34</v>
      </c>
    </row>
    <row r="10" spans="1:15" ht="21" x14ac:dyDescent="0.25">
      <c r="A10" s="20" t="s">
        <v>35</v>
      </c>
      <c r="B10" s="17">
        <f>SUM(C10:N10)</f>
        <v>90329.84</v>
      </c>
      <c r="C10" s="18">
        <v>7232.44</v>
      </c>
      <c r="D10" s="18">
        <v>7273.3329999999996</v>
      </c>
      <c r="E10" s="18">
        <v>8108.4390000000003</v>
      </c>
      <c r="F10" s="18">
        <v>7665.143</v>
      </c>
      <c r="G10" s="18">
        <v>7557.4009999999998</v>
      </c>
      <c r="H10" s="18">
        <v>7469.7669999999998</v>
      </c>
      <c r="I10" s="18">
        <v>7404.33</v>
      </c>
      <c r="J10" s="18">
        <v>7807.2460000000001</v>
      </c>
      <c r="K10" s="18">
        <v>7245.0379999999996</v>
      </c>
      <c r="L10" s="18">
        <v>7575.7709999999997</v>
      </c>
      <c r="M10" s="18">
        <v>7336.3760000000002</v>
      </c>
      <c r="N10" s="18">
        <v>7654.5559999999996</v>
      </c>
      <c r="O10" s="9" t="s">
        <v>36</v>
      </c>
    </row>
    <row r="11" spans="1:15" ht="21" x14ac:dyDescent="0.25">
      <c r="A11" s="7" t="s">
        <v>37</v>
      </c>
      <c r="B11" s="17">
        <f>SUM(B12:B43)</f>
        <v>69383.177069999991</v>
      </c>
      <c r="C11" s="16">
        <f>SUM(C12:C43)</f>
        <v>6177.414499999999</v>
      </c>
      <c r="D11" s="16">
        <f>SUM(D12:D43)</f>
        <v>6106.5072000000009</v>
      </c>
      <c r="E11" s="16">
        <f t="shared" ref="E11:N11" si="1">SUM(E12:E43)</f>
        <v>6636.4269999999997</v>
      </c>
      <c r="F11" s="16">
        <f t="shared" si="1"/>
        <v>6054.4433000000008</v>
      </c>
      <c r="G11" s="16">
        <f t="shared" si="1"/>
        <v>5832.5192899999993</v>
      </c>
      <c r="H11" s="16">
        <f>SUM(H12:H43)</f>
        <v>5681.0207600000003</v>
      </c>
      <c r="I11" s="16">
        <f t="shared" si="1"/>
        <v>5478.7460900000005</v>
      </c>
      <c r="J11" s="16">
        <f t="shared" si="1"/>
        <v>5835.1360100000011</v>
      </c>
      <c r="K11" s="16">
        <f t="shared" si="1"/>
        <v>5254.3774000000003</v>
      </c>
      <c r="L11" s="16">
        <f t="shared" si="1"/>
        <v>5421.2337799999987</v>
      </c>
      <c r="M11" s="16">
        <f t="shared" si="1"/>
        <v>5348.9519999999993</v>
      </c>
      <c r="N11" s="16">
        <f t="shared" si="1"/>
        <v>5556.3997400000007</v>
      </c>
      <c r="O11" s="10" t="s">
        <v>38</v>
      </c>
    </row>
    <row r="12" spans="1:15" ht="21" x14ac:dyDescent="0.25">
      <c r="A12" s="20" t="s">
        <v>39</v>
      </c>
      <c r="B12" s="17">
        <f>SUM(C12:N12)</f>
        <v>3619.63</v>
      </c>
      <c r="C12" s="18">
        <v>282.29500000000002</v>
      </c>
      <c r="D12" s="18">
        <v>266.04700000000003</v>
      </c>
      <c r="E12" s="18">
        <v>316.83300000000003</v>
      </c>
      <c r="F12" s="18">
        <v>332.65699999999998</v>
      </c>
      <c r="G12" s="18">
        <v>330.339</v>
      </c>
      <c r="H12" s="18">
        <v>310.584</v>
      </c>
      <c r="I12" s="18">
        <v>289.63499999999999</v>
      </c>
      <c r="J12" s="18">
        <v>318.47699999999998</v>
      </c>
      <c r="K12" s="18">
        <v>281.30399999999997</v>
      </c>
      <c r="L12" s="18">
        <v>315.06299999999999</v>
      </c>
      <c r="M12" s="18">
        <v>288.56200000000001</v>
      </c>
      <c r="N12" s="18">
        <v>287.834</v>
      </c>
      <c r="O12" s="9" t="s">
        <v>40</v>
      </c>
    </row>
    <row r="13" spans="1:15" ht="21" x14ac:dyDescent="0.25">
      <c r="A13" s="20" t="s">
        <v>41</v>
      </c>
      <c r="B13" s="17">
        <f t="shared" ref="B13:B19" si="2">SUM(C13:N13)</f>
        <v>2164.9160000000002</v>
      </c>
      <c r="C13" s="18">
        <v>172.56399999999999</v>
      </c>
      <c r="D13" s="18">
        <v>166.30600000000001</v>
      </c>
      <c r="E13" s="18">
        <v>198.81899999999999</v>
      </c>
      <c r="F13" s="18">
        <v>199.94399999999999</v>
      </c>
      <c r="G13" s="18">
        <v>202.042</v>
      </c>
      <c r="H13" s="18">
        <v>184.75700000000001</v>
      </c>
      <c r="I13" s="18">
        <v>177.71600000000001</v>
      </c>
      <c r="J13" s="18">
        <v>189.34800000000001</v>
      </c>
      <c r="K13" s="18">
        <v>163.92099999999999</v>
      </c>
      <c r="L13" s="18">
        <v>169.71299999999999</v>
      </c>
      <c r="M13" s="18">
        <v>167.322</v>
      </c>
      <c r="N13" s="18">
        <v>172.464</v>
      </c>
      <c r="O13" s="9" t="s">
        <v>42</v>
      </c>
    </row>
    <row r="14" spans="1:15" ht="21" x14ac:dyDescent="0.25">
      <c r="A14" s="20" t="s">
        <v>43</v>
      </c>
      <c r="B14" s="17">
        <f t="shared" si="2"/>
        <v>2195.0360000000001</v>
      </c>
      <c r="C14" s="18">
        <v>222.93700000000001</v>
      </c>
      <c r="D14" s="18">
        <v>214.684</v>
      </c>
      <c r="E14" s="18">
        <v>229.227</v>
      </c>
      <c r="F14" s="18">
        <v>203.49199999999999</v>
      </c>
      <c r="G14" s="18">
        <v>191.99299999999999</v>
      </c>
      <c r="H14" s="18">
        <v>175.405</v>
      </c>
      <c r="I14" s="18">
        <v>167.64599999999999</v>
      </c>
      <c r="J14" s="18">
        <v>168.60400000000001</v>
      </c>
      <c r="K14" s="18">
        <v>153.375</v>
      </c>
      <c r="L14" s="18">
        <v>158.065</v>
      </c>
      <c r="M14" s="18">
        <v>146.10400000000001</v>
      </c>
      <c r="N14" s="18">
        <v>163.50399999999999</v>
      </c>
      <c r="O14" s="9" t="s">
        <v>44</v>
      </c>
    </row>
    <row r="15" spans="1:15" ht="21" x14ac:dyDescent="0.25">
      <c r="A15" s="20" t="s">
        <v>45</v>
      </c>
      <c r="B15" s="17">
        <f t="shared" si="2"/>
        <v>3327.4030000000002</v>
      </c>
      <c r="C15" s="18">
        <v>319.714</v>
      </c>
      <c r="D15" s="18">
        <v>310.76799999999997</v>
      </c>
      <c r="E15" s="18">
        <v>344.60700000000003</v>
      </c>
      <c r="F15" s="18">
        <v>303.99599999999998</v>
      </c>
      <c r="G15" s="18">
        <v>287.202</v>
      </c>
      <c r="H15" s="18">
        <v>270.89499999999998</v>
      </c>
      <c r="I15" s="18">
        <v>254.6</v>
      </c>
      <c r="J15" s="18">
        <v>265.29500000000002</v>
      </c>
      <c r="K15" s="18">
        <v>240.435</v>
      </c>
      <c r="L15" s="18">
        <v>253.578</v>
      </c>
      <c r="M15" s="18">
        <v>238.9</v>
      </c>
      <c r="N15" s="18">
        <v>237.41300000000001</v>
      </c>
      <c r="O15" s="9" t="s">
        <v>46</v>
      </c>
    </row>
    <row r="16" spans="1:15" ht="21" x14ac:dyDescent="0.25">
      <c r="A16" s="20" t="s">
        <v>47</v>
      </c>
      <c r="B16" s="17">
        <f t="shared" si="2"/>
        <v>3571.413</v>
      </c>
      <c r="C16" s="18">
        <v>286.14400000000001</v>
      </c>
      <c r="D16" s="18">
        <v>276.73200000000003</v>
      </c>
      <c r="E16" s="18">
        <v>329.21499999999997</v>
      </c>
      <c r="F16" s="18">
        <v>329.53100000000001</v>
      </c>
      <c r="G16" s="18">
        <v>308.08999999999997</v>
      </c>
      <c r="H16" s="18">
        <v>307.75599999999997</v>
      </c>
      <c r="I16" s="18">
        <v>287.029</v>
      </c>
      <c r="J16" s="18">
        <v>302.40499999999997</v>
      </c>
      <c r="K16" s="18">
        <v>279.065</v>
      </c>
      <c r="L16" s="18">
        <v>287.096</v>
      </c>
      <c r="M16" s="18">
        <v>288.21600000000001</v>
      </c>
      <c r="N16" s="18">
        <v>290.13400000000001</v>
      </c>
      <c r="O16" s="9" t="s">
        <v>48</v>
      </c>
    </row>
    <row r="17" spans="1:15" ht="21" x14ac:dyDescent="0.25">
      <c r="A17" s="20" t="s">
        <v>49</v>
      </c>
      <c r="B17" s="17">
        <f t="shared" si="2"/>
        <v>7029.8719999999994</v>
      </c>
      <c r="C17" s="18">
        <v>570.09500000000003</v>
      </c>
      <c r="D17" s="18">
        <v>565.11400000000003</v>
      </c>
      <c r="E17" s="18">
        <v>635.79300000000001</v>
      </c>
      <c r="F17" s="18">
        <v>572.64300000000003</v>
      </c>
      <c r="G17" s="18">
        <v>568.32399999999996</v>
      </c>
      <c r="H17" s="18">
        <v>590.78300000000002</v>
      </c>
      <c r="I17" s="18">
        <v>570.01900000000001</v>
      </c>
      <c r="J17" s="18">
        <v>624.54300000000001</v>
      </c>
      <c r="K17" s="18">
        <v>585.50199999999995</v>
      </c>
      <c r="L17" s="18">
        <v>603.53599999999994</v>
      </c>
      <c r="M17" s="18">
        <v>568.25599999999997</v>
      </c>
      <c r="N17" s="18">
        <v>575.26400000000001</v>
      </c>
      <c r="O17" s="9" t="s">
        <v>50</v>
      </c>
    </row>
    <row r="18" spans="1:15" ht="21" x14ac:dyDescent="0.25">
      <c r="A18" s="20" t="s">
        <v>51</v>
      </c>
      <c r="B18" s="17">
        <f t="shared" si="2"/>
        <v>508.42900000000009</v>
      </c>
      <c r="C18" s="18">
        <v>37.14</v>
      </c>
      <c r="D18" s="18">
        <v>34.369999999999997</v>
      </c>
      <c r="E18" s="18">
        <v>37.96</v>
      </c>
      <c r="F18" s="18">
        <v>39.33</v>
      </c>
      <c r="G18" s="18">
        <v>41.55</v>
      </c>
      <c r="H18" s="18">
        <v>48.951999999999998</v>
      </c>
      <c r="I18" s="18">
        <v>55.3</v>
      </c>
      <c r="J18" s="18">
        <v>47.972999999999999</v>
      </c>
      <c r="K18" s="18">
        <v>42.197000000000003</v>
      </c>
      <c r="L18" s="18">
        <v>41.59</v>
      </c>
      <c r="M18" s="18">
        <v>40.003999999999998</v>
      </c>
      <c r="N18" s="18">
        <v>42.063000000000002</v>
      </c>
      <c r="O18" s="9" t="s">
        <v>52</v>
      </c>
    </row>
    <row r="19" spans="1:15" ht="21" x14ac:dyDescent="0.25">
      <c r="A19" s="20" t="s">
        <v>53</v>
      </c>
      <c r="B19" s="17">
        <f t="shared" si="2"/>
        <v>1557.329</v>
      </c>
      <c r="C19" s="18">
        <v>131.71199999999999</v>
      </c>
      <c r="D19" s="18">
        <v>129.30699999999999</v>
      </c>
      <c r="E19" s="18">
        <v>149.149</v>
      </c>
      <c r="F19" s="18">
        <v>141.15199999999999</v>
      </c>
      <c r="G19" s="18">
        <v>138.072</v>
      </c>
      <c r="H19" s="18">
        <v>132.39099999999999</v>
      </c>
      <c r="I19" s="18">
        <v>123.541</v>
      </c>
      <c r="J19" s="18">
        <v>129.26</v>
      </c>
      <c r="K19" s="18">
        <v>119.333</v>
      </c>
      <c r="L19" s="18">
        <v>123.91200000000001</v>
      </c>
      <c r="M19" s="18">
        <v>118.83499999999999</v>
      </c>
      <c r="N19" s="18">
        <v>120.66500000000001</v>
      </c>
      <c r="O19" s="9" t="s">
        <v>54</v>
      </c>
    </row>
    <row r="20" spans="1:15" ht="21" x14ac:dyDescent="0.25">
      <c r="A20" s="20" t="s">
        <v>55</v>
      </c>
      <c r="B20" s="17">
        <f>SUM(C20:N20)</f>
        <v>8890.4000000000015</v>
      </c>
      <c r="C20" s="18">
        <v>967.99900000000002</v>
      </c>
      <c r="D20" s="18">
        <v>993.10500000000002</v>
      </c>
      <c r="E20" s="18">
        <v>958.40200000000004</v>
      </c>
      <c r="F20" s="18">
        <v>728.87599999999998</v>
      </c>
      <c r="G20" s="18">
        <v>674.93100000000004</v>
      </c>
      <c r="H20" s="18">
        <v>645.45899999999995</v>
      </c>
      <c r="I20" s="18">
        <v>614.98800000000006</v>
      </c>
      <c r="J20" s="18">
        <v>642.18399999999997</v>
      </c>
      <c r="K20" s="18">
        <v>576.49300000000005</v>
      </c>
      <c r="L20" s="18">
        <v>622.07000000000005</v>
      </c>
      <c r="M20" s="18">
        <v>723.19200000000001</v>
      </c>
      <c r="N20" s="18">
        <v>742.70100000000002</v>
      </c>
      <c r="O20" s="9" t="s">
        <v>56</v>
      </c>
    </row>
    <row r="21" spans="1:15" ht="21" x14ac:dyDescent="0.25">
      <c r="A21" s="20" t="s">
        <v>57</v>
      </c>
      <c r="B21" s="17">
        <f t="shared" ref="B21:B43" si="3">SUM(C21:N21)</f>
        <v>3821.4581999999996</v>
      </c>
      <c r="C21" s="18">
        <v>315.98580000000004</v>
      </c>
      <c r="D21" s="18">
        <v>311.32589999999999</v>
      </c>
      <c r="E21" s="18">
        <v>331.96339999999998</v>
      </c>
      <c r="F21" s="18">
        <v>331.6982999999999</v>
      </c>
      <c r="G21" s="18">
        <v>322.27859999999998</v>
      </c>
      <c r="H21" s="18">
        <v>309.95949999999993</v>
      </c>
      <c r="I21" s="18">
        <v>308.64379999999994</v>
      </c>
      <c r="J21" s="18">
        <v>382.77649999999994</v>
      </c>
      <c r="K21" s="18">
        <v>295.83789999999999</v>
      </c>
      <c r="L21" s="18">
        <v>302.92609999999996</v>
      </c>
      <c r="M21" s="18">
        <v>296.36529999999999</v>
      </c>
      <c r="N21" s="18">
        <v>311.69709999999998</v>
      </c>
      <c r="O21" s="9" t="s">
        <v>58</v>
      </c>
    </row>
    <row r="22" spans="1:15" ht="21" x14ac:dyDescent="0.25">
      <c r="A22" s="20" t="s">
        <v>59</v>
      </c>
      <c r="B22" s="17">
        <f t="shared" si="3"/>
        <v>2651.672</v>
      </c>
      <c r="C22" s="18">
        <v>264.09399999999999</v>
      </c>
      <c r="D22" s="18">
        <v>268.00299999999999</v>
      </c>
      <c r="E22" s="18">
        <v>272.58499999999998</v>
      </c>
      <c r="F22" s="18">
        <v>233.65</v>
      </c>
      <c r="G22" s="18">
        <v>219.44300000000001</v>
      </c>
      <c r="H22" s="18">
        <v>205.37700000000001</v>
      </c>
      <c r="I22" s="18">
        <v>200.989</v>
      </c>
      <c r="J22" s="18">
        <v>215.61</v>
      </c>
      <c r="K22" s="18">
        <v>184.25800000000001</v>
      </c>
      <c r="L22" s="18">
        <v>194.90799999999999</v>
      </c>
      <c r="M22" s="18">
        <v>192.59</v>
      </c>
      <c r="N22" s="18">
        <v>200.16499999999999</v>
      </c>
      <c r="O22" s="9" t="s">
        <v>60</v>
      </c>
    </row>
    <row r="23" spans="1:15" ht="21" x14ac:dyDescent="0.25">
      <c r="A23" s="20" t="s">
        <v>61</v>
      </c>
      <c r="B23" s="17">
        <f t="shared" si="3"/>
        <v>1557.6210000000003</v>
      </c>
      <c r="C23" s="18">
        <v>131.32400000000001</v>
      </c>
      <c r="D23" s="18">
        <v>129.911</v>
      </c>
      <c r="E23" s="18">
        <v>148.34399999999999</v>
      </c>
      <c r="F23" s="18">
        <v>136.69999999999999</v>
      </c>
      <c r="G23" s="18">
        <v>134.227</v>
      </c>
      <c r="H23" s="18">
        <v>128.84800000000001</v>
      </c>
      <c r="I23" s="18">
        <v>122.681</v>
      </c>
      <c r="J23" s="18">
        <v>129.59100000000001</v>
      </c>
      <c r="K23" s="18">
        <v>121.077</v>
      </c>
      <c r="L23" s="18">
        <v>126.911</v>
      </c>
      <c r="M23" s="18">
        <v>122.536</v>
      </c>
      <c r="N23" s="18">
        <v>125.471</v>
      </c>
      <c r="O23" s="9" t="s">
        <v>62</v>
      </c>
    </row>
    <row r="24" spans="1:15" ht="21" x14ac:dyDescent="0.25">
      <c r="A24" s="20" t="s">
        <v>63</v>
      </c>
      <c r="B24" s="17">
        <f t="shared" si="3"/>
        <v>1111.4770000000001</v>
      </c>
      <c r="C24" s="18">
        <v>90.311000000000007</v>
      </c>
      <c r="D24" s="18">
        <v>87.403000000000006</v>
      </c>
      <c r="E24" s="18">
        <v>101.291</v>
      </c>
      <c r="F24" s="18">
        <v>99.945999999999998</v>
      </c>
      <c r="G24" s="18">
        <v>96.897999999999996</v>
      </c>
      <c r="H24" s="18">
        <v>94.146000000000001</v>
      </c>
      <c r="I24" s="18">
        <v>92.504000000000005</v>
      </c>
      <c r="J24" s="18">
        <v>98.290999999999997</v>
      </c>
      <c r="K24" s="18">
        <v>87.584999999999994</v>
      </c>
      <c r="L24" s="18">
        <v>90.366</v>
      </c>
      <c r="M24" s="18">
        <v>86.948999999999998</v>
      </c>
      <c r="N24" s="18">
        <v>85.787000000000006</v>
      </c>
      <c r="O24" s="9" t="s">
        <v>64</v>
      </c>
    </row>
    <row r="25" spans="1:15" ht="21" x14ac:dyDescent="0.25">
      <c r="A25" s="20" t="s">
        <v>65</v>
      </c>
      <c r="B25" s="17">
        <f t="shared" si="3"/>
        <v>948.89785999999992</v>
      </c>
      <c r="C25" s="18">
        <v>78.753699999999995</v>
      </c>
      <c r="D25" s="18">
        <v>74.935500000000005</v>
      </c>
      <c r="E25" s="18">
        <v>80.613800000000012</v>
      </c>
      <c r="F25" s="18">
        <v>83.419599999999988</v>
      </c>
      <c r="G25" s="18">
        <v>83.045400000000029</v>
      </c>
      <c r="H25" s="18">
        <v>77.924359999999993</v>
      </c>
      <c r="I25" s="18">
        <v>78.443589999999986</v>
      </c>
      <c r="J25" s="18">
        <v>81.234690000000001</v>
      </c>
      <c r="K25" s="18">
        <v>91.636700000000005</v>
      </c>
      <c r="L25" s="18">
        <v>74.957479999999975</v>
      </c>
      <c r="M25" s="18">
        <v>71.281599999999997</v>
      </c>
      <c r="N25" s="18">
        <v>72.651440000000008</v>
      </c>
      <c r="O25" s="9" t="s">
        <v>66</v>
      </c>
    </row>
    <row r="26" spans="1:15" ht="21" x14ac:dyDescent="0.25">
      <c r="A26" s="20" t="s">
        <v>67</v>
      </c>
      <c r="B26" s="17">
        <f t="shared" si="3"/>
        <v>899.18999999999994</v>
      </c>
      <c r="C26" s="18">
        <v>66.188000000000002</v>
      </c>
      <c r="D26" s="18">
        <v>67.224000000000004</v>
      </c>
      <c r="E26" s="18">
        <v>78.622</v>
      </c>
      <c r="F26" s="18">
        <v>84.406999999999996</v>
      </c>
      <c r="G26" s="18">
        <v>83.786000000000001</v>
      </c>
      <c r="H26" s="18">
        <v>80.501999999999995</v>
      </c>
      <c r="I26" s="18">
        <v>77.518000000000001</v>
      </c>
      <c r="J26" s="18">
        <v>80.894999999999996</v>
      </c>
      <c r="K26" s="18">
        <v>71.337000000000003</v>
      </c>
      <c r="L26" s="18">
        <v>71.334999999999994</v>
      </c>
      <c r="M26" s="18">
        <v>67.87</v>
      </c>
      <c r="N26" s="18">
        <v>69.506</v>
      </c>
      <c r="O26" s="9" t="s">
        <v>68</v>
      </c>
    </row>
    <row r="27" spans="1:15" ht="21" x14ac:dyDescent="0.25">
      <c r="A27" s="20" t="s">
        <v>69</v>
      </c>
      <c r="B27" s="17">
        <f t="shared" si="3"/>
        <v>1400.4590000000003</v>
      </c>
      <c r="C27" s="18">
        <v>110.66</v>
      </c>
      <c r="D27" s="18">
        <v>95.034999999999997</v>
      </c>
      <c r="E27" s="18">
        <v>142.39099999999999</v>
      </c>
      <c r="F27" s="18">
        <v>129.584</v>
      </c>
      <c r="G27" s="18">
        <v>124.381</v>
      </c>
      <c r="H27" s="18">
        <v>117.798</v>
      </c>
      <c r="I27" s="18">
        <v>112.685</v>
      </c>
      <c r="J27" s="18">
        <v>122.038</v>
      </c>
      <c r="K27" s="18">
        <v>110.515</v>
      </c>
      <c r="L27" s="18">
        <v>113.616</v>
      </c>
      <c r="M27" s="18">
        <v>109.05800000000001</v>
      </c>
      <c r="N27" s="18">
        <v>112.69799999999999</v>
      </c>
      <c r="O27" s="9" t="s">
        <v>70</v>
      </c>
    </row>
    <row r="28" spans="1:15" ht="21" x14ac:dyDescent="0.25">
      <c r="A28" s="20" t="s">
        <v>71</v>
      </c>
      <c r="B28" s="17">
        <f t="shared" si="3"/>
        <v>3196.5959999999995</v>
      </c>
      <c r="C28" s="18">
        <v>285.101</v>
      </c>
      <c r="D28" s="18">
        <v>288.87</v>
      </c>
      <c r="E28" s="18">
        <v>313.37799999999999</v>
      </c>
      <c r="F28" s="18">
        <v>276.49</v>
      </c>
      <c r="G28" s="18">
        <v>264.00700000000001</v>
      </c>
      <c r="H28" s="18">
        <v>258.49099999999999</v>
      </c>
      <c r="I28" s="18">
        <v>248.53399999999999</v>
      </c>
      <c r="J28" s="18">
        <v>269.16199999999998</v>
      </c>
      <c r="K28" s="18">
        <v>247.446</v>
      </c>
      <c r="L28" s="18">
        <v>252.453</v>
      </c>
      <c r="M28" s="18">
        <v>235.49700000000001</v>
      </c>
      <c r="N28" s="18">
        <v>257.16699999999997</v>
      </c>
      <c r="O28" s="9" t="s">
        <v>72</v>
      </c>
    </row>
    <row r="29" spans="1:15" ht="21" x14ac:dyDescent="0.25">
      <c r="A29" s="20" t="s">
        <v>73</v>
      </c>
      <c r="B29" s="17">
        <f t="shared" si="3"/>
        <v>3199.933</v>
      </c>
      <c r="C29" s="18">
        <v>296.375</v>
      </c>
      <c r="D29" s="18">
        <v>297.16800000000001</v>
      </c>
      <c r="E29" s="18">
        <v>306.98099999999999</v>
      </c>
      <c r="F29" s="18">
        <v>270.88900000000001</v>
      </c>
      <c r="G29" s="18">
        <v>264.803</v>
      </c>
      <c r="H29" s="18">
        <v>257.35300000000001</v>
      </c>
      <c r="I29" s="18">
        <v>251.77199999999999</v>
      </c>
      <c r="J29" s="18">
        <v>265.70299999999997</v>
      </c>
      <c r="K29" s="18">
        <v>238.32</v>
      </c>
      <c r="L29" s="18">
        <v>248.45099999999999</v>
      </c>
      <c r="M29" s="18">
        <v>244.14599999999999</v>
      </c>
      <c r="N29" s="18">
        <v>257.97199999999998</v>
      </c>
      <c r="O29" s="9" t="s">
        <v>74</v>
      </c>
    </row>
    <row r="30" spans="1:15" ht="21" x14ac:dyDescent="0.25">
      <c r="A30" s="20" t="s">
        <v>75</v>
      </c>
      <c r="B30" s="17">
        <f t="shared" si="3"/>
        <v>1141.2919999999999</v>
      </c>
      <c r="C30" s="18">
        <v>98.227000000000004</v>
      </c>
      <c r="D30" s="18">
        <v>95.132000000000005</v>
      </c>
      <c r="E30" s="18">
        <v>103.919</v>
      </c>
      <c r="F30" s="18">
        <v>103.244</v>
      </c>
      <c r="G30" s="18">
        <v>99.728999999999999</v>
      </c>
      <c r="H30" s="18">
        <v>95.028000000000006</v>
      </c>
      <c r="I30" s="18">
        <v>92.593000000000004</v>
      </c>
      <c r="J30" s="18">
        <v>96.43</v>
      </c>
      <c r="K30" s="18">
        <v>89.795000000000002</v>
      </c>
      <c r="L30" s="18">
        <v>87.856999999999999</v>
      </c>
      <c r="M30" s="18">
        <v>87.141000000000005</v>
      </c>
      <c r="N30" s="18">
        <v>92.197000000000003</v>
      </c>
      <c r="O30" s="9" t="s">
        <v>76</v>
      </c>
    </row>
    <row r="31" spans="1:15" ht="21" x14ac:dyDescent="0.25">
      <c r="A31" s="20" t="s">
        <v>77</v>
      </c>
      <c r="B31" s="17">
        <f t="shared" si="3"/>
        <v>790.29510000000016</v>
      </c>
      <c r="C31" s="18">
        <v>61.271600000000007</v>
      </c>
      <c r="D31" s="18">
        <v>58.490700000000004</v>
      </c>
      <c r="E31" s="18">
        <v>67.348300000000009</v>
      </c>
      <c r="F31" s="18">
        <v>68.907499999999999</v>
      </c>
      <c r="G31" s="18">
        <v>67.87530000000001</v>
      </c>
      <c r="H31" s="18">
        <v>66.562699999999992</v>
      </c>
      <c r="I31" s="18">
        <v>67.541700000000006</v>
      </c>
      <c r="J31" s="18">
        <v>70.982799999999997</v>
      </c>
      <c r="K31" s="18">
        <v>64.177300000000017</v>
      </c>
      <c r="L31" s="18">
        <v>65.841999999999999</v>
      </c>
      <c r="M31" s="18">
        <v>66.506799999999998</v>
      </c>
      <c r="N31" s="18">
        <v>64.78840000000001</v>
      </c>
      <c r="O31" s="9" t="s">
        <v>78</v>
      </c>
    </row>
    <row r="32" spans="1:15" ht="21" x14ac:dyDescent="0.25">
      <c r="A32" s="20" t="s">
        <v>79</v>
      </c>
      <c r="B32" s="17">
        <f t="shared" si="3"/>
        <v>1675.454</v>
      </c>
      <c r="C32" s="18">
        <v>181.66800000000001</v>
      </c>
      <c r="D32" s="18">
        <v>179.251</v>
      </c>
      <c r="E32" s="18">
        <v>181.67599999999999</v>
      </c>
      <c r="F32" s="18">
        <v>132.41800000000001</v>
      </c>
      <c r="G32" s="18">
        <v>128.178</v>
      </c>
      <c r="H32" s="18">
        <v>127.535</v>
      </c>
      <c r="I32" s="18">
        <v>121.087</v>
      </c>
      <c r="J32" s="18">
        <v>126.581</v>
      </c>
      <c r="K32" s="18">
        <v>116.425</v>
      </c>
      <c r="L32" s="18">
        <v>122.94199999999999</v>
      </c>
      <c r="M32" s="18">
        <v>118.331</v>
      </c>
      <c r="N32" s="18">
        <v>139.36199999999999</v>
      </c>
      <c r="O32" s="9" t="s">
        <v>80</v>
      </c>
    </row>
    <row r="33" spans="1:15" ht="21" x14ac:dyDescent="0.25">
      <c r="A33" s="20" t="s">
        <v>81</v>
      </c>
      <c r="B33" s="17">
        <f t="shared" si="3"/>
        <v>1544.1830000000002</v>
      </c>
      <c r="C33" s="18">
        <v>119.047</v>
      </c>
      <c r="D33" s="18">
        <v>117.51</v>
      </c>
      <c r="E33" s="18">
        <v>137.10900000000001</v>
      </c>
      <c r="F33" s="18">
        <v>135.56</v>
      </c>
      <c r="G33" s="18">
        <v>127.282</v>
      </c>
      <c r="H33" s="18">
        <v>134.91900000000001</v>
      </c>
      <c r="I33" s="18">
        <v>131.114</v>
      </c>
      <c r="J33" s="18">
        <v>137.12100000000001</v>
      </c>
      <c r="K33" s="18">
        <v>127.22799999999999</v>
      </c>
      <c r="L33" s="18">
        <v>125.084</v>
      </c>
      <c r="M33" s="18">
        <v>121.324</v>
      </c>
      <c r="N33" s="18">
        <v>130.88499999999999</v>
      </c>
      <c r="O33" s="9" t="s">
        <v>82</v>
      </c>
    </row>
    <row r="34" spans="1:15" ht="21" x14ac:dyDescent="0.25">
      <c r="A34" s="20" t="s">
        <v>83</v>
      </c>
      <c r="B34" s="17">
        <f t="shared" si="3"/>
        <v>4400.7990000000009</v>
      </c>
      <c r="C34" s="18">
        <v>346.23099999999999</v>
      </c>
      <c r="D34" s="18">
        <v>335.33600000000001</v>
      </c>
      <c r="E34" s="18">
        <v>384.78899999999999</v>
      </c>
      <c r="F34" s="18">
        <v>398.654</v>
      </c>
      <c r="G34" s="18">
        <v>383.06200000000001</v>
      </c>
      <c r="H34" s="18">
        <v>382.875</v>
      </c>
      <c r="I34" s="18">
        <v>375.35899999999998</v>
      </c>
      <c r="J34" s="18">
        <v>395.73200000000003</v>
      </c>
      <c r="K34" s="18">
        <v>356.03399999999999</v>
      </c>
      <c r="L34" s="18">
        <v>342.21699999999998</v>
      </c>
      <c r="M34" s="18">
        <v>339.24</v>
      </c>
      <c r="N34" s="18">
        <v>361.27</v>
      </c>
      <c r="O34" s="9" t="s">
        <v>84</v>
      </c>
    </row>
    <row r="35" spans="1:15" ht="21" x14ac:dyDescent="0.25">
      <c r="A35" s="20" t="s">
        <v>85</v>
      </c>
      <c r="B35" s="17">
        <f t="shared" si="3"/>
        <v>991.01200000000006</v>
      </c>
      <c r="C35" s="18">
        <v>84.385999999999996</v>
      </c>
      <c r="D35" s="18">
        <v>84.036000000000001</v>
      </c>
      <c r="E35" s="18">
        <v>85.882000000000005</v>
      </c>
      <c r="F35" s="18">
        <v>90.599000000000004</v>
      </c>
      <c r="G35" s="18">
        <v>88.415000000000006</v>
      </c>
      <c r="H35" s="18">
        <v>85.283000000000001</v>
      </c>
      <c r="I35" s="18">
        <v>80.725999999999999</v>
      </c>
      <c r="J35" s="18">
        <v>86.875</v>
      </c>
      <c r="K35" s="18">
        <v>78.903999999999996</v>
      </c>
      <c r="L35" s="18">
        <v>79.25</v>
      </c>
      <c r="M35" s="18">
        <v>75.757999999999996</v>
      </c>
      <c r="N35" s="18">
        <v>70.897999999999996</v>
      </c>
      <c r="O35" s="9" t="s">
        <v>86</v>
      </c>
    </row>
    <row r="36" spans="1:15" ht="21" x14ac:dyDescent="0.25">
      <c r="A36" s="20" t="s">
        <v>87</v>
      </c>
      <c r="B36" s="17">
        <f t="shared" si="3"/>
        <v>294.62699999999995</v>
      </c>
      <c r="C36" s="18">
        <v>21.021999999999998</v>
      </c>
      <c r="D36" s="18">
        <v>19.053000000000001</v>
      </c>
      <c r="E36" s="18">
        <v>23.298999999999999</v>
      </c>
      <c r="F36" s="18">
        <v>27.861000000000001</v>
      </c>
      <c r="G36" s="18">
        <v>27.315999999999999</v>
      </c>
      <c r="H36" s="18">
        <v>26.277000000000001</v>
      </c>
      <c r="I36" s="18">
        <v>27.024000000000001</v>
      </c>
      <c r="J36" s="18">
        <v>27.545999999999999</v>
      </c>
      <c r="K36" s="18">
        <v>25.212</v>
      </c>
      <c r="L36" s="18">
        <v>24.18</v>
      </c>
      <c r="M36" s="18">
        <v>22.431999999999999</v>
      </c>
      <c r="N36" s="18">
        <v>23.405000000000001</v>
      </c>
      <c r="O36" s="9" t="s">
        <v>88</v>
      </c>
    </row>
    <row r="37" spans="1:15" ht="21" x14ac:dyDescent="0.25">
      <c r="A37" s="20" t="s">
        <v>89</v>
      </c>
      <c r="B37" s="17">
        <f t="shared" si="3"/>
        <v>426.274</v>
      </c>
      <c r="C37" s="18">
        <v>29.013000000000002</v>
      </c>
      <c r="D37" s="18">
        <v>30.308</v>
      </c>
      <c r="E37" s="18">
        <v>35.393999999999998</v>
      </c>
      <c r="F37" s="18">
        <v>36.514000000000003</v>
      </c>
      <c r="G37" s="18">
        <v>36.499000000000002</v>
      </c>
      <c r="H37" s="18">
        <v>38.409999999999997</v>
      </c>
      <c r="I37" s="18">
        <v>36.003999999999998</v>
      </c>
      <c r="J37" s="18">
        <v>36.777999999999999</v>
      </c>
      <c r="K37" s="18">
        <v>33.933</v>
      </c>
      <c r="L37" s="18">
        <v>35.976999999999997</v>
      </c>
      <c r="M37" s="18">
        <v>40.628999999999998</v>
      </c>
      <c r="N37" s="18">
        <v>36.814999999999998</v>
      </c>
      <c r="O37" s="9" t="s">
        <v>90</v>
      </c>
    </row>
    <row r="38" spans="1:15" ht="21" x14ac:dyDescent="0.25">
      <c r="A38" s="20" t="s">
        <v>91</v>
      </c>
      <c r="B38" s="17">
        <f t="shared" si="3"/>
        <v>1960.5419999999999</v>
      </c>
      <c r="C38" s="18">
        <v>163.50899999999999</v>
      </c>
      <c r="D38" s="18">
        <v>165.53800000000001</v>
      </c>
      <c r="E38" s="18">
        <v>180.12799999999999</v>
      </c>
      <c r="F38" s="18">
        <v>175.041</v>
      </c>
      <c r="G38" s="18">
        <v>173.72</v>
      </c>
      <c r="H38" s="18">
        <v>167.98599999999999</v>
      </c>
      <c r="I38" s="18">
        <v>162.60300000000001</v>
      </c>
      <c r="J38" s="18">
        <v>166.8</v>
      </c>
      <c r="K38" s="18">
        <v>151.77600000000001</v>
      </c>
      <c r="L38" s="18">
        <v>158.11099999999999</v>
      </c>
      <c r="M38" s="18">
        <v>146.45500000000001</v>
      </c>
      <c r="N38" s="18">
        <v>148.875</v>
      </c>
      <c r="O38" s="9" t="s">
        <v>92</v>
      </c>
    </row>
    <row r="39" spans="1:15" ht="21" x14ac:dyDescent="0.25">
      <c r="A39" s="20" t="s">
        <v>93</v>
      </c>
      <c r="B39" s="17">
        <f t="shared" si="3"/>
        <v>1333.2782000000002</v>
      </c>
      <c r="C39" s="18">
        <v>109.51600000000001</v>
      </c>
      <c r="D39" s="18">
        <v>109.44980000000001</v>
      </c>
      <c r="E39" s="18">
        <v>120.23219999999998</v>
      </c>
      <c r="F39" s="18">
        <v>120.04940000000001</v>
      </c>
      <c r="G39" s="18">
        <v>118.05380000000004</v>
      </c>
      <c r="H39" s="18">
        <v>116.36909999999997</v>
      </c>
      <c r="I39" s="18">
        <v>111.2409</v>
      </c>
      <c r="J39" s="18">
        <v>116.48350000000001</v>
      </c>
      <c r="K39" s="18">
        <v>106.22429999999999</v>
      </c>
      <c r="L39" s="18">
        <v>106.93689999999997</v>
      </c>
      <c r="M39" s="18">
        <v>101.11209999999997</v>
      </c>
      <c r="N39" s="18">
        <v>97.610199999999963</v>
      </c>
      <c r="O39" s="9" t="s">
        <v>94</v>
      </c>
    </row>
    <row r="40" spans="1:15" ht="21" x14ac:dyDescent="0.25">
      <c r="A40" s="20" t="s">
        <v>95</v>
      </c>
      <c r="B40" s="17">
        <f t="shared" si="3"/>
        <v>919.34500000000003</v>
      </c>
      <c r="C40" s="18">
        <v>93.753</v>
      </c>
      <c r="D40" s="18">
        <v>92.665000000000006</v>
      </c>
      <c r="E40" s="18">
        <v>90.465999999999994</v>
      </c>
      <c r="F40" s="18">
        <v>80.53</v>
      </c>
      <c r="G40" s="18">
        <v>76.191000000000003</v>
      </c>
      <c r="H40" s="18">
        <v>73.043000000000006</v>
      </c>
      <c r="I40" s="18">
        <v>71.608999999999995</v>
      </c>
      <c r="J40" s="18">
        <v>71.694999999999993</v>
      </c>
      <c r="K40" s="18">
        <v>65.622</v>
      </c>
      <c r="L40" s="18">
        <v>62.869</v>
      </c>
      <c r="M40" s="18">
        <v>65.418999999999997</v>
      </c>
      <c r="N40" s="18">
        <v>75.483000000000004</v>
      </c>
      <c r="O40" s="9" t="s">
        <v>96</v>
      </c>
    </row>
    <row r="41" spans="1:15" ht="21" x14ac:dyDescent="0.25">
      <c r="A41" s="20" t="s">
        <v>97</v>
      </c>
      <c r="B41" s="17">
        <f t="shared" si="3"/>
        <v>825.54570999999999</v>
      </c>
      <c r="C41" s="18">
        <v>108.8974</v>
      </c>
      <c r="D41" s="18">
        <v>108.98830000000001</v>
      </c>
      <c r="E41" s="18">
        <v>107.89030000000001</v>
      </c>
      <c r="F41" s="18">
        <v>57.057500000000005</v>
      </c>
      <c r="G41" s="18">
        <v>53.503190000000011</v>
      </c>
      <c r="H41" s="18">
        <v>50.292100000000005</v>
      </c>
      <c r="I41" s="18">
        <v>49.999099999999999</v>
      </c>
      <c r="J41" s="18">
        <v>49.422519999999992</v>
      </c>
      <c r="K41" s="18">
        <v>46.169200000000011</v>
      </c>
      <c r="L41" s="18">
        <v>52.694300000000005</v>
      </c>
      <c r="M41" s="18">
        <v>58.556200000000004</v>
      </c>
      <c r="N41" s="18">
        <v>82.075600000000009</v>
      </c>
      <c r="O41" s="9" t="s">
        <v>98</v>
      </c>
    </row>
    <row r="42" spans="1:15" ht="21" x14ac:dyDescent="0.25">
      <c r="A42" s="20" t="s">
        <v>99</v>
      </c>
      <c r="B42" s="17">
        <f t="shared" si="3"/>
        <v>1240.4280000000001</v>
      </c>
      <c r="C42" s="18">
        <v>113.081</v>
      </c>
      <c r="D42" s="18">
        <v>115.401</v>
      </c>
      <c r="E42" s="18">
        <v>119.562</v>
      </c>
      <c r="F42" s="18">
        <v>112.843</v>
      </c>
      <c r="G42" s="18">
        <v>104.432</v>
      </c>
      <c r="H42" s="18">
        <v>104.35</v>
      </c>
      <c r="I42" s="18">
        <v>100.194</v>
      </c>
      <c r="J42" s="18">
        <v>102.85899999999999</v>
      </c>
      <c r="K42" s="18">
        <v>92.12</v>
      </c>
      <c r="L42" s="18">
        <v>95.454999999999998</v>
      </c>
      <c r="M42" s="18">
        <v>89.662000000000006</v>
      </c>
      <c r="N42" s="18">
        <v>90.468999999999994</v>
      </c>
      <c r="O42" s="9" t="s">
        <v>100</v>
      </c>
    </row>
    <row r="43" spans="1:15" ht="21" x14ac:dyDescent="0.25">
      <c r="A43" s="21" t="s">
        <v>101</v>
      </c>
      <c r="B43" s="27">
        <f t="shared" si="3"/>
        <v>188.37</v>
      </c>
      <c r="C43" s="19">
        <v>18.399999999999999</v>
      </c>
      <c r="D43" s="19">
        <v>19.04</v>
      </c>
      <c r="E43" s="19">
        <v>22.558</v>
      </c>
      <c r="F43" s="19">
        <v>16.760000000000002</v>
      </c>
      <c r="G43" s="19">
        <v>12.851000000000001</v>
      </c>
      <c r="H43" s="19">
        <v>14.71</v>
      </c>
      <c r="I43" s="19">
        <v>17.407</v>
      </c>
      <c r="J43" s="19">
        <v>16.440000000000001</v>
      </c>
      <c r="K43" s="19">
        <v>11.12</v>
      </c>
      <c r="L43" s="19">
        <v>11.272</v>
      </c>
      <c r="M43" s="19">
        <v>10.702</v>
      </c>
      <c r="N43" s="19">
        <v>17.11</v>
      </c>
      <c r="O43" s="11" t="s">
        <v>102</v>
      </c>
    </row>
    <row r="44" spans="1:15" ht="16.5" x14ac:dyDescent="0.35">
      <c r="A44" s="12" t="s">
        <v>6</v>
      </c>
      <c r="B44" s="25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3" t="s">
        <v>7</v>
      </c>
    </row>
    <row r="45" spans="1:15" x14ac:dyDescent="0.25">
      <c r="A45" s="22"/>
      <c r="B45" s="2"/>
    </row>
  </sheetData>
  <mergeCells count="5">
    <mergeCell ref="A2:O2"/>
    <mergeCell ref="A3:O3"/>
    <mergeCell ref="A4:O4"/>
    <mergeCell ref="A5:A6"/>
    <mergeCell ref="O5:O6"/>
  </mergeCells>
  <pageMargins left="0.7" right="0.7" top="0.75" bottom="0.75" header="0.3" footer="0.3"/>
  <pageSetup paperSize="9" scale="44" orientation="portrait" horizontalDpi="4294967295" verticalDpi="4294967295" r:id="rId1"/>
  <ignoredErrors>
    <ignoredError sqref="B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2021-08-22T03:23:37Z</cp:lastPrinted>
  <dcterms:created xsi:type="dcterms:W3CDTF">2019-05-21T05:57:01Z</dcterms:created>
  <dcterms:modified xsi:type="dcterms:W3CDTF">2021-08-22T03:23:50Z</dcterms:modified>
</cp:coreProperties>
</file>