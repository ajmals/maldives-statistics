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2.Electricity and Water\"/>
    </mc:Choice>
  </mc:AlternateContent>
  <bookViews>
    <workbookView xWindow="0" yWindow="0" windowWidth="28800" windowHeight="12330" tabRatio="908"/>
  </bookViews>
  <sheets>
    <sheet name="12.13" sheetId="13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'12.13'!$A$1:$O$23</definedName>
  </definedNames>
  <calcPr calcId="162913" refMode="R1C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13" l="1"/>
  <c r="L15" i="13"/>
  <c r="L14" i="13"/>
  <c r="L5" i="13"/>
  <c r="L12" i="13" l="1"/>
  <c r="L11" i="13"/>
  <c r="L10" i="13"/>
  <c r="L9" i="13" l="1"/>
  <c r="K16" i="13" l="1"/>
  <c r="K15" i="13"/>
  <c r="K14" i="13"/>
  <c r="K5" i="13"/>
  <c r="K10" i="13" l="1"/>
  <c r="L13" i="13"/>
  <c r="K11" i="13"/>
  <c r="K12" i="13"/>
  <c r="K9" i="13" l="1"/>
  <c r="J16" i="13" l="1"/>
  <c r="I16" i="13"/>
  <c r="H16" i="13"/>
  <c r="G16" i="13"/>
  <c r="F16" i="13"/>
  <c r="E16" i="13"/>
  <c r="D16" i="13"/>
  <c r="C16" i="13"/>
  <c r="J15" i="13"/>
  <c r="I15" i="13"/>
  <c r="H15" i="13"/>
  <c r="G15" i="13"/>
  <c r="F15" i="13"/>
  <c r="E15" i="13"/>
  <c r="D15" i="13"/>
  <c r="C15" i="13"/>
  <c r="J14" i="13"/>
  <c r="I14" i="13"/>
  <c r="H14" i="13"/>
  <c r="G14" i="13"/>
  <c r="F14" i="13"/>
  <c r="E14" i="13"/>
  <c r="D14" i="13"/>
  <c r="C14" i="13"/>
  <c r="J5" i="13"/>
  <c r="I5" i="13"/>
  <c r="I11" i="13" s="1"/>
  <c r="H5" i="13"/>
  <c r="H13" i="13" s="1"/>
  <c r="G5" i="13"/>
  <c r="G11" i="13" s="1"/>
  <c r="F5" i="13"/>
  <c r="F12" i="13" s="1"/>
  <c r="E5" i="13"/>
  <c r="D5" i="13"/>
  <c r="D10" i="13" s="1"/>
  <c r="C5" i="13"/>
  <c r="C10" i="13" s="1"/>
  <c r="B5" i="13"/>
  <c r="B10" i="13" s="1"/>
  <c r="H11" i="13" l="1"/>
  <c r="J10" i="13"/>
  <c r="K13" i="13"/>
  <c r="F10" i="13"/>
  <c r="F13" i="13"/>
  <c r="G10" i="13"/>
  <c r="G9" i="13" s="1"/>
  <c r="B12" i="13"/>
  <c r="C13" i="13"/>
  <c r="H12" i="13"/>
  <c r="H10" i="13"/>
  <c r="I12" i="13"/>
  <c r="J12" i="13"/>
  <c r="C11" i="13"/>
  <c r="E10" i="13"/>
  <c r="B11" i="13"/>
  <c r="B9" i="13" s="1"/>
  <c r="J11" i="13"/>
  <c r="G12" i="13"/>
  <c r="D13" i="13"/>
  <c r="D11" i="13"/>
  <c r="E11" i="13"/>
  <c r="G13" i="13"/>
  <c r="I10" i="13"/>
  <c r="F11" i="13"/>
  <c r="F9" i="13" s="1"/>
  <c r="C12" i="13"/>
  <c r="D12" i="13"/>
  <c r="I13" i="13"/>
  <c r="E13" i="13"/>
  <c r="E12" i="13"/>
  <c r="J13" i="13"/>
  <c r="C9" i="13" l="1"/>
  <c r="D9" i="13"/>
  <c r="H9" i="13"/>
  <c r="J9" i="13"/>
  <c r="I9" i="13"/>
  <c r="E9" i="13"/>
</calcChain>
</file>

<file path=xl/sharedStrings.xml><?xml version="1.0" encoding="utf-8"?>
<sst xmlns="http://schemas.openxmlformats.org/spreadsheetml/2006/main" count="30" uniqueCount="18">
  <si>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</si>
  <si>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</si>
  <si>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</si>
  <si>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</si>
  <si>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</si>
  <si>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</si>
  <si>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</si>
  <si>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</si>
  <si>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</si>
  <si>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</si>
  <si>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</si>
  <si>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cDeTimil Inepcmok cjErevcs cDcnea rwTOv ElWm :ctWrwf ivcaedutWmUluawm</t>
  </si>
  <si>
    <t>Source: Male' Water &amp; Sewerage Company Private Limited</t>
  </si>
  <si>
    <t xml:space="preserve">Total </t>
  </si>
  <si>
    <t>% share</t>
  </si>
  <si>
    <t xml:space="preserve"> wlcmuj</t>
  </si>
  <si>
    <t>ތާވަލު 12.13: ތަނުގެ ގޮތުން ވިލިނގިލީގައި ފެން ބޭނުންކުރާ ފަރާތްތަކުގެ އަދަދު، 2010 - 2020</t>
  </si>
  <si>
    <t>Table 12.13 : NUMBER OF CUSTOMERS USING WATER IN VILIMALE' BY TYPE, 2010 - 2020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</si>
</sst>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_Faseyha"/>
    </font>
    <font>
      <sz val="10"/>
      <name val="Calibri"/>
      <family val="2"/>
      <scheme val="minor"/>
    </font>
    <font>
      <sz val="10"/>
      <name val="A_Faseyha"/>
    </font>
    <font>
      <b/>
      <sz val="11"/>
      <name val="Faruma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_Randhoo"/>
    </font>
    <font>
      <sz val="11"/>
      <name val="Arial"/>
      <family val="2"/>
    </font>
    <font>
      <sz val="10"/>
      <name val="Garamond"/>
      <family val="1"/>
    </font>
    <font>
      <sz val="10"/>
      <color theme="1"/>
      <name val="A_Faseyha"/>
    </font>
    <font>
      <i/>
      <sz val="11"/>
      <name val="Calibri"/>
      <family val="2"/>
      <scheme val="minor"/>
    </font>
    <font>
      <sz val="1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1" fillId="0" borderId="0"/>
    <xf numFmtId="0" fontId="1" fillId="0" borderId="0"/>
  </cellStyleXfs>
  <cellXfs count="37">
    <xf numFmtId="0" fontId="0" fillId="0" borderId="0" xfId="0"/>
    <xf numFmtId="0" fontId="2" fillId="2" borderId="2" xfId="2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1" fillId="2" borderId="0" xfId="2" applyFill="1"/>
    <xf numFmtId="0" fontId="8" fillId="2" borderId="0" xfId="2" applyFont="1" applyFill="1"/>
    <xf numFmtId="3" fontId="7" fillId="2" borderId="0" xfId="2" applyNumberFormat="1" applyFont="1" applyFill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3" fontId="8" fillId="2" borderId="4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Border="1" applyAlignment="1">
      <alignment horizontal="right" vertical="center"/>
    </xf>
    <xf numFmtId="3" fontId="8" fillId="2" borderId="1" xfId="2" applyNumberFormat="1" applyFont="1" applyFill="1" applyBorder="1" applyAlignment="1">
      <alignment horizontal="right" vertical="center"/>
    </xf>
    <xf numFmtId="0" fontId="9" fillId="2" borderId="0" xfId="2" applyFont="1" applyFill="1" applyAlignment="1">
      <alignment vertical="center"/>
    </xf>
    <xf numFmtId="0" fontId="1" fillId="2" borderId="0" xfId="2" applyFill="1" applyAlignment="1">
      <alignment vertical="top"/>
    </xf>
    <xf numFmtId="0" fontId="2" fillId="2" borderId="2" xfId="2" applyFont="1" applyFill="1" applyBorder="1" applyAlignment="1">
      <alignment horizontal="left" vertical="center"/>
    </xf>
    <xf numFmtId="1" fontId="1" fillId="2" borderId="0" xfId="2" applyNumberFormat="1" applyFill="1"/>
    <xf numFmtId="0" fontId="7" fillId="2" borderId="0" xfId="2" applyFont="1" applyFill="1" applyAlignment="1">
      <alignment horizontal="left" vertical="center"/>
    </xf>
    <xf numFmtId="0" fontId="7" fillId="2" borderId="1" xfId="2" applyFont="1" applyFill="1" applyBorder="1" applyAlignment="1">
      <alignment horizontal="center" vertical="top"/>
    </xf>
    <xf numFmtId="0" fontId="1" fillId="2" borderId="0" xfId="2" applyFill="1" applyBorder="1" applyAlignment="1">
      <alignment vertical="top"/>
    </xf>
    <xf numFmtId="0" fontId="10" fillId="2" borderId="0" xfId="2" applyFont="1" applyFill="1"/>
    <xf numFmtId="3" fontId="8" fillId="2" borderId="0" xfId="2" applyNumberFormat="1" applyFont="1" applyFill="1" applyAlignment="1">
      <alignment vertical="center"/>
    </xf>
    <xf numFmtId="0" fontId="8" fillId="2" borderId="0" xfId="2" applyFont="1" applyFill="1" applyAlignment="1">
      <alignment horizontal="right" vertical="center"/>
    </xf>
    <xf numFmtId="0" fontId="8" fillId="2" borderId="4" xfId="2" applyFont="1" applyFill="1" applyBorder="1" applyAlignment="1">
      <alignment horizontal="right" vertical="center"/>
    </xf>
    <xf numFmtId="3" fontId="7" fillId="2" borderId="0" xfId="2" applyNumberFormat="1" applyFont="1" applyFill="1" applyBorder="1" applyAlignment="1">
      <alignment horizontal="right" vertical="center"/>
    </xf>
    <xf numFmtId="0" fontId="13" fillId="2" borderId="0" xfId="4" applyFont="1" applyFill="1"/>
    <xf numFmtId="0" fontId="14" fillId="2" borderId="0" xfId="4" applyFont="1" applyFill="1" applyAlignment="1">
      <alignment horizontal="right"/>
    </xf>
    <xf numFmtId="0" fontId="12" fillId="2" borderId="0" xfId="4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 indent="1"/>
    </xf>
    <xf numFmtId="0" fontId="5" fillId="2" borderId="4" xfId="0" applyFont="1" applyFill="1" applyBorder="1" applyAlignment="1">
      <alignment horizontal="right" vertical="center" indent="1"/>
    </xf>
    <xf numFmtId="0" fontId="5" fillId="2" borderId="3" xfId="0" applyFont="1" applyFill="1" applyBorder="1" applyAlignment="1">
      <alignment horizontal="right" vertical="center" indent="1"/>
    </xf>
    <xf numFmtId="0" fontId="5" fillId="2" borderId="1" xfId="0" applyFont="1" applyFill="1" applyBorder="1" applyAlignment="1">
      <alignment horizontal="right" vertical="center" indent="1"/>
    </xf>
    <xf numFmtId="0" fontId="8" fillId="2" borderId="0" xfId="2" applyFont="1" applyFill="1" applyBorder="1" applyAlignment="1">
      <alignment horizontal="left" vertical="center" indent="1"/>
    </xf>
    <xf numFmtId="0" fontId="8" fillId="2" borderId="1" xfId="2" applyFont="1" applyFill="1" applyBorder="1" applyAlignment="1">
      <alignment horizontal="left" vertical="center" indent="1"/>
    </xf>
    <xf numFmtId="3" fontId="4" fillId="2" borderId="0" xfId="2" applyNumberFormat="1" applyFont="1" applyFill="1" applyAlignment="1">
      <alignment vertical="center"/>
    </xf>
    <xf numFmtId="0" fontId="4" fillId="2" borderId="0" xfId="2" applyFont="1" applyFill="1" applyAlignment="1">
      <alignment horizontal="right" vertical="center"/>
    </xf>
    <xf numFmtId="0" fontId="4" fillId="2" borderId="4" xfId="2" applyFont="1" applyFill="1" applyBorder="1" applyAlignment="1">
      <alignment horizontal="right" vertical="center"/>
    </xf>
    <xf numFmtId="0" fontId="6" fillId="2" borderId="0" xfId="2" applyFont="1" applyFill="1" applyAlignment="1">
      <alignment horizontal="center" vertical="center"/>
    </xf>
    <xf numFmtId="0" fontId="7" fillId="2" borderId="0" xfId="2" applyFont="1" applyFill="1" applyBorder="1" applyAlignment="1">
      <alignment horizontal="center" vertical="top"/>
    </xf>
  </cellXfs>
  <cellStyles count="6">
    <cellStyle name="Comma 2" xfId="1"/>
    <cellStyle name="Comma 4" xfId="3"/>
    <cellStyle name="Normal" xfId="0" builtinId="0"/>
    <cellStyle name="Normal 2" xfId="2"/>
    <cellStyle name="Normal 2 2" xfId="5"/>
    <cellStyle name="Normal_X-5 (Electricity)" xfId="4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\Desktop\yearbook%202020%20=update\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23"/>
  <sheetViews>
    <sheetView tabSelected="1" zoomScaleNormal="100" workbookViewId="0">
      <selection activeCell="G21" sqref="G21"/>
    </sheetView>
  </sheetViews>
  <sheetFormatPr defaultColWidth="9.140625" defaultRowHeight="12.75" x14ac:dyDescent="0.2"/>
  <cols>
    <col min="1" max="1" width="19.5703125" style="4" customWidth="1"/>
    <col min="2" max="2" width="9.28515625" style="4" bestFit="1" customWidth="1"/>
    <col min="3" max="3" width="9.85546875" style="4" bestFit="1" customWidth="1"/>
    <col min="4" max="12" width="9.7109375" style="4" bestFit="1" customWidth="1"/>
    <col min="13" max="13" width="33.42578125" style="4" customWidth="1"/>
    <col min="14" max="14" width="4.5703125" style="4" customWidth="1"/>
    <col min="15" max="16384" width="9.140625" style="4"/>
  </cols>
  <sheetData>
    <row r="1" spans="1:17" ht="21" x14ac:dyDescent="0.2">
      <c r="A1" s="35" t="s">
        <v>16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11"/>
      <c r="O1" s="11"/>
      <c r="P1" s="11"/>
      <c r="Q1" s="11"/>
    </row>
    <row r="2" spans="1:17" s="17" customFormat="1" ht="18.75" customHeight="1" x14ac:dyDescent="0.25">
      <c r="A2" s="36" t="s">
        <v>17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7" s="12" customFormat="1" ht="18.75" customHeigh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7" ht="15.75" x14ac:dyDescent="0.2">
      <c r="A4" s="13" t="s">
        <v>4</v>
      </c>
      <c r="B4" s="1">
        <v>2010</v>
      </c>
      <c r="C4" s="1">
        <v>2011</v>
      </c>
      <c r="D4" s="1">
        <v>2012</v>
      </c>
      <c r="E4" s="1">
        <v>2013</v>
      </c>
      <c r="F4" s="1">
        <v>2014</v>
      </c>
      <c r="G4" s="1">
        <v>2015</v>
      </c>
      <c r="H4" s="1">
        <v>2016</v>
      </c>
      <c r="I4" s="1">
        <v>2017</v>
      </c>
      <c r="J4" s="1">
        <v>2018</v>
      </c>
      <c r="K4" s="1">
        <v>2019</v>
      </c>
      <c r="L4" s="1">
        <v>2020</v>
      </c>
      <c r="M4" s="2" t="s">
        <v>3</v>
      </c>
    </row>
    <row r="5" spans="1:17" s="18" customFormat="1" ht="20.25" customHeight="1" x14ac:dyDescent="0.2">
      <c r="A5" s="15" t="s">
        <v>13</v>
      </c>
      <c r="B5" s="6">
        <f>SUM(B6:B8)</f>
        <v>1197</v>
      </c>
      <c r="C5" s="6">
        <f t="shared" ref="C5:E5" si="0">SUM(C6:C8)</f>
        <v>1300</v>
      </c>
      <c r="D5" s="6">
        <f t="shared" si="0"/>
        <v>1365</v>
      </c>
      <c r="E5" s="6">
        <f t="shared" si="0"/>
        <v>1432</v>
      </c>
      <c r="F5" s="6">
        <f t="shared" ref="F5:J5" si="1">SUM(F6:F8)</f>
        <v>1475</v>
      </c>
      <c r="G5" s="6">
        <f t="shared" si="1"/>
        <v>1547</v>
      </c>
      <c r="H5" s="6">
        <f t="shared" si="1"/>
        <v>1634</v>
      </c>
      <c r="I5" s="6">
        <f t="shared" si="1"/>
        <v>1736</v>
      </c>
      <c r="J5" s="6">
        <f t="shared" si="1"/>
        <v>1786</v>
      </c>
      <c r="K5" s="6">
        <f t="shared" ref="K5:L5" si="2">SUM(K6:K8)</f>
        <v>1889</v>
      </c>
      <c r="L5" s="6">
        <f t="shared" si="2"/>
        <v>1994</v>
      </c>
      <c r="M5" s="3" t="s">
        <v>15</v>
      </c>
    </row>
    <row r="6" spans="1:17" s="18" customFormat="1" ht="20.25" customHeight="1" x14ac:dyDescent="0.2">
      <c r="A6" s="30" t="s">
        <v>5</v>
      </c>
      <c r="B6" s="19">
        <v>1103</v>
      </c>
      <c r="C6" s="19">
        <v>1185</v>
      </c>
      <c r="D6" s="19">
        <v>1241</v>
      </c>
      <c r="E6" s="19">
        <v>1297</v>
      </c>
      <c r="F6" s="19">
        <v>1339</v>
      </c>
      <c r="G6" s="19">
        <v>1396</v>
      </c>
      <c r="H6" s="19">
        <v>1470</v>
      </c>
      <c r="I6" s="19">
        <v>1554</v>
      </c>
      <c r="J6" s="19">
        <v>1594</v>
      </c>
      <c r="K6" s="32">
        <v>1689</v>
      </c>
      <c r="L6" s="32">
        <v>1770</v>
      </c>
      <c r="M6" s="26" t="s">
        <v>6</v>
      </c>
    </row>
    <row r="7" spans="1:17" s="18" customFormat="1" ht="20.25" customHeight="1" x14ac:dyDescent="0.2">
      <c r="A7" s="30" t="s">
        <v>7</v>
      </c>
      <c r="B7" s="20">
        <v>57</v>
      </c>
      <c r="C7" s="20">
        <v>73</v>
      </c>
      <c r="D7" s="20">
        <v>72</v>
      </c>
      <c r="E7" s="20">
        <v>70</v>
      </c>
      <c r="F7" s="20">
        <v>68</v>
      </c>
      <c r="G7" s="20">
        <v>69</v>
      </c>
      <c r="H7" s="20">
        <v>69</v>
      </c>
      <c r="I7" s="20">
        <v>69</v>
      </c>
      <c r="J7" s="20">
        <v>68</v>
      </c>
      <c r="K7" s="33">
        <v>64</v>
      </c>
      <c r="L7" s="33">
        <v>80</v>
      </c>
      <c r="M7" s="26" t="s">
        <v>8</v>
      </c>
    </row>
    <row r="8" spans="1:17" s="18" customFormat="1" ht="20.25" customHeight="1" x14ac:dyDescent="0.2">
      <c r="A8" s="31" t="s">
        <v>9</v>
      </c>
      <c r="B8" s="21">
        <v>37</v>
      </c>
      <c r="C8" s="21">
        <v>42</v>
      </c>
      <c r="D8" s="21">
        <v>52</v>
      </c>
      <c r="E8" s="21">
        <v>65</v>
      </c>
      <c r="F8" s="21">
        <v>68</v>
      </c>
      <c r="G8" s="21">
        <v>82</v>
      </c>
      <c r="H8" s="21">
        <v>95</v>
      </c>
      <c r="I8" s="21">
        <v>113</v>
      </c>
      <c r="J8" s="21">
        <v>124</v>
      </c>
      <c r="K8" s="34">
        <v>136</v>
      </c>
      <c r="L8" s="34">
        <v>144</v>
      </c>
      <c r="M8" s="27" t="s">
        <v>10</v>
      </c>
    </row>
    <row r="9" spans="1:17" s="18" customFormat="1" ht="20.25" customHeight="1" x14ac:dyDescent="0.2">
      <c r="A9" s="15" t="s">
        <v>14</v>
      </c>
      <c r="B9" s="6">
        <f t="shared" ref="B9:J9" si="3">SUM(B10:B12)</f>
        <v>100</v>
      </c>
      <c r="C9" s="6">
        <f t="shared" si="3"/>
        <v>99.999999999999986</v>
      </c>
      <c r="D9" s="6">
        <f t="shared" si="3"/>
        <v>100</v>
      </c>
      <c r="E9" s="6">
        <f t="shared" si="3"/>
        <v>100.00000000000001</v>
      </c>
      <c r="F9" s="6">
        <f t="shared" si="3"/>
        <v>100</v>
      </c>
      <c r="G9" s="6">
        <f t="shared" si="3"/>
        <v>100</v>
      </c>
      <c r="H9" s="6">
        <f t="shared" si="3"/>
        <v>100</v>
      </c>
      <c r="I9" s="6">
        <f t="shared" si="3"/>
        <v>100</v>
      </c>
      <c r="J9" s="6">
        <f t="shared" si="3"/>
        <v>100.00000000000001</v>
      </c>
      <c r="K9" s="6">
        <f t="shared" ref="K9:L9" si="4">SUM(K10:K12)</f>
        <v>100</v>
      </c>
      <c r="L9" s="6">
        <f t="shared" si="4"/>
        <v>100</v>
      </c>
      <c r="M9" s="3" t="s">
        <v>0</v>
      </c>
    </row>
    <row r="10" spans="1:17" s="18" customFormat="1" ht="20.25" customHeight="1" x14ac:dyDescent="0.2">
      <c r="A10" s="30" t="s">
        <v>5</v>
      </c>
      <c r="B10" s="7">
        <f t="shared" ref="B10:J10" si="5">B6/B5*100</f>
        <v>92.147034252297416</v>
      </c>
      <c r="C10" s="7">
        <f t="shared" si="5"/>
        <v>91.153846153846146</v>
      </c>
      <c r="D10" s="7">
        <f t="shared" si="5"/>
        <v>90.91575091575092</v>
      </c>
      <c r="E10" s="9">
        <f t="shared" si="5"/>
        <v>90.572625698324032</v>
      </c>
      <c r="F10" s="9">
        <f t="shared" si="5"/>
        <v>90.779661016949149</v>
      </c>
      <c r="G10" s="9">
        <f t="shared" si="5"/>
        <v>90.239172592113775</v>
      </c>
      <c r="H10" s="9">
        <f t="shared" si="5"/>
        <v>89.963280293757649</v>
      </c>
      <c r="I10" s="9">
        <f t="shared" si="5"/>
        <v>89.516129032258064</v>
      </c>
      <c r="J10" s="9">
        <f t="shared" si="5"/>
        <v>89.249720044792838</v>
      </c>
      <c r="K10" s="9">
        <f t="shared" ref="K10:L10" si="6">K6/K5*100</f>
        <v>89.41238750661725</v>
      </c>
      <c r="L10" s="9">
        <f t="shared" si="6"/>
        <v>88.76629889669006</v>
      </c>
      <c r="M10" s="26" t="s">
        <v>6</v>
      </c>
    </row>
    <row r="11" spans="1:17" s="18" customFormat="1" ht="20.25" customHeight="1" x14ac:dyDescent="0.2">
      <c r="A11" s="30" t="s">
        <v>7</v>
      </c>
      <c r="B11" s="7">
        <f t="shared" ref="B11:J11" si="7">B7/B5*100</f>
        <v>4.7619047619047619</v>
      </c>
      <c r="C11" s="7">
        <f t="shared" si="7"/>
        <v>5.615384615384615</v>
      </c>
      <c r="D11" s="7">
        <f t="shared" si="7"/>
        <v>5.2747252747252746</v>
      </c>
      <c r="E11" s="9">
        <f t="shared" si="7"/>
        <v>4.8882681564245809</v>
      </c>
      <c r="F11" s="9">
        <f t="shared" si="7"/>
        <v>4.6101694915254239</v>
      </c>
      <c r="G11" s="9">
        <f t="shared" si="7"/>
        <v>4.4602456367162251</v>
      </c>
      <c r="H11" s="9">
        <f t="shared" si="7"/>
        <v>4.222766217870257</v>
      </c>
      <c r="I11" s="9">
        <f t="shared" si="7"/>
        <v>3.9746543778801846</v>
      </c>
      <c r="J11" s="9">
        <f t="shared" si="7"/>
        <v>3.807390817469205</v>
      </c>
      <c r="K11" s="9">
        <f t="shared" ref="K11:L11" si="8">K7/K5*100</f>
        <v>3.3880359978824779</v>
      </c>
      <c r="L11" s="9">
        <f t="shared" si="8"/>
        <v>4.0120361083249749</v>
      </c>
      <c r="M11" s="26" t="s">
        <v>8</v>
      </c>
    </row>
    <row r="12" spans="1:17" s="18" customFormat="1" ht="20.25" customHeight="1" x14ac:dyDescent="0.2">
      <c r="A12" s="31" t="s">
        <v>9</v>
      </c>
      <c r="B12" s="8">
        <f t="shared" ref="B12:J12" si="9">B8/B5*100</f>
        <v>3.091060985797828</v>
      </c>
      <c r="C12" s="8">
        <f t="shared" si="9"/>
        <v>3.2307692307692308</v>
      </c>
      <c r="D12" s="8">
        <f t="shared" si="9"/>
        <v>3.8095238095238098</v>
      </c>
      <c r="E12" s="8">
        <f t="shared" si="9"/>
        <v>4.539106145251397</v>
      </c>
      <c r="F12" s="8">
        <f t="shared" si="9"/>
        <v>4.6101694915254239</v>
      </c>
      <c r="G12" s="8">
        <f t="shared" si="9"/>
        <v>5.3005817711700063</v>
      </c>
      <c r="H12" s="8">
        <f t="shared" si="9"/>
        <v>5.8139534883720927</v>
      </c>
      <c r="I12" s="8">
        <f t="shared" si="9"/>
        <v>6.5092165898617509</v>
      </c>
      <c r="J12" s="8">
        <f t="shared" si="9"/>
        <v>6.9428891377379625</v>
      </c>
      <c r="K12" s="8">
        <f t="shared" ref="K12:L12" si="10">K8/K5*100</f>
        <v>7.1995764955002652</v>
      </c>
      <c r="L12" s="8">
        <f t="shared" si="10"/>
        <v>7.2216649949849554</v>
      </c>
      <c r="M12" s="28" t="s">
        <v>10</v>
      </c>
    </row>
    <row r="13" spans="1:17" s="18" customFormat="1" ht="20.25" customHeight="1" x14ac:dyDescent="0.2">
      <c r="A13" s="15" t="s">
        <v>1</v>
      </c>
      <c r="B13" s="22">
        <v>5.0921861281826164</v>
      </c>
      <c r="C13" s="22">
        <f t="shared" ref="C13:L16" si="11">(C5-B5)/B5*100</f>
        <v>8.6048454469507103</v>
      </c>
      <c r="D13" s="22">
        <f t="shared" si="11"/>
        <v>5</v>
      </c>
      <c r="E13" s="22">
        <f t="shared" si="11"/>
        <v>4.9084249084249088</v>
      </c>
      <c r="F13" s="22">
        <f t="shared" si="11"/>
        <v>3.0027932960893855</v>
      </c>
      <c r="G13" s="22">
        <f t="shared" si="11"/>
        <v>4.8813559322033901</v>
      </c>
      <c r="H13" s="22">
        <f t="shared" si="11"/>
        <v>5.6237879767291536</v>
      </c>
      <c r="I13" s="22">
        <f t="shared" si="11"/>
        <v>6.2423500611995104</v>
      </c>
      <c r="J13" s="22">
        <f t="shared" si="11"/>
        <v>2.8801843317972349</v>
      </c>
      <c r="K13" s="22">
        <f t="shared" si="11"/>
        <v>5.7670772676371778</v>
      </c>
      <c r="L13" s="22">
        <f t="shared" si="11"/>
        <v>5.5584965590259401</v>
      </c>
      <c r="M13" s="3" t="s">
        <v>2</v>
      </c>
    </row>
    <row r="14" spans="1:17" s="18" customFormat="1" ht="20.25" customHeight="1" x14ac:dyDescent="0.2">
      <c r="A14" s="30" t="s">
        <v>5</v>
      </c>
      <c r="B14" s="9">
        <v>6.3645130183220839</v>
      </c>
      <c r="C14" s="9">
        <f t="shared" si="11"/>
        <v>7.43427017225748</v>
      </c>
      <c r="D14" s="9">
        <f t="shared" si="11"/>
        <v>4.7257383966244726</v>
      </c>
      <c r="E14" s="9">
        <f t="shared" si="11"/>
        <v>4.5124899274778407</v>
      </c>
      <c r="F14" s="9">
        <f t="shared" si="11"/>
        <v>3.2382420971472627</v>
      </c>
      <c r="G14" s="9">
        <f t="shared" si="11"/>
        <v>4.2569081404032856</v>
      </c>
      <c r="H14" s="9">
        <f t="shared" si="11"/>
        <v>5.3008595988538678</v>
      </c>
      <c r="I14" s="9">
        <f t="shared" si="11"/>
        <v>5.7142857142857144</v>
      </c>
      <c r="J14" s="9">
        <f t="shared" si="11"/>
        <v>2.574002574002574</v>
      </c>
      <c r="K14" s="9">
        <f t="shared" si="11"/>
        <v>5.9598494353826847</v>
      </c>
      <c r="L14" s="9">
        <f t="shared" si="11"/>
        <v>4.7957371225577266</v>
      </c>
      <c r="M14" s="26" t="s">
        <v>6</v>
      </c>
    </row>
    <row r="15" spans="1:17" s="18" customFormat="1" ht="20.25" customHeight="1" x14ac:dyDescent="0.2">
      <c r="A15" s="30" t="s">
        <v>7</v>
      </c>
      <c r="B15" s="9">
        <v>-16.176470588235293</v>
      </c>
      <c r="C15" s="9">
        <f t="shared" si="11"/>
        <v>28.07017543859649</v>
      </c>
      <c r="D15" s="9">
        <f t="shared" si="11"/>
        <v>-1.3698630136986301</v>
      </c>
      <c r="E15" s="9">
        <f t="shared" si="11"/>
        <v>-2.7777777777777777</v>
      </c>
      <c r="F15" s="9">
        <f t="shared" si="11"/>
        <v>-2.8571428571428572</v>
      </c>
      <c r="G15" s="9">
        <f t="shared" si="11"/>
        <v>1.4705882352941175</v>
      </c>
      <c r="H15" s="9">
        <f t="shared" si="11"/>
        <v>0</v>
      </c>
      <c r="I15" s="9">
        <f t="shared" si="11"/>
        <v>0</v>
      </c>
      <c r="J15" s="9">
        <f t="shared" si="11"/>
        <v>-1.4492753623188406</v>
      </c>
      <c r="K15" s="9">
        <f t="shared" si="11"/>
        <v>-5.8823529411764701</v>
      </c>
      <c r="L15" s="9">
        <f t="shared" si="11"/>
        <v>25</v>
      </c>
      <c r="M15" s="26" t="s">
        <v>8</v>
      </c>
    </row>
    <row r="16" spans="1:17" s="18" customFormat="1" ht="20.25" customHeight="1" x14ac:dyDescent="0.2">
      <c r="A16" s="31" t="s">
        <v>9</v>
      </c>
      <c r="B16" s="10">
        <v>8.8235294117647065</v>
      </c>
      <c r="C16" s="10">
        <f t="shared" si="11"/>
        <v>13.513513513513514</v>
      </c>
      <c r="D16" s="10">
        <f t="shared" si="11"/>
        <v>23.809523809523807</v>
      </c>
      <c r="E16" s="10">
        <f t="shared" si="11"/>
        <v>25</v>
      </c>
      <c r="F16" s="10">
        <f t="shared" si="11"/>
        <v>4.6153846153846159</v>
      </c>
      <c r="G16" s="10">
        <f t="shared" si="11"/>
        <v>20.588235294117645</v>
      </c>
      <c r="H16" s="10">
        <f t="shared" si="11"/>
        <v>15.853658536585366</v>
      </c>
      <c r="I16" s="10">
        <f t="shared" si="11"/>
        <v>18.947368421052634</v>
      </c>
      <c r="J16" s="10">
        <f t="shared" si="11"/>
        <v>9.7345132743362832</v>
      </c>
      <c r="K16" s="10">
        <f t="shared" si="11"/>
        <v>9.67741935483871</v>
      </c>
      <c r="L16" s="10">
        <f t="shared" si="11"/>
        <v>5.8823529411764701</v>
      </c>
      <c r="M16" s="29" t="s">
        <v>10</v>
      </c>
    </row>
    <row r="17" spans="1:13" s="18" customFormat="1" ht="20.25" customHeight="1" x14ac:dyDescent="0.45">
      <c r="A17" s="23" t="s">
        <v>12</v>
      </c>
      <c r="B17" s="5"/>
      <c r="C17" s="5"/>
      <c r="D17" s="24"/>
      <c r="E17" s="24"/>
      <c r="F17" s="24"/>
      <c r="G17" s="24"/>
      <c r="H17" s="24"/>
      <c r="I17" s="24"/>
      <c r="J17" s="24"/>
      <c r="K17" s="24"/>
      <c r="L17" s="24"/>
      <c r="M17" s="25" t="s">
        <v>11</v>
      </c>
    </row>
    <row r="19" spans="1:13" x14ac:dyDescent="0.2"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3" x14ac:dyDescent="0.2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13" x14ac:dyDescent="0.2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spans="1:13" x14ac:dyDescent="0.2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1:13" x14ac:dyDescent="0.2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</row>
  </sheetData>
  <mergeCells count="2">
    <mergeCell ref="A1:M1"/>
    <mergeCell ref="A2:M2"/>
  </mergeCells>
  <pageMargins left="0.7" right="0.7" top="0.75" bottom="0.75" header="0.3" footer="0.3"/>
  <pageSetup paperSize="9" scale="5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12.13</vt:lpstr>
      <vt:lpstr>'12.13'!Print_Area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2021-08-22T04:15:40Z</cp:lastPrinted>
  <dcterms:created xsi:type="dcterms:W3CDTF">2019-05-21T05:57:01Z</dcterms:created>
  <dcterms:modified xsi:type="dcterms:W3CDTF">2021-08-22T04:15:58Z</dcterms:modified>
</cp:coreProperties>
</file>