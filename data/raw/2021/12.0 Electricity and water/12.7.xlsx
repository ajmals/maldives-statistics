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2.Electricity and Water\"/>
    </mc:Choice>
  </mc:AlternateContent>
  <bookViews>
    <workbookView xWindow="0" yWindow="0" windowWidth="28800" windowHeight="12330" tabRatio="818"/>
  </bookViews>
  <sheets>
    <sheet name="12.7" sheetId="7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'12.7'!$A$1:$N$42</definedName>
  </definedNames>
  <calcPr calcId="162913" refMode="R1C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7" l="1"/>
  <c r="L15" i="7"/>
  <c r="L14" i="7"/>
  <c r="L5" i="7"/>
  <c r="L10" i="7" l="1"/>
  <c r="L12" i="7"/>
  <c r="L11" i="7"/>
  <c r="L9" i="7" l="1"/>
  <c r="K16" i="7" l="1"/>
  <c r="K15" i="7"/>
  <c r="K14" i="7"/>
  <c r="K5" i="7"/>
  <c r="K11" i="7" l="1"/>
  <c r="L13" i="7"/>
  <c r="K12" i="7"/>
  <c r="K10" i="7"/>
  <c r="K9" i="7" l="1"/>
  <c r="J16" i="7"/>
  <c r="I16" i="7"/>
  <c r="H16" i="7"/>
  <c r="G16" i="7"/>
  <c r="F16" i="7"/>
  <c r="E16" i="7"/>
  <c r="D16" i="7"/>
  <c r="J15" i="7"/>
  <c r="I15" i="7"/>
  <c r="H15" i="7"/>
  <c r="G15" i="7"/>
  <c r="F15" i="7"/>
  <c r="E15" i="7"/>
  <c r="D15" i="7"/>
  <c r="J14" i="7"/>
  <c r="I14" i="7"/>
  <c r="H14" i="7"/>
  <c r="G14" i="7"/>
  <c r="F14" i="7"/>
  <c r="E14" i="7"/>
  <c r="D14" i="7"/>
  <c r="H11" i="7"/>
  <c r="B8" i="7"/>
  <c r="B7" i="7"/>
  <c r="C15" i="7" s="1"/>
  <c r="B6" i="7"/>
  <c r="B5" i="7" s="1"/>
  <c r="J5" i="7"/>
  <c r="I5" i="7"/>
  <c r="I11" i="7" s="1"/>
  <c r="H5" i="7"/>
  <c r="H12" i="7" s="1"/>
  <c r="G5" i="7"/>
  <c r="F5" i="7"/>
  <c r="F12" i="7" s="1"/>
  <c r="E5" i="7"/>
  <c r="E11" i="7" s="1"/>
  <c r="D5" i="7"/>
  <c r="D10" i="7" s="1"/>
  <c r="C5" i="7"/>
  <c r="G13" i="7" l="1"/>
  <c r="J13" i="7"/>
  <c r="D12" i="7"/>
  <c r="F10" i="7"/>
  <c r="J10" i="7"/>
  <c r="H13" i="7"/>
  <c r="I13" i="7"/>
  <c r="G11" i="7"/>
  <c r="C13" i="7"/>
  <c r="E12" i="7"/>
  <c r="J12" i="7"/>
  <c r="K13" i="7"/>
  <c r="E10" i="7"/>
  <c r="E9" i="7" s="1"/>
  <c r="B11" i="7"/>
  <c r="J11" i="7"/>
  <c r="J9" i="7" s="1"/>
  <c r="G12" i="7"/>
  <c r="D13" i="7"/>
  <c r="C16" i="7"/>
  <c r="E13" i="7"/>
  <c r="G10" i="7"/>
  <c r="D11" i="7"/>
  <c r="D9" i="7" s="1"/>
  <c r="I12" i="7"/>
  <c r="F13" i="7"/>
  <c r="C14" i="7"/>
  <c r="H10" i="7"/>
  <c r="H9" i="7" s="1"/>
  <c r="B12" i="7"/>
  <c r="B10" i="7"/>
  <c r="C11" i="7"/>
  <c r="I10" i="7"/>
  <c r="F11" i="7"/>
  <c r="F9" i="7" s="1"/>
  <c r="C12" i="7"/>
  <c r="C10" i="7"/>
  <c r="I9" i="7" l="1"/>
  <c r="B9" i="7"/>
  <c r="G9" i="7"/>
  <c r="C9" i="7"/>
</calcChain>
</file>

<file path=xl/sharedStrings.xml><?xml version="1.0" encoding="utf-8"?>
<sst xmlns="http://schemas.openxmlformats.org/spreadsheetml/2006/main" count="32" uniqueCount="20">
  <si>
    <t xml:space="preserve"> % cnutogWviawfiheb</t>
  </si>
  <si>
    <t>% change over previous year</t>
  </si>
  <si>
    <t xml:space="preserve"> % urwvcnim ivurutia eruvcSwrwhwa Iruk</t>
  </si>
  <si>
    <t>cnwt</t>
  </si>
  <si>
    <t>(In '000 metric tons)</t>
  </si>
  <si>
    <t>(cnunwT ckircTem '000)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</si>
  <si>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</si>
  <si>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</si>
  <si>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</si>
  <si>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</si>
  <si>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</si>
  <si>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</si>
  <si>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</si>
  <si>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</si>
  <si>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</si>
  <si>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Percentage  share</t>
  </si>
  <si>
    <t>cDeTimil Inepcmok cjErevcs cDcnea rwTOv ElWm :ctWrwf ivcaedutWmUluawm</t>
  </si>
  <si>
    <t>Source: Male' Water &amp; Sewerage Company Private Limited</t>
  </si>
  <si>
    <t>2020 - 2010  ,urwvcnim unuverukcnunEb ވިލިމާލޭގައި cnef Everukclib   :12.7 ulwvWt</t>
  </si>
  <si>
    <t>Table 12.7 : BILLED WATER CONSUMPTION IN VILIMALE', 2010 - 2020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</si>
</sst>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Faseyha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A_Faseyha"/>
    </font>
    <font>
      <sz val="10"/>
      <color theme="1"/>
      <name val="Calibri"/>
      <family val="2"/>
      <scheme val="minor"/>
    </font>
    <font>
      <sz val="9"/>
      <color theme="1"/>
      <name val="A_Faseyha"/>
    </font>
    <font>
      <b/>
      <sz val="11"/>
      <name val="Calibri"/>
      <family val="2"/>
      <scheme val="minor"/>
    </font>
    <font>
      <b/>
      <sz val="10"/>
      <name val="A_Funa"/>
    </font>
    <font>
      <sz val="10"/>
      <name val="Garamond"/>
      <family val="1"/>
    </font>
    <font>
      <b/>
      <sz val="12"/>
      <color theme="1"/>
      <name val="A_Randhoo"/>
    </font>
    <font>
      <sz val="9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5" fillId="0" borderId="0"/>
    <xf numFmtId="0" fontId="2" fillId="0" borderId="0"/>
  </cellStyleXfs>
  <cellXfs count="40">
    <xf numFmtId="0" fontId="0" fillId="0" borderId="0" xfId="0"/>
    <xf numFmtId="0" fontId="9" fillId="2" borderId="0" xfId="3" applyFont="1" applyFill="1" applyBorder="1" applyAlignment="1">
      <alignment vertical="center" wrapText="1"/>
    </xf>
    <xf numFmtId="0" fontId="9" fillId="2" borderId="0" xfId="3" applyFont="1" applyFill="1" applyBorder="1" applyAlignment="1">
      <alignment horizontal="center" vertical="center" wrapText="1"/>
    </xf>
    <xf numFmtId="0" fontId="2" fillId="2" borderId="0" xfId="3" applyFont="1" applyFill="1" applyBorder="1"/>
    <xf numFmtId="0" fontId="3" fillId="2" borderId="0" xfId="0" applyFont="1" applyFill="1" applyBorder="1" applyAlignment="1">
      <alignment horizontal="left" vertical="center"/>
    </xf>
    <xf numFmtId="0" fontId="12" fillId="2" borderId="0" xfId="5" applyFont="1" applyFill="1" applyAlignment="1">
      <alignment horizontal="right"/>
    </xf>
    <xf numFmtId="0" fontId="16" fillId="2" borderId="0" xfId="0" applyFont="1" applyFill="1" applyAlignment="1">
      <alignment vertical="center"/>
    </xf>
    <xf numFmtId="0" fontId="6" fillId="2" borderId="0" xfId="3" applyFont="1" applyFill="1"/>
    <xf numFmtId="0" fontId="14" fillId="2" borderId="1" xfId="3" applyFont="1" applyFill="1" applyBorder="1" applyAlignment="1">
      <alignment vertical="center" wrapText="1"/>
    </xf>
    <xf numFmtId="0" fontId="3" fillId="2" borderId="2" xfId="3" applyFont="1" applyFill="1" applyBorder="1" applyAlignment="1">
      <alignment vertical="center"/>
    </xf>
    <xf numFmtId="0" fontId="3" fillId="2" borderId="2" xfId="3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3" fillId="2" borderId="0" xfId="3" applyFont="1" applyFill="1" applyAlignment="1">
      <alignment vertical="center"/>
    </xf>
    <xf numFmtId="3" fontId="3" fillId="2" borderId="0" xfId="3" applyNumberFormat="1" applyFont="1" applyFill="1" applyAlignment="1">
      <alignment horizontal="right" vertical="center" readingOrder="2"/>
    </xf>
    <xf numFmtId="3" fontId="3" fillId="2" borderId="0" xfId="3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6" fillId="2" borderId="0" xfId="3" applyFont="1" applyFill="1" applyAlignment="1">
      <alignment vertical="center"/>
    </xf>
    <xf numFmtId="3" fontId="6" fillId="2" borderId="0" xfId="3" applyNumberFormat="1" applyFont="1" applyFill="1" applyAlignment="1">
      <alignment horizontal="right" vertical="center" readingOrder="2"/>
    </xf>
    <xf numFmtId="0" fontId="7" fillId="2" borderId="0" xfId="0" applyFont="1" applyFill="1" applyAlignment="1">
      <alignment horizontal="right" vertical="center"/>
    </xf>
    <xf numFmtId="0" fontId="6" fillId="2" borderId="3" xfId="3" applyFont="1" applyFill="1" applyBorder="1" applyAlignment="1">
      <alignment vertical="center"/>
    </xf>
    <xf numFmtId="3" fontId="6" fillId="2" borderId="3" xfId="3" applyNumberFormat="1" applyFont="1" applyFill="1" applyBorder="1" applyAlignment="1">
      <alignment horizontal="right" vertical="center" readingOrder="2"/>
    </xf>
    <xf numFmtId="0" fontId="7" fillId="2" borderId="3" xfId="0" applyFont="1" applyFill="1" applyBorder="1" applyAlignment="1">
      <alignment horizontal="right" vertical="center"/>
    </xf>
    <xf numFmtId="3" fontId="6" fillId="2" borderId="0" xfId="3" applyNumberFormat="1" applyFont="1" applyFill="1"/>
    <xf numFmtId="3" fontId="3" fillId="2" borderId="0" xfId="3" applyNumberFormat="1" applyFont="1" applyFill="1" applyAlignment="1">
      <alignment horizontal="right" vertical="center" readingOrder="1"/>
    </xf>
    <xf numFmtId="3" fontId="6" fillId="2" borderId="0" xfId="3" applyNumberFormat="1" applyFont="1" applyFill="1" applyAlignment="1">
      <alignment horizontal="right" vertical="center" readingOrder="1"/>
    </xf>
    <xf numFmtId="0" fontId="6" fillId="2" borderId="1" xfId="3" applyFont="1" applyFill="1" applyBorder="1" applyAlignment="1">
      <alignment vertical="center"/>
    </xf>
    <xf numFmtId="0" fontId="7" fillId="2" borderId="1" xfId="0" applyFont="1" applyFill="1" applyBorder="1" applyAlignment="1">
      <alignment horizontal="right" vertical="center"/>
    </xf>
    <xf numFmtId="0" fontId="8" fillId="2" borderId="0" xfId="5" applyFont="1" applyFill="1"/>
    <xf numFmtId="0" fontId="6" fillId="2" borderId="0" xfId="3" applyFont="1" applyFill="1" applyBorder="1"/>
    <xf numFmtId="0" fontId="17" fillId="2" borderId="0" xfId="5" applyFont="1" applyFill="1" applyAlignment="1">
      <alignment horizontal="right"/>
    </xf>
    <xf numFmtId="0" fontId="0" fillId="2" borderId="0" xfId="0" applyFill="1"/>
    <xf numFmtId="3" fontId="6" fillId="2" borderId="0" xfId="0" applyNumberFormat="1" applyFont="1" applyFill="1" applyBorder="1" applyAlignment="1">
      <alignment horizontal="right" vertical="center"/>
    </xf>
    <xf numFmtId="3" fontId="6" fillId="2" borderId="1" xfId="0" applyNumberFormat="1" applyFont="1" applyFill="1" applyBorder="1" applyAlignment="1">
      <alignment horizontal="right" vertical="center"/>
    </xf>
    <xf numFmtId="164" fontId="11" fillId="2" borderId="0" xfId="1" applyNumberFormat="1" applyFont="1" applyFill="1" applyAlignment="1">
      <alignment vertical="center"/>
    </xf>
    <xf numFmtId="164" fontId="11" fillId="2" borderId="4" xfId="1" applyNumberFormat="1" applyFont="1" applyFill="1" applyBorder="1" applyAlignment="1">
      <alignment vertical="center"/>
    </xf>
    <xf numFmtId="0" fontId="14" fillId="2" borderId="1" xfId="3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13" fillId="2" borderId="0" xfId="3" applyFon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right" vertical="center"/>
    </xf>
    <xf numFmtId="0" fontId="14" fillId="2" borderId="1" xfId="3" applyFont="1" applyFill="1" applyBorder="1" applyAlignment="1">
      <alignment horizontal="left" vertical="center" wrapText="1"/>
    </xf>
  </cellXfs>
  <cellStyles count="7">
    <cellStyle name="Comma" xfId="1" builtinId="3"/>
    <cellStyle name="Comma 2" xfId="2"/>
    <cellStyle name="Comma 4" xfId="4"/>
    <cellStyle name="Normal" xfId="0" builtinId="0"/>
    <cellStyle name="Normal 2" xfId="3"/>
    <cellStyle name="Normal 2 2" xfId="6"/>
    <cellStyle name="Normal_X-5 (Electricity)" xfId="5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effectLst/>
              </a:rPr>
              <a:t>Figure 12.6: Percentage share of water consumption in </a:t>
            </a:r>
            <a:r>
              <a:rPr lang="en-US" sz="1200" b="1" i="0" baseline="0">
                <a:effectLst/>
              </a:rPr>
              <a:t>Villimale', 2020</a:t>
            </a:r>
            <a:endParaRPr lang="en-US" sz="12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33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0F7-443F-85BC-56E56BA4C8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0F7-443F-85BC-56E56BA4C860}"/>
              </c:ext>
            </c:extLst>
          </c:dPt>
          <c:dPt>
            <c:idx val="2"/>
            <c:bubble3D val="0"/>
            <c:spPr>
              <a:solidFill>
                <a:srgbClr val="C7F2F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0F7-443F-85BC-56E56BA4C860}"/>
              </c:ext>
            </c:extLst>
          </c:dPt>
          <c:dLbls>
            <c:dLbl>
              <c:idx val="0"/>
              <c:layout>
                <c:manualLayout>
                  <c:x val="-0.12897742922321626"/>
                  <c:y val="-0.24203803215405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60F7-443F-85BC-56E56BA4C8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'12.7'!$A$10:$A$12</c:f>
              <c:strCache>
                <c:ptCount val="3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</c:strCache>
            </c:strRef>
          </c:cat>
          <c:val>
            <c:numRef>
              <c:f>'12.7'!$L$10:$L$12</c:f>
              <c:numCache>
                <c:formatCode>#,##0</c:formatCode>
                <c:ptCount val="3"/>
                <c:pt idx="0">
                  <c:v>81.575651075283815</c:v>
                </c:pt>
                <c:pt idx="1">
                  <c:v>11.134282804447455</c:v>
                </c:pt>
                <c:pt idx="2">
                  <c:v>7.2900661202687109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99-42A4-B34A-8FFB32FD0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1562099</xdr:colOff>
      <xdr:row>18</xdr:row>
      <xdr:rowOff>142874</xdr:rowOff>
    </xdr:from>
    <xdr:to>
      <xdr:col>12</xdr:col>
      <xdr:colOff>352424</xdr:colOff>
      <xdr:row>39</xdr:row>
      <xdr:rowOff>161924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\Desktop\yearbook%202020%20=update\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W18"/>
  <sheetViews>
    <sheetView tabSelected="1" zoomScaleNormal="100" workbookViewId="0">
      <selection activeCell="S2" sqref="S2"/>
    </sheetView>
  </sheetViews>
  <sheetFormatPr defaultColWidth="9.140625" defaultRowHeight="12.75" x14ac:dyDescent="0.2"/>
  <cols>
    <col min="1" max="1" width="24.5703125" style="7" customWidth="1"/>
    <col min="2" max="12" width="9.140625" style="7"/>
    <col min="13" max="13" width="32" style="7" customWidth="1"/>
    <col min="14" max="14" width="2.28515625" style="7" customWidth="1"/>
    <col min="15" max="16384" width="9.140625" style="7"/>
  </cols>
  <sheetData>
    <row r="1" spans="1:23" ht="19.5" x14ac:dyDescent="0.2">
      <c r="A1" s="36" t="s">
        <v>18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6"/>
      <c r="O1" s="6"/>
      <c r="P1" s="6"/>
      <c r="Q1" s="6"/>
      <c r="R1" s="6"/>
    </row>
    <row r="2" spans="1:23" ht="15" x14ac:dyDescent="0.2">
      <c r="A2" s="37" t="s">
        <v>19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23" s="3" customFormat="1" ht="16.5" x14ac:dyDescent="0.25">
      <c r="B3" s="38" t="s">
        <v>4</v>
      </c>
      <c r="C3" s="38"/>
      <c r="D3" s="38"/>
      <c r="E3" s="38"/>
      <c r="F3" s="39" t="s">
        <v>5</v>
      </c>
      <c r="G3" s="39"/>
      <c r="H3" s="39"/>
      <c r="I3" s="39"/>
      <c r="J3" s="35"/>
      <c r="K3" s="35"/>
      <c r="L3" s="35"/>
      <c r="M3" s="8"/>
      <c r="N3" s="30"/>
      <c r="O3" s="1"/>
      <c r="P3" s="1"/>
      <c r="Q3" s="1"/>
      <c r="R3" s="1"/>
      <c r="S3" s="1"/>
      <c r="T3" s="1"/>
      <c r="U3" s="1"/>
      <c r="V3" s="1"/>
      <c r="W3" s="2"/>
    </row>
    <row r="4" spans="1:23" ht="15.75" x14ac:dyDescent="0.2">
      <c r="A4" s="9" t="s">
        <v>6</v>
      </c>
      <c r="B4" s="10">
        <v>2010</v>
      </c>
      <c r="C4" s="10">
        <v>2011</v>
      </c>
      <c r="D4" s="10">
        <v>2012</v>
      </c>
      <c r="E4" s="10">
        <v>2013</v>
      </c>
      <c r="F4" s="10">
        <v>2014</v>
      </c>
      <c r="G4" s="10">
        <v>2015</v>
      </c>
      <c r="H4" s="10">
        <v>2016</v>
      </c>
      <c r="I4" s="10">
        <v>2017</v>
      </c>
      <c r="J4" s="10">
        <v>2018</v>
      </c>
      <c r="K4" s="10">
        <v>2019</v>
      </c>
      <c r="L4" s="10">
        <v>2020</v>
      </c>
      <c r="M4" s="11" t="s">
        <v>3</v>
      </c>
    </row>
    <row r="5" spans="1:23" ht="15.75" x14ac:dyDescent="0.2">
      <c r="A5" s="12" t="s">
        <v>7</v>
      </c>
      <c r="B5" s="13">
        <f t="shared" ref="B5:J5" si="0">SUM(B6:B8)</f>
        <v>128.46899999999999</v>
      </c>
      <c r="C5" s="13">
        <f t="shared" si="0"/>
        <v>141.505</v>
      </c>
      <c r="D5" s="13">
        <f t="shared" si="0"/>
        <v>172.8</v>
      </c>
      <c r="E5" s="14">
        <f t="shared" si="0"/>
        <v>191.95517000000004</v>
      </c>
      <c r="F5" s="14">
        <f t="shared" si="0"/>
        <v>191.79549</v>
      </c>
      <c r="G5" s="14">
        <f t="shared" si="0"/>
        <v>207.66131999999999</v>
      </c>
      <c r="H5" s="14">
        <f t="shared" si="0"/>
        <v>232.48755999999997</v>
      </c>
      <c r="I5" s="14">
        <f t="shared" si="0"/>
        <v>249.613</v>
      </c>
      <c r="J5" s="14">
        <f t="shared" si="0"/>
        <v>259.83600000000001</v>
      </c>
      <c r="K5" s="14">
        <f t="shared" ref="K5:L5" si="1">SUM(K6:K8)</f>
        <v>272.19952000000001</v>
      </c>
      <c r="L5" s="14">
        <f t="shared" si="1"/>
        <v>278.79802000000018</v>
      </c>
      <c r="M5" s="15" t="s">
        <v>8</v>
      </c>
    </row>
    <row r="6" spans="1:23" ht="15.75" x14ac:dyDescent="0.2">
      <c r="A6" s="16" t="s">
        <v>9</v>
      </c>
      <c r="B6" s="17">
        <f>103588/1000</f>
        <v>103.58799999999999</v>
      </c>
      <c r="C6" s="17">
        <v>120.59399999999999</v>
      </c>
      <c r="D6" s="17">
        <v>147</v>
      </c>
      <c r="E6" s="17">
        <v>158.71820000000002</v>
      </c>
      <c r="F6" s="17">
        <v>162.911</v>
      </c>
      <c r="G6" s="17">
        <v>175.81640999999999</v>
      </c>
      <c r="H6" s="17">
        <v>191.31120999999999</v>
      </c>
      <c r="I6" s="17">
        <v>202.28</v>
      </c>
      <c r="J6" s="17">
        <v>207.833</v>
      </c>
      <c r="K6" s="33">
        <v>214.04016999999999</v>
      </c>
      <c r="L6" s="33">
        <v>227.43130000000014</v>
      </c>
      <c r="M6" s="18" t="s">
        <v>10</v>
      </c>
    </row>
    <row r="7" spans="1:23" ht="15.75" x14ac:dyDescent="0.2">
      <c r="A7" s="16" t="s">
        <v>11</v>
      </c>
      <c r="B7" s="17">
        <f>18390/1000</f>
        <v>18.39</v>
      </c>
      <c r="C7" s="17">
        <v>14.449</v>
      </c>
      <c r="D7" s="17">
        <v>19</v>
      </c>
      <c r="E7" s="17">
        <v>23.310820000000003</v>
      </c>
      <c r="F7" s="17">
        <v>16.90738</v>
      </c>
      <c r="G7" s="17">
        <v>18.244800000000001</v>
      </c>
      <c r="H7" s="17">
        <v>23.895499999999998</v>
      </c>
      <c r="I7" s="17">
        <v>27.135999999999999</v>
      </c>
      <c r="J7" s="17">
        <v>27.835000000000001</v>
      </c>
      <c r="K7" s="33">
        <v>35.595270000000006</v>
      </c>
      <c r="L7" s="33">
        <v>31.042159999999996</v>
      </c>
      <c r="M7" s="18" t="s">
        <v>12</v>
      </c>
    </row>
    <row r="8" spans="1:23" ht="15.75" x14ac:dyDescent="0.2">
      <c r="A8" s="19" t="s">
        <v>13</v>
      </c>
      <c r="B8" s="20">
        <f>6491/1000</f>
        <v>6.4909999999999997</v>
      </c>
      <c r="C8" s="20">
        <v>6.4619999999999997</v>
      </c>
      <c r="D8" s="20">
        <v>6.8</v>
      </c>
      <c r="E8" s="20">
        <v>9.9261499999999998</v>
      </c>
      <c r="F8" s="20">
        <v>11.97711</v>
      </c>
      <c r="G8" s="20">
        <v>13.600110000000003</v>
      </c>
      <c r="H8" s="20">
        <v>17.280850000000001</v>
      </c>
      <c r="I8" s="20">
        <v>20.196999999999999</v>
      </c>
      <c r="J8" s="20">
        <v>24.167999999999999</v>
      </c>
      <c r="K8" s="34">
        <v>22.564079999999997</v>
      </c>
      <c r="L8" s="34">
        <v>20.324559999999998</v>
      </c>
      <c r="M8" s="21" t="s">
        <v>14</v>
      </c>
    </row>
    <row r="9" spans="1:23" ht="15.75" x14ac:dyDescent="0.2">
      <c r="A9" s="4" t="s">
        <v>15</v>
      </c>
      <c r="B9" s="14">
        <f t="shared" ref="B9:G9" si="2">SUM(B10:B12)</f>
        <v>99.999999999999986</v>
      </c>
      <c r="C9" s="14">
        <f t="shared" si="2"/>
        <v>100</v>
      </c>
      <c r="D9" s="14">
        <f t="shared" si="2"/>
        <v>100</v>
      </c>
      <c r="E9" s="14">
        <f t="shared" si="2"/>
        <v>100</v>
      </c>
      <c r="F9" s="14">
        <f t="shared" si="2"/>
        <v>100</v>
      </c>
      <c r="G9" s="14">
        <f t="shared" si="2"/>
        <v>100</v>
      </c>
      <c r="H9" s="14">
        <f>SUM(H10:H12)</f>
        <v>100.00000000000001</v>
      </c>
      <c r="I9" s="14">
        <f>SUM(I10:I12)</f>
        <v>100</v>
      </c>
      <c r="J9" s="14">
        <f>SUM(J10:J12)</f>
        <v>100</v>
      </c>
      <c r="K9" s="14">
        <f>SUM(K10:K12)</f>
        <v>100</v>
      </c>
      <c r="L9" s="14">
        <f>SUM(L10:L12)</f>
        <v>99.999999999999972</v>
      </c>
      <c r="M9" s="15" t="s">
        <v>0</v>
      </c>
    </row>
    <row r="10" spans="1:23" ht="15.75" x14ac:dyDescent="0.2">
      <c r="A10" s="16" t="s">
        <v>9</v>
      </c>
      <c r="B10" s="17">
        <f t="shared" ref="B10:J10" si="3">B6/B5*100</f>
        <v>80.632681814289825</v>
      </c>
      <c r="C10" s="17">
        <f t="shared" si="3"/>
        <v>85.22243030281615</v>
      </c>
      <c r="D10" s="17">
        <f t="shared" si="3"/>
        <v>85.069444444444443</v>
      </c>
      <c r="E10" s="17">
        <f t="shared" si="3"/>
        <v>82.685035261097681</v>
      </c>
      <c r="F10" s="17">
        <f t="shared" si="3"/>
        <v>84.939953489000189</v>
      </c>
      <c r="G10" s="17">
        <f t="shared" si="3"/>
        <v>84.664977570209032</v>
      </c>
      <c r="H10" s="17">
        <f t="shared" si="3"/>
        <v>82.288794290756897</v>
      </c>
      <c r="I10" s="17">
        <f t="shared" si="3"/>
        <v>81.037445966355918</v>
      </c>
      <c r="J10" s="17">
        <f t="shared" si="3"/>
        <v>79.986222078541843</v>
      </c>
      <c r="K10" s="17">
        <f t="shared" ref="K10:L10" si="4">K6/K5*100</f>
        <v>78.63355894235228</v>
      </c>
      <c r="L10" s="17">
        <f t="shared" si="4"/>
        <v>81.575651075283815</v>
      </c>
      <c r="M10" s="18" t="s">
        <v>10</v>
      </c>
      <c r="Q10" s="22"/>
    </row>
    <row r="11" spans="1:23" ht="15.75" x14ac:dyDescent="0.2">
      <c r="A11" s="16" t="s">
        <v>11</v>
      </c>
      <c r="B11" s="17">
        <f t="shared" ref="B11:J11" si="5">B7/B5*100</f>
        <v>14.31473740746795</v>
      </c>
      <c r="C11" s="17">
        <f t="shared" si="5"/>
        <v>10.210946609660436</v>
      </c>
      <c r="D11" s="17">
        <f t="shared" si="5"/>
        <v>10.995370370370368</v>
      </c>
      <c r="E11" s="17">
        <f t="shared" si="5"/>
        <v>12.143887554578498</v>
      </c>
      <c r="F11" s="17">
        <f t="shared" si="5"/>
        <v>8.8153167730899185</v>
      </c>
      <c r="G11" s="17">
        <f t="shared" si="5"/>
        <v>8.7858441812851815</v>
      </c>
      <c r="H11" s="17">
        <f t="shared" si="5"/>
        <v>10.278184346723757</v>
      </c>
      <c r="I11" s="17">
        <f t="shared" si="5"/>
        <v>10.871228661968727</v>
      </c>
      <c r="J11" s="17">
        <f t="shared" si="5"/>
        <v>10.712526362782677</v>
      </c>
      <c r="K11" s="17">
        <f t="shared" ref="K11:L11" si="6">K7/K5*100</f>
        <v>13.076904029808725</v>
      </c>
      <c r="L11" s="17">
        <f t="shared" si="6"/>
        <v>11.134282804447455</v>
      </c>
      <c r="M11" s="18" t="s">
        <v>12</v>
      </c>
    </row>
    <row r="12" spans="1:23" ht="15.75" x14ac:dyDescent="0.2">
      <c r="A12" s="19" t="s">
        <v>13</v>
      </c>
      <c r="B12" s="20">
        <f t="shared" ref="B12:J12" si="7">B8/B5*100</f>
        <v>5.0525807782422216</v>
      </c>
      <c r="C12" s="20">
        <f t="shared" si="7"/>
        <v>4.5666230875234088</v>
      </c>
      <c r="D12" s="20">
        <f t="shared" si="7"/>
        <v>3.9351851851851847</v>
      </c>
      <c r="E12" s="20">
        <f t="shared" si="7"/>
        <v>5.1710771843238179</v>
      </c>
      <c r="F12" s="20">
        <f t="shared" si="7"/>
        <v>6.2447297379098954</v>
      </c>
      <c r="G12" s="20">
        <f t="shared" si="7"/>
        <v>6.5491782485057897</v>
      </c>
      <c r="H12" s="20">
        <f t="shared" si="7"/>
        <v>7.433021362519356</v>
      </c>
      <c r="I12" s="20">
        <f t="shared" si="7"/>
        <v>8.091325371675353</v>
      </c>
      <c r="J12" s="20">
        <f t="shared" si="7"/>
        <v>9.3012515586754709</v>
      </c>
      <c r="K12" s="20">
        <f t="shared" ref="K12:L12" si="8">K8/K5*100</f>
        <v>8.2895370278389908</v>
      </c>
      <c r="L12" s="20">
        <f t="shared" si="8"/>
        <v>7.2900661202687109</v>
      </c>
      <c r="M12" s="21" t="s">
        <v>14</v>
      </c>
    </row>
    <row r="13" spans="1:23" ht="15.75" x14ac:dyDescent="0.2">
      <c r="A13" s="12" t="s">
        <v>1</v>
      </c>
      <c r="B13" s="13">
        <v>3.3007944421215059</v>
      </c>
      <c r="C13" s="13">
        <f t="shared" ref="C13:L16" si="9">(C5-B5)/B5*100</f>
        <v>10.147195043162165</v>
      </c>
      <c r="D13" s="23">
        <f t="shared" si="9"/>
        <v>22.115826295890617</v>
      </c>
      <c r="E13" s="23">
        <f t="shared" si="9"/>
        <v>11.085167824074089</v>
      </c>
      <c r="F13" s="23">
        <f t="shared" si="9"/>
        <v>-8.3186089752121342E-2</v>
      </c>
      <c r="G13" s="23">
        <f t="shared" si="9"/>
        <v>8.2722643791050494</v>
      </c>
      <c r="H13" s="23">
        <f>(H5-G5)/G5*100</f>
        <v>11.955158524466658</v>
      </c>
      <c r="I13" s="23">
        <f>(I5-H5)/H5*100</f>
        <v>7.3661747751148612</v>
      </c>
      <c r="J13" s="23">
        <f>(J5-I5)/I5*100</f>
        <v>4.0955398957586393</v>
      </c>
      <c r="K13" s="23">
        <f>(K5-J5)/J5*100</f>
        <v>4.7582013269908687</v>
      </c>
      <c r="L13" s="23">
        <f>(L5-K5)/K5*100</f>
        <v>2.4241409389701247</v>
      </c>
      <c r="M13" s="15" t="s">
        <v>2</v>
      </c>
    </row>
    <row r="14" spans="1:23" ht="15.75" x14ac:dyDescent="0.2">
      <c r="A14" s="16" t="s">
        <v>9</v>
      </c>
      <c r="B14" s="17">
        <v>7.3339550305667691</v>
      </c>
      <c r="C14" s="17">
        <f t="shared" si="9"/>
        <v>16.416959493377611</v>
      </c>
      <c r="D14" s="24">
        <f t="shared" si="9"/>
        <v>21.896611771729944</v>
      </c>
      <c r="E14" s="24">
        <f t="shared" si="9"/>
        <v>7.9715646258503563</v>
      </c>
      <c r="F14" s="24">
        <f t="shared" si="9"/>
        <v>2.6416630228921298</v>
      </c>
      <c r="G14" s="24">
        <f t="shared" si="9"/>
        <v>7.9217548231856592</v>
      </c>
      <c r="H14" s="24">
        <f t="shared" si="9"/>
        <v>8.813056756192438</v>
      </c>
      <c r="I14" s="24">
        <f t="shared" si="9"/>
        <v>5.7334800192837694</v>
      </c>
      <c r="J14" s="24">
        <f t="shared" si="9"/>
        <v>2.7452046667984957</v>
      </c>
      <c r="K14" s="24">
        <f t="shared" si="9"/>
        <v>2.986614252789495</v>
      </c>
      <c r="L14" s="24">
        <f t="shared" si="9"/>
        <v>6.2563629995248764</v>
      </c>
      <c r="M14" s="18" t="s">
        <v>10</v>
      </c>
    </row>
    <row r="15" spans="1:23" ht="15.75" x14ac:dyDescent="0.2">
      <c r="A15" s="16" t="s">
        <v>11</v>
      </c>
      <c r="B15" s="31">
        <v>-10.558824959875489</v>
      </c>
      <c r="C15" s="31">
        <f t="shared" si="9"/>
        <v>-21.43012506797173</v>
      </c>
      <c r="D15" s="31">
        <f t="shared" si="9"/>
        <v>31.496989411031905</v>
      </c>
      <c r="E15" s="31">
        <f t="shared" si="9"/>
        <v>22.688526315789488</v>
      </c>
      <c r="F15" s="31">
        <f t="shared" si="9"/>
        <v>-27.469818736535235</v>
      </c>
      <c r="G15" s="31">
        <f t="shared" si="9"/>
        <v>7.9102735018672421</v>
      </c>
      <c r="H15" s="31">
        <f t="shared" si="9"/>
        <v>30.971564500570004</v>
      </c>
      <c r="I15" s="31">
        <f t="shared" si="9"/>
        <v>13.561130756837066</v>
      </c>
      <c r="J15" s="31">
        <f t="shared" si="9"/>
        <v>2.5759139150943455</v>
      </c>
      <c r="K15" s="31">
        <f t="shared" si="9"/>
        <v>27.879540147296588</v>
      </c>
      <c r="L15" s="31">
        <f t="shared" si="9"/>
        <v>-12.791334354255524</v>
      </c>
      <c r="M15" s="18" t="s">
        <v>12</v>
      </c>
    </row>
    <row r="16" spans="1:23" ht="15.75" x14ac:dyDescent="0.2">
      <c r="A16" s="25" t="s">
        <v>13</v>
      </c>
      <c r="B16" s="32">
        <v>-10.996846290963944</v>
      </c>
      <c r="C16" s="32">
        <f t="shared" si="9"/>
        <v>-0.44677245416730726</v>
      </c>
      <c r="D16" s="32">
        <f t="shared" si="9"/>
        <v>5.2305787681832268</v>
      </c>
      <c r="E16" s="32">
        <f t="shared" si="9"/>
        <v>45.972794117647062</v>
      </c>
      <c r="F16" s="32">
        <f t="shared" si="9"/>
        <v>20.662190275182223</v>
      </c>
      <c r="G16" s="32">
        <f t="shared" si="9"/>
        <v>13.550848243023591</v>
      </c>
      <c r="H16" s="32">
        <f t="shared" si="9"/>
        <v>27.064045805511849</v>
      </c>
      <c r="I16" s="32">
        <f t="shared" si="9"/>
        <v>16.875037975562535</v>
      </c>
      <c r="J16" s="32">
        <f t="shared" si="9"/>
        <v>19.661335841956728</v>
      </c>
      <c r="K16" s="32">
        <f t="shared" si="9"/>
        <v>-6.6365441906653526</v>
      </c>
      <c r="L16" s="32">
        <f t="shared" si="9"/>
        <v>-9.9251553797008292</v>
      </c>
      <c r="M16" s="26" t="s">
        <v>14</v>
      </c>
    </row>
    <row r="17" spans="1:13" ht="15" x14ac:dyDescent="0.35">
      <c r="A17" s="27" t="s">
        <v>17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5" t="s">
        <v>16</v>
      </c>
    </row>
    <row r="18" spans="1:13" ht="15.75" x14ac:dyDescent="0.4">
      <c r="D18" s="29"/>
      <c r="E18" s="29"/>
      <c r="F18" s="29"/>
      <c r="G18" s="29"/>
      <c r="H18" s="29"/>
      <c r="I18" s="29"/>
      <c r="J18" s="29"/>
      <c r="K18" s="29"/>
      <c r="L18" s="29"/>
    </row>
  </sheetData>
  <mergeCells count="4">
    <mergeCell ref="A1:M1"/>
    <mergeCell ref="A2:M2"/>
    <mergeCell ref="B3:E3"/>
    <mergeCell ref="F3:I3"/>
  </mergeCells>
  <pageMargins left="0.7" right="0.7" top="0.75" bottom="0.75" header="0.3" footer="0.3"/>
  <pageSetup paperSize="9" scale="54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12.7</vt:lpstr>
      <vt:lpstr>'12.7'!Print_Area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2021-08-22T03:28:20Z</cp:lastPrinted>
  <dcterms:created xsi:type="dcterms:W3CDTF">2019-05-21T05:57:01Z</dcterms:created>
  <dcterms:modified xsi:type="dcterms:W3CDTF">2021-08-22T03:46:47Z</dcterms:modified>
</cp:coreProperties>
</file>