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pril 2021\YEARBOOK 2021_ Work from Home\CHECKING\CHECKED\web\12.Electricity and Water\"/>
    </mc:Choice>
  </mc:AlternateContent>
  <bookViews>
    <workbookView xWindow="0" yWindow="0" windowWidth="28800" windowHeight="12330" tabRatio="908"/>
  </bookViews>
  <sheets>
    <sheet name="12.10" sheetId="10" r:id="rId1"/>
  </sheets>
  <externalReferences>
    <externalReference r:id="rId2"/>
    <externalReference r:id="rId3"/>
    <externalReference r:id="rId4"/>
    <externalReference r:id="rId5"/>
  </externalReferences>
  <definedNames>
    <definedName name="Male">'[1]Entry2015 (for male region)'!$A$8:$AAA$67</definedName>
    <definedName name="_xlnm.Print_Area" localSheetId="0">'12.10'!$A$1:$N$22</definedName>
  </definedNames>
  <calcPr calcId="162913" refMode="R1C1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6" i="10" l="1"/>
  <c r="K6" i="10" l="1"/>
  <c r="B18" i="10" l="1"/>
  <c r="B17" i="10"/>
  <c r="B16" i="10"/>
  <c r="B15" i="10"/>
  <c r="B14" i="10"/>
  <c r="B13" i="10"/>
  <c r="B12" i="10"/>
  <c r="B11" i="10"/>
  <c r="B10" i="10"/>
  <c r="B9" i="10"/>
  <c r="B8" i="10"/>
  <c r="B7" i="10"/>
  <c r="J6" i="10"/>
  <c r="I6" i="10"/>
  <c r="H6" i="10"/>
  <c r="G6" i="10"/>
  <c r="F6" i="10"/>
  <c r="E6" i="10"/>
  <c r="D6" i="10"/>
  <c r="C6" i="10"/>
  <c r="B6" i="10" l="1"/>
</calcChain>
</file>

<file path=xl/sharedStrings.xml><?xml version="1.0" encoding="utf-8"?>
<sst xmlns="http://schemas.openxmlformats.org/spreadsheetml/2006/main" count="33" uniqueCount="33">
  <si>
    <t>wlcmuj</t>
  </si>
  <si>
    <t>cCrWm</t>
  </si>
  <si>
    <t>Em</t>
  </si>
  <si>
    <t>cnUj</t>
  </si>
  <si>
    <t>iawluj</t>
  </si>
  <si>
    <t>cDeTimil Inepcmok cjErevcs cDcnea rwTOv ElWm :ctWrwf ivcaedutWmUluawm</t>
  </si>
  <si>
    <t>Source: Male' Water &amp; Sewerage Company Private Limited</t>
  </si>
  <si>
    <r>
      <rPr>
        <b/>
        <sz val="9"/>
        <rFont val="Arial"/>
        <family val="2"/>
      </rPr>
      <t>(In '000 metric tons)</t>
    </r>
    <r>
      <rPr>
        <b/>
        <sz val="10"/>
        <rFont val="Arial"/>
        <family val="2"/>
      </rPr>
      <t xml:space="preserve">   (</t>
    </r>
    <r>
      <rPr>
        <b/>
        <sz val="10"/>
        <rFont val="A_Randhoo Aa"/>
      </rPr>
      <t>cnunwT ckircTem '000)</t>
    </r>
  </si>
  <si>
    <t>Month</t>
  </si>
  <si>
    <t>cswm</t>
  </si>
  <si>
    <t xml:space="preserve"> Total</t>
  </si>
  <si>
    <t>January</t>
  </si>
  <si>
    <t>Irwaunej</t>
  </si>
  <si>
    <t>February</t>
  </si>
  <si>
    <t>Irwaurcbef</t>
  </si>
  <si>
    <t>March</t>
  </si>
  <si>
    <t>April</t>
  </si>
  <si>
    <t>clircpEa</t>
  </si>
  <si>
    <t xml:space="preserve">May </t>
  </si>
  <si>
    <t>June</t>
  </si>
  <si>
    <t>July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</si>
  <si>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</si>
  <si>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</si>
  <si>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</si>
  <si>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</si>
  <si>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</si>
  <si>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</si>
  <si>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</si>
  <si>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</si>
  <si>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</si>
  <si>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</si>
  <si>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Table 12.10 : WATER DISTRIBUTION  IN VILIMALE' BY MONTH,  2010 -  2020</t>
  </si>
  <si>
    <t>2020- 2010 ,urwvcnimunuverukcnunEb cnef iawgIligniliv cnutog eguhwmcswm  : 12.10 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</si>
</sst>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5" formatCode="#,##0.0"/>
  </numFmts>
  <fonts count="15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b/>
      <sz val="10"/>
      <name val="Arial"/>
      <family val="2"/>
    </font>
    <font>
      <b/>
      <sz val="10"/>
      <name val="A_Faseyha"/>
    </font>
    <font>
      <sz val="10"/>
      <name val="Calibri"/>
      <family val="2"/>
      <scheme val="minor"/>
    </font>
    <font>
      <sz val="10"/>
      <name val="A_Faseyha"/>
    </font>
    <font>
      <i/>
      <sz val="9"/>
      <name val="Calibri"/>
      <family val="2"/>
      <scheme val="minor"/>
    </font>
    <font>
      <sz val="9"/>
      <name val="A_Faseyha"/>
    </font>
    <font>
      <b/>
      <sz val="9"/>
      <name val="Arial"/>
      <family val="2"/>
    </font>
    <font>
      <sz val="11"/>
      <name val="Calibri"/>
      <family val="2"/>
      <scheme val="minor"/>
    </font>
    <font>
      <sz val="10"/>
      <name val="Garamond"/>
      <family val="1"/>
    </font>
    <font>
      <sz val="14"/>
      <name val="A_Utheem"/>
    </font>
    <font>
      <b/>
      <sz val="10"/>
      <name val="A_Randhoo Aa"/>
    </font>
    <font>
      <b/>
      <sz val="10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0" fontId="11" fillId="0" borderId="0"/>
    <xf numFmtId="0" fontId="1" fillId="0" borderId="0"/>
  </cellStyleXfs>
  <cellXfs count="28">
    <xf numFmtId="0" fontId="0" fillId="0" borderId="0" xfId="0"/>
    <xf numFmtId="0" fontId="5" fillId="2" borderId="0" xfId="2" applyFont="1" applyFill="1"/>
    <xf numFmtId="0" fontId="7" fillId="2" borderId="0" xfId="4" applyFont="1" applyFill="1"/>
    <xf numFmtId="0" fontId="5" fillId="2" borderId="0" xfId="2" applyFont="1" applyFill="1" applyBorder="1"/>
    <xf numFmtId="0" fontId="12" fillId="2" borderId="0" xfId="2" applyFont="1" applyFill="1" applyAlignment="1">
      <alignment horizontal="center" vertical="center"/>
    </xf>
    <xf numFmtId="0" fontId="11" fillId="2" borderId="0" xfId="4" applyFill="1"/>
    <xf numFmtId="0" fontId="4" fillId="2" borderId="2" xfId="4" applyFont="1" applyFill="1" applyBorder="1" applyAlignment="1">
      <alignment horizontal="right"/>
    </xf>
    <xf numFmtId="0" fontId="4" fillId="2" borderId="0" xfId="4" applyFont="1" applyFill="1" applyBorder="1" applyAlignment="1">
      <alignment horizontal="right"/>
    </xf>
    <xf numFmtId="0" fontId="8" fillId="2" borderId="0" xfId="4" applyFont="1" applyFill="1" applyAlignment="1">
      <alignment horizontal="right"/>
    </xf>
    <xf numFmtId="0" fontId="2" fillId="2" borderId="2" xfId="4" applyFont="1" applyFill="1" applyBorder="1"/>
    <xf numFmtId="0" fontId="2" fillId="2" borderId="2" xfId="4" applyFont="1" applyFill="1" applyBorder="1" applyAlignment="1">
      <alignment horizontal="center" vertical="center"/>
    </xf>
    <xf numFmtId="0" fontId="2" fillId="2" borderId="0" xfId="4" applyFont="1" applyFill="1" applyBorder="1"/>
    <xf numFmtId="165" fontId="2" fillId="2" borderId="0" xfId="4" applyNumberFormat="1" applyFont="1" applyFill="1" applyAlignment="1">
      <alignment horizontal="center"/>
    </xf>
    <xf numFmtId="0" fontId="6" fillId="2" borderId="0" xfId="4" applyFont="1" applyFill="1" applyBorder="1" applyAlignment="1">
      <alignment horizontal="right" indent="1"/>
    </xf>
    <xf numFmtId="0" fontId="6" fillId="2" borderId="1" xfId="4" applyFont="1" applyFill="1" applyBorder="1" applyAlignment="1">
      <alignment horizontal="right" indent="1"/>
    </xf>
    <xf numFmtId="0" fontId="14" fillId="2" borderId="0" xfId="2" applyFont="1" applyFill="1" applyAlignment="1">
      <alignment vertical="center"/>
    </xf>
    <xf numFmtId="0" fontId="3" fillId="2" borderId="1" xfId="2" applyFont="1" applyFill="1" applyBorder="1" applyAlignment="1">
      <alignment horizontal="center" vertical="center"/>
    </xf>
    <xf numFmtId="0" fontId="10" fillId="2" borderId="0" xfId="4" applyFont="1" applyFill="1" applyBorder="1" applyAlignment="1">
      <alignment horizontal="left" vertical="center" indent="1"/>
    </xf>
    <xf numFmtId="165" fontId="10" fillId="2" borderId="0" xfId="2" applyNumberFormat="1" applyFont="1" applyFill="1" applyAlignment="1">
      <alignment horizontal="center" vertical="center"/>
    </xf>
    <xf numFmtId="165" fontId="10" fillId="2" borderId="0" xfId="3" applyNumberFormat="1" applyFont="1" applyFill="1" applyAlignment="1">
      <alignment horizontal="center" vertical="center"/>
    </xf>
    <xf numFmtId="165" fontId="10" fillId="2" borderId="1" xfId="2" applyNumberFormat="1" applyFont="1" applyFill="1" applyBorder="1" applyAlignment="1">
      <alignment horizontal="center" vertical="center"/>
    </xf>
    <xf numFmtId="165" fontId="10" fillId="2" borderId="1" xfId="3" applyNumberFormat="1" applyFont="1" applyFill="1" applyBorder="1" applyAlignment="1">
      <alignment horizontal="center" vertical="center"/>
    </xf>
    <xf numFmtId="0" fontId="10" fillId="2" borderId="1" xfId="4" applyFont="1" applyFill="1" applyBorder="1" applyAlignment="1">
      <alignment horizontal="left" vertical="center" indent="1"/>
    </xf>
    <xf numFmtId="165" fontId="5" fillId="2" borderId="0" xfId="4" applyNumberFormat="1" applyFont="1" applyFill="1" applyBorder="1" applyAlignment="1">
      <alignment horizontal="center"/>
    </xf>
    <xf numFmtId="165" fontId="5" fillId="2" borderId="1" xfId="4" applyNumberFormat="1" applyFont="1" applyFill="1" applyBorder="1" applyAlignment="1">
      <alignment horizontal="center"/>
    </xf>
    <xf numFmtId="0" fontId="4" fillId="2" borderId="0" xfId="2" applyFont="1" applyFill="1" applyAlignment="1">
      <alignment horizontal="center" vertical="center"/>
    </xf>
    <xf numFmtId="0" fontId="3" fillId="2" borderId="0" xfId="2" applyFont="1" applyFill="1" applyBorder="1" applyAlignment="1">
      <alignment horizontal="center" vertical="center"/>
    </xf>
    <xf numFmtId="0" fontId="2" fillId="2" borderId="0" xfId="4" applyFont="1" applyFill="1" applyBorder="1" applyAlignment="1">
      <alignment horizontal="center"/>
    </xf>
  </cellXfs>
  <cellStyles count="6">
    <cellStyle name="Comma 2" xfId="1"/>
    <cellStyle name="Comma 4" xfId="3"/>
    <cellStyle name="Normal" xfId="0" builtinId="0"/>
    <cellStyle name="Normal 2" xfId="2"/>
    <cellStyle name="Normal 2 2" xfId="5"/>
    <cellStyle name="Normal_X-5 (Electricity)" xfId="4"/>
  </cellStyles>
  <dxfs count="0"/>
  <tableStyles count="0" defaultTableStyle="TableStyleMedium2" defaultPivotStyle="PivotStyleLight16"/>
  <colors>
    <mruColors>
      <color rgb="FFC7F2F1"/>
      <color rgb="FFEAFAFA"/>
      <color rgb="FF33CCCC"/>
      <color rgb="FF249390"/>
      <color rgb="FFFF9933"/>
      <color rgb="FFFF9900"/>
      <color rgb="FF196563"/>
      <color rgb="FFF5EADF"/>
      <color rgb="FFDAB48E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01\ST4\Dissemination\Publications\Statistical%20Year%20Book\YEARBOOK%202017\RECEIVED\All%20in%20one%202015(150094)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ohamed\Desktop\yearbook%202020%20=update\12.%20%20ELECTRICITY%20and%20%20WATER..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web\12.%20%20ELECTRICITY%20and%20%20WATER\12.5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RECEIVED\12.%20%20%20WATER%20-%20MWS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>
            <v>0</v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>
            <v>0</v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>
            <v>0</v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>
            <v>0</v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>
            <v>0</v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>
            <v>0</v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>
            <v>0</v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>
            <v>0</v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>
            <v>0</v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>
            <v>0</v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>
            <v>0</v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>
            <v>0</v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>
            <v>0</v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>
            <v>0</v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>
            <v>0</v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>
            <v>0</v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>
            <v>0</v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>
            <v>0</v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>
            <v>0</v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>
            <v>0</v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>
            <v>0</v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>
            <v>0</v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>
            <v>0</v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>
            <v>0</v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>
            <v>0</v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>
            <v>0</v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>
            <v>0</v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>
            <v>0</v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>
            <v>0</v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>
            <v>0</v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>
            <v>0</v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1"/>
      <sheetName val="12.2"/>
      <sheetName val="12.3"/>
      <sheetName val="12.4"/>
      <sheetName val="12.5"/>
      <sheetName val="12.6"/>
      <sheetName val="12.7"/>
      <sheetName val="12.8"/>
      <sheetName val="12.9"/>
      <sheetName val="12.10"/>
      <sheetName val="12.11"/>
      <sheetName val="12.12"/>
      <sheetName val="12.13"/>
      <sheetName val="12.14"/>
    </sheetNames>
    <sheetDataSet>
      <sheetData sheetId="0">
        <row r="4">
          <cell r="B4">
            <v>2009</v>
          </cell>
        </row>
      </sheetData>
      <sheetData sheetId="1" refreshError="1"/>
      <sheetData sheetId="2" refreshError="1"/>
      <sheetData sheetId="3" refreshError="1"/>
      <sheetData sheetId="4">
        <row r="4">
          <cell r="D4" t="str">
            <v>Value (MVR)</v>
          </cell>
        </row>
        <row r="14"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5"/>
    </sheetNames>
    <sheetDataSet>
      <sheetData sheetId="0">
        <row r="14">
          <cell r="T14" t="str">
            <v>Total (Kwh)</v>
          </cell>
          <cell r="U14" t="str">
            <v>Value (MVR)</v>
          </cell>
        </row>
        <row r="15">
          <cell r="S15" t="str">
            <v>Domestic</v>
          </cell>
          <cell r="T15">
            <v>166585834</v>
          </cell>
          <cell r="U15">
            <v>421605340.88050002</v>
          </cell>
        </row>
        <row r="16">
          <cell r="S16" t="str">
            <v>Government</v>
          </cell>
          <cell r="T16">
            <v>32375242</v>
          </cell>
          <cell r="U16">
            <v>137301880.88150001</v>
          </cell>
        </row>
        <row r="17">
          <cell r="S17" t="str">
            <v>Business</v>
          </cell>
          <cell r="T17">
            <v>109946317</v>
          </cell>
          <cell r="U17">
            <v>510097490.05399996</v>
          </cell>
        </row>
        <row r="18">
          <cell r="S18" t="str">
            <v>Special Tariff</v>
          </cell>
          <cell r="T18">
            <v>1552880</v>
          </cell>
          <cell r="U18">
            <v>5279792</v>
          </cell>
        </row>
        <row r="19">
          <cell r="S19" t="str">
            <v>Tertiary Hospital</v>
          </cell>
          <cell r="T19">
            <v>8390390</v>
          </cell>
          <cell r="U19">
            <v>35659157.5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2.8"/>
      <sheetName val="12.9"/>
      <sheetName val="12.10"/>
      <sheetName val="12.11"/>
      <sheetName val="12.12"/>
      <sheetName val="12.13"/>
      <sheetName val="12.14"/>
      <sheetName val="12.15"/>
      <sheetName val="12.16"/>
    </sheetNames>
    <sheetDataSet>
      <sheetData sheetId="0">
        <row r="7">
          <cell r="A7" t="str">
            <v>Residential</v>
          </cell>
          <cell r="K7">
            <v>4915.2939800000004</v>
          </cell>
        </row>
        <row r="8">
          <cell r="A8" t="str">
            <v>Institution</v>
          </cell>
          <cell r="K8">
            <v>616.09299999999996</v>
          </cell>
        </row>
        <row r="9">
          <cell r="A9" t="str">
            <v>Commercial</v>
          </cell>
          <cell r="K9">
            <v>767.10302000000001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2"/>
  <sheetViews>
    <sheetView tabSelected="1" zoomScale="118" zoomScaleNormal="118" workbookViewId="0">
      <selection activeCell="O10" sqref="O10"/>
    </sheetView>
  </sheetViews>
  <sheetFormatPr defaultColWidth="11.28515625" defaultRowHeight="12.75" x14ac:dyDescent="0.2"/>
  <cols>
    <col min="1" max="12" width="11.28515625" style="1"/>
    <col min="13" max="13" width="13.42578125" style="1" customWidth="1"/>
    <col min="14" max="14" width="11.28515625" style="1"/>
    <col min="15" max="15" width="24.5703125" style="1" customWidth="1"/>
    <col min="16" max="16384" width="11.28515625" style="1"/>
  </cols>
  <sheetData>
    <row r="1" spans="1:13" ht="15.75" x14ac:dyDescent="0.2">
      <c r="A1" s="25" t="s">
        <v>32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</row>
    <row r="2" spans="1:13" x14ac:dyDescent="0.2">
      <c r="A2" s="27" t="s">
        <v>31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</row>
    <row r="3" spans="1:13" s="3" customFormat="1" ht="15" x14ac:dyDescent="0.2">
      <c r="A3" s="26" t="s">
        <v>7</v>
      </c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</row>
    <row r="4" spans="1:13" x14ac:dyDescent="0.2">
      <c r="A4" s="16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</row>
    <row r="5" spans="1:13" ht="15.75" x14ac:dyDescent="0.4">
      <c r="A5" s="9" t="s">
        <v>8</v>
      </c>
      <c r="B5" s="10">
        <v>2010</v>
      </c>
      <c r="C5" s="10">
        <v>2011</v>
      </c>
      <c r="D5" s="10">
        <v>2012</v>
      </c>
      <c r="E5" s="10">
        <v>2013</v>
      </c>
      <c r="F5" s="10">
        <v>2014</v>
      </c>
      <c r="G5" s="10">
        <v>2015</v>
      </c>
      <c r="H5" s="10">
        <v>2016</v>
      </c>
      <c r="I5" s="10">
        <v>2017</v>
      </c>
      <c r="J5" s="10">
        <v>2018</v>
      </c>
      <c r="K5" s="10">
        <v>2019</v>
      </c>
      <c r="L5" s="10">
        <v>2020</v>
      </c>
      <c r="M5" s="6" t="s">
        <v>9</v>
      </c>
    </row>
    <row r="6" spans="1:13" ht="15.75" x14ac:dyDescent="0.4">
      <c r="A6" s="11" t="s">
        <v>10</v>
      </c>
      <c r="B6" s="12">
        <f t="shared" ref="B6:J6" si="0">SUM(B7:B18)</f>
        <v>149.21519999999998</v>
      </c>
      <c r="C6" s="12">
        <f t="shared" si="0"/>
        <v>162.01300000000001</v>
      </c>
      <c r="D6" s="12">
        <f t="shared" si="0"/>
        <v>200.73650000000004</v>
      </c>
      <c r="E6" s="12">
        <f t="shared" si="0"/>
        <v>199.63330000000002</v>
      </c>
      <c r="F6" s="12">
        <f t="shared" si="0"/>
        <v>200.12200000000001</v>
      </c>
      <c r="G6" s="12">
        <f t="shared" si="0"/>
        <v>220.3561</v>
      </c>
      <c r="H6" s="12">
        <f t="shared" si="0"/>
        <v>265.65300000000002</v>
      </c>
      <c r="I6" s="12">
        <f t="shared" si="0"/>
        <v>278.57499999999999</v>
      </c>
      <c r="J6" s="12">
        <f t="shared" si="0"/>
        <v>274.12400000000002</v>
      </c>
      <c r="K6" s="12">
        <f t="shared" ref="K6:L6" si="1">SUM(K7:K18)</f>
        <v>284.36799999999999</v>
      </c>
      <c r="L6" s="12">
        <f t="shared" si="1"/>
        <v>287.35700000000003</v>
      </c>
      <c r="M6" s="7" t="s">
        <v>0</v>
      </c>
    </row>
    <row r="7" spans="1:13" ht="15.75" x14ac:dyDescent="0.4">
      <c r="A7" s="17" t="s">
        <v>11</v>
      </c>
      <c r="B7" s="18">
        <f>12006/1000</f>
        <v>12.006</v>
      </c>
      <c r="C7" s="18">
        <v>12.16</v>
      </c>
      <c r="D7" s="19">
        <v>14.749700000000001</v>
      </c>
      <c r="E7" s="19">
        <v>17.236099999999997</v>
      </c>
      <c r="F7" s="19">
        <v>15.821999999999999</v>
      </c>
      <c r="G7" s="19">
        <v>17.667999999999999</v>
      </c>
      <c r="H7" s="19">
        <v>20.492000000000001</v>
      </c>
      <c r="I7" s="19">
        <v>23.09</v>
      </c>
      <c r="J7" s="19">
        <v>23.341999999999999</v>
      </c>
      <c r="K7" s="19">
        <v>23.353000000000002</v>
      </c>
      <c r="L7" s="23">
        <v>24.768999999999998</v>
      </c>
      <c r="M7" s="13" t="s">
        <v>12</v>
      </c>
    </row>
    <row r="8" spans="1:13" ht="15.75" x14ac:dyDescent="0.4">
      <c r="A8" s="17" t="s">
        <v>13</v>
      </c>
      <c r="B8" s="18">
        <f>11311.6/1000</f>
        <v>11.3116</v>
      </c>
      <c r="C8" s="18">
        <v>11.271000000000001</v>
      </c>
      <c r="D8" s="19">
        <v>14.404999999999999</v>
      </c>
      <c r="E8" s="19">
        <v>15.426200000000001</v>
      </c>
      <c r="F8" s="19">
        <v>15.07</v>
      </c>
      <c r="G8" s="19">
        <v>16.524000000000001</v>
      </c>
      <c r="H8" s="19">
        <v>20.562000000000001</v>
      </c>
      <c r="I8" s="19">
        <v>21.858000000000001</v>
      </c>
      <c r="J8" s="19">
        <v>20.917999999999999</v>
      </c>
      <c r="K8" s="19">
        <v>21.32</v>
      </c>
      <c r="L8" s="23">
        <v>22.794</v>
      </c>
      <c r="M8" s="13" t="s">
        <v>14</v>
      </c>
    </row>
    <row r="9" spans="1:13" ht="15.75" x14ac:dyDescent="0.4">
      <c r="A9" s="17" t="s">
        <v>15</v>
      </c>
      <c r="B9" s="18">
        <f>13626.5/1000</f>
        <v>13.6265</v>
      </c>
      <c r="C9" s="18">
        <v>13.747</v>
      </c>
      <c r="D9" s="19">
        <v>17.776900000000001</v>
      </c>
      <c r="E9" s="19">
        <v>18.164000000000001</v>
      </c>
      <c r="F9" s="19">
        <v>16.978999999999999</v>
      </c>
      <c r="G9" s="19">
        <v>18.923999999999999</v>
      </c>
      <c r="H9" s="19">
        <v>22.641999999999999</v>
      </c>
      <c r="I9" s="19">
        <v>25.994</v>
      </c>
      <c r="J9" s="19">
        <v>24.95</v>
      </c>
      <c r="K9" s="19">
        <v>24.286000000000001</v>
      </c>
      <c r="L9" s="23">
        <v>24.481000000000002</v>
      </c>
      <c r="M9" s="13" t="s">
        <v>1</v>
      </c>
    </row>
    <row r="10" spans="1:13" ht="15.75" x14ac:dyDescent="0.4">
      <c r="A10" s="17" t="s">
        <v>16</v>
      </c>
      <c r="B10" s="18">
        <f>13789.6/1000</f>
        <v>13.7896</v>
      </c>
      <c r="C10" s="18">
        <v>13.391</v>
      </c>
      <c r="D10" s="19">
        <v>17.472999999999999</v>
      </c>
      <c r="E10" s="19">
        <v>18.198</v>
      </c>
      <c r="F10" s="19">
        <v>17.344999999999999</v>
      </c>
      <c r="G10" s="19">
        <v>19.065999999999999</v>
      </c>
      <c r="H10" s="19">
        <v>25.564</v>
      </c>
      <c r="I10" s="19">
        <v>23.817</v>
      </c>
      <c r="J10" s="19">
        <v>24.603999999999999</v>
      </c>
      <c r="K10" s="19">
        <v>23.306000000000001</v>
      </c>
      <c r="L10" s="23">
        <v>23.547000000000001</v>
      </c>
      <c r="M10" s="13" t="s">
        <v>17</v>
      </c>
    </row>
    <row r="11" spans="1:13" ht="15.75" x14ac:dyDescent="0.4">
      <c r="A11" s="17" t="s">
        <v>18</v>
      </c>
      <c r="B11" s="18">
        <f>13121.2/1000</f>
        <v>13.1212</v>
      </c>
      <c r="C11" s="18">
        <v>13.359</v>
      </c>
      <c r="D11" s="19">
        <v>18.638200000000001</v>
      </c>
      <c r="E11" s="19">
        <v>17.337</v>
      </c>
      <c r="F11" s="19">
        <v>17.195</v>
      </c>
      <c r="G11" s="19">
        <v>19.175999999999998</v>
      </c>
      <c r="H11" s="19">
        <v>21.483000000000001</v>
      </c>
      <c r="I11" s="19">
        <v>22.988</v>
      </c>
      <c r="J11" s="19">
        <v>24.978999999999999</v>
      </c>
      <c r="K11" s="19">
        <v>24.55</v>
      </c>
      <c r="L11" s="23">
        <v>24.971</v>
      </c>
      <c r="M11" s="13" t="s">
        <v>2</v>
      </c>
    </row>
    <row r="12" spans="1:13" ht="15.75" x14ac:dyDescent="0.4">
      <c r="A12" s="17" t="s">
        <v>19</v>
      </c>
      <c r="B12" s="18">
        <f>13092.5/1000</f>
        <v>13.092499999999999</v>
      </c>
      <c r="C12" s="18">
        <v>14.221</v>
      </c>
      <c r="D12" s="19">
        <v>18.327999999999999</v>
      </c>
      <c r="E12" s="19">
        <v>16.536999999999999</v>
      </c>
      <c r="F12" s="19">
        <v>17.471</v>
      </c>
      <c r="G12" s="19">
        <v>19.530999999999999</v>
      </c>
      <c r="H12" s="19">
        <v>23.012</v>
      </c>
      <c r="I12" s="19">
        <v>23.068999999999999</v>
      </c>
      <c r="J12" s="19">
        <v>23.183</v>
      </c>
      <c r="K12" s="19">
        <v>23.292999999999999</v>
      </c>
      <c r="L12" s="23">
        <v>23.472000000000001</v>
      </c>
      <c r="M12" s="13" t="s">
        <v>3</v>
      </c>
    </row>
    <row r="13" spans="1:13" ht="15.75" x14ac:dyDescent="0.4">
      <c r="A13" s="17" t="s">
        <v>20</v>
      </c>
      <c r="B13" s="18">
        <f>12070.9/1000</f>
        <v>12.0709</v>
      </c>
      <c r="C13" s="18">
        <v>14.153</v>
      </c>
      <c r="D13" s="19">
        <v>19.847000000000001</v>
      </c>
      <c r="E13" s="19">
        <v>18.916</v>
      </c>
      <c r="F13" s="19">
        <v>17.753</v>
      </c>
      <c r="G13" s="19">
        <v>19.111999999999998</v>
      </c>
      <c r="H13" s="19">
        <v>21.681000000000001</v>
      </c>
      <c r="I13" s="19">
        <v>24.292000000000002</v>
      </c>
      <c r="J13" s="19">
        <v>23.437000000000001</v>
      </c>
      <c r="K13" s="19">
        <v>24.111999999999998</v>
      </c>
      <c r="L13" s="23">
        <v>25.038</v>
      </c>
      <c r="M13" s="13" t="s">
        <v>4</v>
      </c>
    </row>
    <row r="14" spans="1:13" ht="15.75" x14ac:dyDescent="0.4">
      <c r="A14" s="17" t="s">
        <v>21</v>
      </c>
      <c r="B14" s="18">
        <f>13026/1000</f>
        <v>13.026</v>
      </c>
      <c r="C14" s="18">
        <v>14.708</v>
      </c>
      <c r="D14" s="19">
        <v>17.097999999999999</v>
      </c>
      <c r="E14" s="19">
        <v>16.727</v>
      </c>
      <c r="F14" s="19">
        <v>16.989999999999998</v>
      </c>
      <c r="G14" s="19">
        <v>19.004000000000001</v>
      </c>
      <c r="H14" s="19">
        <v>22.388000000000002</v>
      </c>
      <c r="I14" s="19">
        <v>23.457999999999998</v>
      </c>
      <c r="J14" s="19">
        <v>23.779</v>
      </c>
      <c r="K14" s="19">
        <v>24.201000000000001</v>
      </c>
      <c r="L14" s="23">
        <v>24.821999999999999</v>
      </c>
      <c r="M14" s="13" t="s">
        <v>22</v>
      </c>
    </row>
    <row r="15" spans="1:13" ht="15.75" x14ac:dyDescent="0.4">
      <c r="A15" s="17" t="s">
        <v>23</v>
      </c>
      <c r="B15" s="18">
        <f>12008.3/1000</f>
        <v>12.008299999999998</v>
      </c>
      <c r="C15" s="18">
        <v>13.673999999999999</v>
      </c>
      <c r="D15" s="19">
        <v>15.651999999999999</v>
      </c>
      <c r="E15" s="19">
        <v>15.872999999999999</v>
      </c>
      <c r="F15" s="19">
        <v>16.288</v>
      </c>
      <c r="G15" s="19">
        <v>17.05</v>
      </c>
      <c r="H15" s="19">
        <v>21.81</v>
      </c>
      <c r="I15" s="19">
        <v>21.858000000000001</v>
      </c>
      <c r="J15" s="19">
        <v>21.460999999999999</v>
      </c>
      <c r="K15" s="19">
        <v>24.637</v>
      </c>
      <c r="L15" s="23">
        <v>23.756</v>
      </c>
      <c r="M15" s="13" t="s">
        <v>24</v>
      </c>
    </row>
    <row r="16" spans="1:13" ht="15.75" x14ac:dyDescent="0.4">
      <c r="A16" s="17" t="s">
        <v>25</v>
      </c>
      <c r="B16" s="18">
        <f>12610/1000</f>
        <v>12.61</v>
      </c>
      <c r="C16" s="18">
        <v>14.371</v>
      </c>
      <c r="D16" s="19">
        <v>15.882999999999999</v>
      </c>
      <c r="E16" s="19">
        <v>15.507999999999999</v>
      </c>
      <c r="F16" s="19">
        <v>16.818999999999999</v>
      </c>
      <c r="G16" s="19">
        <v>18.559999999999999</v>
      </c>
      <c r="H16" s="19">
        <v>22.596</v>
      </c>
      <c r="I16" s="19">
        <v>23.952000000000002</v>
      </c>
      <c r="J16" s="19">
        <v>21.268999999999998</v>
      </c>
      <c r="K16" s="19">
        <v>24.573</v>
      </c>
      <c r="L16" s="23">
        <v>24.04</v>
      </c>
      <c r="M16" s="13" t="s">
        <v>26</v>
      </c>
    </row>
    <row r="17" spans="1:15" ht="15.75" x14ac:dyDescent="0.4">
      <c r="A17" s="17" t="s">
        <v>27</v>
      </c>
      <c r="B17" s="18">
        <f>11198.2/1000</f>
        <v>11.1982</v>
      </c>
      <c r="C17" s="18">
        <v>13.012</v>
      </c>
      <c r="D17" s="19">
        <v>15.821999999999999</v>
      </c>
      <c r="E17" s="19">
        <v>15.173</v>
      </c>
      <c r="F17" s="19">
        <v>16.071999999999999</v>
      </c>
      <c r="G17" s="19">
        <v>17.791</v>
      </c>
      <c r="H17" s="19">
        <v>21.888000000000002</v>
      </c>
      <c r="I17" s="19">
        <v>21.905000000000001</v>
      </c>
      <c r="J17" s="19">
        <v>21.149000000000001</v>
      </c>
      <c r="K17" s="19">
        <v>23.739000000000001</v>
      </c>
      <c r="L17" s="23">
        <v>22.966000000000001</v>
      </c>
      <c r="M17" s="13" t="s">
        <v>28</v>
      </c>
    </row>
    <row r="18" spans="1:15" ht="15.75" x14ac:dyDescent="0.4">
      <c r="A18" s="22" t="s">
        <v>29</v>
      </c>
      <c r="B18" s="20">
        <f>11354.4/1000</f>
        <v>11.3544</v>
      </c>
      <c r="C18" s="20">
        <v>13.946</v>
      </c>
      <c r="D18" s="21">
        <v>15.063700000000001</v>
      </c>
      <c r="E18" s="21">
        <v>14.538</v>
      </c>
      <c r="F18" s="21">
        <v>16.318000000000001</v>
      </c>
      <c r="G18" s="21">
        <v>17.950099999999999</v>
      </c>
      <c r="H18" s="21">
        <v>21.535</v>
      </c>
      <c r="I18" s="21">
        <v>22.294</v>
      </c>
      <c r="J18" s="21">
        <v>21.053000000000001</v>
      </c>
      <c r="K18" s="21">
        <v>22.998000000000001</v>
      </c>
      <c r="L18" s="24">
        <v>22.701000000000001</v>
      </c>
      <c r="M18" s="14" t="s">
        <v>30</v>
      </c>
    </row>
    <row r="19" spans="1:15" ht="15" x14ac:dyDescent="0.35">
      <c r="A19" s="2" t="s">
        <v>6</v>
      </c>
      <c r="M19" s="8" t="s">
        <v>5</v>
      </c>
    </row>
    <row r="22" spans="1:15" s="5" customFormat="1" ht="21.75" x14ac:dyDescent="0.2">
      <c r="F22" s="15"/>
      <c r="G22" s="15"/>
      <c r="H22" s="15"/>
      <c r="I22" s="15"/>
      <c r="J22" s="4"/>
      <c r="K22" s="4"/>
      <c r="L22" s="4"/>
      <c r="M22" s="4"/>
      <c r="N22" s="4"/>
      <c r="O22" s="1"/>
    </row>
  </sheetData>
  <mergeCells count="3">
    <mergeCell ref="A1:M1"/>
    <mergeCell ref="A2:M2"/>
    <mergeCell ref="A3:M3"/>
  </mergeCells>
  <pageMargins left="0.7" right="0.7" top="0.75" bottom="0.75" header="0.3" footer="0.3"/>
  <pageSetup paperSize="9" scale="54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12.10</vt:lpstr>
      <vt:lpstr>'12.10'!Print_Area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2021-08-22T04:08:17Z</cp:lastPrinted>
  <dcterms:created xsi:type="dcterms:W3CDTF">2019-05-21T05:57:01Z</dcterms:created>
  <dcterms:modified xsi:type="dcterms:W3CDTF">2021-08-22T04:08:33Z</dcterms:modified>
</cp:coreProperties>
</file>