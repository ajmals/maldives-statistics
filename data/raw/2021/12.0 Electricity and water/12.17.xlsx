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7" sheetId="27" r:id="rId1"/>
    <sheet name="Sheet1" sheetId="28" r:id="rId2"/>
  </sheets>
  <externalReferences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'12.17'!$A$1:$L$44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7" l="1"/>
  <c r="I7" i="27"/>
  <c r="J7" i="27"/>
  <c r="D7" i="27"/>
  <c r="E7" i="27"/>
  <c r="F7" i="27"/>
  <c r="G7" i="27" l="1"/>
  <c r="C7" i="27"/>
</calcChain>
</file>

<file path=xl/sharedStrings.xml><?xml version="1.0" encoding="utf-8"?>
<sst xmlns="http://schemas.openxmlformats.org/spreadsheetml/2006/main" count="84" uniqueCount="49">
  <si>
    <t>ޖުމްލަ</t>
  </si>
  <si>
    <t>Total</t>
  </si>
  <si>
    <t>HA</t>
  </si>
  <si>
    <t>N</t>
  </si>
  <si>
    <t>R</t>
  </si>
  <si>
    <t>B</t>
  </si>
  <si>
    <t>M</t>
  </si>
  <si>
    <t>F</t>
  </si>
  <si>
    <t>L</t>
  </si>
  <si>
    <t>GA</t>
  </si>
  <si>
    <t>S</t>
  </si>
  <si>
    <t>ރަށުގެ އަދަދު</t>
  </si>
  <si>
    <t>-</t>
  </si>
  <si>
    <t>Source: Ministry of Environment</t>
  </si>
  <si>
    <t>HDh</t>
  </si>
  <si>
    <t>Sh</t>
  </si>
  <si>
    <t>Lh</t>
  </si>
  <si>
    <t>K</t>
  </si>
  <si>
    <t>V</t>
  </si>
  <si>
    <t>Dh</t>
  </si>
  <si>
    <t>Th</t>
  </si>
  <si>
    <t>ތާވަލު 12.19: އެމަޖެންސީގައި ފެންފޯރުކޮށްދެވުނު އަތޮޅުތަކާއި ފޮނުވުނު އަދަދު، 2017 - 2020</t>
  </si>
  <si>
    <t>Table 12.19: Number of  Islands  and quanity of emergency water  supplied by Atolls, 2017 - 2020</t>
  </si>
  <si>
    <t>Atoll</t>
  </si>
  <si>
    <t>No. of islands</t>
  </si>
  <si>
    <t>Quantity (ton)</t>
  </si>
  <si>
    <t>އަތޮޅު</t>
  </si>
  <si>
    <t>ފެން ފޯރުކޮށްދެވުނުނު މިންވަރު  (ޓަނުން)</t>
  </si>
  <si>
    <t>ah</t>
  </si>
  <si>
    <t>dh</t>
  </si>
  <si>
    <t>n</t>
  </si>
  <si>
    <t>r</t>
  </si>
  <si>
    <t>b</t>
  </si>
  <si>
    <t>k</t>
  </si>
  <si>
    <t>AA</t>
  </si>
  <si>
    <t xml:space="preserve"> aa</t>
  </si>
  <si>
    <t>ADh</t>
  </si>
  <si>
    <t>da</t>
  </si>
  <si>
    <t>v</t>
  </si>
  <si>
    <t>m</t>
  </si>
  <si>
    <t>f</t>
  </si>
  <si>
    <t>d</t>
  </si>
  <si>
    <t>t</t>
  </si>
  <si>
    <t>l</t>
  </si>
  <si>
    <t>ag</t>
  </si>
  <si>
    <t>GDh</t>
  </si>
  <si>
    <t>dg</t>
  </si>
  <si>
    <t>Gn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</si>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</sst>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Calibri"/>
      <family val="2"/>
      <scheme val="minor"/>
    </font>
    <font>
      <b/>
      <sz val="10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1"/>
      <color rgb="FFFF0000"/>
      <name val="Calibri"/>
      <family val="2"/>
      <scheme val="minor"/>
    </font>
    <font>
      <b/>
      <sz val="12"/>
      <name val="Faruma"/>
    </font>
    <font>
      <sz val="11"/>
      <name val="Calibri"/>
      <family val="2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Border="1"/>
    <xf numFmtId="0" fontId="12" fillId="2" borderId="0" xfId="0" applyFont="1" applyFill="1" applyAlignment="1"/>
    <xf numFmtId="0" fontId="0" fillId="2" borderId="0" xfId="0" applyFill="1" applyAlignment="1">
      <alignment horizontal="center"/>
    </xf>
    <xf numFmtId="3" fontId="0" fillId="2" borderId="0" xfId="1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center" vertical="center"/>
    </xf>
    <xf numFmtId="0" fontId="13" fillId="2" borderId="0" xfId="0" applyFont="1" applyFill="1" applyAlignment="1">
      <alignment horizontal="right"/>
    </xf>
    <xf numFmtId="0" fontId="6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right" vertical="center"/>
    </xf>
    <xf numFmtId="0" fontId="8" fillId="2" borderId="0" xfId="0" applyFont="1" applyFill="1" applyBorder="1"/>
    <xf numFmtId="168" fontId="16" fillId="2" borderId="0" xfId="0" applyNumberFormat="1" applyFont="1" applyFill="1" applyAlignment="1" applyProtection="1">
      <alignment horizontal="left" vertical="center" indent="2"/>
    </xf>
    <xf numFmtId="3" fontId="4" fillId="2" borderId="0" xfId="0" applyNumberFormat="1" applyFont="1" applyFill="1" applyAlignment="1" applyProtection="1">
      <alignment horizontal="center" vertical="center"/>
    </xf>
    <xf numFmtId="168" fontId="17" fillId="2" borderId="0" xfId="0" applyNumberFormat="1" applyFont="1" applyFill="1" applyAlignment="1">
      <alignment horizontal="right" vertical="center" indent="1"/>
    </xf>
    <xf numFmtId="3" fontId="5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68" fontId="16" fillId="2" borderId="1" xfId="0" applyNumberFormat="1" applyFont="1" applyFill="1" applyBorder="1" applyAlignment="1" applyProtection="1">
      <alignment horizontal="left" vertical="center" indent="2"/>
    </xf>
    <xf numFmtId="3" fontId="4" fillId="2" borderId="1" xfId="0" applyNumberFormat="1" applyFont="1" applyFill="1" applyBorder="1" applyAlignment="1" applyProtection="1">
      <alignment horizontal="center" vertical="center"/>
    </xf>
    <xf numFmtId="168" fontId="17" fillId="2" borderId="1" xfId="0" applyNumberFormat="1" applyFont="1" applyFill="1" applyBorder="1" applyAlignment="1">
      <alignment horizontal="right" vertical="center" indent="1"/>
    </xf>
    <xf numFmtId="0" fontId="8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right"/>
    </xf>
    <xf numFmtId="0" fontId="7" fillId="2" borderId="0" xfId="0" applyFont="1" applyFill="1"/>
    <xf numFmtId="0" fontId="14" fillId="2" borderId="0" xfId="0" applyFont="1" applyFill="1"/>
    <xf numFmtId="3" fontId="0" fillId="2" borderId="1" xfId="1" applyNumberFormat="1" applyFont="1" applyFill="1" applyBorder="1" applyAlignment="1">
      <alignment horizontal="right"/>
    </xf>
    <xf numFmtId="3" fontId="0" fillId="2" borderId="0" xfId="1" applyNumberFormat="1" applyFont="1" applyFill="1" applyBorder="1" applyAlignment="1">
      <alignment horizontal="center"/>
    </xf>
    <xf numFmtId="3" fontId="0" fillId="2" borderId="1" xfId="1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4" fillId="2" borderId="5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3" fontId="5" fillId="2" borderId="5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vertical="center"/>
    </xf>
    <xf numFmtId="3" fontId="3" fillId="2" borderId="4" xfId="1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 2 2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Figure</a:t>
            </a:r>
            <a:r>
              <a:rPr lang="en-US" sz="1100" b="1" baseline="0"/>
              <a:t> 12.10: Number of islands emegengy water provided by Atolls, 2019 - 2020 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253505259747404E-2"/>
          <c:y val="0.10862302483069979"/>
          <c:w val="0.94719647586520539"/>
          <c:h val="0.78107997622049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'12.17'!$E$6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'12.17'!$A$8:$A$25</c:f>
              <c:strCache>
                <c:ptCount val="18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</c:strCache>
            </c:strRef>
          </c:cat>
          <c:val>
            <c:numRef>
              <c:f>'12.17'!$E$8:$E$25</c:f>
              <c:numCache>
                <c:formatCode>#,##0</c:formatCode>
                <c:ptCount val="18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D-4055-B778-2A66CB05F818}"/>
            </c:ext>
          </c:extLst>
        </c:ser>
        <c:ser>
          <c:idx val="1"/>
          <c:order val="1"/>
          <c:tx>
            <c:strRef>
              <c:f>'12.17'!$F$6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'12.17'!$A$8:$A$25</c:f>
              <c:strCache>
                <c:ptCount val="18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</c:strCache>
            </c:strRef>
          </c:cat>
          <c:val>
            <c:numRef>
              <c:f>'12.17'!$F$8:$F$25</c:f>
              <c:numCache>
                <c:formatCode>#,##0</c:formatCode>
                <c:ptCount val="18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D-4055-B778-2A66CB05F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44416"/>
        <c:axId val="48245664"/>
      </c:barChart>
      <c:catAx>
        <c:axId val="482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5664"/>
        <c:crosses val="autoZero"/>
        <c:auto val="1"/>
        <c:lblAlgn val="ctr"/>
        <c:lblOffset val="100"/>
        <c:noMultiLvlLbl val="0"/>
      </c:catAx>
      <c:valAx>
        <c:axId val="482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7F2F1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4416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4555428671776269"/>
          <c:y val="0.15038980588076642"/>
          <c:w val="0.14263837467696991"/>
          <c:h val="7.5058680636545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160374</xdr:colOff>
      <xdr:row>29</xdr:row>
      <xdr:rowOff>5094</xdr:rowOff>
    </xdr:from>
    <xdr:to>
      <xdr:col>10</xdr:col>
      <xdr:colOff>674725</xdr:colOff>
      <xdr:row>42</xdr:row>
      <xdr:rowOff>107655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6"/>
  <sheetViews>
    <sheetView tabSelected="1" zoomScaleNormal="100" workbookViewId="0">
      <selection activeCell="Q4" sqref="Q4"/>
    </sheetView>
  </sheetViews>
  <sheetFormatPr defaultColWidth="9.140625" defaultRowHeight="15" x14ac:dyDescent="0.25"/>
  <cols>
    <col min="1" max="1" width="11.140625" style="2" customWidth="1"/>
    <col min="2" max="2" width="10.7109375" style="2" hidden="1" customWidth="1"/>
    <col min="3" max="5" width="10.7109375" style="2" customWidth="1"/>
    <col min="6" max="6" width="6" style="2" customWidth="1"/>
    <col min="7" max="10" width="9.140625" style="24" customWidth="1"/>
    <col min="11" max="11" width="10.7109375" style="24" customWidth="1"/>
    <col min="12" max="16384" width="9.140625" style="1"/>
  </cols>
  <sheetData>
    <row r="1" spans="1:11" ht="21.75" x14ac:dyDescent="0.25">
      <c r="A1" s="35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s="2" customFormat="1" x14ac:dyDescent="0.25">
      <c r="A2" s="36" t="s">
        <v>22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25">
      <c r="A3" s="8"/>
      <c r="B3" s="8"/>
      <c r="C3" s="8"/>
      <c r="D3" s="8"/>
      <c r="E3" s="8"/>
      <c r="F3" s="8"/>
      <c r="G3" s="44"/>
      <c r="H3" s="44"/>
      <c r="I3" s="44"/>
      <c r="J3" s="44"/>
      <c r="K3" s="8"/>
    </row>
    <row r="4" spans="1:11" x14ac:dyDescent="0.25">
      <c r="A4" s="34" t="s">
        <v>23</v>
      </c>
      <c r="B4" s="33" t="s">
        <v>24</v>
      </c>
      <c r="C4" s="33"/>
      <c r="D4" s="33"/>
      <c r="E4" s="33"/>
      <c r="F4" s="33"/>
      <c r="G4" s="37" t="s">
        <v>25</v>
      </c>
      <c r="H4" s="33"/>
      <c r="I4" s="33"/>
      <c r="J4" s="33"/>
      <c r="K4" s="38" t="s">
        <v>26</v>
      </c>
    </row>
    <row r="5" spans="1:11" ht="18.75" customHeight="1" x14ac:dyDescent="0.25">
      <c r="A5" s="32"/>
      <c r="B5" s="40" t="s">
        <v>11</v>
      </c>
      <c r="C5" s="40"/>
      <c r="D5" s="40"/>
      <c r="E5" s="40"/>
      <c r="F5" s="40"/>
      <c r="G5" s="41" t="s">
        <v>27</v>
      </c>
      <c r="H5" s="40"/>
      <c r="I5" s="40"/>
      <c r="J5" s="40"/>
      <c r="K5" s="31"/>
    </row>
    <row r="6" spans="1:11" x14ac:dyDescent="0.25">
      <c r="A6" s="32"/>
      <c r="B6" s="42"/>
      <c r="C6" s="9">
        <v>2017</v>
      </c>
      <c r="D6" s="9">
        <v>2018</v>
      </c>
      <c r="E6" s="9">
        <v>2019</v>
      </c>
      <c r="F6" s="9">
        <v>2020</v>
      </c>
      <c r="G6" s="45">
        <v>2017</v>
      </c>
      <c r="H6" s="46">
        <v>2018</v>
      </c>
      <c r="I6" s="46">
        <v>2019</v>
      </c>
      <c r="J6" s="46">
        <v>2020</v>
      </c>
      <c r="K6" s="39"/>
    </row>
    <row r="7" spans="1:11" s="13" customFormat="1" ht="21.75" x14ac:dyDescent="0.25">
      <c r="A7" s="10" t="s">
        <v>1</v>
      </c>
      <c r="B7" s="11"/>
      <c r="C7" s="11">
        <f>SUM(C8:C27)</f>
        <v>33</v>
      </c>
      <c r="D7" s="11">
        <f t="shared" ref="D7:F7" si="0">SUM(D8:D27)</f>
        <v>48</v>
      </c>
      <c r="E7" s="11">
        <f t="shared" si="0"/>
        <v>82</v>
      </c>
      <c r="F7" s="11">
        <f t="shared" si="0"/>
        <v>73</v>
      </c>
      <c r="G7" s="53">
        <f>SUM(G8:G27)</f>
        <v>1375.5</v>
      </c>
      <c r="H7" s="54">
        <f t="shared" ref="H7:J7" si="1">SUM(H8:H27)</f>
        <v>1459.528</v>
      </c>
      <c r="I7" s="54">
        <f t="shared" si="1"/>
        <v>3886.67</v>
      </c>
      <c r="J7" s="54">
        <f t="shared" si="1"/>
        <v>3348.9599999999996</v>
      </c>
      <c r="K7" s="12" t="s">
        <v>0</v>
      </c>
    </row>
    <row r="8" spans="1:11" s="4" customFormat="1" ht="15.75" x14ac:dyDescent="0.25">
      <c r="A8" s="14" t="s">
        <v>2</v>
      </c>
      <c r="B8" s="43"/>
      <c r="C8" s="15">
        <v>2</v>
      </c>
      <c r="D8" s="15">
        <v>7</v>
      </c>
      <c r="E8" s="15">
        <v>3</v>
      </c>
      <c r="F8" s="15">
        <v>3</v>
      </c>
      <c r="G8" s="47">
        <v>44</v>
      </c>
      <c r="H8" s="48">
        <v>201.02</v>
      </c>
      <c r="I8" s="48">
        <v>100</v>
      </c>
      <c r="J8" s="48">
        <v>44</v>
      </c>
      <c r="K8" s="16" t="s">
        <v>28</v>
      </c>
    </row>
    <row r="9" spans="1:11" s="4" customFormat="1" ht="15.75" x14ac:dyDescent="0.25">
      <c r="A9" s="14" t="s">
        <v>14</v>
      </c>
      <c r="B9" s="43"/>
      <c r="C9" s="15">
        <v>2</v>
      </c>
      <c r="D9" s="15">
        <v>9</v>
      </c>
      <c r="E9" s="15">
        <v>8</v>
      </c>
      <c r="F9" s="15">
        <v>8</v>
      </c>
      <c r="G9" s="47">
        <v>70</v>
      </c>
      <c r="H9" s="48">
        <v>331.76</v>
      </c>
      <c r="I9" s="48">
        <v>526.67000000000007</v>
      </c>
      <c r="J9" s="48">
        <v>298.17200000000003</v>
      </c>
      <c r="K9" s="16" t="s">
        <v>29</v>
      </c>
    </row>
    <row r="10" spans="1:11" s="4" customFormat="1" ht="15.75" x14ac:dyDescent="0.25">
      <c r="A10" s="14" t="s">
        <v>15</v>
      </c>
      <c r="B10" s="43"/>
      <c r="C10" s="15">
        <v>0</v>
      </c>
      <c r="D10" s="15">
        <v>6</v>
      </c>
      <c r="E10" s="15">
        <v>8</v>
      </c>
      <c r="F10" s="15">
        <v>8</v>
      </c>
      <c r="G10" s="47"/>
      <c r="H10" s="48">
        <v>236.75899999999999</v>
      </c>
      <c r="I10" s="48">
        <v>478</v>
      </c>
      <c r="J10" s="48">
        <v>439.14400000000001</v>
      </c>
      <c r="K10" s="16" t="s">
        <v>10</v>
      </c>
    </row>
    <row r="11" spans="1:11" s="4" customFormat="1" ht="15.75" x14ac:dyDescent="0.25">
      <c r="A11" s="14" t="s">
        <v>3</v>
      </c>
      <c r="B11" s="43"/>
      <c r="C11" s="15">
        <v>3</v>
      </c>
      <c r="D11" s="15">
        <v>8</v>
      </c>
      <c r="E11" s="15">
        <v>11</v>
      </c>
      <c r="F11" s="15">
        <v>7</v>
      </c>
      <c r="G11" s="47">
        <v>98</v>
      </c>
      <c r="H11" s="48">
        <v>279.024</v>
      </c>
      <c r="I11" s="48">
        <v>583</v>
      </c>
      <c r="J11" s="48">
        <v>432.36799999999994</v>
      </c>
      <c r="K11" s="16" t="s">
        <v>30</v>
      </c>
    </row>
    <row r="12" spans="1:11" s="4" customFormat="1" ht="15.75" x14ac:dyDescent="0.25">
      <c r="A12" s="14" t="s">
        <v>4</v>
      </c>
      <c r="B12" s="43"/>
      <c r="C12" s="15">
        <v>1</v>
      </c>
      <c r="D12" s="15">
        <v>4</v>
      </c>
      <c r="E12" s="15">
        <v>7</v>
      </c>
      <c r="F12" s="15">
        <v>7</v>
      </c>
      <c r="G12" s="47">
        <v>15</v>
      </c>
      <c r="H12" s="48">
        <v>80.944000000000003</v>
      </c>
      <c r="I12" s="48">
        <v>225</v>
      </c>
      <c r="J12" s="48">
        <v>162.256</v>
      </c>
      <c r="K12" s="16" t="s">
        <v>31</v>
      </c>
    </row>
    <row r="13" spans="1:11" s="4" customFormat="1" ht="15.75" x14ac:dyDescent="0.25">
      <c r="A13" s="14" t="s">
        <v>5</v>
      </c>
      <c r="B13" s="43"/>
      <c r="C13" s="15">
        <v>2</v>
      </c>
      <c r="D13" s="15">
        <v>6</v>
      </c>
      <c r="E13" s="15">
        <v>9</v>
      </c>
      <c r="F13" s="15">
        <v>5</v>
      </c>
      <c r="G13" s="47">
        <v>40</v>
      </c>
      <c r="H13" s="48">
        <v>140.34500000000003</v>
      </c>
      <c r="I13" s="48">
        <v>232.5</v>
      </c>
      <c r="J13" s="48">
        <v>176</v>
      </c>
      <c r="K13" s="16" t="s">
        <v>32</v>
      </c>
    </row>
    <row r="14" spans="1:11" s="4" customFormat="1" ht="15.75" x14ac:dyDescent="0.25">
      <c r="A14" s="14" t="s">
        <v>16</v>
      </c>
      <c r="B14" s="17"/>
      <c r="C14" s="17">
        <v>0</v>
      </c>
      <c r="D14" s="28" t="s">
        <v>12</v>
      </c>
      <c r="E14" s="17">
        <v>3</v>
      </c>
      <c r="F14" s="17">
        <v>1</v>
      </c>
      <c r="G14" s="49"/>
      <c r="H14" s="48"/>
      <c r="I14" s="48">
        <v>233</v>
      </c>
      <c r="J14" s="48">
        <v>180.64699999999999</v>
      </c>
      <c r="K14" s="16" t="s">
        <v>8</v>
      </c>
    </row>
    <row r="15" spans="1:11" s="4" customFormat="1" ht="15.75" x14ac:dyDescent="0.25">
      <c r="A15" s="14" t="s">
        <v>17</v>
      </c>
      <c r="B15" s="43"/>
      <c r="C15" s="15">
        <v>1</v>
      </c>
      <c r="D15" s="15">
        <v>2</v>
      </c>
      <c r="E15" s="15">
        <v>2</v>
      </c>
      <c r="F15" s="15">
        <v>2</v>
      </c>
      <c r="G15" s="47">
        <v>10</v>
      </c>
      <c r="H15" s="48">
        <v>60</v>
      </c>
      <c r="I15" s="48">
        <v>67.5</v>
      </c>
      <c r="J15" s="48">
        <v>66.896999999999991</v>
      </c>
      <c r="K15" s="16" t="s">
        <v>33</v>
      </c>
    </row>
    <row r="16" spans="1:11" s="4" customFormat="1" ht="15.75" x14ac:dyDescent="0.25">
      <c r="A16" s="14" t="s">
        <v>34</v>
      </c>
      <c r="B16" s="43"/>
      <c r="C16" s="15">
        <v>4</v>
      </c>
      <c r="D16" s="15">
        <v>3</v>
      </c>
      <c r="E16" s="15">
        <v>6</v>
      </c>
      <c r="F16" s="15">
        <v>3</v>
      </c>
      <c r="G16" s="47">
        <v>154</v>
      </c>
      <c r="H16" s="48">
        <v>67.176000000000002</v>
      </c>
      <c r="I16" s="48">
        <v>216</v>
      </c>
      <c r="J16" s="48">
        <v>159.73599999999999</v>
      </c>
      <c r="K16" s="16" t="s">
        <v>35</v>
      </c>
    </row>
    <row r="17" spans="1:17" s="4" customFormat="1" ht="18" customHeight="1" x14ac:dyDescent="0.25">
      <c r="A17" s="14" t="s">
        <v>36</v>
      </c>
      <c r="B17" s="43"/>
      <c r="C17" s="15">
        <v>1</v>
      </c>
      <c r="D17" s="15">
        <v>3</v>
      </c>
      <c r="E17" s="15">
        <v>3</v>
      </c>
      <c r="F17" s="15">
        <v>2</v>
      </c>
      <c r="G17" s="47">
        <v>25</v>
      </c>
      <c r="H17" s="48">
        <v>62.5</v>
      </c>
      <c r="I17" s="48">
        <v>67</v>
      </c>
      <c r="J17" s="48">
        <v>81.89</v>
      </c>
      <c r="K17" s="16" t="s">
        <v>37</v>
      </c>
    </row>
    <row r="18" spans="1:17" s="4" customFormat="1" ht="18" customHeight="1" x14ac:dyDescent="0.25">
      <c r="A18" s="14" t="s">
        <v>18</v>
      </c>
      <c r="B18" s="17"/>
      <c r="C18" s="17">
        <v>1</v>
      </c>
      <c r="D18" s="28" t="s">
        <v>12</v>
      </c>
      <c r="E18" s="17">
        <v>2</v>
      </c>
      <c r="F18" s="17">
        <v>1</v>
      </c>
      <c r="G18" s="49">
        <v>11</v>
      </c>
      <c r="H18" s="48" t="s">
        <v>12</v>
      </c>
      <c r="I18" s="48">
        <v>110</v>
      </c>
      <c r="J18" s="48">
        <v>50</v>
      </c>
      <c r="K18" s="16" t="s">
        <v>38</v>
      </c>
    </row>
    <row r="19" spans="1:17" s="4" customFormat="1" ht="18" customHeight="1" x14ac:dyDescent="0.25">
      <c r="A19" s="14" t="s">
        <v>6</v>
      </c>
      <c r="B19" s="43"/>
      <c r="C19" s="15">
        <v>2</v>
      </c>
      <c r="D19" s="28" t="s">
        <v>12</v>
      </c>
      <c r="E19" s="15">
        <v>2</v>
      </c>
      <c r="F19" s="15">
        <v>4</v>
      </c>
      <c r="G19" s="49">
        <v>35</v>
      </c>
      <c r="H19" s="48" t="s">
        <v>12</v>
      </c>
      <c r="I19" s="48">
        <v>75</v>
      </c>
      <c r="J19" s="48">
        <v>145</v>
      </c>
      <c r="K19" s="16" t="s">
        <v>39</v>
      </c>
    </row>
    <row r="20" spans="1:17" s="4" customFormat="1" ht="18" customHeight="1" x14ac:dyDescent="0.25">
      <c r="A20" s="14" t="s">
        <v>7</v>
      </c>
      <c r="B20" s="43"/>
      <c r="C20" s="15">
        <v>0</v>
      </c>
      <c r="D20" s="28" t="s">
        <v>12</v>
      </c>
      <c r="E20" s="15">
        <v>4</v>
      </c>
      <c r="F20" s="15">
        <v>1</v>
      </c>
      <c r="G20" s="49" t="s">
        <v>12</v>
      </c>
      <c r="H20" s="48" t="s">
        <v>12</v>
      </c>
      <c r="I20" s="48">
        <v>216.5</v>
      </c>
      <c r="J20" s="48">
        <v>50</v>
      </c>
      <c r="K20" s="16" t="s">
        <v>40</v>
      </c>
    </row>
    <row r="21" spans="1:17" s="4" customFormat="1" ht="18" customHeight="1" x14ac:dyDescent="0.25">
      <c r="A21" s="14" t="s">
        <v>19</v>
      </c>
      <c r="B21" s="43"/>
      <c r="C21" s="15">
        <v>3</v>
      </c>
      <c r="D21" s="28" t="s">
        <v>12</v>
      </c>
      <c r="E21" s="15">
        <v>4</v>
      </c>
      <c r="F21" s="15">
        <v>3</v>
      </c>
      <c r="G21" s="49">
        <v>192</v>
      </c>
      <c r="H21" s="48" t="s">
        <v>12</v>
      </c>
      <c r="I21" s="48">
        <v>207</v>
      </c>
      <c r="J21" s="48">
        <v>113.5</v>
      </c>
      <c r="K21" s="16" t="s">
        <v>41</v>
      </c>
      <c r="P21" s="15"/>
    </row>
    <row r="22" spans="1:17" s="4" customFormat="1" ht="18" customHeight="1" x14ac:dyDescent="0.25">
      <c r="A22" s="14" t="s">
        <v>20</v>
      </c>
      <c r="B22" s="43"/>
      <c r="C22" s="15">
        <v>2</v>
      </c>
      <c r="D22" s="28" t="s">
        <v>12</v>
      </c>
      <c r="E22" s="15">
        <v>7</v>
      </c>
      <c r="F22" s="15">
        <v>6</v>
      </c>
      <c r="G22" s="49">
        <v>135</v>
      </c>
      <c r="H22" s="48" t="s">
        <v>12</v>
      </c>
      <c r="I22" s="48">
        <v>404.5</v>
      </c>
      <c r="J22" s="48">
        <v>276.85000000000002</v>
      </c>
      <c r="K22" s="16" t="s">
        <v>42</v>
      </c>
    </row>
    <row r="23" spans="1:17" s="4" customFormat="1" ht="18" customHeight="1" x14ac:dyDescent="0.25">
      <c r="A23" s="14" t="s">
        <v>8</v>
      </c>
      <c r="B23" s="17"/>
      <c r="C23" s="17">
        <v>3</v>
      </c>
      <c r="D23" s="28" t="s">
        <v>12</v>
      </c>
      <c r="E23" s="17">
        <v>2</v>
      </c>
      <c r="F23" s="15">
        <v>5</v>
      </c>
      <c r="G23" s="49">
        <v>165</v>
      </c>
      <c r="H23" s="48" t="s">
        <v>12</v>
      </c>
      <c r="I23" s="48">
        <v>120</v>
      </c>
      <c r="J23" s="48">
        <v>343</v>
      </c>
      <c r="K23" s="16" t="s">
        <v>43</v>
      </c>
    </row>
    <row r="24" spans="1:17" s="4" customFormat="1" ht="18" customHeight="1" x14ac:dyDescent="0.25">
      <c r="A24" s="14" t="s">
        <v>9</v>
      </c>
      <c r="B24" s="43"/>
      <c r="C24" s="15">
        <v>2</v>
      </c>
      <c r="D24" s="28" t="s">
        <v>12</v>
      </c>
      <c r="E24" s="28" t="s">
        <v>12</v>
      </c>
      <c r="F24" s="15">
        <v>4</v>
      </c>
      <c r="G24" s="49">
        <v>83</v>
      </c>
      <c r="H24" s="48" t="s">
        <v>12</v>
      </c>
      <c r="I24" s="48" t="s">
        <v>12</v>
      </c>
      <c r="J24" s="48">
        <v>152.5</v>
      </c>
      <c r="K24" s="16" t="s">
        <v>44</v>
      </c>
    </row>
    <row r="25" spans="1:17" s="4" customFormat="1" ht="18" customHeight="1" x14ac:dyDescent="0.25">
      <c r="A25" s="14" t="s">
        <v>45</v>
      </c>
      <c r="B25" s="43"/>
      <c r="C25" s="15">
        <v>3</v>
      </c>
      <c r="D25" s="28" t="s">
        <v>12</v>
      </c>
      <c r="E25" s="15">
        <v>1</v>
      </c>
      <c r="F25" s="15">
        <v>3</v>
      </c>
      <c r="G25" s="49">
        <v>98.5</v>
      </c>
      <c r="H25" s="48" t="s">
        <v>12</v>
      </c>
      <c r="I25" s="48">
        <v>25</v>
      </c>
      <c r="J25" s="48">
        <v>177</v>
      </c>
      <c r="K25" s="16" t="s">
        <v>46</v>
      </c>
    </row>
    <row r="26" spans="1:17" s="18" customFormat="1" ht="18" customHeight="1" x14ac:dyDescent="0.25">
      <c r="A26" s="14" t="s">
        <v>47</v>
      </c>
      <c r="B26" s="43"/>
      <c r="C26" s="15">
        <v>0</v>
      </c>
      <c r="D26" s="28" t="s">
        <v>12</v>
      </c>
      <c r="E26" s="28" t="s">
        <v>12</v>
      </c>
      <c r="F26" s="15" t="s">
        <v>12</v>
      </c>
      <c r="G26" s="49" t="s">
        <v>12</v>
      </c>
      <c r="H26" s="5" t="s">
        <v>12</v>
      </c>
      <c r="I26" s="5" t="s">
        <v>12</v>
      </c>
      <c r="J26" s="5" t="s">
        <v>12</v>
      </c>
      <c r="K26" s="16" t="s">
        <v>3</v>
      </c>
      <c r="Q26" s="4"/>
    </row>
    <row r="27" spans="1:17" s="22" customFormat="1" ht="18" customHeight="1" x14ac:dyDescent="0.25">
      <c r="A27" s="19" t="s">
        <v>10</v>
      </c>
      <c r="B27" s="20"/>
      <c r="C27" s="20">
        <v>1</v>
      </c>
      <c r="D27" s="29" t="s">
        <v>12</v>
      </c>
      <c r="E27" s="29" t="s">
        <v>12</v>
      </c>
      <c r="F27" s="20" t="s">
        <v>12</v>
      </c>
      <c r="G27" s="50">
        <v>200</v>
      </c>
      <c r="H27" s="27" t="s">
        <v>12</v>
      </c>
      <c r="I27" s="27" t="s">
        <v>12</v>
      </c>
      <c r="J27" s="27" t="s">
        <v>12</v>
      </c>
      <c r="K27" s="21" t="s">
        <v>48</v>
      </c>
      <c r="Q27" s="4"/>
    </row>
    <row r="28" spans="1:17" s="2" customFormat="1" ht="18" customHeight="1" x14ac:dyDescent="0.45">
      <c r="A28" s="23" t="s">
        <v>13</v>
      </c>
      <c r="B28" s="23"/>
      <c r="C28" s="3"/>
      <c r="D28" s="3"/>
      <c r="E28" s="3"/>
      <c r="F28" s="3"/>
      <c r="G28" s="51"/>
      <c r="H28" s="51"/>
      <c r="I28" s="51"/>
      <c r="J28" s="51"/>
      <c r="K28" s="7"/>
    </row>
    <row r="29" spans="1:17" s="2" customFormat="1" ht="15" customHeight="1" x14ac:dyDescent="0.25">
      <c r="A29" s="6"/>
      <c r="B29" s="6"/>
      <c r="C29" s="6"/>
      <c r="D29" s="6"/>
      <c r="E29" s="6"/>
      <c r="F29" s="6"/>
      <c r="G29" s="52"/>
      <c r="H29" s="52"/>
      <c r="I29" s="52"/>
      <c r="J29" s="52"/>
      <c r="K29" s="23"/>
    </row>
    <row r="30" spans="1:17" ht="34.9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23"/>
      <c r="M30" s="23"/>
      <c r="N30" s="23"/>
    </row>
    <row r="31" spans="1:17" ht="17.25" x14ac:dyDescent="0.25">
      <c r="K31" s="23"/>
      <c r="L31" s="23"/>
      <c r="M31" s="23"/>
      <c r="N31" s="23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50" spans="1:11" s="25" customFormat="1" x14ac:dyDescent="0.25">
      <c r="A50" s="2"/>
      <c r="B50" s="2"/>
      <c r="C50" s="2"/>
      <c r="D50" s="2"/>
      <c r="E50" s="2"/>
      <c r="F50" s="2"/>
      <c r="G50" s="24"/>
      <c r="H50" s="24"/>
      <c r="I50" s="24"/>
      <c r="J50" s="24"/>
      <c r="K50" s="24"/>
    </row>
    <row r="76" spans="1:11" s="26" customFormat="1" x14ac:dyDescent="0.25">
      <c r="A76" s="2"/>
      <c r="B76" s="2"/>
      <c r="C76" s="2"/>
      <c r="D76" s="2"/>
      <c r="E76" s="2"/>
      <c r="F76" s="2"/>
      <c r="G76" s="24"/>
      <c r="H76" s="24"/>
      <c r="I76" s="24"/>
      <c r="J76" s="24"/>
      <c r="K76" s="24"/>
    </row>
  </sheetData>
  <mergeCells count="9">
    <mergeCell ref="A30:K30"/>
    <mergeCell ref="A1:K1"/>
    <mergeCell ref="A2:K2"/>
    <mergeCell ref="A4:A6"/>
    <mergeCell ref="B4:F4"/>
    <mergeCell ref="G4:J4"/>
    <mergeCell ref="K4:K6"/>
    <mergeCell ref="B5:F5"/>
    <mergeCell ref="G5:J5"/>
  </mergeCells>
  <pageMargins left="0.7" right="0.7" top="0.75" bottom="0.75" header="0.3" footer="0.3"/>
  <pageSetup paperSize="9" scale="85" orientation="portrait" horizontalDpi="4294967295" verticalDpi="4294967295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" sqref="J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12.17</vt:lpstr>
      <vt:lpstr>Sheet1</vt:lpstr>
      <vt:lpstr>'12.17'!Print_Area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2021-08-23T04:08:31Z</cp:lastPrinted>
  <dcterms:created xsi:type="dcterms:W3CDTF">2019-05-21T05:57:01Z</dcterms:created>
  <dcterms:modified xsi:type="dcterms:W3CDTF">2021-08-23T04:09:07Z</dcterms:modified>
</cp:coreProperties>
</file>