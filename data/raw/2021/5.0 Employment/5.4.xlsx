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5. Employment\"/>
    </mc:Choice>
  </mc:AlternateContent>
  <bookViews>
    <workbookView xWindow="0" yWindow="0" windowWidth="28800" windowHeight="12330" tabRatio="736"/>
  </bookViews>
  <sheets>
    <sheet name="5.4" sheetId="15" r:id="rId1"/>
  </sheets>
  <externalReferences>
    <externalReference r:id="rId2"/>
  </externalReferences>
  <definedNames>
    <definedName name="_xlnm.Print_Area" localSheetId="0">'5.4'!$A$1:$G$228</definedName>
    <definedName name="_xlnm.Print_Titles" localSheetId="0">'5.4'!$5:$6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5" i="15" l="1"/>
  <c r="E224" i="15"/>
  <c r="E223" i="15"/>
  <c r="E222" i="15"/>
  <c r="E221" i="15"/>
  <c r="E220" i="15"/>
  <c r="G219" i="15"/>
  <c r="F219" i="15"/>
  <c r="E218" i="15"/>
  <c r="G217" i="15"/>
  <c r="F217" i="15"/>
  <c r="E217" i="15" s="1"/>
  <c r="E216" i="15"/>
  <c r="E215" i="15"/>
  <c r="E214" i="15"/>
  <c r="E213" i="15"/>
  <c r="E212" i="15"/>
  <c r="E211" i="15"/>
  <c r="E210" i="15"/>
  <c r="E209" i="15"/>
  <c r="E208" i="15"/>
  <c r="E207" i="15"/>
  <c r="G206" i="15"/>
  <c r="F206" i="15"/>
  <c r="E205" i="15"/>
  <c r="E204" i="15"/>
  <c r="E203" i="15"/>
  <c r="E202" i="15"/>
  <c r="E201" i="15"/>
  <c r="E200" i="15"/>
  <c r="E199" i="15"/>
  <c r="E198" i="15"/>
  <c r="E197" i="15"/>
  <c r="E196" i="15"/>
  <c r="G195" i="15"/>
  <c r="F195" i="15"/>
  <c r="E194" i="15"/>
  <c r="E193" i="15"/>
  <c r="E192" i="15"/>
  <c r="E191" i="15"/>
  <c r="E190" i="15"/>
  <c r="E189" i="15"/>
  <c r="E188" i="15"/>
  <c r="E187" i="15"/>
  <c r="E186" i="15"/>
  <c r="E185" i="15"/>
  <c r="E184" i="15"/>
  <c r="E183" i="15"/>
  <c r="G182" i="15"/>
  <c r="E182" i="15" s="1"/>
  <c r="F182" i="15"/>
  <c r="E181" i="15"/>
  <c r="E180" i="15"/>
  <c r="E179" i="15"/>
  <c r="E178" i="15"/>
  <c r="E177" i="15"/>
  <c r="E176" i="15"/>
  <c r="E175" i="15"/>
  <c r="E174" i="15"/>
  <c r="E173" i="15"/>
  <c r="E172" i="15"/>
  <c r="E171" i="15"/>
  <c r="E170" i="15"/>
  <c r="E169" i="15"/>
  <c r="G168" i="15"/>
  <c r="F168" i="15"/>
  <c r="E168" i="15" s="1"/>
  <c r="E167" i="15"/>
  <c r="E166" i="15"/>
  <c r="E165" i="15"/>
  <c r="E164" i="15"/>
  <c r="E163" i="15"/>
  <c r="E162" i="15"/>
  <c r="E161" i="15"/>
  <c r="G160" i="15"/>
  <c r="F160" i="15"/>
  <c r="E160" i="15"/>
  <c r="E159" i="15"/>
  <c r="E158" i="15"/>
  <c r="E157" i="15"/>
  <c r="E156" i="15"/>
  <c r="E155" i="15"/>
  <c r="G154" i="15"/>
  <c r="F154" i="15"/>
  <c r="E154" i="15"/>
  <c r="E153" i="15"/>
  <c r="E152" i="15"/>
  <c r="E151" i="15"/>
  <c r="E150" i="15"/>
  <c r="E149" i="15"/>
  <c r="E148" i="15"/>
  <c r="E147" i="15"/>
  <c r="E146" i="15"/>
  <c r="G145" i="15"/>
  <c r="F145" i="15"/>
  <c r="E144" i="15"/>
  <c r="E143" i="15"/>
  <c r="E142" i="15"/>
  <c r="E141" i="15"/>
  <c r="E140" i="15"/>
  <c r="G139" i="15"/>
  <c r="F139" i="15"/>
  <c r="E139" i="15" s="1"/>
  <c r="E138" i="15"/>
  <c r="E137" i="15"/>
  <c r="E136" i="15"/>
  <c r="E135" i="15"/>
  <c r="E134" i="15"/>
  <c r="E133" i="15"/>
  <c r="E132" i="15"/>
  <c r="E131" i="15"/>
  <c r="E130" i="15"/>
  <c r="E129" i="15"/>
  <c r="G128" i="15"/>
  <c r="F128" i="15"/>
  <c r="E128" i="15" s="1"/>
  <c r="E127" i="15"/>
  <c r="E126" i="15"/>
  <c r="E125" i="15"/>
  <c r="E124" i="15"/>
  <c r="E123" i="15"/>
  <c r="E122" i="15"/>
  <c r="E121" i="15"/>
  <c r="E120" i="15"/>
  <c r="G119" i="15"/>
  <c r="F119" i="15"/>
  <c r="E119" i="15" s="1"/>
  <c r="E118" i="15"/>
  <c r="E117" i="15"/>
  <c r="E116" i="15"/>
  <c r="E115" i="15"/>
  <c r="E114" i="15"/>
  <c r="E113" i="15"/>
  <c r="E112" i="15"/>
  <c r="E111" i="15"/>
  <c r="E110" i="15"/>
  <c r="G109" i="15"/>
  <c r="F109" i="15"/>
  <c r="E108" i="15"/>
  <c r="E107" i="15"/>
  <c r="E106" i="15"/>
  <c r="E105" i="15"/>
  <c r="E104" i="15"/>
  <c r="G103" i="15"/>
  <c r="F103" i="15"/>
  <c r="E103" i="15" s="1"/>
  <c r="E102" i="15"/>
  <c r="E101" i="15"/>
  <c r="E100" i="15"/>
  <c r="E99" i="15"/>
  <c r="E98" i="15"/>
  <c r="E97" i="15"/>
  <c r="E96" i="15"/>
  <c r="E95" i="15"/>
  <c r="E94" i="15"/>
  <c r="E93" i="15"/>
  <c r="E92" i="15"/>
  <c r="E91" i="15"/>
  <c r="E90" i="15"/>
  <c r="G89" i="15"/>
  <c r="F89" i="15"/>
  <c r="E89" i="15" s="1"/>
  <c r="E88" i="15"/>
  <c r="E87" i="15"/>
  <c r="E86" i="15"/>
  <c r="E85" i="15"/>
  <c r="E84" i="15"/>
  <c r="E83" i="15"/>
  <c r="E82" i="15"/>
  <c r="E81" i="15"/>
  <c r="E80" i="15"/>
  <c r="E79" i="15"/>
  <c r="E78" i="15"/>
  <c r="E77" i="15"/>
  <c r="E76" i="15"/>
  <c r="E75" i="15"/>
  <c r="E74" i="15"/>
  <c r="G73" i="15"/>
  <c r="F73" i="15"/>
  <c r="E72" i="15"/>
  <c r="E71" i="15"/>
  <c r="E70" i="15"/>
  <c r="E69" i="15"/>
  <c r="E68" i="15"/>
  <c r="E67" i="15"/>
  <c r="E66" i="15"/>
  <c r="E65" i="15"/>
  <c r="E64" i="15"/>
  <c r="E63" i="15"/>
  <c r="E62" i="15"/>
  <c r="E61" i="15"/>
  <c r="E60" i="15"/>
  <c r="G59" i="15"/>
  <c r="F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G43" i="15"/>
  <c r="F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G28" i="15"/>
  <c r="F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G13" i="15"/>
  <c r="F13" i="15"/>
  <c r="E11" i="15"/>
  <c r="E10" i="15"/>
  <c r="E9" i="15"/>
  <c r="E8" i="15"/>
  <c r="E109" i="15" l="1"/>
  <c r="E59" i="15"/>
  <c r="E219" i="15"/>
  <c r="E206" i="15"/>
  <c r="E195" i="15"/>
  <c r="E145" i="15"/>
  <c r="E73" i="15"/>
  <c r="E43" i="15"/>
  <c r="E28" i="15"/>
  <c r="E13" i="15"/>
  <c r="F12" i="15"/>
  <c r="G12" i="15"/>
  <c r="G7" i="15" s="1"/>
  <c r="C109" i="15"/>
  <c r="B110" i="15"/>
  <c r="C13" i="15"/>
  <c r="E12" i="15" l="1"/>
  <c r="F7" i="15"/>
  <c r="E7" i="15" s="1"/>
  <c r="B225" i="15" l="1"/>
  <c r="B224" i="15"/>
  <c r="B223" i="15"/>
  <c r="B222" i="15"/>
  <c r="B221" i="15"/>
  <c r="B220" i="15"/>
  <c r="D219" i="15"/>
  <c r="C219" i="15"/>
  <c r="B219" i="15" s="1"/>
  <c r="B218" i="15"/>
  <c r="D217" i="15"/>
  <c r="C217" i="15"/>
  <c r="B217" i="15" s="1"/>
  <c r="B216" i="15"/>
  <c r="B215" i="15"/>
  <c r="B214" i="15"/>
  <c r="B213" i="15"/>
  <c r="B212" i="15"/>
  <c r="B211" i="15"/>
  <c r="B210" i="15"/>
  <c r="B209" i="15"/>
  <c r="B208" i="15"/>
  <c r="B207" i="15"/>
  <c r="D206" i="15"/>
  <c r="C206" i="15"/>
  <c r="B206" i="15" s="1"/>
  <c r="B205" i="15"/>
  <c r="B204" i="15"/>
  <c r="B203" i="15"/>
  <c r="B202" i="15"/>
  <c r="B201" i="15"/>
  <c r="B200" i="15"/>
  <c r="B199" i="15"/>
  <c r="B198" i="15"/>
  <c r="B197" i="15"/>
  <c r="B196" i="15"/>
  <c r="D195" i="15"/>
  <c r="C195" i="15"/>
  <c r="C12" i="15" s="1"/>
  <c r="B194" i="15"/>
  <c r="B193" i="15"/>
  <c r="B192" i="15"/>
  <c r="B191" i="15"/>
  <c r="B190" i="15"/>
  <c r="B189" i="15"/>
  <c r="B188" i="15"/>
  <c r="B187" i="15"/>
  <c r="B186" i="15"/>
  <c r="B185" i="15"/>
  <c r="B184" i="15"/>
  <c r="B183" i="15"/>
  <c r="D182" i="15"/>
  <c r="C182" i="15"/>
  <c r="B181" i="15"/>
  <c r="B180" i="15"/>
  <c r="B179" i="15"/>
  <c r="B178" i="15"/>
  <c r="B177" i="15"/>
  <c r="B176" i="15"/>
  <c r="B175" i="15"/>
  <c r="B174" i="15"/>
  <c r="B173" i="15"/>
  <c r="B172" i="15"/>
  <c r="B171" i="15"/>
  <c r="B170" i="15"/>
  <c r="B169" i="15"/>
  <c r="D168" i="15"/>
  <c r="C168" i="15"/>
  <c r="B168" i="15" s="1"/>
  <c r="B167" i="15"/>
  <c r="B166" i="15"/>
  <c r="B165" i="15"/>
  <c r="B164" i="15"/>
  <c r="B163" i="15"/>
  <c r="B162" i="15"/>
  <c r="B161" i="15"/>
  <c r="D160" i="15"/>
  <c r="C160" i="15"/>
  <c r="B160" i="15"/>
  <c r="B159" i="15"/>
  <c r="B158" i="15"/>
  <c r="B157" i="15"/>
  <c r="B156" i="15"/>
  <c r="B155" i="15"/>
  <c r="D154" i="15"/>
  <c r="C154" i="15"/>
  <c r="B154" i="15"/>
  <c r="B153" i="15"/>
  <c r="B152" i="15"/>
  <c r="B151" i="15"/>
  <c r="B150" i="15"/>
  <c r="B149" i="15"/>
  <c r="B148" i="15"/>
  <c r="B147" i="15"/>
  <c r="B146" i="15"/>
  <c r="D145" i="15"/>
  <c r="C145" i="15"/>
  <c r="B145" i="15" s="1"/>
  <c r="B144" i="15"/>
  <c r="B143" i="15"/>
  <c r="B142" i="15"/>
  <c r="B141" i="15"/>
  <c r="B140" i="15"/>
  <c r="D139" i="15"/>
  <c r="C139" i="15"/>
  <c r="B139" i="15" s="1"/>
  <c r="B138" i="15"/>
  <c r="B137" i="15"/>
  <c r="B136" i="15"/>
  <c r="B135" i="15"/>
  <c r="B134" i="15"/>
  <c r="B133" i="15"/>
  <c r="B132" i="15"/>
  <c r="B131" i="15"/>
  <c r="B130" i="15"/>
  <c r="B129" i="15"/>
  <c r="D128" i="15"/>
  <c r="C128" i="15"/>
  <c r="B128" i="15"/>
  <c r="B127" i="15"/>
  <c r="B126" i="15"/>
  <c r="B125" i="15"/>
  <c r="B124" i="15"/>
  <c r="B123" i="15"/>
  <c r="B122" i="15"/>
  <c r="B121" i="15"/>
  <c r="B120" i="15"/>
  <c r="D119" i="15"/>
  <c r="C119" i="15"/>
  <c r="B119" i="15" s="1"/>
  <c r="B118" i="15"/>
  <c r="B117" i="15"/>
  <c r="B116" i="15"/>
  <c r="B115" i="15"/>
  <c r="B114" i="15"/>
  <c r="B113" i="15"/>
  <c r="B112" i="15"/>
  <c r="B111" i="15"/>
  <c r="D109" i="15"/>
  <c r="B109" i="15" s="1"/>
  <c r="B108" i="15"/>
  <c r="B107" i="15"/>
  <c r="B106" i="15"/>
  <c r="B105" i="15"/>
  <c r="B104" i="15"/>
  <c r="D103" i="15"/>
  <c r="B103" i="15" s="1"/>
  <c r="C103" i="15"/>
  <c r="B102" i="15"/>
  <c r="B101" i="15"/>
  <c r="B100" i="15"/>
  <c r="B99" i="15"/>
  <c r="B98" i="15"/>
  <c r="B97" i="15"/>
  <c r="B96" i="15"/>
  <c r="B95" i="15"/>
  <c r="B94" i="15"/>
  <c r="B93" i="15"/>
  <c r="B92" i="15"/>
  <c r="B91" i="15"/>
  <c r="B90" i="15"/>
  <c r="D89" i="15"/>
  <c r="B89" i="15" s="1"/>
  <c r="C89" i="15"/>
  <c r="B88" i="15"/>
  <c r="B87" i="15"/>
  <c r="B86" i="15"/>
  <c r="B85" i="15"/>
  <c r="B84" i="15"/>
  <c r="B83" i="15"/>
  <c r="B82" i="15"/>
  <c r="B81" i="15"/>
  <c r="B80" i="15"/>
  <c r="B79" i="15"/>
  <c r="B78" i="15"/>
  <c r="B77" i="15"/>
  <c r="B76" i="15"/>
  <c r="B75" i="15"/>
  <c r="B74" i="15"/>
  <c r="D73" i="15"/>
  <c r="C73" i="15"/>
  <c r="B72" i="15"/>
  <c r="B71" i="15"/>
  <c r="B70" i="15"/>
  <c r="B69" i="15"/>
  <c r="B68" i="15"/>
  <c r="B67" i="15"/>
  <c r="B66" i="15"/>
  <c r="B65" i="15"/>
  <c r="B64" i="15"/>
  <c r="B63" i="15"/>
  <c r="B62" i="15"/>
  <c r="B61" i="15"/>
  <c r="B60" i="15"/>
  <c r="D59" i="15"/>
  <c r="C59" i="15"/>
  <c r="B59" i="15" s="1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D43" i="15"/>
  <c r="C43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 s="1"/>
  <c r="D28" i="15"/>
  <c r="C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D13" i="15"/>
  <c r="D12" i="15" s="1"/>
  <c r="D7" i="15" s="1"/>
  <c r="B11" i="15"/>
  <c r="B10" i="15"/>
  <c r="B9" i="15"/>
  <c r="B8" i="15"/>
  <c r="B195" i="15" l="1"/>
  <c r="B182" i="15"/>
  <c r="B73" i="15"/>
  <c r="B13" i="15"/>
  <c r="C7" i="15"/>
  <c r="B7" i="15" s="1"/>
  <c r="B12" i="15"/>
</calcChain>
</file>

<file path=xl/sharedStrings.xml><?xml version="1.0" encoding="utf-8"?>
<sst xmlns="http://schemas.openxmlformats.org/spreadsheetml/2006/main" count="230" uniqueCount="210">
  <si>
    <t>Republic</t>
  </si>
  <si>
    <t>Male'</t>
  </si>
  <si>
    <t>Male</t>
  </si>
  <si>
    <t>Female</t>
  </si>
  <si>
    <t>Source: Civil Service Commision</t>
  </si>
  <si>
    <t>މަޢުލޫމާތު ދެއްވި ފަރާތް: ސިވިލް ސަރވިސް ކޮމިޝަން</t>
  </si>
  <si>
    <t xml:space="preserve">Total </t>
  </si>
  <si>
    <t>Hulhumale'</t>
  </si>
  <si>
    <t>Baarah</t>
  </si>
  <si>
    <t>Dhidhdhoo</t>
  </si>
  <si>
    <t>Filladhoo</t>
  </si>
  <si>
    <t>Hoarafushi</t>
  </si>
  <si>
    <t>Ihavandhoo</t>
  </si>
  <si>
    <t>Kelaa</t>
  </si>
  <si>
    <t>Maarandhoo</t>
  </si>
  <si>
    <t>Molhadhoo</t>
  </si>
  <si>
    <t>Muraidhoo</t>
  </si>
  <si>
    <t>Thakandhoo</t>
  </si>
  <si>
    <t>Utheemu</t>
  </si>
  <si>
    <t>Vashafaru</t>
  </si>
  <si>
    <t>Finey</t>
  </si>
  <si>
    <t>Hanimaadhoo</t>
  </si>
  <si>
    <t>Hirimaradhoo</t>
  </si>
  <si>
    <t>Kulhudhuffushi</t>
  </si>
  <si>
    <t>Kumundhoo</t>
  </si>
  <si>
    <t>Makunudhoo</t>
  </si>
  <si>
    <t>Naivaadhoo</t>
  </si>
  <si>
    <t>Nellaidhoo</t>
  </si>
  <si>
    <t>Neykurendhoo</t>
  </si>
  <si>
    <t>Nolhivaranfaru</t>
  </si>
  <si>
    <t>Vaikaradhoo</t>
  </si>
  <si>
    <t>Feevah</t>
  </si>
  <si>
    <t>Feydhoo</t>
  </si>
  <si>
    <t>Foakaidhoo</t>
  </si>
  <si>
    <t>Funadhoo</t>
  </si>
  <si>
    <t>Goidhoo</t>
  </si>
  <si>
    <t>Kanditheemu</t>
  </si>
  <si>
    <t>Komandoo</t>
  </si>
  <si>
    <t>Lhaimagu</t>
  </si>
  <si>
    <t>Maroshi</t>
  </si>
  <si>
    <t>Milandhoo</t>
  </si>
  <si>
    <t>Narudhoo</t>
  </si>
  <si>
    <t>Noomaraa</t>
  </si>
  <si>
    <t>Fodhdhoo</t>
  </si>
  <si>
    <t>Holhudhoo</t>
  </si>
  <si>
    <t>Kudafari</t>
  </si>
  <si>
    <t>Landhoo</t>
  </si>
  <si>
    <t>Lhohi</t>
  </si>
  <si>
    <t>Maafaru</t>
  </si>
  <si>
    <t>Maalhendhoo</t>
  </si>
  <si>
    <t>Magoodhoo</t>
  </si>
  <si>
    <t>Manadhoo</t>
  </si>
  <si>
    <t>Miladhoo</t>
  </si>
  <si>
    <t>Velidhoo</t>
  </si>
  <si>
    <t>Alifushi</t>
  </si>
  <si>
    <t>Angolhitheemu</t>
  </si>
  <si>
    <t>Dhuvaafaru</t>
  </si>
  <si>
    <t>Fainu</t>
  </si>
  <si>
    <t>Hulhudhuffaaru</t>
  </si>
  <si>
    <t>Innamaadhoo</t>
  </si>
  <si>
    <t>Kinolhas</t>
  </si>
  <si>
    <t>Maakurathu</t>
  </si>
  <si>
    <t>Maduvvari</t>
  </si>
  <si>
    <t>Meedhoo</t>
  </si>
  <si>
    <t>Rasgetheemu</t>
  </si>
  <si>
    <t>Rasmaadhoo</t>
  </si>
  <si>
    <t>Vaadhoo</t>
  </si>
  <si>
    <t>Dharavandhoo</t>
  </si>
  <si>
    <t>Eydhafushi</t>
  </si>
  <si>
    <t>Fehendhoo</t>
  </si>
  <si>
    <t>Fulhadhoo</t>
  </si>
  <si>
    <t>Hithaadhoo</t>
  </si>
  <si>
    <t>Kamadhoo</t>
  </si>
  <si>
    <t>Kendhoo</t>
  </si>
  <si>
    <t>Kihaadhoo</t>
  </si>
  <si>
    <t>Kudarikilu</t>
  </si>
  <si>
    <t>Maalhos</t>
  </si>
  <si>
    <t>Thulhaadhoo</t>
  </si>
  <si>
    <t>Hinnavaru</t>
  </si>
  <si>
    <t>Kurendhoo</t>
  </si>
  <si>
    <t>Naifaru</t>
  </si>
  <si>
    <t>Olhuvelifushi</t>
  </si>
  <si>
    <t>Dhiffushi</t>
  </si>
  <si>
    <t>Gaafaru</t>
  </si>
  <si>
    <t>Gulhi</t>
  </si>
  <si>
    <t>Guraidhoo</t>
  </si>
  <si>
    <t>Hinmafushi</t>
  </si>
  <si>
    <t>Huraa</t>
  </si>
  <si>
    <t>Kaashidhoo</t>
  </si>
  <si>
    <t>Maafushi</t>
  </si>
  <si>
    <t>Thulusdhoo</t>
  </si>
  <si>
    <t>Bodufolhudhoo</t>
  </si>
  <si>
    <t>Feridhoo</t>
  </si>
  <si>
    <t>Himandhoo</t>
  </si>
  <si>
    <t>Mathiveri</t>
  </si>
  <si>
    <t>Rasdhoo</t>
  </si>
  <si>
    <t>Thoddoo</t>
  </si>
  <si>
    <t>Ukulhas</t>
  </si>
  <si>
    <t>Dhigurah</t>
  </si>
  <si>
    <t>Fenfushi</t>
  </si>
  <si>
    <t>Maamigili</t>
  </si>
  <si>
    <t>Mahibadhoo</t>
  </si>
  <si>
    <t>Mandhoo</t>
  </si>
  <si>
    <t>Omadhoo</t>
  </si>
  <si>
    <t>Felidhoo</t>
  </si>
  <si>
    <t>Fulidhoo</t>
  </si>
  <si>
    <t>Keyodhoo</t>
  </si>
  <si>
    <t>Rakeedhoo</t>
  </si>
  <si>
    <t>Thinadhoo</t>
  </si>
  <si>
    <t>Dhiggaru</t>
  </si>
  <si>
    <t>Kolhufushi</t>
  </si>
  <si>
    <t>Mulah</t>
  </si>
  <si>
    <t>Muli</t>
  </si>
  <si>
    <t>Naalaafushi</t>
  </si>
  <si>
    <t>Veyvah</t>
  </si>
  <si>
    <t>Feeali</t>
  </si>
  <si>
    <t>Nilandhoo</t>
  </si>
  <si>
    <t>Bandidhoo</t>
  </si>
  <si>
    <t>Hulhudheli</t>
  </si>
  <si>
    <t>Kudahuvadhoo</t>
  </si>
  <si>
    <t>Maaenboodhoo</t>
  </si>
  <si>
    <t>Buruni</t>
  </si>
  <si>
    <t>Dhiyamigili</t>
  </si>
  <si>
    <t>Gaadhiffushi</t>
  </si>
  <si>
    <t>Hirilandhoo</t>
  </si>
  <si>
    <t>Madifushi</t>
  </si>
  <si>
    <t>Thimarafushi</t>
  </si>
  <si>
    <t>Vandhoo</t>
  </si>
  <si>
    <t>Veymandoo</t>
  </si>
  <si>
    <t>Vilufushi</t>
  </si>
  <si>
    <t>Fonadhoo</t>
  </si>
  <si>
    <t>Gaadhoo</t>
  </si>
  <si>
    <t>Gan</t>
  </si>
  <si>
    <t>Hithadhoo</t>
  </si>
  <si>
    <t>Isdhoo</t>
  </si>
  <si>
    <t>Kunahandhoo</t>
  </si>
  <si>
    <t>Maabaidhoo</t>
  </si>
  <si>
    <t>Maamendhoo</t>
  </si>
  <si>
    <t>Maavah</t>
  </si>
  <si>
    <t>Dhaandhoo</t>
  </si>
  <si>
    <t>Dhevvadhoo</t>
  </si>
  <si>
    <t>Gemanafushi</t>
  </si>
  <si>
    <t>Kanduhulhudhoo</t>
  </si>
  <si>
    <t>Kolamaafushi</t>
  </si>
  <si>
    <t>Kondey</t>
  </si>
  <si>
    <t>Viligili</t>
  </si>
  <si>
    <t>Faresmaathodaa</t>
  </si>
  <si>
    <t>Gadhdhoo</t>
  </si>
  <si>
    <t>Rathafandhoo</t>
  </si>
  <si>
    <t>Fuvahmulah</t>
  </si>
  <si>
    <t>Hulhudhoo</t>
  </si>
  <si>
    <t>Maradhoo</t>
  </si>
  <si>
    <t>Maradhoo Feydhoo</t>
  </si>
  <si>
    <t>Atoll /  Island</t>
  </si>
  <si>
    <t>Atoll</t>
  </si>
  <si>
    <t>North Thiladhunmathi (HA)</t>
  </si>
  <si>
    <t>South Thiladhunmathi (HDh)</t>
  </si>
  <si>
    <t>North Miladhunmadulu (Sh)</t>
  </si>
  <si>
    <t>South Miladhunmadulu (N)</t>
  </si>
  <si>
    <t>North Maalhosmadulu (R)</t>
  </si>
  <si>
    <t>South Maalhosamadulu (B)</t>
  </si>
  <si>
    <t>Faadhhippolhu (Lh)</t>
  </si>
  <si>
    <t>Kaafu Atoll (K)</t>
  </si>
  <si>
    <t>North Ari Atoll (AA)</t>
  </si>
  <si>
    <t>South Ari Atoll (ADh)</t>
  </si>
  <si>
    <t>Felidhu Atoll (V)</t>
  </si>
  <si>
    <t>Mulakatholhu (M)</t>
  </si>
  <si>
    <t>South Nilandhe Atoll (Dh)</t>
  </si>
  <si>
    <t>Kolhumadulu (Th)</t>
  </si>
  <si>
    <t>Hadhdhunmathi (L)</t>
  </si>
  <si>
    <t>North Huvadhu Atoll (GA)</t>
  </si>
  <si>
    <t>South Huvadhu Atoll (GDh)</t>
  </si>
  <si>
    <t>Fuvahmulah (Gn)</t>
  </si>
  <si>
    <t>Addu Atoll (S)</t>
  </si>
  <si>
    <t>Hulhule</t>
  </si>
  <si>
    <t>Thuraakunu</t>
  </si>
  <si>
    <t>Uligan</t>
  </si>
  <si>
    <t>Kunburudhoo</t>
  </si>
  <si>
    <t>Kurinbi</t>
  </si>
  <si>
    <t>Nolhivaran</t>
  </si>
  <si>
    <t>Bilehfahi</t>
  </si>
  <si>
    <t>Maaungoodhoo</t>
  </si>
  <si>
    <t>Henbadhoo</t>
  </si>
  <si>
    <t>Kendhikulhudhoo</t>
  </si>
  <si>
    <t>Inguraidhoo</t>
  </si>
  <si>
    <t>Ungoofaaru</t>
  </si>
  <si>
    <t>Dhonfan</t>
  </si>
  <si>
    <t>Maafilaafushi</t>
  </si>
  <si>
    <t>Dhangethi</t>
  </si>
  <si>
    <t>Hangnaameedhoo</t>
  </si>
  <si>
    <t>Raiymandhoo</t>
  </si>
  <si>
    <t>North Nilandhe Atoll (F)</t>
  </si>
  <si>
    <t>Bilehdhoo</t>
  </si>
  <si>
    <t>Dharanboodhoo</t>
  </si>
  <si>
    <t>Vaani</t>
  </si>
  <si>
    <t>Rinbudhoo</t>
  </si>
  <si>
    <t>Kandoodhoo</t>
  </si>
  <si>
    <t>Kinbidhoo</t>
  </si>
  <si>
    <t>Dhanbidhoo</t>
  </si>
  <si>
    <t>Mundoo</t>
  </si>
  <si>
    <t>Kalhaidhoo</t>
  </si>
  <si>
    <t>Vilingili</t>
  </si>
  <si>
    <t>Dhiyadhoo</t>
  </si>
  <si>
    <t>Fiyoaree</t>
  </si>
  <si>
    <t>Hoandedhdhoo</t>
  </si>
  <si>
    <t>Nadellaa</t>
  </si>
  <si>
    <t>Madaveli</t>
  </si>
  <si>
    <t>Fares</t>
  </si>
  <si>
    <t>ތާވަލު 5.4: ޖިންސުގެ ގޮތުން މާލެއާއި ރަށްރަށުގައި މަސައްކަތްކުރާ ސިވިލްސަރވަންޓުންގެ އަދަދު، 2019 - 2020</t>
  </si>
  <si>
    <t>Table 5.4: CIVIL SERVANTS BY ISLAND AND SEX, 2019 - 2020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</si>
</sst>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Faruma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1"/>
      <color theme="1"/>
      <name val="A_reethi"/>
    </font>
    <font>
      <sz val="11"/>
      <name val="Arial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</font>
    <font>
      <i/>
      <sz val="9"/>
      <color theme="1"/>
      <name val="Calibri"/>
      <family val="2"/>
    </font>
    <font>
      <sz val="9"/>
      <color theme="1"/>
      <name val="Faru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auto="1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/>
      <bottom style="thin">
        <color rgb="FF000000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</borders>
  <cellStyleXfs count="7">
    <xf numFmtId="0" fontId="0" fillId="0" borderId="0"/>
    <xf numFmtId="0" fontId="2" fillId="0" borderId="0"/>
    <xf numFmtId="0" fontId="6" fillId="0" borderId="0"/>
    <xf numFmtId="0" fontId="2" fillId="0" borderId="0"/>
    <xf numFmtId="43" fontId="2" fillId="0" borderId="0" applyFont="0" applyFill="0" applyBorder="0" applyAlignment="0" applyProtection="0"/>
    <xf numFmtId="0" fontId="7" fillId="0" borderId="0"/>
    <xf numFmtId="0" fontId="2" fillId="0" borderId="0"/>
  </cellStyleXfs>
  <cellXfs count="36">
    <xf numFmtId="0" fontId="0" fillId="0" borderId="0" xfId="0"/>
    <xf numFmtId="0" fontId="4" fillId="4" borderId="0" xfId="0" applyFont="1" applyFill="1" applyBorder="1"/>
    <xf numFmtId="0" fontId="0" fillId="2" borderId="0" xfId="0" applyFont="1" applyFill="1" applyAlignment="1"/>
    <xf numFmtId="0" fontId="8" fillId="4" borderId="0" xfId="0" applyFont="1" applyFill="1" applyBorder="1"/>
    <xf numFmtId="0" fontId="10" fillId="4" borderId="0" xfId="0" applyFont="1" applyFill="1" applyBorder="1" applyAlignment="1">
      <alignment vertical="center"/>
    </xf>
    <xf numFmtId="0" fontId="5" fillId="4" borderId="0" xfId="0" applyFont="1" applyFill="1" applyBorder="1" applyAlignment="1">
      <alignment horizontal="left" vertical="center" indent="1"/>
    </xf>
    <xf numFmtId="37" fontId="5" fillId="4" borderId="0" xfId="0" applyNumberFormat="1" applyFont="1" applyFill="1" applyBorder="1"/>
    <xf numFmtId="37" fontId="5" fillId="4" borderId="0" xfId="0" applyNumberFormat="1" applyFont="1" applyFill="1" applyBorder="1" applyAlignment="1">
      <alignment vertical="center"/>
    </xf>
    <xf numFmtId="0" fontId="5" fillId="4" borderId="0" xfId="0" applyFont="1" applyFill="1" applyBorder="1"/>
    <xf numFmtId="0" fontId="4" fillId="4" borderId="0" xfId="0" applyFont="1" applyFill="1" applyBorder="1" applyAlignment="1">
      <alignment horizontal="left" vertical="center" indent="1"/>
    </xf>
    <xf numFmtId="37" fontId="4" fillId="4" borderId="0" xfId="0" applyNumberFormat="1" applyFont="1" applyFill="1" applyBorder="1" applyAlignment="1">
      <alignment vertical="center"/>
    </xf>
    <xf numFmtId="37" fontId="4" fillId="3" borderId="0" xfId="0" applyNumberFormat="1" applyFont="1" applyFill="1" applyBorder="1" applyAlignment="1">
      <alignment vertical="center"/>
    </xf>
    <xf numFmtId="0" fontId="11" fillId="4" borderId="0" xfId="0" applyFont="1" applyFill="1" applyBorder="1" applyAlignment="1">
      <alignment horizontal="left" vertical="center" indent="1"/>
    </xf>
    <xf numFmtId="0" fontId="4" fillId="4" borderId="6" xfId="0" applyFont="1" applyFill="1" applyBorder="1" applyAlignment="1">
      <alignment horizontal="left" vertical="center" indent="1"/>
    </xf>
    <xf numFmtId="37" fontId="4" fillId="4" borderId="6" xfId="0" applyNumberFormat="1" applyFont="1" applyFill="1" applyBorder="1" applyAlignment="1">
      <alignment vertical="center"/>
    </xf>
    <xf numFmtId="37" fontId="4" fillId="3" borderId="2" xfId="0" applyNumberFormat="1" applyFont="1" applyFill="1" applyBorder="1" applyAlignment="1">
      <alignment vertical="center"/>
    </xf>
    <xf numFmtId="0" fontId="12" fillId="4" borderId="4" xfId="0" applyFont="1" applyFill="1" applyBorder="1"/>
    <xf numFmtId="3" fontId="4" fillId="4" borderId="0" xfId="0" applyNumberFormat="1" applyFont="1" applyFill="1" applyBorder="1"/>
    <xf numFmtId="3" fontId="13" fillId="4" borderId="0" xfId="0" applyNumberFormat="1" applyFont="1" applyFill="1" applyBorder="1" applyAlignment="1">
      <alignment horizontal="right" vertical="center"/>
    </xf>
    <xf numFmtId="0" fontId="9" fillId="2" borderId="0" xfId="0" applyFont="1" applyFill="1" applyBorder="1" applyAlignment="1"/>
    <xf numFmtId="37" fontId="5" fillId="4" borderId="3" xfId="0" applyNumberFormat="1" applyFont="1" applyFill="1" applyBorder="1"/>
    <xf numFmtId="37" fontId="4" fillId="3" borderId="3" xfId="0" applyNumberFormat="1" applyFont="1" applyFill="1" applyBorder="1" applyAlignment="1">
      <alignment vertical="center"/>
    </xf>
    <xf numFmtId="37" fontId="5" fillId="4" borderId="3" xfId="0" applyNumberFormat="1" applyFont="1" applyFill="1" applyBorder="1" applyAlignment="1">
      <alignment vertical="center"/>
    </xf>
    <xf numFmtId="37" fontId="4" fillId="3" borderId="5" xfId="0" applyNumberFormat="1" applyFont="1" applyFill="1" applyBorder="1" applyAlignment="1">
      <alignment vertical="center"/>
    </xf>
    <xf numFmtId="0" fontId="5" fillId="4" borderId="6" xfId="0" applyFont="1" applyFill="1" applyBorder="1" applyAlignment="1">
      <alignment horizontal="right" vertical="center"/>
    </xf>
    <xf numFmtId="0" fontId="5" fillId="4" borderId="8" xfId="0" applyFont="1" applyFill="1" applyBorder="1" applyAlignment="1">
      <alignment horizontal="right" vertical="center"/>
    </xf>
    <xf numFmtId="0" fontId="0" fillId="2" borderId="0" xfId="0" applyFill="1" applyBorder="1" applyAlignment="1">
      <alignment horizontal="right" vertical="center" wrapText="1"/>
    </xf>
    <xf numFmtId="0" fontId="0" fillId="2" borderId="2" xfId="0" applyFill="1" applyBorder="1" applyAlignment="1">
      <alignment horizontal="right" vertical="center" wrapText="1"/>
    </xf>
    <xf numFmtId="3" fontId="1" fillId="2" borderId="0" xfId="0" applyNumberFormat="1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right" vertical="center" wrapText="1"/>
    </xf>
    <xf numFmtId="0" fontId="5" fillId="4" borderId="7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10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/>
    </xf>
  </cellXfs>
  <cellStyles count="7">
    <cellStyle name="1" xfId="6"/>
    <cellStyle name="Comma 3" xfId="4"/>
    <cellStyle name="Normal" xfId="0" builtinId="0"/>
    <cellStyle name="Normal 11" xfId="5"/>
    <cellStyle name="Normal 2" xfId="1"/>
    <cellStyle name="Normal 4" xfId="2"/>
    <cellStyle name="Normal 5" xfId="3"/>
  </cellStyles>
  <dxfs count="1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>
      <tableStyleElement type="headerRow" dxfId="14"/>
      <tableStyleElement type="totalRow" dxfId="13"/>
      <tableStyleElement type="firstRowStripe" dxfId="12"/>
      <tableStyleElement type="firstColumnStripe" dxfId="11"/>
      <tableStyleElement type="firstSubtotalColumn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colors>
    <mruColors>
      <color rgb="FFEAFAFA"/>
      <color rgb="FF33CCCC"/>
      <color rgb="FFFF9900"/>
      <color rgb="FFB2EDEC"/>
      <color rgb="FF249390"/>
      <color rgb="FF196563"/>
      <color rgb="FFE5CBB1"/>
      <color rgb="FFF3E6D9"/>
      <color rgb="FFEBD7C3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5.%20EMPLOYME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5.4"/>
      <sheetName val="5.5"/>
      <sheetName val="5.6"/>
      <sheetName val="5.7"/>
      <sheetName val="5.8"/>
      <sheetName val="5.9"/>
      <sheetName val="5.10"/>
      <sheetName val="5.11"/>
      <sheetName val="5.12"/>
      <sheetName val="5.13"/>
      <sheetName val="5.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C5" t="str">
            <v>Male</v>
          </cell>
          <cell r="D5" t="str">
            <v xml:space="preserve">Female </v>
          </cell>
        </row>
        <row r="6">
          <cell r="C6">
            <v>147671</v>
          </cell>
          <cell r="D6">
            <v>9889</v>
          </cell>
        </row>
        <row r="78">
          <cell r="AP78" t="str">
            <v>Bangladesh</v>
          </cell>
          <cell r="AS78">
            <v>110084</v>
          </cell>
        </row>
        <row r="79">
          <cell r="AP79" t="str">
            <v>India</v>
          </cell>
          <cell r="AS79">
            <v>20283</v>
          </cell>
        </row>
        <row r="80">
          <cell r="AP80" t="str">
            <v>Sri Lanka</v>
          </cell>
          <cell r="AS80">
            <v>11266</v>
          </cell>
        </row>
        <row r="81">
          <cell r="AP81" t="str">
            <v>Nepal</v>
          </cell>
          <cell r="AS81">
            <v>4342</v>
          </cell>
        </row>
        <row r="82">
          <cell r="AP82" t="str">
            <v>Philippines</v>
          </cell>
          <cell r="AS82">
            <v>2134</v>
          </cell>
        </row>
      </sheetData>
      <sheetData sheetId="11">
        <row r="33">
          <cell r="N33" t="str">
            <v>Male</v>
          </cell>
        </row>
      </sheetData>
      <sheetData sheetId="12">
        <row r="5">
          <cell r="A5" t="str">
            <v>Republic</v>
          </cell>
        </row>
      </sheetData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1008"/>
  <sheetViews>
    <sheetView tabSelected="1" zoomScale="85" zoomScaleNormal="85" workbookViewId="0">
      <selection activeCell="H13" sqref="H13"/>
    </sheetView>
  </sheetViews>
  <sheetFormatPr defaultColWidth="14.42578125" defaultRowHeight="15" x14ac:dyDescent="0.25"/>
  <cols>
    <col min="1" max="1" width="28.5703125" style="2" customWidth="1"/>
    <col min="2" max="4" width="11.42578125" style="2" customWidth="1"/>
    <col min="5" max="7" width="12.7109375" style="2" customWidth="1"/>
    <col min="8" max="23" width="10.5703125" style="2" customWidth="1"/>
    <col min="24" max="29" width="8.7109375" style="2" customWidth="1"/>
    <col min="30" max="16384" width="14.42578125" style="2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1" x14ac:dyDescent="0.55000000000000004">
      <c r="A2" s="35" t="s">
        <v>208</v>
      </c>
      <c r="B2" s="35"/>
      <c r="C2" s="35"/>
      <c r="D2" s="35"/>
      <c r="E2" s="35"/>
      <c r="F2" s="35"/>
      <c r="G2" s="35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x14ac:dyDescent="0.25">
      <c r="A3" s="34" t="s">
        <v>209</v>
      </c>
      <c r="B3" s="34"/>
      <c r="C3" s="34"/>
      <c r="D3" s="34"/>
      <c r="E3" s="34"/>
      <c r="F3" s="34"/>
      <c r="G3" s="34"/>
      <c r="H3" s="19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25">
      <c r="A5" s="32" t="s">
        <v>153</v>
      </c>
      <c r="B5" s="30">
        <v>2019</v>
      </c>
      <c r="C5" s="30"/>
      <c r="D5" s="31"/>
      <c r="E5" s="30">
        <v>2020</v>
      </c>
      <c r="F5" s="30"/>
      <c r="G5" s="3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25">
      <c r="A6" s="33"/>
      <c r="B6" s="24" t="s">
        <v>6</v>
      </c>
      <c r="C6" s="24" t="s">
        <v>2</v>
      </c>
      <c r="D6" s="25" t="s">
        <v>3</v>
      </c>
      <c r="E6" s="24" t="s">
        <v>6</v>
      </c>
      <c r="F6" s="24" t="s">
        <v>2</v>
      </c>
      <c r="G6" s="24" t="s">
        <v>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25">
      <c r="A7" s="5" t="s">
        <v>0</v>
      </c>
      <c r="B7" s="6">
        <f>SUM(C7:D7)</f>
        <v>25652</v>
      </c>
      <c r="C7" s="6">
        <f t="shared" ref="C7:D7" si="0">C8+C12+C9+C10+C11</f>
        <v>9573</v>
      </c>
      <c r="D7" s="20">
        <f t="shared" si="0"/>
        <v>16079</v>
      </c>
      <c r="E7" s="6">
        <f>SUM(F7:G7)</f>
        <v>26668</v>
      </c>
      <c r="F7" s="6">
        <f t="shared" ref="F7:G7" si="1">F8+F12+F9+F10+F11</f>
        <v>10075</v>
      </c>
      <c r="G7" s="6">
        <f t="shared" si="1"/>
        <v>16593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25">
      <c r="A8" s="9" t="s">
        <v>1</v>
      </c>
      <c r="B8" s="7">
        <f t="shared" ref="B8:B12" si="2">SUM(C8:D8)</f>
        <v>9280</v>
      </c>
      <c r="C8" s="11">
        <v>3678</v>
      </c>
      <c r="D8" s="21">
        <v>5602</v>
      </c>
      <c r="E8" s="7">
        <f t="shared" ref="E8:E12" si="3">SUM(F8:G8)</f>
        <v>9524</v>
      </c>
      <c r="F8" s="28">
        <v>3856</v>
      </c>
      <c r="G8" s="28">
        <v>5668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x14ac:dyDescent="0.25">
      <c r="A9" s="9" t="s">
        <v>7</v>
      </c>
      <c r="B9" s="7">
        <f t="shared" si="2"/>
        <v>181</v>
      </c>
      <c r="C9" s="11">
        <v>22</v>
      </c>
      <c r="D9" s="21">
        <v>159</v>
      </c>
      <c r="E9" s="7">
        <f t="shared" si="3"/>
        <v>410</v>
      </c>
      <c r="F9" s="29">
        <v>51</v>
      </c>
      <c r="G9" s="29">
        <v>359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25">
      <c r="A10" s="9" t="s">
        <v>145</v>
      </c>
      <c r="B10" s="7">
        <f t="shared" si="2"/>
        <v>134</v>
      </c>
      <c r="C10" s="11">
        <v>27</v>
      </c>
      <c r="D10" s="21">
        <v>107</v>
      </c>
      <c r="E10" s="7">
        <f t="shared" si="3"/>
        <v>133</v>
      </c>
      <c r="F10" s="29">
        <v>25</v>
      </c>
      <c r="G10" s="29">
        <v>108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25">
      <c r="A11" s="9" t="s">
        <v>174</v>
      </c>
      <c r="B11" s="7">
        <f t="shared" si="2"/>
        <v>183</v>
      </c>
      <c r="C11" s="11">
        <v>28</v>
      </c>
      <c r="D11" s="21">
        <v>155</v>
      </c>
      <c r="E11" s="7">
        <f t="shared" si="3"/>
        <v>0</v>
      </c>
      <c r="F11" s="29">
        <v>0</v>
      </c>
      <c r="G11" s="29">
        <v>0</v>
      </c>
      <c r="H11" s="1"/>
      <c r="I11" s="1"/>
      <c r="J11" s="1"/>
      <c r="K11" s="1"/>
      <c r="L11" s="1"/>
      <c r="M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25">
      <c r="A12" s="5" t="s">
        <v>154</v>
      </c>
      <c r="B12" s="7">
        <f t="shared" si="2"/>
        <v>15874</v>
      </c>
      <c r="C12" s="7">
        <f t="shared" ref="C12:D12" si="4">C13+C28+C43+C59+C73+C89+C103+C109+C119+C128+C139+C145+C154+C160+C168+C182+C195+C206+C217+C219</f>
        <v>5818</v>
      </c>
      <c r="D12" s="22">
        <f t="shared" si="4"/>
        <v>10056</v>
      </c>
      <c r="E12" s="7">
        <f t="shared" si="3"/>
        <v>16601</v>
      </c>
      <c r="F12" s="7">
        <f t="shared" ref="F12:G12" si="5">F13+F28+F43+F59+F73+F89+F103+F109+F119+F128+F139+F145+F154+F160+F168+F182+F195+F206+F217+F219</f>
        <v>6143</v>
      </c>
      <c r="G12" s="7">
        <f t="shared" si="5"/>
        <v>10458</v>
      </c>
      <c r="H12" s="1"/>
      <c r="I12" s="1"/>
      <c r="J12" s="1"/>
      <c r="K12" s="1"/>
      <c r="L12" s="1"/>
      <c r="M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25">
      <c r="A13" s="5" t="s">
        <v>155</v>
      </c>
      <c r="B13" s="6">
        <f t="shared" ref="B13:D13" si="6">SUM(B14:B27)</f>
        <v>1007</v>
      </c>
      <c r="C13" s="7">
        <f>SUM(C14:C27)</f>
        <v>384</v>
      </c>
      <c r="D13" s="22">
        <f t="shared" si="6"/>
        <v>623</v>
      </c>
      <c r="E13" s="6">
        <f t="shared" ref="E13" si="7">SUM(E14:E27)</f>
        <v>1098</v>
      </c>
      <c r="F13" s="7">
        <f>SUM(F14:F27)</f>
        <v>415</v>
      </c>
      <c r="G13" s="7">
        <f t="shared" ref="G13" si="8">SUM(G14:G27)</f>
        <v>683</v>
      </c>
      <c r="H13" s="1"/>
      <c r="I13" s="1"/>
      <c r="J13" s="1"/>
      <c r="K13" s="1"/>
      <c r="L13" s="1"/>
      <c r="M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25">
      <c r="A14" s="9" t="s">
        <v>8</v>
      </c>
      <c r="B14" s="10">
        <f t="shared" ref="B14:B27" si="9">SUM(C14:D14)</f>
        <v>61</v>
      </c>
      <c r="C14" s="11">
        <v>19</v>
      </c>
      <c r="D14" s="21">
        <v>42</v>
      </c>
      <c r="E14" s="10">
        <f t="shared" ref="E14:E27" si="10">SUM(F14:G14)</f>
        <v>73</v>
      </c>
      <c r="F14" s="26">
        <v>22</v>
      </c>
      <c r="G14" s="26">
        <v>51</v>
      </c>
      <c r="H14" s="1"/>
      <c r="I14" s="1"/>
      <c r="J14" s="1"/>
      <c r="K14" s="1"/>
      <c r="L14" s="1"/>
      <c r="M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25">
      <c r="A15" s="9" t="s">
        <v>9</v>
      </c>
      <c r="B15" s="10">
        <f t="shared" si="9"/>
        <v>295</v>
      </c>
      <c r="C15" s="11">
        <v>92</v>
      </c>
      <c r="D15" s="21">
        <v>203</v>
      </c>
      <c r="E15" s="10">
        <f t="shared" si="10"/>
        <v>315</v>
      </c>
      <c r="F15" s="26">
        <v>101</v>
      </c>
      <c r="G15" s="26">
        <v>214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25">
      <c r="A16" s="9" t="s">
        <v>10</v>
      </c>
      <c r="B16" s="10">
        <f t="shared" si="9"/>
        <v>36</v>
      </c>
      <c r="C16" s="11">
        <v>15</v>
      </c>
      <c r="D16" s="21">
        <v>21</v>
      </c>
      <c r="E16" s="10">
        <f t="shared" si="10"/>
        <v>49</v>
      </c>
      <c r="F16" s="26">
        <v>23</v>
      </c>
      <c r="G16" s="26">
        <v>26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9" t="s">
        <v>11</v>
      </c>
      <c r="B17" s="10">
        <f t="shared" si="9"/>
        <v>60</v>
      </c>
      <c r="C17" s="11">
        <v>26</v>
      </c>
      <c r="D17" s="21">
        <v>34</v>
      </c>
      <c r="E17" s="10">
        <f t="shared" si="10"/>
        <v>60</v>
      </c>
      <c r="F17" s="26">
        <v>25</v>
      </c>
      <c r="G17" s="26">
        <v>35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5">
      <c r="A18" s="9" t="s">
        <v>12</v>
      </c>
      <c r="B18" s="10">
        <f t="shared" si="9"/>
        <v>162</v>
      </c>
      <c r="C18" s="11">
        <v>76</v>
      </c>
      <c r="D18" s="21">
        <v>86</v>
      </c>
      <c r="E18" s="10">
        <f t="shared" si="10"/>
        <v>170</v>
      </c>
      <c r="F18" s="26">
        <v>78</v>
      </c>
      <c r="G18" s="26">
        <v>92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A19" s="9" t="s">
        <v>13</v>
      </c>
      <c r="B19" s="10">
        <f t="shared" si="9"/>
        <v>86</v>
      </c>
      <c r="C19" s="11">
        <v>34</v>
      </c>
      <c r="D19" s="21">
        <v>52</v>
      </c>
      <c r="E19" s="10">
        <f t="shared" si="10"/>
        <v>87</v>
      </c>
      <c r="F19" s="26">
        <v>30</v>
      </c>
      <c r="G19" s="26">
        <v>57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A20" s="9" t="s">
        <v>14</v>
      </c>
      <c r="B20" s="10">
        <f t="shared" si="9"/>
        <v>60</v>
      </c>
      <c r="C20" s="11">
        <v>27</v>
      </c>
      <c r="D20" s="21">
        <v>33</v>
      </c>
      <c r="E20" s="10">
        <f t="shared" si="10"/>
        <v>58</v>
      </c>
      <c r="F20" s="26">
        <v>24</v>
      </c>
      <c r="G20" s="26">
        <v>34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A21" s="9" t="s">
        <v>15</v>
      </c>
      <c r="B21" s="10">
        <f t="shared" si="9"/>
        <v>26</v>
      </c>
      <c r="C21" s="11">
        <v>9</v>
      </c>
      <c r="D21" s="21">
        <v>17</v>
      </c>
      <c r="E21" s="10">
        <f t="shared" si="10"/>
        <v>35</v>
      </c>
      <c r="F21" s="26">
        <v>12</v>
      </c>
      <c r="G21" s="26">
        <v>23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A22" s="9" t="s">
        <v>16</v>
      </c>
      <c r="B22" s="10">
        <f t="shared" si="9"/>
        <v>35</v>
      </c>
      <c r="C22" s="11">
        <v>11</v>
      </c>
      <c r="D22" s="21">
        <v>24</v>
      </c>
      <c r="E22" s="10">
        <f t="shared" si="10"/>
        <v>42</v>
      </c>
      <c r="F22" s="26">
        <v>15</v>
      </c>
      <c r="G22" s="26">
        <v>27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 x14ac:dyDescent="0.25">
      <c r="A23" s="9" t="s">
        <v>17</v>
      </c>
      <c r="B23" s="10">
        <f t="shared" si="9"/>
        <v>30</v>
      </c>
      <c r="C23" s="11">
        <v>8</v>
      </c>
      <c r="D23" s="21">
        <v>22</v>
      </c>
      <c r="E23" s="10">
        <f t="shared" si="10"/>
        <v>30</v>
      </c>
      <c r="F23" s="26">
        <v>8</v>
      </c>
      <c r="G23" s="26">
        <v>22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 x14ac:dyDescent="0.25">
      <c r="A24" s="9" t="s">
        <v>175</v>
      </c>
      <c r="B24" s="10">
        <f t="shared" si="9"/>
        <v>42</v>
      </c>
      <c r="C24" s="11">
        <v>21</v>
      </c>
      <c r="D24" s="21">
        <v>21</v>
      </c>
      <c r="E24" s="10">
        <f t="shared" si="10"/>
        <v>53</v>
      </c>
      <c r="F24" s="26">
        <v>27</v>
      </c>
      <c r="G24" s="26">
        <v>26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 x14ac:dyDescent="0.25">
      <c r="A25" s="9" t="s">
        <v>176</v>
      </c>
      <c r="B25" s="10">
        <f t="shared" si="9"/>
        <v>31</v>
      </c>
      <c r="C25" s="11">
        <v>17</v>
      </c>
      <c r="D25" s="21">
        <v>14</v>
      </c>
      <c r="E25" s="10">
        <f t="shared" si="10"/>
        <v>37</v>
      </c>
      <c r="F25" s="26">
        <v>20</v>
      </c>
      <c r="G25" s="26">
        <v>17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 x14ac:dyDescent="0.25">
      <c r="A26" s="9" t="s">
        <v>18</v>
      </c>
      <c r="B26" s="10">
        <f t="shared" si="9"/>
        <v>50</v>
      </c>
      <c r="C26" s="11">
        <v>19</v>
      </c>
      <c r="D26" s="21">
        <v>31</v>
      </c>
      <c r="E26" s="10">
        <f t="shared" si="10"/>
        <v>58</v>
      </c>
      <c r="F26" s="26">
        <v>22</v>
      </c>
      <c r="G26" s="26">
        <v>36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 x14ac:dyDescent="0.25">
      <c r="A27" s="9" t="s">
        <v>19</v>
      </c>
      <c r="B27" s="10">
        <f t="shared" si="9"/>
        <v>33</v>
      </c>
      <c r="C27" s="11">
        <v>10</v>
      </c>
      <c r="D27" s="21">
        <v>23</v>
      </c>
      <c r="E27" s="10">
        <f t="shared" si="10"/>
        <v>31</v>
      </c>
      <c r="F27" s="26">
        <v>8</v>
      </c>
      <c r="G27" s="26">
        <v>23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 x14ac:dyDescent="0.25">
      <c r="A28" s="5" t="s">
        <v>156</v>
      </c>
      <c r="B28" s="6">
        <f>SUM(B29:B42)</f>
        <v>1433</v>
      </c>
      <c r="C28" s="7">
        <f t="shared" ref="C28:D28" si="11">SUM(C29:C42)</f>
        <v>527</v>
      </c>
      <c r="D28" s="22">
        <f t="shared" si="11"/>
        <v>906</v>
      </c>
      <c r="E28" s="6">
        <f>SUM(E29:E42)</f>
        <v>1517</v>
      </c>
      <c r="F28" s="7">
        <f t="shared" ref="F28:G28" si="12">SUM(F29:F42)</f>
        <v>570</v>
      </c>
      <c r="G28" s="7">
        <f t="shared" si="12"/>
        <v>947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ht="15.75" customHeight="1" x14ac:dyDescent="0.25">
      <c r="A29" s="9" t="s">
        <v>20</v>
      </c>
      <c r="B29" s="10">
        <f t="shared" ref="B29:B225" si="13">SUM(C29:D29)</f>
        <v>37</v>
      </c>
      <c r="C29" s="11">
        <v>12</v>
      </c>
      <c r="D29" s="21">
        <v>25</v>
      </c>
      <c r="E29" s="10">
        <f t="shared" ref="E29:E108" si="14">SUM(F29:G29)</f>
        <v>38</v>
      </c>
      <c r="F29" s="26">
        <v>12</v>
      </c>
      <c r="G29" s="26">
        <v>26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 x14ac:dyDescent="0.25">
      <c r="A30" s="9" t="s">
        <v>21</v>
      </c>
      <c r="B30" s="10">
        <f t="shared" si="13"/>
        <v>102</v>
      </c>
      <c r="C30" s="11">
        <v>34</v>
      </c>
      <c r="D30" s="21">
        <v>68</v>
      </c>
      <c r="E30" s="10">
        <f t="shared" si="14"/>
        <v>106</v>
      </c>
      <c r="F30" s="26">
        <v>40</v>
      </c>
      <c r="G30" s="26">
        <v>66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 x14ac:dyDescent="0.25">
      <c r="A31" s="9" t="s">
        <v>22</v>
      </c>
      <c r="B31" s="10">
        <f t="shared" si="13"/>
        <v>26</v>
      </c>
      <c r="C31" s="11">
        <v>16</v>
      </c>
      <c r="D31" s="21">
        <v>10</v>
      </c>
      <c r="E31" s="10">
        <f t="shared" si="14"/>
        <v>27</v>
      </c>
      <c r="F31" s="26">
        <v>16</v>
      </c>
      <c r="G31" s="26">
        <v>11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 x14ac:dyDescent="0.25">
      <c r="A32" s="12" t="s">
        <v>177</v>
      </c>
      <c r="B32" s="10">
        <f t="shared" si="13"/>
        <v>0</v>
      </c>
      <c r="C32" s="11">
        <v>0</v>
      </c>
      <c r="D32" s="21">
        <v>0</v>
      </c>
      <c r="E32" s="10">
        <f t="shared" si="14"/>
        <v>0</v>
      </c>
      <c r="F32" s="26">
        <v>0</v>
      </c>
      <c r="G32" s="26">
        <v>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 x14ac:dyDescent="0.25">
      <c r="A33" s="9" t="s">
        <v>23</v>
      </c>
      <c r="B33" s="10">
        <f t="shared" si="13"/>
        <v>593</v>
      </c>
      <c r="C33" s="11">
        <v>193</v>
      </c>
      <c r="D33" s="21">
        <v>400</v>
      </c>
      <c r="E33" s="10">
        <f t="shared" si="14"/>
        <v>647</v>
      </c>
      <c r="F33" s="26">
        <v>215</v>
      </c>
      <c r="G33" s="26">
        <v>432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 x14ac:dyDescent="0.25">
      <c r="A34" s="9" t="s">
        <v>24</v>
      </c>
      <c r="B34" s="10">
        <f t="shared" si="13"/>
        <v>66</v>
      </c>
      <c r="C34" s="11">
        <v>24</v>
      </c>
      <c r="D34" s="21">
        <v>42</v>
      </c>
      <c r="E34" s="10">
        <f t="shared" si="14"/>
        <v>73</v>
      </c>
      <c r="F34" s="26">
        <v>29</v>
      </c>
      <c r="G34" s="26">
        <v>44</v>
      </c>
      <c r="H34" s="1"/>
      <c r="I34" s="1"/>
      <c r="J34" s="1"/>
      <c r="K34" s="8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 x14ac:dyDescent="0.25">
      <c r="A35" s="9" t="s">
        <v>178</v>
      </c>
      <c r="B35" s="10">
        <f t="shared" si="13"/>
        <v>51</v>
      </c>
      <c r="C35" s="11">
        <v>26</v>
      </c>
      <c r="D35" s="21">
        <v>25</v>
      </c>
      <c r="E35" s="10">
        <f t="shared" si="14"/>
        <v>56</v>
      </c>
      <c r="F35" s="26">
        <v>30</v>
      </c>
      <c r="G35" s="26">
        <v>26</v>
      </c>
      <c r="H35" s="1"/>
      <c r="I35" s="1"/>
      <c r="J35" s="1"/>
      <c r="K35" s="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 x14ac:dyDescent="0.25">
      <c r="A36" s="9" t="s">
        <v>25</v>
      </c>
      <c r="B36" s="10">
        <f t="shared" si="13"/>
        <v>85</v>
      </c>
      <c r="C36" s="11">
        <v>29</v>
      </c>
      <c r="D36" s="21">
        <v>56</v>
      </c>
      <c r="E36" s="10">
        <f t="shared" si="14"/>
        <v>89</v>
      </c>
      <c r="F36" s="26">
        <v>32</v>
      </c>
      <c r="G36" s="26">
        <v>57</v>
      </c>
      <c r="H36" s="1"/>
      <c r="I36" s="1"/>
      <c r="J36" s="1"/>
      <c r="K36" s="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 x14ac:dyDescent="0.25">
      <c r="A37" s="9" t="s">
        <v>26</v>
      </c>
      <c r="B37" s="10">
        <f t="shared" si="13"/>
        <v>108</v>
      </c>
      <c r="C37" s="11">
        <v>25</v>
      </c>
      <c r="D37" s="21">
        <v>83</v>
      </c>
      <c r="E37" s="10">
        <f t="shared" si="14"/>
        <v>112</v>
      </c>
      <c r="F37" s="26">
        <v>27</v>
      </c>
      <c r="G37" s="26">
        <v>85</v>
      </c>
      <c r="H37" s="1"/>
      <c r="I37" s="1"/>
      <c r="J37" s="1"/>
      <c r="K37" s="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 x14ac:dyDescent="0.25">
      <c r="A38" s="9" t="s">
        <v>27</v>
      </c>
      <c r="B38" s="10">
        <f t="shared" si="13"/>
        <v>82</v>
      </c>
      <c r="C38" s="11">
        <v>37</v>
      </c>
      <c r="D38" s="21">
        <v>45</v>
      </c>
      <c r="E38" s="10">
        <f t="shared" si="14"/>
        <v>83</v>
      </c>
      <c r="F38" s="26">
        <v>35</v>
      </c>
      <c r="G38" s="26">
        <v>48</v>
      </c>
      <c r="H38" s="1"/>
      <c r="I38" s="1"/>
      <c r="J38" s="1"/>
      <c r="K38" s="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 x14ac:dyDescent="0.25">
      <c r="A39" s="9" t="s">
        <v>28</v>
      </c>
      <c r="B39" s="10">
        <f t="shared" si="13"/>
        <v>46</v>
      </c>
      <c r="C39" s="11">
        <v>17</v>
      </c>
      <c r="D39" s="21">
        <v>29</v>
      </c>
      <c r="E39" s="10">
        <f t="shared" si="14"/>
        <v>46</v>
      </c>
      <c r="F39" s="26">
        <v>17</v>
      </c>
      <c r="G39" s="26">
        <v>29</v>
      </c>
      <c r="H39" s="1"/>
      <c r="I39" s="1"/>
      <c r="J39" s="1"/>
      <c r="K39" s="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 x14ac:dyDescent="0.25">
      <c r="A40" s="9" t="s">
        <v>179</v>
      </c>
      <c r="B40" s="10">
        <f t="shared" si="13"/>
        <v>129</v>
      </c>
      <c r="C40" s="11">
        <v>59</v>
      </c>
      <c r="D40" s="21">
        <v>70</v>
      </c>
      <c r="E40" s="10">
        <f t="shared" si="14"/>
        <v>125</v>
      </c>
      <c r="F40" s="26">
        <v>58</v>
      </c>
      <c r="G40" s="26">
        <v>67</v>
      </c>
      <c r="H40" s="1"/>
      <c r="I40" s="1"/>
      <c r="J40" s="1"/>
      <c r="K40" s="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 x14ac:dyDescent="0.25">
      <c r="A41" s="9" t="s">
        <v>29</v>
      </c>
      <c r="B41" s="10">
        <f t="shared" si="13"/>
        <v>73</v>
      </c>
      <c r="C41" s="11">
        <v>28</v>
      </c>
      <c r="D41" s="21">
        <v>45</v>
      </c>
      <c r="E41" s="10">
        <f t="shared" si="14"/>
        <v>80</v>
      </c>
      <c r="F41" s="26">
        <v>31</v>
      </c>
      <c r="G41" s="26">
        <v>49</v>
      </c>
      <c r="H41" s="1"/>
      <c r="I41" s="1"/>
      <c r="J41" s="1"/>
      <c r="K41" s="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 x14ac:dyDescent="0.25">
      <c r="A42" s="9" t="s">
        <v>30</v>
      </c>
      <c r="B42" s="10">
        <f t="shared" si="13"/>
        <v>35</v>
      </c>
      <c r="C42" s="11">
        <v>27</v>
      </c>
      <c r="D42" s="21">
        <v>8</v>
      </c>
      <c r="E42" s="10">
        <f t="shared" si="14"/>
        <v>35</v>
      </c>
      <c r="F42" s="26">
        <v>28</v>
      </c>
      <c r="G42" s="26">
        <v>7</v>
      </c>
      <c r="H42" s="1"/>
      <c r="I42" s="1"/>
      <c r="J42" s="1"/>
      <c r="K42" s="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 x14ac:dyDescent="0.25">
      <c r="A43" s="5" t="s">
        <v>157</v>
      </c>
      <c r="B43" s="7">
        <f t="shared" si="13"/>
        <v>1055</v>
      </c>
      <c r="C43" s="7">
        <f t="shared" ref="C43:D43" si="15">SUM(C44:C58)</f>
        <v>515</v>
      </c>
      <c r="D43" s="22">
        <f t="shared" si="15"/>
        <v>540</v>
      </c>
      <c r="E43" s="7">
        <f t="shared" si="14"/>
        <v>1112</v>
      </c>
      <c r="F43" s="7">
        <f t="shared" ref="F43:G43" si="16">SUM(F44:F58)</f>
        <v>545</v>
      </c>
      <c r="G43" s="7">
        <f t="shared" si="16"/>
        <v>567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ht="15.75" customHeight="1" x14ac:dyDescent="0.25">
      <c r="A44" s="9" t="s">
        <v>180</v>
      </c>
      <c r="B44" s="10">
        <f t="shared" si="13"/>
        <v>49</v>
      </c>
      <c r="C44" s="11">
        <v>21</v>
      </c>
      <c r="D44" s="21">
        <v>28</v>
      </c>
      <c r="E44" s="10">
        <f t="shared" si="14"/>
        <v>48</v>
      </c>
      <c r="F44" s="26">
        <v>20</v>
      </c>
      <c r="G44" s="26">
        <v>28</v>
      </c>
      <c r="H44" s="1"/>
      <c r="I44" s="1"/>
      <c r="J44" s="1"/>
      <c r="K44" s="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 x14ac:dyDescent="0.25">
      <c r="A45" s="9" t="s">
        <v>31</v>
      </c>
      <c r="B45" s="10">
        <f t="shared" si="13"/>
        <v>51</v>
      </c>
      <c r="C45" s="11">
        <v>24</v>
      </c>
      <c r="D45" s="21">
        <v>27</v>
      </c>
      <c r="E45" s="10">
        <f t="shared" si="14"/>
        <v>53</v>
      </c>
      <c r="F45" s="26">
        <v>26</v>
      </c>
      <c r="G45" s="26">
        <v>27</v>
      </c>
      <c r="H45" s="1"/>
      <c r="I45" s="1"/>
      <c r="J45" s="1"/>
      <c r="K45" s="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 x14ac:dyDescent="0.25">
      <c r="A46" s="9" t="s">
        <v>32</v>
      </c>
      <c r="B46" s="10">
        <f t="shared" si="13"/>
        <v>50</v>
      </c>
      <c r="C46" s="11">
        <v>18</v>
      </c>
      <c r="D46" s="21">
        <v>32</v>
      </c>
      <c r="E46" s="10">
        <f t="shared" si="14"/>
        <v>56</v>
      </c>
      <c r="F46" s="26">
        <v>23</v>
      </c>
      <c r="G46" s="26">
        <v>33</v>
      </c>
      <c r="H46" s="1"/>
      <c r="I46" s="1"/>
      <c r="J46" s="1"/>
      <c r="K46" s="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 x14ac:dyDescent="0.25">
      <c r="A47" s="9" t="s">
        <v>33</v>
      </c>
      <c r="B47" s="10">
        <f t="shared" si="13"/>
        <v>90</v>
      </c>
      <c r="C47" s="11">
        <v>55</v>
      </c>
      <c r="D47" s="21">
        <v>35</v>
      </c>
      <c r="E47" s="10">
        <f t="shared" si="14"/>
        <v>90</v>
      </c>
      <c r="F47" s="26">
        <v>58</v>
      </c>
      <c r="G47" s="26">
        <v>32</v>
      </c>
      <c r="H47" s="1"/>
      <c r="I47" s="1"/>
      <c r="J47" s="1"/>
      <c r="K47" s="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 x14ac:dyDescent="0.25">
      <c r="A48" s="9" t="s">
        <v>34</v>
      </c>
      <c r="B48" s="10">
        <f t="shared" si="13"/>
        <v>306</v>
      </c>
      <c r="C48" s="11">
        <v>128</v>
      </c>
      <c r="D48" s="21">
        <v>178</v>
      </c>
      <c r="E48" s="10">
        <f t="shared" si="14"/>
        <v>330</v>
      </c>
      <c r="F48" s="26">
        <v>142</v>
      </c>
      <c r="G48" s="26">
        <v>188</v>
      </c>
      <c r="H48" s="1"/>
      <c r="I48" s="1"/>
      <c r="J48" s="1"/>
      <c r="K48" s="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 x14ac:dyDescent="0.25">
      <c r="A49" s="9" t="s">
        <v>35</v>
      </c>
      <c r="B49" s="10">
        <f t="shared" si="13"/>
        <v>48</v>
      </c>
      <c r="C49" s="11">
        <v>16</v>
      </c>
      <c r="D49" s="21">
        <v>32</v>
      </c>
      <c r="E49" s="10">
        <f t="shared" si="14"/>
        <v>52</v>
      </c>
      <c r="F49" s="26">
        <v>18</v>
      </c>
      <c r="G49" s="26">
        <v>34</v>
      </c>
      <c r="H49" s="1"/>
      <c r="I49" s="1"/>
      <c r="J49" s="1"/>
      <c r="K49" s="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 x14ac:dyDescent="0.25">
      <c r="A50" s="9" t="s">
        <v>36</v>
      </c>
      <c r="B50" s="10">
        <f t="shared" si="13"/>
        <v>41</v>
      </c>
      <c r="C50" s="11">
        <v>21</v>
      </c>
      <c r="D50" s="21">
        <v>20</v>
      </c>
      <c r="E50" s="10">
        <f t="shared" si="14"/>
        <v>43</v>
      </c>
      <c r="F50" s="26">
        <v>21</v>
      </c>
      <c r="G50" s="26">
        <v>22</v>
      </c>
      <c r="H50" s="1"/>
      <c r="I50" s="1"/>
      <c r="J50" s="1"/>
      <c r="K50" s="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 x14ac:dyDescent="0.25">
      <c r="A51" s="9" t="s">
        <v>37</v>
      </c>
      <c r="B51" s="10">
        <f t="shared" si="13"/>
        <v>45</v>
      </c>
      <c r="C51" s="11">
        <v>25</v>
      </c>
      <c r="D51" s="21">
        <v>20</v>
      </c>
      <c r="E51" s="10">
        <f t="shared" si="14"/>
        <v>46</v>
      </c>
      <c r="F51" s="26">
        <v>24</v>
      </c>
      <c r="G51" s="26">
        <v>22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 x14ac:dyDescent="0.25">
      <c r="A52" s="9" t="s">
        <v>38</v>
      </c>
      <c r="B52" s="10">
        <f t="shared" si="13"/>
        <v>50</v>
      </c>
      <c r="C52" s="11">
        <v>26</v>
      </c>
      <c r="D52" s="21">
        <v>24</v>
      </c>
      <c r="E52" s="10">
        <f t="shared" si="14"/>
        <v>57</v>
      </c>
      <c r="F52" s="26">
        <v>30</v>
      </c>
      <c r="G52" s="26">
        <v>27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 x14ac:dyDescent="0.25">
      <c r="A53" s="9" t="s">
        <v>50</v>
      </c>
      <c r="B53" s="10">
        <f t="shared" si="13"/>
        <v>0</v>
      </c>
      <c r="C53" s="11">
        <v>0</v>
      </c>
      <c r="D53" s="21">
        <v>0</v>
      </c>
      <c r="E53" s="10">
        <f t="shared" si="14"/>
        <v>0</v>
      </c>
      <c r="F53" s="26">
        <v>0</v>
      </c>
      <c r="G53" s="26">
        <v>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 x14ac:dyDescent="0.25">
      <c r="A54" s="9" t="s">
        <v>39</v>
      </c>
      <c r="B54" s="10">
        <f t="shared" si="13"/>
        <v>46</v>
      </c>
      <c r="C54" s="11">
        <v>20</v>
      </c>
      <c r="D54" s="21">
        <v>26</v>
      </c>
      <c r="E54" s="10">
        <f t="shared" si="14"/>
        <v>50</v>
      </c>
      <c r="F54" s="26">
        <v>23</v>
      </c>
      <c r="G54" s="26">
        <v>27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 x14ac:dyDescent="0.25">
      <c r="A55" s="9" t="s">
        <v>40</v>
      </c>
      <c r="B55" s="10">
        <f t="shared" si="13"/>
        <v>136</v>
      </c>
      <c r="C55" s="11">
        <v>63</v>
      </c>
      <c r="D55" s="21">
        <v>73</v>
      </c>
      <c r="E55" s="10">
        <f t="shared" si="14"/>
        <v>141</v>
      </c>
      <c r="F55" s="26">
        <v>60</v>
      </c>
      <c r="G55" s="26">
        <v>81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 x14ac:dyDescent="0.25">
      <c r="A56" s="9" t="s">
        <v>41</v>
      </c>
      <c r="B56" s="10">
        <f t="shared" si="13"/>
        <v>49</v>
      </c>
      <c r="C56" s="11">
        <v>34</v>
      </c>
      <c r="D56" s="21">
        <v>15</v>
      </c>
      <c r="E56" s="10">
        <f t="shared" si="14"/>
        <v>49</v>
      </c>
      <c r="F56" s="26">
        <v>33</v>
      </c>
      <c r="G56" s="26">
        <v>16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 x14ac:dyDescent="0.25">
      <c r="A57" s="9" t="s">
        <v>42</v>
      </c>
      <c r="B57" s="10">
        <f t="shared" si="13"/>
        <v>24</v>
      </c>
      <c r="C57" s="11">
        <v>21</v>
      </c>
      <c r="D57" s="21">
        <v>3</v>
      </c>
      <c r="E57" s="10">
        <f t="shared" si="14"/>
        <v>26</v>
      </c>
      <c r="F57" s="26">
        <v>23</v>
      </c>
      <c r="G57" s="26">
        <v>3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 x14ac:dyDescent="0.25">
      <c r="A58" s="9" t="s">
        <v>181</v>
      </c>
      <c r="B58" s="10">
        <f t="shared" si="13"/>
        <v>70</v>
      </c>
      <c r="C58" s="11">
        <v>43</v>
      </c>
      <c r="D58" s="21">
        <v>27</v>
      </c>
      <c r="E58" s="10">
        <f t="shared" si="14"/>
        <v>71</v>
      </c>
      <c r="F58" s="26">
        <v>44</v>
      </c>
      <c r="G58" s="26">
        <v>27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 x14ac:dyDescent="0.25">
      <c r="A59" s="5" t="s">
        <v>158</v>
      </c>
      <c r="B59" s="7">
        <f t="shared" si="13"/>
        <v>832</v>
      </c>
      <c r="C59" s="7">
        <f t="shared" ref="C59:D59" si="17">SUM(C60:C72)</f>
        <v>330</v>
      </c>
      <c r="D59" s="22">
        <f t="shared" si="17"/>
        <v>502</v>
      </c>
      <c r="E59" s="7">
        <f t="shared" si="14"/>
        <v>876</v>
      </c>
      <c r="F59" s="7">
        <f t="shared" ref="F59:G59" si="18">SUM(F60:F72)</f>
        <v>351</v>
      </c>
      <c r="G59" s="7">
        <f t="shared" si="18"/>
        <v>525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1:29" ht="15.75" customHeight="1" x14ac:dyDescent="0.25">
      <c r="A60" s="9" t="s">
        <v>43</v>
      </c>
      <c r="B60" s="10">
        <f t="shared" si="13"/>
        <v>26</v>
      </c>
      <c r="C60" s="11">
        <v>8</v>
      </c>
      <c r="D60" s="21">
        <v>18</v>
      </c>
      <c r="E60" s="10">
        <f t="shared" si="14"/>
        <v>25</v>
      </c>
      <c r="F60" s="26">
        <v>8</v>
      </c>
      <c r="G60" s="26">
        <v>17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 x14ac:dyDescent="0.25">
      <c r="A61" s="9" t="s">
        <v>182</v>
      </c>
      <c r="B61" s="10">
        <f t="shared" si="13"/>
        <v>44</v>
      </c>
      <c r="C61" s="11">
        <v>23</v>
      </c>
      <c r="D61" s="21">
        <v>21</v>
      </c>
      <c r="E61" s="10">
        <f t="shared" si="14"/>
        <v>56</v>
      </c>
      <c r="F61" s="26">
        <v>29</v>
      </c>
      <c r="G61" s="26">
        <v>27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 x14ac:dyDescent="0.25">
      <c r="A62" s="9" t="s">
        <v>44</v>
      </c>
      <c r="B62" s="10">
        <f t="shared" si="13"/>
        <v>93</v>
      </c>
      <c r="C62" s="11">
        <v>23</v>
      </c>
      <c r="D62" s="21">
        <v>70</v>
      </c>
      <c r="E62" s="10">
        <f t="shared" si="14"/>
        <v>109</v>
      </c>
      <c r="F62" s="26">
        <v>33</v>
      </c>
      <c r="G62" s="26">
        <v>76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 x14ac:dyDescent="0.25">
      <c r="A63" s="9" t="s">
        <v>183</v>
      </c>
      <c r="B63" s="10">
        <f t="shared" si="13"/>
        <v>98</v>
      </c>
      <c r="C63" s="11">
        <v>43</v>
      </c>
      <c r="D63" s="21">
        <v>55</v>
      </c>
      <c r="E63" s="10">
        <f t="shared" si="14"/>
        <v>96</v>
      </c>
      <c r="F63" s="26">
        <v>40</v>
      </c>
      <c r="G63" s="26">
        <v>56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 x14ac:dyDescent="0.25">
      <c r="A64" s="9" t="s">
        <v>45</v>
      </c>
      <c r="B64" s="10">
        <f t="shared" si="13"/>
        <v>53</v>
      </c>
      <c r="C64" s="11">
        <v>20</v>
      </c>
      <c r="D64" s="21">
        <v>33</v>
      </c>
      <c r="E64" s="10">
        <f t="shared" si="14"/>
        <v>56</v>
      </c>
      <c r="F64" s="26">
        <v>20</v>
      </c>
      <c r="G64" s="26">
        <v>36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 x14ac:dyDescent="0.25">
      <c r="A65" s="9" t="s">
        <v>46</v>
      </c>
      <c r="B65" s="10">
        <f t="shared" si="13"/>
        <v>63</v>
      </c>
      <c r="C65" s="11">
        <v>28</v>
      </c>
      <c r="D65" s="21">
        <v>35</v>
      </c>
      <c r="E65" s="10">
        <f t="shared" si="14"/>
        <v>63</v>
      </c>
      <c r="F65" s="26">
        <v>29</v>
      </c>
      <c r="G65" s="26">
        <v>34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 x14ac:dyDescent="0.25">
      <c r="A66" s="9" t="s">
        <v>47</v>
      </c>
      <c r="B66" s="10">
        <f t="shared" si="13"/>
        <v>43</v>
      </c>
      <c r="C66" s="11">
        <v>22</v>
      </c>
      <c r="D66" s="21">
        <v>21</v>
      </c>
      <c r="E66" s="10">
        <f t="shared" si="14"/>
        <v>45</v>
      </c>
      <c r="F66" s="26">
        <v>22</v>
      </c>
      <c r="G66" s="26">
        <v>23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 x14ac:dyDescent="0.25">
      <c r="A67" s="9" t="s">
        <v>48</v>
      </c>
      <c r="B67" s="10">
        <f t="shared" si="13"/>
        <v>40</v>
      </c>
      <c r="C67" s="11">
        <v>22</v>
      </c>
      <c r="D67" s="21">
        <v>18</v>
      </c>
      <c r="E67" s="10">
        <f t="shared" si="14"/>
        <v>44</v>
      </c>
      <c r="F67" s="26">
        <v>22</v>
      </c>
      <c r="G67" s="26">
        <v>22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 x14ac:dyDescent="0.25">
      <c r="A68" s="9" t="s">
        <v>49</v>
      </c>
      <c r="B68" s="10">
        <f t="shared" si="13"/>
        <v>49</v>
      </c>
      <c r="C68" s="11">
        <v>19</v>
      </c>
      <c r="D68" s="21">
        <v>30</v>
      </c>
      <c r="E68" s="10">
        <f t="shared" si="14"/>
        <v>50</v>
      </c>
      <c r="F68" s="26">
        <v>19</v>
      </c>
      <c r="G68" s="26">
        <v>31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 x14ac:dyDescent="0.25">
      <c r="A69" s="9" t="s">
        <v>50</v>
      </c>
      <c r="B69" s="10">
        <f t="shared" si="13"/>
        <v>26</v>
      </c>
      <c r="C69" s="11">
        <v>16</v>
      </c>
      <c r="D69" s="21">
        <v>10</v>
      </c>
      <c r="E69" s="10">
        <f t="shared" si="14"/>
        <v>33</v>
      </c>
      <c r="F69" s="26">
        <v>20</v>
      </c>
      <c r="G69" s="26">
        <v>13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 x14ac:dyDescent="0.25">
      <c r="A70" s="9" t="s">
        <v>51</v>
      </c>
      <c r="B70" s="10">
        <f t="shared" si="13"/>
        <v>203</v>
      </c>
      <c r="C70" s="11">
        <v>72</v>
      </c>
      <c r="D70" s="21">
        <v>131</v>
      </c>
      <c r="E70" s="10">
        <f t="shared" si="14"/>
        <v>202</v>
      </c>
      <c r="F70" s="26">
        <v>73</v>
      </c>
      <c r="G70" s="26">
        <v>129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 x14ac:dyDescent="0.25">
      <c r="A71" s="9" t="s">
        <v>52</v>
      </c>
      <c r="B71" s="10">
        <f t="shared" si="13"/>
        <v>54</v>
      </c>
      <c r="C71" s="11">
        <v>17</v>
      </c>
      <c r="D71" s="21">
        <v>37</v>
      </c>
      <c r="E71" s="10">
        <f t="shared" si="14"/>
        <v>54</v>
      </c>
      <c r="F71" s="26">
        <v>15</v>
      </c>
      <c r="G71" s="26">
        <v>39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 x14ac:dyDescent="0.25">
      <c r="A72" s="9" t="s">
        <v>53</v>
      </c>
      <c r="B72" s="10">
        <f t="shared" si="13"/>
        <v>40</v>
      </c>
      <c r="C72" s="11">
        <v>17</v>
      </c>
      <c r="D72" s="21">
        <v>23</v>
      </c>
      <c r="E72" s="10">
        <f t="shared" si="14"/>
        <v>43</v>
      </c>
      <c r="F72" s="26">
        <v>21</v>
      </c>
      <c r="G72" s="26">
        <v>22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 x14ac:dyDescent="0.25">
      <c r="A73" s="5" t="s">
        <v>159</v>
      </c>
      <c r="B73" s="7">
        <f t="shared" si="13"/>
        <v>1309</v>
      </c>
      <c r="C73" s="7">
        <f t="shared" ref="C73:D73" si="19">SUM(C74:C88)</f>
        <v>550</v>
      </c>
      <c r="D73" s="22">
        <f t="shared" si="19"/>
        <v>759</v>
      </c>
      <c r="E73" s="7">
        <f t="shared" si="14"/>
        <v>1298</v>
      </c>
      <c r="F73" s="7">
        <f t="shared" ref="F73:G73" si="20">SUM(F74:F88)</f>
        <v>538</v>
      </c>
      <c r="G73" s="7">
        <f t="shared" si="20"/>
        <v>760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ht="15.75" customHeight="1" x14ac:dyDescent="0.25">
      <c r="A74" s="9" t="s">
        <v>54</v>
      </c>
      <c r="B74" s="10">
        <f t="shared" si="13"/>
        <v>111</v>
      </c>
      <c r="C74" s="11">
        <v>39</v>
      </c>
      <c r="D74" s="21">
        <v>72</v>
      </c>
      <c r="E74" s="10">
        <f t="shared" si="14"/>
        <v>106</v>
      </c>
      <c r="F74" s="26">
        <v>33</v>
      </c>
      <c r="G74" s="26">
        <v>73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 x14ac:dyDescent="0.25">
      <c r="A75" s="9" t="s">
        <v>55</v>
      </c>
      <c r="B75" s="10">
        <f t="shared" si="13"/>
        <v>33</v>
      </c>
      <c r="C75" s="11">
        <v>18</v>
      </c>
      <c r="D75" s="21">
        <v>15</v>
      </c>
      <c r="E75" s="10">
        <f t="shared" si="14"/>
        <v>42</v>
      </c>
      <c r="F75" s="26">
        <v>23</v>
      </c>
      <c r="G75" s="26">
        <v>19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 x14ac:dyDescent="0.25">
      <c r="A76" s="9" t="s">
        <v>56</v>
      </c>
      <c r="B76" s="10">
        <f t="shared" si="13"/>
        <v>99</v>
      </c>
      <c r="C76" s="11">
        <v>35</v>
      </c>
      <c r="D76" s="21">
        <v>64</v>
      </c>
      <c r="E76" s="10">
        <f t="shared" si="14"/>
        <v>90</v>
      </c>
      <c r="F76" s="26">
        <v>32</v>
      </c>
      <c r="G76" s="26">
        <v>58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 x14ac:dyDescent="0.25">
      <c r="A77" s="9" t="s">
        <v>57</v>
      </c>
      <c r="B77" s="10">
        <f t="shared" si="13"/>
        <v>43</v>
      </c>
      <c r="C77" s="11">
        <v>29</v>
      </c>
      <c r="D77" s="21">
        <v>14</v>
      </c>
      <c r="E77" s="10">
        <f t="shared" si="14"/>
        <v>44</v>
      </c>
      <c r="F77" s="26">
        <v>29</v>
      </c>
      <c r="G77" s="26">
        <v>15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 x14ac:dyDescent="0.25">
      <c r="A78" s="9" t="s">
        <v>58</v>
      </c>
      <c r="B78" s="10">
        <f t="shared" si="13"/>
        <v>101</v>
      </c>
      <c r="C78" s="11">
        <v>48</v>
      </c>
      <c r="D78" s="21">
        <v>53</v>
      </c>
      <c r="E78" s="10">
        <f t="shared" si="14"/>
        <v>101</v>
      </c>
      <c r="F78" s="26">
        <v>48</v>
      </c>
      <c r="G78" s="26">
        <v>53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 x14ac:dyDescent="0.25">
      <c r="A79" s="9" t="s">
        <v>184</v>
      </c>
      <c r="B79" s="10">
        <f t="shared" si="13"/>
        <v>85</v>
      </c>
      <c r="C79" s="11">
        <v>24</v>
      </c>
      <c r="D79" s="21">
        <v>61</v>
      </c>
      <c r="E79" s="10">
        <f t="shared" si="14"/>
        <v>84</v>
      </c>
      <c r="F79" s="26">
        <v>24</v>
      </c>
      <c r="G79" s="26">
        <v>60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 x14ac:dyDescent="0.25">
      <c r="A80" s="9" t="s">
        <v>59</v>
      </c>
      <c r="B80" s="10">
        <f t="shared" si="13"/>
        <v>58</v>
      </c>
      <c r="C80" s="11">
        <v>21</v>
      </c>
      <c r="D80" s="21">
        <v>37</v>
      </c>
      <c r="E80" s="10">
        <f t="shared" si="14"/>
        <v>59</v>
      </c>
      <c r="F80" s="26">
        <v>22</v>
      </c>
      <c r="G80" s="26">
        <v>37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 x14ac:dyDescent="0.25">
      <c r="A81" s="9" t="s">
        <v>60</v>
      </c>
      <c r="B81" s="10">
        <f t="shared" si="13"/>
        <v>49</v>
      </c>
      <c r="C81" s="11">
        <v>25</v>
      </c>
      <c r="D81" s="21">
        <v>24</v>
      </c>
      <c r="E81" s="10">
        <f t="shared" si="14"/>
        <v>54</v>
      </c>
      <c r="F81" s="26">
        <v>28</v>
      </c>
      <c r="G81" s="26">
        <v>26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 x14ac:dyDescent="0.25">
      <c r="A82" s="9" t="s">
        <v>61</v>
      </c>
      <c r="B82" s="10">
        <f t="shared" si="13"/>
        <v>62</v>
      </c>
      <c r="C82" s="11">
        <v>17</v>
      </c>
      <c r="D82" s="21">
        <v>45</v>
      </c>
      <c r="E82" s="10">
        <f t="shared" si="14"/>
        <v>65</v>
      </c>
      <c r="F82" s="26">
        <v>19</v>
      </c>
      <c r="G82" s="26">
        <v>46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 x14ac:dyDescent="0.25">
      <c r="A83" s="9" t="s">
        <v>62</v>
      </c>
      <c r="B83" s="10">
        <f t="shared" si="13"/>
        <v>100</v>
      </c>
      <c r="C83" s="11">
        <v>33</v>
      </c>
      <c r="D83" s="21">
        <v>67</v>
      </c>
      <c r="E83" s="10">
        <f t="shared" si="14"/>
        <v>103</v>
      </c>
      <c r="F83" s="26">
        <v>33</v>
      </c>
      <c r="G83" s="26">
        <v>70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 x14ac:dyDescent="0.25">
      <c r="A84" s="9" t="s">
        <v>63</v>
      </c>
      <c r="B84" s="10">
        <f t="shared" si="13"/>
        <v>49</v>
      </c>
      <c r="C84" s="11">
        <v>25</v>
      </c>
      <c r="D84" s="21">
        <v>24</v>
      </c>
      <c r="E84" s="10">
        <f t="shared" si="14"/>
        <v>54</v>
      </c>
      <c r="F84" s="26">
        <v>27</v>
      </c>
      <c r="G84" s="26">
        <v>27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 x14ac:dyDescent="0.25">
      <c r="A85" s="9" t="s">
        <v>64</v>
      </c>
      <c r="B85" s="10">
        <f t="shared" si="13"/>
        <v>50</v>
      </c>
      <c r="C85" s="11">
        <v>22</v>
      </c>
      <c r="D85" s="21">
        <v>28</v>
      </c>
      <c r="E85" s="10">
        <f t="shared" si="14"/>
        <v>47</v>
      </c>
      <c r="F85" s="26">
        <v>19</v>
      </c>
      <c r="G85" s="26">
        <v>28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 x14ac:dyDescent="0.25">
      <c r="A86" s="9" t="s">
        <v>65</v>
      </c>
      <c r="B86" s="10">
        <f t="shared" si="13"/>
        <v>56</v>
      </c>
      <c r="C86" s="11">
        <v>23</v>
      </c>
      <c r="D86" s="21">
        <v>33</v>
      </c>
      <c r="E86" s="10">
        <f t="shared" si="14"/>
        <v>59</v>
      </c>
      <c r="F86" s="26">
        <v>24</v>
      </c>
      <c r="G86" s="26">
        <v>35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 x14ac:dyDescent="0.25">
      <c r="A87" s="9" t="s">
        <v>185</v>
      </c>
      <c r="B87" s="10">
        <f t="shared" si="13"/>
        <v>373</v>
      </c>
      <c r="C87" s="11">
        <v>166</v>
      </c>
      <c r="D87" s="21">
        <v>207</v>
      </c>
      <c r="E87" s="10">
        <f t="shared" si="14"/>
        <v>345</v>
      </c>
      <c r="F87" s="26">
        <v>151</v>
      </c>
      <c r="G87" s="26">
        <v>194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 x14ac:dyDescent="0.25">
      <c r="A88" s="9" t="s">
        <v>66</v>
      </c>
      <c r="B88" s="10">
        <f t="shared" si="13"/>
        <v>40</v>
      </c>
      <c r="C88" s="11">
        <v>25</v>
      </c>
      <c r="D88" s="21">
        <v>15</v>
      </c>
      <c r="E88" s="10">
        <f t="shared" si="14"/>
        <v>45</v>
      </c>
      <c r="F88" s="26">
        <v>26</v>
      </c>
      <c r="G88" s="26">
        <v>19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 x14ac:dyDescent="0.25">
      <c r="A89" s="5" t="s">
        <v>160</v>
      </c>
      <c r="B89" s="7">
        <f t="shared" si="13"/>
        <v>820</v>
      </c>
      <c r="C89" s="7">
        <f t="shared" ref="C89:D89" si="21">SUM(C90:C102)</f>
        <v>282</v>
      </c>
      <c r="D89" s="22">
        <f t="shared" si="21"/>
        <v>538</v>
      </c>
      <c r="E89" s="7">
        <f t="shared" si="14"/>
        <v>890</v>
      </c>
      <c r="F89" s="7">
        <f t="shared" ref="F89:G89" si="22">SUM(F90:F102)</f>
        <v>323</v>
      </c>
      <c r="G89" s="7">
        <f t="shared" si="22"/>
        <v>567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ht="15.75" customHeight="1" x14ac:dyDescent="0.25">
      <c r="A90" s="9" t="s">
        <v>67</v>
      </c>
      <c r="B90" s="10">
        <f t="shared" si="13"/>
        <v>35</v>
      </c>
      <c r="C90" s="11">
        <v>12</v>
      </c>
      <c r="D90" s="21">
        <v>23</v>
      </c>
      <c r="E90" s="10">
        <f t="shared" si="14"/>
        <v>65</v>
      </c>
      <c r="F90" s="26">
        <v>17</v>
      </c>
      <c r="G90" s="26">
        <v>48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 x14ac:dyDescent="0.25">
      <c r="A91" s="9" t="s">
        <v>186</v>
      </c>
      <c r="B91" s="10">
        <f t="shared" si="13"/>
        <v>36</v>
      </c>
      <c r="C91" s="11">
        <v>15</v>
      </c>
      <c r="D91" s="21">
        <v>21</v>
      </c>
      <c r="E91" s="10">
        <f t="shared" si="14"/>
        <v>39</v>
      </c>
      <c r="F91" s="26">
        <v>17</v>
      </c>
      <c r="G91" s="26">
        <v>22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 x14ac:dyDescent="0.25">
      <c r="A92" s="9" t="s">
        <v>68</v>
      </c>
      <c r="B92" s="10">
        <f t="shared" si="13"/>
        <v>274</v>
      </c>
      <c r="C92" s="11">
        <v>87</v>
      </c>
      <c r="D92" s="21">
        <v>187</v>
      </c>
      <c r="E92" s="10">
        <f t="shared" si="14"/>
        <v>256</v>
      </c>
      <c r="F92" s="26">
        <v>92</v>
      </c>
      <c r="G92" s="26">
        <v>164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 x14ac:dyDescent="0.25">
      <c r="A93" s="9" t="s">
        <v>69</v>
      </c>
      <c r="B93" s="10">
        <f t="shared" si="13"/>
        <v>11</v>
      </c>
      <c r="C93" s="11">
        <v>2</v>
      </c>
      <c r="D93" s="21">
        <v>9</v>
      </c>
      <c r="E93" s="10">
        <f t="shared" si="14"/>
        <v>11</v>
      </c>
      <c r="F93" s="26">
        <v>2</v>
      </c>
      <c r="G93" s="26">
        <v>9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 x14ac:dyDescent="0.25">
      <c r="A94" s="9" t="s">
        <v>70</v>
      </c>
      <c r="B94" s="10">
        <f t="shared" si="13"/>
        <v>14</v>
      </c>
      <c r="C94" s="11">
        <v>5</v>
      </c>
      <c r="D94" s="21">
        <v>9</v>
      </c>
      <c r="E94" s="10">
        <f t="shared" si="14"/>
        <v>19</v>
      </c>
      <c r="F94" s="26">
        <v>8</v>
      </c>
      <c r="G94" s="26">
        <v>11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 x14ac:dyDescent="0.25">
      <c r="A95" s="9" t="s">
        <v>35</v>
      </c>
      <c r="B95" s="10">
        <f t="shared" si="13"/>
        <v>51</v>
      </c>
      <c r="C95" s="11">
        <v>16</v>
      </c>
      <c r="D95" s="21">
        <v>35</v>
      </c>
      <c r="E95" s="10">
        <f t="shared" si="14"/>
        <v>51</v>
      </c>
      <c r="F95" s="26">
        <v>16</v>
      </c>
      <c r="G95" s="26">
        <v>35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 x14ac:dyDescent="0.25">
      <c r="A96" s="9" t="s">
        <v>71</v>
      </c>
      <c r="B96" s="10">
        <f t="shared" si="13"/>
        <v>59</v>
      </c>
      <c r="C96" s="11">
        <v>25</v>
      </c>
      <c r="D96" s="21">
        <v>34</v>
      </c>
      <c r="E96" s="10">
        <f t="shared" si="14"/>
        <v>68</v>
      </c>
      <c r="F96" s="26">
        <v>32</v>
      </c>
      <c r="G96" s="26">
        <v>36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 x14ac:dyDescent="0.25">
      <c r="A97" s="9" t="s">
        <v>72</v>
      </c>
      <c r="B97" s="10">
        <f t="shared" si="13"/>
        <v>31</v>
      </c>
      <c r="C97" s="11">
        <v>7</v>
      </c>
      <c r="D97" s="21">
        <v>24</v>
      </c>
      <c r="E97" s="10">
        <f t="shared" si="14"/>
        <v>35</v>
      </c>
      <c r="F97" s="26">
        <v>11</v>
      </c>
      <c r="G97" s="26">
        <v>24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 x14ac:dyDescent="0.25">
      <c r="A98" s="9" t="s">
        <v>73</v>
      </c>
      <c r="B98" s="10">
        <f t="shared" si="13"/>
        <v>63</v>
      </c>
      <c r="C98" s="11">
        <v>32</v>
      </c>
      <c r="D98" s="21">
        <v>31</v>
      </c>
      <c r="E98" s="10">
        <f t="shared" si="14"/>
        <v>65</v>
      </c>
      <c r="F98" s="26">
        <v>31</v>
      </c>
      <c r="G98" s="26">
        <v>34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 x14ac:dyDescent="0.25">
      <c r="A99" s="9" t="s">
        <v>74</v>
      </c>
      <c r="B99" s="10">
        <f t="shared" si="13"/>
        <v>43</v>
      </c>
      <c r="C99" s="11">
        <v>16</v>
      </c>
      <c r="D99" s="21">
        <v>27</v>
      </c>
      <c r="E99" s="10">
        <f t="shared" si="14"/>
        <v>48</v>
      </c>
      <c r="F99" s="26">
        <v>18</v>
      </c>
      <c r="G99" s="26">
        <v>30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 x14ac:dyDescent="0.25">
      <c r="A100" s="9" t="s">
        <v>75</v>
      </c>
      <c r="B100" s="10">
        <f t="shared" si="13"/>
        <v>45</v>
      </c>
      <c r="C100" s="11">
        <v>15</v>
      </c>
      <c r="D100" s="21">
        <v>30</v>
      </c>
      <c r="E100" s="10">
        <f t="shared" si="14"/>
        <v>53</v>
      </c>
      <c r="F100" s="26">
        <v>17</v>
      </c>
      <c r="G100" s="26">
        <v>36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 x14ac:dyDescent="0.25">
      <c r="A101" s="9" t="s">
        <v>76</v>
      </c>
      <c r="B101" s="10">
        <f t="shared" si="13"/>
        <v>41</v>
      </c>
      <c r="C101" s="11">
        <v>11</v>
      </c>
      <c r="D101" s="21">
        <v>30</v>
      </c>
      <c r="E101" s="10">
        <f t="shared" si="14"/>
        <v>47</v>
      </c>
      <c r="F101" s="26">
        <v>16</v>
      </c>
      <c r="G101" s="26">
        <v>31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 x14ac:dyDescent="0.25">
      <c r="A102" s="9" t="s">
        <v>77</v>
      </c>
      <c r="B102" s="10">
        <f t="shared" si="13"/>
        <v>117</v>
      </c>
      <c r="C102" s="11">
        <v>39</v>
      </c>
      <c r="D102" s="21">
        <v>78</v>
      </c>
      <c r="E102" s="10">
        <f t="shared" si="14"/>
        <v>133</v>
      </c>
      <c r="F102" s="26">
        <v>46</v>
      </c>
      <c r="G102" s="26">
        <v>87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 x14ac:dyDescent="0.25">
      <c r="A103" s="5" t="s">
        <v>161</v>
      </c>
      <c r="B103" s="7">
        <f t="shared" si="13"/>
        <v>506</v>
      </c>
      <c r="C103" s="7">
        <f t="shared" ref="C103:D103" si="23">SUM(C104:C108)</f>
        <v>173</v>
      </c>
      <c r="D103" s="22">
        <f t="shared" si="23"/>
        <v>333</v>
      </c>
      <c r="E103" s="7">
        <f t="shared" si="14"/>
        <v>541</v>
      </c>
      <c r="F103" s="7">
        <f t="shared" ref="F103:G103" si="24">SUM(F104:F108)</f>
        <v>184</v>
      </c>
      <c r="G103" s="7">
        <f t="shared" si="24"/>
        <v>357</v>
      </c>
      <c r="H103" s="8"/>
      <c r="I103" s="1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ht="15.75" customHeight="1" x14ac:dyDescent="0.25">
      <c r="A104" s="9" t="s">
        <v>78</v>
      </c>
      <c r="B104" s="10">
        <f t="shared" si="13"/>
        <v>64</v>
      </c>
      <c r="C104" s="11">
        <v>24</v>
      </c>
      <c r="D104" s="21">
        <v>40</v>
      </c>
      <c r="E104" s="10">
        <f t="shared" si="14"/>
        <v>70</v>
      </c>
      <c r="F104" s="26">
        <v>27</v>
      </c>
      <c r="G104" s="26">
        <v>43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 x14ac:dyDescent="0.25">
      <c r="A105" s="9" t="s">
        <v>79</v>
      </c>
      <c r="B105" s="10">
        <f t="shared" si="13"/>
        <v>40</v>
      </c>
      <c r="C105" s="11">
        <v>14</v>
      </c>
      <c r="D105" s="21">
        <v>26</v>
      </c>
      <c r="E105" s="10">
        <f t="shared" si="14"/>
        <v>44</v>
      </c>
      <c r="F105" s="26">
        <v>15</v>
      </c>
      <c r="G105" s="26">
        <v>29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 x14ac:dyDescent="0.25">
      <c r="A106" s="9" t="s">
        <v>80</v>
      </c>
      <c r="B106" s="10">
        <f t="shared" si="13"/>
        <v>360</v>
      </c>
      <c r="C106" s="11">
        <v>114</v>
      </c>
      <c r="D106" s="21">
        <v>246</v>
      </c>
      <c r="E106" s="10">
        <f t="shared" si="14"/>
        <v>383</v>
      </c>
      <c r="F106" s="26">
        <v>122</v>
      </c>
      <c r="G106" s="26">
        <v>261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 x14ac:dyDescent="0.25">
      <c r="A107" s="12" t="s">
        <v>187</v>
      </c>
      <c r="B107" s="10">
        <f t="shared" si="13"/>
        <v>1</v>
      </c>
      <c r="C107" s="11">
        <v>0</v>
      </c>
      <c r="D107" s="21">
        <v>1</v>
      </c>
      <c r="E107" s="10">
        <f t="shared" si="14"/>
        <v>1</v>
      </c>
      <c r="F107" s="26">
        <v>0</v>
      </c>
      <c r="G107" s="26">
        <v>1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 x14ac:dyDescent="0.25">
      <c r="A108" s="9" t="s">
        <v>81</v>
      </c>
      <c r="B108" s="10">
        <f t="shared" si="13"/>
        <v>41</v>
      </c>
      <c r="C108" s="11">
        <v>21</v>
      </c>
      <c r="D108" s="21">
        <v>20</v>
      </c>
      <c r="E108" s="10">
        <f t="shared" si="14"/>
        <v>43</v>
      </c>
      <c r="F108" s="26">
        <v>20</v>
      </c>
      <c r="G108" s="26">
        <v>23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 x14ac:dyDescent="0.25">
      <c r="A109" s="5" t="s">
        <v>162</v>
      </c>
      <c r="B109" s="7">
        <f>SUM(C109:D109)</f>
        <v>846</v>
      </c>
      <c r="C109" s="7">
        <f>SUM(C110:C118)</f>
        <v>321</v>
      </c>
      <c r="D109" s="22">
        <f t="shared" ref="D109" si="25">SUM(D110:D118)</f>
        <v>525</v>
      </c>
      <c r="E109" s="7">
        <f>SUM(F109:G109)</f>
        <v>893</v>
      </c>
      <c r="F109" s="7">
        <f>SUM(F110:F118)</f>
        <v>348</v>
      </c>
      <c r="G109" s="7">
        <f t="shared" ref="G109" si="26">SUM(G110:G118)</f>
        <v>545</v>
      </c>
      <c r="H109" s="8"/>
      <c r="I109" s="1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ht="15.75" customHeight="1" x14ac:dyDescent="0.25">
      <c r="A110" s="9" t="s">
        <v>82</v>
      </c>
      <c r="B110" s="10">
        <f>SUM(C110:D110)</f>
        <v>48</v>
      </c>
      <c r="C110" s="11">
        <v>15</v>
      </c>
      <c r="D110" s="21">
        <v>33</v>
      </c>
      <c r="E110" s="10">
        <f>SUM(F110:G110)</f>
        <v>57</v>
      </c>
      <c r="F110" s="26">
        <v>20</v>
      </c>
      <c r="G110" s="26">
        <v>37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 x14ac:dyDescent="0.25">
      <c r="A111" s="9" t="s">
        <v>83</v>
      </c>
      <c r="B111" s="10">
        <f t="shared" si="13"/>
        <v>80</v>
      </c>
      <c r="C111" s="11">
        <v>35</v>
      </c>
      <c r="D111" s="21">
        <v>45</v>
      </c>
      <c r="E111" s="10">
        <f t="shared" ref="E111:E225" si="27">SUM(F111:G111)</f>
        <v>84</v>
      </c>
      <c r="F111" s="26">
        <v>37</v>
      </c>
      <c r="G111" s="26">
        <v>47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 x14ac:dyDescent="0.25">
      <c r="A112" s="9" t="s">
        <v>84</v>
      </c>
      <c r="B112" s="10">
        <f t="shared" si="13"/>
        <v>48</v>
      </c>
      <c r="C112" s="11">
        <v>18</v>
      </c>
      <c r="D112" s="21">
        <v>30</v>
      </c>
      <c r="E112" s="10">
        <f t="shared" si="27"/>
        <v>48</v>
      </c>
      <c r="F112" s="26">
        <v>17</v>
      </c>
      <c r="G112" s="26">
        <v>31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 x14ac:dyDescent="0.25">
      <c r="A113" s="9" t="s">
        <v>85</v>
      </c>
      <c r="B113" s="10">
        <f t="shared" si="13"/>
        <v>235</v>
      </c>
      <c r="C113" s="11">
        <v>117</v>
      </c>
      <c r="D113" s="21">
        <v>118</v>
      </c>
      <c r="E113" s="10">
        <f t="shared" si="27"/>
        <v>238</v>
      </c>
      <c r="F113" s="26">
        <v>123</v>
      </c>
      <c r="G113" s="26">
        <v>115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 x14ac:dyDescent="0.25">
      <c r="A114" s="9" t="s">
        <v>86</v>
      </c>
      <c r="B114" s="10">
        <f t="shared" si="13"/>
        <v>54</v>
      </c>
      <c r="C114" s="11">
        <v>12</v>
      </c>
      <c r="D114" s="21">
        <v>42</v>
      </c>
      <c r="E114" s="10">
        <f t="shared" si="27"/>
        <v>53</v>
      </c>
      <c r="F114" s="26">
        <v>9</v>
      </c>
      <c r="G114" s="26">
        <v>44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 x14ac:dyDescent="0.25">
      <c r="A115" s="9" t="s">
        <v>87</v>
      </c>
      <c r="B115" s="10">
        <f t="shared" si="13"/>
        <v>61</v>
      </c>
      <c r="C115" s="11">
        <v>6</v>
      </c>
      <c r="D115" s="21">
        <v>55</v>
      </c>
      <c r="E115" s="10">
        <f t="shared" si="27"/>
        <v>62</v>
      </c>
      <c r="F115" s="26">
        <v>6</v>
      </c>
      <c r="G115" s="26">
        <v>56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 x14ac:dyDescent="0.25">
      <c r="A116" s="9" t="s">
        <v>88</v>
      </c>
      <c r="B116" s="10">
        <f t="shared" si="13"/>
        <v>63</v>
      </c>
      <c r="C116" s="11">
        <v>31</v>
      </c>
      <c r="D116" s="21">
        <v>32</v>
      </c>
      <c r="E116" s="10">
        <f t="shared" si="27"/>
        <v>63</v>
      </c>
      <c r="F116" s="26">
        <v>32</v>
      </c>
      <c r="G116" s="26">
        <v>31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 x14ac:dyDescent="0.25">
      <c r="A117" s="9" t="s">
        <v>89</v>
      </c>
      <c r="B117" s="10">
        <f t="shared" si="13"/>
        <v>91</v>
      </c>
      <c r="C117" s="11">
        <v>20</v>
      </c>
      <c r="D117" s="21">
        <v>71</v>
      </c>
      <c r="E117" s="10">
        <f t="shared" si="27"/>
        <v>108</v>
      </c>
      <c r="F117" s="26">
        <v>27</v>
      </c>
      <c r="G117" s="26">
        <v>81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 x14ac:dyDescent="0.25">
      <c r="A118" s="9" t="s">
        <v>90</v>
      </c>
      <c r="B118" s="10">
        <f t="shared" si="13"/>
        <v>166</v>
      </c>
      <c r="C118" s="11">
        <v>67</v>
      </c>
      <c r="D118" s="21">
        <v>99</v>
      </c>
      <c r="E118" s="10">
        <f t="shared" si="27"/>
        <v>180</v>
      </c>
      <c r="F118" s="26">
        <v>77</v>
      </c>
      <c r="G118" s="26">
        <v>103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 x14ac:dyDescent="0.25">
      <c r="A119" s="5" t="s">
        <v>163</v>
      </c>
      <c r="B119" s="7">
        <f t="shared" si="13"/>
        <v>513</v>
      </c>
      <c r="C119" s="7">
        <f t="shared" ref="C119:D119" si="28">SUM(C120:C127)</f>
        <v>180</v>
      </c>
      <c r="D119" s="22">
        <f t="shared" si="28"/>
        <v>333</v>
      </c>
      <c r="E119" s="7">
        <f t="shared" si="27"/>
        <v>559</v>
      </c>
      <c r="F119" s="7">
        <f t="shared" ref="F119:G119" si="29">SUM(F120:F127)</f>
        <v>202</v>
      </c>
      <c r="G119" s="7">
        <f t="shared" si="29"/>
        <v>357</v>
      </c>
      <c r="H119" s="8"/>
      <c r="I119" s="1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ht="15.75" customHeight="1" x14ac:dyDescent="0.25">
      <c r="A120" s="9" t="s">
        <v>91</v>
      </c>
      <c r="B120" s="10">
        <f t="shared" si="13"/>
        <v>47</v>
      </c>
      <c r="C120" s="11">
        <v>17</v>
      </c>
      <c r="D120" s="21">
        <v>30</v>
      </c>
      <c r="E120" s="10">
        <f t="shared" si="27"/>
        <v>57</v>
      </c>
      <c r="F120" s="26">
        <v>21</v>
      </c>
      <c r="G120" s="26">
        <v>36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 x14ac:dyDescent="0.25">
      <c r="A121" s="9" t="s">
        <v>92</v>
      </c>
      <c r="B121" s="10">
        <f t="shared" si="13"/>
        <v>24</v>
      </c>
      <c r="C121" s="11">
        <v>4</v>
      </c>
      <c r="D121" s="21">
        <v>20</v>
      </c>
      <c r="E121" s="10">
        <f t="shared" si="27"/>
        <v>26</v>
      </c>
      <c r="F121" s="26">
        <v>5</v>
      </c>
      <c r="G121" s="26">
        <v>21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 x14ac:dyDescent="0.25">
      <c r="A122" s="9" t="s">
        <v>93</v>
      </c>
      <c r="B122" s="10">
        <f t="shared" si="13"/>
        <v>50</v>
      </c>
      <c r="C122" s="11">
        <v>16</v>
      </c>
      <c r="D122" s="21">
        <v>34</v>
      </c>
      <c r="E122" s="10">
        <f t="shared" si="27"/>
        <v>60</v>
      </c>
      <c r="F122" s="26">
        <v>23</v>
      </c>
      <c r="G122" s="26">
        <v>37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 x14ac:dyDescent="0.25">
      <c r="A123" s="9" t="s">
        <v>76</v>
      </c>
      <c r="B123" s="10">
        <f t="shared" si="13"/>
        <v>46</v>
      </c>
      <c r="C123" s="11">
        <v>15</v>
      </c>
      <c r="D123" s="21">
        <v>31</v>
      </c>
      <c r="E123" s="10">
        <f t="shared" si="27"/>
        <v>48</v>
      </c>
      <c r="F123" s="26">
        <v>15</v>
      </c>
      <c r="G123" s="26">
        <v>33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 x14ac:dyDescent="0.25">
      <c r="A124" s="9" t="s">
        <v>94</v>
      </c>
      <c r="B124" s="10">
        <f t="shared" si="13"/>
        <v>61</v>
      </c>
      <c r="C124" s="11">
        <v>25</v>
      </c>
      <c r="D124" s="21">
        <v>36</v>
      </c>
      <c r="E124" s="10">
        <f t="shared" si="27"/>
        <v>66</v>
      </c>
      <c r="F124" s="26">
        <v>29</v>
      </c>
      <c r="G124" s="26">
        <v>37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 x14ac:dyDescent="0.25">
      <c r="A125" s="9" t="s">
        <v>95</v>
      </c>
      <c r="B125" s="10">
        <f t="shared" si="13"/>
        <v>126</v>
      </c>
      <c r="C125" s="11">
        <v>37</v>
      </c>
      <c r="D125" s="21">
        <v>89</v>
      </c>
      <c r="E125" s="10">
        <f t="shared" si="27"/>
        <v>131</v>
      </c>
      <c r="F125" s="26">
        <v>38</v>
      </c>
      <c r="G125" s="26">
        <v>93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 x14ac:dyDescent="0.25">
      <c r="A126" s="9" t="s">
        <v>96</v>
      </c>
      <c r="B126" s="10">
        <f t="shared" si="13"/>
        <v>84</v>
      </c>
      <c r="C126" s="11">
        <v>45</v>
      </c>
      <c r="D126" s="21">
        <v>39</v>
      </c>
      <c r="E126" s="10">
        <f t="shared" si="27"/>
        <v>94</v>
      </c>
      <c r="F126" s="26">
        <v>50</v>
      </c>
      <c r="G126" s="26">
        <v>44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 x14ac:dyDescent="0.25">
      <c r="A127" s="9" t="s">
        <v>97</v>
      </c>
      <c r="B127" s="10">
        <f t="shared" si="13"/>
        <v>75</v>
      </c>
      <c r="C127" s="11">
        <v>21</v>
      </c>
      <c r="D127" s="21">
        <v>54</v>
      </c>
      <c r="E127" s="10">
        <f t="shared" si="27"/>
        <v>77</v>
      </c>
      <c r="F127" s="26">
        <v>21</v>
      </c>
      <c r="G127" s="26">
        <v>56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 x14ac:dyDescent="0.25">
      <c r="A128" s="5" t="s">
        <v>164</v>
      </c>
      <c r="B128" s="7">
        <f t="shared" si="13"/>
        <v>635</v>
      </c>
      <c r="C128" s="7">
        <f t="shared" ref="C128:D128" si="30">SUM(C129:C138)</f>
        <v>187</v>
      </c>
      <c r="D128" s="22">
        <f t="shared" si="30"/>
        <v>448</v>
      </c>
      <c r="E128" s="7">
        <f t="shared" si="27"/>
        <v>680</v>
      </c>
      <c r="F128" s="7">
        <f t="shared" ref="F128:G128" si="31">SUM(F129:F138)</f>
        <v>206</v>
      </c>
      <c r="G128" s="7">
        <f t="shared" si="31"/>
        <v>474</v>
      </c>
      <c r="H128" s="8"/>
      <c r="I128" s="1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ht="15.75" customHeight="1" x14ac:dyDescent="0.25">
      <c r="A129" s="9" t="s">
        <v>188</v>
      </c>
      <c r="B129" s="10">
        <f t="shared" si="13"/>
        <v>51</v>
      </c>
      <c r="C129" s="11">
        <v>20</v>
      </c>
      <c r="D129" s="21">
        <v>31</v>
      </c>
      <c r="E129" s="10">
        <f t="shared" si="27"/>
        <v>50</v>
      </c>
      <c r="F129" s="26">
        <v>19</v>
      </c>
      <c r="G129" s="26">
        <v>31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 x14ac:dyDescent="0.25">
      <c r="A130" s="9" t="s">
        <v>9</v>
      </c>
      <c r="B130" s="10">
        <f t="shared" si="13"/>
        <v>17</v>
      </c>
      <c r="C130" s="11">
        <v>6</v>
      </c>
      <c r="D130" s="21">
        <v>11</v>
      </c>
      <c r="E130" s="10">
        <f t="shared" si="27"/>
        <v>14</v>
      </c>
      <c r="F130" s="26">
        <v>4</v>
      </c>
      <c r="G130" s="26">
        <v>10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 x14ac:dyDescent="0.25">
      <c r="A131" s="9" t="s">
        <v>98</v>
      </c>
      <c r="B131" s="10">
        <f t="shared" si="13"/>
        <v>56</v>
      </c>
      <c r="C131" s="11">
        <v>11</v>
      </c>
      <c r="D131" s="21">
        <v>45</v>
      </c>
      <c r="E131" s="10">
        <f t="shared" si="27"/>
        <v>58</v>
      </c>
      <c r="F131" s="26">
        <v>12</v>
      </c>
      <c r="G131" s="26">
        <v>46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 x14ac:dyDescent="0.25">
      <c r="A132" s="9" t="s">
        <v>99</v>
      </c>
      <c r="B132" s="10">
        <f t="shared" si="13"/>
        <v>57</v>
      </c>
      <c r="C132" s="11">
        <v>14</v>
      </c>
      <c r="D132" s="21">
        <v>43</v>
      </c>
      <c r="E132" s="10">
        <f t="shared" si="27"/>
        <v>64</v>
      </c>
      <c r="F132" s="26">
        <v>19</v>
      </c>
      <c r="G132" s="26">
        <v>45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 x14ac:dyDescent="0.25">
      <c r="A133" s="9" t="s">
        <v>189</v>
      </c>
      <c r="B133" s="10">
        <f t="shared" si="13"/>
        <v>46</v>
      </c>
      <c r="C133" s="11">
        <v>17</v>
      </c>
      <c r="D133" s="21">
        <v>29</v>
      </c>
      <c r="E133" s="10">
        <f t="shared" si="27"/>
        <v>52</v>
      </c>
      <c r="F133" s="26">
        <v>24</v>
      </c>
      <c r="G133" s="26">
        <v>28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 x14ac:dyDescent="0.25">
      <c r="A134" s="9" t="s">
        <v>177</v>
      </c>
      <c r="B134" s="10">
        <f t="shared" si="13"/>
        <v>34</v>
      </c>
      <c r="C134" s="11">
        <v>13</v>
      </c>
      <c r="D134" s="21">
        <v>21</v>
      </c>
      <c r="E134" s="10">
        <f t="shared" si="27"/>
        <v>43</v>
      </c>
      <c r="F134" s="26">
        <v>18</v>
      </c>
      <c r="G134" s="26">
        <v>25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 x14ac:dyDescent="0.25">
      <c r="A135" s="9" t="s">
        <v>100</v>
      </c>
      <c r="B135" s="10">
        <f t="shared" si="13"/>
        <v>56</v>
      </c>
      <c r="C135" s="11">
        <v>18</v>
      </c>
      <c r="D135" s="21">
        <v>38</v>
      </c>
      <c r="E135" s="10">
        <f t="shared" si="27"/>
        <v>58</v>
      </c>
      <c r="F135" s="26">
        <v>18</v>
      </c>
      <c r="G135" s="26">
        <v>40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 x14ac:dyDescent="0.25">
      <c r="A136" s="9" t="s">
        <v>101</v>
      </c>
      <c r="B136" s="10">
        <f t="shared" si="13"/>
        <v>250</v>
      </c>
      <c r="C136" s="11">
        <v>62</v>
      </c>
      <c r="D136" s="21">
        <v>188</v>
      </c>
      <c r="E136" s="10">
        <f t="shared" si="27"/>
        <v>270</v>
      </c>
      <c r="F136" s="26">
        <v>65</v>
      </c>
      <c r="G136" s="26">
        <v>205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 x14ac:dyDescent="0.25">
      <c r="A137" s="9" t="s">
        <v>102</v>
      </c>
      <c r="B137" s="10">
        <f t="shared" si="13"/>
        <v>20</v>
      </c>
      <c r="C137" s="11">
        <v>7</v>
      </c>
      <c r="D137" s="21">
        <v>13</v>
      </c>
      <c r="E137" s="10">
        <f t="shared" si="27"/>
        <v>21</v>
      </c>
      <c r="F137" s="26">
        <v>8</v>
      </c>
      <c r="G137" s="26">
        <v>13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 x14ac:dyDescent="0.25">
      <c r="A138" s="9" t="s">
        <v>103</v>
      </c>
      <c r="B138" s="10">
        <f t="shared" si="13"/>
        <v>48</v>
      </c>
      <c r="C138" s="11">
        <v>19</v>
      </c>
      <c r="D138" s="21">
        <v>29</v>
      </c>
      <c r="E138" s="10">
        <f t="shared" si="27"/>
        <v>50</v>
      </c>
      <c r="F138" s="26">
        <v>19</v>
      </c>
      <c r="G138" s="26">
        <v>31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 x14ac:dyDescent="0.25">
      <c r="A139" s="5" t="s">
        <v>165</v>
      </c>
      <c r="B139" s="7">
        <f t="shared" si="13"/>
        <v>199</v>
      </c>
      <c r="C139" s="7">
        <f t="shared" ref="C139:D139" si="32">SUM(C140:C144)</f>
        <v>71</v>
      </c>
      <c r="D139" s="22">
        <f t="shared" si="32"/>
        <v>128</v>
      </c>
      <c r="E139" s="7">
        <f t="shared" si="27"/>
        <v>192</v>
      </c>
      <c r="F139" s="7">
        <f t="shared" ref="F139:G139" si="33">SUM(F140:F144)</f>
        <v>66</v>
      </c>
      <c r="G139" s="7">
        <f t="shared" si="33"/>
        <v>126</v>
      </c>
      <c r="H139" s="8"/>
      <c r="I139" s="1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ht="15.75" customHeight="1" x14ac:dyDescent="0.25">
      <c r="A140" s="9" t="s">
        <v>104</v>
      </c>
      <c r="B140" s="10">
        <f t="shared" si="13"/>
        <v>120</v>
      </c>
      <c r="C140" s="11">
        <v>42</v>
      </c>
      <c r="D140" s="21">
        <v>78</v>
      </c>
      <c r="E140" s="10">
        <f t="shared" si="27"/>
        <v>110</v>
      </c>
      <c r="F140" s="26">
        <v>37</v>
      </c>
      <c r="G140" s="26">
        <v>73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 x14ac:dyDescent="0.25">
      <c r="A141" s="9" t="s">
        <v>105</v>
      </c>
      <c r="B141" s="10">
        <f t="shared" si="13"/>
        <v>10</v>
      </c>
      <c r="C141" s="11">
        <v>6</v>
      </c>
      <c r="D141" s="21">
        <v>4</v>
      </c>
      <c r="E141" s="10">
        <f t="shared" si="27"/>
        <v>10</v>
      </c>
      <c r="F141" s="26">
        <v>6</v>
      </c>
      <c r="G141" s="26">
        <v>4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 x14ac:dyDescent="0.25">
      <c r="A142" s="9" t="s">
        <v>106</v>
      </c>
      <c r="B142" s="10">
        <f t="shared" si="13"/>
        <v>59</v>
      </c>
      <c r="C142" s="11">
        <v>18</v>
      </c>
      <c r="D142" s="21">
        <v>41</v>
      </c>
      <c r="E142" s="10">
        <f t="shared" si="27"/>
        <v>61</v>
      </c>
      <c r="F142" s="26">
        <v>18</v>
      </c>
      <c r="G142" s="26">
        <v>43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 x14ac:dyDescent="0.25">
      <c r="A143" s="9" t="s">
        <v>107</v>
      </c>
      <c r="B143" s="10">
        <f t="shared" si="13"/>
        <v>8</v>
      </c>
      <c r="C143" s="11">
        <v>4</v>
      </c>
      <c r="D143" s="21">
        <v>4</v>
      </c>
      <c r="E143" s="10">
        <f t="shared" si="27"/>
        <v>8</v>
      </c>
      <c r="F143" s="26">
        <v>4</v>
      </c>
      <c r="G143" s="26">
        <v>4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 x14ac:dyDescent="0.25">
      <c r="A144" s="9" t="s">
        <v>108</v>
      </c>
      <c r="B144" s="10">
        <f t="shared" si="13"/>
        <v>2</v>
      </c>
      <c r="C144" s="11">
        <v>1</v>
      </c>
      <c r="D144" s="21">
        <v>1</v>
      </c>
      <c r="E144" s="10">
        <f t="shared" si="27"/>
        <v>3</v>
      </c>
      <c r="F144" s="26">
        <v>1</v>
      </c>
      <c r="G144" s="26">
        <v>2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 x14ac:dyDescent="0.25">
      <c r="A145" s="5" t="s">
        <v>166</v>
      </c>
      <c r="B145" s="7">
        <f t="shared" si="13"/>
        <v>493</v>
      </c>
      <c r="C145" s="7">
        <f t="shared" ref="C145:D145" si="34">SUM(C146:C153)</f>
        <v>216</v>
      </c>
      <c r="D145" s="22">
        <f t="shared" si="34"/>
        <v>277</v>
      </c>
      <c r="E145" s="7">
        <f t="shared" si="27"/>
        <v>508</v>
      </c>
      <c r="F145" s="7">
        <f t="shared" ref="F145:G145" si="35">SUM(F146:F153)</f>
        <v>226</v>
      </c>
      <c r="G145" s="7">
        <f t="shared" si="35"/>
        <v>282</v>
      </c>
      <c r="H145" s="8"/>
      <c r="I145" s="1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ht="15.75" customHeight="1" x14ac:dyDescent="0.25">
      <c r="A146" s="9" t="s">
        <v>109</v>
      </c>
      <c r="B146" s="10">
        <f t="shared" si="13"/>
        <v>71</v>
      </c>
      <c r="C146" s="11">
        <v>29</v>
      </c>
      <c r="D146" s="21">
        <v>42</v>
      </c>
      <c r="E146" s="10">
        <f t="shared" si="27"/>
        <v>69</v>
      </c>
      <c r="F146" s="26">
        <v>26</v>
      </c>
      <c r="G146" s="26">
        <v>43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 x14ac:dyDescent="0.25">
      <c r="A147" s="9" t="s">
        <v>110</v>
      </c>
      <c r="B147" s="10">
        <f t="shared" si="13"/>
        <v>104</v>
      </c>
      <c r="C147" s="11">
        <v>45</v>
      </c>
      <c r="D147" s="21">
        <v>59</v>
      </c>
      <c r="E147" s="10">
        <f t="shared" si="27"/>
        <v>67</v>
      </c>
      <c r="F147" s="26">
        <v>32</v>
      </c>
      <c r="G147" s="26">
        <v>35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 x14ac:dyDescent="0.25">
      <c r="A148" s="9" t="s">
        <v>62</v>
      </c>
      <c r="B148" s="10">
        <f t="shared" si="13"/>
        <v>30</v>
      </c>
      <c r="C148" s="11">
        <v>17</v>
      </c>
      <c r="D148" s="21">
        <v>13</v>
      </c>
      <c r="E148" s="10">
        <f t="shared" si="27"/>
        <v>36</v>
      </c>
      <c r="F148" s="26">
        <v>19</v>
      </c>
      <c r="G148" s="26">
        <v>17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 x14ac:dyDescent="0.25">
      <c r="A149" s="9" t="s">
        <v>111</v>
      </c>
      <c r="B149" s="10">
        <f t="shared" si="13"/>
        <v>79</v>
      </c>
      <c r="C149" s="11">
        <v>29</v>
      </c>
      <c r="D149" s="21">
        <v>50</v>
      </c>
      <c r="E149" s="10">
        <f t="shared" si="27"/>
        <v>87</v>
      </c>
      <c r="F149" s="26">
        <v>37</v>
      </c>
      <c r="G149" s="26">
        <v>50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 x14ac:dyDescent="0.25">
      <c r="A150" s="9" t="s">
        <v>112</v>
      </c>
      <c r="B150" s="10">
        <f t="shared" si="13"/>
        <v>122</v>
      </c>
      <c r="C150" s="11">
        <v>54</v>
      </c>
      <c r="D150" s="21">
        <v>68</v>
      </c>
      <c r="E150" s="10">
        <f t="shared" si="27"/>
        <v>162</v>
      </c>
      <c r="F150" s="26">
        <v>71</v>
      </c>
      <c r="G150" s="26">
        <v>91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 x14ac:dyDescent="0.25">
      <c r="A151" s="9" t="s">
        <v>113</v>
      </c>
      <c r="B151" s="10">
        <f t="shared" si="13"/>
        <v>36</v>
      </c>
      <c r="C151" s="11">
        <v>16</v>
      </c>
      <c r="D151" s="21">
        <v>20</v>
      </c>
      <c r="E151" s="10">
        <f t="shared" si="27"/>
        <v>36</v>
      </c>
      <c r="F151" s="26">
        <v>17</v>
      </c>
      <c r="G151" s="26">
        <v>19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 x14ac:dyDescent="0.25">
      <c r="A152" s="9" t="s">
        <v>190</v>
      </c>
      <c r="B152" s="10">
        <f t="shared" si="13"/>
        <v>18</v>
      </c>
      <c r="C152" s="11">
        <v>12</v>
      </c>
      <c r="D152" s="21">
        <v>6</v>
      </c>
      <c r="E152" s="10">
        <f t="shared" si="27"/>
        <v>17</v>
      </c>
      <c r="F152" s="26">
        <v>10</v>
      </c>
      <c r="G152" s="26">
        <v>7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 x14ac:dyDescent="0.25">
      <c r="A153" s="9" t="s">
        <v>114</v>
      </c>
      <c r="B153" s="10">
        <f t="shared" si="13"/>
        <v>33</v>
      </c>
      <c r="C153" s="11">
        <v>14</v>
      </c>
      <c r="D153" s="21">
        <v>19</v>
      </c>
      <c r="E153" s="10">
        <f t="shared" si="27"/>
        <v>34</v>
      </c>
      <c r="F153" s="26">
        <v>14</v>
      </c>
      <c r="G153" s="26">
        <v>20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 x14ac:dyDescent="0.25">
      <c r="A154" s="5" t="s">
        <v>191</v>
      </c>
      <c r="B154" s="7">
        <f t="shared" si="13"/>
        <v>493</v>
      </c>
      <c r="C154" s="7">
        <f t="shared" ref="C154:D154" si="36">SUM(C155:C159)</f>
        <v>186</v>
      </c>
      <c r="D154" s="22">
        <f t="shared" si="36"/>
        <v>307</v>
      </c>
      <c r="E154" s="7">
        <f t="shared" si="27"/>
        <v>510</v>
      </c>
      <c r="F154" s="7">
        <f t="shared" ref="F154:G154" si="37">SUM(F155:F159)</f>
        <v>194</v>
      </c>
      <c r="G154" s="7">
        <f t="shared" si="37"/>
        <v>316</v>
      </c>
      <c r="H154" s="8"/>
      <c r="I154" s="1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ht="15.75" customHeight="1" x14ac:dyDescent="0.25">
      <c r="A155" s="9" t="s">
        <v>192</v>
      </c>
      <c r="B155" s="10">
        <f t="shared" si="13"/>
        <v>80</v>
      </c>
      <c r="C155" s="11">
        <v>30</v>
      </c>
      <c r="D155" s="21">
        <v>50</v>
      </c>
      <c r="E155" s="10">
        <f t="shared" si="27"/>
        <v>82</v>
      </c>
      <c r="F155" s="26">
        <v>30</v>
      </c>
      <c r="G155" s="26">
        <v>52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 x14ac:dyDescent="0.25">
      <c r="A156" s="9" t="s">
        <v>193</v>
      </c>
      <c r="B156" s="10">
        <f t="shared" si="13"/>
        <v>44</v>
      </c>
      <c r="C156" s="11">
        <v>15</v>
      </c>
      <c r="D156" s="21">
        <v>29</v>
      </c>
      <c r="E156" s="10">
        <f t="shared" si="27"/>
        <v>45</v>
      </c>
      <c r="F156" s="26">
        <v>17</v>
      </c>
      <c r="G156" s="26">
        <v>28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 x14ac:dyDescent="0.25">
      <c r="A157" s="9" t="s">
        <v>115</v>
      </c>
      <c r="B157" s="10">
        <f t="shared" si="13"/>
        <v>42</v>
      </c>
      <c r="C157" s="11">
        <v>18</v>
      </c>
      <c r="D157" s="21">
        <v>24</v>
      </c>
      <c r="E157" s="10">
        <f t="shared" si="27"/>
        <v>39</v>
      </c>
      <c r="F157" s="26">
        <v>16</v>
      </c>
      <c r="G157" s="26">
        <v>23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 x14ac:dyDescent="0.25">
      <c r="A158" s="9" t="s">
        <v>50</v>
      </c>
      <c r="B158" s="10">
        <f t="shared" si="13"/>
        <v>72</v>
      </c>
      <c r="C158" s="11">
        <v>26</v>
      </c>
      <c r="D158" s="21">
        <v>46</v>
      </c>
      <c r="E158" s="10">
        <f t="shared" si="27"/>
        <v>78</v>
      </c>
      <c r="F158" s="26">
        <v>29</v>
      </c>
      <c r="G158" s="26">
        <v>49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 x14ac:dyDescent="0.25">
      <c r="A159" s="9" t="s">
        <v>116</v>
      </c>
      <c r="B159" s="10">
        <f t="shared" si="13"/>
        <v>255</v>
      </c>
      <c r="C159" s="11">
        <v>97</v>
      </c>
      <c r="D159" s="21">
        <v>158</v>
      </c>
      <c r="E159" s="10">
        <f t="shared" si="27"/>
        <v>266</v>
      </c>
      <c r="F159" s="26">
        <v>102</v>
      </c>
      <c r="G159" s="26">
        <v>164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 x14ac:dyDescent="0.25">
      <c r="A160" s="5" t="s">
        <v>167</v>
      </c>
      <c r="B160" s="7">
        <f t="shared" si="13"/>
        <v>537</v>
      </c>
      <c r="C160" s="7">
        <f t="shared" ref="C160:D160" si="38">SUM(C161:C167)</f>
        <v>185</v>
      </c>
      <c r="D160" s="22">
        <f t="shared" si="38"/>
        <v>352</v>
      </c>
      <c r="E160" s="7">
        <f t="shared" si="27"/>
        <v>555</v>
      </c>
      <c r="F160" s="7">
        <f t="shared" ref="F160:G160" si="39">SUM(F161:F167)</f>
        <v>193</v>
      </c>
      <c r="G160" s="7">
        <f t="shared" si="39"/>
        <v>362</v>
      </c>
      <c r="H160" s="8"/>
      <c r="I160" s="1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1:29" ht="15.75" customHeight="1" x14ac:dyDescent="0.25">
      <c r="A161" s="9" t="s">
        <v>117</v>
      </c>
      <c r="B161" s="10">
        <f t="shared" si="13"/>
        <v>61</v>
      </c>
      <c r="C161" s="11">
        <v>20</v>
      </c>
      <c r="D161" s="21">
        <v>41</v>
      </c>
      <c r="E161" s="10">
        <f t="shared" si="27"/>
        <v>56</v>
      </c>
      <c r="F161" s="26">
        <v>19</v>
      </c>
      <c r="G161" s="26">
        <v>37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 x14ac:dyDescent="0.25">
      <c r="A162" s="9" t="s">
        <v>118</v>
      </c>
      <c r="B162" s="10">
        <f t="shared" si="13"/>
        <v>58</v>
      </c>
      <c r="C162" s="11">
        <v>14</v>
      </c>
      <c r="D162" s="21">
        <v>44</v>
      </c>
      <c r="E162" s="10">
        <f t="shared" si="27"/>
        <v>62</v>
      </c>
      <c r="F162" s="26">
        <v>16</v>
      </c>
      <c r="G162" s="26">
        <v>46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 x14ac:dyDescent="0.25">
      <c r="A163" s="9" t="s">
        <v>119</v>
      </c>
      <c r="B163" s="10">
        <f t="shared" si="13"/>
        <v>247</v>
      </c>
      <c r="C163" s="11">
        <v>95</v>
      </c>
      <c r="D163" s="21">
        <v>152</v>
      </c>
      <c r="E163" s="10">
        <f t="shared" si="27"/>
        <v>251</v>
      </c>
      <c r="F163" s="26">
        <v>91</v>
      </c>
      <c r="G163" s="26">
        <v>160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 x14ac:dyDescent="0.25">
      <c r="A164" s="9" t="s">
        <v>120</v>
      </c>
      <c r="B164" s="10">
        <f t="shared" si="13"/>
        <v>59</v>
      </c>
      <c r="C164" s="11">
        <v>19</v>
      </c>
      <c r="D164" s="21">
        <v>40</v>
      </c>
      <c r="E164" s="10">
        <f t="shared" si="27"/>
        <v>66</v>
      </c>
      <c r="F164" s="26">
        <v>24</v>
      </c>
      <c r="G164" s="26">
        <v>42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 x14ac:dyDescent="0.25">
      <c r="A165" s="9" t="s">
        <v>194</v>
      </c>
      <c r="B165" s="10">
        <f t="shared" si="13"/>
        <v>1</v>
      </c>
      <c r="C165" s="11">
        <v>1</v>
      </c>
      <c r="D165" s="21">
        <v>0</v>
      </c>
      <c r="E165" s="10">
        <f t="shared" si="27"/>
        <v>1</v>
      </c>
      <c r="F165" s="26">
        <v>1</v>
      </c>
      <c r="G165" s="26">
        <v>0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 x14ac:dyDescent="0.25">
      <c r="A166" s="9" t="s">
        <v>63</v>
      </c>
      <c r="B166" s="10">
        <f t="shared" si="13"/>
        <v>78</v>
      </c>
      <c r="C166" s="11">
        <v>24</v>
      </c>
      <c r="D166" s="21">
        <v>54</v>
      </c>
      <c r="E166" s="10">
        <f t="shared" si="27"/>
        <v>88</v>
      </c>
      <c r="F166" s="26">
        <v>28</v>
      </c>
      <c r="G166" s="26">
        <v>60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 x14ac:dyDescent="0.25">
      <c r="A167" s="9" t="s">
        <v>195</v>
      </c>
      <c r="B167" s="10">
        <f t="shared" si="13"/>
        <v>33</v>
      </c>
      <c r="C167" s="11">
        <v>12</v>
      </c>
      <c r="D167" s="21">
        <v>21</v>
      </c>
      <c r="E167" s="10">
        <f t="shared" si="27"/>
        <v>31</v>
      </c>
      <c r="F167" s="26">
        <v>14</v>
      </c>
      <c r="G167" s="26">
        <v>17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 x14ac:dyDescent="0.25">
      <c r="A168" s="5" t="s">
        <v>168</v>
      </c>
      <c r="B168" s="7">
        <f t="shared" si="13"/>
        <v>1015</v>
      </c>
      <c r="C168" s="7">
        <f t="shared" ref="C168:D168" si="40">SUM(C169:C181)</f>
        <v>450</v>
      </c>
      <c r="D168" s="22">
        <f t="shared" si="40"/>
        <v>565</v>
      </c>
      <c r="E168" s="7">
        <f t="shared" si="27"/>
        <v>1002</v>
      </c>
      <c r="F168" s="7">
        <f t="shared" ref="F168:G168" si="41">SUM(F169:F181)</f>
        <v>432</v>
      </c>
      <c r="G168" s="7">
        <f t="shared" si="41"/>
        <v>570</v>
      </c>
      <c r="H168" s="8"/>
      <c r="I168" s="1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ht="15.75" customHeight="1" x14ac:dyDescent="0.25">
      <c r="A169" s="9" t="s">
        <v>121</v>
      </c>
      <c r="B169" s="10">
        <f t="shared" si="13"/>
        <v>54</v>
      </c>
      <c r="C169" s="11">
        <v>23</v>
      </c>
      <c r="D169" s="21">
        <v>31</v>
      </c>
      <c r="E169" s="10">
        <f t="shared" si="27"/>
        <v>57</v>
      </c>
      <c r="F169" s="26">
        <v>22</v>
      </c>
      <c r="G169" s="26">
        <v>35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 x14ac:dyDescent="0.25">
      <c r="A170" s="9" t="s">
        <v>122</v>
      </c>
      <c r="B170" s="10">
        <f t="shared" si="13"/>
        <v>63</v>
      </c>
      <c r="C170" s="11">
        <v>28</v>
      </c>
      <c r="D170" s="21">
        <v>35</v>
      </c>
      <c r="E170" s="10">
        <f t="shared" si="27"/>
        <v>64</v>
      </c>
      <c r="F170" s="26">
        <v>29</v>
      </c>
      <c r="G170" s="26">
        <v>35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 x14ac:dyDescent="0.25">
      <c r="A171" s="9" t="s">
        <v>123</v>
      </c>
      <c r="B171" s="10">
        <f t="shared" si="13"/>
        <v>34</v>
      </c>
      <c r="C171" s="11">
        <v>21</v>
      </c>
      <c r="D171" s="21">
        <v>13</v>
      </c>
      <c r="E171" s="10">
        <f t="shared" si="27"/>
        <v>30</v>
      </c>
      <c r="F171" s="26">
        <v>18</v>
      </c>
      <c r="G171" s="26">
        <v>12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 x14ac:dyDescent="0.25">
      <c r="A172" s="9" t="s">
        <v>85</v>
      </c>
      <c r="B172" s="10">
        <f t="shared" si="13"/>
        <v>60</v>
      </c>
      <c r="C172" s="11">
        <v>19</v>
      </c>
      <c r="D172" s="21">
        <v>41</v>
      </c>
      <c r="E172" s="10">
        <f t="shared" si="27"/>
        <v>60</v>
      </c>
      <c r="F172" s="26">
        <v>17</v>
      </c>
      <c r="G172" s="26">
        <v>43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 x14ac:dyDescent="0.25">
      <c r="A173" s="9" t="s">
        <v>124</v>
      </c>
      <c r="B173" s="10">
        <f t="shared" si="13"/>
        <v>84</v>
      </c>
      <c r="C173" s="11">
        <v>41</v>
      </c>
      <c r="D173" s="21">
        <v>43</v>
      </c>
      <c r="E173" s="10">
        <f t="shared" si="27"/>
        <v>82</v>
      </c>
      <c r="F173" s="26">
        <v>40</v>
      </c>
      <c r="G173" s="26">
        <v>42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 x14ac:dyDescent="0.25">
      <c r="A174" s="9" t="s">
        <v>196</v>
      </c>
      <c r="B174" s="10">
        <f t="shared" si="13"/>
        <v>55</v>
      </c>
      <c r="C174" s="11">
        <v>30</v>
      </c>
      <c r="D174" s="21">
        <v>25</v>
      </c>
      <c r="E174" s="10">
        <f t="shared" si="27"/>
        <v>51</v>
      </c>
      <c r="F174" s="26">
        <v>26</v>
      </c>
      <c r="G174" s="26">
        <v>25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 x14ac:dyDescent="0.25">
      <c r="A175" s="9" t="s">
        <v>197</v>
      </c>
      <c r="B175" s="10">
        <f t="shared" si="13"/>
        <v>99</v>
      </c>
      <c r="C175" s="11">
        <v>39</v>
      </c>
      <c r="D175" s="21">
        <v>60</v>
      </c>
      <c r="E175" s="10">
        <f t="shared" si="27"/>
        <v>101</v>
      </c>
      <c r="F175" s="26">
        <v>39</v>
      </c>
      <c r="G175" s="26">
        <v>62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 x14ac:dyDescent="0.25">
      <c r="A176" s="9" t="s">
        <v>125</v>
      </c>
      <c r="B176" s="10">
        <f t="shared" si="13"/>
        <v>62</v>
      </c>
      <c r="C176" s="11">
        <v>36</v>
      </c>
      <c r="D176" s="21">
        <v>26</v>
      </c>
      <c r="E176" s="10">
        <f t="shared" si="27"/>
        <v>54</v>
      </c>
      <c r="F176" s="26">
        <v>29</v>
      </c>
      <c r="G176" s="26">
        <v>25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 x14ac:dyDescent="0.25">
      <c r="A177" s="9" t="s">
        <v>103</v>
      </c>
      <c r="B177" s="10">
        <f t="shared" si="13"/>
        <v>47</v>
      </c>
      <c r="C177" s="11">
        <v>23</v>
      </c>
      <c r="D177" s="21">
        <v>24</v>
      </c>
      <c r="E177" s="10">
        <f t="shared" si="27"/>
        <v>41</v>
      </c>
      <c r="F177" s="26">
        <v>18</v>
      </c>
      <c r="G177" s="26">
        <v>23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 x14ac:dyDescent="0.25">
      <c r="A178" s="9" t="s">
        <v>126</v>
      </c>
      <c r="B178" s="10">
        <f t="shared" si="13"/>
        <v>48</v>
      </c>
      <c r="C178" s="11">
        <v>21</v>
      </c>
      <c r="D178" s="21">
        <v>27</v>
      </c>
      <c r="E178" s="10">
        <f t="shared" si="27"/>
        <v>45</v>
      </c>
      <c r="F178" s="26">
        <v>20</v>
      </c>
      <c r="G178" s="26">
        <v>25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 x14ac:dyDescent="0.25">
      <c r="A179" s="9" t="s">
        <v>127</v>
      </c>
      <c r="B179" s="10">
        <f t="shared" si="13"/>
        <v>35</v>
      </c>
      <c r="C179" s="11">
        <v>18</v>
      </c>
      <c r="D179" s="21">
        <v>17</v>
      </c>
      <c r="E179" s="10">
        <f t="shared" si="27"/>
        <v>32</v>
      </c>
      <c r="F179" s="26">
        <v>15</v>
      </c>
      <c r="G179" s="26">
        <v>17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 x14ac:dyDescent="0.25">
      <c r="A180" s="9" t="s">
        <v>128</v>
      </c>
      <c r="B180" s="10">
        <f t="shared" si="13"/>
        <v>288</v>
      </c>
      <c r="C180" s="11">
        <v>121</v>
      </c>
      <c r="D180" s="21">
        <v>167</v>
      </c>
      <c r="E180" s="10">
        <f t="shared" si="27"/>
        <v>298</v>
      </c>
      <c r="F180" s="26">
        <v>127</v>
      </c>
      <c r="G180" s="26">
        <v>171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 x14ac:dyDescent="0.25">
      <c r="A181" s="9" t="s">
        <v>129</v>
      </c>
      <c r="B181" s="10">
        <f t="shared" si="13"/>
        <v>86</v>
      </c>
      <c r="C181" s="11">
        <v>30</v>
      </c>
      <c r="D181" s="21">
        <v>56</v>
      </c>
      <c r="E181" s="10">
        <f t="shared" si="27"/>
        <v>87</v>
      </c>
      <c r="F181" s="26">
        <v>32</v>
      </c>
      <c r="G181" s="26">
        <v>55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 x14ac:dyDescent="0.25">
      <c r="A182" s="5" t="s">
        <v>169</v>
      </c>
      <c r="B182" s="7">
        <f t="shared" si="13"/>
        <v>962</v>
      </c>
      <c r="C182" s="7">
        <f t="shared" ref="C182:D182" si="42">SUM(C183:C194)</f>
        <v>355</v>
      </c>
      <c r="D182" s="22">
        <f t="shared" si="42"/>
        <v>607</v>
      </c>
      <c r="E182" s="7">
        <f t="shared" si="27"/>
        <v>991</v>
      </c>
      <c r="F182" s="7">
        <f t="shared" ref="F182:G182" si="43">SUM(F183:F194)</f>
        <v>376</v>
      </c>
      <c r="G182" s="7">
        <f t="shared" si="43"/>
        <v>615</v>
      </c>
      <c r="H182" s="8"/>
      <c r="I182" s="1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ht="15.75" customHeight="1" x14ac:dyDescent="0.25">
      <c r="A183" s="9" t="s">
        <v>198</v>
      </c>
      <c r="B183" s="10">
        <f t="shared" si="13"/>
        <v>47</v>
      </c>
      <c r="C183" s="11">
        <v>20</v>
      </c>
      <c r="D183" s="21">
        <v>27</v>
      </c>
      <c r="E183" s="10">
        <f t="shared" si="27"/>
        <v>46</v>
      </c>
      <c r="F183" s="26">
        <v>22</v>
      </c>
      <c r="G183" s="26">
        <v>24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x14ac:dyDescent="0.25">
      <c r="A184" s="9" t="s">
        <v>130</v>
      </c>
      <c r="B184" s="10">
        <f t="shared" si="13"/>
        <v>81</v>
      </c>
      <c r="C184" s="11">
        <v>33</v>
      </c>
      <c r="D184" s="21">
        <v>48</v>
      </c>
      <c r="E184" s="10">
        <f t="shared" si="27"/>
        <v>79</v>
      </c>
      <c r="F184" s="26">
        <v>32</v>
      </c>
      <c r="G184" s="26">
        <v>47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x14ac:dyDescent="0.25">
      <c r="A185" s="9" t="s">
        <v>131</v>
      </c>
      <c r="B185" s="10">
        <f t="shared" si="13"/>
        <v>0</v>
      </c>
      <c r="C185" s="11">
        <v>0</v>
      </c>
      <c r="D185" s="21">
        <v>0</v>
      </c>
      <c r="E185" s="10">
        <f t="shared" si="27"/>
        <v>0</v>
      </c>
      <c r="F185" s="26">
        <v>0</v>
      </c>
      <c r="G185" s="26">
        <v>0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25">
      <c r="A186" s="9" t="s">
        <v>132</v>
      </c>
      <c r="B186" s="10">
        <f t="shared" si="13"/>
        <v>456</v>
      </c>
      <c r="C186" s="11">
        <v>140</v>
      </c>
      <c r="D186" s="21">
        <v>316</v>
      </c>
      <c r="E186" s="10">
        <f t="shared" si="27"/>
        <v>479</v>
      </c>
      <c r="F186" s="26">
        <v>150</v>
      </c>
      <c r="G186" s="26">
        <v>329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25">
      <c r="A187" s="9" t="s">
        <v>133</v>
      </c>
      <c r="B187" s="10">
        <f t="shared" si="13"/>
        <v>44</v>
      </c>
      <c r="C187" s="11">
        <v>23</v>
      </c>
      <c r="D187" s="21">
        <v>21</v>
      </c>
      <c r="E187" s="10">
        <f t="shared" si="27"/>
        <v>50</v>
      </c>
      <c r="F187" s="26">
        <v>29</v>
      </c>
      <c r="G187" s="26">
        <v>21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25">
      <c r="A188" s="9" t="s">
        <v>134</v>
      </c>
      <c r="B188" s="10">
        <f t="shared" si="13"/>
        <v>46</v>
      </c>
      <c r="C188" s="11">
        <v>22</v>
      </c>
      <c r="D188" s="21">
        <v>24</v>
      </c>
      <c r="E188" s="10">
        <f t="shared" si="27"/>
        <v>50</v>
      </c>
      <c r="F188" s="26">
        <v>25</v>
      </c>
      <c r="G188" s="26">
        <v>25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25">
      <c r="A189" s="9" t="s">
        <v>135</v>
      </c>
      <c r="B189" s="10">
        <f t="shared" si="13"/>
        <v>47</v>
      </c>
      <c r="C189" s="11">
        <v>23</v>
      </c>
      <c r="D189" s="21">
        <v>24</v>
      </c>
      <c r="E189" s="10">
        <f t="shared" si="27"/>
        <v>44</v>
      </c>
      <c r="F189" s="26">
        <v>23</v>
      </c>
      <c r="G189" s="26">
        <v>21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25">
      <c r="A190" s="9" t="s">
        <v>136</v>
      </c>
      <c r="B190" s="10">
        <f t="shared" si="13"/>
        <v>51</v>
      </c>
      <c r="C190" s="11">
        <v>18</v>
      </c>
      <c r="D190" s="21">
        <v>33</v>
      </c>
      <c r="E190" s="10">
        <f t="shared" si="27"/>
        <v>54</v>
      </c>
      <c r="F190" s="26">
        <v>20</v>
      </c>
      <c r="G190" s="26">
        <v>34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25">
      <c r="A191" s="9" t="s">
        <v>137</v>
      </c>
      <c r="B191" s="10">
        <f t="shared" si="13"/>
        <v>52</v>
      </c>
      <c r="C191" s="11">
        <v>16</v>
      </c>
      <c r="D191" s="21">
        <v>36</v>
      </c>
      <c r="E191" s="10">
        <f t="shared" si="27"/>
        <v>54</v>
      </c>
      <c r="F191" s="26">
        <v>18</v>
      </c>
      <c r="G191" s="26">
        <v>36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25">
      <c r="A192" s="9" t="s">
        <v>138</v>
      </c>
      <c r="B192" s="10">
        <f t="shared" si="13"/>
        <v>97</v>
      </c>
      <c r="C192" s="11">
        <v>40</v>
      </c>
      <c r="D192" s="21">
        <v>57</v>
      </c>
      <c r="E192" s="10">
        <f t="shared" si="27"/>
        <v>98</v>
      </c>
      <c r="F192" s="26">
        <v>41</v>
      </c>
      <c r="G192" s="26">
        <v>57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25">
      <c r="A193" s="9" t="s">
        <v>199</v>
      </c>
      <c r="B193" s="10">
        <f t="shared" si="13"/>
        <v>28</v>
      </c>
      <c r="C193" s="11">
        <v>12</v>
      </c>
      <c r="D193" s="21">
        <v>16</v>
      </c>
      <c r="E193" s="10">
        <f t="shared" si="27"/>
        <v>23</v>
      </c>
      <c r="F193" s="26">
        <v>8</v>
      </c>
      <c r="G193" s="26">
        <v>15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25">
      <c r="A194" s="9" t="s">
        <v>200</v>
      </c>
      <c r="B194" s="10">
        <f t="shared" si="13"/>
        <v>13</v>
      </c>
      <c r="C194" s="11">
        <v>8</v>
      </c>
      <c r="D194" s="21">
        <v>5</v>
      </c>
      <c r="E194" s="10">
        <f t="shared" si="27"/>
        <v>14</v>
      </c>
      <c r="F194" s="26">
        <v>8</v>
      </c>
      <c r="G194" s="26">
        <v>6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25">
      <c r="A195" s="5" t="s">
        <v>170</v>
      </c>
      <c r="B195" s="7">
        <f t="shared" si="13"/>
        <v>652</v>
      </c>
      <c r="C195" s="7">
        <f t="shared" ref="C195:D195" si="44">SUM(C196:C205)</f>
        <v>188</v>
      </c>
      <c r="D195" s="22">
        <f t="shared" si="44"/>
        <v>464</v>
      </c>
      <c r="E195" s="7">
        <f t="shared" si="27"/>
        <v>675</v>
      </c>
      <c r="F195" s="7">
        <f t="shared" ref="F195:G195" si="45">SUM(F196:F205)</f>
        <v>201</v>
      </c>
      <c r="G195" s="7">
        <f t="shared" si="45"/>
        <v>474</v>
      </c>
      <c r="H195" s="8"/>
      <c r="I195" s="1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1:29" ht="15.75" customHeight="1" x14ac:dyDescent="0.25">
      <c r="A196" s="9" t="s">
        <v>139</v>
      </c>
      <c r="B196" s="10">
        <f t="shared" si="13"/>
        <v>76</v>
      </c>
      <c r="C196" s="11">
        <v>20</v>
      </c>
      <c r="D196" s="21">
        <v>56</v>
      </c>
      <c r="E196" s="10">
        <f t="shared" si="27"/>
        <v>77</v>
      </c>
      <c r="F196" s="26">
        <v>22</v>
      </c>
      <c r="G196" s="26">
        <v>55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25">
      <c r="A197" s="9" t="s">
        <v>140</v>
      </c>
      <c r="B197" s="10">
        <f t="shared" si="13"/>
        <v>41</v>
      </c>
      <c r="C197" s="11">
        <v>15</v>
      </c>
      <c r="D197" s="21">
        <v>26</v>
      </c>
      <c r="E197" s="10">
        <f t="shared" si="27"/>
        <v>46</v>
      </c>
      <c r="F197" s="26">
        <v>17</v>
      </c>
      <c r="G197" s="26">
        <v>29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25">
      <c r="A198" s="9" t="s">
        <v>141</v>
      </c>
      <c r="B198" s="10">
        <f t="shared" si="13"/>
        <v>98</v>
      </c>
      <c r="C198" s="11">
        <v>40</v>
      </c>
      <c r="D198" s="21">
        <v>58</v>
      </c>
      <c r="E198" s="10">
        <f t="shared" si="27"/>
        <v>98</v>
      </c>
      <c r="F198" s="26">
        <v>40</v>
      </c>
      <c r="G198" s="26">
        <v>58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25">
      <c r="A199" s="9" t="s">
        <v>142</v>
      </c>
      <c r="B199" s="10">
        <f t="shared" si="13"/>
        <v>44</v>
      </c>
      <c r="C199" s="11">
        <v>14</v>
      </c>
      <c r="D199" s="21">
        <v>30</v>
      </c>
      <c r="E199" s="10">
        <f t="shared" si="27"/>
        <v>49</v>
      </c>
      <c r="F199" s="26">
        <v>18</v>
      </c>
      <c r="G199" s="26">
        <v>31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25">
      <c r="A200" s="9" t="s">
        <v>143</v>
      </c>
      <c r="B200" s="10">
        <f t="shared" si="13"/>
        <v>37</v>
      </c>
      <c r="C200" s="11">
        <v>10</v>
      </c>
      <c r="D200" s="21">
        <v>27</v>
      </c>
      <c r="E200" s="10">
        <f t="shared" si="27"/>
        <v>36</v>
      </c>
      <c r="F200" s="26">
        <v>11</v>
      </c>
      <c r="G200" s="26">
        <v>25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25">
      <c r="A201" s="9" t="s">
        <v>144</v>
      </c>
      <c r="B201" s="10">
        <f t="shared" si="13"/>
        <v>27</v>
      </c>
      <c r="C201" s="11">
        <v>10</v>
      </c>
      <c r="D201" s="21">
        <v>17</v>
      </c>
      <c r="E201" s="10">
        <f t="shared" si="27"/>
        <v>27</v>
      </c>
      <c r="F201" s="26">
        <v>10</v>
      </c>
      <c r="G201" s="26">
        <v>17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25">
      <c r="A202" s="9" t="s">
        <v>137</v>
      </c>
      <c r="B202" s="10">
        <f t="shared" si="13"/>
        <v>72</v>
      </c>
      <c r="C202" s="11">
        <v>19</v>
      </c>
      <c r="D202" s="21">
        <v>53</v>
      </c>
      <c r="E202" s="10">
        <f t="shared" si="27"/>
        <v>74</v>
      </c>
      <c r="F202" s="26">
        <v>20</v>
      </c>
      <c r="G202" s="26">
        <v>54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25">
      <c r="A203" s="9" t="s">
        <v>116</v>
      </c>
      <c r="B203" s="10">
        <f t="shared" si="13"/>
        <v>31</v>
      </c>
      <c r="C203" s="11">
        <v>8</v>
      </c>
      <c r="D203" s="21">
        <v>23</v>
      </c>
      <c r="E203" s="10">
        <f t="shared" si="27"/>
        <v>32</v>
      </c>
      <c r="F203" s="26">
        <v>8</v>
      </c>
      <c r="G203" s="26">
        <v>24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25">
      <c r="A204" s="12" t="s">
        <v>201</v>
      </c>
      <c r="B204" s="10">
        <f t="shared" si="13"/>
        <v>217</v>
      </c>
      <c r="C204" s="11">
        <v>48</v>
      </c>
      <c r="D204" s="21">
        <v>169</v>
      </c>
      <c r="E204" s="10">
        <f t="shared" si="27"/>
        <v>227</v>
      </c>
      <c r="F204" s="26">
        <v>51</v>
      </c>
      <c r="G204" s="26">
        <v>176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25">
      <c r="A205" s="12" t="s">
        <v>202</v>
      </c>
      <c r="B205" s="10">
        <f t="shared" si="13"/>
        <v>9</v>
      </c>
      <c r="C205" s="11">
        <v>4</v>
      </c>
      <c r="D205" s="21">
        <v>5</v>
      </c>
      <c r="E205" s="10">
        <f t="shared" si="27"/>
        <v>9</v>
      </c>
      <c r="F205" s="26">
        <v>4</v>
      </c>
      <c r="G205" s="26">
        <v>5</v>
      </c>
      <c r="H205" s="8"/>
      <c r="I205" s="1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1:29" ht="15.75" customHeight="1" x14ac:dyDescent="0.25">
      <c r="A206" s="5" t="s">
        <v>171</v>
      </c>
      <c r="B206" s="7">
        <f t="shared" si="13"/>
        <v>847</v>
      </c>
      <c r="C206" s="7">
        <f t="shared" ref="C206:D206" si="46">SUM(C207:C216)</f>
        <v>291</v>
      </c>
      <c r="D206" s="22">
        <f t="shared" si="46"/>
        <v>556</v>
      </c>
      <c r="E206" s="7">
        <f t="shared" si="27"/>
        <v>910</v>
      </c>
      <c r="F206" s="7">
        <f t="shared" ref="F206:G206" si="47">SUM(F207:F216)</f>
        <v>310</v>
      </c>
      <c r="G206" s="7">
        <f t="shared" si="47"/>
        <v>600</v>
      </c>
      <c r="H206" s="8"/>
      <c r="I206" s="1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1:29" ht="15.75" customHeight="1" x14ac:dyDescent="0.25">
      <c r="A207" s="9" t="s">
        <v>146</v>
      </c>
      <c r="B207" s="10">
        <f t="shared" si="13"/>
        <v>13</v>
      </c>
      <c r="C207" s="11">
        <v>8</v>
      </c>
      <c r="D207" s="21">
        <v>5</v>
      </c>
      <c r="E207" s="10">
        <f t="shared" si="27"/>
        <v>12</v>
      </c>
      <c r="F207" s="26">
        <v>6</v>
      </c>
      <c r="G207" s="26">
        <v>6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25">
      <c r="A208" s="9" t="s">
        <v>203</v>
      </c>
      <c r="B208" s="10">
        <f t="shared" si="13"/>
        <v>59</v>
      </c>
      <c r="C208" s="11">
        <v>26</v>
      </c>
      <c r="D208" s="21">
        <v>33</v>
      </c>
      <c r="E208" s="10">
        <f t="shared" si="27"/>
        <v>64</v>
      </c>
      <c r="F208" s="26">
        <v>25</v>
      </c>
      <c r="G208" s="26">
        <v>39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25">
      <c r="A209" s="9" t="s">
        <v>147</v>
      </c>
      <c r="B209" s="10">
        <f t="shared" si="13"/>
        <v>41</v>
      </c>
      <c r="C209" s="11">
        <v>14</v>
      </c>
      <c r="D209" s="21">
        <v>27</v>
      </c>
      <c r="E209" s="10">
        <f t="shared" si="27"/>
        <v>52</v>
      </c>
      <c r="F209" s="26">
        <v>17</v>
      </c>
      <c r="G209" s="26">
        <v>35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25">
      <c r="A210" s="9" t="s">
        <v>204</v>
      </c>
      <c r="B210" s="10">
        <f t="shared" si="13"/>
        <v>58</v>
      </c>
      <c r="C210" s="11">
        <v>19</v>
      </c>
      <c r="D210" s="21">
        <v>39</v>
      </c>
      <c r="E210" s="10">
        <f t="shared" si="27"/>
        <v>64</v>
      </c>
      <c r="F210" s="26">
        <v>25</v>
      </c>
      <c r="G210" s="26">
        <v>39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25">
      <c r="A211" s="9" t="s">
        <v>205</v>
      </c>
      <c r="B211" s="10">
        <f t="shared" si="13"/>
        <v>41</v>
      </c>
      <c r="C211" s="11">
        <v>24</v>
      </c>
      <c r="D211" s="21">
        <v>17</v>
      </c>
      <c r="E211" s="10">
        <f t="shared" si="27"/>
        <v>49</v>
      </c>
      <c r="F211" s="26">
        <v>30</v>
      </c>
      <c r="G211" s="26">
        <v>19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25">
      <c r="A212" s="9" t="s">
        <v>148</v>
      </c>
      <c r="B212" s="10">
        <f t="shared" si="13"/>
        <v>47</v>
      </c>
      <c r="C212" s="11">
        <v>21</v>
      </c>
      <c r="D212" s="21">
        <v>26</v>
      </c>
      <c r="E212" s="10">
        <f t="shared" si="27"/>
        <v>56</v>
      </c>
      <c r="F212" s="26">
        <v>26</v>
      </c>
      <c r="G212" s="26">
        <v>30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25">
      <c r="A213" s="9" t="s">
        <v>108</v>
      </c>
      <c r="B213" s="10">
        <f t="shared" si="13"/>
        <v>421</v>
      </c>
      <c r="C213" s="11">
        <v>119</v>
      </c>
      <c r="D213" s="21">
        <v>302</v>
      </c>
      <c r="E213" s="10">
        <f t="shared" si="27"/>
        <v>437</v>
      </c>
      <c r="F213" s="26">
        <v>122</v>
      </c>
      <c r="G213" s="26">
        <v>315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25">
      <c r="A214" s="9" t="s">
        <v>66</v>
      </c>
      <c r="B214" s="10">
        <f t="shared" si="13"/>
        <v>50</v>
      </c>
      <c r="C214" s="11">
        <v>26</v>
      </c>
      <c r="D214" s="21">
        <v>24</v>
      </c>
      <c r="E214" s="10">
        <f t="shared" si="27"/>
        <v>50</v>
      </c>
      <c r="F214" s="26">
        <v>24</v>
      </c>
      <c r="G214" s="26">
        <v>26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25">
      <c r="A215" s="9" t="s">
        <v>206</v>
      </c>
      <c r="B215" s="10">
        <f t="shared" si="13"/>
        <v>84</v>
      </c>
      <c r="C215" s="11">
        <v>29</v>
      </c>
      <c r="D215" s="21">
        <v>55</v>
      </c>
      <c r="E215" s="10">
        <f t="shared" si="27"/>
        <v>88</v>
      </c>
      <c r="F215" s="26">
        <v>28</v>
      </c>
      <c r="G215" s="26">
        <v>60</v>
      </c>
      <c r="H215" s="8"/>
      <c r="I215" s="1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ht="15.75" customHeight="1" x14ac:dyDescent="0.25">
      <c r="A216" s="9" t="s">
        <v>207</v>
      </c>
      <c r="B216" s="10">
        <f t="shared" si="13"/>
        <v>33</v>
      </c>
      <c r="C216" s="11">
        <v>5</v>
      </c>
      <c r="D216" s="21">
        <v>28</v>
      </c>
      <c r="E216" s="10">
        <f t="shared" si="27"/>
        <v>38</v>
      </c>
      <c r="F216" s="26">
        <v>7</v>
      </c>
      <c r="G216" s="26">
        <v>31</v>
      </c>
      <c r="H216" s="8"/>
      <c r="I216" s="1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ht="15.75" customHeight="1" x14ac:dyDescent="0.25">
      <c r="A217" s="5" t="s">
        <v>172</v>
      </c>
      <c r="B217" s="7">
        <f t="shared" si="13"/>
        <v>599</v>
      </c>
      <c r="C217" s="7">
        <f t="shared" ref="C217:G217" si="48">SUM(C218)</f>
        <v>187</v>
      </c>
      <c r="D217" s="22">
        <f t="shared" si="48"/>
        <v>412</v>
      </c>
      <c r="E217" s="7">
        <f t="shared" si="27"/>
        <v>620</v>
      </c>
      <c r="F217" s="7">
        <f t="shared" si="48"/>
        <v>200</v>
      </c>
      <c r="G217" s="7">
        <f t="shared" si="48"/>
        <v>420</v>
      </c>
      <c r="H217" s="8"/>
      <c r="I217" s="1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ht="15.75" customHeight="1" x14ac:dyDescent="0.25">
      <c r="A218" s="9" t="s">
        <v>149</v>
      </c>
      <c r="B218" s="10">
        <f t="shared" si="13"/>
        <v>599</v>
      </c>
      <c r="C218" s="11">
        <v>187</v>
      </c>
      <c r="D218" s="21">
        <v>412</v>
      </c>
      <c r="E218" s="10">
        <f t="shared" si="27"/>
        <v>620</v>
      </c>
      <c r="F218" s="26">
        <v>200</v>
      </c>
      <c r="G218" s="26">
        <v>420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25">
      <c r="A219" s="5" t="s">
        <v>173</v>
      </c>
      <c r="B219" s="7">
        <f t="shared" si="13"/>
        <v>1121</v>
      </c>
      <c r="C219" s="7">
        <f t="shared" ref="C219:D219" si="49">SUM(C220:C225)</f>
        <v>240</v>
      </c>
      <c r="D219" s="22">
        <f t="shared" si="49"/>
        <v>881</v>
      </c>
      <c r="E219" s="7">
        <f t="shared" si="27"/>
        <v>1174</v>
      </c>
      <c r="F219" s="7">
        <f t="shared" ref="F219:G219" si="50">SUM(F220:F225)</f>
        <v>263</v>
      </c>
      <c r="G219" s="7">
        <f t="shared" si="50"/>
        <v>911</v>
      </c>
      <c r="H219" s="8"/>
      <c r="I219" s="1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ht="15.75" customHeight="1" x14ac:dyDescent="0.25">
      <c r="A220" s="9" t="s">
        <v>32</v>
      </c>
      <c r="B220" s="10">
        <f t="shared" si="13"/>
        <v>89</v>
      </c>
      <c r="C220" s="11">
        <v>13</v>
      </c>
      <c r="D220" s="21">
        <v>76</v>
      </c>
      <c r="E220" s="10">
        <f t="shared" si="27"/>
        <v>99</v>
      </c>
      <c r="F220" s="26">
        <v>18</v>
      </c>
      <c r="G220" s="26">
        <v>81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25">
      <c r="A221" s="9" t="s">
        <v>133</v>
      </c>
      <c r="B221" s="10">
        <f t="shared" si="13"/>
        <v>842</v>
      </c>
      <c r="C221" s="11">
        <v>201</v>
      </c>
      <c r="D221" s="21">
        <v>641</v>
      </c>
      <c r="E221" s="10">
        <f t="shared" si="27"/>
        <v>931</v>
      </c>
      <c r="F221" s="26">
        <v>219</v>
      </c>
      <c r="G221" s="26">
        <v>712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25">
      <c r="A222" s="9" t="s">
        <v>150</v>
      </c>
      <c r="B222" s="10">
        <f t="shared" si="13"/>
        <v>22</v>
      </c>
      <c r="C222" s="11">
        <v>4</v>
      </c>
      <c r="D222" s="21">
        <v>18</v>
      </c>
      <c r="E222" s="10">
        <f t="shared" si="27"/>
        <v>0</v>
      </c>
      <c r="F222" s="26">
        <v>0</v>
      </c>
      <c r="G222" s="26">
        <v>0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25">
      <c r="A223" s="9" t="s">
        <v>151</v>
      </c>
      <c r="B223" s="10">
        <f t="shared" si="13"/>
        <v>103</v>
      </c>
      <c r="C223" s="11">
        <v>15</v>
      </c>
      <c r="D223" s="21">
        <v>88</v>
      </c>
      <c r="E223" s="10">
        <f t="shared" si="27"/>
        <v>116</v>
      </c>
      <c r="F223" s="26">
        <v>23</v>
      </c>
      <c r="G223" s="26">
        <v>93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25">
      <c r="A224" s="9" t="s">
        <v>152</v>
      </c>
      <c r="B224" s="10">
        <f t="shared" si="13"/>
        <v>31</v>
      </c>
      <c r="C224" s="11">
        <v>3</v>
      </c>
      <c r="D224" s="21">
        <v>28</v>
      </c>
      <c r="E224" s="10">
        <f t="shared" si="27"/>
        <v>28</v>
      </c>
      <c r="F224" s="26">
        <v>3</v>
      </c>
      <c r="G224" s="26">
        <v>25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25">
      <c r="A225" s="13" t="s">
        <v>63</v>
      </c>
      <c r="B225" s="14">
        <f t="shared" si="13"/>
        <v>34</v>
      </c>
      <c r="C225" s="15">
        <v>4</v>
      </c>
      <c r="D225" s="23">
        <v>30</v>
      </c>
      <c r="E225" s="14">
        <f t="shared" si="27"/>
        <v>0</v>
      </c>
      <c r="F225" s="27">
        <v>0</v>
      </c>
      <c r="G225" s="27">
        <v>0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25">
      <c r="A226" s="16" t="s">
        <v>4</v>
      </c>
      <c r="B226" s="17"/>
      <c r="C226" s="17"/>
      <c r="D226" s="18"/>
      <c r="E226" s="17"/>
      <c r="F226" s="17"/>
      <c r="G226" s="18" t="s">
        <v>5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5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5.7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5.7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5.75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5.75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5.75" customHeight="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5.75" customHeight="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</sheetData>
  <mergeCells count="5">
    <mergeCell ref="B5:D5"/>
    <mergeCell ref="E5:G5"/>
    <mergeCell ref="A5:A6"/>
    <mergeCell ref="A3:G3"/>
    <mergeCell ref="A2:G2"/>
  </mergeCells>
  <conditionalFormatting sqref="B219">
    <cfRule type="duplicateValues" dxfId="3" priority="3"/>
  </conditionalFormatting>
  <conditionalFormatting sqref="B219">
    <cfRule type="duplicateValues" dxfId="2" priority="4"/>
  </conditionalFormatting>
  <conditionalFormatting sqref="E219">
    <cfRule type="duplicateValues" dxfId="1" priority="1"/>
  </conditionalFormatting>
  <conditionalFormatting sqref="E219">
    <cfRule type="duplicateValues" dxfId="0" priority="2"/>
  </conditionalFormatting>
  <pageMargins left="0.7" right="0.7" top="0.75" bottom="0.75" header="0.3" footer="0.3"/>
  <pageSetup scale="89" orientation="portrait" r:id="rId1"/>
  <ignoredErrors>
    <ignoredError sqref="E7:E1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5.4</vt:lpstr>
      <vt:lpstr>'5.4'!Print_Area</vt:lpstr>
      <vt:lpstr>'5.4'!Print_Titles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2021-07-15T06:13:01Z</cp:lastPrinted>
  <dcterms:created xsi:type="dcterms:W3CDTF">2019-06-03T04:17:39Z</dcterms:created>
  <dcterms:modified xsi:type="dcterms:W3CDTF">2021-07-15T06:13:32Z</dcterms:modified>
</cp:coreProperties>
</file>