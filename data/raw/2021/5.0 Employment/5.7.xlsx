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5. Employment\"/>
    </mc:Choice>
  </mc:AlternateContent>
  <bookViews>
    <workbookView xWindow="0" yWindow="0" windowWidth="28800" windowHeight="12330" tabRatio="736"/>
  </bookViews>
  <sheets>
    <sheet name="5.7" sheetId="6" r:id="rId1"/>
  </sheets>
  <externalReferences>
    <externalReference r:id="rId2"/>
  </externalReferences>
  <definedNames>
    <definedName name="_xlnm.Print_Area" localSheetId="0">'5.7'!$A$1:$M$69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5" i="6" l="1"/>
  <c r="D45" i="6"/>
  <c r="F45" i="6"/>
  <c r="J45" i="6"/>
  <c r="B45" i="6" s="1"/>
  <c r="J46" i="6" l="1"/>
  <c r="J42" i="6"/>
  <c r="J43" i="6"/>
  <c r="J44" i="6"/>
  <c r="F42" i="6"/>
  <c r="F43" i="6"/>
  <c r="F44" i="6"/>
  <c r="C42" i="6"/>
  <c r="D42" i="6"/>
  <c r="C43" i="6"/>
  <c r="D43" i="6"/>
  <c r="C44" i="6"/>
  <c r="D44" i="6"/>
  <c r="B43" i="6" l="1"/>
  <c r="B44" i="6"/>
  <c r="B42" i="6"/>
  <c r="L8" i="6" l="1"/>
  <c r="K8" i="6"/>
  <c r="H8" i="6"/>
  <c r="G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F9" i="6"/>
  <c r="B9" i="6" s="1"/>
  <c r="F10" i="6"/>
  <c r="F11" i="6"/>
  <c r="F12" i="6"/>
  <c r="F13" i="6"/>
  <c r="F14" i="6"/>
  <c r="F15" i="6"/>
  <c r="F16" i="6"/>
  <c r="F17" i="6"/>
  <c r="B17" i="6" s="1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B33" i="6" s="1"/>
  <c r="F34" i="6"/>
  <c r="F35" i="6"/>
  <c r="F36" i="6"/>
  <c r="F37" i="6"/>
  <c r="F38" i="6"/>
  <c r="F39" i="6"/>
  <c r="F40" i="6"/>
  <c r="F41" i="6"/>
  <c r="B41" i="6" s="1"/>
  <c r="F46" i="6"/>
  <c r="C9" i="6"/>
  <c r="D9" i="6"/>
  <c r="C10" i="6"/>
  <c r="D10" i="6"/>
  <c r="C11" i="6"/>
  <c r="D11" i="6"/>
  <c r="C12" i="6"/>
  <c r="D12" i="6"/>
  <c r="C13" i="6"/>
  <c r="D13" i="6"/>
  <c r="C14" i="6"/>
  <c r="D14" i="6"/>
  <c r="C15" i="6"/>
  <c r="D15" i="6"/>
  <c r="C16" i="6"/>
  <c r="D16" i="6"/>
  <c r="C17" i="6"/>
  <c r="D17" i="6"/>
  <c r="C18" i="6"/>
  <c r="D18" i="6"/>
  <c r="C19" i="6"/>
  <c r="D19" i="6"/>
  <c r="C20" i="6"/>
  <c r="D20" i="6"/>
  <c r="C21" i="6"/>
  <c r="D21" i="6"/>
  <c r="C22" i="6"/>
  <c r="D22" i="6"/>
  <c r="C23" i="6"/>
  <c r="D23" i="6"/>
  <c r="C24" i="6"/>
  <c r="D24" i="6"/>
  <c r="C25" i="6"/>
  <c r="D25" i="6"/>
  <c r="C26" i="6"/>
  <c r="D26" i="6"/>
  <c r="C27" i="6"/>
  <c r="D27" i="6"/>
  <c r="C28" i="6"/>
  <c r="D28" i="6"/>
  <c r="C29" i="6"/>
  <c r="D29" i="6"/>
  <c r="C30" i="6"/>
  <c r="D30" i="6"/>
  <c r="C31" i="6"/>
  <c r="D31" i="6"/>
  <c r="C32" i="6"/>
  <c r="D32" i="6"/>
  <c r="C33" i="6"/>
  <c r="D33" i="6"/>
  <c r="C34" i="6"/>
  <c r="D34" i="6"/>
  <c r="C35" i="6"/>
  <c r="D35" i="6"/>
  <c r="C36" i="6"/>
  <c r="D36" i="6"/>
  <c r="C37" i="6"/>
  <c r="D37" i="6"/>
  <c r="C38" i="6"/>
  <c r="D38" i="6"/>
  <c r="C39" i="6"/>
  <c r="D39" i="6"/>
  <c r="C40" i="6"/>
  <c r="D40" i="6"/>
  <c r="C41" i="6"/>
  <c r="D41" i="6"/>
  <c r="C46" i="6"/>
  <c r="D46" i="6"/>
  <c r="B25" i="6" l="1"/>
  <c r="B13" i="6"/>
  <c r="B39" i="6"/>
  <c r="B31" i="6"/>
  <c r="B23" i="6"/>
  <c r="B15" i="6"/>
  <c r="B29" i="6"/>
  <c r="B36" i="6"/>
  <c r="B28" i="6"/>
  <c r="B20" i="6"/>
  <c r="B38" i="6"/>
  <c r="B30" i="6"/>
  <c r="B22" i="6"/>
  <c r="B14" i="6"/>
  <c r="B40" i="6"/>
  <c r="B32" i="6"/>
  <c r="B37" i="6"/>
  <c r="B21" i="6"/>
  <c r="B12" i="6"/>
  <c r="B27" i="6"/>
  <c r="B11" i="6"/>
  <c r="B46" i="6"/>
  <c r="B34" i="6"/>
  <c r="B26" i="6"/>
  <c r="B18" i="6"/>
  <c r="B35" i="6"/>
  <c r="B19" i="6"/>
  <c r="B10" i="6"/>
  <c r="B24" i="6"/>
  <c r="J8" i="6"/>
  <c r="D8" i="6"/>
  <c r="C8" i="6"/>
  <c r="F8" i="6"/>
  <c r="B16" i="6"/>
  <c r="B8" i="6" l="1"/>
</calcChain>
</file>

<file path=xl/sharedStrings.xml><?xml version="1.0" encoding="utf-8"?>
<sst xmlns="http://schemas.openxmlformats.org/spreadsheetml/2006/main" count="64" uniqueCount="52">
  <si>
    <t>Republic</t>
  </si>
  <si>
    <t>Male'</t>
  </si>
  <si>
    <t>ދެޖިންސް</t>
  </si>
  <si>
    <t>ފިރިހެން</t>
  </si>
  <si>
    <t>އަންހެން</t>
  </si>
  <si>
    <t>Both Sexes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</si>
  <si>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</si>
  <si>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</si>
  <si>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</si>
  <si>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</si>
  <si>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</si>
  <si>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>Atolls</t>
  </si>
  <si>
    <t>ACCOUNTING AND BUDGET</t>
  </si>
  <si>
    <t>ADMINISTRATIVE</t>
  </si>
  <si>
    <t>ATTORNEYS</t>
  </si>
  <si>
    <t>AVIATION</t>
  </si>
  <si>
    <t>AVIATION COMMAND OFFICERS</t>
  </si>
  <si>
    <t>BIOLOGICAL SCIENCE SERVICE</t>
  </si>
  <si>
    <t>CLEANING AND MAINTENANCE</t>
  </si>
  <si>
    <t>CLERICAL SUPPORT WORKERS</t>
  </si>
  <si>
    <t>CLIMATOLOGY</t>
  </si>
  <si>
    <t>DENTISTS</t>
  </si>
  <si>
    <t>DOCTORS</t>
  </si>
  <si>
    <t>EDUCATION SERVICES</t>
  </si>
  <si>
    <t>ENGINEERING AND ARCHITECTURE</t>
  </si>
  <si>
    <t>IMMIGRATION OFFICERS</t>
  </si>
  <si>
    <t>INFORMATION TECHNOLOGY</t>
  </si>
  <si>
    <t>LABORATORY SUPPORT SERVICE</t>
  </si>
  <si>
    <t>LAWYERS</t>
  </si>
  <si>
    <t>LECTURERS</t>
  </si>
  <si>
    <t>METEOROLOGICAL ENGINEERS</t>
  </si>
  <si>
    <t>METEOROLOGY</t>
  </si>
  <si>
    <t>MUDHIM AND IMAAM</t>
  </si>
  <si>
    <t>NATURAL RESOURCE MANAGEMENT SERVICE</t>
  </si>
  <si>
    <t>NURSES</t>
  </si>
  <si>
    <t>OTHER HEALTH SERVICES</t>
  </si>
  <si>
    <t>PHYSICAL AND EARTH SCIENCES</t>
  </si>
  <si>
    <t>PROTECTIVE SERVICE WORKERS</t>
  </si>
  <si>
    <t>PUBLIC HEALTH SERVICES</t>
  </si>
  <si>
    <t>SEISMOLOGY</t>
  </si>
  <si>
    <t>SOCIAL AND RELIGIOUS SERVICES</t>
  </si>
  <si>
    <t>TEACHERS</t>
  </si>
  <si>
    <t>TRANSPORT SERVICES</t>
  </si>
  <si>
    <t>TECHNICAL - GENERAL</t>
  </si>
  <si>
    <t>UNSPECIFIED</t>
  </si>
  <si>
    <t>VAAIZ</t>
  </si>
  <si>
    <t>GENERAL MEDICAL DOCTORS</t>
  </si>
  <si>
    <t>SPECIALIST MEDICAL PRACTITIONER</t>
  </si>
  <si>
    <t>PSYCHOLOGISTS</t>
  </si>
  <si>
    <t>Table 5.7: CIVIL SERVANTS CLASSIFIED BY OCCUPATION AND  SEX, 2020</t>
  </si>
  <si>
    <t>ތާވަލު 5.7: އަދާކުރާ ވަޒީފާގެ ގޮތުން ސިވިލް ސަރވަންޓުން ބެހިފައިވާ ގޮތް އަދި ޖިންސް، 2020</t>
  </si>
  <si>
    <t>FOREIGN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</si>
</sst>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-* #,##0\ _ރ_._-;_-* #,##0\ _ރ_.\-;_-* &quot;-&quot;??\ _ރ_.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i/>
      <sz val="9"/>
      <color theme="1"/>
      <name val="Calibri"/>
      <family val="2"/>
    </font>
    <font>
      <sz val="9"/>
      <color theme="1"/>
      <name val="Faruma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1" fillId="0" borderId="0"/>
    <xf numFmtId="0" fontId="4" fillId="0" borderId="0"/>
    <xf numFmtId="43" fontId="4" fillId="0" borderId="0" applyFont="0" applyFill="0" applyBorder="0" applyAlignment="0" applyProtection="0"/>
    <xf numFmtId="0" fontId="12" fillId="0" borderId="0"/>
    <xf numFmtId="0" fontId="4" fillId="0" borderId="0"/>
  </cellStyleXfs>
  <cellXfs count="34">
    <xf numFmtId="0" fontId="0" fillId="0" borderId="0" xfId="0"/>
    <xf numFmtId="0" fontId="0" fillId="2" borderId="0" xfId="0" applyFill="1"/>
    <xf numFmtId="0" fontId="6" fillId="2" borderId="0" xfId="0" applyFont="1" applyFill="1" applyBorder="1" applyAlignment="1">
      <alignment horizontal="right" vertical="center" readingOrder="2"/>
    </xf>
    <xf numFmtId="165" fontId="5" fillId="2" borderId="2" xfId="1" applyNumberFormat="1" applyFont="1" applyFill="1" applyBorder="1" applyAlignment="1">
      <alignment horizontal="right" vertical="center"/>
    </xf>
    <xf numFmtId="3" fontId="5" fillId="2" borderId="0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0" fontId="0" fillId="2" borderId="0" xfId="0" applyFill="1" applyBorder="1"/>
    <xf numFmtId="3" fontId="7" fillId="2" borderId="2" xfId="1" applyNumberFormat="1" applyFont="1" applyFill="1" applyBorder="1" applyAlignment="1">
      <alignment horizontal="right" vertical="center"/>
    </xf>
    <xf numFmtId="3" fontId="5" fillId="2" borderId="2" xfId="1" applyNumberFormat="1" applyFont="1" applyFill="1" applyBorder="1" applyAlignment="1">
      <alignment horizontal="right" vertical="center"/>
    </xf>
    <xf numFmtId="0" fontId="0" fillId="2" borderId="0" xfId="0" applyFont="1" applyFill="1"/>
    <xf numFmtId="3" fontId="0" fillId="2" borderId="0" xfId="0" applyNumberFormat="1" applyFill="1"/>
    <xf numFmtId="0" fontId="2" fillId="2" borderId="0" xfId="0" applyFont="1" applyFill="1"/>
    <xf numFmtId="0" fontId="0" fillId="2" borderId="1" xfId="0" applyFill="1" applyBorder="1" applyAlignment="1">
      <alignment horizontal="center"/>
    </xf>
    <xf numFmtId="165" fontId="5" fillId="2" borderId="1" xfId="1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vertical="center"/>
    </xf>
    <xf numFmtId="3" fontId="0" fillId="2" borderId="0" xfId="0" applyNumberFormat="1" applyFill="1" applyBorder="1"/>
    <xf numFmtId="3" fontId="0" fillId="2" borderId="2" xfId="0" applyNumberFormat="1" applyFill="1" applyBorder="1"/>
    <xf numFmtId="0" fontId="9" fillId="3" borderId="0" xfId="0" applyFont="1" applyFill="1" applyBorder="1"/>
    <xf numFmtId="0" fontId="13" fillId="3" borderId="0" xfId="0" applyFont="1" applyFill="1" applyBorder="1" applyAlignment="1"/>
    <xf numFmtId="3" fontId="9" fillId="3" borderId="0" xfId="0" applyNumberFormat="1" applyFont="1" applyFill="1" applyBorder="1"/>
    <xf numFmtId="3" fontId="15" fillId="3" borderId="0" xfId="0" applyNumberFormat="1" applyFont="1" applyFill="1" applyBorder="1" applyAlignment="1">
      <alignment horizontal="right" vertical="center"/>
    </xf>
    <xf numFmtId="0" fontId="14" fillId="3" borderId="3" xfId="0" applyFont="1" applyFill="1" applyBorder="1" applyAlignment="1">
      <alignment vertical="center"/>
    </xf>
    <xf numFmtId="0" fontId="10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right" wrapText="1"/>
    </xf>
    <xf numFmtId="0" fontId="0" fillId="2" borderId="2" xfId="0" applyFill="1" applyBorder="1" applyAlignment="1">
      <alignment horizontal="right" wrapText="1"/>
    </xf>
    <xf numFmtId="3" fontId="0" fillId="2" borderId="0" xfId="0" applyNumberFormat="1" applyFill="1" applyBorder="1" applyAlignment="1">
      <alignment horizontal="right" wrapText="1"/>
    </xf>
    <xf numFmtId="0" fontId="16" fillId="2" borderId="0" xfId="0" applyFont="1" applyFill="1"/>
    <xf numFmtId="0" fontId="8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5" fontId="5" fillId="2" borderId="4" xfId="1" applyNumberFormat="1" applyFont="1" applyFill="1" applyBorder="1" applyAlignment="1">
      <alignment horizontal="center" vertical="center"/>
    </xf>
  </cellXfs>
  <cellStyles count="8">
    <cellStyle name="1" xfId="7"/>
    <cellStyle name="Comma" xfId="1" builtinId="3"/>
    <cellStyle name="Comma 3" xfId="5"/>
    <cellStyle name="Normal" xfId="0" builtinId="0"/>
    <cellStyle name="Normal 11" xfId="6"/>
    <cellStyle name="Normal 2" xfId="2"/>
    <cellStyle name="Normal 4" xfId="3"/>
    <cellStyle name="Normal 5" xfId="4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AFAFA"/>
      <color rgb="FF33CCCC"/>
      <color rgb="FFFF9900"/>
      <color rgb="FFB2EDEC"/>
      <color rgb="FF249390"/>
      <color rgb="FF196563"/>
      <color rgb="FFE5CBB1"/>
      <color rgb="FFF3E6D9"/>
      <color rgb="FFEBD7C3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75"/>
      <c:rotY val="21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0349369000107862"/>
          <c:y val="0.19922828762220413"/>
          <c:w val="0.45804702537182851"/>
          <c:h val="0.76341170895304755"/>
        </c:manualLayout>
      </c:layout>
      <c:pie3DChart>
        <c:varyColors val="1"/>
        <c:ser>
          <c:idx val="0"/>
          <c:order val="0"/>
          <c:spPr>
            <a:solidFill>
              <a:srgbClr val="964B00"/>
            </a:solidFill>
          </c:spPr>
          <c:explosion val="10"/>
          <c:dPt>
            <c:idx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1-4EA7-43F5-9DF4-7543FC78B8B0}"/>
              </c:ext>
            </c:extLst>
          </c:dPt>
          <c:dPt>
            <c:idx val="1"/>
            <c:bubble3D val="0"/>
            <c:explosion val="0"/>
            <c:spPr>
              <a:solidFill>
                <a:srgbClr val="FF9900"/>
              </a:solidFill>
            </c:spPr>
            <c:extLst>
              <c:ext xmlns:c16="http://schemas.microsoft.com/office/drawing/2014/chart" uri="{C3380CC4-5D6E-409C-BE32-E72D297353CC}">
                <c16:uniqueId val="{00000003-4EA7-43F5-9DF4-7543FC78B8B0}"/>
              </c:ext>
            </c:extLst>
          </c:dPt>
          <c:dLbls>
            <c:dLbl>
              <c:idx val="0"/>
              <c:layout>
                <c:manualLayout>
                  <c:x val="-0.11201293884175532"/>
                  <c:y val="-5.85524100894611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8301842345601299E-2"/>
                      <c:h val="0.1698883017858337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EA7-43F5-9DF4-7543FC78B8B0}"/>
                </c:ext>
              </c:extLst>
            </c:dLbl>
            <c:dLbl>
              <c:idx val="1"/>
              <c:layout>
                <c:manualLayout>
                  <c:x val="0.12798472644291056"/>
                  <c:y val="-5.54005157823516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EA7-43F5-9DF4-7543FC78B8B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'5.7'!$C$7:$D$7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'5.7'!$C$8:$D$8</c:f>
              <c:numCache>
                <c:formatCode>#,##0</c:formatCode>
                <c:ptCount val="2"/>
                <c:pt idx="0">
                  <c:v>10075</c:v>
                </c:pt>
                <c:pt idx="1">
                  <c:v>16593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A7-43F5-9DF4-7543FC78B8B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spPr>
    <a:solidFill>
      <a:srgbClr val="EAFAFA"/>
    </a:solidFill>
  </c:spPr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1019175</xdr:colOff>
      <xdr:row>48</xdr:row>
      <xdr:rowOff>171450</xdr:rowOff>
    </xdr:from>
    <xdr:to>
      <xdr:col>11</xdr:col>
      <xdr:colOff>19050</xdr:colOff>
      <xdr:row>64</xdr:row>
      <xdr:rowOff>182880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0.02397</cdr:x>
      <cdr:y>0.02358</cdr:y>
    </cdr:from>
    <cdr:to>
      <cdr:x>0.9647</cdr:x>
      <cdr:y>0.17476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3350" y="72141"/>
          <a:ext cx="5232890" cy="462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 b="1">
              <a:latin typeface="Consolas" pitchFamily="49" charset="0"/>
              <a:cs typeface="Consolas" pitchFamily="49" charset="0"/>
            </a:rPr>
            <a:t>Figure 5.9: Percentage of 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civil </a:t>
          </a:r>
          <a:r>
            <a:rPr lang="en-US" sz="1100" b="1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servants by sex, 2020</a:t>
          </a:r>
          <a:endParaRPr lang="en-US" sz="1100" b="1">
            <a:solidFill>
              <a:schemeClr val="tx1"/>
            </a:solidFill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5.%20EMPLOYME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  <sheetName val="5.9"/>
      <sheetName val="5.10"/>
      <sheetName val="5.11"/>
      <sheetName val="5.12"/>
      <sheetName val="5.13"/>
      <sheetName val="5.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C5" t="str">
            <v>Male</v>
          </cell>
          <cell r="D5" t="str">
            <v xml:space="preserve">Female </v>
          </cell>
        </row>
        <row r="6">
          <cell r="C6">
            <v>147671</v>
          </cell>
          <cell r="D6">
            <v>9889</v>
          </cell>
        </row>
        <row r="78">
          <cell r="AP78" t="str">
            <v>Bangladesh</v>
          </cell>
          <cell r="AS78">
            <v>110084</v>
          </cell>
        </row>
        <row r="79">
          <cell r="AP79" t="str">
            <v>India</v>
          </cell>
          <cell r="AS79">
            <v>20283</v>
          </cell>
        </row>
        <row r="80">
          <cell r="AP80" t="str">
            <v>Sri Lanka</v>
          </cell>
          <cell r="AS80">
            <v>11266</v>
          </cell>
        </row>
        <row r="81">
          <cell r="AP81" t="str">
            <v>Nepal</v>
          </cell>
          <cell r="AS81">
            <v>4342</v>
          </cell>
        </row>
        <row r="82">
          <cell r="AP82" t="str">
            <v>Philippines</v>
          </cell>
          <cell r="AS82">
            <v>2134</v>
          </cell>
        </row>
      </sheetData>
      <sheetData sheetId="11">
        <row r="33">
          <cell r="N33" t="str">
            <v>Male</v>
          </cell>
        </row>
      </sheetData>
      <sheetData sheetId="12">
        <row r="5">
          <cell r="A5" t="str">
            <v>Republic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O47"/>
  <sheetViews>
    <sheetView tabSelected="1" zoomScaleNormal="100" workbookViewId="0">
      <selection activeCell="L120" sqref="L120"/>
    </sheetView>
  </sheetViews>
  <sheetFormatPr defaultRowHeight="15" x14ac:dyDescent="0.25"/>
  <cols>
    <col min="1" max="1" width="35" style="1" customWidth="1"/>
    <col min="2" max="2" width="10.85546875" style="1" customWidth="1"/>
    <col min="3" max="3" width="9.28515625" style="1" customWidth="1"/>
    <col min="4" max="4" width="9.140625" style="1"/>
    <col min="5" max="5" width="2" style="1" customWidth="1"/>
    <col min="6" max="6" width="9.140625" style="1"/>
    <col min="7" max="7" width="9.140625" style="1" bestFit="1" customWidth="1"/>
    <col min="8" max="8" width="9.140625" style="1"/>
    <col min="9" max="9" width="1.7109375" style="1" customWidth="1"/>
    <col min="10" max="10" width="10" style="1" customWidth="1"/>
    <col min="11" max="11" width="9.140625" style="1" bestFit="1" customWidth="1"/>
    <col min="12" max="13" width="9.140625" style="1"/>
    <col min="14" max="15" width="5.85546875" style="1" customWidth="1"/>
    <col min="16" max="29" width="3.7109375" style="1" customWidth="1"/>
    <col min="30" max="16384" width="9.140625" style="1"/>
  </cols>
  <sheetData>
    <row r="2" spans="1:13" ht="21" x14ac:dyDescent="0.55000000000000004">
      <c r="A2" s="31" t="s">
        <v>50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3" x14ac:dyDescent="0.25">
      <c r="A3" s="32" t="s">
        <v>49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11"/>
    </row>
    <row r="4" spans="1:13" ht="5.25" customHeight="1" x14ac:dyDescent="0.25"/>
    <row r="5" spans="1:13" x14ac:dyDescent="0.25">
      <c r="A5" s="12"/>
      <c r="B5" s="33" t="s">
        <v>0</v>
      </c>
      <c r="C5" s="33"/>
      <c r="D5" s="33"/>
      <c r="E5" s="13"/>
      <c r="F5" s="33" t="s">
        <v>1</v>
      </c>
      <c r="G5" s="33"/>
      <c r="H5" s="33"/>
      <c r="I5" s="13"/>
      <c r="J5" s="33" t="s">
        <v>11</v>
      </c>
      <c r="K5" s="33"/>
      <c r="L5" s="33"/>
    </row>
    <row r="6" spans="1:13" ht="18.75" x14ac:dyDescent="0.25">
      <c r="A6" s="14"/>
      <c r="B6" s="2" t="s">
        <v>2</v>
      </c>
      <c r="C6" s="2" t="s">
        <v>3</v>
      </c>
      <c r="D6" s="2" t="s">
        <v>4</v>
      </c>
      <c r="E6" s="2"/>
      <c r="F6" s="2" t="s">
        <v>2</v>
      </c>
      <c r="G6" s="2" t="s">
        <v>3</v>
      </c>
      <c r="H6" s="2" t="s">
        <v>4</v>
      </c>
      <c r="I6" s="2"/>
      <c r="J6" s="2" t="s">
        <v>2</v>
      </c>
      <c r="K6" s="2" t="s">
        <v>3</v>
      </c>
      <c r="L6" s="2" t="s">
        <v>4</v>
      </c>
    </row>
    <row r="7" spans="1:13" x14ac:dyDescent="0.25">
      <c r="A7" s="15"/>
      <c r="B7" s="3" t="s">
        <v>5</v>
      </c>
      <c r="C7" s="3" t="s">
        <v>6</v>
      </c>
      <c r="D7" s="3" t="s">
        <v>7</v>
      </c>
      <c r="E7" s="3"/>
      <c r="F7" s="3" t="s">
        <v>5</v>
      </c>
      <c r="G7" s="3" t="s">
        <v>6</v>
      </c>
      <c r="H7" s="3" t="s">
        <v>7</v>
      </c>
      <c r="I7" s="3"/>
      <c r="J7" s="3" t="s">
        <v>5</v>
      </c>
      <c r="K7" s="3" t="s">
        <v>6</v>
      </c>
      <c r="L7" s="3" t="s">
        <v>7</v>
      </c>
    </row>
    <row r="8" spans="1:13" s="9" customFormat="1" x14ac:dyDescent="0.25">
      <c r="A8" s="26" t="s">
        <v>8</v>
      </c>
      <c r="B8" s="4">
        <f>F8+J8</f>
        <v>26668</v>
      </c>
      <c r="C8" s="4">
        <f t="shared" ref="C8:D8" si="0">G8+K8</f>
        <v>10075</v>
      </c>
      <c r="D8" s="4">
        <f t="shared" si="0"/>
        <v>16593</v>
      </c>
      <c r="E8" s="4"/>
      <c r="F8" s="4">
        <f>SUM(G8:H8)</f>
        <v>10067</v>
      </c>
      <c r="G8" s="4">
        <f>SUM(G9:G46)</f>
        <v>3932</v>
      </c>
      <c r="H8" s="4">
        <f>SUM(H9:H46)</f>
        <v>6135</v>
      </c>
      <c r="I8" s="4"/>
      <c r="J8" s="4">
        <f>SUM(K8:L8)</f>
        <v>16601</v>
      </c>
      <c r="K8" s="4">
        <f>SUM(K9:K46)</f>
        <v>6143</v>
      </c>
      <c r="L8" s="4">
        <f>SUM(L9:L46)</f>
        <v>10458</v>
      </c>
    </row>
    <row r="9" spans="1:13" x14ac:dyDescent="0.25">
      <c r="A9" s="19" t="s">
        <v>12</v>
      </c>
      <c r="B9" s="4">
        <f t="shared" ref="B9:B41" si="1">F9+J9</f>
        <v>560</v>
      </c>
      <c r="C9" s="5">
        <f t="shared" ref="C9:C41" si="2">G9+K9</f>
        <v>196</v>
      </c>
      <c r="D9" s="5">
        <f t="shared" ref="D9:D41" si="3">H9+L9</f>
        <v>364</v>
      </c>
      <c r="E9" s="10"/>
      <c r="F9" s="4">
        <f t="shared" ref="F9:F44" si="4">SUM(G9:H9)</f>
        <v>293</v>
      </c>
      <c r="G9" s="27">
        <v>77</v>
      </c>
      <c r="H9" s="27">
        <v>216</v>
      </c>
      <c r="I9" s="10"/>
      <c r="J9" s="4">
        <f t="shared" ref="J9:J44" si="5">SUM(K9:L9)</f>
        <v>267</v>
      </c>
      <c r="K9" s="27">
        <v>119</v>
      </c>
      <c r="L9" s="27">
        <v>148</v>
      </c>
    </row>
    <row r="10" spans="1:13" x14ac:dyDescent="0.25">
      <c r="A10" s="19" t="s">
        <v>13</v>
      </c>
      <c r="B10" s="4">
        <f t="shared" si="1"/>
        <v>5585</v>
      </c>
      <c r="C10" s="5">
        <f t="shared" si="2"/>
        <v>2138</v>
      </c>
      <c r="D10" s="5">
        <f t="shared" si="3"/>
        <v>3447</v>
      </c>
      <c r="E10" s="10"/>
      <c r="F10" s="4">
        <f t="shared" si="4"/>
        <v>2094</v>
      </c>
      <c r="G10" s="27">
        <v>763</v>
      </c>
      <c r="H10" s="29">
        <v>1331</v>
      </c>
      <c r="I10" s="10"/>
      <c r="J10" s="4">
        <f t="shared" si="5"/>
        <v>3491</v>
      </c>
      <c r="K10" s="29">
        <v>1375</v>
      </c>
      <c r="L10" s="29">
        <v>2116</v>
      </c>
    </row>
    <row r="11" spans="1:13" x14ac:dyDescent="0.25">
      <c r="A11" s="19" t="s">
        <v>14</v>
      </c>
      <c r="B11" s="4">
        <f t="shared" si="1"/>
        <v>86</v>
      </c>
      <c r="C11" s="5">
        <f t="shared" si="2"/>
        <v>31</v>
      </c>
      <c r="D11" s="5">
        <f t="shared" si="3"/>
        <v>55</v>
      </c>
      <c r="E11" s="10"/>
      <c r="F11" s="4">
        <f t="shared" si="4"/>
        <v>82</v>
      </c>
      <c r="G11" s="27">
        <v>28</v>
      </c>
      <c r="H11" s="27">
        <v>54</v>
      </c>
      <c r="I11" s="10"/>
      <c r="J11" s="4">
        <f t="shared" si="5"/>
        <v>4</v>
      </c>
      <c r="K11" s="27">
        <v>3</v>
      </c>
      <c r="L11" s="27">
        <v>1</v>
      </c>
    </row>
    <row r="12" spans="1:13" x14ac:dyDescent="0.25">
      <c r="A12" s="19" t="s">
        <v>15</v>
      </c>
      <c r="B12" s="4">
        <f t="shared" si="1"/>
        <v>24</v>
      </c>
      <c r="C12" s="5">
        <f t="shared" si="2"/>
        <v>23</v>
      </c>
      <c r="D12" s="5">
        <f t="shared" si="3"/>
        <v>1</v>
      </c>
      <c r="E12" s="10"/>
      <c r="F12" s="4">
        <f t="shared" si="4"/>
        <v>24</v>
      </c>
      <c r="G12" s="27">
        <v>23</v>
      </c>
      <c r="H12" s="27">
        <v>1</v>
      </c>
      <c r="I12" s="10"/>
      <c r="J12" s="4">
        <f t="shared" si="5"/>
        <v>0</v>
      </c>
      <c r="K12" s="27">
        <v>0</v>
      </c>
      <c r="L12" s="27">
        <v>0</v>
      </c>
    </row>
    <row r="13" spans="1:13" x14ac:dyDescent="0.25">
      <c r="A13" s="19" t="s">
        <v>16</v>
      </c>
      <c r="B13" s="4">
        <f t="shared" si="1"/>
        <v>568</v>
      </c>
      <c r="C13" s="5">
        <f t="shared" si="2"/>
        <v>418</v>
      </c>
      <c r="D13" s="5">
        <f t="shared" si="3"/>
        <v>150</v>
      </c>
      <c r="E13" s="10"/>
      <c r="F13" s="4">
        <f t="shared" si="4"/>
        <v>568</v>
      </c>
      <c r="G13" s="27">
        <v>418</v>
      </c>
      <c r="H13" s="27">
        <v>150</v>
      </c>
      <c r="I13" s="10"/>
      <c r="J13" s="4">
        <f t="shared" si="5"/>
        <v>0</v>
      </c>
      <c r="K13" s="27">
        <v>0</v>
      </c>
      <c r="L13" s="27">
        <v>0</v>
      </c>
    </row>
    <row r="14" spans="1:13" x14ac:dyDescent="0.25">
      <c r="A14" s="19" t="s">
        <v>17</v>
      </c>
      <c r="B14" s="4">
        <f t="shared" si="1"/>
        <v>21</v>
      </c>
      <c r="C14" s="5">
        <f t="shared" si="2"/>
        <v>3</v>
      </c>
      <c r="D14" s="5">
        <f t="shared" si="3"/>
        <v>18</v>
      </c>
      <c r="E14" s="10"/>
      <c r="F14" s="4">
        <f t="shared" si="4"/>
        <v>21</v>
      </c>
      <c r="G14" s="27">
        <v>3</v>
      </c>
      <c r="H14" s="27">
        <v>18</v>
      </c>
      <c r="I14" s="10"/>
      <c r="J14" s="4">
        <f t="shared" si="5"/>
        <v>0</v>
      </c>
      <c r="K14" s="27">
        <v>0</v>
      </c>
      <c r="L14" s="27">
        <v>0</v>
      </c>
    </row>
    <row r="15" spans="1:13" x14ac:dyDescent="0.25">
      <c r="A15" s="19" t="s">
        <v>18</v>
      </c>
      <c r="B15" s="4">
        <f t="shared" si="1"/>
        <v>4931</v>
      </c>
      <c r="C15" s="5">
        <f t="shared" si="2"/>
        <v>1994</v>
      </c>
      <c r="D15" s="5">
        <f t="shared" si="3"/>
        <v>2937</v>
      </c>
      <c r="E15" s="10"/>
      <c r="F15" s="4">
        <f t="shared" si="4"/>
        <v>1231</v>
      </c>
      <c r="G15" s="27">
        <v>495</v>
      </c>
      <c r="H15" s="27">
        <v>736</v>
      </c>
      <c r="I15" s="10"/>
      <c r="J15" s="4">
        <f t="shared" si="5"/>
        <v>3700</v>
      </c>
      <c r="K15" s="29">
        <v>1499</v>
      </c>
      <c r="L15" s="29">
        <v>2201</v>
      </c>
    </row>
    <row r="16" spans="1:13" x14ac:dyDescent="0.25">
      <c r="A16" s="19" t="s">
        <v>19</v>
      </c>
      <c r="B16" s="4">
        <f t="shared" si="1"/>
        <v>337</v>
      </c>
      <c r="C16" s="5">
        <f t="shared" si="2"/>
        <v>142</v>
      </c>
      <c r="D16" s="5">
        <f t="shared" si="3"/>
        <v>195</v>
      </c>
      <c r="E16" s="10"/>
      <c r="F16" s="4">
        <f t="shared" si="4"/>
        <v>99</v>
      </c>
      <c r="G16" s="27">
        <v>46</v>
      </c>
      <c r="H16" s="27">
        <v>53</v>
      </c>
      <c r="I16" s="10"/>
      <c r="J16" s="4">
        <f t="shared" si="5"/>
        <v>238</v>
      </c>
      <c r="K16" s="27">
        <v>96</v>
      </c>
      <c r="L16" s="27">
        <v>142</v>
      </c>
    </row>
    <row r="17" spans="1:12" x14ac:dyDescent="0.25">
      <c r="A17" s="19" t="s">
        <v>20</v>
      </c>
      <c r="B17" s="4">
        <f t="shared" si="1"/>
        <v>0</v>
      </c>
      <c r="C17" s="5">
        <f t="shared" si="2"/>
        <v>0</v>
      </c>
      <c r="D17" s="5">
        <f t="shared" si="3"/>
        <v>0</v>
      </c>
      <c r="E17" s="10"/>
      <c r="F17" s="4">
        <f t="shared" si="4"/>
        <v>0</v>
      </c>
      <c r="G17" s="27">
        <v>0</v>
      </c>
      <c r="H17" s="27">
        <v>0</v>
      </c>
      <c r="I17" s="10"/>
      <c r="J17" s="4">
        <f t="shared" si="5"/>
        <v>0</v>
      </c>
      <c r="K17" s="27">
        <v>0</v>
      </c>
      <c r="L17" s="27">
        <v>0</v>
      </c>
    </row>
    <row r="18" spans="1:12" x14ac:dyDescent="0.25">
      <c r="A18" s="19" t="s">
        <v>21</v>
      </c>
      <c r="B18" s="4">
        <f t="shared" si="1"/>
        <v>11</v>
      </c>
      <c r="C18" s="5">
        <f t="shared" si="2"/>
        <v>1</v>
      </c>
      <c r="D18" s="5">
        <f t="shared" si="3"/>
        <v>10</v>
      </c>
      <c r="E18" s="10"/>
      <c r="F18" s="4">
        <f t="shared" si="4"/>
        <v>9</v>
      </c>
      <c r="G18" s="27">
        <v>1</v>
      </c>
      <c r="H18" s="27">
        <v>8</v>
      </c>
      <c r="I18" s="10"/>
      <c r="J18" s="4">
        <f t="shared" si="5"/>
        <v>2</v>
      </c>
      <c r="K18" s="27">
        <v>0</v>
      </c>
      <c r="L18" s="27">
        <v>2</v>
      </c>
    </row>
    <row r="19" spans="1:12" x14ac:dyDescent="0.25">
      <c r="A19" s="19" t="s">
        <v>22</v>
      </c>
      <c r="B19" s="4">
        <f t="shared" si="1"/>
        <v>13</v>
      </c>
      <c r="C19" s="5">
        <f t="shared" si="2"/>
        <v>7</v>
      </c>
      <c r="D19" s="5">
        <f t="shared" si="3"/>
        <v>6</v>
      </c>
      <c r="E19" s="10"/>
      <c r="F19" s="4">
        <f t="shared" si="4"/>
        <v>6</v>
      </c>
      <c r="G19" s="27">
        <v>2</v>
      </c>
      <c r="H19" s="27">
        <v>4</v>
      </c>
      <c r="I19" s="10"/>
      <c r="J19" s="4">
        <f t="shared" si="5"/>
        <v>7</v>
      </c>
      <c r="K19" s="27">
        <v>5</v>
      </c>
      <c r="L19" s="27">
        <v>2</v>
      </c>
    </row>
    <row r="20" spans="1:12" x14ac:dyDescent="0.25">
      <c r="A20" s="19" t="s">
        <v>23</v>
      </c>
      <c r="B20" s="4">
        <f t="shared" si="1"/>
        <v>324</v>
      </c>
      <c r="C20" s="5">
        <f t="shared" si="2"/>
        <v>190</v>
      </c>
      <c r="D20" s="5">
        <f t="shared" si="3"/>
        <v>134</v>
      </c>
      <c r="E20" s="10"/>
      <c r="F20" s="4">
        <f t="shared" si="4"/>
        <v>145</v>
      </c>
      <c r="G20" s="27">
        <v>54</v>
      </c>
      <c r="H20" s="27">
        <v>91</v>
      </c>
      <c r="I20" s="10"/>
      <c r="J20" s="4">
        <f t="shared" si="5"/>
        <v>179</v>
      </c>
      <c r="K20" s="27">
        <v>136</v>
      </c>
      <c r="L20" s="27">
        <v>43</v>
      </c>
    </row>
    <row r="21" spans="1:12" x14ac:dyDescent="0.25">
      <c r="A21" s="19" t="s">
        <v>24</v>
      </c>
      <c r="B21" s="4">
        <f t="shared" si="1"/>
        <v>77</v>
      </c>
      <c r="C21" s="5">
        <f t="shared" si="2"/>
        <v>53</v>
      </c>
      <c r="D21" s="5">
        <f t="shared" si="3"/>
        <v>24</v>
      </c>
      <c r="E21" s="10"/>
      <c r="F21" s="4">
        <f t="shared" si="4"/>
        <v>73</v>
      </c>
      <c r="G21" s="27">
        <v>51</v>
      </c>
      <c r="H21" s="27">
        <v>22</v>
      </c>
      <c r="I21" s="10"/>
      <c r="J21" s="4">
        <f t="shared" si="5"/>
        <v>4</v>
      </c>
      <c r="K21" s="27">
        <v>2</v>
      </c>
      <c r="L21" s="27">
        <v>2</v>
      </c>
    </row>
    <row r="22" spans="1:12" x14ac:dyDescent="0.25">
      <c r="A22" s="19" t="s">
        <v>25</v>
      </c>
      <c r="B22" s="4">
        <f t="shared" si="1"/>
        <v>282</v>
      </c>
      <c r="C22" s="5">
        <f t="shared" si="2"/>
        <v>170</v>
      </c>
      <c r="D22" s="5">
        <f t="shared" si="3"/>
        <v>112</v>
      </c>
      <c r="E22" s="10"/>
      <c r="F22" s="4">
        <f t="shared" si="4"/>
        <v>282</v>
      </c>
      <c r="G22" s="27">
        <v>170</v>
      </c>
      <c r="H22" s="27">
        <v>112</v>
      </c>
      <c r="I22" s="10"/>
      <c r="J22" s="4">
        <f t="shared" si="5"/>
        <v>0</v>
      </c>
      <c r="K22" s="27">
        <v>0</v>
      </c>
      <c r="L22" s="27">
        <v>0</v>
      </c>
    </row>
    <row r="23" spans="1:12" x14ac:dyDescent="0.25">
      <c r="A23" s="19" t="s">
        <v>26</v>
      </c>
      <c r="B23" s="4">
        <f t="shared" si="1"/>
        <v>252</v>
      </c>
      <c r="C23" s="5">
        <f t="shared" si="2"/>
        <v>201</v>
      </c>
      <c r="D23" s="5">
        <f t="shared" si="3"/>
        <v>51</v>
      </c>
      <c r="E23" s="10"/>
      <c r="F23" s="4">
        <f t="shared" si="4"/>
        <v>139</v>
      </c>
      <c r="G23" s="27">
        <v>103</v>
      </c>
      <c r="H23" s="27">
        <v>36</v>
      </c>
      <c r="I23" s="10"/>
      <c r="J23" s="4">
        <f t="shared" si="5"/>
        <v>113</v>
      </c>
      <c r="K23" s="27">
        <v>98</v>
      </c>
      <c r="L23" s="27">
        <v>15</v>
      </c>
    </row>
    <row r="24" spans="1:12" x14ac:dyDescent="0.25">
      <c r="A24" s="19" t="s">
        <v>27</v>
      </c>
      <c r="B24" s="4">
        <f t="shared" si="1"/>
        <v>282</v>
      </c>
      <c r="C24" s="5">
        <f t="shared" si="2"/>
        <v>53</v>
      </c>
      <c r="D24" s="5">
        <f t="shared" si="3"/>
        <v>229</v>
      </c>
      <c r="E24" s="10"/>
      <c r="F24" s="4">
        <f t="shared" si="4"/>
        <v>135</v>
      </c>
      <c r="G24" s="27">
        <v>19</v>
      </c>
      <c r="H24" s="27">
        <v>116</v>
      </c>
      <c r="I24" s="10"/>
      <c r="J24" s="4">
        <f t="shared" si="5"/>
        <v>147</v>
      </c>
      <c r="K24" s="27">
        <v>34</v>
      </c>
      <c r="L24" s="27">
        <v>113</v>
      </c>
    </row>
    <row r="25" spans="1:12" x14ac:dyDescent="0.25">
      <c r="A25" s="19" t="s">
        <v>28</v>
      </c>
      <c r="B25" s="4">
        <f t="shared" si="1"/>
        <v>0</v>
      </c>
      <c r="C25" s="5">
        <f t="shared" si="2"/>
        <v>0</v>
      </c>
      <c r="D25" s="5">
        <f t="shared" si="3"/>
        <v>0</v>
      </c>
      <c r="E25" s="10"/>
      <c r="F25" s="4">
        <f t="shared" si="4"/>
        <v>0</v>
      </c>
      <c r="G25" s="27">
        <v>0</v>
      </c>
      <c r="H25" s="27">
        <v>0</v>
      </c>
      <c r="I25" s="10"/>
      <c r="J25" s="4">
        <f t="shared" si="5"/>
        <v>0</v>
      </c>
      <c r="K25" s="27">
        <v>0</v>
      </c>
      <c r="L25" s="27">
        <v>0</v>
      </c>
    </row>
    <row r="26" spans="1:12" x14ac:dyDescent="0.25">
      <c r="A26" s="19" t="s">
        <v>29</v>
      </c>
      <c r="B26" s="4">
        <f t="shared" si="1"/>
        <v>23</v>
      </c>
      <c r="C26" s="5">
        <f t="shared" si="2"/>
        <v>21</v>
      </c>
      <c r="D26" s="5">
        <f t="shared" si="3"/>
        <v>2</v>
      </c>
      <c r="E26" s="10"/>
      <c r="F26" s="4">
        <f t="shared" si="4"/>
        <v>23</v>
      </c>
      <c r="G26" s="27">
        <v>21</v>
      </c>
      <c r="H26" s="27">
        <v>2</v>
      </c>
      <c r="I26" s="10"/>
      <c r="J26" s="4">
        <f t="shared" si="5"/>
        <v>0</v>
      </c>
      <c r="K26" s="27">
        <v>0</v>
      </c>
      <c r="L26" s="27">
        <v>0</v>
      </c>
    </row>
    <row r="27" spans="1:12" x14ac:dyDescent="0.25">
      <c r="A27" s="20" t="s">
        <v>30</v>
      </c>
      <c r="B27" s="4">
        <f t="shared" si="1"/>
        <v>7</v>
      </c>
      <c r="C27" s="5">
        <f t="shared" si="2"/>
        <v>7</v>
      </c>
      <c r="D27" s="5">
        <f t="shared" si="3"/>
        <v>0</v>
      </c>
      <c r="E27" s="10"/>
      <c r="F27" s="4">
        <f t="shared" si="4"/>
        <v>7</v>
      </c>
      <c r="G27" s="27">
        <v>7</v>
      </c>
      <c r="H27" s="27">
        <v>0</v>
      </c>
      <c r="I27" s="10"/>
      <c r="J27" s="4">
        <f t="shared" si="5"/>
        <v>0</v>
      </c>
      <c r="K27" s="27">
        <v>0</v>
      </c>
      <c r="L27" s="27">
        <v>0</v>
      </c>
    </row>
    <row r="28" spans="1:12" x14ac:dyDescent="0.25">
      <c r="A28" s="19" t="s">
        <v>31</v>
      </c>
      <c r="B28" s="4">
        <f t="shared" si="1"/>
        <v>71</v>
      </c>
      <c r="C28" s="5">
        <f t="shared" si="2"/>
        <v>51</v>
      </c>
      <c r="D28" s="5">
        <f t="shared" si="3"/>
        <v>20</v>
      </c>
      <c r="E28" s="10"/>
      <c r="F28" s="4">
        <f t="shared" si="4"/>
        <v>71</v>
      </c>
      <c r="G28" s="27">
        <v>51</v>
      </c>
      <c r="H28" s="27">
        <v>20</v>
      </c>
      <c r="I28" s="10"/>
      <c r="J28" s="4">
        <f t="shared" si="5"/>
        <v>0</v>
      </c>
      <c r="K28" s="27">
        <v>0</v>
      </c>
      <c r="L28" s="27">
        <v>0</v>
      </c>
    </row>
    <row r="29" spans="1:12" x14ac:dyDescent="0.25">
      <c r="A29" s="19" t="s">
        <v>32</v>
      </c>
      <c r="B29" s="4">
        <f t="shared" si="1"/>
        <v>578</v>
      </c>
      <c r="C29" s="5">
        <f t="shared" si="2"/>
        <v>517</v>
      </c>
      <c r="D29" s="5">
        <f t="shared" si="3"/>
        <v>61</v>
      </c>
      <c r="E29" s="10"/>
      <c r="F29" s="4">
        <f t="shared" si="4"/>
        <v>575</v>
      </c>
      <c r="G29" s="27">
        <v>516</v>
      </c>
      <c r="H29" s="27">
        <v>59</v>
      </c>
      <c r="I29" s="10"/>
      <c r="J29" s="4">
        <f t="shared" si="5"/>
        <v>3</v>
      </c>
      <c r="K29" s="27">
        <v>1</v>
      </c>
      <c r="L29" s="27">
        <v>2</v>
      </c>
    </row>
    <row r="30" spans="1:12" x14ac:dyDescent="0.25">
      <c r="A30" s="19" t="s">
        <v>33</v>
      </c>
      <c r="B30" s="4">
        <f t="shared" si="1"/>
        <v>59</v>
      </c>
      <c r="C30" s="5">
        <f t="shared" si="2"/>
        <v>34</v>
      </c>
      <c r="D30" s="5">
        <f t="shared" si="3"/>
        <v>25</v>
      </c>
      <c r="E30" s="10"/>
      <c r="F30" s="4">
        <f t="shared" si="4"/>
        <v>55</v>
      </c>
      <c r="G30" s="27">
        <v>30</v>
      </c>
      <c r="H30" s="27">
        <v>25</v>
      </c>
      <c r="I30" s="10"/>
      <c r="J30" s="4">
        <f t="shared" si="5"/>
        <v>4</v>
      </c>
      <c r="K30" s="27">
        <v>4</v>
      </c>
      <c r="L30" s="27">
        <v>0</v>
      </c>
    </row>
    <row r="31" spans="1:12" x14ac:dyDescent="0.25">
      <c r="A31" s="19" t="s">
        <v>34</v>
      </c>
      <c r="B31" s="4">
        <f t="shared" si="1"/>
        <v>1757</v>
      </c>
      <c r="C31" s="5">
        <f t="shared" si="2"/>
        <v>51</v>
      </c>
      <c r="D31" s="5">
        <f t="shared" si="3"/>
        <v>1706</v>
      </c>
      <c r="E31" s="10"/>
      <c r="F31" s="4">
        <f t="shared" si="4"/>
        <v>633</v>
      </c>
      <c r="G31" s="27">
        <v>29</v>
      </c>
      <c r="H31" s="27">
        <v>604</v>
      </c>
      <c r="I31" s="10"/>
      <c r="J31" s="4">
        <f t="shared" si="5"/>
        <v>1124</v>
      </c>
      <c r="K31" s="27">
        <v>22</v>
      </c>
      <c r="L31" s="29">
        <v>1102</v>
      </c>
    </row>
    <row r="32" spans="1:12" x14ac:dyDescent="0.25">
      <c r="A32" s="19" t="s">
        <v>35</v>
      </c>
      <c r="B32" s="4">
        <f t="shared" si="1"/>
        <v>170</v>
      </c>
      <c r="C32" s="5">
        <f t="shared" si="2"/>
        <v>36</v>
      </c>
      <c r="D32" s="5">
        <f t="shared" si="3"/>
        <v>134</v>
      </c>
      <c r="E32" s="10"/>
      <c r="F32" s="4">
        <f t="shared" si="4"/>
        <v>107</v>
      </c>
      <c r="G32" s="27">
        <v>20</v>
      </c>
      <c r="H32" s="27">
        <v>87</v>
      </c>
      <c r="I32" s="10"/>
      <c r="J32" s="4">
        <f t="shared" si="5"/>
        <v>63</v>
      </c>
      <c r="K32" s="27">
        <v>16</v>
      </c>
      <c r="L32" s="27">
        <v>47</v>
      </c>
    </row>
    <row r="33" spans="1:15" x14ac:dyDescent="0.25">
      <c r="A33" s="19" t="s">
        <v>36</v>
      </c>
      <c r="B33" s="4">
        <f t="shared" si="1"/>
        <v>11</v>
      </c>
      <c r="C33" s="5">
        <f t="shared" si="2"/>
        <v>7</v>
      </c>
      <c r="D33" s="5">
        <f t="shared" si="3"/>
        <v>4</v>
      </c>
      <c r="E33" s="10"/>
      <c r="F33" s="4">
        <f t="shared" si="4"/>
        <v>11</v>
      </c>
      <c r="G33" s="27">
        <v>7</v>
      </c>
      <c r="H33" s="27">
        <v>4</v>
      </c>
      <c r="I33" s="10"/>
      <c r="J33" s="4">
        <f t="shared" si="5"/>
        <v>0</v>
      </c>
      <c r="K33" s="27">
        <v>0</v>
      </c>
      <c r="L33" s="27">
        <v>0</v>
      </c>
    </row>
    <row r="34" spans="1:15" x14ac:dyDescent="0.25">
      <c r="A34" s="19" t="s">
        <v>37</v>
      </c>
      <c r="B34" s="4">
        <f t="shared" si="1"/>
        <v>454</v>
      </c>
      <c r="C34" s="5">
        <f t="shared" si="2"/>
        <v>426</v>
      </c>
      <c r="D34" s="5">
        <f t="shared" si="3"/>
        <v>28</v>
      </c>
      <c r="E34" s="10"/>
      <c r="F34" s="4">
        <f t="shared" si="4"/>
        <v>216</v>
      </c>
      <c r="G34" s="27">
        <v>190</v>
      </c>
      <c r="H34" s="27">
        <v>26</v>
      </c>
      <c r="I34" s="10"/>
      <c r="J34" s="4">
        <f t="shared" si="5"/>
        <v>238</v>
      </c>
      <c r="K34" s="27">
        <v>236</v>
      </c>
      <c r="L34" s="27">
        <v>2</v>
      </c>
    </row>
    <row r="35" spans="1:15" s="6" customFormat="1" x14ac:dyDescent="0.25">
      <c r="A35" s="19" t="s">
        <v>38</v>
      </c>
      <c r="B35" s="4">
        <f t="shared" si="1"/>
        <v>549</v>
      </c>
      <c r="C35" s="5">
        <f t="shared" si="2"/>
        <v>178</v>
      </c>
      <c r="D35" s="5">
        <f t="shared" si="3"/>
        <v>371</v>
      </c>
      <c r="E35" s="10"/>
      <c r="F35" s="4">
        <f t="shared" si="4"/>
        <v>88</v>
      </c>
      <c r="G35" s="27">
        <v>34</v>
      </c>
      <c r="H35" s="27">
        <v>54</v>
      </c>
      <c r="I35" s="10"/>
      <c r="J35" s="4">
        <f t="shared" si="5"/>
        <v>461</v>
      </c>
      <c r="K35" s="27">
        <v>144</v>
      </c>
      <c r="L35" s="27">
        <v>317</v>
      </c>
      <c r="M35" s="1"/>
      <c r="O35" s="1"/>
    </row>
    <row r="36" spans="1:15" s="16" customFormat="1" x14ac:dyDescent="0.25">
      <c r="A36" s="19" t="s">
        <v>39</v>
      </c>
      <c r="B36" s="4">
        <f t="shared" si="1"/>
        <v>1</v>
      </c>
      <c r="C36" s="5">
        <f t="shared" si="2"/>
        <v>1</v>
      </c>
      <c r="D36" s="5">
        <f t="shared" si="3"/>
        <v>0</v>
      </c>
      <c r="E36" s="10"/>
      <c r="F36" s="4">
        <f t="shared" si="4"/>
        <v>1</v>
      </c>
      <c r="G36" s="27">
        <v>1</v>
      </c>
      <c r="H36" s="27">
        <v>0</v>
      </c>
      <c r="I36" s="10"/>
      <c r="J36" s="4">
        <f t="shared" si="5"/>
        <v>0</v>
      </c>
      <c r="K36" s="27">
        <v>0</v>
      </c>
      <c r="L36" s="27">
        <v>0</v>
      </c>
      <c r="M36" s="1"/>
      <c r="O36" s="1"/>
    </row>
    <row r="37" spans="1:15" x14ac:dyDescent="0.25">
      <c r="A37" s="19" t="s">
        <v>40</v>
      </c>
      <c r="B37" s="4">
        <f t="shared" si="1"/>
        <v>491</v>
      </c>
      <c r="C37" s="5">
        <f t="shared" si="2"/>
        <v>91</v>
      </c>
      <c r="D37" s="5">
        <f t="shared" si="3"/>
        <v>400</v>
      </c>
      <c r="E37" s="10"/>
      <c r="F37" s="4">
        <f t="shared" si="4"/>
        <v>334</v>
      </c>
      <c r="G37" s="27">
        <v>53</v>
      </c>
      <c r="H37" s="27">
        <v>281</v>
      </c>
      <c r="I37" s="10"/>
      <c r="J37" s="4">
        <f t="shared" si="5"/>
        <v>157</v>
      </c>
      <c r="K37" s="27">
        <v>38</v>
      </c>
      <c r="L37" s="27">
        <v>119</v>
      </c>
    </row>
    <row r="38" spans="1:15" x14ac:dyDescent="0.25">
      <c r="A38" s="19" t="s">
        <v>41</v>
      </c>
      <c r="B38" s="4">
        <f t="shared" si="1"/>
        <v>7196</v>
      </c>
      <c r="C38" s="5">
        <f t="shared" si="2"/>
        <v>1888</v>
      </c>
      <c r="D38" s="5">
        <f t="shared" si="3"/>
        <v>5308</v>
      </c>
      <c r="E38" s="17"/>
      <c r="F38" s="4">
        <f t="shared" si="4"/>
        <v>1784</v>
      </c>
      <c r="G38" s="27">
        <v>320</v>
      </c>
      <c r="H38" s="29">
        <v>1464</v>
      </c>
      <c r="I38" s="17"/>
      <c r="J38" s="4">
        <f t="shared" si="5"/>
        <v>5412</v>
      </c>
      <c r="K38" s="29">
        <v>1568</v>
      </c>
      <c r="L38" s="29">
        <v>3844</v>
      </c>
    </row>
    <row r="39" spans="1:15" x14ac:dyDescent="0.25">
      <c r="A39" s="19" t="s">
        <v>42</v>
      </c>
      <c r="B39" s="4">
        <f t="shared" si="1"/>
        <v>614</v>
      </c>
      <c r="C39" s="5">
        <f t="shared" si="2"/>
        <v>614</v>
      </c>
      <c r="D39" s="5">
        <f t="shared" si="3"/>
        <v>0</v>
      </c>
      <c r="E39" s="17"/>
      <c r="F39" s="4">
        <f t="shared" si="4"/>
        <v>110</v>
      </c>
      <c r="G39" s="27">
        <v>110</v>
      </c>
      <c r="H39" s="27">
        <v>0</v>
      </c>
      <c r="I39" s="17"/>
      <c r="J39" s="4">
        <f t="shared" si="5"/>
        <v>504</v>
      </c>
      <c r="K39" s="27">
        <v>504</v>
      </c>
      <c r="L39" s="27">
        <v>0</v>
      </c>
    </row>
    <row r="40" spans="1:15" x14ac:dyDescent="0.25">
      <c r="A40" s="19" t="s">
        <v>45</v>
      </c>
      <c r="B40" s="4">
        <f t="shared" si="1"/>
        <v>3</v>
      </c>
      <c r="C40" s="5">
        <f t="shared" si="2"/>
        <v>3</v>
      </c>
      <c r="D40" s="5">
        <f t="shared" si="3"/>
        <v>0</v>
      </c>
      <c r="E40" s="17"/>
      <c r="F40" s="4">
        <f t="shared" si="4"/>
        <v>3</v>
      </c>
      <c r="G40" s="27">
        <v>3</v>
      </c>
      <c r="H40" s="27">
        <v>0</v>
      </c>
      <c r="I40" s="17"/>
      <c r="J40" s="4">
        <f t="shared" si="5"/>
        <v>0</v>
      </c>
      <c r="K40" s="27">
        <v>0</v>
      </c>
      <c r="L40" s="27">
        <v>0</v>
      </c>
    </row>
    <row r="41" spans="1:15" x14ac:dyDescent="0.25">
      <c r="A41" s="19" t="s">
        <v>43</v>
      </c>
      <c r="B41" s="4">
        <f t="shared" si="1"/>
        <v>993</v>
      </c>
      <c r="C41" s="5">
        <f t="shared" si="2"/>
        <v>386</v>
      </c>
      <c r="D41" s="5">
        <f t="shared" si="3"/>
        <v>607</v>
      </c>
      <c r="E41" s="17"/>
      <c r="F41" s="4">
        <f t="shared" si="4"/>
        <v>569</v>
      </c>
      <c r="G41" s="27">
        <v>177</v>
      </c>
      <c r="H41" s="27">
        <v>392</v>
      </c>
      <c r="I41" s="17"/>
      <c r="J41" s="4">
        <f t="shared" si="5"/>
        <v>424</v>
      </c>
      <c r="K41" s="27">
        <v>209</v>
      </c>
      <c r="L41" s="27">
        <v>215</v>
      </c>
    </row>
    <row r="42" spans="1:15" x14ac:dyDescent="0.25">
      <c r="A42" s="30" t="s">
        <v>44</v>
      </c>
      <c r="B42" s="4">
        <f t="shared" ref="B42:B44" si="6">F42+J42</f>
        <v>1</v>
      </c>
      <c r="C42" s="5">
        <f t="shared" ref="C42:C44" si="7">G42+K42</f>
        <v>1</v>
      </c>
      <c r="D42" s="5">
        <f t="shared" ref="D42:D44" si="8">H42+L42</f>
        <v>0</v>
      </c>
      <c r="E42" s="17"/>
      <c r="F42" s="4">
        <f t="shared" si="4"/>
        <v>1</v>
      </c>
      <c r="G42" s="27">
        <v>1</v>
      </c>
      <c r="H42" s="27">
        <v>0</v>
      </c>
      <c r="I42" s="17"/>
      <c r="J42" s="4">
        <f t="shared" si="5"/>
        <v>0</v>
      </c>
      <c r="K42" s="27">
        <v>0</v>
      </c>
      <c r="L42" s="27">
        <v>0</v>
      </c>
      <c r="M42" s="16"/>
    </row>
    <row r="43" spans="1:15" x14ac:dyDescent="0.25">
      <c r="A43" s="19" t="s">
        <v>46</v>
      </c>
      <c r="B43" s="4">
        <f t="shared" si="6"/>
        <v>194</v>
      </c>
      <c r="C43" s="5">
        <f t="shared" si="7"/>
        <v>69</v>
      </c>
      <c r="D43" s="5">
        <f t="shared" si="8"/>
        <v>125</v>
      </c>
      <c r="E43" s="17"/>
      <c r="F43" s="4">
        <f t="shared" si="4"/>
        <v>155</v>
      </c>
      <c r="G43" s="27">
        <v>51</v>
      </c>
      <c r="H43" s="27">
        <v>104</v>
      </c>
      <c r="I43" s="17"/>
      <c r="J43" s="4">
        <f t="shared" si="5"/>
        <v>39</v>
      </c>
      <c r="K43" s="27">
        <v>18</v>
      </c>
      <c r="L43" s="27">
        <v>21</v>
      </c>
      <c r="M43" s="11"/>
    </row>
    <row r="44" spans="1:15" x14ac:dyDescent="0.25">
      <c r="A44" s="19" t="s">
        <v>47</v>
      </c>
      <c r="B44" s="4">
        <f t="shared" si="6"/>
        <v>124</v>
      </c>
      <c r="C44" s="5">
        <f t="shared" si="7"/>
        <v>68</v>
      </c>
      <c r="D44" s="5">
        <f t="shared" si="8"/>
        <v>56</v>
      </c>
      <c r="E44" s="17"/>
      <c r="F44" s="4">
        <f t="shared" si="4"/>
        <v>104</v>
      </c>
      <c r="G44" s="27">
        <v>52</v>
      </c>
      <c r="H44" s="27">
        <v>52</v>
      </c>
      <c r="I44" s="17"/>
      <c r="J44" s="4">
        <f t="shared" si="5"/>
        <v>20</v>
      </c>
      <c r="K44" s="27">
        <v>16</v>
      </c>
      <c r="L44" s="27">
        <v>4</v>
      </c>
      <c r="M44" s="11"/>
    </row>
    <row r="45" spans="1:15" x14ac:dyDescent="0.25">
      <c r="A45" s="19" t="s">
        <v>48</v>
      </c>
      <c r="B45" s="4">
        <f t="shared" ref="B45" si="9">F45+J45</f>
        <v>7</v>
      </c>
      <c r="C45" s="5">
        <f t="shared" ref="C45" si="10">G45+K45</f>
        <v>2</v>
      </c>
      <c r="D45" s="5">
        <f t="shared" ref="D45" si="11">H45+L45</f>
        <v>5</v>
      </c>
      <c r="E45" s="17"/>
      <c r="F45" s="4">
        <f t="shared" ref="F45" si="12">SUM(G45:H45)</f>
        <v>7</v>
      </c>
      <c r="G45" s="27">
        <v>2</v>
      </c>
      <c r="H45" s="27">
        <v>5</v>
      </c>
      <c r="I45" s="17"/>
      <c r="J45" s="4">
        <f t="shared" ref="J45" si="13">SUM(K45:L45)</f>
        <v>0</v>
      </c>
      <c r="K45" s="27">
        <v>0</v>
      </c>
      <c r="L45" s="27">
        <v>0</v>
      </c>
      <c r="M45" s="11"/>
    </row>
    <row r="46" spans="1:15" x14ac:dyDescent="0.25">
      <c r="A46" s="30" t="s">
        <v>51</v>
      </c>
      <c r="B46" s="8">
        <f>F46+J46</f>
        <v>12</v>
      </c>
      <c r="C46" s="7">
        <f>G46+K46</f>
        <v>4</v>
      </c>
      <c r="D46" s="7">
        <f>H46+L46</f>
        <v>8</v>
      </c>
      <c r="E46" s="18"/>
      <c r="F46" s="8">
        <f>SUM(G46:H46)</f>
        <v>12</v>
      </c>
      <c r="G46" s="28">
        <v>4</v>
      </c>
      <c r="H46" s="28">
        <v>8</v>
      </c>
      <c r="I46" s="18"/>
      <c r="J46" s="8">
        <f>SUM(K46:L46)</f>
        <v>0</v>
      </c>
      <c r="K46" s="28">
        <v>0</v>
      </c>
      <c r="L46" s="28">
        <v>0</v>
      </c>
      <c r="M46" s="11"/>
    </row>
    <row r="47" spans="1:15" ht="17.25" x14ac:dyDescent="0.25">
      <c r="A47" s="23" t="s">
        <v>9</v>
      </c>
      <c r="B47" s="24"/>
      <c r="C47" s="19"/>
      <c r="D47" s="21"/>
      <c r="E47" s="25"/>
      <c r="F47" s="24"/>
      <c r="G47" s="25"/>
      <c r="H47" s="25"/>
      <c r="I47" s="25"/>
      <c r="J47" s="24"/>
      <c r="K47" s="25"/>
      <c r="L47" s="22" t="s">
        <v>10</v>
      </c>
      <c r="M47" s="11"/>
    </row>
  </sheetData>
  <mergeCells count="5">
    <mergeCell ref="A2:L2"/>
    <mergeCell ref="A3:L3"/>
    <mergeCell ref="B5:D5"/>
    <mergeCell ref="F5:H5"/>
    <mergeCell ref="J5:L5"/>
  </mergeCells>
  <pageMargins left="0.7" right="0.7" top="0.75" bottom="0.75" header="0.3" footer="0.3"/>
  <pageSetup paperSize="9" scale="6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5.7</vt:lpstr>
      <vt:lpstr>'5.7'!Print_Area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2021-07-15T06:17:43Z</cp:lastPrinted>
  <dcterms:created xsi:type="dcterms:W3CDTF">2019-06-03T04:17:39Z</dcterms:created>
  <dcterms:modified xsi:type="dcterms:W3CDTF">2021-07-15T06:17:55Z</dcterms:modified>
</cp:coreProperties>
</file>