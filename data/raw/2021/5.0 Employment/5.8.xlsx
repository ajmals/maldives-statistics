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8" sheetId="7" r:id="rId1"/>
  </sheets>
  <externalReferences>
    <externalReference r:id="rId2"/>
  </externalReferences>
  <definedNames>
    <definedName name="_xlnm.Print_Area" localSheetId="0">'5.8'!$A$1:$M$66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5" i="7" l="1"/>
  <c r="D45" i="7"/>
  <c r="F45" i="7"/>
  <c r="J45" i="7"/>
  <c r="B45" i="7" l="1"/>
  <c r="J42" i="7" l="1"/>
  <c r="J43" i="7"/>
  <c r="J44" i="7"/>
  <c r="C41" i="7"/>
  <c r="D41" i="7"/>
  <c r="F41" i="7"/>
  <c r="C46" i="7"/>
  <c r="D46" i="7"/>
  <c r="F46" i="7"/>
  <c r="C42" i="7"/>
  <c r="D42" i="7"/>
  <c r="F42" i="7"/>
  <c r="C43" i="7"/>
  <c r="D43" i="7"/>
  <c r="F43" i="7"/>
  <c r="C44" i="7"/>
  <c r="D44" i="7"/>
  <c r="F44" i="7"/>
  <c r="B43" i="7" l="1"/>
  <c r="B42" i="7"/>
  <c r="B44" i="7"/>
  <c r="G8" i="7" l="1"/>
  <c r="AR54" i="7" s="1"/>
  <c r="L8" i="7" l="1"/>
  <c r="AS55" i="7" s="1"/>
  <c r="K8" i="7"/>
  <c r="AR55" i="7" s="1"/>
  <c r="H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B41" i="7" s="1"/>
  <c r="J46" i="7"/>
  <c r="B46" i="7" s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F8" i="7" l="1"/>
  <c r="AQ54" i="7" s="1"/>
  <c r="AS54" i="7"/>
  <c r="B39" i="7"/>
  <c r="B23" i="7"/>
  <c r="B15" i="7"/>
  <c r="B35" i="7"/>
  <c r="B19" i="7"/>
  <c r="B29" i="7"/>
  <c r="B36" i="7"/>
  <c r="B28" i="7"/>
  <c r="B20" i="7"/>
  <c r="B27" i="7"/>
  <c r="B11" i="7"/>
  <c r="B34" i="7"/>
  <c r="B26" i="7"/>
  <c r="B18" i="7"/>
  <c r="B10" i="7"/>
  <c r="B38" i="7"/>
  <c r="B30" i="7"/>
  <c r="B22" i="7"/>
  <c r="B14" i="7"/>
  <c r="B21" i="7"/>
  <c r="B12" i="7"/>
  <c r="B31" i="7"/>
  <c r="B37" i="7"/>
  <c r="B13" i="7"/>
  <c r="J8" i="7"/>
  <c r="D8" i="7"/>
  <c r="C8" i="7"/>
  <c r="B33" i="7"/>
  <c r="B25" i="7"/>
  <c r="B17" i="7"/>
  <c r="B9" i="7"/>
  <c r="B40" i="7"/>
  <c r="B32" i="7"/>
  <c r="B24" i="7"/>
  <c r="B16" i="7"/>
  <c r="B8" i="7" l="1"/>
  <c r="AQ55" i="7"/>
</calcChain>
</file>

<file path=xl/sharedStrings.xml><?xml version="1.0" encoding="utf-8"?>
<sst xmlns="http://schemas.openxmlformats.org/spreadsheetml/2006/main" count="71" uniqueCount="52">
  <si>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</si>
  <si>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</si>
  <si>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</si>
  <si>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</si>
  <si>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</si>
  <si>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</si>
  <si>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</si>
  <si>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</si>
  <si>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</si>
  <si>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ACCOUNTING AND BUDGET</t>
  </si>
  <si>
    <t>ADMINISTRATIVE</t>
  </si>
  <si>
    <t>ATTORNEYS</t>
  </si>
  <si>
    <t>AVIATION</t>
  </si>
  <si>
    <t>AVIATION COMMAND OFFICERS</t>
  </si>
  <si>
    <t>BIOLOGICAL SCIENCE SERVICE</t>
  </si>
  <si>
    <t>CLEANING AND MAINTENANCE</t>
  </si>
  <si>
    <t>CLERICAL SUPPORT WORKERS</t>
  </si>
  <si>
    <t>CLIMATOLOGY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</si>
  <si>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</si>
  <si>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</si>
  <si>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</si>
  <si>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</si>
  <si>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</si>
  <si>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</si>
  <si>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</si>
  <si>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</si>
  <si>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</si>
  <si>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</si>
  <si>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</si>
  <si>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</si>
  <si>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</si>
  <si>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</si>
  <si>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</si>
  <si>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</si>
  <si>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</si>
  <si>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</si>
  <si>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</si>
  <si>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</si>
  <si>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TEACHERS</t>
  </si>
  <si>
    <t>TRANSPORT SERVICES</t>
  </si>
  <si>
    <t>TECHNICAL - GENERAL</t>
  </si>
  <si>
    <t>UNSPECIFIED</t>
  </si>
  <si>
    <t>Occupation</t>
  </si>
  <si>
    <t>Locals</t>
  </si>
  <si>
    <t>Foreigners</t>
  </si>
  <si>
    <t>VAAIZ</t>
  </si>
  <si>
    <t>GENERAL MEDICAL DOCTORS</t>
  </si>
  <si>
    <t>SPECIALIST MEDICAL PRACTITIONER</t>
  </si>
  <si>
    <t>PSYCHOLOGISTS</t>
  </si>
  <si>
    <t>ތާވަލު 5.8: އަދާކުރާ ވަޒީފާގެ ގޮތުން ދިވެހިންނާއި އަދި ބިދޭސީ ސިވިލް ސަރވަންޓުން ބެހިފައިވާ ގޮތް އަދި ޖިންސް، 2020</t>
  </si>
  <si>
    <t>Table 5.8: CIVIL SERVANTS CLASSIFIED BY OCCUPATION, NATIONALITY AND SEX, 2020</t>
  </si>
  <si>
    <t>FOREIGN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</si>
</sst>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-* #,##0\ _ރ_._-;_-* #,##0\ _ރ_.\-;_-* &quot;-&quot;??\ _ރ_.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0" fillId="0" borderId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</cellStyleXfs>
  <cellXfs count="33">
    <xf numFmtId="0" fontId="0" fillId="0" borderId="0" xfId="0"/>
    <xf numFmtId="0" fontId="0" fillId="2" borderId="0" xfId="0" applyFill="1"/>
    <xf numFmtId="0" fontId="6" fillId="2" borderId="0" xfId="0" applyFont="1" applyFill="1" applyBorder="1" applyAlignment="1">
      <alignment horizontal="right" vertical="center" readingOrder="2"/>
    </xf>
    <xf numFmtId="165" fontId="5" fillId="2" borderId="2" xfId="1" applyNumberFormat="1" applyFont="1" applyFill="1" applyBorder="1" applyAlignment="1">
      <alignment horizontal="right" vertical="center"/>
    </xf>
    <xf numFmtId="3" fontId="5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0" fillId="2" borderId="0" xfId="0" applyFill="1" applyBorder="1"/>
    <xf numFmtId="3" fontId="7" fillId="2" borderId="2" xfId="1" applyNumberFormat="1" applyFont="1" applyFill="1" applyBorder="1" applyAlignment="1">
      <alignment horizontal="right" vertical="center"/>
    </xf>
    <xf numFmtId="3" fontId="5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165" fontId="5" fillId="2" borderId="1" xfId="1" applyNumberFormat="1" applyFont="1" applyFill="1" applyBorder="1" applyAlignment="1">
      <alignment horizontal="center" vertical="center"/>
    </xf>
    <xf numFmtId="3" fontId="0" fillId="2" borderId="0" xfId="0" applyNumberFormat="1" applyFill="1" applyBorder="1"/>
    <xf numFmtId="3" fontId="0" fillId="2" borderId="2" xfId="0" applyNumberFormat="1" applyFill="1" applyBorder="1"/>
    <xf numFmtId="3" fontId="5" fillId="2" borderId="1" xfId="1" applyNumberFormat="1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left" vertical="center" indent="1"/>
    </xf>
    <xf numFmtId="0" fontId="12" fillId="3" borderId="0" xfId="0" applyFont="1" applyFill="1" applyBorder="1" applyAlignment="1">
      <alignment horizontal="left" vertical="center" indent="1"/>
    </xf>
    <xf numFmtId="3" fontId="14" fillId="3" borderId="0" xfId="0" applyNumberFormat="1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 wrapText="1"/>
    </xf>
    <xf numFmtId="0" fontId="15" fillId="2" borderId="0" xfId="0" applyFont="1" applyFill="1"/>
    <xf numFmtId="0" fontId="8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5" fillId="2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8">
    <cellStyle name="1" xfId="7"/>
    <cellStyle name="Comma" xfId="1" builtinId="3"/>
    <cellStyle name="Comma 3" xfId="5"/>
    <cellStyle name="Normal" xfId="0" builtinId="0"/>
    <cellStyle name="Normal 11" xfId="6"/>
    <cellStyle name="Normal 2" xfId="2"/>
    <cellStyle name="Normal 4" xfId="3"/>
    <cellStyle name="Normal 5" xfId="4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5.10: Number of civil servants by nationality and sex,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0825378671238E-2"/>
          <c:y val="0.14029312331592886"/>
          <c:w val="0.90522500329916866"/>
          <c:h val="0.77176001954706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'5.8'!$AR$53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'5.8'!$AP$54:$AP$55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'5.8'!$AR$54:$AR$55</c:f>
              <c:numCache>
                <c:formatCode>#,##0</c:formatCode>
                <c:ptCount val="2"/>
                <c:pt idx="0">
                  <c:v>9322</c:v>
                </c:pt>
                <c:pt idx="1">
                  <c:v>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2-493F-9C89-D0791A6263CE}"/>
            </c:ext>
          </c:extLst>
        </c:ser>
        <c:ser>
          <c:idx val="2"/>
          <c:order val="2"/>
          <c:tx>
            <c:strRef>
              <c:f>'5.8'!$AS$53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'5.8'!$AP$54:$AP$55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'5.8'!$AS$54:$AS$55</c:f>
              <c:numCache>
                <c:formatCode>#,##0</c:formatCode>
                <c:ptCount val="2"/>
                <c:pt idx="0">
                  <c:v>16130</c:v>
                </c:pt>
                <c:pt idx="1">
                  <c:v>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2-493F-9C89-D0791A62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axId val="485850072"/>
        <c:axId val="485850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'5.8'!$AQ$53</c15:sqref>
                        </c15:formulaRef>
                      </c:ext>
                    </c:extLst>
                    <c:strCache>
                      <c:ptCount val="1"/>
                      <c:pt idx="0">
                        <c:v>Both Sexes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'5.8'!$AP$54:$AP$55</c15:sqref>
                        </c15:formulaRef>
                      </c:ext>
                    </c:extLst>
                    <c:strCache>
                      <c:ptCount val="2"/>
                      <c:pt idx="0">
                        <c:v>Locals</c:v>
                      </c:pt>
                      <c:pt idx="1">
                        <c:v>Foreigners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'5.8'!$AQ$54:$AQ$55</c15:sqref>
                        </c15:formulaRef>
                      </c:ext>
                    </c:extLst>
                    <c:numCache>
                      <c:formatCode>#,##0</c:formatCode>
                      <c:ptCount val="2"/>
                      <c:pt idx="0">
                        <c:v>25452</c:v>
                      </c:pt>
                      <c:pt idx="1">
                        <c:v>1216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8A2-493F-9C89-D0791A6263CE}"/>
                  </c:ext>
                </c:extLst>
              </c15:ser>
            </c15:filteredBarSeries>
          </c:ext>
        </c:extLst>
      </c:barChart>
      <c:catAx>
        <c:axId val="48585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464"/>
        <c:crosses val="autoZero"/>
        <c:auto val="1"/>
        <c:lblAlgn val="ctr"/>
        <c:lblOffset val="100"/>
        <c:noMultiLvlLbl val="0"/>
      </c:catAx>
      <c:valAx>
        <c:axId val="485850464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rgbClr val="B2EDEC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072"/>
        <c:crosses val="autoZero"/>
        <c:crossBetween val="between"/>
      </c:valAx>
      <c:spPr>
        <a:solidFill>
          <a:srgbClr val="EAFAFA"/>
        </a:solidFill>
        <a:ln>
          <a:solidFill>
            <a:srgbClr val="B2EDEC"/>
          </a:solidFill>
        </a:ln>
        <a:effectLst/>
      </c:spPr>
    </c:plotArea>
    <c:legend>
      <c:legendPos val="b"/>
      <c:layout>
        <c:manualLayout>
          <c:xMode val="edge"/>
          <c:yMode val="edge"/>
          <c:x val="0.68437631050308656"/>
          <c:y val="0.24397129703895354"/>
          <c:w val="0.19363172480534904"/>
          <c:h val="7.583371362554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1390650</xdr:colOff>
      <xdr:row>48</xdr:row>
      <xdr:rowOff>14286</xdr:rowOff>
    </xdr:from>
    <xdr:to>
      <xdr:col>10</xdr:col>
      <xdr:colOff>419100</xdr:colOff>
      <xdr:row>65</xdr:row>
      <xdr:rowOff>57149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V60"/>
  <sheetViews>
    <sheetView tabSelected="1" zoomScaleNormal="100" workbookViewId="0">
      <selection activeCell="AQ54" sqref="AQ54:AQ55"/>
    </sheetView>
  </sheetViews>
  <sheetFormatPr defaultRowHeight="15" x14ac:dyDescent="0.25"/>
  <cols>
    <col min="1" max="1" width="48" style="1" bestFit="1" customWidth="1"/>
    <col min="2" max="2" width="10.28515625" style="1" customWidth="1"/>
    <col min="3" max="4" width="9.140625" style="1"/>
    <col min="5" max="5" width="2" style="1" customWidth="1"/>
    <col min="6" max="8" width="9.140625" style="1"/>
    <col min="9" max="9" width="1.7109375" style="1" customWidth="1"/>
    <col min="10" max="16384" width="9.140625" style="1"/>
  </cols>
  <sheetData>
    <row r="2" spans="1:48" ht="21" x14ac:dyDescent="0.55000000000000004">
      <c r="A2" s="27" t="s">
        <v>49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48" x14ac:dyDescent="0.25">
      <c r="A3" s="28" t="s">
        <v>50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5" spans="1:48" x14ac:dyDescent="0.25">
      <c r="A5" s="30" t="s">
        <v>42</v>
      </c>
      <c r="B5" s="29" t="s">
        <v>6</v>
      </c>
      <c r="C5" s="29"/>
      <c r="D5" s="29"/>
      <c r="E5" s="11"/>
      <c r="F5" s="29" t="s">
        <v>43</v>
      </c>
      <c r="G5" s="29"/>
      <c r="H5" s="29"/>
      <c r="I5" s="11"/>
      <c r="J5" s="29" t="s">
        <v>44</v>
      </c>
      <c r="K5" s="29"/>
      <c r="L5" s="29"/>
    </row>
    <row r="6" spans="1:48" ht="18.75" x14ac:dyDescent="0.25">
      <c r="A6" s="31"/>
      <c r="B6" s="2" t="s">
        <v>0</v>
      </c>
      <c r="C6" s="2" t="s">
        <v>1</v>
      </c>
      <c r="D6" s="2" t="s">
        <v>2</v>
      </c>
      <c r="E6" s="2"/>
      <c r="F6" s="2" t="s">
        <v>0</v>
      </c>
      <c r="G6" s="2" t="s">
        <v>1</v>
      </c>
      <c r="H6" s="2" t="s">
        <v>2</v>
      </c>
      <c r="I6" s="2"/>
      <c r="J6" s="2" t="s">
        <v>0</v>
      </c>
      <c r="K6" s="2" t="s">
        <v>1</v>
      </c>
      <c r="L6" s="2" t="s">
        <v>2</v>
      </c>
    </row>
    <row r="7" spans="1:48" x14ac:dyDescent="0.25">
      <c r="A7" s="32"/>
      <c r="B7" s="3" t="s">
        <v>3</v>
      </c>
      <c r="C7" s="3" t="s">
        <v>4</v>
      </c>
      <c r="D7" s="3" t="s">
        <v>5</v>
      </c>
      <c r="E7" s="3"/>
      <c r="F7" s="3" t="s">
        <v>3</v>
      </c>
      <c r="G7" s="3" t="s">
        <v>4</v>
      </c>
      <c r="H7" s="3" t="s">
        <v>5</v>
      </c>
      <c r="I7" s="3"/>
      <c r="J7" s="3" t="s">
        <v>3</v>
      </c>
      <c r="K7" s="3" t="s">
        <v>4</v>
      </c>
      <c r="L7" s="3" t="s">
        <v>5</v>
      </c>
    </row>
    <row r="8" spans="1:48" ht="16.149999999999999" customHeight="1" x14ac:dyDescent="0.25">
      <c r="A8" s="22" t="s">
        <v>6</v>
      </c>
      <c r="B8" s="4">
        <f>F8+J8</f>
        <v>26668</v>
      </c>
      <c r="C8" s="4">
        <f>G8+K8</f>
        <v>10075</v>
      </c>
      <c r="D8" s="4">
        <f t="shared" ref="D8" si="0">H8+L8</f>
        <v>16593</v>
      </c>
      <c r="E8" s="4"/>
      <c r="F8" s="4">
        <f>G8+H8</f>
        <v>25452</v>
      </c>
      <c r="G8" s="4">
        <f>SUM(G9:G46)</f>
        <v>9322</v>
      </c>
      <c r="H8" s="4">
        <f>SUM(H9:H46)</f>
        <v>16130</v>
      </c>
      <c r="I8" s="14"/>
      <c r="J8" s="4">
        <f>K8+L8</f>
        <v>1216</v>
      </c>
      <c r="K8" s="4">
        <f>SUM(K9:K46)</f>
        <v>753</v>
      </c>
      <c r="L8" s="4">
        <f>SUM(L9:L46)</f>
        <v>463</v>
      </c>
    </row>
    <row r="9" spans="1:48" ht="16.149999999999999" customHeight="1" x14ac:dyDescent="0.25">
      <c r="A9" s="15" t="s">
        <v>9</v>
      </c>
      <c r="B9" s="4">
        <f>F9+J9</f>
        <v>560</v>
      </c>
      <c r="C9" s="5">
        <f>G9+K9</f>
        <v>196</v>
      </c>
      <c r="D9" s="5">
        <f t="shared" ref="D9:D40" si="1">H9+L9</f>
        <v>364</v>
      </c>
      <c r="E9" s="4"/>
      <c r="F9" s="4">
        <f t="shared" ref="F9:F40" si="2">G9+H9</f>
        <v>560</v>
      </c>
      <c r="G9" s="23">
        <v>196</v>
      </c>
      <c r="H9" s="23">
        <v>364</v>
      </c>
      <c r="I9" s="12"/>
      <c r="J9" s="4">
        <f t="shared" ref="J9:J44" si="3">K9+L9</f>
        <v>0</v>
      </c>
      <c r="K9" s="23">
        <v>0</v>
      </c>
      <c r="L9" s="23">
        <v>0</v>
      </c>
    </row>
    <row r="10" spans="1:48" ht="16.149999999999999" customHeight="1" x14ac:dyDescent="0.25">
      <c r="A10" s="15" t="s">
        <v>10</v>
      </c>
      <c r="B10" s="4">
        <f t="shared" ref="B10:B40" si="4">F10+J10</f>
        <v>5585</v>
      </c>
      <c r="C10" s="5">
        <f t="shared" ref="C10:C40" si="5">G10+K10</f>
        <v>2138</v>
      </c>
      <c r="D10" s="5">
        <f t="shared" si="1"/>
        <v>3447</v>
      </c>
      <c r="E10" s="4"/>
      <c r="F10" s="4">
        <f t="shared" si="2"/>
        <v>5585</v>
      </c>
      <c r="G10" s="25">
        <v>2138</v>
      </c>
      <c r="H10" s="25">
        <v>3447</v>
      </c>
      <c r="I10" s="12"/>
      <c r="J10" s="4">
        <f t="shared" si="3"/>
        <v>0</v>
      </c>
      <c r="K10" s="23">
        <v>0</v>
      </c>
      <c r="L10" s="23">
        <v>0</v>
      </c>
    </row>
    <row r="11" spans="1:48" ht="16.149999999999999" customHeight="1" x14ac:dyDescent="0.25">
      <c r="A11" s="15" t="s">
        <v>11</v>
      </c>
      <c r="B11" s="4">
        <f t="shared" si="4"/>
        <v>86</v>
      </c>
      <c r="C11" s="5">
        <f t="shared" si="5"/>
        <v>31</v>
      </c>
      <c r="D11" s="5">
        <f t="shared" si="1"/>
        <v>55</v>
      </c>
      <c r="E11" s="4"/>
      <c r="F11" s="4">
        <f t="shared" si="2"/>
        <v>86</v>
      </c>
      <c r="G11" s="23">
        <v>31</v>
      </c>
      <c r="H11" s="23">
        <v>55</v>
      </c>
      <c r="I11" s="12"/>
      <c r="J11" s="4">
        <f t="shared" si="3"/>
        <v>0</v>
      </c>
      <c r="K11" s="23">
        <v>0</v>
      </c>
      <c r="L11" s="23">
        <v>0</v>
      </c>
    </row>
    <row r="12" spans="1:48" ht="16.149999999999999" customHeight="1" x14ac:dyDescent="0.25">
      <c r="A12" s="15" t="s">
        <v>12</v>
      </c>
      <c r="B12" s="4">
        <f t="shared" si="4"/>
        <v>24</v>
      </c>
      <c r="C12" s="5">
        <f t="shared" si="5"/>
        <v>23</v>
      </c>
      <c r="D12" s="5">
        <f t="shared" si="1"/>
        <v>1</v>
      </c>
      <c r="E12" s="4"/>
      <c r="F12" s="4">
        <f t="shared" si="2"/>
        <v>24</v>
      </c>
      <c r="G12" s="23">
        <v>23</v>
      </c>
      <c r="H12" s="23">
        <v>1</v>
      </c>
      <c r="I12" s="12"/>
      <c r="J12" s="4">
        <f t="shared" si="3"/>
        <v>0</v>
      </c>
      <c r="K12" s="23">
        <v>0</v>
      </c>
      <c r="L12" s="23">
        <v>0</v>
      </c>
    </row>
    <row r="13" spans="1:48" ht="16.149999999999999" customHeight="1" x14ac:dyDescent="0.25">
      <c r="A13" s="15" t="s">
        <v>13</v>
      </c>
      <c r="B13" s="4">
        <f t="shared" si="4"/>
        <v>568</v>
      </c>
      <c r="C13" s="5">
        <f t="shared" si="5"/>
        <v>418</v>
      </c>
      <c r="D13" s="5">
        <f t="shared" si="1"/>
        <v>150</v>
      </c>
      <c r="E13" s="4"/>
      <c r="F13" s="4">
        <f t="shared" si="2"/>
        <v>568</v>
      </c>
      <c r="G13" s="23">
        <v>418</v>
      </c>
      <c r="H13" s="23">
        <v>150</v>
      </c>
      <c r="I13" s="12"/>
      <c r="J13" s="4">
        <f t="shared" si="3"/>
        <v>0</v>
      </c>
      <c r="K13" s="23">
        <v>0</v>
      </c>
      <c r="L13" s="23">
        <v>0</v>
      </c>
    </row>
    <row r="14" spans="1:48" ht="16.149999999999999" customHeight="1" x14ac:dyDescent="0.25">
      <c r="A14" s="15" t="s">
        <v>14</v>
      </c>
      <c r="B14" s="4">
        <f t="shared" si="4"/>
        <v>21</v>
      </c>
      <c r="C14" s="5">
        <f t="shared" si="5"/>
        <v>3</v>
      </c>
      <c r="D14" s="5">
        <f t="shared" si="1"/>
        <v>18</v>
      </c>
      <c r="E14" s="4"/>
      <c r="F14" s="4">
        <f t="shared" si="2"/>
        <v>21</v>
      </c>
      <c r="G14" s="23">
        <v>3</v>
      </c>
      <c r="H14" s="23">
        <v>18</v>
      </c>
      <c r="I14" s="12"/>
      <c r="J14" s="4">
        <f t="shared" si="3"/>
        <v>0</v>
      </c>
      <c r="K14" s="23">
        <v>0</v>
      </c>
      <c r="L14" s="23">
        <v>0</v>
      </c>
    </row>
    <row r="15" spans="1:48" ht="16.149999999999999" customHeight="1" x14ac:dyDescent="0.25">
      <c r="A15" s="15" t="s">
        <v>15</v>
      </c>
      <c r="B15" s="4">
        <f t="shared" si="4"/>
        <v>4931</v>
      </c>
      <c r="C15" s="5">
        <f t="shared" si="5"/>
        <v>1994</v>
      </c>
      <c r="D15" s="5">
        <f t="shared" si="1"/>
        <v>2937</v>
      </c>
      <c r="E15" s="4"/>
      <c r="F15" s="4">
        <f t="shared" si="2"/>
        <v>4912</v>
      </c>
      <c r="G15" s="25">
        <v>1975</v>
      </c>
      <c r="H15" s="25">
        <v>2937</v>
      </c>
      <c r="I15" s="12"/>
      <c r="J15" s="4">
        <f t="shared" si="3"/>
        <v>19</v>
      </c>
      <c r="K15" s="23">
        <v>19</v>
      </c>
      <c r="L15" s="23">
        <v>0</v>
      </c>
    </row>
    <row r="16" spans="1:48" ht="16.149999999999999" customHeight="1" x14ac:dyDescent="0.25">
      <c r="A16" s="15" t="s">
        <v>16</v>
      </c>
      <c r="B16" s="4">
        <f t="shared" si="4"/>
        <v>337</v>
      </c>
      <c r="C16" s="5">
        <f t="shared" si="5"/>
        <v>142</v>
      </c>
      <c r="D16" s="5">
        <f t="shared" si="1"/>
        <v>195</v>
      </c>
      <c r="E16" s="4"/>
      <c r="F16" s="4">
        <f t="shared" si="2"/>
        <v>337</v>
      </c>
      <c r="G16" s="23">
        <v>142</v>
      </c>
      <c r="H16" s="23">
        <v>195</v>
      </c>
      <c r="I16" s="12"/>
      <c r="J16" s="4">
        <f t="shared" si="3"/>
        <v>0</v>
      </c>
      <c r="K16" s="23">
        <v>0</v>
      </c>
      <c r="L16" s="23">
        <v>0</v>
      </c>
    </row>
    <row r="17" spans="1:12" ht="16.149999999999999" customHeight="1" x14ac:dyDescent="0.25">
      <c r="A17" s="15" t="s">
        <v>17</v>
      </c>
      <c r="B17" s="4">
        <f t="shared" si="4"/>
        <v>0</v>
      </c>
      <c r="C17" s="5">
        <f t="shared" si="5"/>
        <v>0</v>
      </c>
      <c r="D17" s="5">
        <f t="shared" si="1"/>
        <v>0</v>
      </c>
      <c r="E17" s="4"/>
      <c r="F17" s="4">
        <f t="shared" si="2"/>
        <v>0</v>
      </c>
      <c r="G17" s="23">
        <v>0</v>
      </c>
      <c r="H17" s="23">
        <v>0</v>
      </c>
      <c r="I17" s="12"/>
      <c r="J17" s="4">
        <f t="shared" si="3"/>
        <v>0</v>
      </c>
      <c r="K17" s="23">
        <v>0</v>
      </c>
      <c r="L17" s="23">
        <v>0</v>
      </c>
    </row>
    <row r="18" spans="1:12" ht="16.149999999999999" customHeight="1" x14ac:dyDescent="0.25">
      <c r="A18" s="15" t="s">
        <v>18</v>
      </c>
      <c r="B18" s="4">
        <f t="shared" si="4"/>
        <v>11</v>
      </c>
      <c r="C18" s="5">
        <f t="shared" si="5"/>
        <v>1</v>
      </c>
      <c r="D18" s="5">
        <f t="shared" si="1"/>
        <v>10</v>
      </c>
      <c r="E18" s="4"/>
      <c r="F18" s="4">
        <f t="shared" si="2"/>
        <v>11</v>
      </c>
      <c r="G18" s="23">
        <v>1</v>
      </c>
      <c r="H18" s="23">
        <v>10</v>
      </c>
      <c r="I18" s="12"/>
      <c r="J18" s="4">
        <f t="shared" si="3"/>
        <v>0</v>
      </c>
      <c r="K18" s="23">
        <v>0</v>
      </c>
      <c r="L18" s="23">
        <v>0</v>
      </c>
    </row>
    <row r="19" spans="1:12" ht="16.149999999999999" customHeight="1" x14ac:dyDescent="0.25">
      <c r="A19" s="15" t="s">
        <v>19</v>
      </c>
      <c r="B19" s="4">
        <f t="shared" si="4"/>
        <v>13</v>
      </c>
      <c r="C19" s="5">
        <f t="shared" si="5"/>
        <v>7</v>
      </c>
      <c r="D19" s="5">
        <f t="shared" si="1"/>
        <v>6</v>
      </c>
      <c r="E19" s="4"/>
      <c r="F19" s="4">
        <f t="shared" si="2"/>
        <v>5</v>
      </c>
      <c r="G19" s="23">
        <v>1</v>
      </c>
      <c r="H19" s="23">
        <v>4</v>
      </c>
      <c r="I19" s="12"/>
      <c r="J19" s="4">
        <f t="shared" si="3"/>
        <v>8</v>
      </c>
      <c r="K19" s="23">
        <v>6</v>
      </c>
      <c r="L19" s="23">
        <v>2</v>
      </c>
    </row>
    <row r="20" spans="1:12" ht="16.149999999999999" customHeight="1" x14ac:dyDescent="0.25">
      <c r="A20" s="15" t="s">
        <v>20</v>
      </c>
      <c r="B20" s="4">
        <f t="shared" si="4"/>
        <v>324</v>
      </c>
      <c r="C20" s="5">
        <f t="shared" si="5"/>
        <v>190</v>
      </c>
      <c r="D20" s="5">
        <f t="shared" si="1"/>
        <v>134</v>
      </c>
      <c r="E20" s="4"/>
      <c r="F20" s="4">
        <f t="shared" si="2"/>
        <v>322</v>
      </c>
      <c r="G20" s="23">
        <v>188</v>
      </c>
      <c r="H20" s="23">
        <v>134</v>
      </c>
      <c r="I20" s="12"/>
      <c r="J20" s="4">
        <f t="shared" si="3"/>
        <v>2</v>
      </c>
      <c r="K20" s="23">
        <v>2</v>
      </c>
      <c r="L20" s="23">
        <v>0</v>
      </c>
    </row>
    <row r="21" spans="1:12" ht="16.149999999999999" customHeight="1" x14ac:dyDescent="0.25">
      <c r="A21" s="15" t="s">
        <v>21</v>
      </c>
      <c r="B21" s="4">
        <f t="shared" si="4"/>
        <v>77</v>
      </c>
      <c r="C21" s="5">
        <f t="shared" si="5"/>
        <v>53</v>
      </c>
      <c r="D21" s="5">
        <f t="shared" si="1"/>
        <v>24</v>
      </c>
      <c r="E21" s="4"/>
      <c r="F21" s="4">
        <f t="shared" si="2"/>
        <v>77</v>
      </c>
      <c r="G21" s="23">
        <v>53</v>
      </c>
      <c r="H21" s="23">
        <v>24</v>
      </c>
      <c r="I21" s="12"/>
      <c r="J21" s="4">
        <f t="shared" si="3"/>
        <v>0</v>
      </c>
      <c r="K21" s="23">
        <v>0</v>
      </c>
      <c r="L21" s="23">
        <v>0</v>
      </c>
    </row>
    <row r="22" spans="1:12" ht="16.149999999999999" customHeight="1" x14ac:dyDescent="0.25">
      <c r="A22" s="15" t="s">
        <v>22</v>
      </c>
      <c r="B22" s="4">
        <f t="shared" si="4"/>
        <v>282</v>
      </c>
      <c r="C22" s="5">
        <f t="shared" si="5"/>
        <v>170</v>
      </c>
      <c r="D22" s="5">
        <f t="shared" si="1"/>
        <v>112</v>
      </c>
      <c r="E22" s="4"/>
      <c r="F22" s="4">
        <f t="shared" si="2"/>
        <v>282</v>
      </c>
      <c r="G22" s="23">
        <v>170</v>
      </c>
      <c r="H22" s="23">
        <v>112</v>
      </c>
      <c r="I22" s="12"/>
      <c r="J22" s="4">
        <f t="shared" si="3"/>
        <v>0</v>
      </c>
      <c r="K22" s="23">
        <v>0</v>
      </c>
      <c r="L22" s="23">
        <v>0</v>
      </c>
    </row>
    <row r="23" spans="1:12" ht="16.149999999999999" customHeight="1" x14ac:dyDescent="0.25">
      <c r="A23" s="15" t="s">
        <v>23</v>
      </c>
      <c r="B23" s="4">
        <f t="shared" si="4"/>
        <v>252</v>
      </c>
      <c r="C23" s="5">
        <f t="shared" si="5"/>
        <v>201</v>
      </c>
      <c r="D23" s="5">
        <f t="shared" si="1"/>
        <v>51</v>
      </c>
      <c r="E23" s="4"/>
      <c r="F23" s="4">
        <f t="shared" si="2"/>
        <v>252</v>
      </c>
      <c r="G23" s="23">
        <v>201</v>
      </c>
      <c r="H23" s="23">
        <v>51</v>
      </c>
      <c r="I23" s="12"/>
      <c r="J23" s="4">
        <f t="shared" si="3"/>
        <v>0</v>
      </c>
      <c r="K23" s="23">
        <v>0</v>
      </c>
      <c r="L23" s="23">
        <v>0</v>
      </c>
    </row>
    <row r="24" spans="1:12" ht="15" customHeight="1" x14ac:dyDescent="0.25">
      <c r="A24" s="15" t="s">
        <v>24</v>
      </c>
      <c r="B24" s="4">
        <f t="shared" si="4"/>
        <v>282</v>
      </c>
      <c r="C24" s="5">
        <f t="shared" si="5"/>
        <v>53</v>
      </c>
      <c r="D24" s="5">
        <f t="shared" si="1"/>
        <v>229</v>
      </c>
      <c r="E24" s="4"/>
      <c r="F24" s="4">
        <f t="shared" si="2"/>
        <v>272</v>
      </c>
      <c r="G24" s="23">
        <v>47</v>
      </c>
      <c r="H24" s="23">
        <v>225</v>
      </c>
      <c r="I24" s="12"/>
      <c r="J24" s="4">
        <f t="shared" si="3"/>
        <v>10</v>
      </c>
      <c r="K24" s="23">
        <v>6</v>
      </c>
      <c r="L24" s="23">
        <v>4</v>
      </c>
    </row>
    <row r="25" spans="1:12" ht="16.149999999999999" customHeight="1" x14ac:dyDescent="0.25">
      <c r="A25" s="15" t="s">
        <v>25</v>
      </c>
      <c r="B25" s="4">
        <f t="shared" si="4"/>
        <v>0</v>
      </c>
      <c r="C25" s="5">
        <f t="shared" si="5"/>
        <v>0</v>
      </c>
      <c r="D25" s="5">
        <f t="shared" si="1"/>
        <v>0</v>
      </c>
      <c r="E25" s="4"/>
      <c r="F25" s="4">
        <f t="shared" si="2"/>
        <v>0</v>
      </c>
      <c r="G25" s="23">
        <v>0</v>
      </c>
      <c r="H25" s="23">
        <v>0</v>
      </c>
      <c r="I25" s="12"/>
      <c r="J25" s="4">
        <f t="shared" si="3"/>
        <v>0</v>
      </c>
      <c r="K25" s="23">
        <v>0</v>
      </c>
      <c r="L25" s="23">
        <v>0</v>
      </c>
    </row>
    <row r="26" spans="1:12" ht="16.149999999999999" customHeight="1" x14ac:dyDescent="0.25">
      <c r="A26" s="15" t="s">
        <v>26</v>
      </c>
      <c r="B26" s="4">
        <f t="shared" si="4"/>
        <v>23</v>
      </c>
      <c r="C26" s="5">
        <f t="shared" si="5"/>
        <v>21</v>
      </c>
      <c r="D26" s="5">
        <f t="shared" si="1"/>
        <v>2</v>
      </c>
      <c r="E26" s="4"/>
      <c r="F26" s="4">
        <f t="shared" si="2"/>
        <v>23</v>
      </c>
      <c r="G26" s="23">
        <v>21</v>
      </c>
      <c r="H26" s="23">
        <v>2</v>
      </c>
      <c r="I26" s="12"/>
      <c r="J26" s="4">
        <f t="shared" si="3"/>
        <v>0</v>
      </c>
      <c r="K26" s="23">
        <v>0</v>
      </c>
      <c r="L26" s="23">
        <v>0</v>
      </c>
    </row>
    <row r="27" spans="1:12" ht="16.149999999999999" customHeight="1" x14ac:dyDescent="0.25">
      <c r="A27" s="16" t="s">
        <v>27</v>
      </c>
      <c r="B27" s="4">
        <f t="shared" si="4"/>
        <v>7</v>
      </c>
      <c r="C27" s="5">
        <f t="shared" si="5"/>
        <v>7</v>
      </c>
      <c r="D27" s="5">
        <f t="shared" si="1"/>
        <v>0</v>
      </c>
      <c r="E27" s="4"/>
      <c r="F27" s="4">
        <f t="shared" si="2"/>
        <v>7</v>
      </c>
      <c r="G27" s="23">
        <v>7</v>
      </c>
      <c r="H27" s="23">
        <v>0</v>
      </c>
      <c r="I27" s="12"/>
      <c r="J27" s="4">
        <f t="shared" si="3"/>
        <v>0</v>
      </c>
      <c r="K27" s="23">
        <v>0</v>
      </c>
      <c r="L27" s="23">
        <v>0</v>
      </c>
    </row>
    <row r="28" spans="1:12" ht="16.149999999999999" customHeight="1" x14ac:dyDescent="0.25">
      <c r="A28" s="15" t="s">
        <v>28</v>
      </c>
      <c r="B28" s="4">
        <f t="shared" si="4"/>
        <v>71</v>
      </c>
      <c r="C28" s="5">
        <f t="shared" si="5"/>
        <v>51</v>
      </c>
      <c r="D28" s="5">
        <f t="shared" si="1"/>
        <v>20</v>
      </c>
      <c r="E28" s="4"/>
      <c r="F28" s="4">
        <f t="shared" si="2"/>
        <v>71</v>
      </c>
      <c r="G28" s="23">
        <v>51</v>
      </c>
      <c r="H28" s="23">
        <v>20</v>
      </c>
      <c r="I28" s="12"/>
      <c r="J28" s="4">
        <f t="shared" si="3"/>
        <v>0</v>
      </c>
      <c r="K28" s="23">
        <v>0</v>
      </c>
      <c r="L28" s="23">
        <v>0</v>
      </c>
    </row>
    <row r="29" spans="1:12" ht="16.149999999999999" customHeight="1" x14ac:dyDescent="0.25">
      <c r="A29" s="15" t="s">
        <v>29</v>
      </c>
      <c r="B29" s="4">
        <f t="shared" si="4"/>
        <v>578</v>
      </c>
      <c r="C29" s="5">
        <f t="shared" si="5"/>
        <v>517</v>
      </c>
      <c r="D29" s="5">
        <f t="shared" si="1"/>
        <v>61</v>
      </c>
      <c r="E29" s="4"/>
      <c r="F29" s="4">
        <f t="shared" si="2"/>
        <v>578</v>
      </c>
      <c r="G29" s="23">
        <v>517</v>
      </c>
      <c r="H29" s="23">
        <v>61</v>
      </c>
      <c r="I29" s="12"/>
      <c r="J29" s="4">
        <f t="shared" si="3"/>
        <v>0</v>
      </c>
      <c r="K29" s="23">
        <v>0</v>
      </c>
      <c r="L29" s="23">
        <v>0</v>
      </c>
    </row>
    <row r="30" spans="1:12" ht="16.149999999999999" customHeight="1" x14ac:dyDescent="0.25">
      <c r="A30" s="15" t="s">
        <v>30</v>
      </c>
      <c r="B30" s="4">
        <f t="shared" si="4"/>
        <v>59</v>
      </c>
      <c r="C30" s="5">
        <f t="shared" si="5"/>
        <v>34</v>
      </c>
      <c r="D30" s="5">
        <f t="shared" si="1"/>
        <v>25</v>
      </c>
      <c r="E30" s="4"/>
      <c r="F30" s="4">
        <f t="shared" si="2"/>
        <v>59</v>
      </c>
      <c r="G30" s="23">
        <v>34</v>
      </c>
      <c r="H30" s="23">
        <v>25</v>
      </c>
      <c r="I30" s="12"/>
      <c r="J30" s="4">
        <f t="shared" si="3"/>
        <v>0</v>
      </c>
      <c r="K30" s="23">
        <v>0</v>
      </c>
      <c r="L30" s="23">
        <v>0</v>
      </c>
    </row>
    <row r="31" spans="1:12" ht="16.149999999999999" customHeight="1" x14ac:dyDescent="0.25">
      <c r="A31" s="15" t="s">
        <v>31</v>
      </c>
      <c r="B31" s="4">
        <f t="shared" si="4"/>
        <v>1757</v>
      </c>
      <c r="C31" s="5">
        <f t="shared" si="5"/>
        <v>51</v>
      </c>
      <c r="D31" s="5">
        <f t="shared" si="1"/>
        <v>1706</v>
      </c>
      <c r="E31" s="4"/>
      <c r="F31" s="4">
        <f t="shared" si="2"/>
        <v>1626</v>
      </c>
      <c r="G31" s="23">
        <v>15</v>
      </c>
      <c r="H31" s="25">
        <v>1611</v>
      </c>
      <c r="I31" s="12"/>
      <c r="J31" s="4">
        <f t="shared" si="3"/>
        <v>131</v>
      </c>
      <c r="K31" s="23">
        <v>36</v>
      </c>
      <c r="L31" s="23">
        <v>95</v>
      </c>
    </row>
    <row r="32" spans="1:12" ht="16.149999999999999" customHeight="1" x14ac:dyDescent="0.25">
      <c r="A32" s="15" t="s">
        <v>32</v>
      </c>
      <c r="B32" s="4">
        <f t="shared" si="4"/>
        <v>170</v>
      </c>
      <c r="C32" s="5">
        <f t="shared" si="5"/>
        <v>36</v>
      </c>
      <c r="D32" s="5">
        <f t="shared" si="1"/>
        <v>134</v>
      </c>
      <c r="E32" s="4"/>
      <c r="F32" s="4">
        <f t="shared" si="2"/>
        <v>159</v>
      </c>
      <c r="G32" s="23">
        <v>28</v>
      </c>
      <c r="H32" s="23">
        <v>131</v>
      </c>
      <c r="I32" s="12"/>
      <c r="J32" s="4">
        <f t="shared" si="3"/>
        <v>11</v>
      </c>
      <c r="K32" s="23">
        <v>8</v>
      </c>
      <c r="L32" s="23">
        <v>3</v>
      </c>
    </row>
    <row r="33" spans="1:48" ht="16.149999999999999" customHeight="1" x14ac:dyDescent="0.25">
      <c r="A33" s="15" t="s">
        <v>33</v>
      </c>
      <c r="B33" s="4">
        <f t="shared" si="4"/>
        <v>11</v>
      </c>
      <c r="C33" s="5">
        <f t="shared" si="5"/>
        <v>7</v>
      </c>
      <c r="D33" s="5">
        <f t="shared" si="1"/>
        <v>4</v>
      </c>
      <c r="E33" s="4"/>
      <c r="F33" s="4">
        <f t="shared" si="2"/>
        <v>11</v>
      </c>
      <c r="G33" s="23">
        <v>7</v>
      </c>
      <c r="H33" s="23">
        <v>4</v>
      </c>
      <c r="I33" s="12"/>
      <c r="J33" s="4">
        <f t="shared" si="3"/>
        <v>0</v>
      </c>
      <c r="K33" s="23">
        <v>0</v>
      </c>
      <c r="L33" s="23">
        <v>0</v>
      </c>
    </row>
    <row r="34" spans="1:48" ht="16.149999999999999" customHeight="1" x14ac:dyDescent="0.25">
      <c r="A34" s="15" t="s">
        <v>34</v>
      </c>
      <c r="B34" s="4">
        <f t="shared" si="4"/>
        <v>454</v>
      </c>
      <c r="C34" s="5">
        <f t="shared" si="5"/>
        <v>426</v>
      </c>
      <c r="D34" s="5">
        <f t="shared" si="1"/>
        <v>28</v>
      </c>
      <c r="E34" s="4"/>
      <c r="F34" s="4">
        <f t="shared" si="2"/>
        <v>454</v>
      </c>
      <c r="G34" s="23">
        <v>426</v>
      </c>
      <c r="H34" s="23">
        <v>28</v>
      </c>
      <c r="I34" s="12"/>
      <c r="J34" s="4">
        <f t="shared" si="3"/>
        <v>0</v>
      </c>
      <c r="K34" s="23">
        <v>0</v>
      </c>
      <c r="L34" s="23">
        <v>0</v>
      </c>
    </row>
    <row r="35" spans="1:48" ht="16.149999999999999" customHeight="1" x14ac:dyDescent="0.25">
      <c r="A35" s="15" t="s">
        <v>35</v>
      </c>
      <c r="B35" s="4">
        <f t="shared" si="4"/>
        <v>549</v>
      </c>
      <c r="C35" s="5">
        <f t="shared" si="5"/>
        <v>178</v>
      </c>
      <c r="D35" s="5">
        <f t="shared" si="1"/>
        <v>371</v>
      </c>
      <c r="E35" s="4"/>
      <c r="F35" s="4">
        <f t="shared" si="2"/>
        <v>549</v>
      </c>
      <c r="G35" s="23">
        <v>178</v>
      </c>
      <c r="H35" s="23">
        <v>371</v>
      </c>
      <c r="I35" s="12"/>
      <c r="J35" s="4">
        <f t="shared" si="3"/>
        <v>0</v>
      </c>
      <c r="K35" s="23">
        <v>0</v>
      </c>
      <c r="L35" s="23">
        <v>0</v>
      </c>
    </row>
    <row r="36" spans="1:48" ht="16.149999999999999" customHeight="1" x14ac:dyDescent="0.25">
      <c r="A36" s="15" t="s">
        <v>36</v>
      </c>
      <c r="B36" s="4">
        <f t="shared" si="4"/>
        <v>1</v>
      </c>
      <c r="C36" s="5">
        <f t="shared" si="5"/>
        <v>1</v>
      </c>
      <c r="D36" s="5">
        <f t="shared" si="1"/>
        <v>0</v>
      </c>
      <c r="E36" s="4"/>
      <c r="F36" s="4">
        <f t="shared" si="2"/>
        <v>1</v>
      </c>
      <c r="G36" s="23">
        <v>1</v>
      </c>
      <c r="H36" s="23">
        <v>0</v>
      </c>
      <c r="I36" s="12"/>
      <c r="J36" s="4">
        <f t="shared" si="3"/>
        <v>0</v>
      </c>
      <c r="K36" s="23">
        <v>0</v>
      </c>
      <c r="L36" s="23">
        <v>0</v>
      </c>
    </row>
    <row r="37" spans="1:48" ht="16.149999999999999" customHeight="1" x14ac:dyDescent="0.25">
      <c r="A37" s="15" t="s">
        <v>37</v>
      </c>
      <c r="B37" s="4">
        <f t="shared" si="4"/>
        <v>491</v>
      </c>
      <c r="C37" s="5">
        <f t="shared" si="5"/>
        <v>91</v>
      </c>
      <c r="D37" s="5">
        <f t="shared" si="1"/>
        <v>400</v>
      </c>
      <c r="E37" s="4"/>
      <c r="F37" s="4">
        <f t="shared" si="2"/>
        <v>490</v>
      </c>
      <c r="G37" s="23">
        <v>90</v>
      </c>
      <c r="H37" s="23">
        <v>400</v>
      </c>
      <c r="I37" s="12"/>
      <c r="J37" s="4">
        <f t="shared" si="3"/>
        <v>1</v>
      </c>
      <c r="K37" s="23">
        <v>1</v>
      </c>
      <c r="L37" s="23">
        <v>0</v>
      </c>
    </row>
    <row r="38" spans="1:48" s="6" customFormat="1" ht="16.149999999999999" customHeight="1" x14ac:dyDescent="0.25">
      <c r="A38" s="15" t="s">
        <v>38</v>
      </c>
      <c r="B38" s="4">
        <f t="shared" si="4"/>
        <v>7196</v>
      </c>
      <c r="C38" s="5">
        <f t="shared" si="5"/>
        <v>1888</v>
      </c>
      <c r="D38" s="5">
        <f t="shared" si="1"/>
        <v>5308</v>
      </c>
      <c r="E38" s="4"/>
      <c r="F38" s="4">
        <f t="shared" si="2"/>
        <v>6211</v>
      </c>
      <c r="G38" s="25">
        <v>1253</v>
      </c>
      <c r="H38" s="25">
        <v>4958</v>
      </c>
      <c r="I38" s="12"/>
      <c r="J38" s="4">
        <f t="shared" si="3"/>
        <v>985</v>
      </c>
      <c r="K38" s="23">
        <v>635</v>
      </c>
      <c r="L38" s="23">
        <v>350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U38" s="1"/>
      <c r="AV38" s="1"/>
    </row>
    <row r="39" spans="1:48" x14ac:dyDescent="0.25">
      <c r="A39" s="15" t="s">
        <v>39</v>
      </c>
      <c r="B39" s="4">
        <f t="shared" si="4"/>
        <v>614</v>
      </c>
      <c r="C39" s="5">
        <f t="shared" si="5"/>
        <v>614</v>
      </c>
      <c r="D39" s="5">
        <f t="shared" si="1"/>
        <v>0</v>
      </c>
      <c r="E39" s="4"/>
      <c r="F39" s="4">
        <f t="shared" si="2"/>
        <v>612</v>
      </c>
      <c r="G39" s="23">
        <v>612</v>
      </c>
      <c r="H39" s="23">
        <v>0</v>
      </c>
      <c r="I39" s="12"/>
      <c r="J39" s="4">
        <f t="shared" si="3"/>
        <v>2</v>
      </c>
      <c r="K39" s="23">
        <v>2</v>
      </c>
      <c r="L39" s="23">
        <v>0</v>
      </c>
    </row>
    <row r="40" spans="1:48" x14ac:dyDescent="0.25">
      <c r="A40" s="15" t="s">
        <v>45</v>
      </c>
      <c r="B40" s="4">
        <f t="shared" si="4"/>
        <v>3</v>
      </c>
      <c r="C40" s="5">
        <f t="shared" si="5"/>
        <v>3</v>
      </c>
      <c r="D40" s="5">
        <f t="shared" si="1"/>
        <v>0</v>
      </c>
      <c r="E40" s="4"/>
      <c r="F40" s="4">
        <f t="shared" si="2"/>
        <v>3</v>
      </c>
      <c r="G40" s="23">
        <v>3</v>
      </c>
      <c r="H40" s="23">
        <v>0</v>
      </c>
      <c r="I40" s="12"/>
      <c r="J40" s="4">
        <f t="shared" si="3"/>
        <v>0</v>
      </c>
      <c r="K40" s="23">
        <v>0</v>
      </c>
      <c r="L40" s="23">
        <v>0</v>
      </c>
    </row>
    <row r="41" spans="1:48" x14ac:dyDescent="0.25">
      <c r="A41" s="15" t="s">
        <v>40</v>
      </c>
      <c r="B41" s="4">
        <f t="shared" ref="B41:B44" si="6">F41+J41</f>
        <v>993</v>
      </c>
      <c r="C41" s="5">
        <f t="shared" ref="C41:C44" si="7">G41+K41</f>
        <v>386</v>
      </c>
      <c r="D41" s="5">
        <f t="shared" ref="D41:D44" si="8">H41+L41</f>
        <v>607</v>
      </c>
      <c r="E41" s="4"/>
      <c r="F41" s="4">
        <f t="shared" ref="F41:F44" si="9">G41+H41</f>
        <v>993</v>
      </c>
      <c r="G41" s="23">
        <v>386</v>
      </c>
      <c r="H41" s="23">
        <v>607</v>
      </c>
      <c r="I41" s="12"/>
      <c r="J41" s="4">
        <f t="shared" si="3"/>
        <v>0</v>
      </c>
      <c r="K41" s="23">
        <v>0</v>
      </c>
      <c r="L41" s="23">
        <v>0</v>
      </c>
    </row>
    <row r="42" spans="1:48" x14ac:dyDescent="0.25">
      <c r="A42" s="15" t="s">
        <v>41</v>
      </c>
      <c r="B42" s="4">
        <f t="shared" si="6"/>
        <v>1</v>
      </c>
      <c r="C42" s="5">
        <f t="shared" si="7"/>
        <v>1</v>
      </c>
      <c r="D42" s="5">
        <f t="shared" si="8"/>
        <v>0</v>
      </c>
      <c r="E42" s="4"/>
      <c r="F42" s="4">
        <f t="shared" si="9"/>
        <v>1</v>
      </c>
      <c r="G42" s="23">
        <v>1</v>
      </c>
      <c r="H42" s="23">
        <v>0</v>
      </c>
      <c r="I42" s="12"/>
      <c r="J42" s="4">
        <f t="shared" si="3"/>
        <v>0</v>
      </c>
      <c r="K42" s="23">
        <v>0</v>
      </c>
      <c r="L42" s="23">
        <v>0</v>
      </c>
    </row>
    <row r="43" spans="1:48" x14ac:dyDescent="0.25">
      <c r="A43" s="15" t="s">
        <v>46</v>
      </c>
      <c r="B43" s="4">
        <f t="shared" si="6"/>
        <v>194</v>
      </c>
      <c r="C43" s="5">
        <f t="shared" si="7"/>
        <v>69</v>
      </c>
      <c r="D43" s="5">
        <f t="shared" si="8"/>
        <v>125</v>
      </c>
      <c r="E43" s="4"/>
      <c r="F43" s="4">
        <f t="shared" si="9"/>
        <v>169</v>
      </c>
      <c r="G43" s="23">
        <v>48</v>
      </c>
      <c r="H43" s="23">
        <v>121</v>
      </c>
      <c r="I43" s="12"/>
      <c r="J43" s="4">
        <f t="shared" si="3"/>
        <v>25</v>
      </c>
      <c r="K43" s="23">
        <v>21</v>
      </c>
      <c r="L43" s="23">
        <v>4</v>
      </c>
    </row>
    <row r="44" spans="1:48" x14ac:dyDescent="0.25">
      <c r="A44" s="15" t="s">
        <v>47</v>
      </c>
      <c r="B44" s="4">
        <f t="shared" si="6"/>
        <v>124</v>
      </c>
      <c r="C44" s="5">
        <f t="shared" si="7"/>
        <v>68</v>
      </c>
      <c r="D44" s="5">
        <f t="shared" si="8"/>
        <v>56</v>
      </c>
      <c r="E44" s="4"/>
      <c r="F44" s="4">
        <f t="shared" si="9"/>
        <v>102</v>
      </c>
      <c r="G44" s="23">
        <v>51</v>
      </c>
      <c r="H44" s="23">
        <v>51</v>
      </c>
      <c r="I44" s="12"/>
      <c r="J44" s="4">
        <f t="shared" si="3"/>
        <v>22</v>
      </c>
      <c r="K44" s="23">
        <v>17</v>
      </c>
      <c r="L44" s="23">
        <v>5</v>
      </c>
    </row>
    <row r="45" spans="1:48" x14ac:dyDescent="0.25">
      <c r="A45" s="26" t="s">
        <v>51</v>
      </c>
      <c r="B45" s="4">
        <f t="shared" ref="B45" si="10">F45+J45</f>
        <v>12</v>
      </c>
      <c r="C45" s="5">
        <f t="shared" ref="C45" si="11">G45+K45</f>
        <v>4</v>
      </c>
      <c r="D45" s="5">
        <f t="shared" ref="D45" si="12">H45+L45</f>
        <v>8</v>
      </c>
      <c r="E45" s="4"/>
      <c r="F45" s="4">
        <f t="shared" ref="F45" si="13">G45+H45</f>
        <v>12</v>
      </c>
      <c r="G45" s="23">
        <v>4</v>
      </c>
      <c r="H45" s="23">
        <v>8</v>
      </c>
      <c r="I45" s="12"/>
      <c r="J45" s="4">
        <f t="shared" ref="J45" si="14">K45+L45</f>
        <v>0</v>
      </c>
      <c r="K45" s="23">
        <v>0</v>
      </c>
      <c r="L45" s="23">
        <v>0</v>
      </c>
    </row>
    <row r="46" spans="1:48" x14ac:dyDescent="0.25">
      <c r="A46" s="19" t="s">
        <v>48</v>
      </c>
      <c r="B46" s="8">
        <f>F46+J46</f>
        <v>7</v>
      </c>
      <c r="C46" s="7">
        <f>G46+K46</f>
        <v>2</v>
      </c>
      <c r="D46" s="7">
        <f>H46+L46</f>
        <v>5</v>
      </c>
      <c r="E46" s="8"/>
      <c r="F46" s="8">
        <f>G46+H46</f>
        <v>7</v>
      </c>
      <c r="G46" s="24">
        <v>2</v>
      </c>
      <c r="H46" s="24">
        <v>5</v>
      </c>
      <c r="I46" s="13"/>
      <c r="J46" s="8">
        <f>K46+L46</f>
        <v>0</v>
      </c>
      <c r="K46" s="24">
        <v>0</v>
      </c>
      <c r="L46" s="24">
        <v>0</v>
      </c>
    </row>
    <row r="47" spans="1:48" ht="17.25" x14ac:dyDescent="0.25">
      <c r="A47" s="18" t="s">
        <v>7</v>
      </c>
      <c r="L47" s="17" t="s">
        <v>8</v>
      </c>
    </row>
    <row r="52" spans="1:48" ht="21" x14ac:dyDescent="0.55000000000000004">
      <c r="AP52" s="20"/>
      <c r="AQ52" s="1" t="s">
        <v>6</v>
      </c>
    </row>
    <row r="53" spans="1:48" x14ac:dyDescent="0.25">
      <c r="AP53" s="21"/>
      <c r="AQ53" s="1" t="s">
        <v>3</v>
      </c>
      <c r="AR53" s="1" t="s">
        <v>4</v>
      </c>
      <c r="AS53" s="1" t="s">
        <v>5</v>
      </c>
    </row>
    <row r="54" spans="1:48" x14ac:dyDescent="0.25">
      <c r="AP54" s="1" t="s">
        <v>43</v>
      </c>
      <c r="AQ54" s="9">
        <f>F8</f>
        <v>25452</v>
      </c>
      <c r="AR54" s="9">
        <f t="shared" ref="AR54:AS54" si="15">G8</f>
        <v>9322</v>
      </c>
      <c r="AS54" s="9">
        <f t="shared" si="15"/>
        <v>16130</v>
      </c>
    </row>
    <row r="55" spans="1:48" x14ac:dyDescent="0.25">
      <c r="AP55" s="1" t="s">
        <v>44</v>
      </c>
      <c r="AQ55" s="9">
        <f>J8</f>
        <v>1216</v>
      </c>
      <c r="AR55" s="9">
        <f t="shared" ref="AR55:AS55" si="16">K8</f>
        <v>753</v>
      </c>
      <c r="AS55" s="9">
        <f t="shared" si="16"/>
        <v>463</v>
      </c>
    </row>
    <row r="59" spans="1:48" ht="21" x14ac:dyDescent="0.55000000000000004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48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AU60" s="10"/>
      <c r="AV60" s="10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75" bottom="0.75" header="0.3" footer="0.3"/>
  <pageSetup paperSize="9" scale="60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2021-07-15T06:19:54Z</cp:lastPrinted>
  <dcterms:created xsi:type="dcterms:W3CDTF">2019-06-03T04:17:39Z</dcterms:created>
  <dcterms:modified xsi:type="dcterms:W3CDTF">2021-07-15T06:20:03Z</dcterms:modified>
</cp:coreProperties>
</file>