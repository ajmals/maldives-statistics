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5. Employment\"/>
    </mc:Choice>
  </mc:AlternateContent>
  <bookViews>
    <workbookView xWindow="0" yWindow="0" windowWidth="28800" windowHeight="12330" tabRatio="736"/>
  </bookViews>
  <sheets>
    <sheet name="5.13" sheetId="23" r:id="rId1"/>
  </sheets>
  <externalReferences>
    <externalReference r:id="rId2"/>
  </externalReferences>
  <definedNames>
    <definedName name="_xlnm.Print_Area" localSheetId="0">'5.13'!$A$1:$F$66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3" l="1"/>
  <c r="E7" i="23"/>
  <c r="E8" i="23"/>
  <c r="D9" i="23"/>
  <c r="D5" i="23" s="1"/>
  <c r="C9" i="23"/>
  <c r="C5" i="23" s="1"/>
  <c r="B7" i="23"/>
  <c r="B5" i="23" l="1"/>
  <c r="E22" i="23" s="1"/>
  <c r="B9" i="23"/>
  <c r="E9" i="23" l="1"/>
  <c r="E28" i="23"/>
  <c r="E13" i="23"/>
  <c r="E20" i="23"/>
  <c r="E12" i="23"/>
  <c r="E18" i="23"/>
  <c r="E10" i="23"/>
  <c r="E15" i="23"/>
  <c r="E24" i="23"/>
  <c r="E27" i="23"/>
  <c r="E16" i="23"/>
  <c r="E23" i="23"/>
  <c r="E5" i="23"/>
  <c r="E25" i="23"/>
  <c r="E17" i="23"/>
  <c r="E19" i="23"/>
  <c r="E29" i="23"/>
  <c r="E11" i="23"/>
  <c r="E21" i="23"/>
  <c r="E26" i="23"/>
  <c r="E14" i="23"/>
</calcChain>
</file>

<file path=xl/sharedStrings.xml><?xml version="1.0" encoding="utf-8"?>
<sst xmlns="http://schemas.openxmlformats.org/spreadsheetml/2006/main" count="79" uniqueCount="79">
  <si>
    <t>Republic</t>
  </si>
  <si>
    <t>Male'</t>
  </si>
  <si>
    <t>Male</t>
  </si>
  <si>
    <t>މާލެ</t>
  </si>
  <si>
    <t>އަތޮޅުތައް</t>
  </si>
  <si>
    <t>Atolls</t>
  </si>
  <si>
    <t>Locality</t>
  </si>
  <si>
    <t>މުޅި ރާއްޖެ</t>
  </si>
  <si>
    <t xml:space="preserve">       (ah)  iruburutua Itwmcnudwlit</t>
  </si>
  <si>
    <t>HA</t>
  </si>
  <si>
    <t>(dh) irubunuked Itwmcnudwlit</t>
  </si>
  <si>
    <t>HDh</t>
  </si>
  <si>
    <t>(S) iruburutua uluDwmcnudwlim</t>
  </si>
  <si>
    <t>Sh</t>
  </si>
  <si>
    <t>(n) irubunuked uluDwmcnudwlim</t>
  </si>
  <si>
    <t>N</t>
  </si>
  <si>
    <t>(r) iruburutuauluDwmcsoLWm</t>
  </si>
  <si>
    <t>R</t>
  </si>
  <si>
    <t>(b) irubunukeduluDwcsoLWm</t>
  </si>
  <si>
    <t>B</t>
  </si>
  <si>
    <t>(L) uLopcaidWf</t>
  </si>
  <si>
    <t>Lh</t>
  </si>
  <si>
    <t>(k) uLotwa elWm</t>
  </si>
  <si>
    <t>K</t>
  </si>
  <si>
    <t>(aa) iruburutuauLotwairwa</t>
  </si>
  <si>
    <t>AA</t>
  </si>
  <si>
    <t>(da) iruburutuauLotwairwa</t>
  </si>
  <si>
    <t>ADh</t>
  </si>
  <si>
    <t>(v) uLotwa udilef</t>
  </si>
  <si>
    <t>V</t>
  </si>
  <si>
    <t>(m) uLotwkwlum</t>
  </si>
  <si>
    <t>M</t>
  </si>
  <si>
    <t>(f) iruburutua uLotwaedcnwlin</t>
  </si>
  <si>
    <t>F</t>
  </si>
  <si>
    <t>(d) irubunuked uLotwaedcnwlin</t>
  </si>
  <si>
    <t>(t) uluDwmuLok</t>
  </si>
  <si>
    <t>(l) itwmcnudcawh</t>
  </si>
  <si>
    <t>L</t>
  </si>
  <si>
    <t>(ag) iruburutua uLotwaudwvuh</t>
  </si>
  <si>
    <t>GA</t>
  </si>
  <si>
    <t xml:space="preserve"> (dg) irubunuked uLotwaudwvuh</t>
  </si>
  <si>
    <t>GDh</t>
  </si>
  <si>
    <t>(N)cawlumcawvuf</t>
  </si>
  <si>
    <t>Gn</t>
  </si>
  <si>
    <t>(s) uLotwauDcawa</t>
  </si>
  <si>
    <t>S</t>
  </si>
  <si>
    <t xml:space="preserve">Total </t>
  </si>
  <si>
    <t>Hulhumale'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</si>
  <si>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</si>
  <si>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</si>
  <si>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</si>
  <si>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</si>
  <si>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</si>
  <si>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South Maalhosamadulu (B)</t>
  </si>
  <si>
    <t>Faadhhippolhu (Lh)</t>
  </si>
  <si>
    <t>Kaafu Atoll (K)</t>
  </si>
  <si>
    <t>North Ari Atoll (AA)</t>
  </si>
  <si>
    <t>South Ari Atoll (ADh)</t>
  </si>
  <si>
    <t>Felidhu Atoll (V)</t>
  </si>
  <si>
    <t>Mulakatholhu (M)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</si>
  <si>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</si>
  <si>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</si>
  <si>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</si>
  <si>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</si>
  <si>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</si>
  <si>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</si>
  <si>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Addu Atoll (S)</t>
  </si>
  <si>
    <t>DH</t>
  </si>
  <si>
    <t>TH</t>
  </si>
  <si>
    <t xml:space="preserve">Female </t>
  </si>
  <si>
    <t>% share</t>
  </si>
  <si>
    <t>Source: Ministry of Economic Development</t>
  </si>
  <si>
    <t>މަޢުލޫމާތު ފޯރުކޯށްދެއްވީ: މިނިސްޓްރީ އޮފް އިކޮނޮމިކް ޑިވެލޮޕްމަންޓް</t>
  </si>
  <si>
    <t>ހުޅުމާލެ</t>
  </si>
  <si>
    <t>Vilimale'</t>
  </si>
  <si>
    <t>ވިލިމާލެ</t>
  </si>
  <si>
    <t xml:space="preserve">North Nilandhe Atoll (F) </t>
  </si>
  <si>
    <t>Table 5.13: Expatriate employment by locality, 2020</t>
  </si>
  <si>
    <t xml:space="preserve">ތާވަލު 5.13: މާލެއާއި އަތޮޅުތަކުގައި މަސައްކަތްކުރާ ބިދޭސީ މަސައްކަތްތެރިންގެ އަދަދު އަދި ޖިންސް،  2020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</si>
</sst>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7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Faruma"/>
    </font>
    <font>
      <sz val="10"/>
      <name val="Calibri"/>
      <family val="2"/>
    </font>
    <font>
      <sz val="11"/>
      <name val="Calibri"/>
      <family val="2"/>
      <scheme val="minor"/>
    </font>
    <font>
      <b/>
      <sz val="1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i/>
      <sz val="9"/>
      <color theme="1"/>
      <name val="Calibri"/>
      <family val="2"/>
    </font>
    <font>
      <i/>
      <sz val="9"/>
      <color theme="1"/>
      <name val="Calibri"/>
      <family val="2"/>
      <scheme val="minor"/>
    </font>
    <font>
      <b/>
      <sz val="12"/>
      <name val="Faruma"/>
    </font>
    <font>
      <sz val="10"/>
      <name val="A_Faseyha"/>
    </font>
    <font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43" fontId="2" fillId="0" borderId="0" applyFont="0" applyFill="0" applyBorder="0" applyAlignment="0" applyProtection="0"/>
    <xf numFmtId="0" fontId="11" fillId="0" borderId="0"/>
    <xf numFmtId="0" fontId="2" fillId="0" borderId="0"/>
  </cellStyleXfs>
  <cellXfs count="36">
    <xf numFmtId="0" fontId="0" fillId="0" borderId="0" xfId="0"/>
    <xf numFmtId="0" fontId="0" fillId="2" borderId="0" xfId="0" applyFill="1"/>
    <xf numFmtId="3" fontId="0" fillId="2" borderId="0" xfId="0" applyNumberFormat="1" applyFont="1" applyFill="1"/>
    <xf numFmtId="3" fontId="6" fillId="2" borderId="0" xfId="2" applyNumberFormat="1" applyFont="1" applyFill="1" applyBorder="1" applyAlignment="1" applyProtection="1">
      <alignment horizontal="right" vertical="center"/>
    </xf>
    <xf numFmtId="3" fontId="0" fillId="2" borderId="0" xfId="0" applyNumberFormat="1" applyFill="1"/>
    <xf numFmtId="3" fontId="0" fillId="2" borderId="1" xfId="0" applyNumberFormat="1" applyFill="1" applyBorder="1"/>
    <xf numFmtId="0" fontId="8" fillId="2" borderId="0" xfId="0" applyFont="1" applyFill="1"/>
    <xf numFmtId="0" fontId="8" fillId="2" borderId="0" xfId="0" applyFont="1" applyFill="1" applyBorder="1"/>
    <xf numFmtId="0" fontId="4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0" fontId="13" fillId="2" borderId="0" xfId="0" applyFont="1" applyFill="1" applyAlignment="1">
      <alignment vertic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vertical="center"/>
    </xf>
    <xf numFmtId="167" fontId="4" fillId="2" borderId="0" xfId="0" applyNumberFormat="1" applyFont="1" applyFill="1" applyBorder="1" applyAlignment="1">
      <alignment vertical="center"/>
    </xf>
    <xf numFmtId="3" fontId="9" fillId="2" borderId="0" xfId="3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>
      <alignment horizontal="left" vertical="center" indent="1"/>
    </xf>
    <xf numFmtId="3" fontId="8" fillId="2" borderId="0" xfId="0" applyNumberFormat="1" applyFont="1" applyFill="1" applyBorder="1" applyAlignment="1">
      <alignment vertical="center"/>
    </xf>
    <xf numFmtId="167" fontId="8" fillId="2" borderId="0" xfId="0" applyNumberFormat="1" applyFont="1" applyFill="1" applyBorder="1" applyAlignment="1">
      <alignment vertical="center"/>
    </xf>
    <xf numFmtId="3" fontId="16" fillId="2" borderId="0" xfId="3" applyNumberFormat="1" applyFont="1" applyFill="1" applyBorder="1" applyAlignment="1" applyProtection="1">
      <alignment horizontal="right" vertical="center" indent="1"/>
    </xf>
    <xf numFmtId="49" fontId="7" fillId="2" borderId="0" xfId="0" applyNumberFormat="1" applyFont="1" applyFill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Border="1" applyAlignment="1">
      <alignment horizontal="left" vertical="center" indent="1"/>
    </xf>
    <xf numFmtId="49" fontId="7" fillId="2" borderId="0" xfId="0" applyNumberFormat="1" applyFont="1" applyFill="1" applyBorder="1" applyAlignment="1">
      <alignment horizontal="left" vertical="center" indent="1"/>
    </xf>
    <xf numFmtId="3" fontId="15" fillId="2" borderId="0" xfId="3" applyNumberFormat="1" applyFont="1" applyFill="1" applyBorder="1" applyAlignment="1" applyProtection="1">
      <alignment horizontal="right" vertical="center" indent="1"/>
    </xf>
    <xf numFmtId="0" fontId="8" fillId="2" borderId="0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0" fillId="2" borderId="1" xfId="0" applyFill="1" applyBorder="1" applyAlignment="1">
      <alignment horizontal="left" vertical="center" indent="1"/>
    </xf>
    <xf numFmtId="49" fontId="7" fillId="2" borderId="1" xfId="0" applyNumberFormat="1" applyFont="1" applyFill="1" applyBorder="1" applyAlignment="1">
      <alignment horizontal="left" vertical="center" indent="1"/>
    </xf>
    <xf numFmtId="167" fontId="8" fillId="2" borderId="1" xfId="0" applyNumberFormat="1" applyFont="1" applyFill="1" applyBorder="1" applyAlignment="1">
      <alignment vertical="center"/>
    </xf>
    <xf numFmtId="3" fontId="15" fillId="2" borderId="1" xfId="3" applyNumberFormat="1" applyFont="1" applyFill="1" applyBorder="1" applyAlignment="1" applyProtection="1">
      <alignment horizontal="right" vertical="center" indent="1"/>
    </xf>
    <xf numFmtId="0" fontId="4" fillId="2" borderId="0" xfId="0" applyFont="1" applyFill="1" applyBorder="1"/>
    <xf numFmtId="0" fontId="0" fillId="2" borderId="0" xfId="0" applyFont="1" applyFill="1" applyAlignment="1">
      <alignment horizontal="left" vertical="center" indent="1"/>
    </xf>
    <xf numFmtId="164" fontId="14" fillId="2" borderId="0" xfId="1" applyNumberFormat="1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</cellXfs>
  <cellStyles count="10">
    <cellStyle name="1" xfId="9"/>
    <cellStyle name="Comma 3" xfId="7"/>
    <cellStyle name="Normal" xfId="0" builtinId="0"/>
    <cellStyle name="Normal 11" xfId="8"/>
    <cellStyle name="Normal 2" xfId="4"/>
    <cellStyle name="Normal 4" xfId="5"/>
    <cellStyle name="Normal 5" xfId="6"/>
    <cellStyle name="Normal_II-15(Population) 2" xfId="3"/>
    <cellStyle name="Normal_II-16(Populaion)" xfId="2"/>
    <cellStyle name="Normal_Population - II 2" xfId="1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AFAFA"/>
      <color rgb="FF33CCCC"/>
      <color rgb="FFFF9900"/>
      <color rgb="FFB2EDEC"/>
      <color rgb="FF249390"/>
      <color rgb="FF196563"/>
      <color rgb="FFE5CBB1"/>
      <color rgb="FFF3E6D9"/>
      <color rgb="FFEBD7C3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5.15:  Number of Expatriate employees by Atolls, 2020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8717691537883394"/>
          <c:y val="2.65891000043268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215056340103554E-2"/>
          <c:y val="0.12912097476066145"/>
          <c:w val="0.90639311995528338"/>
          <c:h val="0.728715731207442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'5.13'!$R$8:$R$27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'5.13'!$B$10:$B$29</c:f>
              <c:numCache>
                <c:formatCode>#,##0</c:formatCode>
                <c:ptCount val="20"/>
                <c:pt idx="0">
                  <c:v>3122</c:v>
                </c:pt>
                <c:pt idx="1">
                  <c:v>2706</c:v>
                </c:pt>
                <c:pt idx="2">
                  <c:v>1682</c:v>
                </c:pt>
                <c:pt idx="3">
                  <c:v>3467</c:v>
                </c:pt>
                <c:pt idx="4">
                  <c:v>8257</c:v>
                </c:pt>
                <c:pt idx="5">
                  <c:v>5730</c:v>
                </c:pt>
                <c:pt idx="6">
                  <c:v>3661</c:v>
                </c:pt>
                <c:pt idx="7">
                  <c:v>17632</c:v>
                </c:pt>
                <c:pt idx="8">
                  <c:v>2522</c:v>
                </c:pt>
                <c:pt idx="9">
                  <c:v>3567</c:v>
                </c:pt>
                <c:pt idx="10">
                  <c:v>1261</c:v>
                </c:pt>
                <c:pt idx="11">
                  <c:v>1291</c:v>
                </c:pt>
                <c:pt idx="12">
                  <c:v>480</c:v>
                </c:pt>
                <c:pt idx="13">
                  <c:v>2522</c:v>
                </c:pt>
                <c:pt idx="14">
                  <c:v>1423</c:v>
                </c:pt>
                <c:pt idx="15">
                  <c:v>2988</c:v>
                </c:pt>
                <c:pt idx="16">
                  <c:v>3651</c:v>
                </c:pt>
                <c:pt idx="17">
                  <c:v>2243</c:v>
                </c:pt>
                <c:pt idx="18">
                  <c:v>1183</c:v>
                </c:pt>
                <c:pt idx="19">
                  <c:v>5586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4-4317-B279-147A6F8C6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549878976"/>
        <c:axId val="549879368"/>
      </c:barChart>
      <c:catAx>
        <c:axId val="54987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79368"/>
        <c:crosses val="autoZero"/>
        <c:auto val="1"/>
        <c:lblAlgn val="ctr"/>
        <c:lblOffset val="100"/>
        <c:noMultiLvlLbl val="0"/>
      </c:catAx>
      <c:valAx>
        <c:axId val="549879368"/>
        <c:scaling>
          <c:orientation val="minMax"/>
          <c:max val="22000"/>
          <c:min val="0"/>
        </c:scaling>
        <c:delete val="0"/>
        <c:axPos val="l"/>
        <c:majorGridlines>
          <c:spPr>
            <a:ln w="9525" cap="flat" cmpd="sng" algn="ctr">
              <a:solidFill>
                <a:srgbClr val="B2EDEC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accent4">
                <a:lumMod val="20000"/>
                <a:lumOff val="8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78976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61145633075776"/>
          <c:y val="0.14109502363988499"/>
          <c:w val="0.83773022085034587"/>
          <c:h val="0.7821797560786141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  <a:ln w="6350">
              <a:noFill/>
            </a:ln>
            <a:effectLst/>
            <a:scene3d>
              <a:camera prst="orthographicFront"/>
              <a:lightRig rig="brightRoom" dir="t"/>
            </a:scene3d>
            <a:sp3d prstMaterial="flat">
              <a:bevelT w="50800" h="101600" prst="angle"/>
              <a:contourClr>
                <a:srgbClr val="000000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33CCCC"/>
              </a:solidFill>
              <a:ln w="6350"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602-4238-8BEE-9A3D84B0C45B}"/>
              </c:ext>
            </c:extLst>
          </c:dPt>
          <c:dPt>
            <c:idx val="1"/>
            <c:invertIfNegative val="0"/>
            <c:bubble3D val="0"/>
            <c:explosion val="6"/>
            <c:spPr>
              <a:solidFill>
                <a:srgbClr val="33CCCC"/>
              </a:solidFill>
              <a:ln w="6350"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602-4238-8BEE-9A3D84B0C45B}"/>
              </c:ext>
            </c:extLst>
          </c:dPt>
          <c:dPt>
            <c:idx val="2"/>
            <c:invertIfNegative val="0"/>
            <c:bubble3D val="0"/>
            <c:explosion val="8"/>
            <c:spPr>
              <a:solidFill>
                <a:srgbClr val="33CCCC"/>
              </a:solidFill>
              <a:ln w="6350"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602-4238-8BEE-9A3D84B0C45B}"/>
              </c:ext>
            </c:extLst>
          </c:dPt>
          <c:dPt>
            <c:idx val="3"/>
            <c:invertIfNegative val="0"/>
            <c:bubble3D val="0"/>
            <c:spPr>
              <a:solidFill>
                <a:srgbClr val="33CCCC"/>
              </a:solidFill>
              <a:ln w="6350"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602-4238-8BEE-9A3D84B0C45B}"/>
              </c:ext>
            </c:extLst>
          </c:dPt>
          <c:dPt>
            <c:idx val="4"/>
            <c:invertIfNegative val="0"/>
            <c:bubble3D val="0"/>
            <c:explosion val="5"/>
            <c:spPr>
              <a:solidFill>
                <a:srgbClr val="33CCCC"/>
              </a:solidFill>
              <a:ln w="0">
                <a:noFill/>
                <a:miter lim="800000"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602-4238-8BEE-9A3D84B0C45B}"/>
              </c:ext>
            </c:extLst>
          </c:dPt>
          <c:dLbls>
            <c:dLbl>
              <c:idx val="0"/>
              <c:layout>
                <c:manualLayout>
                  <c:x val="1.8902814328625799E-3"/>
                  <c:y val="9.06150220995245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602-4238-8BEE-9A3D84B0C45B}"/>
                </c:ext>
              </c:extLst>
            </c:dLbl>
            <c:dLbl>
              <c:idx val="1"/>
              <c:layout>
                <c:manualLayout>
                  <c:x val="-1.8024903670199413E-3"/>
                  <c:y val="8.778129006513990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069533695193808"/>
                      <c:h val="5.18962260909496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602-4238-8BEE-9A3D84B0C45B}"/>
                </c:ext>
              </c:extLst>
            </c:dLbl>
            <c:dLbl>
              <c:idx val="2"/>
              <c:layout>
                <c:manualLayout>
                  <c:x val="2.4696363839166388E-3"/>
                  <c:y val="-7.19546997408115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0602-4238-8BEE-9A3D84B0C45B}"/>
                </c:ext>
              </c:extLst>
            </c:dLbl>
            <c:dLbl>
              <c:idx val="4"/>
              <c:layout>
                <c:manualLayout>
                  <c:x val="2.3492800466955381E-3"/>
                  <c:y val="9.61141752332616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0602-4238-8BEE-9A3D84B0C4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'5.13'!$A$5:$A$9</c:f>
              <c:strCache>
                <c:ptCount val="5"/>
                <c:pt idx="0">
                  <c:v>Republic</c:v>
                </c:pt>
                <c:pt idx="1">
                  <c:v>Male'</c:v>
                </c:pt>
                <c:pt idx="2">
                  <c:v>Hulhumale'</c:v>
                </c:pt>
                <c:pt idx="3">
                  <c:v>Vilimale'</c:v>
                </c:pt>
                <c:pt idx="4">
                  <c:v>Atolls</c:v>
                </c:pt>
              </c:strCache>
            </c:strRef>
          </c:cat>
          <c:val>
            <c:numRef>
              <c:f>'5.13'!$B$5:$B$9</c:f>
              <c:numCache>
                <c:formatCode>#,##0</c:formatCode>
                <c:ptCount val="5"/>
                <c:pt idx="0">
                  <c:v>138728</c:v>
                </c:pt>
                <c:pt idx="1">
                  <c:v>56396</c:v>
                </c:pt>
                <c:pt idx="2">
                  <c:v>7117</c:v>
                </c:pt>
                <c:pt idx="3">
                  <c:v>241</c:v>
                </c:pt>
                <c:pt idx="4">
                  <c:v>74974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02-4238-8BEE-9A3D84B0C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49875840"/>
        <c:axId val="549880152"/>
      </c:barChart>
      <c:catAx>
        <c:axId val="549875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80152"/>
        <c:crosses val="autoZero"/>
        <c:auto val="1"/>
        <c:lblAlgn val="ctr"/>
        <c:lblOffset val="100"/>
        <c:noMultiLvlLbl val="0"/>
      </c:catAx>
      <c:valAx>
        <c:axId val="549880152"/>
        <c:scaling>
          <c:orientation val="minMax"/>
          <c:max val="160000"/>
        </c:scaling>
        <c:delete val="0"/>
        <c:axPos val="l"/>
        <c:majorGridlines>
          <c:spPr>
            <a:ln w="9525" cap="flat" cmpd="sng" algn="ctr">
              <a:solidFill>
                <a:srgbClr val="B2EDEC"/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75840"/>
        <c:crosses val="autoZero"/>
        <c:crossBetween val="between"/>
      </c:valAx>
      <c:spPr>
        <a:solidFill>
          <a:schemeClr val="bg1"/>
        </a:solidFill>
        <a:ln>
          <a:solidFill>
            <a:srgbClr val="B2EDEC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32</xdr:row>
      <xdr:rowOff>19446</xdr:rowOff>
    </xdr:from>
    <xdr:to>
      <xdr:col>5</xdr:col>
      <xdr:colOff>1289842</xdr:colOff>
      <xdr:row>47</xdr:row>
      <xdr:rowOff>57547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145255</xdr:colOff>
      <xdr:row>48</xdr:row>
      <xdr:rowOff>142874</xdr:rowOff>
    </xdr:from>
    <xdr:to>
      <xdr:col>5</xdr:col>
      <xdr:colOff>1240233</xdr:colOff>
      <xdr:row>64</xdr:row>
      <xdr:rowOff>138906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367110</xdr:colOff>
      <xdr:row>49</xdr:row>
      <xdr:rowOff>29765</xdr:rowOff>
    </xdr:from>
    <xdr:to>
      <xdr:col>4</xdr:col>
      <xdr:colOff>436562</xdr:colOff>
      <xdr:row>50</xdr:row>
      <xdr:rowOff>109140</xdr:rowOff>
    </xdr:to>
    <xdr:sp macro="" textlink="">
      <xdr:nvSpPr>
        <xdr:cNvPr id="4" name="TextBox 3"/>
        <xdr:cNvSpPr txBox="1"/>
      </xdr:nvSpPr>
      <xdr:spPr>
        <a:xfrm>
          <a:off x="2176860" y="10021490"/>
          <a:ext cx="3527027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5.16: Expatriate employees by locality, 2020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5.%20EMPLOYME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  <sheetName val="5.9"/>
      <sheetName val="5.10"/>
      <sheetName val="5.11"/>
      <sheetName val="5.12"/>
      <sheetName val="5.13"/>
      <sheetName val="5.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C5" t="str">
            <v>Male</v>
          </cell>
          <cell r="D5" t="str">
            <v xml:space="preserve">Female </v>
          </cell>
        </row>
        <row r="6">
          <cell r="C6">
            <v>147671</v>
          </cell>
          <cell r="D6">
            <v>9889</v>
          </cell>
        </row>
        <row r="78">
          <cell r="AP78" t="str">
            <v>Bangladesh</v>
          </cell>
          <cell r="AS78">
            <v>110084</v>
          </cell>
        </row>
        <row r="79">
          <cell r="AP79" t="str">
            <v>India</v>
          </cell>
          <cell r="AS79">
            <v>20283</v>
          </cell>
        </row>
        <row r="80">
          <cell r="AP80" t="str">
            <v>Sri Lanka</v>
          </cell>
          <cell r="AS80">
            <v>11266</v>
          </cell>
        </row>
        <row r="81">
          <cell r="AP81" t="str">
            <v>Nepal</v>
          </cell>
          <cell r="AS81">
            <v>4342</v>
          </cell>
        </row>
        <row r="82">
          <cell r="AP82" t="str">
            <v>Philippines</v>
          </cell>
          <cell r="AS82">
            <v>2134</v>
          </cell>
        </row>
      </sheetData>
      <sheetData sheetId="11">
        <row r="33">
          <cell r="N33" t="str">
            <v>Male</v>
          </cell>
        </row>
      </sheetData>
      <sheetData sheetId="12">
        <row r="5">
          <cell r="A5" t="str">
            <v>Republic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312"/>
  <sheetViews>
    <sheetView tabSelected="1" zoomScaleNormal="100" workbookViewId="0">
      <selection activeCell="H5" sqref="H5"/>
    </sheetView>
  </sheetViews>
  <sheetFormatPr defaultColWidth="15.85546875" defaultRowHeight="15" x14ac:dyDescent="0.25"/>
  <cols>
    <col min="1" max="1" width="27.140625" style="6" customWidth="1"/>
    <col min="2" max="5" width="17.28515625" style="6" customWidth="1"/>
    <col min="6" max="6" width="45.42578125" style="6" bestFit="1" customWidth="1"/>
    <col min="7" max="16384" width="15.85546875" style="6"/>
  </cols>
  <sheetData>
    <row r="1" spans="1:18" s="7" customFormat="1" ht="21.75" x14ac:dyDescent="0.25">
      <c r="A1" s="34" t="s">
        <v>78</v>
      </c>
      <c r="B1" s="34"/>
      <c r="C1" s="34"/>
      <c r="D1" s="34"/>
      <c r="E1" s="34"/>
      <c r="F1" s="34"/>
    </row>
    <row r="2" spans="1:18" s="7" customFormat="1" ht="15.75" x14ac:dyDescent="0.25">
      <c r="A2" s="35" t="s">
        <v>77</v>
      </c>
      <c r="B2" s="35"/>
      <c r="C2" s="35"/>
      <c r="D2" s="35"/>
      <c r="E2" s="35"/>
      <c r="F2" s="35"/>
    </row>
    <row r="3" spans="1:18" s="7" customFormat="1" x14ac:dyDescent="0.25"/>
    <row r="4" spans="1:18" s="7" customFormat="1" ht="17.25" customHeight="1" x14ac:dyDescent="0.25">
      <c r="A4" s="12" t="s">
        <v>6</v>
      </c>
      <c r="B4" s="13" t="s">
        <v>46</v>
      </c>
      <c r="C4" s="13" t="s">
        <v>2</v>
      </c>
      <c r="D4" s="13" t="s">
        <v>69</v>
      </c>
      <c r="E4" s="10" t="s">
        <v>70</v>
      </c>
      <c r="F4" s="13"/>
    </row>
    <row r="5" spans="1:18" s="8" customFormat="1" ht="16.5" customHeight="1" x14ac:dyDescent="0.25">
      <c r="A5" s="8" t="s">
        <v>0</v>
      </c>
      <c r="B5" s="14">
        <f>SUM(C5:D5)</f>
        <v>138728</v>
      </c>
      <c r="C5" s="14">
        <f>SUM(C6:C9)</f>
        <v>127947</v>
      </c>
      <c r="D5" s="14">
        <f>SUM(D6:D9)</f>
        <v>10781</v>
      </c>
      <c r="E5" s="15">
        <f>B5/$B$5*100</f>
        <v>100</v>
      </c>
      <c r="F5" s="16" t="s">
        <v>7</v>
      </c>
    </row>
    <row r="6" spans="1:18" s="8" customFormat="1" ht="16.5" customHeight="1" x14ac:dyDescent="0.25">
      <c r="A6" s="17" t="s">
        <v>1</v>
      </c>
      <c r="B6" s="4">
        <v>56396</v>
      </c>
      <c r="C6" s="4">
        <v>51272</v>
      </c>
      <c r="D6" s="4">
        <v>5124</v>
      </c>
      <c r="E6" s="15">
        <f t="shared" ref="E6:E8" si="0">B6/$B$5*100</f>
        <v>40.652211521826885</v>
      </c>
      <c r="F6" s="16" t="s">
        <v>3</v>
      </c>
    </row>
    <row r="7" spans="1:18" s="26" customFormat="1" ht="16.5" customHeight="1" x14ac:dyDescent="0.25">
      <c r="A7" s="33" t="s">
        <v>47</v>
      </c>
      <c r="B7" s="18">
        <f>SUM(C7:D7)</f>
        <v>7117</v>
      </c>
      <c r="C7" s="18">
        <v>6807</v>
      </c>
      <c r="D7" s="18">
        <v>310</v>
      </c>
      <c r="E7" s="19">
        <f t="shared" si="0"/>
        <v>5.1301828037598751</v>
      </c>
      <c r="F7" s="20" t="s">
        <v>73</v>
      </c>
      <c r="G7" s="8"/>
      <c r="H7" s="8"/>
      <c r="I7" s="8"/>
      <c r="J7" s="8"/>
      <c r="K7" s="8"/>
      <c r="O7" s="21"/>
    </row>
    <row r="8" spans="1:18" s="26" customFormat="1" ht="16.5" customHeight="1" x14ac:dyDescent="0.25">
      <c r="A8" s="33" t="s">
        <v>74</v>
      </c>
      <c r="B8" s="2">
        <v>241</v>
      </c>
      <c r="C8" s="2">
        <v>222</v>
      </c>
      <c r="D8" s="2">
        <v>19</v>
      </c>
      <c r="E8" s="19">
        <f t="shared" si="0"/>
        <v>0.17372123868289027</v>
      </c>
      <c r="F8" s="20" t="s">
        <v>75</v>
      </c>
      <c r="G8" s="8"/>
      <c r="H8" s="8"/>
      <c r="I8" s="8"/>
      <c r="J8" s="8"/>
      <c r="K8" s="8"/>
      <c r="O8" s="21"/>
      <c r="R8" s="33" t="s">
        <v>9</v>
      </c>
    </row>
    <row r="9" spans="1:18" s="8" customFormat="1" ht="16.5" customHeight="1" x14ac:dyDescent="0.25">
      <c r="A9" s="22" t="s">
        <v>5</v>
      </c>
      <c r="B9" s="14">
        <f>SUM(B10:B29)</f>
        <v>74974</v>
      </c>
      <c r="C9" s="14">
        <f>SUM(C10:C29)</f>
        <v>69646</v>
      </c>
      <c r="D9" s="14">
        <f t="shared" ref="D9" si="1">SUM(D10:D29)</f>
        <v>5328</v>
      </c>
      <c r="E9" s="15">
        <f>B9/$B$5*100</f>
        <v>54.043884435730348</v>
      </c>
      <c r="F9" s="16" t="s">
        <v>4</v>
      </c>
      <c r="O9" s="21"/>
      <c r="R9" s="23" t="s">
        <v>11</v>
      </c>
    </row>
    <row r="10" spans="1:18" s="26" customFormat="1" ht="16.5" customHeight="1" x14ac:dyDescent="0.25">
      <c r="A10" s="24" t="s">
        <v>48</v>
      </c>
      <c r="B10" s="4">
        <v>3122</v>
      </c>
      <c r="C10" s="4">
        <v>2991</v>
      </c>
      <c r="D10" s="4">
        <v>131</v>
      </c>
      <c r="E10" s="19">
        <f t="shared" ref="E10:E29" si="2">B10/$B$5*100</f>
        <v>2.2504469177094748</v>
      </c>
      <c r="F10" s="25" t="s">
        <v>8</v>
      </c>
      <c r="G10" s="8"/>
      <c r="H10" s="8"/>
      <c r="I10" s="8"/>
      <c r="J10" s="8"/>
      <c r="K10" s="8"/>
      <c r="O10" s="21"/>
      <c r="R10" s="23" t="s">
        <v>13</v>
      </c>
    </row>
    <row r="11" spans="1:18" s="26" customFormat="1" ht="16.5" customHeight="1" x14ac:dyDescent="0.25">
      <c r="A11" s="24" t="s">
        <v>49</v>
      </c>
      <c r="B11" s="4">
        <v>2706</v>
      </c>
      <c r="C11" s="4">
        <v>2601</v>
      </c>
      <c r="D11" s="4">
        <v>105</v>
      </c>
      <c r="E11" s="19">
        <f t="shared" si="2"/>
        <v>1.9505795513522866</v>
      </c>
      <c r="F11" s="25" t="s">
        <v>10</v>
      </c>
      <c r="G11" s="8"/>
      <c r="H11" s="8"/>
      <c r="I11" s="8"/>
      <c r="J11" s="8"/>
      <c r="K11" s="8"/>
      <c r="O11" s="21"/>
      <c r="R11" s="23" t="s">
        <v>15</v>
      </c>
    </row>
    <row r="12" spans="1:18" s="27" customFormat="1" ht="16.5" customHeight="1" x14ac:dyDescent="0.25">
      <c r="A12" s="24" t="s">
        <v>50</v>
      </c>
      <c r="B12" s="4">
        <v>1682</v>
      </c>
      <c r="C12" s="4">
        <v>1552</v>
      </c>
      <c r="D12" s="4">
        <v>130</v>
      </c>
      <c r="E12" s="19">
        <f t="shared" si="2"/>
        <v>1.2124444957038234</v>
      </c>
      <c r="F12" s="25" t="s">
        <v>12</v>
      </c>
      <c r="G12" s="8"/>
      <c r="H12" s="8"/>
      <c r="I12" s="8"/>
      <c r="J12" s="8"/>
      <c r="K12" s="8"/>
      <c r="O12" s="21"/>
      <c r="R12" s="23" t="s">
        <v>17</v>
      </c>
    </row>
    <row r="13" spans="1:18" s="26" customFormat="1" ht="16.5" customHeight="1" x14ac:dyDescent="0.25">
      <c r="A13" s="24" t="s">
        <v>51</v>
      </c>
      <c r="B13" s="4">
        <v>3467</v>
      </c>
      <c r="C13" s="4">
        <v>3172</v>
      </c>
      <c r="D13" s="4">
        <v>295</v>
      </c>
      <c r="E13" s="19">
        <f t="shared" si="2"/>
        <v>2.4991349979816619</v>
      </c>
      <c r="F13" s="25" t="s">
        <v>14</v>
      </c>
      <c r="G13" s="8"/>
      <c r="H13" s="8"/>
      <c r="I13" s="8"/>
      <c r="J13" s="8"/>
      <c r="K13" s="8"/>
      <c r="O13" s="21"/>
      <c r="R13" s="23" t="s">
        <v>19</v>
      </c>
    </row>
    <row r="14" spans="1:18" s="26" customFormat="1" ht="16.5" customHeight="1" x14ac:dyDescent="0.25">
      <c r="A14" s="24" t="s">
        <v>52</v>
      </c>
      <c r="B14" s="4">
        <v>8257</v>
      </c>
      <c r="C14" s="4">
        <v>7879</v>
      </c>
      <c r="D14" s="4">
        <v>378</v>
      </c>
      <c r="E14" s="19">
        <f t="shared" si="2"/>
        <v>5.9519347211810159</v>
      </c>
      <c r="F14" s="25" t="s">
        <v>16</v>
      </c>
      <c r="G14" s="8"/>
      <c r="H14" s="8"/>
      <c r="I14" s="8"/>
      <c r="J14" s="8"/>
      <c r="K14" s="8"/>
      <c r="O14" s="21"/>
      <c r="R14" s="23" t="s">
        <v>21</v>
      </c>
    </row>
    <row r="15" spans="1:18" s="26" customFormat="1" ht="16.5" customHeight="1" x14ac:dyDescent="0.25">
      <c r="A15" s="24" t="s">
        <v>53</v>
      </c>
      <c r="B15" s="4">
        <v>5730</v>
      </c>
      <c r="C15" s="4">
        <v>5202</v>
      </c>
      <c r="D15" s="4">
        <v>528</v>
      </c>
      <c r="E15" s="19">
        <f t="shared" si="2"/>
        <v>4.1303846375641546</v>
      </c>
      <c r="F15" s="25" t="s">
        <v>18</v>
      </c>
      <c r="G15" s="8"/>
      <c r="H15" s="8"/>
      <c r="I15" s="8"/>
      <c r="J15" s="8"/>
      <c r="K15" s="8"/>
      <c r="O15" s="21"/>
      <c r="R15" s="23" t="s">
        <v>23</v>
      </c>
    </row>
    <row r="16" spans="1:18" s="26" customFormat="1" ht="16.5" customHeight="1" x14ac:dyDescent="0.25">
      <c r="A16" s="24" t="s">
        <v>54</v>
      </c>
      <c r="B16" s="4">
        <v>3661</v>
      </c>
      <c r="C16" s="4">
        <v>3243</v>
      </c>
      <c r="D16" s="4">
        <v>418</v>
      </c>
      <c r="E16" s="19">
        <f t="shared" si="2"/>
        <v>2.6389769909463121</v>
      </c>
      <c r="F16" s="25" t="s">
        <v>20</v>
      </c>
      <c r="G16" s="8"/>
      <c r="H16" s="8"/>
      <c r="I16" s="8"/>
      <c r="J16" s="8"/>
      <c r="K16" s="8"/>
      <c r="O16" s="21"/>
      <c r="R16" s="23" t="s">
        <v>25</v>
      </c>
    </row>
    <row r="17" spans="1:18" s="26" customFormat="1" ht="16.5" customHeight="1" x14ac:dyDescent="0.25">
      <c r="A17" s="24" t="s">
        <v>55</v>
      </c>
      <c r="B17" s="4">
        <v>17632</v>
      </c>
      <c r="C17" s="4">
        <v>16247</v>
      </c>
      <c r="D17" s="4">
        <v>1385</v>
      </c>
      <c r="E17" s="19">
        <f t="shared" si="2"/>
        <v>12.709762989446977</v>
      </c>
      <c r="F17" s="25" t="s">
        <v>22</v>
      </c>
      <c r="G17" s="8"/>
      <c r="H17" s="8"/>
      <c r="I17" s="8"/>
      <c r="J17" s="8"/>
      <c r="K17" s="8"/>
      <c r="O17" s="21"/>
      <c r="R17" s="23" t="s">
        <v>27</v>
      </c>
    </row>
    <row r="18" spans="1:18" s="26" customFormat="1" ht="16.5" customHeight="1" x14ac:dyDescent="0.25">
      <c r="A18" s="24" t="s">
        <v>56</v>
      </c>
      <c r="B18" s="4">
        <v>2522</v>
      </c>
      <c r="C18" s="4">
        <v>2265</v>
      </c>
      <c r="D18" s="4">
        <v>257</v>
      </c>
      <c r="E18" s="19">
        <f t="shared" si="2"/>
        <v>1.8179459085404532</v>
      </c>
      <c r="F18" s="25" t="s">
        <v>24</v>
      </c>
      <c r="O18" s="21"/>
      <c r="R18" s="23" t="s">
        <v>29</v>
      </c>
    </row>
    <row r="19" spans="1:18" s="26" customFormat="1" ht="16.5" customHeight="1" x14ac:dyDescent="0.25">
      <c r="A19" s="24" t="s">
        <v>57</v>
      </c>
      <c r="B19" s="4">
        <v>3567</v>
      </c>
      <c r="C19" s="4">
        <v>3208</v>
      </c>
      <c r="D19" s="4">
        <v>359</v>
      </c>
      <c r="E19" s="19">
        <f t="shared" si="2"/>
        <v>2.5712184995098322</v>
      </c>
      <c r="F19" s="25" t="s">
        <v>26</v>
      </c>
      <c r="O19" s="21"/>
      <c r="R19" s="23" t="s">
        <v>31</v>
      </c>
    </row>
    <row r="20" spans="1:18" s="26" customFormat="1" ht="16.5" customHeight="1" x14ac:dyDescent="0.25">
      <c r="A20" s="24" t="s">
        <v>58</v>
      </c>
      <c r="B20" s="4">
        <v>1261</v>
      </c>
      <c r="C20" s="4">
        <v>1189</v>
      </c>
      <c r="D20" s="4">
        <v>72</v>
      </c>
      <c r="E20" s="19">
        <f t="shared" si="2"/>
        <v>0.90897295427022662</v>
      </c>
      <c r="F20" s="25" t="s">
        <v>28</v>
      </c>
      <c r="O20" s="21"/>
      <c r="R20" s="23" t="s">
        <v>33</v>
      </c>
    </row>
    <row r="21" spans="1:18" s="26" customFormat="1" ht="16.5" customHeight="1" x14ac:dyDescent="0.25">
      <c r="A21" s="24" t="s">
        <v>59</v>
      </c>
      <c r="B21" s="4">
        <v>1291</v>
      </c>
      <c r="C21" s="4">
        <v>1241</v>
      </c>
      <c r="D21" s="4">
        <v>50</v>
      </c>
      <c r="E21" s="19">
        <f t="shared" si="2"/>
        <v>0.93059800472867771</v>
      </c>
      <c r="F21" s="25" t="s">
        <v>30</v>
      </c>
      <c r="O21" s="21"/>
      <c r="R21" s="23" t="s">
        <v>67</v>
      </c>
    </row>
    <row r="22" spans="1:18" s="26" customFormat="1" ht="16.5" customHeight="1" x14ac:dyDescent="0.25">
      <c r="A22" s="24" t="s">
        <v>76</v>
      </c>
      <c r="B22" s="4">
        <v>480</v>
      </c>
      <c r="C22" s="4">
        <v>446</v>
      </c>
      <c r="D22" s="4">
        <v>34</v>
      </c>
      <c r="E22" s="19">
        <f t="shared" si="2"/>
        <v>0.3460008073352171</v>
      </c>
      <c r="F22" s="25" t="s">
        <v>32</v>
      </c>
      <c r="O22" s="21"/>
      <c r="R22" s="23" t="s">
        <v>68</v>
      </c>
    </row>
    <row r="23" spans="1:18" s="26" customFormat="1" ht="16.5" customHeight="1" x14ac:dyDescent="0.25">
      <c r="A23" s="24" t="s">
        <v>60</v>
      </c>
      <c r="B23" s="4">
        <v>2522</v>
      </c>
      <c r="C23" s="4">
        <v>2284</v>
      </c>
      <c r="D23" s="4">
        <v>238</v>
      </c>
      <c r="E23" s="19">
        <f t="shared" si="2"/>
        <v>1.8179459085404532</v>
      </c>
      <c r="F23" s="25" t="s">
        <v>34</v>
      </c>
      <c r="O23" s="21"/>
      <c r="R23" s="23" t="s">
        <v>37</v>
      </c>
    </row>
    <row r="24" spans="1:18" s="26" customFormat="1" ht="16.5" customHeight="1" x14ac:dyDescent="0.25">
      <c r="A24" s="24" t="s">
        <v>61</v>
      </c>
      <c r="B24" s="4">
        <v>1423</v>
      </c>
      <c r="C24" s="4">
        <v>1341</v>
      </c>
      <c r="D24" s="4">
        <v>82</v>
      </c>
      <c r="E24" s="19">
        <f t="shared" si="2"/>
        <v>1.0257482267458624</v>
      </c>
      <c r="F24" s="25" t="s">
        <v>35</v>
      </c>
      <c r="O24" s="21"/>
      <c r="R24" s="23" t="s">
        <v>39</v>
      </c>
    </row>
    <row r="25" spans="1:18" s="8" customFormat="1" ht="16.5" customHeight="1" x14ac:dyDescent="0.25">
      <c r="A25" s="24" t="s">
        <v>62</v>
      </c>
      <c r="B25" s="4">
        <v>2988</v>
      </c>
      <c r="C25" s="4">
        <v>2743</v>
      </c>
      <c r="D25" s="4">
        <v>245</v>
      </c>
      <c r="E25" s="19">
        <f t="shared" si="2"/>
        <v>2.1538550256617266</v>
      </c>
      <c r="F25" s="25" t="s">
        <v>36</v>
      </c>
      <c r="O25" s="21"/>
      <c r="R25" s="23" t="s">
        <v>41</v>
      </c>
    </row>
    <row r="26" spans="1:18" s="26" customFormat="1" ht="16.5" customHeight="1" x14ac:dyDescent="0.25">
      <c r="A26" s="24" t="s">
        <v>63</v>
      </c>
      <c r="B26" s="4">
        <v>3651</v>
      </c>
      <c r="C26" s="4">
        <v>3446</v>
      </c>
      <c r="D26" s="4">
        <v>205</v>
      </c>
      <c r="E26" s="19">
        <f t="shared" si="2"/>
        <v>2.6317686407934953</v>
      </c>
      <c r="F26" s="25" t="s">
        <v>38</v>
      </c>
      <c r="O26" s="21"/>
      <c r="R26" s="23" t="s">
        <v>43</v>
      </c>
    </row>
    <row r="27" spans="1:18" s="26" customFormat="1" ht="16.5" customHeight="1" x14ac:dyDescent="0.25">
      <c r="A27" s="24" t="s">
        <v>64</v>
      </c>
      <c r="B27" s="4">
        <v>2243</v>
      </c>
      <c r="C27" s="4">
        <v>2082</v>
      </c>
      <c r="D27" s="4">
        <v>161</v>
      </c>
      <c r="E27" s="19">
        <f t="shared" si="2"/>
        <v>1.6168329392768583</v>
      </c>
      <c r="F27" s="25" t="s">
        <v>40</v>
      </c>
      <c r="O27" s="21"/>
      <c r="R27" s="28" t="s">
        <v>45</v>
      </c>
    </row>
    <row r="28" spans="1:18" s="26" customFormat="1" ht="16.5" customHeight="1" x14ac:dyDescent="0.25">
      <c r="A28" s="24" t="s">
        <v>65</v>
      </c>
      <c r="B28" s="4">
        <v>1183</v>
      </c>
      <c r="C28" s="4">
        <v>1128</v>
      </c>
      <c r="D28" s="4">
        <v>55</v>
      </c>
      <c r="E28" s="19">
        <f t="shared" si="2"/>
        <v>0.85274782307825392</v>
      </c>
      <c r="F28" s="25" t="s">
        <v>42</v>
      </c>
      <c r="O28" s="21"/>
    </row>
    <row r="29" spans="1:18" s="26" customFormat="1" ht="16.5" customHeight="1" x14ac:dyDescent="0.25">
      <c r="A29" s="29" t="s">
        <v>66</v>
      </c>
      <c r="B29" s="5">
        <v>5586</v>
      </c>
      <c r="C29" s="5">
        <v>5386</v>
      </c>
      <c r="D29" s="5">
        <v>200</v>
      </c>
      <c r="E29" s="30">
        <f t="shared" si="2"/>
        <v>4.0265843953635896</v>
      </c>
      <c r="F29" s="31" t="s">
        <v>44</v>
      </c>
      <c r="O29" s="21"/>
    </row>
    <row r="30" spans="1:18" s="7" customFormat="1" ht="17.25" x14ac:dyDescent="0.25">
      <c r="A30" s="9" t="s">
        <v>71</v>
      </c>
      <c r="B30" s="1"/>
      <c r="C30" s="1"/>
      <c r="D30" s="1"/>
      <c r="E30" s="1"/>
      <c r="F30" s="3" t="s">
        <v>72</v>
      </c>
      <c r="O30" s="21"/>
    </row>
    <row r="31" spans="1:18" s="7" customFormat="1" ht="17.25" x14ac:dyDescent="0.25">
      <c r="A31" s="11"/>
      <c r="F31" s="3"/>
    </row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32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pans="1:1" s="7" customFormat="1" x14ac:dyDescent="0.25"/>
    <row r="66" spans="1:1" s="7" customFormat="1" x14ac:dyDescent="0.25"/>
    <row r="67" spans="1:1" s="7" customFormat="1" x14ac:dyDescent="0.25"/>
    <row r="68" spans="1:1" s="7" customFormat="1" x14ac:dyDescent="0.25"/>
    <row r="69" spans="1:1" s="7" customFormat="1" x14ac:dyDescent="0.25">
      <c r="A69" s="32"/>
    </row>
    <row r="70" spans="1:1" s="7" customFormat="1" x14ac:dyDescent="0.25"/>
    <row r="71" spans="1:1" s="7" customFormat="1" x14ac:dyDescent="0.25"/>
    <row r="72" spans="1:1" s="7" customFormat="1" x14ac:dyDescent="0.25"/>
    <row r="73" spans="1:1" s="32" customFormat="1" x14ac:dyDescent="0.25">
      <c r="A73" s="7"/>
    </row>
    <row r="74" spans="1:1" s="7" customFormat="1" x14ac:dyDescent="0.25"/>
    <row r="75" spans="1:1" s="7" customFormat="1" x14ac:dyDescent="0.25"/>
    <row r="76" spans="1:1" s="7" customFormat="1" x14ac:dyDescent="0.25"/>
    <row r="77" spans="1:1" s="7" customFormat="1" x14ac:dyDescent="0.25"/>
    <row r="78" spans="1:1" s="7" customFormat="1" x14ac:dyDescent="0.25"/>
    <row r="79" spans="1:1" s="7" customFormat="1" x14ac:dyDescent="0.25"/>
    <row r="80" spans="1:1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32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32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32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32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32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32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32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32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32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</sheetData>
  <mergeCells count="2">
    <mergeCell ref="A1:F1"/>
    <mergeCell ref="A2:F2"/>
  </mergeCells>
  <pageMargins left="0.7" right="0.7" top="0.75" bottom="0.75" header="0.3" footer="0.3"/>
  <pageSetup paperSize="9" scale="61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5.13</vt:lpstr>
      <vt:lpstr>'5.13'!Print_Area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2021-07-15T06:28:32Z</cp:lastPrinted>
  <dcterms:created xsi:type="dcterms:W3CDTF">2019-06-03T04:17:39Z</dcterms:created>
  <dcterms:modified xsi:type="dcterms:W3CDTF">2021-07-15T06:29:14Z</dcterms:modified>
</cp:coreProperties>
</file>