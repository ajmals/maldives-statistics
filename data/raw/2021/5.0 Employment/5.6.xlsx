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6" sheetId="5" r:id="rId1"/>
  </sheets>
  <externalReferences>
    <externalReference r:id="rId2"/>
  </externalReferences>
  <definedNames>
    <definedName name="_xlnm.Print_Area" localSheetId="0">'5.6'!$A$1:$N$50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5" l="1"/>
  <c r="F13" i="5"/>
  <c r="D13" i="5"/>
  <c r="C13" i="5"/>
  <c r="J12" i="5"/>
  <c r="F12" i="5"/>
  <c r="D12" i="5"/>
  <c r="C12" i="5"/>
  <c r="J11" i="5"/>
  <c r="F11" i="5"/>
  <c r="D11" i="5"/>
  <c r="C11" i="5"/>
  <c r="J10" i="5"/>
  <c r="F10" i="5"/>
  <c r="D10" i="5"/>
  <c r="C10" i="5"/>
  <c r="L9" i="5"/>
  <c r="K9" i="5"/>
  <c r="H9" i="5"/>
  <c r="G9" i="5"/>
  <c r="F9" i="5" l="1"/>
  <c r="B10" i="5"/>
  <c r="J9" i="5"/>
  <c r="B11" i="5"/>
  <c r="B13" i="5"/>
  <c r="B12" i="5"/>
  <c r="D9" i="5"/>
  <c r="C9" i="5"/>
  <c r="B9" i="5" l="1"/>
  <c r="AJ21" i="5" s="1"/>
  <c r="AJ24" i="5" l="1"/>
  <c r="AJ23" i="5"/>
  <c r="AJ22" i="5"/>
</calcChain>
</file>

<file path=xl/sharedStrings.xml><?xml version="1.0" encoding="utf-8"?>
<sst xmlns="http://schemas.openxmlformats.org/spreadsheetml/2006/main" count="44" uniqueCount="28">
  <si>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</si>
  <si>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</si>
  <si>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</si>
  <si>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</si>
  <si>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</si>
  <si>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</si>
  <si>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</si>
  <si>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</si>
  <si>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</si>
  <si>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</si>
  <si>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</si>
  <si>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</si>
  <si>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</si>
  <si>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</si>
  <si>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</si>
  <si>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</si>
  <si>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</si>
  <si>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</si>
  <si>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</si>
  <si>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</si>
  <si>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</si>
  <si>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</si>
  <si>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</si>
  <si>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</si>
  <si>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</si>
  <si>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</si>
  <si>
    <t>ތާވަލު 5.6: ސިވިލް ސަރވަންޓުންގެ މަގާމުތައް އަސާސީ މުސާރަ އަދި ޖިންސްއިން ކްލެސިފައިކުރެވިފައިވާ ގޮތް ، 2020</t>
  </si>
  <si>
    <t>Table 5.6: CIVIL SERVANTS CLASSIFIED BY  BASIC SALARY, SEX AND LOCALITY,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</si>
</sst>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43" fontId="4" fillId="0" borderId="0" applyFont="0" applyFill="0" applyBorder="0" applyAlignment="0" applyProtection="0"/>
    <xf numFmtId="0" fontId="16" fillId="0" borderId="0"/>
    <xf numFmtId="0" fontId="4" fillId="0" borderId="0"/>
  </cellStyleXfs>
  <cellXfs count="62">
    <xf numFmtId="0" fontId="0" fillId="0" borderId="0" xfId="0"/>
    <xf numFmtId="0" fontId="0" fillId="2" borderId="0" xfId="0" applyFill="1"/>
    <xf numFmtId="0" fontId="6" fillId="2" borderId="0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10" fillId="2" borderId="0" xfId="4" applyNumberFormat="1" applyFont="1" applyFill="1" applyBorder="1" applyAlignment="1" applyProtection="1">
      <alignment horizontal="right" vertical="center"/>
    </xf>
    <xf numFmtId="0" fontId="11" fillId="2" borderId="1" xfId="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readingOrder="2"/>
    </xf>
    <xf numFmtId="1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9" fillId="2" borderId="5" xfId="3" applyFont="1" applyFill="1" applyBorder="1"/>
    <xf numFmtId="0" fontId="0" fillId="2" borderId="1" xfId="0" applyFill="1" applyBorder="1"/>
    <xf numFmtId="0" fontId="11" fillId="2" borderId="7" xfId="4" applyFont="1" applyFill="1" applyBorder="1" applyAlignment="1">
      <alignment horizontal="center" vertical="center"/>
    </xf>
    <xf numFmtId="0" fontId="3" fillId="2" borderId="0" xfId="0" applyFont="1" applyFill="1" applyBorder="1"/>
    <xf numFmtId="0" fontId="6" fillId="2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readingOrder="2"/>
    </xf>
    <xf numFmtId="167" fontId="0" fillId="2" borderId="0" xfId="0" applyNumberFormat="1" applyFill="1"/>
    <xf numFmtId="3" fontId="3" fillId="2" borderId="0" xfId="0" applyNumberFormat="1" applyFont="1" applyFill="1" applyBorder="1" applyAlignment="1">
      <alignment horizontal="right" readingOrder="2"/>
    </xf>
    <xf numFmtId="3" fontId="3" fillId="2" borderId="3" xfId="0" applyNumberFormat="1" applyFont="1" applyFill="1" applyBorder="1" applyAlignment="1">
      <alignment horizontal="right" readingOrder="2"/>
    </xf>
    <xf numFmtId="3" fontId="5" fillId="2" borderId="0" xfId="0" applyNumberFormat="1" applyFont="1" applyFill="1" applyBorder="1" applyAlignment="1">
      <alignment horizontal="right" vertical="center" readingOrder="2"/>
    </xf>
    <xf numFmtId="3" fontId="3" fillId="2" borderId="8" xfId="0" applyNumberFormat="1" applyFont="1" applyFill="1" applyBorder="1" applyAlignment="1">
      <alignment horizontal="right" readingOrder="2"/>
    </xf>
    <xf numFmtId="0" fontId="12" fillId="2" borderId="1" xfId="0" applyFont="1" applyFill="1" applyBorder="1" applyAlignment="1">
      <alignment horizontal="right" indent="1"/>
    </xf>
    <xf numFmtId="3" fontId="0" fillId="2" borderId="0" xfId="0" applyNumberFormat="1" applyFont="1" applyFill="1" applyBorder="1" applyAlignment="1">
      <alignment horizontal="right" readingOrder="2"/>
    </xf>
    <xf numFmtId="0" fontId="0" fillId="2" borderId="3" xfId="0" applyFont="1" applyFill="1" applyBorder="1" applyAlignment="1"/>
    <xf numFmtId="3" fontId="0" fillId="2" borderId="0" xfId="0" applyNumberFormat="1" applyFont="1" applyFill="1" applyBorder="1" applyAlignment="1"/>
    <xf numFmtId="3" fontId="13" fillId="2" borderId="0" xfId="0" applyNumberFormat="1" applyFont="1" applyFill="1" applyBorder="1" applyAlignment="1">
      <alignment horizontal="right"/>
    </xf>
    <xf numFmtId="0" fontId="13" fillId="2" borderId="0" xfId="0" applyFont="1" applyFill="1" applyBorder="1" applyAlignment="1">
      <alignment horizontal="right" indent="1"/>
    </xf>
    <xf numFmtId="0" fontId="0" fillId="2" borderId="0" xfId="0" applyFont="1" applyFill="1" applyBorder="1" applyAlignment="1"/>
    <xf numFmtId="3" fontId="3" fillId="2" borderId="2" xfId="0" applyNumberFormat="1" applyFont="1" applyFill="1" applyBorder="1" applyAlignment="1">
      <alignment horizontal="right" readingOrder="2"/>
    </xf>
    <xf numFmtId="3" fontId="0" fillId="2" borderId="2" xfId="0" applyNumberFormat="1" applyFont="1" applyFill="1" applyBorder="1" applyAlignment="1">
      <alignment horizontal="right" readingOrder="2"/>
    </xf>
    <xf numFmtId="0" fontId="0" fillId="2" borderId="11" xfId="0" applyFont="1" applyFill="1" applyBorder="1" applyAlignment="1"/>
    <xf numFmtId="3" fontId="5" fillId="2" borderId="2" xfId="0" applyNumberFormat="1" applyFont="1" applyFill="1" applyBorder="1" applyAlignment="1">
      <alignment horizontal="right" vertical="center" readingOrder="2"/>
    </xf>
    <xf numFmtId="0" fontId="0" fillId="2" borderId="2" xfId="0" applyFont="1" applyFill="1" applyBorder="1" applyAlignment="1"/>
    <xf numFmtId="3" fontId="13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3" fontId="0" fillId="2" borderId="0" xfId="0" applyNumberFormat="1" applyFill="1" applyBorder="1" applyAlignment="1">
      <alignment horizontal="right" wrapText="1"/>
    </xf>
    <xf numFmtId="3" fontId="0" fillId="2" borderId="4" xfId="0" applyNumberFormat="1" applyFill="1" applyBorder="1" applyAlignment="1">
      <alignment horizontal="right" wrapText="1"/>
    </xf>
    <xf numFmtId="0" fontId="0" fillId="2" borderId="4" xfId="0" applyFill="1" applyBorder="1" applyAlignment="1">
      <alignment horizontal="right" wrapText="1"/>
    </xf>
    <xf numFmtId="0" fontId="0" fillId="2" borderId="12" xfId="0" applyFill="1" applyBorder="1" applyAlignment="1">
      <alignment horizontal="right" wrapText="1"/>
    </xf>
    <xf numFmtId="0" fontId="11" fillId="2" borderId="1" xfId="4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8" xfId="4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</cellXfs>
  <cellStyles count="11">
    <cellStyle name="1" xfId="10"/>
    <cellStyle name="Comma" xfId="1" builtinId="3"/>
    <cellStyle name="Comma 3" xfId="8"/>
    <cellStyle name="Normal" xfId="0" builtinId="0"/>
    <cellStyle name="Normal 11" xfId="9"/>
    <cellStyle name="Normal 2" xfId="5"/>
    <cellStyle name="Normal 4" xfId="6"/>
    <cellStyle name="Normal 5" xfId="7"/>
    <cellStyle name="Normal_II-16(Populaion)" xfId="4"/>
    <cellStyle name="Normal_po" xfId="3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'5.6'!$C$7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'5.6'!$C$10:$C$13</c:f>
              <c:numCache>
                <c:formatCode>#,##0</c:formatCode>
                <c:ptCount val="4"/>
                <c:pt idx="0">
                  <c:v>4587</c:v>
                </c:pt>
                <c:pt idx="1">
                  <c:v>4944</c:v>
                </c:pt>
                <c:pt idx="2">
                  <c:v>367</c:v>
                </c:pt>
                <c:pt idx="3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'5.6'!$D$7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'5.6'!$D$10:$D$13</c:f>
              <c:numCache>
                <c:formatCode>#,##0</c:formatCode>
                <c:ptCount val="4"/>
                <c:pt idx="0">
                  <c:v>5922</c:v>
                </c:pt>
                <c:pt idx="1">
                  <c:v>9826</c:v>
                </c:pt>
                <c:pt idx="2">
                  <c:v>637</c:v>
                </c:pt>
                <c:pt idx="3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849680"/>
        <c:axId val="485853208"/>
      </c:barChart>
      <c:catAx>
        <c:axId val="48584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485853208"/>
        <c:crosses val="autoZero"/>
        <c:auto val="1"/>
        <c:lblAlgn val="ctr"/>
        <c:lblOffset val="100"/>
        <c:noMultiLvlLbl val="0"/>
      </c:catAx>
      <c:valAx>
        <c:axId val="4858532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8.7625480814335285E-3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85849680"/>
        <c:crosses val="autoZero"/>
        <c:crossBetween val="between"/>
      </c:valAx>
      <c:spPr>
        <a:solidFill>
          <a:srgbClr val="EAFAF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2020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369566965689178E-2"/>
          <c:y val="0.15024290833760831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'5.6'!$AI$21:$AI$24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'5.6'!$AJ$21:$AJ$24</c:f>
              <c:numCache>
                <c:formatCode>0</c:formatCode>
                <c:ptCount val="4"/>
                <c:pt idx="0">
                  <c:v>39.406779661016948</c:v>
                </c:pt>
                <c:pt idx="1">
                  <c:v>55.384730763461832</c:v>
                </c:pt>
                <c:pt idx="2">
                  <c:v>3.7648117594120296</c:v>
                </c:pt>
                <c:pt idx="3">
                  <c:v>1.4436778161091945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851248"/>
        <c:axId val="485854384"/>
      </c:barChart>
      <c:catAx>
        <c:axId val="4858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4384"/>
        <c:crosses val="autoZero"/>
        <c:auto val="1"/>
        <c:lblAlgn val="ctr"/>
        <c:lblOffset val="100"/>
        <c:noMultiLvlLbl val="0"/>
      </c:catAx>
      <c:valAx>
        <c:axId val="48585438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1248"/>
        <c:crosses val="autoZero"/>
        <c:crossBetween val="between"/>
        <c:majorUnit val="10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/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2020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0.45543</cdr:x>
      <cdr:y>0.26531</cdr:y>
    </cdr:from>
    <cdr:to>
      <cdr:x>0.89415</cdr:x>
      <cdr:y>0.65889</cdr:y>
    </cdr:to>
    <cdr:sp macro="" textlink="">
      <cdr:nvSpPr>
        <cdr:cNvPr id="3" name="Oval 2"/>
        <cdr:cNvSpPr/>
      </cdr:nvSpPr>
      <cdr:spPr>
        <a:xfrm xmlns:a="http://schemas.openxmlformats.org/drawingml/2006/main">
          <a:off x="3114689" y="866788"/>
          <a:ext cx="3000384" cy="128585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DF7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300" b="1" i="1">
              <a:solidFill>
                <a:srgbClr val="FF0000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95</a:t>
          </a:r>
          <a:r>
            <a:rPr lang="en-US" sz="1300" b="1" i="1" baseline="0">
              <a:solidFill>
                <a:srgbClr val="FF0000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 </a:t>
          </a:r>
          <a:r>
            <a:rPr lang="en-US" sz="1300" b="1" i="1" baseline="0">
              <a:solidFill>
                <a:srgbClr val="249390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percent of the civil servants get a  salary less than 10,000 MVR per month.</a:t>
          </a:r>
          <a:endParaRPr lang="en-US" sz="1300" i="1">
            <a:solidFill>
              <a:srgbClr val="249390"/>
            </a:solidFill>
            <a:effectLst/>
            <a:latin typeface="Ink Free" panose="03080402000500000000" pitchFamily="66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L48"/>
  <sheetViews>
    <sheetView tabSelected="1" zoomScaleNormal="100" workbookViewId="0">
      <selection activeCell="AN40" sqref="AN40"/>
    </sheetView>
  </sheetViews>
  <sheetFormatPr defaultRowHeight="15" x14ac:dyDescent="0.25"/>
  <cols>
    <col min="1" max="1" width="24.8554687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6384" width="9.140625" style="1"/>
  </cols>
  <sheetData>
    <row r="2" spans="1:14" ht="21" x14ac:dyDescent="0.55000000000000004">
      <c r="A2" s="55" t="s">
        <v>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4" x14ac:dyDescent="0.25">
      <c r="A3" s="58" t="s">
        <v>27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0"/>
    </row>
    <row r="4" spans="1:14" ht="7.5" customHeight="1" x14ac:dyDescent="0.25"/>
    <row r="5" spans="1:14" ht="18.75" customHeight="1" x14ac:dyDescent="0.25">
      <c r="A5" s="13"/>
      <c r="B5" s="52" t="s">
        <v>10</v>
      </c>
      <c r="C5" s="52"/>
      <c r="D5" s="52"/>
      <c r="E5" s="14"/>
      <c r="F5" s="52" t="s">
        <v>11</v>
      </c>
      <c r="G5" s="52"/>
      <c r="H5" s="56"/>
      <c r="I5" s="7"/>
      <c r="J5" s="52" t="s">
        <v>12</v>
      </c>
      <c r="K5" s="52"/>
      <c r="L5" s="52"/>
      <c r="M5" s="59" t="s">
        <v>16</v>
      </c>
    </row>
    <row r="6" spans="1:14" ht="15" customHeight="1" x14ac:dyDescent="0.25">
      <c r="A6" s="15" t="s">
        <v>17</v>
      </c>
      <c r="B6" s="53" t="s">
        <v>0</v>
      </c>
      <c r="C6" s="53"/>
      <c r="D6" s="53"/>
      <c r="E6" s="16"/>
      <c r="F6" s="54" t="s">
        <v>1</v>
      </c>
      <c r="G6" s="54"/>
      <c r="H6" s="57"/>
      <c r="I6" s="44"/>
      <c r="J6" s="54" t="s">
        <v>13</v>
      </c>
      <c r="K6" s="54"/>
      <c r="L6" s="54"/>
      <c r="M6" s="60"/>
    </row>
    <row r="7" spans="1:14" ht="15" customHeight="1" x14ac:dyDescent="0.25">
      <c r="A7" s="5"/>
      <c r="B7" s="2" t="s">
        <v>14</v>
      </c>
      <c r="C7" s="2" t="s">
        <v>5</v>
      </c>
      <c r="D7" s="2" t="s">
        <v>6</v>
      </c>
      <c r="E7" s="17"/>
      <c r="F7" s="2" t="s">
        <v>14</v>
      </c>
      <c r="G7" s="2" t="s">
        <v>5</v>
      </c>
      <c r="H7" s="18" t="s">
        <v>6</v>
      </c>
      <c r="I7" s="42"/>
      <c r="J7" s="2" t="s">
        <v>14</v>
      </c>
      <c r="K7" s="2" t="s">
        <v>5</v>
      </c>
      <c r="L7" s="2" t="s">
        <v>6</v>
      </c>
      <c r="M7" s="60"/>
    </row>
    <row r="8" spans="1:14" ht="18.75" customHeight="1" x14ac:dyDescent="0.5">
      <c r="A8" s="19"/>
      <c r="B8" s="8" t="s">
        <v>2</v>
      </c>
      <c r="C8" s="8" t="s">
        <v>3</v>
      </c>
      <c r="D8" s="8" t="s">
        <v>4</v>
      </c>
      <c r="E8" s="20"/>
      <c r="F8" s="8" t="s">
        <v>2</v>
      </c>
      <c r="G8" s="8" t="s">
        <v>3</v>
      </c>
      <c r="H8" s="21" t="s">
        <v>4</v>
      </c>
      <c r="I8" s="43"/>
      <c r="J8" s="8" t="s">
        <v>2</v>
      </c>
      <c r="K8" s="8" t="s">
        <v>3</v>
      </c>
      <c r="L8" s="8" t="s">
        <v>4</v>
      </c>
      <c r="M8" s="61"/>
    </row>
    <row r="9" spans="1:14" ht="21" x14ac:dyDescent="0.55000000000000004">
      <c r="A9" s="45" t="s">
        <v>7</v>
      </c>
      <c r="B9" s="23">
        <f>F9+J9</f>
        <v>26668</v>
      </c>
      <c r="C9" s="23">
        <f t="shared" ref="C9:D13" si="0">G9+K9</f>
        <v>10075</v>
      </c>
      <c r="D9" s="23">
        <f t="shared" si="0"/>
        <v>16593</v>
      </c>
      <c r="E9" s="24"/>
      <c r="F9" s="25">
        <f>G9+H9</f>
        <v>10067</v>
      </c>
      <c r="G9" s="23">
        <f>SUM(G10:G13)</f>
        <v>3932</v>
      </c>
      <c r="H9" s="26">
        <f>SUM(H10:H13)</f>
        <v>6135</v>
      </c>
      <c r="I9" s="23"/>
      <c r="J9" s="25">
        <f>K9+L9</f>
        <v>16601</v>
      </c>
      <c r="K9" s="23">
        <f>SUM(K10:K13)</f>
        <v>6143</v>
      </c>
      <c r="L9" s="23">
        <f>SUM(L10:L13)</f>
        <v>10458</v>
      </c>
      <c r="M9" s="27" t="s">
        <v>15</v>
      </c>
    </row>
    <row r="10" spans="1:14" ht="21" x14ac:dyDescent="0.55000000000000004">
      <c r="A10" s="5" t="s">
        <v>18</v>
      </c>
      <c r="B10" s="23">
        <f>F10+J10</f>
        <v>10509</v>
      </c>
      <c r="C10" s="28">
        <f t="shared" si="0"/>
        <v>4587</v>
      </c>
      <c r="D10" s="28">
        <f t="shared" si="0"/>
        <v>5922</v>
      </c>
      <c r="E10" s="29"/>
      <c r="F10" s="25">
        <f t="shared" ref="F10:F13" si="1">G10+H10</f>
        <v>3184</v>
      </c>
      <c r="G10" s="48">
        <v>1404</v>
      </c>
      <c r="H10" s="49">
        <v>1780</v>
      </c>
      <c r="I10" s="30"/>
      <c r="J10" s="25">
        <f t="shared" ref="J10:J13" si="2">K10+L10</f>
        <v>7325</v>
      </c>
      <c r="K10" s="48">
        <v>3183</v>
      </c>
      <c r="L10" s="48">
        <v>4142</v>
      </c>
      <c r="M10" s="31" t="s">
        <v>19</v>
      </c>
    </row>
    <row r="11" spans="1:14" ht="21" x14ac:dyDescent="0.55000000000000004">
      <c r="A11" s="5" t="s">
        <v>20</v>
      </c>
      <c r="B11" s="23">
        <f t="shared" ref="B11:B13" si="3">F11+J11</f>
        <v>14770</v>
      </c>
      <c r="C11" s="28">
        <f t="shared" si="0"/>
        <v>4944</v>
      </c>
      <c r="D11" s="28">
        <f t="shared" si="0"/>
        <v>9826</v>
      </c>
      <c r="E11" s="29"/>
      <c r="F11" s="25">
        <f t="shared" si="1"/>
        <v>5867</v>
      </c>
      <c r="G11" s="48">
        <v>2149</v>
      </c>
      <c r="H11" s="49">
        <v>3718</v>
      </c>
      <c r="I11" s="30"/>
      <c r="J11" s="25">
        <f t="shared" si="2"/>
        <v>8903</v>
      </c>
      <c r="K11" s="48">
        <v>2795</v>
      </c>
      <c r="L11" s="48">
        <v>6108</v>
      </c>
      <c r="M11" s="32" t="s">
        <v>21</v>
      </c>
    </row>
    <row r="12" spans="1:14" ht="21" x14ac:dyDescent="0.55000000000000004">
      <c r="A12" s="5" t="s">
        <v>22</v>
      </c>
      <c r="B12" s="23">
        <f t="shared" si="3"/>
        <v>1004</v>
      </c>
      <c r="C12" s="28">
        <f t="shared" si="0"/>
        <v>367</v>
      </c>
      <c r="D12" s="28">
        <f t="shared" si="0"/>
        <v>637</v>
      </c>
      <c r="E12" s="29"/>
      <c r="F12" s="25">
        <f t="shared" si="1"/>
        <v>695</v>
      </c>
      <c r="G12" s="46">
        <v>239</v>
      </c>
      <c r="H12" s="50">
        <v>456</v>
      </c>
      <c r="I12" s="33"/>
      <c r="J12" s="25">
        <f t="shared" si="2"/>
        <v>309</v>
      </c>
      <c r="K12" s="46">
        <v>128</v>
      </c>
      <c r="L12" s="46">
        <v>181</v>
      </c>
      <c r="M12" s="32" t="s">
        <v>23</v>
      </c>
    </row>
    <row r="13" spans="1:14" ht="21" x14ac:dyDescent="0.55000000000000004">
      <c r="A13" s="19" t="s">
        <v>24</v>
      </c>
      <c r="B13" s="34">
        <f t="shared" si="3"/>
        <v>385</v>
      </c>
      <c r="C13" s="35">
        <f t="shared" si="0"/>
        <v>177</v>
      </c>
      <c r="D13" s="35">
        <f t="shared" si="0"/>
        <v>208</v>
      </c>
      <c r="E13" s="36"/>
      <c r="F13" s="37">
        <f t="shared" si="1"/>
        <v>321</v>
      </c>
      <c r="G13" s="47">
        <v>140</v>
      </c>
      <c r="H13" s="51">
        <v>181</v>
      </c>
      <c r="I13" s="38"/>
      <c r="J13" s="37">
        <f t="shared" si="2"/>
        <v>64</v>
      </c>
      <c r="K13" s="47">
        <v>37</v>
      </c>
      <c r="L13" s="47">
        <v>27</v>
      </c>
      <c r="M13" s="39" t="s">
        <v>25</v>
      </c>
    </row>
    <row r="14" spans="1:14" ht="17.25" x14ac:dyDescent="0.25">
      <c r="A14" s="12" t="s">
        <v>8</v>
      </c>
      <c r="B14" s="4"/>
      <c r="C14" s="3"/>
      <c r="D14" s="4"/>
      <c r="E14" s="4"/>
      <c r="F14" s="4"/>
      <c r="G14" s="3"/>
      <c r="J14" s="15"/>
      <c r="K14" s="5"/>
      <c r="M14" s="6" t="s">
        <v>9</v>
      </c>
    </row>
    <row r="15" spans="1:14" x14ac:dyDescent="0.25">
      <c r="F15" s="11"/>
    </row>
    <row r="21" spans="16:38" x14ac:dyDescent="0.25">
      <c r="AI21" s="5" t="s">
        <v>18</v>
      </c>
      <c r="AJ21" s="9">
        <f>B10/B9*100</f>
        <v>39.406779661016948</v>
      </c>
    </row>
    <row r="22" spans="16:38" x14ac:dyDescent="0.25">
      <c r="AI22" s="5" t="s">
        <v>20</v>
      </c>
      <c r="AJ22" s="9">
        <f>B11/B9*100</f>
        <v>55.384730763461832</v>
      </c>
    </row>
    <row r="23" spans="16:38" x14ac:dyDescent="0.25">
      <c r="AI23" s="5" t="s">
        <v>22</v>
      </c>
      <c r="AJ23" s="9">
        <f>B12/B9*100</f>
        <v>3.7648117594120296</v>
      </c>
      <c r="AL23" s="22"/>
    </row>
    <row r="24" spans="16:38" x14ac:dyDescent="0.25">
      <c r="AI24" s="19" t="s">
        <v>24</v>
      </c>
      <c r="AJ24" s="9">
        <f>B13/B9*100</f>
        <v>1.4436778161091945</v>
      </c>
    </row>
    <row r="29" spans="16:38" ht="19.899999999999999" customHeight="1" x14ac:dyDescent="0.25"/>
    <row r="30" spans="16:38" ht="19.899999999999999" customHeight="1" x14ac:dyDescent="0.25"/>
    <row r="31" spans="16:38" ht="19.899999999999999" customHeight="1" x14ac:dyDescent="0.25"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 spans="16:38" ht="19.899999999999999" customHeight="1" x14ac:dyDescent="0.25"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</row>
    <row r="33" spans="7:33" ht="19.899999999999999" customHeight="1" x14ac:dyDescent="0.25"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 spans="7:33" ht="19.899999999999999" customHeight="1" x14ac:dyDescent="0.25"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  <row r="48" spans="7:33" x14ac:dyDescent="0.25">
      <c r="G48" s="41"/>
    </row>
  </sheetData>
  <mergeCells count="9">
    <mergeCell ref="A2:M2"/>
    <mergeCell ref="A3:M3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paperSize="9" scale="5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2021-07-15T06:16:10Z</cp:lastPrinted>
  <dcterms:created xsi:type="dcterms:W3CDTF">2019-06-03T04:17:39Z</dcterms:created>
  <dcterms:modified xsi:type="dcterms:W3CDTF">2021-07-15T06:16:31Z</dcterms:modified>
</cp:coreProperties>
</file>