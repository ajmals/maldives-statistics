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4" sheetId="4" r:id="rId1"/>
  </sheets>
  <definedNames>
    <definedName name="_xlnm.Print_Area" localSheetId="0">'15.4'!$A$1:$H$34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4" l="1"/>
  <c r="F16" i="4" s="1"/>
  <c r="B15" i="4"/>
  <c r="F15" i="4" s="1"/>
  <c r="B14" i="4"/>
  <c r="E14" i="4" s="1"/>
  <c r="B13" i="4"/>
  <c r="F13" i="4" s="1"/>
  <c r="B12" i="4"/>
  <c r="E12" i="4" s="1"/>
  <c r="B11" i="4"/>
  <c r="E11" i="4" s="1"/>
  <c r="B10" i="4"/>
  <c r="E10" i="4" s="1"/>
  <c r="B9" i="4"/>
  <c r="F9" i="4" s="1"/>
  <c r="B8" i="4"/>
  <c r="E8" i="4" s="1"/>
  <c r="B7" i="4"/>
  <c r="F7" i="4" s="1"/>
  <c r="D6" i="4"/>
  <c r="C6" i="4"/>
  <c r="F5" i="4"/>
  <c r="E5" i="4"/>
  <c r="E16" i="4" l="1"/>
  <c r="E7" i="4"/>
  <c r="B6" i="4"/>
  <c r="E6" i="4" s="1"/>
  <c r="F14" i="4"/>
  <c r="E15" i="4"/>
  <c r="E9" i="4"/>
  <c r="E13" i="4"/>
  <c r="F6" i="4" l="1"/>
</calcChain>
</file>

<file path=xl/sharedStrings.xml><?xml version="1.0" encoding="utf-8"?>
<sst xmlns="http://schemas.openxmlformats.org/spreadsheetml/2006/main" count="41" uniqueCount="37">
  <si>
    <t>Total</t>
  </si>
  <si>
    <t>Source:  Maldives Customs Services</t>
  </si>
  <si>
    <t>wlcmuj</t>
  </si>
  <si>
    <t>Items</t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</si>
  <si>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</si>
  <si>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</si>
  <si>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</si>
  <si>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</si>
  <si>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</si>
  <si>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</si>
  <si>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Fresh or Chilled Tuna</t>
  </si>
  <si>
    <t>Fresh or Chilled Reef Fish</t>
  </si>
  <si>
    <t>Frozen Fish</t>
  </si>
  <si>
    <t>Dried Fish</t>
  </si>
  <si>
    <t>Salted Dried Fish</t>
  </si>
  <si>
    <t>Sea Cucumber</t>
  </si>
  <si>
    <t>Canned Fish</t>
  </si>
  <si>
    <t>Live Reef Fish</t>
  </si>
  <si>
    <t>Fish Meal</t>
  </si>
  <si>
    <t>Other Marine Products</t>
  </si>
  <si>
    <t xml:space="preserve">wlcmuj  </t>
  </si>
  <si>
    <t xml:space="preserve">cswmwncnuh iawfcaokinif wtwvun WzWt    </t>
  </si>
  <si>
    <t xml:space="preserve">cswmurwfwncnuh iawfcaokinif wtwvun WzWt    </t>
  </si>
  <si>
    <t xml:space="preserve">cswmirukinif  </t>
  </si>
  <si>
    <t xml:space="preserve">cswmikihiLeaunol   </t>
  </si>
  <si>
    <t xml:space="preserve">Wdnwlifiauh  </t>
  </si>
  <si>
    <t xml:space="preserve">cswmirukudcnwb iawguLwd  </t>
  </si>
  <si>
    <t xml:space="preserve">cswmurwfErid  </t>
  </si>
  <si>
    <t xml:space="preserve">cawtctwvWbeguDnwkcnehinehea        </t>
  </si>
  <si>
    <t>% share</t>
  </si>
  <si>
    <t>ބާވަތް</t>
  </si>
  <si>
    <t>cswmikih</t>
  </si>
  <si>
    <t>WnWk uhwm</t>
  </si>
  <si>
    <t xml:space="preserve">cswsivrWs ccscmwTcswk cscviDclOm :ctWrwfivcaed utWmUluAwm     </t>
  </si>
  <si>
    <t>2020 ,WsWluh egukwtctwvWb eguDnwk unuverukurEb cnEjcaWr : 15.4 ulwvWt</t>
  </si>
  <si>
    <t>Table  15.4 :  SUMMARY OF MARINE PRODUCT EXPORTS BY COMMODITY, 2020</t>
  </si>
  <si>
    <t>Data Compile: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</si>
</sst>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A_Randhoo"/>
    </font>
    <font>
      <b/>
      <sz val="11"/>
      <color theme="1"/>
      <name val="Calibri"/>
      <family val="2"/>
    </font>
    <font>
      <b/>
      <sz val="9"/>
      <name val="Faruma"/>
    </font>
    <font>
      <sz val="10"/>
      <name val="Courier"/>
      <family val="3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sz val="10"/>
      <name val="A_Faseyha"/>
    </font>
    <font>
      <sz val="9"/>
      <name val="A_Faseyha"/>
    </font>
    <font>
      <b/>
      <sz val="11"/>
      <color theme="1"/>
      <name val="A_Faseyha"/>
    </font>
    <font>
      <i/>
      <sz val="10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12" applyNumberFormat="0" applyAlignment="0" applyProtection="0"/>
    <xf numFmtId="0" fontId="23" fillId="7" borderId="13" applyNumberFormat="0" applyAlignment="0" applyProtection="0"/>
    <xf numFmtId="0" fontId="24" fillId="7" borderId="12" applyNumberFormat="0" applyAlignment="0" applyProtection="0"/>
    <xf numFmtId="0" fontId="25" fillId="0" borderId="14" applyNumberFormat="0" applyFill="0" applyAlignment="0" applyProtection="0"/>
    <xf numFmtId="0" fontId="26" fillId="8" borderId="15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2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3" borderId="0" applyNumberFormat="0" applyBorder="0" applyAlignment="0" applyProtection="0"/>
    <xf numFmtId="0" fontId="30" fillId="0" borderId="0"/>
    <xf numFmtId="0" fontId="5" fillId="0" borderId="0"/>
    <xf numFmtId="172" fontId="5" fillId="0" borderId="0" applyFont="0" applyFill="0" applyBorder="0" applyAlignment="0" applyProtection="0"/>
    <xf numFmtId="173" fontId="31" fillId="0" borderId="0"/>
    <xf numFmtId="0" fontId="3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6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4" borderId="0" applyNumberFormat="0" applyBorder="0" applyAlignment="0" applyProtection="0"/>
  </cellStyleXfs>
  <cellXfs count="45">
    <xf numFmtId="0" fontId="0" fillId="0" borderId="0" xfId="0"/>
    <xf numFmtId="0" fontId="3" fillId="2" borderId="0" xfId="0" applyFont="1" applyFill="1" applyBorder="1" applyAlignment="1">
      <alignment vertical="center"/>
    </xf>
    <xf numFmtId="0" fontId="9" fillId="2" borderId="0" xfId="0" applyFont="1" applyFill="1" applyBorder="1" applyAlignment="1" applyProtection="1">
      <alignment horizontal="left" vertical="center"/>
    </xf>
    <xf numFmtId="168" fontId="8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11" fillId="2" borderId="6" xfId="0" applyFont="1" applyFill="1" applyBorder="1" applyAlignment="1">
      <alignment horizontal="right" vertical="center"/>
    </xf>
    <xf numFmtId="0" fontId="0" fillId="2" borderId="0" xfId="0" applyFill="1" applyBorder="1"/>
    <xf numFmtId="0" fontId="4" fillId="2" borderId="0" xfId="0" applyFont="1" applyFill="1" applyBorder="1" applyAlignment="1">
      <alignment vertical="center"/>
    </xf>
    <xf numFmtId="0" fontId="7" fillId="2" borderId="2" xfId="0" applyFont="1" applyFill="1" applyBorder="1" applyAlignment="1" applyProtection="1">
      <alignment horizontal="right" vertical="center"/>
    </xf>
    <xf numFmtId="0" fontId="7" fillId="2" borderId="6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right" vertical="center"/>
    </xf>
    <xf numFmtId="0" fontId="7" fillId="2" borderId="7" xfId="0" applyFont="1" applyFill="1" applyBorder="1" applyAlignment="1" applyProtection="1">
      <alignment horizontal="right" vertical="center"/>
    </xf>
    <xf numFmtId="0" fontId="7" fillId="2" borderId="4" xfId="0" applyFont="1" applyFill="1" applyBorder="1" applyAlignment="1" applyProtection="1">
      <alignment horizontal="right" vertical="center"/>
    </xf>
    <xf numFmtId="0" fontId="6" fillId="2" borderId="0" xfId="0" applyNumberFormat="1" applyFont="1" applyFill="1" applyBorder="1" applyAlignment="1" applyProtection="1">
      <alignment vertical="center" wrapText="1"/>
    </xf>
    <xf numFmtId="168" fontId="6" fillId="2" borderId="0" xfId="1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left" vertical="center" wrapText="1" indent="2"/>
    </xf>
    <xf numFmtId="0" fontId="8" fillId="2" borderId="2" xfId="0" applyNumberFormat="1" applyFont="1" applyFill="1" applyBorder="1" applyAlignment="1">
      <alignment horizontal="left" vertical="center" wrapText="1" indent="2"/>
    </xf>
    <xf numFmtId="168" fontId="6" fillId="2" borderId="2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7" fontId="0" fillId="2" borderId="0" xfId="0" applyNumberFormat="1" applyFill="1" applyBorder="1"/>
    <xf numFmtId="0" fontId="10" fillId="2" borderId="0" xfId="0" applyNumberFormat="1" applyFont="1" applyFill="1" applyBorder="1" applyAlignment="1">
      <alignment horizontal="left" vertical="center" wrapText="1" indent="2"/>
    </xf>
    <xf numFmtId="169" fontId="3" fillId="2" borderId="0" xfId="0" applyNumberFormat="1" applyFont="1" applyFill="1" applyBorder="1" applyAlignment="1">
      <alignment vertical="center"/>
    </xf>
    <xf numFmtId="1" fontId="8" fillId="2" borderId="5" xfId="1" applyNumberFormat="1" applyFont="1" applyFill="1" applyBorder="1" applyAlignment="1">
      <alignment horizontal="right" vertical="center"/>
    </xf>
    <xf numFmtId="1" fontId="8" fillId="2" borderId="0" xfId="1" applyNumberFormat="1" applyFont="1" applyFill="1" applyBorder="1" applyAlignment="1">
      <alignment horizontal="right" vertical="center"/>
    </xf>
    <xf numFmtId="1" fontId="8" fillId="2" borderId="4" xfId="1" applyNumberFormat="1" applyFont="1" applyFill="1" applyBorder="1" applyAlignment="1">
      <alignment horizontal="right" vertical="center"/>
    </xf>
    <xf numFmtId="1" fontId="8" fillId="2" borderId="2" xfId="1" applyNumberFormat="1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 wrapText="1"/>
    </xf>
    <xf numFmtId="0" fontId="35" fillId="2" borderId="0" xfId="0" applyFont="1" applyFill="1" applyBorder="1" applyAlignment="1">
      <alignment horizontal="right" vertical="center" wrapText="1" indent="2"/>
    </xf>
    <xf numFmtId="0" fontId="38" fillId="2" borderId="0" xfId="0" applyFont="1" applyFill="1" applyBorder="1" applyAlignment="1">
      <alignment horizontal="right" vertical="center" wrapText="1" indent="2"/>
    </xf>
    <xf numFmtId="0" fontId="35" fillId="2" borderId="2" xfId="0" applyFont="1" applyFill="1" applyBorder="1" applyAlignment="1">
      <alignment horizontal="right" vertical="center" wrapText="1" indent="2" readingOrder="1"/>
    </xf>
    <xf numFmtId="0" fontId="36" fillId="2" borderId="3" xfId="0" applyFont="1" applyFill="1" applyBorder="1" applyAlignment="1">
      <alignment horizontal="right" vertical="center" readingOrder="2"/>
    </xf>
    <xf numFmtId="0" fontId="34" fillId="2" borderId="5" xfId="0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>
      <alignment horizontal="right" vertical="center"/>
    </xf>
    <xf numFmtId="168" fontId="8" fillId="2" borderId="2" xfId="1" applyNumberFormat="1" applyFont="1" applyFill="1" applyBorder="1" applyAlignment="1">
      <alignment horizontal="right" vertical="center"/>
    </xf>
    <xf numFmtId="0" fontId="34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3" fontId="37" fillId="2" borderId="0" xfId="0" applyNumberFormat="1" applyFont="1" applyFill="1" applyAlignment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Figure 15.3:  Percentage distribution of marine product exports by product, 2020</a:t>
            </a:r>
          </a:p>
        </c:rich>
      </c:tx>
      <c:layout>
        <c:manualLayout>
          <c:xMode val="edge"/>
          <c:yMode val="edge"/>
          <c:x val="0.13145947729904212"/>
          <c:y val="3.56317857345272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15754381425213"/>
          <c:y val="0.21439432851806001"/>
          <c:w val="0.39512730912950422"/>
          <c:h val="0.8323524223376891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5-BF98-4661-AA3D-6AAD97BCBFE7}"/>
              </c:ext>
            </c:extLst>
          </c:dPt>
          <c:dPt>
            <c:idx val="2"/>
            <c:bubble3D val="0"/>
            <c:spPr>
              <a:solidFill>
                <a:srgbClr val="C1FFFF"/>
              </a:solidFill>
            </c:spPr>
            <c:extLst>
              <c:ext xmlns:c16="http://schemas.microsoft.com/office/drawing/2014/chart" uri="{C3380CC4-5D6E-409C-BE32-E72D297353CC}">
                <c16:uniqueId val="{00000002-BF98-4661-AA3D-6AAD97BCBFE7}"/>
              </c:ext>
            </c:extLst>
          </c:dPt>
          <c:dPt>
            <c:idx val="6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3-BF98-4661-AA3D-6AAD97BCBFE7}"/>
              </c:ext>
            </c:extLst>
          </c:dPt>
          <c:dLbls>
            <c:dLbl>
              <c:idx val="2"/>
              <c:layout>
                <c:manualLayout>
                  <c:x val="-0.16963682509280834"/>
                  <c:y val="-5.06316508067234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F98-4661-AA3D-6AAD97BCBFE7}"/>
                </c:ext>
              </c:extLst>
            </c:dLbl>
            <c:dLbl>
              <c:idx val="3"/>
              <c:layout>
                <c:manualLayout>
                  <c:x val="3.7545551117338767E-2"/>
                  <c:y val="-1.13553243051741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F98-4661-AA3D-6AAD97BCBFE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74-486A-8E12-FE48665F92EA}"/>
                </c:ext>
              </c:extLst>
            </c:dLbl>
            <c:dLbl>
              <c:idx val="6"/>
              <c:layout>
                <c:manualLayout>
                  <c:x val="-3.702805402897074E-2"/>
                  <c:y val="-3.53103033447542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F98-4661-AA3D-6AAD97BCBFE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98-4661-AA3D-6AAD97BCBFE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8-4661-AA3D-6AAD97BCBF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'15.4'!$A$7:$A$16</c:f>
              <c:strCache>
                <c:ptCount val="10"/>
                <c:pt idx="0">
                  <c:v>Fresh or Chilled Tuna</c:v>
                </c:pt>
                <c:pt idx="1">
                  <c:v>Fresh or Chilled Reef Fish</c:v>
                </c:pt>
                <c:pt idx="2">
                  <c:v>Frozen Fish</c:v>
                </c:pt>
                <c:pt idx="3">
                  <c:v>Dried Fish</c:v>
                </c:pt>
                <c:pt idx="4">
                  <c:v>Salted Dried Fish</c:v>
                </c:pt>
                <c:pt idx="5">
                  <c:v>Sea Cucumber</c:v>
                </c:pt>
                <c:pt idx="6">
                  <c:v>Canned Fish</c:v>
                </c:pt>
                <c:pt idx="7">
                  <c:v>Fish Meal</c:v>
                </c:pt>
                <c:pt idx="8">
                  <c:v>Live Reef Fish</c:v>
                </c:pt>
                <c:pt idx="9">
                  <c:v>Other Marine Products</c:v>
                </c:pt>
              </c:strCache>
            </c:strRef>
          </c:cat>
          <c:val>
            <c:numRef>
              <c:f>'15.4'!$B$7:$B$16</c:f>
              <c:numCache>
                <c:formatCode>_(* #,##0_);_(* \(#,##0\);_(* "-"??_);_(@_)</c:formatCode>
                <c:ptCount val="10"/>
                <c:pt idx="0">
                  <c:v>85406.790069999988</c:v>
                </c:pt>
                <c:pt idx="1">
                  <c:v>31287.388759999994</c:v>
                </c:pt>
                <c:pt idx="2">
                  <c:v>1220756.5455899998</c:v>
                </c:pt>
                <c:pt idx="3">
                  <c:v>49514.226059999994</c:v>
                </c:pt>
                <c:pt idx="4">
                  <c:v>9137.2130000000034</c:v>
                </c:pt>
                <c:pt idx="5">
                  <c:v>5255.87201</c:v>
                </c:pt>
                <c:pt idx="6">
                  <c:v>76653.018630000006</c:v>
                </c:pt>
                <c:pt idx="7">
                  <c:v>525.99599999999998</c:v>
                </c:pt>
                <c:pt idx="8">
                  <c:v>8891.0308599999989</c:v>
                </c:pt>
                <c:pt idx="9">
                  <c:v>960259.01850000047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2BB-44E9-956A-4D79B477CB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18</xdr:row>
      <xdr:rowOff>126547</xdr:rowOff>
    </xdr:from>
    <xdr:to>
      <xdr:col>6</xdr:col>
      <xdr:colOff>1328381</xdr:colOff>
      <xdr:row>32</xdr:row>
      <xdr:rowOff>161715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B1" zoomScaleNormal="100" workbookViewId="0">
      <selection activeCell="N1" sqref="N1:Q1048576"/>
    </sheetView>
  </sheetViews>
  <sheetFormatPr defaultColWidth="9.140625" defaultRowHeight="15" x14ac:dyDescent="0.25"/>
  <cols>
    <col min="1" max="1" width="28.28515625" style="4" customWidth="1"/>
    <col min="2" max="2" width="20.5703125" style="4" bestFit="1" customWidth="1"/>
    <col min="3" max="3" width="12" style="4" bestFit="1" customWidth="1"/>
    <col min="4" max="4" width="13.85546875" style="4" customWidth="1"/>
    <col min="5" max="6" width="11.85546875" style="4" customWidth="1"/>
    <col min="7" max="7" width="30.85546875" style="4" customWidth="1"/>
    <col min="8" max="8" width="14.28515625" style="7" bestFit="1" customWidth="1"/>
    <col min="9" max="9" width="25.42578125" style="7" bestFit="1" customWidth="1"/>
    <col min="10" max="13" width="14" style="7" customWidth="1"/>
    <col min="14" max="14" width="9.140625" style="4"/>
    <col min="15" max="15" width="22.140625" style="4" customWidth="1"/>
    <col min="16" max="16" width="9.140625" style="4"/>
    <col min="17" max="17" width="25.7109375" style="4" customWidth="1"/>
    <col min="18" max="16384" width="9.140625" style="4"/>
  </cols>
  <sheetData>
    <row r="1" spans="1:7" ht="18" x14ac:dyDescent="0.25">
      <c r="A1" s="40" t="s">
        <v>34</v>
      </c>
      <c r="B1" s="40"/>
      <c r="C1" s="40"/>
      <c r="D1" s="40"/>
      <c r="E1" s="40"/>
      <c r="F1" s="40"/>
      <c r="G1" s="40"/>
    </row>
    <row r="2" spans="1:7" x14ac:dyDescent="0.25">
      <c r="A2" s="41" t="s">
        <v>35</v>
      </c>
      <c r="B2" s="41"/>
      <c r="C2" s="41"/>
      <c r="D2" s="41"/>
      <c r="E2" s="41"/>
      <c r="F2" s="41"/>
      <c r="G2" s="41"/>
    </row>
    <row r="3" spans="1:7" ht="15.75" x14ac:dyDescent="0.25">
      <c r="A3" s="38" t="s">
        <v>3</v>
      </c>
      <c r="B3" s="10" t="s">
        <v>4</v>
      </c>
      <c r="C3" s="5"/>
      <c r="D3" s="6" t="s">
        <v>5</v>
      </c>
      <c r="E3" s="11" t="s">
        <v>29</v>
      </c>
      <c r="F3" s="12" t="s">
        <v>29</v>
      </c>
      <c r="G3" s="42" t="s">
        <v>30</v>
      </c>
    </row>
    <row r="4" spans="1:7" x14ac:dyDescent="0.25">
      <c r="A4" s="37"/>
      <c r="B4" s="36" t="s">
        <v>2</v>
      </c>
      <c r="C4" s="36" t="s">
        <v>6</v>
      </c>
      <c r="D4" s="36" t="s">
        <v>7</v>
      </c>
      <c r="E4" s="33" t="s">
        <v>6</v>
      </c>
      <c r="F4" s="36" t="s">
        <v>7</v>
      </c>
      <c r="G4" s="43"/>
    </row>
    <row r="5" spans="1:7" x14ac:dyDescent="0.25">
      <c r="A5" s="39"/>
      <c r="B5" s="9" t="s">
        <v>0</v>
      </c>
      <c r="C5" s="9" t="s">
        <v>8</v>
      </c>
      <c r="D5" s="9" t="s">
        <v>9</v>
      </c>
      <c r="E5" s="13" t="str">
        <f>C5</f>
        <v>Private</v>
      </c>
      <c r="F5" s="9" t="str">
        <f>D5</f>
        <v>Government</v>
      </c>
      <c r="G5" s="44"/>
    </row>
    <row r="6" spans="1:7" x14ac:dyDescent="0.25">
      <c r="A6" s="14" t="s">
        <v>0</v>
      </c>
      <c r="B6" s="15">
        <f>SUM(B7:B16)</f>
        <v>2447687.0994800003</v>
      </c>
      <c r="C6" s="15">
        <f t="shared" ref="C6:D6" si="0">SUM(C7:C16)</f>
        <v>1360124.7077200003</v>
      </c>
      <c r="D6" s="15">
        <f t="shared" si="0"/>
        <v>1087562.39176</v>
      </c>
      <c r="E6" s="24">
        <f>C6/B6*100</f>
        <v>55.567752430813258</v>
      </c>
      <c r="F6" s="25">
        <f>D6/B6*100</f>
        <v>44.432247569186742</v>
      </c>
      <c r="G6" s="28" t="s">
        <v>20</v>
      </c>
    </row>
    <row r="7" spans="1:7" ht="15.75" x14ac:dyDescent="0.25">
      <c r="A7" s="16" t="s">
        <v>10</v>
      </c>
      <c r="B7" s="15">
        <f>SUM(C7:D7)</f>
        <v>85406.790069999988</v>
      </c>
      <c r="C7" s="3">
        <v>85406.790069999988</v>
      </c>
      <c r="D7" s="3">
        <v>0</v>
      </c>
      <c r="E7" s="24">
        <f>C7/B7*100</f>
        <v>100</v>
      </c>
      <c r="F7" s="25">
        <f>D7/B7*100</f>
        <v>0</v>
      </c>
      <c r="G7" s="29" t="s">
        <v>21</v>
      </c>
    </row>
    <row r="8" spans="1:7" ht="15.75" x14ac:dyDescent="0.25">
      <c r="A8" s="16" t="s">
        <v>11</v>
      </c>
      <c r="B8" s="15">
        <f t="shared" ref="B8:B13" si="1">SUM(C8:D8)</f>
        <v>31287.388759999994</v>
      </c>
      <c r="C8" s="3">
        <v>31287.388759999994</v>
      </c>
      <c r="D8" s="3">
        <v>0</v>
      </c>
      <c r="E8" s="24">
        <f>C8/B8*100</f>
        <v>100</v>
      </c>
      <c r="F8" s="25">
        <v>0</v>
      </c>
      <c r="G8" s="29" t="s">
        <v>22</v>
      </c>
    </row>
    <row r="9" spans="1:7" ht="15.75" x14ac:dyDescent="0.25">
      <c r="A9" s="16" t="s">
        <v>12</v>
      </c>
      <c r="B9" s="15">
        <f t="shared" si="1"/>
        <v>1220756.5455899998</v>
      </c>
      <c r="C9" s="3">
        <v>290078.22980999993</v>
      </c>
      <c r="D9" s="3">
        <v>930678.31577999995</v>
      </c>
      <c r="E9" s="24">
        <f>C9/B9*100</f>
        <v>23.762168702507608</v>
      </c>
      <c r="F9" s="25">
        <f t="shared" ref="F9" si="2">D9/B9*100</f>
        <v>76.237831297492392</v>
      </c>
      <c r="G9" s="29" t="s">
        <v>23</v>
      </c>
    </row>
    <row r="10" spans="1:7" ht="15.75" x14ac:dyDescent="0.25">
      <c r="A10" s="16" t="s">
        <v>13</v>
      </c>
      <c r="B10" s="15">
        <f t="shared" si="1"/>
        <v>49514.226059999994</v>
      </c>
      <c r="C10" s="3">
        <v>49514.226059999994</v>
      </c>
      <c r="D10" s="3">
        <v>0</v>
      </c>
      <c r="E10" s="24">
        <f t="shared" ref="E10:E16" si="3">C10/B10*100</f>
        <v>100</v>
      </c>
      <c r="F10" s="25">
        <v>0</v>
      </c>
      <c r="G10" s="29" t="s">
        <v>31</v>
      </c>
    </row>
    <row r="11" spans="1:7" ht="15.75" x14ac:dyDescent="0.25">
      <c r="A11" s="16" t="s">
        <v>14</v>
      </c>
      <c r="B11" s="15">
        <f t="shared" si="1"/>
        <v>9137.2130000000034</v>
      </c>
      <c r="C11" s="3">
        <v>9137.2130000000034</v>
      </c>
      <c r="D11" s="3">
        <v>0</v>
      </c>
      <c r="E11" s="24">
        <f t="shared" si="3"/>
        <v>100</v>
      </c>
      <c r="F11" s="25">
        <v>0</v>
      </c>
      <c r="G11" s="29" t="s">
        <v>24</v>
      </c>
    </row>
    <row r="12" spans="1:7" ht="15.75" x14ac:dyDescent="0.25">
      <c r="A12" s="16" t="s">
        <v>15</v>
      </c>
      <c r="B12" s="15">
        <f t="shared" si="1"/>
        <v>5255.87201</v>
      </c>
      <c r="C12" s="3">
        <v>5255.87201</v>
      </c>
      <c r="D12" s="3">
        <v>0</v>
      </c>
      <c r="E12" s="24">
        <f t="shared" si="3"/>
        <v>100</v>
      </c>
      <c r="F12" s="25">
        <v>0</v>
      </c>
      <c r="G12" s="30" t="s">
        <v>25</v>
      </c>
    </row>
    <row r="13" spans="1:7" ht="15.75" x14ac:dyDescent="0.25">
      <c r="A13" s="16" t="s">
        <v>16</v>
      </c>
      <c r="B13" s="15">
        <f t="shared" si="1"/>
        <v>76653.018630000006</v>
      </c>
      <c r="C13" s="3">
        <v>67112.610160000011</v>
      </c>
      <c r="D13" s="34">
        <v>9540.4084700000003</v>
      </c>
      <c r="E13" s="24">
        <f t="shared" si="3"/>
        <v>87.553773301412903</v>
      </c>
      <c r="F13" s="25">
        <f t="shared" ref="F13:F16" si="4">D13/B13*100</f>
        <v>12.446226698587095</v>
      </c>
      <c r="G13" s="29" t="s">
        <v>26</v>
      </c>
    </row>
    <row r="14" spans="1:7" ht="15.75" x14ac:dyDescent="0.25">
      <c r="A14" s="16" t="s">
        <v>18</v>
      </c>
      <c r="B14" s="15">
        <f>SUM(C14:D14)</f>
        <v>525.99599999999998</v>
      </c>
      <c r="C14" s="3">
        <v>525.99599999999998</v>
      </c>
      <c r="D14" s="3">
        <v>0</v>
      </c>
      <c r="E14" s="24">
        <f t="shared" si="3"/>
        <v>100</v>
      </c>
      <c r="F14" s="25">
        <f t="shared" si="4"/>
        <v>0</v>
      </c>
      <c r="G14" s="29" t="s">
        <v>32</v>
      </c>
    </row>
    <row r="15" spans="1:7" ht="15.75" x14ac:dyDescent="0.25">
      <c r="A15" s="16" t="s">
        <v>17</v>
      </c>
      <c r="B15" s="15">
        <f t="shared" ref="B15:B16" si="5">SUM(C15:D15)</f>
        <v>8891.0308599999989</v>
      </c>
      <c r="C15" s="3">
        <v>8891.0308599999989</v>
      </c>
      <c r="D15" s="3">
        <v>0</v>
      </c>
      <c r="E15" s="24">
        <f t="shared" si="3"/>
        <v>100</v>
      </c>
      <c r="F15" s="25">
        <f t="shared" si="4"/>
        <v>0</v>
      </c>
      <c r="G15" s="29" t="s">
        <v>27</v>
      </c>
    </row>
    <row r="16" spans="1:7" ht="15.75" x14ac:dyDescent="0.25">
      <c r="A16" s="17" t="s">
        <v>19</v>
      </c>
      <c r="B16" s="18">
        <f t="shared" si="5"/>
        <v>960259.01850000047</v>
      </c>
      <c r="C16" s="35">
        <v>812915.35099000053</v>
      </c>
      <c r="D16" s="35">
        <v>147343.66751</v>
      </c>
      <c r="E16" s="26">
        <f t="shared" si="3"/>
        <v>84.655841322879496</v>
      </c>
      <c r="F16" s="27">
        <f t="shared" si="4"/>
        <v>15.344158677120504</v>
      </c>
      <c r="G16" s="31" t="s">
        <v>28</v>
      </c>
    </row>
    <row r="17" spans="1:13" x14ac:dyDescent="0.25">
      <c r="A17" s="2" t="s">
        <v>1</v>
      </c>
      <c r="B17" s="19"/>
      <c r="C17" s="19"/>
      <c r="D17" s="8"/>
      <c r="E17" s="20"/>
      <c r="F17" s="20"/>
      <c r="G17" s="32" t="s">
        <v>33</v>
      </c>
    </row>
    <row r="18" spans="1:13" x14ac:dyDescent="0.25">
      <c r="A18" s="2" t="s">
        <v>36</v>
      </c>
      <c r="B18" s="19"/>
      <c r="C18" s="19"/>
      <c r="D18" s="8"/>
      <c r="E18" s="20"/>
      <c r="F18" s="20"/>
      <c r="G18" s="20"/>
    </row>
    <row r="20" spans="1:13" ht="12" customHeight="1" x14ac:dyDescent="0.25">
      <c r="A20" s="2"/>
      <c r="B20" s="19"/>
      <c r="C20" s="19"/>
      <c r="D20" s="8"/>
      <c r="E20" s="20"/>
      <c r="F20" s="20"/>
      <c r="G20" s="20"/>
      <c r="H20" s="1"/>
      <c r="L20" s="4"/>
      <c r="M20" s="4"/>
    </row>
    <row r="21" spans="1:13" ht="12" customHeight="1" x14ac:dyDescent="0.25">
      <c r="A21" s="2"/>
      <c r="B21" s="19"/>
      <c r="C21" s="19"/>
      <c r="D21" s="8"/>
      <c r="E21" s="20"/>
      <c r="F21" s="20"/>
      <c r="G21" s="20"/>
      <c r="H21" s="1"/>
      <c r="L21" s="4"/>
      <c r="M21" s="4"/>
    </row>
    <row r="22" spans="1:13" ht="12" customHeight="1" x14ac:dyDescent="0.25">
      <c r="A22" s="2"/>
      <c r="B22" s="19"/>
      <c r="C22" s="19"/>
      <c r="D22" s="8"/>
      <c r="E22" s="20"/>
      <c r="F22" s="20"/>
      <c r="G22" s="20"/>
      <c r="H22" s="1"/>
      <c r="L22" s="4"/>
      <c r="M22" s="4"/>
    </row>
    <row r="23" spans="1:13" ht="26.25" customHeight="1" x14ac:dyDescent="0.25">
      <c r="B23" s="19"/>
      <c r="C23" s="19"/>
      <c r="D23" s="8"/>
      <c r="E23" s="20"/>
      <c r="F23" s="20"/>
      <c r="L23" s="4"/>
      <c r="M23" s="4"/>
    </row>
    <row r="24" spans="1:13" ht="26.25" customHeight="1" x14ac:dyDescent="0.25"/>
    <row r="25" spans="1:13" ht="26.25" customHeight="1" x14ac:dyDescent="0.25"/>
    <row r="26" spans="1:13" ht="26.25" customHeight="1" x14ac:dyDescent="0.25"/>
    <row r="27" spans="1:13" ht="26.25" customHeight="1" x14ac:dyDescent="0.25">
      <c r="B27" s="19"/>
      <c r="C27" s="19"/>
      <c r="D27" s="8"/>
      <c r="E27" s="20"/>
      <c r="F27" s="20"/>
    </row>
    <row r="28" spans="1:13" ht="26.25" customHeight="1" x14ac:dyDescent="0.25"/>
    <row r="29" spans="1:13" ht="26.25" customHeight="1" x14ac:dyDescent="0.25"/>
    <row r="30" spans="1:13" ht="26.25" customHeight="1" x14ac:dyDescent="0.25"/>
    <row r="31" spans="1:13" ht="26.25" customHeight="1" x14ac:dyDescent="0.25"/>
    <row r="32" spans="1:13" ht="26.25" customHeight="1" x14ac:dyDescent="0.25"/>
    <row r="33" spans="1:13" ht="26.25" customHeight="1" x14ac:dyDescent="0.25"/>
    <row r="34" spans="1:13" ht="26.25" customHeight="1" x14ac:dyDescent="0.25">
      <c r="M34" s="21"/>
    </row>
    <row r="35" spans="1:13" ht="26.25" customHeight="1" x14ac:dyDescent="0.25">
      <c r="A35" s="22"/>
      <c r="B35" s="19"/>
      <c r="C35" s="19"/>
      <c r="D35" s="8"/>
      <c r="E35" s="20"/>
      <c r="F35" s="20"/>
      <c r="G35" s="20"/>
      <c r="H35" s="23"/>
    </row>
    <row r="36" spans="1:13" ht="26.25" customHeight="1" x14ac:dyDescent="0.25">
      <c r="B36" s="19"/>
      <c r="C36" s="19"/>
      <c r="D36" s="8"/>
      <c r="E36" s="20"/>
      <c r="F36" s="20"/>
    </row>
    <row r="37" spans="1:13" ht="26.25" customHeight="1" x14ac:dyDescent="0.25"/>
    <row r="38" spans="1:13" ht="26.25" customHeight="1" x14ac:dyDescent="0.25"/>
    <row r="39" spans="1:13" ht="26.25" customHeight="1" x14ac:dyDescent="0.25"/>
  </sheetData>
  <mergeCells count="4">
    <mergeCell ref="A1:G1"/>
    <mergeCell ref="A2:G2"/>
    <mergeCell ref="A3:A5"/>
    <mergeCell ref="G3:G5"/>
  </mergeCells>
  <pageMargins left="0.7" right="0.7" top="0.75" bottom="0.75" header="0.3" footer="0.3"/>
  <pageSetup scale="63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15.4</vt:lpstr>
      <vt:lpstr>'15.4'!Print_Area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2021-10-19T06:04:30Z</cp:lastPrinted>
  <dcterms:created xsi:type="dcterms:W3CDTF">2019-12-05T04:01:34Z</dcterms:created>
  <dcterms:modified xsi:type="dcterms:W3CDTF">2021-10-19T06:04:53Z</dcterms:modified>
</cp:coreProperties>
</file>