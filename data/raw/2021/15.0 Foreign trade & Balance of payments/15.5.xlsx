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765"/>
  </bookViews>
  <sheets>
    <sheet name="15.5" sheetId="5" r:id="rId1"/>
  </sheets>
  <definedNames>
    <definedName name="_xlnm.Print_Area" localSheetId="0">'15.5'!$A$1:$W$37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" i="5" l="1"/>
  <c r="U10" i="5"/>
  <c r="U11" i="5"/>
  <c r="U12" i="5"/>
  <c r="U13" i="5"/>
  <c r="U14" i="5"/>
  <c r="U15" i="5"/>
  <c r="U16" i="5"/>
  <c r="U19" i="5"/>
  <c r="U21" i="5"/>
  <c r="U23" i="5"/>
  <c r="U24" i="5"/>
  <c r="U25" i="5"/>
  <c r="U26" i="5"/>
  <c r="U27" i="5"/>
  <c r="U28" i="5"/>
  <c r="U29" i="5"/>
  <c r="U32" i="5"/>
  <c r="U33" i="5"/>
  <c r="G8" i="5"/>
  <c r="G18" i="5"/>
  <c r="G22" i="5"/>
  <c r="G30" i="5"/>
  <c r="G7" i="5" l="1"/>
  <c r="S33" i="5"/>
  <c r="Q33" i="5"/>
  <c r="P33" i="5"/>
  <c r="O33" i="5"/>
  <c r="T32" i="5"/>
  <c r="S32" i="5"/>
  <c r="R32" i="5"/>
  <c r="Q32" i="5"/>
  <c r="P32" i="5"/>
  <c r="O32" i="5"/>
  <c r="P31" i="5"/>
  <c r="O31" i="5"/>
  <c r="F30" i="5"/>
  <c r="E30" i="5"/>
  <c r="D30" i="5"/>
  <c r="C30" i="5"/>
  <c r="B30" i="5"/>
  <c r="T29" i="5"/>
  <c r="Q29" i="5"/>
  <c r="P29" i="5"/>
  <c r="O29" i="5"/>
  <c r="T28" i="5"/>
  <c r="S28" i="5"/>
  <c r="R28" i="5"/>
  <c r="Q28" i="5"/>
  <c r="P28" i="5"/>
  <c r="O28" i="5"/>
  <c r="T27" i="5"/>
  <c r="S27" i="5"/>
  <c r="R27" i="5"/>
  <c r="Q27" i="5"/>
  <c r="P27" i="5"/>
  <c r="O27" i="5"/>
  <c r="T26" i="5"/>
  <c r="S26" i="5"/>
  <c r="R26" i="5"/>
  <c r="Q26" i="5"/>
  <c r="P26" i="5"/>
  <c r="O26" i="5"/>
  <c r="T25" i="5"/>
  <c r="S25" i="5"/>
  <c r="R25" i="5"/>
  <c r="Q25" i="5"/>
  <c r="P25" i="5"/>
  <c r="O25" i="5"/>
  <c r="T24" i="5"/>
  <c r="S24" i="5"/>
  <c r="R24" i="5"/>
  <c r="Q24" i="5"/>
  <c r="P24" i="5"/>
  <c r="O24" i="5"/>
  <c r="T23" i="5"/>
  <c r="S23" i="5"/>
  <c r="Q23" i="5"/>
  <c r="P23" i="5"/>
  <c r="O23" i="5"/>
  <c r="F22" i="5"/>
  <c r="U22" i="5" s="1"/>
  <c r="E22" i="5"/>
  <c r="D22" i="5"/>
  <c r="C22" i="5"/>
  <c r="B22" i="5"/>
  <c r="T21" i="5"/>
  <c r="S21" i="5"/>
  <c r="R21" i="5"/>
  <c r="P21" i="5"/>
  <c r="O21" i="5"/>
  <c r="T20" i="5"/>
  <c r="S20" i="5"/>
  <c r="Q20" i="5"/>
  <c r="P20" i="5"/>
  <c r="O20" i="5"/>
  <c r="T19" i="5"/>
  <c r="S19" i="5"/>
  <c r="R19" i="5"/>
  <c r="Q19" i="5"/>
  <c r="P19" i="5"/>
  <c r="O19" i="5"/>
  <c r="F18" i="5"/>
  <c r="U18" i="5" s="1"/>
  <c r="E18" i="5"/>
  <c r="D18" i="5"/>
  <c r="C18" i="5"/>
  <c r="B18" i="5"/>
  <c r="O18" i="5"/>
  <c r="T17" i="5"/>
  <c r="Q17" i="5"/>
  <c r="P17" i="5"/>
  <c r="O17" i="5"/>
  <c r="T16" i="5"/>
  <c r="S16" i="5"/>
  <c r="R16" i="5"/>
  <c r="Q16" i="5"/>
  <c r="P16" i="5"/>
  <c r="O16" i="5"/>
  <c r="R15" i="5"/>
  <c r="Q15" i="5"/>
  <c r="P15" i="5"/>
  <c r="O15" i="5"/>
  <c r="T14" i="5"/>
  <c r="S14" i="5"/>
  <c r="Q14" i="5"/>
  <c r="P14" i="5"/>
  <c r="O14" i="5"/>
  <c r="T13" i="5"/>
  <c r="S13" i="5"/>
  <c r="R13" i="5"/>
  <c r="Q13" i="5"/>
  <c r="P13" i="5"/>
  <c r="O13" i="5"/>
  <c r="T12" i="5"/>
  <c r="S12" i="5"/>
  <c r="R12" i="5"/>
  <c r="Q12" i="5"/>
  <c r="P12" i="5"/>
  <c r="O12" i="5"/>
  <c r="T11" i="5"/>
  <c r="S11" i="5"/>
  <c r="R11" i="5"/>
  <c r="Q11" i="5"/>
  <c r="P11" i="5"/>
  <c r="O11" i="5"/>
  <c r="T10" i="5"/>
  <c r="S10" i="5"/>
  <c r="R10" i="5"/>
  <c r="Q10" i="5"/>
  <c r="P10" i="5"/>
  <c r="O10" i="5"/>
  <c r="T9" i="5"/>
  <c r="S9" i="5"/>
  <c r="R9" i="5"/>
  <c r="Q9" i="5"/>
  <c r="P9" i="5"/>
  <c r="O9" i="5"/>
  <c r="F8" i="5"/>
  <c r="U8" i="5" s="1"/>
  <c r="E8" i="5"/>
  <c r="D8" i="5"/>
  <c r="C8" i="5"/>
  <c r="B8" i="5"/>
  <c r="Q22" i="5" l="1"/>
  <c r="R8" i="5"/>
  <c r="S30" i="5"/>
  <c r="Q18" i="5"/>
  <c r="R18" i="5"/>
  <c r="T30" i="5"/>
  <c r="U30" i="5"/>
  <c r="S18" i="5"/>
  <c r="P22" i="5"/>
  <c r="D7" i="5"/>
  <c r="K27" i="5" s="1"/>
  <c r="O30" i="5"/>
  <c r="P30" i="5"/>
  <c r="B7" i="5"/>
  <c r="I20" i="5" s="1"/>
  <c r="T22" i="5"/>
  <c r="H29" i="5"/>
  <c r="C7" i="5"/>
  <c r="J20" i="5" s="1"/>
  <c r="F7" i="5"/>
  <c r="M22" i="5" s="1"/>
  <c r="E7" i="5"/>
  <c r="L10" i="5" s="1"/>
  <c r="I10" i="5"/>
  <c r="I23" i="5"/>
  <c r="I22" i="5"/>
  <c r="H26" i="5"/>
  <c r="H14" i="5"/>
  <c r="H13" i="5"/>
  <c r="H32" i="5"/>
  <c r="H31" i="5"/>
  <c r="K28" i="5"/>
  <c r="K15" i="5"/>
  <c r="L31" i="5"/>
  <c r="O8" i="5"/>
  <c r="M18" i="5"/>
  <c r="M12" i="5"/>
  <c r="M31" i="5"/>
  <c r="J33" i="5"/>
  <c r="J32" i="5"/>
  <c r="J31" i="5"/>
  <c r="J24" i="5"/>
  <c r="J23" i="5"/>
  <c r="J22" i="5"/>
  <c r="Q7" i="5"/>
  <c r="H8" i="5"/>
  <c r="Q8" i="5"/>
  <c r="L9" i="5"/>
  <c r="J19" i="5"/>
  <c r="L22" i="5"/>
  <c r="S8" i="5"/>
  <c r="J13" i="5"/>
  <c r="J30" i="5"/>
  <c r="L29" i="5"/>
  <c r="L28" i="5"/>
  <c r="L27" i="5"/>
  <c r="L26" i="5"/>
  <c r="L25" i="5"/>
  <c r="L24" i="5"/>
  <c r="L23" i="5"/>
  <c r="L21" i="5"/>
  <c r="L20" i="5"/>
  <c r="L19" i="5"/>
  <c r="L15" i="5"/>
  <c r="L14" i="5"/>
  <c r="L13" i="5"/>
  <c r="L12" i="5"/>
  <c r="L11" i="5"/>
  <c r="L17" i="5"/>
  <c r="L16" i="5"/>
  <c r="L33" i="5"/>
  <c r="L32" i="5"/>
  <c r="L30" i="5"/>
  <c r="L8" i="5"/>
  <c r="H9" i="5"/>
  <c r="J12" i="5"/>
  <c r="L18" i="5"/>
  <c r="R22" i="5"/>
  <c r="Q30" i="5"/>
  <c r="P8" i="5"/>
  <c r="T8" i="5"/>
  <c r="P18" i="5"/>
  <c r="T18" i="5"/>
  <c r="O22" i="5"/>
  <c r="S22" i="5"/>
  <c r="R30" i="5"/>
  <c r="I11" i="5" l="1"/>
  <c r="J18" i="5"/>
  <c r="J27" i="5"/>
  <c r="I12" i="5"/>
  <c r="J28" i="5"/>
  <c r="J15" i="5"/>
  <c r="I30" i="5"/>
  <c r="J21" i="5"/>
  <c r="J29" i="5"/>
  <c r="J11" i="5"/>
  <c r="H15" i="5"/>
  <c r="H33" i="5"/>
  <c r="H22" i="5"/>
  <c r="P7" i="5"/>
  <c r="I8" i="5"/>
  <c r="H16" i="5"/>
  <c r="H19" i="5"/>
  <c r="I27" i="5"/>
  <c r="I13" i="5"/>
  <c r="O7" i="5"/>
  <c r="H17" i="5"/>
  <c r="H21" i="5"/>
  <c r="I28" i="5"/>
  <c r="I21" i="5"/>
  <c r="H10" i="5"/>
  <c r="H23" i="5"/>
  <c r="I29" i="5"/>
  <c r="H11" i="5"/>
  <c r="H24" i="5"/>
  <c r="I31" i="5"/>
  <c r="H18" i="5"/>
  <c r="I18" i="5"/>
  <c r="H30" i="5"/>
  <c r="H7" i="5" s="1"/>
  <c r="H12" i="5"/>
  <c r="H25" i="5"/>
  <c r="I32" i="5"/>
  <c r="K22" i="5"/>
  <c r="K8" i="5"/>
  <c r="K18" i="5"/>
  <c r="K29" i="5"/>
  <c r="K9" i="5"/>
  <c r="K19" i="5"/>
  <c r="K23" i="5"/>
  <c r="K30" i="5"/>
  <c r="K10" i="5"/>
  <c r="K20" i="5"/>
  <c r="K25" i="5"/>
  <c r="R7" i="5"/>
  <c r="K11" i="5"/>
  <c r="K21" i="5"/>
  <c r="K31" i="5"/>
  <c r="I24" i="5"/>
  <c r="I33" i="5"/>
  <c r="I14" i="5"/>
  <c r="K12" i="5"/>
  <c r="K24" i="5"/>
  <c r="K32" i="5"/>
  <c r="I25" i="5"/>
  <c r="I16" i="5"/>
  <c r="I15" i="5"/>
  <c r="S7" i="5"/>
  <c r="K13" i="5"/>
  <c r="K26" i="5"/>
  <c r="K33" i="5"/>
  <c r="I26" i="5"/>
  <c r="I17" i="5"/>
  <c r="I19" i="5"/>
  <c r="K16" i="5"/>
  <c r="K17" i="5"/>
  <c r="K14" i="5"/>
  <c r="I9" i="5"/>
  <c r="T7" i="5"/>
  <c r="N14" i="5"/>
  <c r="N23" i="5"/>
  <c r="N32" i="5"/>
  <c r="N10" i="5"/>
  <c r="N15" i="5"/>
  <c r="N24" i="5"/>
  <c r="N33" i="5"/>
  <c r="N27" i="5"/>
  <c r="N16" i="5"/>
  <c r="N25" i="5"/>
  <c r="N9" i="5"/>
  <c r="N17" i="5"/>
  <c r="N26" i="5"/>
  <c r="N19" i="5"/>
  <c r="N13" i="5"/>
  <c r="N22" i="5"/>
  <c r="N11" i="5"/>
  <c r="N20" i="5"/>
  <c r="N28" i="5"/>
  <c r="N12" i="5"/>
  <c r="N21" i="5"/>
  <c r="N29" i="5"/>
  <c r="N31" i="5"/>
  <c r="N30" i="5"/>
  <c r="N8" i="5"/>
  <c r="N18" i="5"/>
  <c r="U7" i="5"/>
  <c r="H27" i="5"/>
  <c r="M23" i="5"/>
  <c r="M29" i="5"/>
  <c r="M11" i="5"/>
  <c r="M8" i="5"/>
  <c r="M32" i="5"/>
  <c r="M24" i="5"/>
  <c r="M33" i="5"/>
  <c r="M14" i="5"/>
  <c r="M13" i="5"/>
  <c r="M16" i="5"/>
  <c r="M15" i="5"/>
  <c r="M30" i="5"/>
  <c r="M26" i="5"/>
  <c r="M17" i="5"/>
  <c r="M19" i="5"/>
  <c r="J10" i="5"/>
  <c r="M25" i="5"/>
  <c r="J14" i="5"/>
  <c r="J25" i="5"/>
  <c r="J16" i="5"/>
  <c r="M27" i="5"/>
  <c r="M9" i="5"/>
  <c r="M20" i="5"/>
  <c r="J9" i="5"/>
  <c r="H20" i="5"/>
  <c r="H28" i="5"/>
  <c r="J8" i="5"/>
  <c r="J26" i="5"/>
  <c r="J17" i="5"/>
  <c r="M28" i="5"/>
  <c r="M10" i="5"/>
  <c r="M21" i="5"/>
  <c r="L7" i="5"/>
  <c r="I7" i="5" l="1"/>
  <c r="K7" i="5"/>
  <c r="N7" i="5"/>
  <c r="J7" i="5"/>
  <c r="M7" i="5"/>
</calcChain>
</file>

<file path=xl/sharedStrings.xml><?xml version="1.0" encoding="utf-8"?>
<sst xmlns="http://schemas.openxmlformats.org/spreadsheetml/2006/main" count="81" uniqueCount="64">
  <si>
    <t>Country</t>
  </si>
  <si>
    <t>cniawtcaws ctogWviawfiheb</t>
  </si>
  <si>
    <t>% urwvcnim ivurutia eruvcSwrwhwa Iruk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</si>
  <si>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</si>
  <si>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</si>
  <si>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</si>
  <si>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</si>
  <si>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</si>
  <si>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</si>
  <si>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</si>
  <si>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</si>
  <si>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</si>
  <si>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</si>
  <si>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</si>
  <si>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</si>
  <si>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</si>
  <si>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</si>
  <si>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</si>
  <si>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</si>
  <si>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</si>
  <si>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</si>
  <si>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>America</t>
  </si>
  <si>
    <t>Oceania</t>
  </si>
  <si>
    <t>Others</t>
  </si>
  <si>
    <t>cnehinehea</t>
  </si>
  <si>
    <t>Africa</t>
  </si>
  <si>
    <t>India</t>
  </si>
  <si>
    <t>Sri Lanka</t>
  </si>
  <si>
    <t>WkcnwlIrcs</t>
  </si>
  <si>
    <t>Thailand</t>
  </si>
  <si>
    <t>cDcneliawt</t>
  </si>
  <si>
    <t>Japan</t>
  </si>
  <si>
    <t>cnWpwj</t>
  </si>
  <si>
    <t xml:space="preserve">Wkiremea </t>
  </si>
  <si>
    <t>itwmuriaudem</t>
  </si>
  <si>
    <t>WainExOa</t>
  </si>
  <si>
    <t>Source:  Maldives Customs Services</t>
  </si>
  <si>
    <t xml:space="preserve">cswsivrWs cscmwTcswk cscviDclOm :ctWrwfivcaed utWmUluAwm     </t>
  </si>
  <si>
    <t>umuawq</t>
  </si>
  <si>
    <t>Spain</t>
  </si>
  <si>
    <t>cniaepcs</t>
  </si>
  <si>
    <t>Denmark</t>
  </si>
  <si>
    <t>ckWmcneD</t>
  </si>
  <si>
    <t xml:space="preserve">Wkircfea </t>
  </si>
  <si>
    <t>U.S.A.</t>
  </si>
  <si>
    <t>Ea.csea.Uy</t>
  </si>
  <si>
    <t>އޭޝިޔާ</t>
  </si>
  <si>
    <t>WyiDcnia</t>
  </si>
  <si>
    <t>Hong Kong</t>
  </si>
  <si>
    <t>gcnok gcnoh</t>
  </si>
  <si>
    <t>Taiwan</t>
  </si>
  <si>
    <t>ޓައިވާން</t>
  </si>
  <si>
    <t>Iran</t>
  </si>
  <si>
    <t>cnWria</t>
  </si>
  <si>
    <t>U.A.E.</t>
  </si>
  <si>
    <t>Ia .Ea .Uy</t>
  </si>
  <si>
    <t>others</t>
  </si>
  <si>
    <r>
      <rPr>
        <b/>
        <sz val="10"/>
        <rFont val="Calibri"/>
        <family val="2"/>
        <scheme val="minor"/>
      </rPr>
      <t xml:space="preserve"> Value (in MVR. '000)</t>
    </r>
    <r>
      <rPr>
        <b/>
        <sz val="10"/>
        <rFont val="A_Faseyha"/>
      </rPr>
      <t xml:space="preserve">   </t>
    </r>
    <r>
      <rPr>
        <b/>
        <sz val="8"/>
        <rFont val="A_Faseyha"/>
      </rPr>
      <t>(cniaWyifur '000 ) ugwa</t>
    </r>
  </si>
  <si>
    <t>Table  15.5: EXPORTS BY COUNTRY OF DESTINATION, 2016 -2020</t>
  </si>
  <si>
    <t>2020- 2016 ,cawtumuawq unuvunof Wdum unuverukurEb cnEjcaWr : 15.5 ulwvWt</t>
  </si>
  <si>
    <t>(*)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</si>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</sst>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#,##0.0"/>
    <numFmt numFmtId="171" formatCode="General_)"/>
    <numFmt numFmtId="172" formatCode="_-* #,##0.00\ _ރ_._-;_-* #,##0.00\ _ރ_.\-;_-* &quot;-&quot;??\ _ރ_._-;_-@_-"/>
    <numFmt numFmtId="173" formatCode="0.00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b/>
      <sz val="8"/>
      <name val="A_Faseyha"/>
    </font>
    <font>
      <i/>
      <sz val="9"/>
      <name val="Calibri Light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43" fontId="7" fillId="0" borderId="0" applyFont="0" applyFill="0" applyBorder="0" applyAlignment="0" applyProtection="0"/>
    <xf numFmtId="171" fontId="18" fillId="0" borderId="0"/>
    <xf numFmtId="40" fontId="19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24" fillId="0" borderId="32" applyNumberFormat="0" applyFill="0" applyAlignment="0" applyProtection="0"/>
    <xf numFmtId="0" fontId="25" fillId="0" borderId="33" applyNumberFormat="0" applyFill="0" applyAlignment="0" applyProtection="0"/>
    <xf numFmtId="0" fontId="26" fillId="0" borderId="34" applyNumberFormat="0" applyFill="0" applyAlignment="0" applyProtection="0"/>
    <xf numFmtId="0" fontId="26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30" fillId="8" borderId="35" applyNumberFormat="0" applyAlignment="0" applyProtection="0"/>
    <xf numFmtId="0" fontId="31" fillId="9" borderId="36" applyNumberFormat="0" applyAlignment="0" applyProtection="0"/>
    <xf numFmtId="0" fontId="32" fillId="9" borderId="35" applyNumberFormat="0" applyAlignment="0" applyProtection="0"/>
    <xf numFmtId="0" fontId="33" fillId="0" borderId="37" applyNumberFormat="0" applyFill="0" applyAlignment="0" applyProtection="0"/>
    <xf numFmtId="0" fontId="34" fillId="10" borderId="38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3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7" fillId="35" borderId="0" applyNumberFormat="0" applyBorder="0" applyAlignment="0" applyProtection="0"/>
    <xf numFmtId="0" fontId="38" fillId="0" borderId="0"/>
    <xf numFmtId="0" fontId="7" fillId="0" borderId="0"/>
    <xf numFmtId="172" fontId="7" fillId="0" borderId="0" applyFont="0" applyFill="0" applyBorder="0" applyAlignment="0" applyProtection="0"/>
    <xf numFmtId="173" fontId="39" fillId="0" borderId="0"/>
    <xf numFmtId="0" fontId="4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39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39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1" fillId="36" borderId="0" applyNumberFormat="0" applyBorder="0" applyAlignment="0" applyProtection="0"/>
    <xf numFmtId="0" fontId="7" fillId="0" borderId="0"/>
  </cellStyleXfs>
  <cellXfs count="115">
    <xf numFmtId="0" fontId="0" fillId="0" borderId="0" xfId="0"/>
    <xf numFmtId="165" fontId="8" fillId="2" borderId="0" xfId="0" applyNumberFormat="1" applyFont="1" applyFill="1" applyBorder="1" applyAlignment="1" applyProtection="1">
      <alignment horizontal="right" vertical="center"/>
    </xf>
    <xf numFmtId="165" fontId="11" fillId="2" borderId="3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 applyProtection="1">
      <alignment horizontal="left" vertical="center"/>
    </xf>
    <xf numFmtId="0" fontId="12" fillId="2" borderId="0" xfId="0" applyFont="1" applyFill="1" applyBorder="1" applyAlignment="1">
      <alignment horizontal="right"/>
    </xf>
    <xf numFmtId="165" fontId="8" fillId="2" borderId="1" xfId="0" applyNumberFormat="1" applyFont="1" applyFill="1" applyBorder="1" applyAlignment="1" applyProtection="1">
      <alignment horizontal="right" vertical="center"/>
    </xf>
    <xf numFmtId="0" fontId="17" fillId="2" borderId="0" xfId="0" applyFont="1" applyFill="1" applyBorder="1" applyAlignment="1">
      <alignment horizontal="right"/>
    </xf>
    <xf numFmtId="171" fontId="4" fillId="2" borderId="11" xfId="2" applyFont="1" applyFill="1" applyBorder="1" applyAlignment="1">
      <alignment vertical="center"/>
    </xf>
    <xf numFmtId="171" fontId="14" fillId="2" borderId="13" xfId="2" applyFont="1" applyFill="1" applyBorder="1" applyAlignment="1">
      <alignment vertical="center"/>
    </xf>
    <xf numFmtId="171" fontId="6" fillId="2" borderId="3" xfId="2" applyFont="1" applyFill="1" applyBorder="1" applyAlignment="1" applyProtection="1">
      <alignment horizontal="center" vertical="center"/>
    </xf>
    <xf numFmtId="171" fontId="6" fillId="2" borderId="0" xfId="2" applyFont="1" applyFill="1" applyBorder="1" applyAlignment="1" applyProtection="1">
      <alignment horizontal="center" vertical="center"/>
    </xf>
    <xf numFmtId="171" fontId="14" fillId="2" borderId="0" xfId="2" applyFont="1" applyFill="1" applyBorder="1" applyAlignment="1">
      <alignment vertical="center"/>
    </xf>
    <xf numFmtId="171" fontId="14" fillId="2" borderId="15" xfId="2" applyFont="1" applyFill="1" applyBorder="1" applyAlignment="1">
      <alignment vertical="center"/>
    </xf>
    <xf numFmtId="171" fontId="8" fillId="2" borderId="3" xfId="2" applyFont="1" applyFill="1" applyBorder="1" applyAlignment="1" applyProtection="1">
      <alignment horizontal="right" vertical="center"/>
    </xf>
    <xf numFmtId="171" fontId="8" fillId="2" borderId="20" xfId="2" applyFont="1" applyFill="1" applyBorder="1" applyAlignment="1" applyProtection="1">
      <alignment horizontal="right" vertical="center"/>
    </xf>
    <xf numFmtId="171" fontId="8" fillId="2" borderId="21" xfId="2" applyFont="1" applyFill="1" applyBorder="1" applyAlignment="1" applyProtection="1">
      <alignment horizontal="right" vertical="center"/>
    </xf>
    <xf numFmtId="171" fontId="8" fillId="2" borderId="22" xfId="2" applyFont="1" applyFill="1" applyBorder="1" applyAlignment="1" applyProtection="1">
      <alignment horizontal="right" vertical="center"/>
    </xf>
    <xf numFmtId="171" fontId="8" fillId="2" borderId="0" xfId="2" applyFont="1" applyFill="1" applyBorder="1" applyAlignment="1" applyProtection="1">
      <alignment horizontal="right" vertical="center"/>
    </xf>
    <xf numFmtId="171" fontId="14" fillId="2" borderId="11" xfId="2" applyFont="1" applyFill="1" applyBorder="1" applyAlignment="1">
      <alignment horizontal="center" vertical="center"/>
    </xf>
    <xf numFmtId="171" fontId="8" fillId="3" borderId="15" xfId="2" applyFont="1" applyFill="1" applyBorder="1" applyAlignment="1" applyProtection="1">
      <alignment horizontal="left" vertical="center"/>
    </xf>
    <xf numFmtId="3" fontId="8" fillId="3" borderId="23" xfId="2" applyNumberFormat="1" applyFont="1" applyFill="1" applyBorder="1" applyAlignment="1" applyProtection="1">
      <alignment horizontal="right" vertical="center"/>
    </xf>
    <xf numFmtId="3" fontId="8" fillId="3" borderId="24" xfId="2" applyNumberFormat="1" applyFont="1" applyFill="1" applyBorder="1" applyAlignment="1" applyProtection="1">
      <alignment horizontal="right" vertical="center"/>
    </xf>
    <xf numFmtId="3" fontId="8" fillId="4" borderId="25" xfId="3" applyNumberFormat="1" applyFont="1" applyFill="1" applyBorder="1" applyAlignment="1">
      <alignment horizontal="right" vertical="center"/>
    </xf>
    <xf numFmtId="3" fontId="8" fillId="4" borderId="23" xfId="3" applyNumberFormat="1" applyFont="1" applyFill="1" applyBorder="1" applyAlignment="1">
      <alignment horizontal="right" vertical="center"/>
    </xf>
    <xf numFmtId="171" fontId="14" fillId="2" borderId="11" xfId="2" applyFont="1" applyFill="1" applyBorder="1" applyAlignment="1"/>
    <xf numFmtId="171" fontId="8" fillId="4" borderId="11" xfId="2" applyFont="1" applyFill="1" applyBorder="1" applyAlignment="1"/>
    <xf numFmtId="3" fontId="8" fillId="4" borderId="10" xfId="3" applyNumberFormat="1" applyFont="1" applyFill="1" applyBorder="1" applyAlignment="1">
      <alignment horizontal="right" vertical="center"/>
    </xf>
    <xf numFmtId="165" fontId="8" fillId="4" borderId="27" xfId="3" applyNumberFormat="1" applyFont="1" applyFill="1" applyBorder="1" applyAlignment="1">
      <alignment horizontal="right" vertical="center"/>
    </xf>
    <xf numFmtId="165" fontId="8" fillId="4" borderId="10" xfId="3" applyNumberFormat="1" applyFont="1" applyFill="1" applyBorder="1" applyAlignment="1">
      <alignment horizontal="right" vertical="center"/>
    </xf>
    <xf numFmtId="171" fontId="11" fillId="4" borderId="11" xfId="2" applyFont="1" applyFill="1" applyBorder="1" applyAlignment="1" applyProtection="1">
      <alignment horizontal="left"/>
    </xf>
    <xf numFmtId="3" fontId="11" fillId="4" borderId="10" xfId="1" applyNumberFormat="1" applyFont="1" applyFill="1" applyBorder="1" applyAlignment="1">
      <alignment horizontal="right" vertical="center"/>
    </xf>
    <xf numFmtId="165" fontId="11" fillId="4" borderId="27" xfId="3" applyNumberFormat="1" applyFont="1" applyFill="1" applyBorder="1" applyAlignment="1">
      <alignment horizontal="right" vertical="center"/>
    </xf>
    <xf numFmtId="165" fontId="11" fillId="4" borderId="10" xfId="3" applyNumberFormat="1" applyFont="1" applyFill="1" applyBorder="1" applyAlignment="1">
      <alignment horizontal="right" vertical="center"/>
    </xf>
    <xf numFmtId="171" fontId="8" fillId="2" borderId="11" xfId="2" applyFont="1" applyFill="1" applyBorder="1" applyAlignment="1"/>
    <xf numFmtId="3" fontId="8" fillId="4" borderId="10" xfId="1" applyNumberFormat="1" applyFont="1" applyFill="1" applyBorder="1" applyAlignment="1">
      <alignment horizontal="right" vertical="center"/>
    </xf>
    <xf numFmtId="3" fontId="8" fillId="2" borderId="10" xfId="3" applyNumberFormat="1" applyFont="1" applyFill="1" applyBorder="1" applyAlignment="1">
      <alignment horizontal="right" vertical="center"/>
    </xf>
    <xf numFmtId="3" fontId="8" fillId="2" borderId="26" xfId="3" applyNumberFormat="1" applyFont="1" applyFill="1" applyBorder="1" applyAlignment="1">
      <alignment horizontal="right" vertical="center"/>
    </xf>
    <xf numFmtId="171" fontId="11" fillId="2" borderId="11" xfId="2" applyFont="1" applyFill="1" applyBorder="1" applyAlignment="1" applyProtection="1">
      <alignment horizontal="left"/>
    </xf>
    <xf numFmtId="3" fontId="11" fillId="2" borderId="10" xfId="4" applyNumberFormat="1" applyFont="1" applyFill="1" applyBorder="1" applyAlignment="1">
      <alignment horizontal="right" vertical="center"/>
    </xf>
    <xf numFmtId="3" fontId="11" fillId="4" borderId="10" xfId="4" applyNumberFormat="1" applyFont="1" applyFill="1" applyBorder="1" applyAlignment="1">
      <alignment horizontal="right" vertical="center"/>
    </xf>
    <xf numFmtId="171" fontId="8" fillId="4" borderId="11" xfId="2" applyFont="1" applyFill="1" applyBorder="1" applyAlignment="1" applyProtection="1">
      <alignment horizontal="left"/>
    </xf>
    <xf numFmtId="3" fontId="8" fillId="2" borderId="10" xfId="4" applyNumberFormat="1" applyFont="1" applyFill="1" applyBorder="1" applyAlignment="1">
      <alignment horizontal="right" vertical="center"/>
    </xf>
    <xf numFmtId="3" fontId="11" fillId="2" borderId="10" xfId="1" applyNumberFormat="1" applyFont="1" applyFill="1" applyBorder="1" applyAlignment="1">
      <alignment horizontal="right" vertical="center"/>
    </xf>
    <xf numFmtId="165" fontId="20" fillId="4" borderId="27" xfId="3" applyNumberFormat="1" applyFont="1" applyFill="1" applyBorder="1" applyAlignment="1">
      <alignment horizontal="right" vertical="center"/>
    </xf>
    <xf numFmtId="165" fontId="20" fillId="4" borderId="10" xfId="3" applyNumberFormat="1" applyFont="1" applyFill="1" applyBorder="1" applyAlignment="1">
      <alignment horizontal="right" vertical="center"/>
    </xf>
    <xf numFmtId="171" fontId="4" fillId="2" borderId="11" xfId="2" applyFont="1" applyFill="1" applyBorder="1" applyAlignment="1"/>
    <xf numFmtId="171" fontId="11" fillId="2" borderId="11" xfId="2" applyFont="1" applyFill="1" applyBorder="1" applyAlignment="1"/>
    <xf numFmtId="171" fontId="8" fillId="2" borderId="11" xfId="2" applyFont="1" applyFill="1" applyBorder="1" applyAlignment="1" applyProtection="1">
      <alignment horizontal="left"/>
    </xf>
    <xf numFmtId="3" fontId="8" fillId="2" borderId="10" xfId="1" applyNumberFormat="1" applyFont="1" applyFill="1" applyBorder="1" applyAlignment="1">
      <alignment horizontal="right" vertical="center"/>
    </xf>
    <xf numFmtId="165" fontId="21" fillId="4" borderId="27" xfId="3" applyNumberFormat="1" applyFont="1" applyFill="1" applyBorder="1" applyAlignment="1">
      <alignment horizontal="right" vertical="center"/>
    </xf>
    <xf numFmtId="165" fontId="21" fillId="4" borderId="10" xfId="3" applyNumberFormat="1" applyFont="1" applyFill="1" applyBorder="1" applyAlignment="1">
      <alignment horizontal="right" vertical="center"/>
    </xf>
    <xf numFmtId="171" fontId="11" fillId="2" borderId="28" xfId="2" applyFont="1" applyFill="1" applyBorder="1" applyAlignment="1"/>
    <xf numFmtId="3" fontId="11" fillId="2" borderId="29" xfId="1" applyNumberFormat="1" applyFont="1" applyFill="1" applyBorder="1" applyAlignment="1">
      <alignment horizontal="right" vertical="center"/>
    </xf>
    <xf numFmtId="3" fontId="11" fillId="4" borderId="29" xfId="1" applyNumberFormat="1" applyFont="1" applyFill="1" applyBorder="1" applyAlignment="1">
      <alignment horizontal="right" vertical="center"/>
    </xf>
    <xf numFmtId="165" fontId="20" fillId="4" borderId="31" xfId="3" applyNumberFormat="1" applyFont="1" applyFill="1" applyBorder="1" applyAlignment="1">
      <alignment horizontal="right" vertical="center"/>
    </xf>
    <xf numFmtId="165" fontId="11" fillId="4" borderId="29" xfId="3" applyNumberFormat="1" applyFont="1" applyFill="1" applyBorder="1" applyAlignment="1">
      <alignment horizontal="right" vertical="center"/>
    </xf>
    <xf numFmtId="165" fontId="20" fillId="4" borderId="29" xfId="3" applyNumberFormat="1" applyFont="1" applyFill="1" applyBorder="1" applyAlignment="1">
      <alignment horizontal="right" vertical="center"/>
    </xf>
    <xf numFmtId="4" fontId="16" fillId="2" borderId="15" xfId="1" applyNumberFormat="1" applyFont="1" applyFill="1" applyBorder="1" applyAlignment="1">
      <alignment horizontal="right"/>
    </xf>
    <xf numFmtId="171" fontId="22" fillId="2" borderId="15" xfId="2" applyFont="1" applyFill="1" applyBorder="1" applyAlignment="1"/>
    <xf numFmtId="171" fontId="10" fillId="2" borderId="11" xfId="2" applyFont="1" applyFill="1" applyBorder="1" applyAlignment="1">
      <alignment vertical="center"/>
    </xf>
    <xf numFmtId="0" fontId="46" fillId="2" borderId="4" xfId="0" applyFont="1" applyFill="1" applyBorder="1" applyAlignment="1">
      <alignment horizontal="right" readingOrder="2"/>
    </xf>
    <xf numFmtId="3" fontId="8" fillId="4" borderId="10" xfId="4" applyNumberFormat="1" applyFont="1" applyFill="1" applyBorder="1" applyAlignment="1">
      <alignment horizontal="right" vertical="center"/>
    </xf>
    <xf numFmtId="4" fontId="16" fillId="2" borderId="4" xfId="1" applyNumberFormat="1" applyFont="1" applyFill="1" applyBorder="1" applyAlignment="1">
      <alignment horizontal="right"/>
    </xf>
    <xf numFmtId="4" fontId="16" fillId="2" borderId="16" xfId="1" applyNumberFormat="1" applyFont="1" applyFill="1" applyBorder="1" applyAlignment="1">
      <alignment horizontal="right"/>
    </xf>
    <xf numFmtId="165" fontId="11" fillId="2" borderId="0" xfId="0" applyNumberFormat="1" applyFont="1" applyFill="1" applyBorder="1" applyAlignment="1" applyProtection="1">
      <alignment horizontal="right" vertical="center"/>
    </xf>
    <xf numFmtId="3" fontId="8" fillId="4" borderId="24" xfId="3" applyNumberFormat="1" applyFont="1" applyFill="1" applyBorder="1" applyAlignment="1">
      <alignment horizontal="right" vertical="center"/>
    </xf>
    <xf numFmtId="165" fontId="8" fillId="4" borderId="26" xfId="3" applyNumberFormat="1" applyFont="1" applyFill="1" applyBorder="1" applyAlignment="1">
      <alignment horizontal="right" vertical="center"/>
    </xf>
    <xf numFmtId="3" fontId="11" fillId="4" borderId="26" xfId="1" applyNumberFormat="1" applyFont="1" applyFill="1" applyBorder="1" applyAlignment="1">
      <alignment horizontal="right" vertical="center"/>
    </xf>
    <xf numFmtId="165" fontId="11" fillId="4" borderId="26" xfId="3" applyNumberFormat="1" applyFont="1" applyFill="1" applyBorder="1" applyAlignment="1">
      <alignment horizontal="right" vertical="center"/>
    </xf>
    <xf numFmtId="3" fontId="8" fillId="4" borderId="26" xfId="1" applyNumberFormat="1" applyFont="1" applyFill="1" applyBorder="1" applyAlignment="1">
      <alignment horizontal="right" vertical="center"/>
    </xf>
    <xf numFmtId="3" fontId="11" fillId="4" borderId="26" xfId="4" applyNumberFormat="1" applyFont="1" applyFill="1" applyBorder="1" applyAlignment="1">
      <alignment horizontal="right" vertical="center"/>
    </xf>
    <xf numFmtId="3" fontId="8" fillId="4" borderId="26" xfId="4" applyNumberFormat="1" applyFont="1" applyFill="1" applyBorder="1" applyAlignment="1">
      <alignment horizontal="right" vertical="center"/>
    </xf>
    <xf numFmtId="3" fontId="11" fillId="4" borderId="30" xfId="1" applyNumberFormat="1" applyFont="1" applyFill="1" applyBorder="1" applyAlignment="1">
      <alignment horizontal="right" vertical="center"/>
    </xf>
    <xf numFmtId="165" fontId="11" fillId="4" borderId="30" xfId="3" applyNumberFormat="1" applyFont="1" applyFill="1" applyBorder="1" applyAlignment="1">
      <alignment horizontal="right" vertical="center"/>
    </xf>
    <xf numFmtId="165" fontId="21" fillId="2" borderId="0" xfId="0" applyNumberFormat="1" applyFont="1" applyFill="1" applyBorder="1" applyAlignment="1" applyProtection="1">
      <alignment horizontal="right" vertical="center"/>
    </xf>
    <xf numFmtId="165" fontId="20" fillId="2" borderId="0" xfId="0" applyNumberFormat="1" applyFont="1" applyFill="1" applyBorder="1" applyAlignment="1" applyProtection="1">
      <alignment horizontal="right" vertical="center"/>
    </xf>
    <xf numFmtId="165" fontId="20" fillId="2" borderId="3" xfId="0" applyNumberFormat="1" applyFont="1" applyFill="1" applyBorder="1" applyAlignment="1" applyProtection="1">
      <alignment horizontal="right" vertical="center"/>
    </xf>
    <xf numFmtId="0" fontId="48" fillId="2" borderId="0" xfId="72" applyFont="1" applyFill="1" applyAlignment="1">
      <alignment horizontal="left" vertical="center"/>
    </xf>
    <xf numFmtId="0" fontId="42" fillId="2" borderId="1" xfId="0" applyFont="1" applyFill="1" applyBorder="1" applyAlignment="1" applyProtection="1">
      <alignment horizontal="center" vertical="center"/>
    </xf>
    <xf numFmtId="0" fontId="42" fillId="2" borderId="1" xfId="0" applyFont="1" applyFill="1" applyBorder="1" applyAlignment="1">
      <alignment horizontal="right" vertical="center"/>
    </xf>
    <xf numFmtId="0" fontId="42" fillId="2" borderId="0" xfId="0" applyFont="1" applyFill="1" applyBorder="1" applyAlignment="1">
      <alignment horizontal="right" vertical="center"/>
    </xf>
    <xf numFmtId="0" fontId="42" fillId="2" borderId="3" xfId="0" applyFont="1" applyFill="1" applyBorder="1" applyAlignment="1">
      <alignment horizontal="right" vertical="center"/>
    </xf>
    <xf numFmtId="3" fontId="43" fillId="2" borderId="5" xfId="0" applyNumberFormat="1" applyFont="1" applyFill="1" applyBorder="1" applyAlignment="1">
      <alignment horizontal="center" vertical="center"/>
    </xf>
    <xf numFmtId="3" fontId="43" fillId="2" borderId="10" xfId="0" applyNumberFormat="1" applyFont="1" applyFill="1" applyBorder="1" applyAlignment="1">
      <alignment horizontal="center" vertical="center"/>
    </xf>
    <xf numFmtId="171" fontId="5" fillId="2" borderId="6" xfId="2" applyFont="1" applyFill="1" applyBorder="1" applyAlignment="1" applyProtection="1">
      <alignment horizontal="center" vertical="center"/>
    </xf>
    <xf numFmtId="171" fontId="5" fillId="2" borderId="12" xfId="2" applyFont="1" applyFill="1" applyBorder="1" applyAlignment="1" applyProtection="1">
      <alignment horizontal="center" vertical="center"/>
    </xf>
    <xf numFmtId="171" fontId="8" fillId="2" borderId="14" xfId="2" applyFont="1" applyFill="1" applyBorder="1" applyAlignment="1" applyProtection="1">
      <alignment horizontal="left" vertical="center"/>
    </xf>
    <xf numFmtId="171" fontId="8" fillId="2" borderId="17" xfId="2" applyFont="1" applyFill="1" applyBorder="1" applyAlignment="1" applyProtection="1">
      <alignment horizontal="left" vertical="center"/>
    </xf>
    <xf numFmtId="171" fontId="8" fillId="2" borderId="7" xfId="2" applyFont="1" applyFill="1" applyBorder="1" applyAlignment="1" applyProtection="1">
      <alignment horizontal="left" vertical="center"/>
    </xf>
    <xf numFmtId="171" fontId="44" fillId="2" borderId="1" xfId="2" applyFont="1" applyFill="1" applyBorder="1" applyAlignment="1" applyProtection="1">
      <alignment horizontal="center" vertical="center"/>
    </xf>
    <xf numFmtId="171" fontId="44" fillId="2" borderId="8" xfId="2" applyFont="1" applyFill="1" applyBorder="1" applyAlignment="1" applyProtection="1">
      <alignment horizontal="center" vertical="center"/>
    </xf>
    <xf numFmtId="171" fontId="44" fillId="2" borderId="2" xfId="2" applyFont="1" applyFill="1" applyBorder="1" applyAlignment="1" applyProtection="1">
      <alignment horizontal="center" vertical="center"/>
    </xf>
    <xf numFmtId="171" fontId="44" fillId="2" borderId="18" xfId="2" applyFont="1" applyFill="1" applyBorder="1" applyAlignment="1" applyProtection="1">
      <alignment horizontal="center" vertical="center"/>
    </xf>
    <xf numFmtId="0" fontId="42" fillId="2" borderId="9" xfId="0" applyFont="1" applyFill="1" applyBorder="1" applyAlignment="1" applyProtection="1">
      <alignment horizontal="center" vertical="center"/>
    </xf>
    <xf numFmtId="0" fontId="42" fillId="2" borderId="8" xfId="0" applyFont="1" applyFill="1" applyBorder="1" applyAlignment="1" applyProtection="1">
      <alignment horizontal="center" vertical="center"/>
    </xf>
    <xf numFmtId="0" fontId="15" fillId="2" borderId="19" xfId="0" applyFont="1" applyFill="1" applyBorder="1" applyAlignment="1" applyProtection="1">
      <alignment horizontal="center" vertical="center"/>
    </xf>
    <xf numFmtId="0" fontId="15" fillId="2" borderId="2" xfId="0" applyFont="1" applyFill="1" applyBorder="1" applyAlignment="1" applyProtection="1">
      <alignment horizontal="center" vertical="center"/>
    </xf>
    <xf numFmtId="0" fontId="15" fillId="2" borderId="18" xfId="0" applyFont="1" applyFill="1" applyBorder="1" applyAlignment="1" applyProtection="1">
      <alignment horizontal="center" vertical="center"/>
    </xf>
    <xf numFmtId="171" fontId="4" fillId="2" borderId="5" xfId="2" applyFont="1" applyFill="1" applyBorder="1" applyAlignment="1">
      <alignment vertical="center"/>
    </xf>
    <xf numFmtId="171" fontId="4" fillId="2" borderId="0" xfId="2" applyFont="1" applyFill="1" applyBorder="1" applyAlignment="1">
      <alignment vertical="center"/>
    </xf>
    <xf numFmtId="171" fontId="14" fillId="2" borderId="0" xfId="2" applyFont="1" applyFill="1" applyBorder="1" applyAlignment="1">
      <alignment horizontal="center" vertical="center"/>
    </xf>
    <xf numFmtId="171" fontId="14" fillId="2" borderId="0" xfId="2" applyFont="1" applyFill="1" applyBorder="1" applyAlignment="1"/>
    <xf numFmtId="171" fontId="4" fillId="2" borderId="0" xfId="2" applyFont="1" applyFill="1" applyBorder="1" applyAlignment="1"/>
    <xf numFmtId="171" fontId="4" fillId="2" borderId="13" xfId="2" applyFont="1" applyFill="1" applyBorder="1" applyAlignment="1">
      <alignment vertical="center"/>
    </xf>
    <xf numFmtId="171" fontId="22" fillId="2" borderId="17" xfId="2" applyFont="1" applyFill="1" applyBorder="1" applyAlignment="1"/>
    <xf numFmtId="171" fontId="4" fillId="2" borderId="6" xfId="2" applyFont="1" applyFill="1" applyBorder="1" applyAlignment="1">
      <alignment vertical="center"/>
    </xf>
    <xf numFmtId="171" fontId="10" fillId="2" borderId="0" xfId="2" applyFont="1" applyFill="1" applyBorder="1" applyAlignment="1">
      <alignment vertical="center"/>
    </xf>
    <xf numFmtId="171" fontId="22" fillId="2" borderId="0" xfId="2" applyFont="1" applyFill="1" applyBorder="1" applyAlignment="1"/>
    <xf numFmtId="0" fontId="45" fillId="2" borderId="10" xfId="0" applyFont="1" applyFill="1" applyBorder="1" applyAlignment="1">
      <alignment horizontal="right"/>
    </xf>
    <xf numFmtId="0" fontId="44" fillId="2" borderId="10" xfId="0" applyFont="1" applyFill="1" applyBorder="1" applyAlignment="1">
      <alignment horizontal="right"/>
    </xf>
    <xf numFmtId="0" fontId="45" fillId="2" borderId="29" xfId="0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vertical="center"/>
    </xf>
    <xf numFmtId="171" fontId="5" fillId="2" borderId="0" xfId="2" applyFont="1" applyFill="1" applyBorder="1" applyAlignment="1" applyProtection="1">
      <alignment vertical="center"/>
    </xf>
    <xf numFmtId="0" fontId="9" fillId="2" borderId="0" xfId="0" applyFont="1" applyFill="1" applyBorder="1" applyAlignment="1" applyProtection="1">
      <alignment vertical="center"/>
    </xf>
    <xf numFmtId="171" fontId="23" fillId="2" borderId="0" xfId="2" applyFont="1" applyFill="1" applyBorder="1" applyAlignment="1"/>
  </cellXfs>
  <cellStyles count="73">
    <cellStyle name="1" xfId="48"/>
    <cellStyle name="20% - Accent1" xfId="24" builtinId="30" customBuiltin="1"/>
    <cellStyle name="20% - Accent1 2" xfId="59"/>
    <cellStyle name="20% - Accent2" xfId="28" builtinId="34" customBuiltin="1"/>
    <cellStyle name="20% - Accent2 2" xfId="61"/>
    <cellStyle name="20% - Accent3" xfId="32" builtinId="38" customBuiltin="1"/>
    <cellStyle name="20% - Accent3 2" xfId="63"/>
    <cellStyle name="20% - Accent4" xfId="36" builtinId="42" customBuiltin="1"/>
    <cellStyle name="20% - Accent4 2" xfId="65"/>
    <cellStyle name="20% - Accent5" xfId="40" builtinId="46" customBuiltin="1"/>
    <cellStyle name="20% - Accent5 2" xfId="67"/>
    <cellStyle name="20% - Accent6" xfId="44" builtinId="50" customBuiltin="1"/>
    <cellStyle name="20% - Accent6 2" xfId="69"/>
    <cellStyle name="40% - Accent1" xfId="25" builtinId="31" customBuiltin="1"/>
    <cellStyle name="40% - Accent1 2" xfId="60"/>
    <cellStyle name="40% - Accent2" xfId="29" builtinId="35" customBuiltin="1"/>
    <cellStyle name="40% - Accent2 2" xfId="62"/>
    <cellStyle name="40% - Accent3" xfId="33" builtinId="39" customBuiltin="1"/>
    <cellStyle name="40% - Accent3 2" xfId="64"/>
    <cellStyle name="40% - Accent4" xfId="37" builtinId="43" customBuiltin="1"/>
    <cellStyle name="40% - Accent4 2" xfId="66"/>
    <cellStyle name="40% - Accent5" xfId="41" builtinId="47" customBuiltin="1"/>
    <cellStyle name="40% - Accent5 2" xfId="68"/>
    <cellStyle name="40% - Accent6" xfId="45" builtinId="51" customBuiltin="1"/>
    <cellStyle name="40% - Accent6 2" xfId="70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7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49"/>
    <cellStyle name="Comma 3" xfId="1"/>
    <cellStyle name="Comma 4" xfId="53"/>
    <cellStyle name="Comma 5" xfId="56"/>
    <cellStyle name="Comma_XII7" xfId="4"/>
    <cellStyle name="Comma_XII-7 (Commerce)" xfId="3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50"/>
    <cellStyle name="Normal 2" xfId="6"/>
    <cellStyle name="Normal 3" xfId="52"/>
    <cellStyle name="Normal 4" xfId="55"/>
    <cellStyle name="Normal 5" xfId="5"/>
    <cellStyle name="Normal 6" xfId="58"/>
    <cellStyle name="Normal 7" xfId="47"/>
    <cellStyle name="Normal_Quick data" xfId="72"/>
    <cellStyle name="Normal_XII-7 (Commerce)" xfId="2"/>
    <cellStyle name="Note 2" xfId="54"/>
    <cellStyle name="Note 3" xfId="57"/>
    <cellStyle name="Output" xfId="16" builtinId="21" customBuiltin="1"/>
    <cellStyle name="Percent 2" xfId="7"/>
    <cellStyle name="Title 2" xfId="51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08"/>
  <sheetViews>
    <sheetView tabSelected="1" zoomScale="106" zoomScaleNormal="106" workbookViewId="0">
      <selection activeCell="AC18" sqref="AC18"/>
    </sheetView>
  </sheetViews>
  <sheetFormatPr defaultColWidth="11" defaultRowHeight="15.75" x14ac:dyDescent="0.25"/>
  <cols>
    <col min="1" max="1" width="22.140625" style="59" customWidth="1"/>
    <col min="2" max="2" width="10.42578125" style="7" hidden="1" customWidth="1"/>
    <col min="3" max="3" width="10.42578125" style="7" customWidth="1"/>
    <col min="4" max="4" width="12.28515625" style="7" bestFit="1" customWidth="1"/>
    <col min="5" max="7" width="12.28515625" style="7" customWidth="1"/>
    <col min="8" max="8" width="9.140625" style="7" hidden="1" customWidth="1"/>
    <col min="9" max="9" width="8.140625" style="7" hidden="1" customWidth="1"/>
    <col min="10" max="14" width="8.85546875" style="7" customWidth="1"/>
    <col min="15" max="16" width="9" style="7" hidden="1" customWidth="1"/>
    <col min="17" max="21" width="8.85546875" style="7" customWidth="1"/>
    <col min="22" max="22" width="13" style="98" customWidth="1"/>
    <col min="23" max="23" width="3.28515625" style="99" customWidth="1"/>
    <col min="24" max="24" width="11" style="99"/>
    <col min="25" max="25" width="17.28515625" style="99" bestFit="1" customWidth="1"/>
    <col min="26" max="26" width="13.140625" style="99" bestFit="1" customWidth="1"/>
    <col min="27" max="71" width="11" style="99"/>
    <col min="72" max="16384" width="11" style="7"/>
  </cols>
  <sheetData>
    <row r="1" spans="1:71" ht="19.5" x14ac:dyDescent="0.25">
      <c r="A1" s="82" t="s">
        <v>59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111"/>
    </row>
    <row r="2" spans="1:71" s="8" customFormat="1" x14ac:dyDescent="0.25">
      <c r="A2" s="84" t="s">
        <v>58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112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</row>
    <row r="3" spans="1:71" s="11" customFormat="1" x14ac:dyDescent="0.25">
      <c r="A3" s="9"/>
      <c r="B3" s="9"/>
      <c r="C3" s="9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9"/>
      <c r="P3" s="9"/>
      <c r="Q3" s="9"/>
      <c r="R3" s="9"/>
      <c r="S3" s="9"/>
      <c r="T3" s="9"/>
      <c r="U3" s="9"/>
      <c r="V3" s="9"/>
      <c r="W3" s="10"/>
    </row>
    <row r="4" spans="1:71" s="12" customFormat="1" x14ac:dyDescent="0.25">
      <c r="A4" s="86" t="s">
        <v>0</v>
      </c>
      <c r="B4" s="89" t="s">
        <v>57</v>
      </c>
      <c r="C4" s="89"/>
      <c r="D4" s="89"/>
      <c r="E4" s="89"/>
      <c r="F4" s="89"/>
      <c r="G4" s="90"/>
      <c r="H4" s="93" t="s">
        <v>1</v>
      </c>
      <c r="I4" s="78"/>
      <c r="J4" s="78"/>
      <c r="K4" s="78"/>
      <c r="L4" s="78"/>
      <c r="M4" s="78"/>
      <c r="N4" s="94"/>
      <c r="O4" s="93" t="s">
        <v>2</v>
      </c>
      <c r="P4" s="78"/>
      <c r="Q4" s="78"/>
      <c r="R4" s="78"/>
      <c r="S4" s="78"/>
      <c r="T4" s="78"/>
      <c r="U4" s="78"/>
      <c r="V4" s="79" t="s">
        <v>38</v>
      </c>
      <c r="W4" s="113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</row>
    <row r="5" spans="1:71" s="12" customFormat="1" x14ac:dyDescent="0.25">
      <c r="A5" s="87"/>
      <c r="B5" s="91"/>
      <c r="C5" s="91"/>
      <c r="D5" s="91"/>
      <c r="E5" s="91"/>
      <c r="F5" s="91"/>
      <c r="G5" s="92"/>
      <c r="H5" s="95" t="s">
        <v>3</v>
      </c>
      <c r="I5" s="96"/>
      <c r="J5" s="96"/>
      <c r="K5" s="96"/>
      <c r="L5" s="96"/>
      <c r="M5" s="96"/>
      <c r="N5" s="97"/>
      <c r="O5" s="95" t="s">
        <v>4</v>
      </c>
      <c r="P5" s="96"/>
      <c r="Q5" s="96"/>
      <c r="R5" s="96"/>
      <c r="S5" s="96"/>
      <c r="T5" s="96"/>
      <c r="U5" s="96"/>
      <c r="V5" s="80"/>
      <c r="W5" s="113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</row>
    <row r="6" spans="1:71" s="18" customFormat="1" x14ac:dyDescent="0.25">
      <c r="A6" s="88"/>
      <c r="B6" s="13">
        <v>2015</v>
      </c>
      <c r="C6" s="13">
        <v>2016</v>
      </c>
      <c r="D6" s="13">
        <v>2017</v>
      </c>
      <c r="E6" s="13">
        <v>2018</v>
      </c>
      <c r="F6" s="13">
        <v>2019</v>
      </c>
      <c r="G6" s="16">
        <v>2020</v>
      </c>
      <c r="H6" s="14">
        <v>2014</v>
      </c>
      <c r="I6" s="15">
        <v>2015</v>
      </c>
      <c r="J6" s="15">
        <v>2016</v>
      </c>
      <c r="K6" s="15">
        <v>2017</v>
      </c>
      <c r="L6" s="15">
        <v>2018</v>
      </c>
      <c r="M6" s="15">
        <v>2019</v>
      </c>
      <c r="N6" s="16">
        <v>2020</v>
      </c>
      <c r="O6" s="17">
        <v>2014</v>
      </c>
      <c r="P6" s="13">
        <v>2015</v>
      </c>
      <c r="Q6" s="13">
        <v>2016</v>
      </c>
      <c r="R6" s="13">
        <v>2017</v>
      </c>
      <c r="S6" s="13">
        <v>2018</v>
      </c>
      <c r="T6" s="13">
        <v>2019</v>
      </c>
      <c r="U6" s="13">
        <v>2020</v>
      </c>
      <c r="V6" s="81"/>
      <c r="W6" s="100"/>
      <c r="X6" s="11"/>
      <c r="Y6" s="11"/>
      <c r="Z6" s="11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</row>
    <row r="7" spans="1:71" s="24" customFormat="1" ht="15.75" customHeight="1" x14ac:dyDescent="0.4">
      <c r="A7" s="19" t="s">
        <v>5</v>
      </c>
      <c r="B7" s="20">
        <f t="shared" ref="B7" si="0">SUM(B8,B17,B18,B22,B30,B21)</f>
        <v>2215411.7713000001</v>
      </c>
      <c r="C7" s="20">
        <f>SUM(C8,C17,C18,C22,C30,C21)</f>
        <v>2145317.2528799996</v>
      </c>
      <c r="D7" s="20">
        <f>SUM(D8,D17,D18,D22,D30,D21)</f>
        <v>3068176.8116000001</v>
      </c>
      <c r="E7" s="20">
        <f>SUM(E8,E17,E18,E22,E30,E21)</f>
        <v>2796690.3097900008</v>
      </c>
      <c r="F7" s="20">
        <f>SUM(F8,F17,F18,F22,F30,F21)</f>
        <v>2431540.8970600003</v>
      </c>
      <c r="G7" s="21">
        <f>SUM(G8,G17,G18,G22,G30,G21)</f>
        <v>2504298.1249300004</v>
      </c>
      <c r="H7" s="22" t="e">
        <f>SUM(H30,H22,H18,H17,H8,H21)</f>
        <v>#REF!</v>
      </c>
      <c r="I7" s="23">
        <f t="shared" ref="I7" si="1">SUM(I30,I22,I18,I17,I8,I21)</f>
        <v>99.999999999999986</v>
      </c>
      <c r="J7" s="23">
        <f>SUM(J30,J22,J18,J17,J8,J21)</f>
        <v>100</v>
      </c>
      <c r="K7" s="23">
        <f>SUM(K30,K22,K18,K17,K8,K21)</f>
        <v>100</v>
      </c>
      <c r="L7" s="23">
        <f>SUM(L30,L22,L18,L17,L8,L21)</f>
        <v>100</v>
      </c>
      <c r="M7" s="23">
        <f>SUM(M30,M22,M18,M17,M8,M21)</f>
        <v>99.999999999999972</v>
      </c>
      <c r="N7" s="65">
        <f>SUM(N30,N22,N18,N17,N8,N21)</f>
        <v>102.99222719050177</v>
      </c>
      <c r="O7" s="5" t="e">
        <f>((#REF!-#REF!)/#REF!)*100</f>
        <v>#REF!</v>
      </c>
      <c r="P7" s="1" t="e">
        <f>((B7-#REF!)/#REF!)*100</f>
        <v>#REF!</v>
      </c>
      <c r="Q7" s="1">
        <f t="shared" ref="Q7:U22" si="2">((C7-B7)/B7)*100</f>
        <v>-3.1639498953672711</v>
      </c>
      <c r="R7" s="1">
        <f t="shared" si="2"/>
        <v>43.017393230819351</v>
      </c>
      <c r="S7" s="1">
        <f t="shared" si="2"/>
        <v>-8.8484633865811642</v>
      </c>
      <c r="T7" s="1">
        <f t="shared" si="2"/>
        <v>-13.05648363895604</v>
      </c>
      <c r="U7" s="1">
        <f t="shared" si="2"/>
        <v>2.9922271905017732</v>
      </c>
      <c r="V7" s="108" t="s">
        <v>6</v>
      </c>
      <c r="W7" s="101"/>
      <c r="X7" s="11"/>
      <c r="Y7" s="11"/>
      <c r="Z7" s="1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</row>
    <row r="8" spans="1:71" s="24" customFormat="1" ht="15.75" customHeight="1" x14ac:dyDescent="0.4">
      <c r="A8" s="25" t="s">
        <v>7</v>
      </c>
      <c r="B8" s="26">
        <f t="shared" ref="B8:F8" si="3">SUM(B9:B16)</f>
        <v>914364.13443999994</v>
      </c>
      <c r="C8" s="26">
        <f t="shared" si="3"/>
        <v>825995.70250999986</v>
      </c>
      <c r="D8" s="26">
        <f t="shared" si="3"/>
        <v>1013711.50981</v>
      </c>
      <c r="E8" s="26">
        <f t="shared" si="3"/>
        <v>1134613.3933700004</v>
      </c>
      <c r="F8" s="35">
        <f t="shared" si="3"/>
        <v>957590.5027500001</v>
      </c>
      <c r="G8" s="36">
        <f t="shared" ref="G8" si="4">SUM(G9:G16)</f>
        <v>885517.88605999993</v>
      </c>
      <c r="H8" s="27" t="e">
        <f>(#REF!/#REF!)*100</f>
        <v>#REF!</v>
      </c>
      <c r="I8" s="28">
        <f>(B8/$B$7)*100</f>
        <v>41.272875150584419</v>
      </c>
      <c r="J8" s="28">
        <f>(C8/$C$7)*100</f>
        <v>38.50226354172721</v>
      </c>
      <c r="K8" s="28">
        <f>(D8/$D$7)*100</f>
        <v>33.039540158748778</v>
      </c>
      <c r="L8" s="28">
        <f t="shared" ref="L8:L30" si="5">(E8/$E$7)*100</f>
        <v>40.569861789780965</v>
      </c>
      <c r="M8" s="28">
        <f>(F8/$F$7)*100</f>
        <v>39.382043868060457</v>
      </c>
      <c r="N8" s="66">
        <f>(G8/$F$7)*100</f>
        <v>36.417972123384317</v>
      </c>
      <c r="O8" s="1" t="e">
        <f>((#REF!-#REF!)/#REF!)*100</f>
        <v>#REF!</v>
      </c>
      <c r="P8" s="1" t="e">
        <f>((B8-#REF!)/#REF!)*100</f>
        <v>#REF!</v>
      </c>
      <c r="Q8" s="1">
        <f t="shared" si="2"/>
        <v>-9.6644683011458135</v>
      </c>
      <c r="R8" s="1">
        <f t="shared" si="2"/>
        <v>22.726002899237546</v>
      </c>
      <c r="S8" s="1">
        <f t="shared" si="2"/>
        <v>11.92665589667233</v>
      </c>
      <c r="T8" s="1">
        <f t="shared" si="2"/>
        <v>-15.602044859898168</v>
      </c>
      <c r="U8" s="1">
        <f t="shared" si="2"/>
        <v>-7.5264548346106883</v>
      </c>
      <c r="V8" s="108" t="s">
        <v>8</v>
      </c>
      <c r="W8" s="101"/>
      <c r="X8" s="11"/>
      <c r="Y8" s="11"/>
      <c r="Z8" s="1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</row>
    <row r="9" spans="1:71" s="45" customFormat="1" ht="15.75" customHeight="1" x14ac:dyDescent="0.4">
      <c r="A9" s="29" t="s">
        <v>18</v>
      </c>
      <c r="B9" s="30">
        <v>232558.78039</v>
      </c>
      <c r="C9" s="30">
        <v>188612.58134999961</v>
      </c>
      <c r="D9" s="30">
        <v>213766.68318999998</v>
      </c>
      <c r="E9" s="30">
        <v>206197.43750000015</v>
      </c>
      <c r="F9" s="30">
        <v>231029.20907999997</v>
      </c>
      <c r="G9" s="67">
        <v>200773.89124</v>
      </c>
      <c r="H9" s="31" t="e">
        <f>(#REF!/#REF!)*100</f>
        <v>#REF!</v>
      </c>
      <c r="I9" s="32">
        <f t="shared" ref="I9:I33" si="6">(B9/$B$7)*100</f>
        <v>10.49731627333256</v>
      </c>
      <c r="J9" s="32">
        <f>(C9/$C$7)*100</f>
        <v>8.791826994203074</v>
      </c>
      <c r="K9" s="32">
        <f t="shared" ref="K9:K32" si="7">(D9/$D$7)*100</f>
        <v>6.9672217840185162</v>
      </c>
      <c r="L9" s="32">
        <f t="shared" si="5"/>
        <v>7.3729092126572704</v>
      </c>
      <c r="M9" s="32">
        <f>(F9/$F$7)*100</f>
        <v>9.5013499200996225</v>
      </c>
      <c r="N9" s="68">
        <f>(G9/$F$7)*100</f>
        <v>8.2570641309285673</v>
      </c>
      <c r="O9" s="64" t="e">
        <f>((#REF!-#REF!)/#REF!)*100</f>
        <v>#REF!</v>
      </c>
      <c r="P9" s="64" t="e">
        <f>((B9-#REF!)/#REF!)*100</f>
        <v>#REF!</v>
      </c>
      <c r="Q9" s="64">
        <f t="shared" si="2"/>
        <v>-18.896813513685792</v>
      </c>
      <c r="R9" s="64">
        <f t="shared" si="2"/>
        <v>13.336385971688214</v>
      </c>
      <c r="S9" s="64">
        <f t="shared" si="2"/>
        <v>-3.5408912076687566</v>
      </c>
      <c r="T9" s="64">
        <f t="shared" si="2"/>
        <v>12.042715894565765</v>
      </c>
      <c r="U9" s="64">
        <f t="shared" si="2"/>
        <v>-13.095884265233003</v>
      </c>
      <c r="V9" s="108" t="s">
        <v>19</v>
      </c>
      <c r="W9" s="102"/>
      <c r="X9" s="99"/>
      <c r="Y9" s="99"/>
      <c r="Z9" s="99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</row>
    <row r="10" spans="1:71" s="45" customFormat="1" ht="15.75" customHeight="1" x14ac:dyDescent="0.4">
      <c r="A10" s="29" t="s">
        <v>13</v>
      </c>
      <c r="B10" s="30">
        <v>124085.05331999999</v>
      </c>
      <c r="C10" s="30">
        <v>105654.97153000002</v>
      </c>
      <c r="D10" s="30">
        <v>88683.157289999988</v>
      </c>
      <c r="E10" s="30">
        <v>122151.57711999999</v>
      </c>
      <c r="F10" s="30">
        <v>92190.691049999965</v>
      </c>
      <c r="G10" s="67">
        <v>105392.97382999997</v>
      </c>
      <c r="H10" s="31" t="e">
        <f>(#REF!/#REF!)*100</f>
        <v>#REF!</v>
      </c>
      <c r="I10" s="32">
        <f t="shared" si="6"/>
        <v>5.6009927782945326</v>
      </c>
      <c r="J10" s="32">
        <f t="shared" ref="J10:J32" si="8">(C10/$C$7)*100</f>
        <v>4.9249112870444964</v>
      </c>
      <c r="K10" s="32">
        <f t="shared" si="7"/>
        <v>2.8904187318902683</v>
      </c>
      <c r="L10" s="32">
        <f t="shared" si="5"/>
        <v>4.3677191104213522</v>
      </c>
      <c r="M10" s="32">
        <f t="shared" ref="M10:N16" si="9">(F10/$F$7)*100</f>
        <v>3.7914513862986476</v>
      </c>
      <c r="N10" s="68">
        <f t="shared" si="9"/>
        <v>4.3344109061637273</v>
      </c>
      <c r="O10" s="64" t="e">
        <f>((#REF!-#REF!)/#REF!)*100</f>
        <v>#REF!</v>
      </c>
      <c r="P10" s="64" t="e">
        <f>((B10-#REF!)/#REF!)*100</f>
        <v>#REF!</v>
      </c>
      <c r="Q10" s="64">
        <f t="shared" si="2"/>
        <v>-14.852781456660269</v>
      </c>
      <c r="R10" s="64">
        <f t="shared" si="2"/>
        <v>-16.063431747914485</v>
      </c>
      <c r="S10" s="64">
        <f t="shared" si="2"/>
        <v>37.739319226711757</v>
      </c>
      <c r="T10" s="64">
        <f t="shared" si="2"/>
        <v>-24.527629340853185</v>
      </c>
      <c r="U10" s="64">
        <f t="shared" si="2"/>
        <v>14.320624598463743</v>
      </c>
      <c r="V10" s="108" t="s">
        <v>14</v>
      </c>
      <c r="W10" s="102"/>
      <c r="X10" s="99"/>
      <c r="Y10" s="99"/>
      <c r="Z10" s="99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</row>
    <row r="11" spans="1:71" s="45" customFormat="1" ht="15.75" customHeight="1" x14ac:dyDescent="0.4">
      <c r="A11" s="29" t="s">
        <v>15</v>
      </c>
      <c r="B11" s="30">
        <v>127377.47684999999</v>
      </c>
      <c r="C11" s="30">
        <v>88713.561470000001</v>
      </c>
      <c r="D11" s="30">
        <v>175357.36434999996</v>
      </c>
      <c r="E11" s="30">
        <v>258059.13361999998</v>
      </c>
      <c r="F11" s="30">
        <v>174146.35357000001</v>
      </c>
      <c r="G11" s="67">
        <v>179369.27398999999</v>
      </c>
      <c r="H11" s="31" t="e">
        <f>(#REF!/#REF!)*100</f>
        <v>#REF!</v>
      </c>
      <c r="I11" s="32">
        <f t="shared" si="6"/>
        <v>5.7496072964916625</v>
      </c>
      <c r="J11" s="32">
        <f>(C11/$C$7)*100</f>
        <v>4.1352187584799269</v>
      </c>
      <c r="K11" s="32">
        <f t="shared" si="7"/>
        <v>5.7153604605516257</v>
      </c>
      <c r="L11" s="32">
        <f t="shared" si="5"/>
        <v>9.22730460060761</v>
      </c>
      <c r="M11" s="32">
        <f t="shared" si="9"/>
        <v>7.1619750990230946</v>
      </c>
      <c r="N11" s="68">
        <f t="shared" si="9"/>
        <v>7.376773888807592</v>
      </c>
      <c r="O11" s="64" t="e">
        <f>((#REF!-#REF!)/#REF!)*100</f>
        <v>#REF!</v>
      </c>
      <c r="P11" s="64" t="e">
        <f>((B11-#REF!)/#REF!)*100</f>
        <v>#REF!</v>
      </c>
      <c r="Q11" s="64">
        <f t="shared" si="2"/>
        <v>-30.353808488082006</v>
      </c>
      <c r="R11" s="64">
        <f t="shared" si="2"/>
        <v>97.666919740675766</v>
      </c>
      <c r="S11" s="64">
        <f t="shared" si="2"/>
        <v>47.161845512763058</v>
      </c>
      <c r="T11" s="64">
        <f t="shared" si="2"/>
        <v>-32.516880481186192</v>
      </c>
      <c r="U11" s="64">
        <f t="shared" si="2"/>
        <v>2.9991557749732447</v>
      </c>
      <c r="V11" s="108" t="s">
        <v>16</v>
      </c>
      <c r="W11" s="102"/>
      <c r="X11" s="99"/>
      <c r="Y11" s="99"/>
      <c r="Z11" s="99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</row>
    <row r="12" spans="1:71" s="45" customFormat="1" ht="15.75" customHeight="1" x14ac:dyDescent="0.4">
      <c r="A12" s="29" t="s">
        <v>11</v>
      </c>
      <c r="B12" s="30">
        <v>154077.37527000002</v>
      </c>
      <c r="C12" s="30">
        <v>187349.15192000015</v>
      </c>
      <c r="D12" s="30">
        <v>220705.70510999995</v>
      </c>
      <c r="E12" s="30">
        <v>355433.42591000017</v>
      </c>
      <c r="F12" s="30">
        <v>286720.38575000013</v>
      </c>
      <c r="G12" s="67">
        <v>242468.17299000002</v>
      </c>
      <c r="H12" s="31" t="e">
        <f>(#REF!/#REF!)*100</f>
        <v>#REF!</v>
      </c>
      <c r="I12" s="32">
        <f t="shared" si="6"/>
        <v>6.9547962715566705</v>
      </c>
      <c r="J12" s="32">
        <f t="shared" si="8"/>
        <v>8.7329345656681632</v>
      </c>
      <c r="K12" s="32">
        <f t="shared" si="7"/>
        <v>7.1933828674921054</v>
      </c>
      <c r="L12" s="32">
        <f t="shared" si="5"/>
        <v>12.709073459645559</v>
      </c>
      <c r="M12" s="32">
        <f t="shared" si="9"/>
        <v>11.791715537117904</v>
      </c>
      <c r="N12" s="68">
        <f t="shared" si="9"/>
        <v>9.9717908624597111</v>
      </c>
      <c r="O12" s="64" t="e">
        <f>((#REF!-#REF!)/#REF!)*100</f>
        <v>#REF!</v>
      </c>
      <c r="P12" s="64" t="e">
        <f>((B12-#REF!)/#REF!)*100</f>
        <v>#REF!</v>
      </c>
      <c r="Q12" s="64">
        <f t="shared" si="2"/>
        <v>21.594200051562265</v>
      </c>
      <c r="R12" s="64">
        <f t="shared" si="2"/>
        <v>17.804485821341409</v>
      </c>
      <c r="S12" s="64">
        <f t="shared" si="2"/>
        <v>61.044058980193462</v>
      </c>
      <c r="T12" s="64">
        <f t="shared" si="2"/>
        <v>-19.332182949332111</v>
      </c>
      <c r="U12" s="64">
        <f t="shared" si="2"/>
        <v>-15.433926208018187</v>
      </c>
      <c r="V12" s="108" t="s">
        <v>12</v>
      </c>
      <c r="W12" s="102"/>
      <c r="X12" s="99"/>
      <c r="Y12" s="99"/>
      <c r="Z12" s="99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</row>
    <row r="13" spans="1:71" s="45" customFormat="1" ht="15.75" customHeight="1" x14ac:dyDescent="0.4">
      <c r="A13" s="29" t="s">
        <v>9</v>
      </c>
      <c r="B13" s="30">
        <v>79772.600709999999</v>
      </c>
      <c r="C13" s="30">
        <v>38876.185309999979</v>
      </c>
      <c r="D13" s="30">
        <v>10599.19361</v>
      </c>
      <c r="E13" s="30">
        <v>17857.254080000002</v>
      </c>
      <c r="F13" s="30">
        <v>31529.092810000006</v>
      </c>
      <c r="G13" s="67">
        <v>36755.579680000003</v>
      </c>
      <c r="H13" s="31" t="e">
        <f>(#REF!/#REF!)*100</f>
        <v>#REF!</v>
      </c>
      <c r="I13" s="32">
        <f t="shared" si="6"/>
        <v>3.6008024216279013</v>
      </c>
      <c r="J13" s="32">
        <f t="shared" si="8"/>
        <v>1.8121415495918054</v>
      </c>
      <c r="K13" s="32">
        <f t="shared" si="7"/>
        <v>0.34545576284675417</v>
      </c>
      <c r="L13" s="32">
        <f t="shared" si="5"/>
        <v>0.63851381819036213</v>
      </c>
      <c r="M13" s="32">
        <f t="shared" si="9"/>
        <v>1.2966712938335578</v>
      </c>
      <c r="N13" s="68">
        <f t="shared" si="9"/>
        <v>1.5116167580994229</v>
      </c>
      <c r="O13" s="64" t="e">
        <f>((#REF!-#REF!)/#REF!)*100</f>
        <v>#REF!</v>
      </c>
      <c r="P13" s="64" t="e">
        <f>((B13-#REF!)/#REF!)*100</f>
        <v>#REF!</v>
      </c>
      <c r="Q13" s="64">
        <f t="shared" si="2"/>
        <v>-51.266243090998273</v>
      </c>
      <c r="R13" s="64">
        <f t="shared" si="2"/>
        <v>-72.736024572674282</v>
      </c>
      <c r="S13" s="64">
        <f t="shared" si="2"/>
        <v>68.477477976742065</v>
      </c>
      <c r="T13" s="64">
        <f t="shared" si="2"/>
        <v>76.561820024235232</v>
      </c>
      <c r="U13" s="64">
        <f t="shared" si="2"/>
        <v>16.576711868926104</v>
      </c>
      <c r="V13" s="108" t="s">
        <v>10</v>
      </c>
      <c r="W13" s="102"/>
      <c r="X13" s="99"/>
      <c r="Y13" s="99"/>
      <c r="Z13" s="99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</row>
    <row r="14" spans="1:71" s="45" customFormat="1" ht="15.75" customHeight="1" x14ac:dyDescent="0.4">
      <c r="A14" s="29" t="s">
        <v>39</v>
      </c>
      <c r="B14" s="30">
        <v>23866.289929999999</v>
      </c>
      <c r="C14" s="30">
        <v>29675.590509999976</v>
      </c>
      <c r="D14" s="30">
        <v>62741.776270000002</v>
      </c>
      <c r="E14" s="30">
        <v>56278.4859</v>
      </c>
      <c r="F14" s="30">
        <v>47594.873639999991</v>
      </c>
      <c r="G14" s="67">
        <v>32880.42239</v>
      </c>
      <c r="H14" s="31" t="e">
        <f>(#REF!/#REF!)*100</f>
        <v>#REF!</v>
      </c>
      <c r="I14" s="32">
        <f t="shared" si="6"/>
        <v>1.0772846041165205</v>
      </c>
      <c r="J14" s="32">
        <f t="shared" si="8"/>
        <v>1.3832728222439699</v>
      </c>
      <c r="K14" s="32">
        <f t="shared" si="7"/>
        <v>2.0449204893534563</v>
      </c>
      <c r="L14" s="32">
        <f t="shared" si="5"/>
        <v>2.012324557459702</v>
      </c>
      <c r="M14" s="32">
        <f t="shared" si="9"/>
        <v>1.9573955633461653</v>
      </c>
      <c r="N14" s="68">
        <f t="shared" si="9"/>
        <v>1.3522463237100406</v>
      </c>
      <c r="O14" s="64" t="e">
        <f>((#REF!-#REF!)/#REF!)*100</f>
        <v>#REF!</v>
      </c>
      <c r="P14" s="64" t="e">
        <f>((B14-#REF!)/#REF!)*100</f>
        <v>#REF!</v>
      </c>
      <c r="Q14" s="64">
        <f t="shared" si="2"/>
        <v>24.341029112772443</v>
      </c>
      <c r="R14" s="75" t="s">
        <v>60</v>
      </c>
      <c r="S14" s="64">
        <f t="shared" si="2"/>
        <v>-10.301414391244174</v>
      </c>
      <c r="T14" s="64">
        <f t="shared" si="2"/>
        <v>-15.429719050064225</v>
      </c>
      <c r="U14" s="64">
        <f t="shared" si="2"/>
        <v>-30.916042263916378</v>
      </c>
      <c r="V14" s="108" t="s">
        <v>40</v>
      </c>
      <c r="W14" s="102"/>
      <c r="X14" s="99"/>
      <c r="Y14" s="99"/>
      <c r="Z14" s="99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</row>
    <row r="15" spans="1:71" s="45" customFormat="1" ht="15.75" customHeight="1" x14ac:dyDescent="0.4">
      <c r="A15" s="29" t="s">
        <v>41</v>
      </c>
      <c r="B15" s="30">
        <v>804.31664000000001</v>
      </c>
      <c r="C15" s="30">
        <v>81.074569999999994</v>
      </c>
      <c r="D15" s="30">
        <v>0</v>
      </c>
      <c r="E15" s="30">
        <v>14.380469999999999</v>
      </c>
      <c r="F15" s="30">
        <v>123.50001</v>
      </c>
      <c r="G15" s="67">
        <v>157.57307</v>
      </c>
      <c r="H15" s="31" t="e">
        <f>(#REF!/#REF!)*100</f>
        <v>#REF!</v>
      </c>
      <c r="I15" s="32">
        <f t="shared" si="6"/>
        <v>3.6305514415860857E-2</v>
      </c>
      <c r="J15" s="32">
        <f t="shared" si="8"/>
        <v>3.7791412851018065E-3</v>
      </c>
      <c r="K15" s="32">
        <f t="shared" si="7"/>
        <v>0</v>
      </c>
      <c r="L15" s="32">
        <f t="shared" si="5"/>
        <v>5.1419601053646186E-4</v>
      </c>
      <c r="M15" s="32">
        <f t="shared" si="9"/>
        <v>5.0790842197770579E-3</v>
      </c>
      <c r="N15" s="68">
        <f t="shared" si="9"/>
        <v>6.480379178097441E-3</v>
      </c>
      <c r="O15" s="64" t="e">
        <f>((#REF!-#REF!)/#REF!)*100</f>
        <v>#REF!</v>
      </c>
      <c r="P15" s="64" t="e">
        <f>((B15-#REF!)/#REF!)*100</f>
        <v>#REF!</v>
      </c>
      <c r="Q15" s="64">
        <f t="shared" si="2"/>
        <v>-89.920068046832895</v>
      </c>
      <c r="R15" s="64">
        <f t="shared" si="2"/>
        <v>-100</v>
      </c>
      <c r="S15" s="64">
        <v>0</v>
      </c>
      <c r="T15" s="75" t="s">
        <v>60</v>
      </c>
      <c r="U15" s="64">
        <f t="shared" si="2"/>
        <v>27.589520033237243</v>
      </c>
      <c r="V15" s="108" t="s">
        <v>42</v>
      </c>
      <c r="W15" s="102"/>
      <c r="X15" s="99"/>
      <c r="Y15" s="99"/>
      <c r="Z15" s="99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</row>
    <row r="16" spans="1:71" s="45" customFormat="1" ht="15.75" customHeight="1" x14ac:dyDescent="0.4">
      <c r="A16" s="29" t="s">
        <v>23</v>
      </c>
      <c r="B16" s="30">
        <v>171822.24132999999</v>
      </c>
      <c r="C16" s="30">
        <v>187032.58585</v>
      </c>
      <c r="D16" s="30">
        <v>241857.62999000002</v>
      </c>
      <c r="E16" s="30">
        <v>118621.69877000025</v>
      </c>
      <c r="F16" s="30">
        <v>94256.396839999914</v>
      </c>
      <c r="G16" s="67">
        <v>87719.99887000001</v>
      </c>
      <c r="H16" s="31" t="e">
        <f>(#REF!/#REF!)*100</f>
        <v>#REF!</v>
      </c>
      <c r="I16" s="32">
        <f t="shared" si="6"/>
        <v>7.7557699907487159</v>
      </c>
      <c r="J16" s="32">
        <f t="shared" si="8"/>
        <v>8.71817842321067</v>
      </c>
      <c r="K16" s="32">
        <f t="shared" si="7"/>
        <v>7.8827800625960514</v>
      </c>
      <c r="L16" s="32">
        <f t="shared" si="5"/>
        <v>4.2415028347885748</v>
      </c>
      <c r="M16" s="32">
        <f t="shared" si="9"/>
        <v>3.8764059841216838</v>
      </c>
      <c r="N16" s="68">
        <f t="shared" si="9"/>
        <v>3.6075888740371633</v>
      </c>
      <c r="O16" s="64" t="e">
        <f>((#REF!-#REF!)/#REF!)*100</f>
        <v>#REF!</v>
      </c>
      <c r="P16" s="64" t="e">
        <f>((B16-#REF!)/#REF!)*100</f>
        <v>#REF!</v>
      </c>
      <c r="Q16" s="64">
        <f t="shared" si="2"/>
        <v>8.8523723135395418</v>
      </c>
      <c r="R16" s="64">
        <f t="shared" si="2"/>
        <v>29.313097442800505</v>
      </c>
      <c r="S16" s="64">
        <f t="shared" si="2"/>
        <v>-50.953915005739184</v>
      </c>
      <c r="T16" s="64">
        <f t="shared" si="2"/>
        <v>-20.540341423741594</v>
      </c>
      <c r="U16" s="64">
        <f t="shared" si="2"/>
        <v>-6.9346995950793966</v>
      </c>
      <c r="V16" s="108" t="s">
        <v>24</v>
      </c>
      <c r="W16" s="102"/>
      <c r="X16" s="99"/>
      <c r="Y16" s="99"/>
      <c r="Z16" s="99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</row>
    <row r="17" spans="1:71" s="24" customFormat="1" ht="15.75" customHeight="1" x14ac:dyDescent="0.4">
      <c r="A17" s="33" t="s">
        <v>25</v>
      </c>
      <c r="B17" s="34">
        <v>2396.2584499999998</v>
      </c>
      <c r="C17" s="34">
        <v>50.37229</v>
      </c>
      <c r="D17" s="34">
        <v>625.16800000000001</v>
      </c>
      <c r="E17" s="34">
        <v>6677.9539800000002</v>
      </c>
      <c r="F17" s="34">
        <v>3193.5310800000002</v>
      </c>
      <c r="G17" s="69">
        <v>11669.233679999999</v>
      </c>
      <c r="H17" s="27" t="e">
        <f>(#REF!/#REF!)*100</f>
        <v>#REF!</v>
      </c>
      <c r="I17" s="28">
        <f t="shared" si="6"/>
        <v>0.10816311807325457</v>
      </c>
      <c r="J17" s="28">
        <f>(C17/$C$7)*100</f>
        <v>2.3480112292192348E-3</v>
      </c>
      <c r="K17" s="28">
        <f t="shared" si="7"/>
        <v>2.0375879174772394E-2</v>
      </c>
      <c r="L17" s="28">
        <f t="shared" si="5"/>
        <v>0.23878060279407332</v>
      </c>
      <c r="M17" s="28">
        <f t="shared" ref="M17:N19" si="10">(F17/$F$7)*100</f>
        <v>0.13133774899123965</v>
      </c>
      <c r="N17" s="66">
        <f t="shared" si="10"/>
        <v>0.47991105944832685</v>
      </c>
      <c r="O17" s="1" t="e">
        <f>((#REF!-#REF!)/#REF!)*100</f>
        <v>#REF!</v>
      </c>
      <c r="P17" s="1" t="e">
        <f>((B17-#REF!)/#REF!)*100</f>
        <v>#REF!</v>
      </c>
      <c r="Q17" s="1">
        <f t="shared" si="2"/>
        <v>-97.897877418022262</v>
      </c>
      <c r="R17" s="74" t="s">
        <v>60</v>
      </c>
      <c r="S17" s="74" t="s">
        <v>60</v>
      </c>
      <c r="T17" s="1">
        <f t="shared" si="2"/>
        <v>-52.178001082900536</v>
      </c>
      <c r="U17" s="74" t="s">
        <v>60</v>
      </c>
      <c r="V17" s="109" t="s">
        <v>43</v>
      </c>
      <c r="W17" s="101"/>
      <c r="X17" s="11"/>
      <c r="Y17" s="11"/>
      <c r="Z17" s="1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</row>
    <row r="18" spans="1:71" s="24" customFormat="1" ht="15.75" customHeight="1" x14ac:dyDescent="0.4">
      <c r="A18" s="33" t="s">
        <v>21</v>
      </c>
      <c r="B18" s="35">
        <f t="shared" ref="B18:G18" si="11">SUM(B19:B20)</f>
        <v>233868.07108000002</v>
      </c>
      <c r="C18" s="35">
        <f t="shared" si="11"/>
        <v>194037.17799</v>
      </c>
      <c r="D18" s="35">
        <f t="shared" si="11"/>
        <v>226921.45573999983</v>
      </c>
      <c r="E18" s="35">
        <f t="shared" si="11"/>
        <v>248219.53900999992</v>
      </c>
      <c r="F18" s="35">
        <f t="shared" si="11"/>
        <v>231977.77517000001</v>
      </c>
      <c r="G18" s="36">
        <f t="shared" si="11"/>
        <v>187613.28936</v>
      </c>
      <c r="H18" s="27" t="e">
        <f>(#REF!/#REF!)*100</f>
        <v>#REF!</v>
      </c>
      <c r="I18" s="28">
        <f t="shared" si="6"/>
        <v>10.556415475880884</v>
      </c>
      <c r="J18" s="28">
        <f t="shared" si="8"/>
        <v>9.0446845439532595</v>
      </c>
      <c r="K18" s="28">
        <f t="shared" si="7"/>
        <v>7.3959706260104454</v>
      </c>
      <c r="L18" s="28">
        <f t="shared" si="5"/>
        <v>8.8754746330364469</v>
      </c>
      <c r="M18" s="28">
        <f t="shared" si="10"/>
        <v>9.54036082430226</v>
      </c>
      <c r="N18" s="66">
        <f t="shared" si="10"/>
        <v>7.7158187874546975</v>
      </c>
      <c r="O18" s="1" t="e">
        <f>((#REF!-#REF!)/#REF!)*100</f>
        <v>#REF!</v>
      </c>
      <c r="P18" s="1" t="e">
        <f>((B18-#REF!)/#REF!)*100</f>
        <v>#REF!</v>
      </c>
      <c r="Q18" s="1">
        <f t="shared" si="2"/>
        <v>-17.03135143932279</v>
      </c>
      <c r="R18" s="1">
        <f t="shared" si="2"/>
        <v>16.947410847056627</v>
      </c>
      <c r="S18" s="1">
        <f t="shared" si="2"/>
        <v>9.3856630703104731</v>
      </c>
      <c r="T18" s="1">
        <f t="shared" si="2"/>
        <v>-6.5433059398863787</v>
      </c>
      <c r="U18" s="1">
        <f t="shared" si="2"/>
        <v>-19.124455253305381</v>
      </c>
      <c r="V18" s="109" t="s">
        <v>33</v>
      </c>
      <c r="W18" s="101"/>
      <c r="X18" s="11"/>
      <c r="Y18" s="11"/>
      <c r="Z18" s="1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</row>
    <row r="19" spans="1:71" s="45" customFormat="1" ht="15.75" customHeight="1" x14ac:dyDescent="0.4">
      <c r="A19" s="37" t="s">
        <v>44</v>
      </c>
      <c r="B19" s="38">
        <v>225544.64430000001</v>
      </c>
      <c r="C19" s="39">
        <v>190111.46001000001</v>
      </c>
      <c r="D19" s="39">
        <v>213849.82423999984</v>
      </c>
      <c r="E19" s="39">
        <v>231443.47718999995</v>
      </c>
      <c r="F19" s="39">
        <v>213889.84269000002</v>
      </c>
      <c r="G19" s="70">
        <v>132121.7273</v>
      </c>
      <c r="H19" s="31" t="e">
        <f>(#REF!/#REF!)*100</f>
        <v>#REF!</v>
      </c>
      <c r="I19" s="32">
        <f t="shared" si="6"/>
        <v>10.180709844637629</v>
      </c>
      <c r="J19" s="32">
        <f t="shared" si="8"/>
        <v>8.8616944535724613</v>
      </c>
      <c r="K19" s="32">
        <f t="shared" si="7"/>
        <v>6.9699315708106448</v>
      </c>
      <c r="L19" s="32">
        <f t="shared" si="5"/>
        <v>8.2756205211501825</v>
      </c>
      <c r="M19" s="32">
        <f t="shared" si="10"/>
        <v>8.7964731725720231</v>
      </c>
      <c r="N19" s="68">
        <f t="shared" si="10"/>
        <v>5.4336625577529736</v>
      </c>
      <c r="O19" s="64" t="e">
        <f>((#REF!-#REF!)/#REF!)*100</f>
        <v>#REF!</v>
      </c>
      <c r="P19" s="64" t="e">
        <f>((B19-#REF!)/#REF!)*100</f>
        <v>#REF!</v>
      </c>
      <c r="Q19" s="64">
        <f t="shared" si="2"/>
        <v>-15.710053501811306</v>
      </c>
      <c r="R19" s="64">
        <f t="shared" si="2"/>
        <v>12.486550904796152</v>
      </c>
      <c r="S19" s="64">
        <f t="shared" si="2"/>
        <v>8.2271065746844201</v>
      </c>
      <c r="T19" s="64">
        <f t="shared" si="2"/>
        <v>-7.5844153022249756</v>
      </c>
      <c r="U19" s="64">
        <f t="shared" si="2"/>
        <v>-38.229078277695564</v>
      </c>
      <c r="V19" s="108" t="s">
        <v>45</v>
      </c>
      <c r="W19" s="102"/>
      <c r="X19" s="99"/>
      <c r="Y19" s="99"/>
      <c r="Z19" s="99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</row>
    <row r="20" spans="1:71" s="45" customFormat="1" ht="15.75" customHeight="1" x14ac:dyDescent="0.4">
      <c r="A20" s="29" t="s">
        <v>23</v>
      </c>
      <c r="B20" s="38">
        <v>8323.4267799999998</v>
      </c>
      <c r="C20" s="39">
        <v>3925.717979999999</v>
      </c>
      <c r="D20" s="39">
        <v>13071.6315</v>
      </c>
      <c r="E20" s="39">
        <v>16776.061819999974</v>
      </c>
      <c r="F20" s="39">
        <v>18087.932479999989</v>
      </c>
      <c r="G20" s="70">
        <v>55491.562059999997</v>
      </c>
      <c r="H20" s="31" t="e">
        <f>(#REF!/#REF!)*100</f>
        <v>#REF!</v>
      </c>
      <c r="I20" s="32">
        <f t="shared" si="6"/>
        <v>0.37570563124325307</v>
      </c>
      <c r="J20" s="32">
        <f t="shared" si="8"/>
        <v>0.18299009038079964</v>
      </c>
      <c r="K20" s="32">
        <f t="shared" si="7"/>
        <v>0.4260390551998004</v>
      </c>
      <c r="L20" s="32">
        <f t="shared" si="5"/>
        <v>0.59985411188626248</v>
      </c>
      <c r="M20" s="32">
        <f t="shared" ref="M20:N33" si="12">(F20/$F$7)*100</f>
        <v>0.74388765173023752</v>
      </c>
      <c r="N20" s="68">
        <f t="shared" si="12"/>
        <v>2.2821562297017248</v>
      </c>
      <c r="O20" s="64" t="e">
        <f>((#REF!-#REF!)/#REF!)*100</f>
        <v>#REF!</v>
      </c>
      <c r="P20" s="64" t="e">
        <f>((B20-#REF!)/#REF!)*100</f>
        <v>#REF!</v>
      </c>
      <c r="Q20" s="64">
        <f t="shared" si="2"/>
        <v>-52.835315504511485</v>
      </c>
      <c r="R20" s="75" t="s">
        <v>60</v>
      </c>
      <c r="S20" s="64">
        <f t="shared" si="2"/>
        <v>28.339464128865433</v>
      </c>
      <c r="T20" s="64">
        <f t="shared" si="2"/>
        <v>7.8198964338342973</v>
      </c>
      <c r="U20" s="75" t="s">
        <v>60</v>
      </c>
      <c r="V20" s="108" t="s">
        <v>24</v>
      </c>
      <c r="W20" s="102"/>
      <c r="X20" s="99"/>
      <c r="Y20" s="99"/>
      <c r="Z20" s="99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</row>
    <row r="21" spans="1:71" s="24" customFormat="1" ht="15.75" customHeight="1" x14ac:dyDescent="0.4">
      <c r="A21" s="40" t="s">
        <v>22</v>
      </c>
      <c r="B21" s="41">
        <v>3136.9294399999999</v>
      </c>
      <c r="C21" s="41">
        <v>8726.4297100000022</v>
      </c>
      <c r="D21" s="41">
        <v>10181.431139999997</v>
      </c>
      <c r="E21" s="41">
        <v>8395.0911799999994</v>
      </c>
      <c r="F21" s="61">
        <v>6411.2771099999991</v>
      </c>
      <c r="G21" s="71">
        <v>12310.738949999999</v>
      </c>
      <c r="H21" s="27" t="e">
        <f>(#REF!/#REF!)*100</f>
        <v>#REF!</v>
      </c>
      <c r="I21" s="28">
        <f t="shared" si="6"/>
        <v>0.14159577378065724</v>
      </c>
      <c r="J21" s="28">
        <f t="shared" si="8"/>
        <v>0.40676639775702783</v>
      </c>
      <c r="K21" s="28">
        <f t="shared" si="7"/>
        <v>0.33183977864334879</v>
      </c>
      <c r="L21" s="28">
        <f t="shared" si="5"/>
        <v>0.30017950684823497</v>
      </c>
      <c r="M21" s="32">
        <f t="shared" si="12"/>
        <v>0.26367136648830114</v>
      </c>
      <c r="N21" s="68">
        <f t="shared" si="12"/>
        <v>0.50629372365832026</v>
      </c>
      <c r="O21" s="1" t="e">
        <f>((#REF!-#REF!)/#REF!)*100</f>
        <v>#REF!</v>
      </c>
      <c r="P21" s="1" t="e">
        <f>((B21-#REF!)/#REF!)*100</f>
        <v>#REF!</v>
      </c>
      <c r="Q21" s="75" t="s">
        <v>60</v>
      </c>
      <c r="R21" s="1">
        <f t="shared" si="2"/>
        <v>16.673501974497594</v>
      </c>
      <c r="S21" s="1">
        <f t="shared" si="2"/>
        <v>-17.545077263077165</v>
      </c>
      <c r="T21" s="1">
        <f t="shared" si="2"/>
        <v>-23.630643520896225</v>
      </c>
      <c r="U21" s="1">
        <f t="shared" si="2"/>
        <v>92.016952921880502</v>
      </c>
      <c r="V21" s="108" t="s">
        <v>35</v>
      </c>
      <c r="W21" s="101"/>
      <c r="X21" s="11"/>
      <c r="Y21" s="11"/>
      <c r="Z21" s="1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</row>
    <row r="22" spans="1:71" s="24" customFormat="1" ht="15.75" customHeight="1" x14ac:dyDescent="0.4">
      <c r="A22" s="33" t="s">
        <v>17</v>
      </c>
      <c r="B22" s="35">
        <f t="shared" ref="B22:G22" si="13">SUM(B23:B29)</f>
        <v>1047063.67667</v>
      </c>
      <c r="C22" s="35">
        <f t="shared" si="13"/>
        <v>1107208.3564599999</v>
      </c>
      <c r="D22" s="35">
        <f t="shared" si="13"/>
        <v>1808076.4558700006</v>
      </c>
      <c r="E22" s="35">
        <f t="shared" si="13"/>
        <v>1388178.0647500004</v>
      </c>
      <c r="F22" s="35">
        <f t="shared" si="13"/>
        <v>1221647.4688899999</v>
      </c>
      <c r="G22" s="36">
        <f t="shared" si="13"/>
        <v>1400782.9334400003</v>
      </c>
      <c r="H22" s="27" t="e">
        <f>(#REF!/#REF!)*100</f>
        <v>#REF!</v>
      </c>
      <c r="I22" s="28">
        <f t="shared" si="6"/>
        <v>47.2627116202233</v>
      </c>
      <c r="J22" s="28">
        <f t="shared" si="8"/>
        <v>51.610471829917856</v>
      </c>
      <c r="K22" s="28">
        <f t="shared" si="7"/>
        <v>58.929995462912075</v>
      </c>
      <c r="L22" s="28">
        <f t="shared" si="5"/>
        <v>49.636459921593413</v>
      </c>
      <c r="M22" s="28">
        <f>(F22/$F$7)*100</f>
        <v>50.241699424718931</v>
      </c>
      <c r="N22" s="66">
        <f>(G22/$F$7)*100</f>
        <v>57.608857623316169</v>
      </c>
      <c r="O22" s="1" t="e">
        <f>((#REF!-#REF!)/#REF!)*100</f>
        <v>#REF!</v>
      </c>
      <c r="P22" s="1" t="e">
        <f>((B22-#REF!)/#REF!)*100</f>
        <v>#REF!</v>
      </c>
      <c r="Q22" s="1">
        <f t="shared" si="2"/>
        <v>5.7441281872444891</v>
      </c>
      <c r="R22" s="1">
        <f t="shared" si="2"/>
        <v>63.300470532108108</v>
      </c>
      <c r="S22" s="1">
        <f t="shared" si="2"/>
        <v>-23.223486471314942</v>
      </c>
      <c r="T22" s="1">
        <f t="shared" si="2"/>
        <v>-11.996342550621652</v>
      </c>
      <c r="U22" s="1">
        <f t="shared" si="2"/>
        <v>14.663433528230899</v>
      </c>
      <c r="V22" s="108" t="s">
        <v>46</v>
      </c>
      <c r="W22" s="101"/>
      <c r="X22" s="11"/>
      <c r="Y22" s="11"/>
      <c r="Z22" s="1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</row>
    <row r="23" spans="1:71" s="45" customFormat="1" ht="15.75" customHeight="1" x14ac:dyDescent="0.4">
      <c r="A23" s="37" t="s">
        <v>29</v>
      </c>
      <c r="B23" s="42">
        <v>563446.57271000009</v>
      </c>
      <c r="C23" s="30">
        <v>738371.18641999969</v>
      </c>
      <c r="D23" s="30">
        <v>1492075.1333200005</v>
      </c>
      <c r="E23" s="30">
        <v>1014092.3380200005</v>
      </c>
      <c r="F23" s="30">
        <v>885773.84863999975</v>
      </c>
      <c r="G23" s="67">
        <v>1091416.5146100002</v>
      </c>
      <c r="H23" s="43" t="e">
        <f>(#REF!/#REF!)*100</f>
        <v>#REF!</v>
      </c>
      <c r="I23" s="32">
        <f t="shared" si="6"/>
        <v>25.433040485262499</v>
      </c>
      <c r="J23" s="44">
        <f t="shared" si="8"/>
        <v>34.417808621487893</v>
      </c>
      <c r="K23" s="32">
        <f t="shared" si="7"/>
        <v>48.63067629214985</v>
      </c>
      <c r="L23" s="32">
        <f t="shared" si="5"/>
        <v>36.260444514364096</v>
      </c>
      <c r="M23" s="32">
        <f t="shared" si="12"/>
        <v>36.428498887721673</v>
      </c>
      <c r="N23" s="68">
        <f t="shared" si="12"/>
        <v>44.885797147382647</v>
      </c>
      <c r="O23" s="64" t="e">
        <f>((#REF!-#REF!)/#REF!)*100</f>
        <v>#REF!</v>
      </c>
      <c r="P23" s="64" t="e">
        <f>((B23-#REF!)/#REF!)*100</f>
        <v>#REF!</v>
      </c>
      <c r="Q23" s="64">
        <f t="shared" ref="Q23:U33" si="14">((C23-B23)/B23)*100</f>
        <v>31.045465920338717</v>
      </c>
      <c r="R23" s="75" t="s">
        <v>60</v>
      </c>
      <c r="S23" s="64">
        <f t="shared" si="14"/>
        <v>-32.034767192751588</v>
      </c>
      <c r="T23" s="64">
        <f t="shared" si="14"/>
        <v>-12.653531100584056</v>
      </c>
      <c r="U23" s="64">
        <f t="shared" si="14"/>
        <v>23.216159100400205</v>
      </c>
      <c r="V23" s="108" t="s">
        <v>30</v>
      </c>
      <c r="W23" s="102"/>
      <c r="X23" s="99"/>
      <c r="Y23" s="99"/>
      <c r="Z23" s="99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</row>
    <row r="24" spans="1:71" s="45" customFormat="1" ht="15.75" customHeight="1" x14ac:dyDescent="0.4">
      <c r="A24" s="29" t="s">
        <v>27</v>
      </c>
      <c r="B24" s="42">
        <v>265745.48710999999</v>
      </c>
      <c r="C24" s="30">
        <v>218607.09901000018</v>
      </c>
      <c r="D24" s="30">
        <v>115670.73841000005</v>
      </c>
      <c r="E24" s="30">
        <v>95499.532769999976</v>
      </c>
      <c r="F24" s="30">
        <v>78765.619199999972</v>
      </c>
      <c r="G24" s="67">
        <v>71278.84580000001</v>
      </c>
      <c r="H24" s="43" t="e">
        <f>(#REF!/#REF!)*100</f>
        <v>#REF!</v>
      </c>
      <c r="I24" s="32">
        <f t="shared" si="6"/>
        <v>11.99530897834225</v>
      </c>
      <c r="J24" s="44">
        <f t="shared" si="8"/>
        <v>10.189966016286366</v>
      </c>
      <c r="K24" s="32">
        <f t="shared" si="7"/>
        <v>3.7700154036976699</v>
      </c>
      <c r="L24" s="32">
        <f t="shared" si="5"/>
        <v>3.4147339244426709</v>
      </c>
      <c r="M24" s="32">
        <f t="shared" si="12"/>
        <v>3.2393294019950987</v>
      </c>
      <c r="N24" s="68">
        <f t="shared" si="12"/>
        <v>2.9314269764569434</v>
      </c>
      <c r="O24" s="64" t="e">
        <f>((#REF!-#REF!)/#REF!)*100</f>
        <v>#REF!</v>
      </c>
      <c r="P24" s="64" t="e">
        <f>((B24-#REF!)/#REF!)*100</f>
        <v>#REF!</v>
      </c>
      <c r="Q24" s="64">
        <f t="shared" si="14"/>
        <v>-17.738170688290118</v>
      </c>
      <c r="R24" s="64">
        <f t="shared" si="14"/>
        <v>-47.087382370547495</v>
      </c>
      <c r="S24" s="64">
        <f t="shared" si="14"/>
        <v>-17.438468810065292</v>
      </c>
      <c r="T24" s="64">
        <f t="shared" si="14"/>
        <v>-17.522508314571319</v>
      </c>
      <c r="U24" s="64">
        <f t="shared" si="14"/>
        <v>-9.5051286031151587</v>
      </c>
      <c r="V24" s="108" t="s">
        <v>28</v>
      </c>
      <c r="W24" s="102"/>
      <c r="X24" s="99"/>
      <c r="Y24" s="99"/>
      <c r="Z24" s="99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</row>
    <row r="25" spans="1:71" s="45" customFormat="1" ht="15.75" customHeight="1" x14ac:dyDescent="0.4">
      <c r="A25" s="46" t="s">
        <v>31</v>
      </c>
      <c r="B25" s="42">
        <v>72469.581260000006</v>
      </c>
      <c r="C25" s="30">
        <v>45597.044409999995</v>
      </c>
      <c r="D25" s="30">
        <v>49020.427200000013</v>
      </c>
      <c r="E25" s="30">
        <v>45114.810090000014</v>
      </c>
      <c r="F25" s="30">
        <v>35548.939690000021</v>
      </c>
      <c r="G25" s="67">
        <v>39747.926860000007</v>
      </c>
      <c r="H25" s="43" t="e">
        <f>(#REF!/#REF!)*100</f>
        <v>#REF!</v>
      </c>
      <c r="I25" s="32">
        <f t="shared" si="6"/>
        <v>3.2711562788833146</v>
      </c>
      <c r="J25" s="44">
        <f t="shared" si="8"/>
        <v>2.1254219789072151</v>
      </c>
      <c r="K25" s="32">
        <f t="shared" si="7"/>
        <v>1.5977054195399101</v>
      </c>
      <c r="L25" s="32">
        <f t="shared" si="5"/>
        <v>1.6131500127873515</v>
      </c>
      <c r="M25" s="32">
        <f t="shared" si="12"/>
        <v>1.4619922590231811</v>
      </c>
      <c r="N25" s="68">
        <f t="shared" si="12"/>
        <v>1.6346805808637481</v>
      </c>
      <c r="O25" s="64" t="e">
        <f>((#REF!-#REF!)/#REF!)*100</f>
        <v>#REF!</v>
      </c>
      <c r="P25" s="64" t="e">
        <f>((B25-#REF!)/#REF!)*100</f>
        <v>#REF!</v>
      </c>
      <c r="Q25" s="64">
        <f t="shared" si="14"/>
        <v>-37.08112615359137</v>
      </c>
      <c r="R25" s="64">
        <f t="shared" si="14"/>
        <v>7.5079050282680777</v>
      </c>
      <c r="S25" s="64">
        <f t="shared" si="14"/>
        <v>-7.9673257315064738</v>
      </c>
      <c r="T25" s="64">
        <f t="shared" si="14"/>
        <v>-21.203392812508657</v>
      </c>
      <c r="U25" s="64">
        <f t="shared" si="14"/>
        <v>11.811849260812604</v>
      </c>
      <c r="V25" s="108" t="s">
        <v>32</v>
      </c>
      <c r="W25" s="102"/>
      <c r="X25" s="99"/>
      <c r="Y25" s="99"/>
      <c r="Z25" s="99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</row>
    <row r="26" spans="1:71" s="45" customFormat="1" ht="15.75" customHeight="1" x14ac:dyDescent="0.4">
      <c r="A26" s="46" t="s">
        <v>26</v>
      </c>
      <c r="B26" s="42">
        <v>46284.728729999995</v>
      </c>
      <c r="C26" s="30">
        <v>23950.067069999997</v>
      </c>
      <c r="D26" s="30">
        <v>44038.268859999996</v>
      </c>
      <c r="E26" s="30">
        <v>43345.408179999999</v>
      </c>
      <c r="F26" s="30">
        <v>52769.282339999998</v>
      </c>
      <c r="G26" s="67">
        <v>51308.227530000004</v>
      </c>
      <c r="H26" s="43" t="e">
        <f>(#REF!/#REF!)*100</f>
        <v>#REF!</v>
      </c>
      <c r="I26" s="32">
        <f t="shared" si="6"/>
        <v>2.0892156180446846</v>
      </c>
      <c r="J26" s="44">
        <f t="shared" si="8"/>
        <v>1.1163881257118509</v>
      </c>
      <c r="K26" s="32">
        <f t="shared" si="7"/>
        <v>1.4353236975620975</v>
      </c>
      <c r="L26" s="32">
        <f t="shared" si="5"/>
        <v>1.5498823029588407</v>
      </c>
      <c r="M26" s="32">
        <f t="shared" si="12"/>
        <v>2.1701992511745885</v>
      </c>
      <c r="N26" s="68">
        <f t="shared" si="12"/>
        <v>2.1101116412245946</v>
      </c>
      <c r="O26" s="64" t="e">
        <f>((#REF!-#REF!)/#REF!)*100</f>
        <v>#REF!</v>
      </c>
      <c r="P26" s="64" t="e">
        <f>((B26-#REF!)/#REF!)*100</f>
        <v>#REF!</v>
      </c>
      <c r="Q26" s="64">
        <f t="shared" si="14"/>
        <v>-48.254926134035053</v>
      </c>
      <c r="R26" s="64">
        <f t="shared" si="14"/>
        <v>83.875346700647057</v>
      </c>
      <c r="S26" s="64">
        <f t="shared" si="14"/>
        <v>-1.5733149779402977</v>
      </c>
      <c r="T26" s="64">
        <f t="shared" si="14"/>
        <v>21.741343675587459</v>
      </c>
      <c r="U26" s="64">
        <f t="shared" si="14"/>
        <v>-2.768760053597489</v>
      </c>
      <c r="V26" s="108" t="s">
        <v>47</v>
      </c>
      <c r="W26" s="102"/>
      <c r="X26" s="99"/>
      <c r="Y26" s="99"/>
      <c r="Z26" s="99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</row>
    <row r="27" spans="1:71" s="45" customFormat="1" ht="15.75" customHeight="1" x14ac:dyDescent="0.4">
      <c r="A27" s="37" t="s">
        <v>48</v>
      </c>
      <c r="B27" s="42">
        <v>34490.467920000003</v>
      </c>
      <c r="C27" s="30">
        <v>24069.963009999996</v>
      </c>
      <c r="D27" s="30">
        <v>18840.906169999995</v>
      </c>
      <c r="E27" s="30">
        <v>22059.926910000009</v>
      </c>
      <c r="F27" s="30">
        <v>33294.786420000004</v>
      </c>
      <c r="G27" s="67">
        <v>25772.043169999997</v>
      </c>
      <c r="H27" s="43" t="e">
        <f>(#REF!/#REF!)*100</f>
        <v>#REF!</v>
      </c>
      <c r="I27" s="32">
        <f t="shared" si="6"/>
        <v>1.556842315582762</v>
      </c>
      <c r="J27" s="44">
        <f t="shared" si="8"/>
        <v>1.121976853432147</v>
      </c>
      <c r="K27" s="32">
        <f t="shared" si="7"/>
        <v>0.61407498090616219</v>
      </c>
      <c r="L27" s="32">
        <f t="shared" si="5"/>
        <v>0.78878690403359153</v>
      </c>
      <c r="M27" s="32">
        <f t="shared" si="12"/>
        <v>1.3692875353343656</v>
      </c>
      <c r="N27" s="68">
        <f t="shared" si="12"/>
        <v>1.0599058071020406</v>
      </c>
      <c r="O27" s="64" t="e">
        <f>((#REF!-#REF!)/#REF!)*100</f>
        <v>#REF!</v>
      </c>
      <c r="P27" s="64" t="e">
        <f>((B27-#REF!)/#REF!)*100</f>
        <v>#REF!</v>
      </c>
      <c r="Q27" s="64">
        <f t="shared" si="14"/>
        <v>-30.212709593184339</v>
      </c>
      <c r="R27" s="64">
        <f t="shared" si="14"/>
        <v>-21.724407460981809</v>
      </c>
      <c r="S27" s="64">
        <f t="shared" si="14"/>
        <v>17.085275575150405</v>
      </c>
      <c r="T27" s="64">
        <f t="shared" si="14"/>
        <v>50.928815656715109</v>
      </c>
      <c r="U27" s="64">
        <f t="shared" si="14"/>
        <v>-22.594358032827429</v>
      </c>
      <c r="V27" s="108" t="s">
        <v>49</v>
      </c>
      <c r="W27" s="4"/>
      <c r="X27" s="99"/>
      <c r="Y27" s="99"/>
      <c r="Z27" s="99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</row>
    <row r="28" spans="1:71" s="45" customFormat="1" ht="15.75" customHeight="1" x14ac:dyDescent="0.4">
      <c r="A28" s="37" t="s">
        <v>50</v>
      </c>
      <c r="B28" s="42">
        <v>30089.316559999999</v>
      </c>
      <c r="C28" s="30">
        <v>33303.357379999987</v>
      </c>
      <c r="D28" s="30">
        <v>37515.765119999996</v>
      </c>
      <c r="E28" s="30">
        <v>35005.961599999995</v>
      </c>
      <c r="F28" s="30">
        <v>23908.330949999992</v>
      </c>
      <c r="G28" s="67">
        <v>12326.751129999999</v>
      </c>
      <c r="H28" s="43" t="e">
        <f>(#REF!/#REF!)*100</f>
        <v>#REF!</v>
      </c>
      <c r="I28" s="32">
        <f t="shared" si="6"/>
        <v>1.3581816685186086</v>
      </c>
      <c r="J28" s="44">
        <f t="shared" si="8"/>
        <v>1.5523744721342081</v>
      </c>
      <c r="K28" s="32">
        <f t="shared" si="7"/>
        <v>1.2227380435886999</v>
      </c>
      <c r="L28" s="32">
        <f t="shared" si="5"/>
        <v>1.2516924550944841</v>
      </c>
      <c r="M28" s="32">
        <f t="shared" si="12"/>
        <v>0.98325843414387093</v>
      </c>
      <c r="N28" s="68">
        <f t="shared" si="12"/>
        <v>0.50695224353019908</v>
      </c>
      <c r="O28" s="64" t="e">
        <f>((#REF!-#REF!)/#REF!)*100</f>
        <v>#REF!</v>
      </c>
      <c r="P28" s="64" t="e">
        <f>((B28-#REF!)/#REF!)*100</f>
        <v>#REF!</v>
      </c>
      <c r="Q28" s="64">
        <f t="shared" si="14"/>
        <v>10.68166773941504</v>
      </c>
      <c r="R28" s="64">
        <f t="shared" si="14"/>
        <v>12.648597833351575</v>
      </c>
      <c r="S28" s="64">
        <f t="shared" si="14"/>
        <v>-6.6899968905658875</v>
      </c>
      <c r="T28" s="64">
        <f t="shared" si="14"/>
        <v>-31.702116276103109</v>
      </c>
      <c r="U28" s="64">
        <f t="shared" si="14"/>
        <v>-48.44160742220275</v>
      </c>
      <c r="V28" s="108" t="s">
        <v>51</v>
      </c>
      <c r="W28" s="4"/>
      <c r="X28" s="99"/>
      <c r="Y28" s="99"/>
      <c r="Z28" s="99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</row>
    <row r="29" spans="1:71" s="45" customFormat="1" ht="15.75" customHeight="1" x14ac:dyDescent="0.4">
      <c r="A29" s="29" t="s">
        <v>23</v>
      </c>
      <c r="B29" s="42">
        <v>34537.522380000002</v>
      </c>
      <c r="C29" s="30">
        <v>23309.639159999995</v>
      </c>
      <c r="D29" s="30">
        <v>50915.216789999999</v>
      </c>
      <c r="E29" s="30">
        <v>133060.08717999986</v>
      </c>
      <c r="F29" s="30">
        <v>111586.6616500001</v>
      </c>
      <c r="G29" s="67">
        <v>108932.62434000001</v>
      </c>
      <c r="H29" s="43" t="e">
        <f>(#REF!/#REF!)*100</f>
        <v>#REF!</v>
      </c>
      <c r="I29" s="32">
        <f t="shared" si="6"/>
        <v>1.5589662755891849</v>
      </c>
      <c r="J29" s="44">
        <f t="shared" si="8"/>
        <v>1.0865357619581799</v>
      </c>
      <c r="K29" s="32">
        <f t="shared" si="7"/>
        <v>1.6594616254676866</v>
      </c>
      <c r="L29" s="32">
        <f t="shared" si="5"/>
        <v>4.7577698079123802</v>
      </c>
      <c r="M29" s="32">
        <f t="shared" si="12"/>
        <v>4.5891336553261599</v>
      </c>
      <c r="N29" s="68">
        <f t="shared" si="12"/>
        <v>4.4799832267559836</v>
      </c>
      <c r="O29" s="64" t="e">
        <f>((#REF!-#REF!)/#REF!)*100</f>
        <v>#REF!</v>
      </c>
      <c r="P29" s="64" t="e">
        <f>((B29-#REF!)/#REF!)*100</f>
        <v>#REF!</v>
      </c>
      <c r="Q29" s="64">
        <f t="shared" si="14"/>
        <v>-32.509231833322971</v>
      </c>
      <c r="R29" s="75" t="s">
        <v>60</v>
      </c>
      <c r="S29" s="75" t="s">
        <v>60</v>
      </c>
      <c r="T29" s="64">
        <f t="shared" si="14"/>
        <v>-16.138141786237618</v>
      </c>
      <c r="U29" s="64">
        <f t="shared" si="14"/>
        <v>-2.3784539036795218</v>
      </c>
      <c r="V29" s="108" t="s">
        <v>24</v>
      </c>
      <c r="W29" s="102"/>
      <c r="X29" s="99"/>
      <c r="Y29" s="99"/>
      <c r="Z29" s="99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</row>
    <row r="30" spans="1:71" s="24" customFormat="1" ht="15.75" customHeight="1" x14ac:dyDescent="0.4">
      <c r="A30" s="47" t="s">
        <v>20</v>
      </c>
      <c r="B30" s="48">
        <f t="shared" ref="B30:G30" si="15">SUM(B31:B33)</f>
        <v>14582.701219999999</v>
      </c>
      <c r="C30" s="48">
        <f t="shared" si="15"/>
        <v>9299.2139199999929</v>
      </c>
      <c r="D30" s="48">
        <f t="shared" si="15"/>
        <v>8660.7910400000037</v>
      </c>
      <c r="E30" s="48">
        <f t="shared" si="15"/>
        <v>10606.267499999998</v>
      </c>
      <c r="F30" s="35">
        <f t="shared" si="15"/>
        <v>10720.342059999999</v>
      </c>
      <c r="G30" s="36">
        <f t="shared" si="15"/>
        <v>6404.0434399999976</v>
      </c>
      <c r="H30" s="49" t="e">
        <f>(#REF!/#REF!)*100</f>
        <v>#REF!</v>
      </c>
      <c r="I30" s="28">
        <f t="shared" si="6"/>
        <v>0.6582388614574749</v>
      </c>
      <c r="J30" s="50">
        <f t="shared" si="8"/>
        <v>0.43346567541542791</v>
      </c>
      <c r="K30" s="28">
        <f t="shared" si="7"/>
        <v>0.28227809451058178</v>
      </c>
      <c r="L30" s="28">
        <f t="shared" si="5"/>
        <v>0.37924354594686627</v>
      </c>
      <c r="M30" s="28">
        <f t="shared" si="12"/>
        <v>0.44088676743879024</v>
      </c>
      <c r="N30" s="66">
        <f t="shared" si="12"/>
        <v>0.26337387323993555</v>
      </c>
      <c r="O30" s="1" t="e">
        <f>((#REF!-#REF!)/#REF!)*100</f>
        <v>#REF!</v>
      </c>
      <c r="P30" s="1" t="e">
        <f>((B30-#REF!)/#REF!)*100</f>
        <v>#REF!</v>
      </c>
      <c r="Q30" s="1">
        <f t="shared" si="14"/>
        <v>-36.231197638156139</v>
      </c>
      <c r="R30" s="1">
        <f t="shared" si="14"/>
        <v>-6.8653424417618902</v>
      </c>
      <c r="S30" s="1">
        <f t="shared" si="14"/>
        <v>22.46303427729384</v>
      </c>
      <c r="T30" s="1">
        <f t="shared" si="14"/>
        <v>1.0755391564468928</v>
      </c>
      <c r="U30" s="1">
        <f t="shared" si="14"/>
        <v>-40.262694938672524</v>
      </c>
      <c r="V30" s="108" t="s">
        <v>34</v>
      </c>
      <c r="W30" s="101"/>
      <c r="X30" s="11"/>
      <c r="Y30" s="11"/>
      <c r="Z30" s="1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</row>
    <row r="31" spans="1:71" s="45" customFormat="1" ht="15.75" customHeight="1" x14ac:dyDescent="0.4">
      <c r="A31" s="37" t="s">
        <v>52</v>
      </c>
      <c r="B31" s="42">
        <v>0</v>
      </c>
      <c r="C31" s="30">
        <v>0</v>
      </c>
      <c r="D31" s="30">
        <v>0</v>
      </c>
      <c r="E31" s="30">
        <v>0</v>
      </c>
      <c r="F31" s="30">
        <v>106.59605999999999</v>
      </c>
      <c r="G31" s="67">
        <v>0</v>
      </c>
      <c r="H31" s="43" t="e">
        <f>(#REF!/#REF!)*100</f>
        <v>#REF!</v>
      </c>
      <c r="I31" s="32">
        <f t="shared" si="6"/>
        <v>0</v>
      </c>
      <c r="J31" s="44">
        <f t="shared" si="8"/>
        <v>0</v>
      </c>
      <c r="K31" s="32">
        <f>(D31/$D$7)*100</f>
        <v>0</v>
      </c>
      <c r="L31" s="32">
        <f>(E31/$D$7)*100</f>
        <v>0</v>
      </c>
      <c r="M31" s="32">
        <f t="shared" si="12"/>
        <v>4.3838892501823152E-3</v>
      </c>
      <c r="N31" s="68">
        <f t="shared" si="12"/>
        <v>0</v>
      </c>
      <c r="O31" s="64" t="e">
        <f>((#REF!-#REF!)/#REF!)*100</f>
        <v>#REF!</v>
      </c>
      <c r="P31" s="64" t="e">
        <f>((B31-#REF!)/#REF!)*100</f>
        <v>#REF!</v>
      </c>
      <c r="Q31" s="64">
        <v>0</v>
      </c>
      <c r="R31" s="64">
        <v>0</v>
      </c>
      <c r="S31" s="64">
        <v>0</v>
      </c>
      <c r="T31" s="64">
        <v>0</v>
      </c>
      <c r="U31" s="64">
        <v>1</v>
      </c>
      <c r="V31" s="108" t="s">
        <v>53</v>
      </c>
      <c r="W31" s="102"/>
      <c r="X31" s="99"/>
      <c r="Y31" s="99"/>
      <c r="Z31" s="99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</row>
    <row r="32" spans="1:71" s="45" customFormat="1" ht="15.75" customHeight="1" x14ac:dyDescent="0.4">
      <c r="A32" s="37" t="s">
        <v>54</v>
      </c>
      <c r="B32" s="42">
        <v>13968.84506</v>
      </c>
      <c r="C32" s="30">
        <v>9190.1724699999922</v>
      </c>
      <c r="D32" s="30">
        <v>8302.9928800000034</v>
      </c>
      <c r="E32" s="30">
        <v>10142.288399999998</v>
      </c>
      <c r="F32" s="30">
        <v>9238.3579699999991</v>
      </c>
      <c r="G32" s="67">
        <v>6085.6477399999976</v>
      </c>
      <c r="H32" s="43" t="e">
        <f>(#REF!/#REF!)*100</f>
        <v>#REF!</v>
      </c>
      <c r="I32" s="32">
        <f t="shared" si="6"/>
        <v>0.63053041610423077</v>
      </c>
      <c r="J32" s="44">
        <f t="shared" si="8"/>
        <v>0.42838290969144843</v>
      </c>
      <c r="K32" s="32">
        <f t="shared" si="7"/>
        <v>0.27061650582223584</v>
      </c>
      <c r="L32" s="32">
        <f>(E32/$E$7)*100</f>
        <v>0.36265325354388511</v>
      </c>
      <c r="M32" s="32">
        <f t="shared" si="12"/>
        <v>0.37993841605420609</v>
      </c>
      <c r="N32" s="68">
        <f t="shared" si="12"/>
        <v>0.2502794728790379</v>
      </c>
      <c r="O32" s="64" t="e">
        <f>((#REF!-#REF!)/#REF!)*100</f>
        <v>#REF!</v>
      </c>
      <c r="P32" s="64" t="e">
        <f>((B32-#REF!)/#REF!)*100</f>
        <v>#REF!</v>
      </c>
      <c r="Q32" s="64">
        <f t="shared" si="14"/>
        <v>-34.20950386001352</v>
      </c>
      <c r="R32" s="64">
        <f t="shared" si="14"/>
        <v>-9.6535684492979872</v>
      </c>
      <c r="S32" s="64">
        <f t="shared" si="14"/>
        <v>22.152199171824336</v>
      </c>
      <c r="T32" s="64">
        <f t="shared" si="14"/>
        <v>-8.9124899071101016</v>
      </c>
      <c r="U32" s="64">
        <f t="shared" si="14"/>
        <v>-34.126305131689996</v>
      </c>
      <c r="V32" s="108" t="s">
        <v>55</v>
      </c>
      <c r="W32" s="102"/>
      <c r="X32" s="99"/>
      <c r="Y32" s="99"/>
      <c r="Z32" s="99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</row>
    <row r="33" spans="1:71" s="45" customFormat="1" ht="15.75" customHeight="1" x14ac:dyDescent="0.4">
      <c r="A33" s="51" t="s">
        <v>56</v>
      </c>
      <c r="B33" s="52">
        <v>613.85615999999993</v>
      </c>
      <c r="C33" s="53">
        <v>109.04145</v>
      </c>
      <c r="D33" s="53">
        <v>357.79816000000005</v>
      </c>
      <c r="E33" s="53">
        <v>463.97909999999996</v>
      </c>
      <c r="F33" s="53">
        <v>1375.3880300000001</v>
      </c>
      <c r="G33" s="72">
        <v>318.39570000000003</v>
      </c>
      <c r="H33" s="54" t="e">
        <f>(#REF!/#REF!)*100</f>
        <v>#REF!</v>
      </c>
      <c r="I33" s="55">
        <f t="shared" si="6"/>
        <v>2.7708445353244199E-2</v>
      </c>
      <c r="J33" s="56">
        <f>(C33/$C$7)*100</f>
        <v>5.0827657239793491E-3</v>
      </c>
      <c r="K33" s="55">
        <f>(D33/$D$7)*100</f>
        <v>1.1661588688345983E-2</v>
      </c>
      <c r="L33" s="55">
        <f>(E33/$E$7)*100</f>
        <v>1.6590292402981134E-2</v>
      </c>
      <c r="M33" s="55">
        <f t="shared" si="12"/>
        <v>5.6564462134401902E-2</v>
      </c>
      <c r="N33" s="73">
        <f t="shared" si="12"/>
        <v>1.3094400360897707E-2</v>
      </c>
      <c r="O33" s="2" t="e">
        <f>((#REF!-#REF!)/#REF!)*100</f>
        <v>#REF!</v>
      </c>
      <c r="P33" s="2" t="e">
        <f>((B33-#REF!)/#REF!)*100</f>
        <v>#REF!</v>
      </c>
      <c r="Q33" s="2">
        <f t="shared" si="14"/>
        <v>-82.236644819203235</v>
      </c>
      <c r="R33" s="76" t="s">
        <v>60</v>
      </c>
      <c r="S33" s="2">
        <f t="shared" si="14"/>
        <v>29.676211862017372</v>
      </c>
      <c r="T33" s="76" t="s">
        <v>60</v>
      </c>
      <c r="U33" s="2">
        <f t="shared" si="14"/>
        <v>-76.850481969077478</v>
      </c>
      <c r="V33" s="110" t="s">
        <v>24</v>
      </c>
      <c r="W33" s="102"/>
      <c r="X33" s="99"/>
      <c r="Y33" s="99"/>
      <c r="Z33" s="99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</row>
    <row r="34" spans="1:71" s="24" customFormat="1" ht="17.25" x14ac:dyDescent="0.35">
      <c r="A34" s="77" t="s">
        <v>61</v>
      </c>
      <c r="B34" s="57"/>
      <c r="C34" s="57"/>
      <c r="D34" s="57"/>
      <c r="E34" s="57"/>
      <c r="F34" s="62"/>
      <c r="G34" s="63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60" t="s">
        <v>37</v>
      </c>
      <c r="W34" s="114"/>
      <c r="X34" s="11"/>
      <c r="Y34" s="11"/>
      <c r="Z34" s="1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</row>
    <row r="35" spans="1:71" ht="19.5" x14ac:dyDescent="0.5">
      <c r="A35" s="3" t="s">
        <v>36</v>
      </c>
      <c r="K35" s="58"/>
      <c r="L35" s="58"/>
      <c r="V35" s="6" t="s">
        <v>63</v>
      </c>
      <c r="X35" s="11"/>
      <c r="Y35" s="11"/>
      <c r="Z35" s="11"/>
    </row>
    <row r="36" spans="1:71" s="103" customFormat="1" x14ac:dyDescent="0.25">
      <c r="A36" s="3" t="s">
        <v>62</v>
      </c>
      <c r="K36" s="104"/>
      <c r="L36" s="104"/>
      <c r="V36" s="105"/>
      <c r="W36" s="99"/>
      <c r="X36" s="11"/>
      <c r="Y36" s="11"/>
      <c r="Z36" s="11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</row>
    <row r="37" spans="1:71" s="99" customFormat="1" x14ac:dyDescent="0.25">
      <c r="A37" s="106"/>
      <c r="K37" s="107"/>
      <c r="L37" s="107"/>
      <c r="X37" s="11"/>
      <c r="Y37" s="11"/>
      <c r="Z37" s="11"/>
    </row>
    <row r="38" spans="1:71" s="99" customFormat="1" x14ac:dyDescent="0.25">
      <c r="A38" s="106"/>
      <c r="K38" s="107"/>
      <c r="L38" s="107"/>
      <c r="X38" s="11"/>
      <c r="Y38" s="11"/>
      <c r="Z38" s="11"/>
    </row>
    <row r="39" spans="1:71" s="99" customFormat="1" x14ac:dyDescent="0.25">
      <c r="A39" s="106"/>
      <c r="K39" s="107"/>
      <c r="L39" s="107"/>
      <c r="X39" s="11"/>
      <c r="Y39" s="11"/>
      <c r="Z39" s="11"/>
    </row>
    <row r="40" spans="1:71" s="99" customFormat="1" x14ac:dyDescent="0.25">
      <c r="A40" s="106"/>
      <c r="K40" s="107"/>
      <c r="L40" s="107"/>
      <c r="X40" s="11"/>
      <c r="Y40" s="11"/>
      <c r="Z40" s="11"/>
    </row>
    <row r="41" spans="1:71" s="99" customFormat="1" x14ac:dyDescent="0.25">
      <c r="A41" s="106"/>
      <c r="K41" s="107"/>
      <c r="L41" s="107"/>
      <c r="X41" s="11"/>
      <c r="Y41" s="11"/>
      <c r="Z41" s="11"/>
    </row>
    <row r="42" spans="1:71" s="99" customFormat="1" x14ac:dyDescent="0.25">
      <c r="A42" s="106"/>
      <c r="K42" s="107"/>
      <c r="L42" s="107"/>
    </row>
    <row r="43" spans="1:71" s="99" customFormat="1" x14ac:dyDescent="0.25">
      <c r="A43" s="106"/>
      <c r="K43" s="107"/>
      <c r="L43" s="107"/>
    </row>
    <row r="44" spans="1:71" s="99" customFormat="1" x14ac:dyDescent="0.25">
      <c r="A44" s="106"/>
      <c r="K44" s="107"/>
      <c r="L44" s="107"/>
    </row>
    <row r="45" spans="1:71" s="99" customFormat="1" x14ac:dyDescent="0.25">
      <c r="A45" s="106"/>
      <c r="K45" s="107"/>
      <c r="L45" s="107"/>
    </row>
    <row r="46" spans="1:71" s="99" customFormat="1" x14ac:dyDescent="0.25">
      <c r="A46" s="106"/>
      <c r="K46" s="107"/>
      <c r="L46" s="107"/>
    </row>
    <row r="47" spans="1:71" s="99" customFormat="1" x14ac:dyDescent="0.25">
      <c r="A47" s="106"/>
    </row>
    <row r="48" spans="1:71" s="99" customFormat="1" x14ac:dyDescent="0.25">
      <c r="A48" s="106"/>
    </row>
    <row r="49" spans="1:1" s="99" customFormat="1" x14ac:dyDescent="0.25">
      <c r="A49" s="106"/>
    </row>
    <row r="50" spans="1:1" s="99" customFormat="1" x14ac:dyDescent="0.25">
      <c r="A50" s="106"/>
    </row>
    <row r="51" spans="1:1" s="99" customFormat="1" x14ac:dyDescent="0.25">
      <c r="A51" s="106"/>
    </row>
    <row r="52" spans="1:1" s="99" customFormat="1" x14ac:dyDescent="0.25">
      <c r="A52" s="106"/>
    </row>
    <row r="53" spans="1:1" s="99" customFormat="1" x14ac:dyDescent="0.25">
      <c r="A53" s="106"/>
    </row>
    <row r="54" spans="1:1" s="99" customFormat="1" x14ac:dyDescent="0.25">
      <c r="A54" s="106"/>
    </row>
    <row r="55" spans="1:1" s="99" customFormat="1" x14ac:dyDescent="0.25">
      <c r="A55" s="106"/>
    </row>
    <row r="56" spans="1:1" s="99" customFormat="1" x14ac:dyDescent="0.25">
      <c r="A56" s="106"/>
    </row>
    <row r="57" spans="1:1" s="99" customFormat="1" x14ac:dyDescent="0.25">
      <c r="A57" s="106"/>
    </row>
    <row r="58" spans="1:1" s="99" customFormat="1" x14ac:dyDescent="0.25">
      <c r="A58" s="106"/>
    </row>
    <row r="59" spans="1:1" s="99" customFormat="1" x14ac:dyDescent="0.25">
      <c r="A59" s="106"/>
    </row>
    <row r="60" spans="1:1" s="99" customFormat="1" x14ac:dyDescent="0.25">
      <c r="A60" s="106"/>
    </row>
    <row r="61" spans="1:1" s="99" customFormat="1" x14ac:dyDescent="0.25">
      <c r="A61" s="106"/>
    </row>
    <row r="62" spans="1:1" s="99" customFormat="1" x14ac:dyDescent="0.25">
      <c r="A62" s="106"/>
    </row>
    <row r="63" spans="1:1" s="99" customFormat="1" x14ac:dyDescent="0.25">
      <c r="A63" s="106"/>
    </row>
    <row r="64" spans="1:1" s="99" customFormat="1" x14ac:dyDescent="0.25">
      <c r="A64" s="106"/>
    </row>
    <row r="65" spans="1:1" s="99" customFormat="1" x14ac:dyDescent="0.25">
      <c r="A65" s="106"/>
    </row>
    <row r="66" spans="1:1" s="99" customFormat="1" x14ac:dyDescent="0.25">
      <c r="A66" s="106"/>
    </row>
    <row r="67" spans="1:1" s="99" customFormat="1" x14ac:dyDescent="0.25">
      <c r="A67" s="106"/>
    </row>
    <row r="68" spans="1:1" s="99" customFormat="1" x14ac:dyDescent="0.25">
      <c r="A68" s="106"/>
    </row>
    <row r="69" spans="1:1" s="99" customFormat="1" x14ac:dyDescent="0.25">
      <c r="A69" s="106"/>
    </row>
    <row r="70" spans="1:1" s="99" customFormat="1" x14ac:dyDescent="0.25">
      <c r="A70" s="106"/>
    </row>
    <row r="71" spans="1:1" s="99" customFormat="1" x14ac:dyDescent="0.25">
      <c r="A71" s="106"/>
    </row>
    <row r="72" spans="1:1" s="99" customFormat="1" x14ac:dyDescent="0.25">
      <c r="A72" s="106"/>
    </row>
    <row r="73" spans="1:1" s="99" customFormat="1" x14ac:dyDescent="0.25">
      <c r="A73" s="106"/>
    </row>
    <row r="74" spans="1:1" s="99" customFormat="1" x14ac:dyDescent="0.25">
      <c r="A74" s="106"/>
    </row>
    <row r="75" spans="1:1" s="99" customFormat="1" x14ac:dyDescent="0.25">
      <c r="A75" s="106"/>
    </row>
    <row r="76" spans="1:1" s="99" customFormat="1" x14ac:dyDescent="0.25">
      <c r="A76" s="106"/>
    </row>
    <row r="77" spans="1:1" s="99" customFormat="1" x14ac:dyDescent="0.25">
      <c r="A77" s="106"/>
    </row>
    <row r="78" spans="1:1" s="99" customFormat="1" x14ac:dyDescent="0.25">
      <c r="A78" s="106"/>
    </row>
    <row r="79" spans="1:1" s="99" customFormat="1" x14ac:dyDescent="0.25">
      <c r="A79" s="106"/>
    </row>
    <row r="80" spans="1:1" s="99" customFormat="1" x14ac:dyDescent="0.25">
      <c r="A80" s="106"/>
    </row>
    <row r="81" spans="1:1" s="99" customFormat="1" x14ac:dyDescent="0.25">
      <c r="A81" s="106"/>
    </row>
    <row r="82" spans="1:1" s="99" customFormat="1" x14ac:dyDescent="0.25">
      <c r="A82" s="106"/>
    </row>
    <row r="83" spans="1:1" s="99" customFormat="1" x14ac:dyDescent="0.25">
      <c r="A83" s="106"/>
    </row>
    <row r="84" spans="1:1" s="99" customFormat="1" x14ac:dyDescent="0.25">
      <c r="A84" s="106"/>
    </row>
    <row r="85" spans="1:1" s="99" customFormat="1" x14ac:dyDescent="0.25">
      <c r="A85" s="106"/>
    </row>
    <row r="86" spans="1:1" s="99" customFormat="1" x14ac:dyDescent="0.25">
      <c r="A86" s="106"/>
    </row>
    <row r="87" spans="1:1" s="99" customFormat="1" x14ac:dyDescent="0.25">
      <c r="A87" s="106"/>
    </row>
    <row r="88" spans="1:1" s="99" customFormat="1" x14ac:dyDescent="0.25">
      <c r="A88" s="106"/>
    </row>
    <row r="89" spans="1:1" s="99" customFormat="1" x14ac:dyDescent="0.25">
      <c r="A89" s="106"/>
    </row>
    <row r="90" spans="1:1" s="99" customFormat="1" x14ac:dyDescent="0.25">
      <c r="A90" s="106"/>
    </row>
    <row r="91" spans="1:1" s="99" customFormat="1" x14ac:dyDescent="0.25">
      <c r="A91" s="106"/>
    </row>
    <row r="92" spans="1:1" s="99" customFormat="1" x14ac:dyDescent="0.25">
      <c r="A92" s="106"/>
    </row>
    <row r="93" spans="1:1" s="99" customFormat="1" x14ac:dyDescent="0.25">
      <c r="A93" s="106"/>
    </row>
    <row r="94" spans="1:1" s="99" customFormat="1" x14ac:dyDescent="0.25">
      <c r="A94" s="106"/>
    </row>
    <row r="95" spans="1:1" s="99" customFormat="1" x14ac:dyDescent="0.25">
      <c r="A95" s="106"/>
    </row>
    <row r="96" spans="1:1" s="99" customFormat="1" x14ac:dyDescent="0.25">
      <c r="A96" s="106"/>
    </row>
    <row r="97" spans="1:1" s="99" customFormat="1" x14ac:dyDescent="0.25">
      <c r="A97" s="106"/>
    </row>
    <row r="98" spans="1:1" s="99" customFormat="1" x14ac:dyDescent="0.25">
      <c r="A98" s="106"/>
    </row>
    <row r="99" spans="1:1" s="99" customFormat="1" x14ac:dyDescent="0.25">
      <c r="A99" s="106"/>
    </row>
    <row r="100" spans="1:1" s="99" customFormat="1" x14ac:dyDescent="0.25">
      <c r="A100" s="106"/>
    </row>
    <row r="101" spans="1:1" s="99" customFormat="1" x14ac:dyDescent="0.25">
      <c r="A101" s="106"/>
    </row>
    <row r="102" spans="1:1" s="99" customFormat="1" x14ac:dyDescent="0.25">
      <c r="A102" s="106"/>
    </row>
    <row r="103" spans="1:1" s="99" customFormat="1" x14ac:dyDescent="0.25">
      <c r="A103" s="106"/>
    </row>
    <row r="104" spans="1:1" s="99" customFormat="1" x14ac:dyDescent="0.25">
      <c r="A104" s="106"/>
    </row>
    <row r="105" spans="1:1" s="99" customFormat="1" x14ac:dyDescent="0.25">
      <c r="A105" s="106"/>
    </row>
    <row r="106" spans="1:1" s="99" customFormat="1" x14ac:dyDescent="0.25">
      <c r="A106" s="106"/>
    </row>
    <row r="107" spans="1:1" s="99" customFormat="1" x14ac:dyDescent="0.25">
      <c r="A107" s="106"/>
    </row>
    <row r="108" spans="1:1" s="99" customFormat="1" x14ac:dyDescent="0.25">
      <c r="A108" s="106"/>
    </row>
    <row r="109" spans="1:1" s="99" customFormat="1" x14ac:dyDescent="0.25">
      <c r="A109" s="106"/>
    </row>
    <row r="110" spans="1:1" s="99" customFormat="1" x14ac:dyDescent="0.25">
      <c r="A110" s="106"/>
    </row>
    <row r="111" spans="1:1" s="99" customFormat="1" x14ac:dyDescent="0.25">
      <c r="A111" s="106"/>
    </row>
    <row r="112" spans="1:1" s="99" customFormat="1" x14ac:dyDescent="0.25">
      <c r="A112" s="106"/>
    </row>
    <row r="113" spans="1:1" s="99" customFormat="1" x14ac:dyDescent="0.25">
      <c r="A113" s="106"/>
    </row>
    <row r="114" spans="1:1" s="99" customFormat="1" x14ac:dyDescent="0.25">
      <c r="A114" s="106"/>
    </row>
    <row r="115" spans="1:1" s="99" customFormat="1" x14ac:dyDescent="0.25">
      <c r="A115" s="106"/>
    </row>
    <row r="116" spans="1:1" s="99" customFormat="1" x14ac:dyDescent="0.25">
      <c r="A116" s="106"/>
    </row>
    <row r="117" spans="1:1" s="99" customFormat="1" x14ac:dyDescent="0.25">
      <c r="A117" s="106"/>
    </row>
    <row r="118" spans="1:1" s="99" customFormat="1" x14ac:dyDescent="0.25">
      <c r="A118" s="106"/>
    </row>
    <row r="119" spans="1:1" s="99" customFormat="1" x14ac:dyDescent="0.25">
      <c r="A119" s="106"/>
    </row>
    <row r="120" spans="1:1" s="99" customFormat="1" x14ac:dyDescent="0.25">
      <c r="A120" s="106"/>
    </row>
    <row r="121" spans="1:1" s="99" customFormat="1" x14ac:dyDescent="0.25">
      <c r="A121" s="106"/>
    </row>
    <row r="122" spans="1:1" s="99" customFormat="1" x14ac:dyDescent="0.25">
      <c r="A122" s="106"/>
    </row>
    <row r="123" spans="1:1" s="99" customFormat="1" x14ac:dyDescent="0.25">
      <c r="A123" s="106"/>
    </row>
    <row r="124" spans="1:1" s="99" customFormat="1" x14ac:dyDescent="0.25">
      <c r="A124" s="106"/>
    </row>
    <row r="125" spans="1:1" s="99" customFormat="1" x14ac:dyDescent="0.25">
      <c r="A125" s="106"/>
    </row>
    <row r="126" spans="1:1" s="99" customFormat="1" x14ac:dyDescent="0.25">
      <c r="A126" s="106"/>
    </row>
    <row r="127" spans="1:1" s="99" customFormat="1" x14ac:dyDescent="0.25">
      <c r="A127" s="106"/>
    </row>
    <row r="128" spans="1:1" s="99" customFormat="1" x14ac:dyDescent="0.25">
      <c r="A128" s="106"/>
    </row>
    <row r="129" spans="1:1" s="99" customFormat="1" x14ac:dyDescent="0.25">
      <c r="A129" s="106"/>
    </row>
    <row r="130" spans="1:1" s="99" customFormat="1" x14ac:dyDescent="0.25">
      <c r="A130" s="106"/>
    </row>
    <row r="131" spans="1:1" s="99" customFormat="1" x14ac:dyDescent="0.25">
      <c r="A131" s="106"/>
    </row>
    <row r="132" spans="1:1" s="99" customFormat="1" x14ac:dyDescent="0.25">
      <c r="A132" s="106"/>
    </row>
    <row r="133" spans="1:1" s="99" customFormat="1" x14ac:dyDescent="0.25">
      <c r="A133" s="106"/>
    </row>
    <row r="134" spans="1:1" s="99" customFormat="1" x14ac:dyDescent="0.25">
      <c r="A134" s="106"/>
    </row>
    <row r="135" spans="1:1" s="99" customFormat="1" x14ac:dyDescent="0.25">
      <c r="A135" s="106"/>
    </row>
    <row r="136" spans="1:1" s="99" customFormat="1" x14ac:dyDescent="0.25">
      <c r="A136" s="106"/>
    </row>
    <row r="137" spans="1:1" s="99" customFormat="1" x14ac:dyDescent="0.25">
      <c r="A137" s="106"/>
    </row>
    <row r="138" spans="1:1" s="99" customFormat="1" x14ac:dyDescent="0.25">
      <c r="A138" s="106"/>
    </row>
    <row r="139" spans="1:1" s="99" customFormat="1" x14ac:dyDescent="0.25">
      <c r="A139" s="106"/>
    </row>
    <row r="140" spans="1:1" s="99" customFormat="1" x14ac:dyDescent="0.25">
      <c r="A140" s="106"/>
    </row>
    <row r="141" spans="1:1" s="99" customFormat="1" x14ac:dyDescent="0.25">
      <c r="A141" s="106"/>
    </row>
    <row r="142" spans="1:1" s="99" customFormat="1" x14ac:dyDescent="0.25">
      <c r="A142" s="106"/>
    </row>
    <row r="143" spans="1:1" s="99" customFormat="1" x14ac:dyDescent="0.25">
      <c r="A143" s="106"/>
    </row>
    <row r="144" spans="1:1" s="99" customFormat="1" x14ac:dyDescent="0.25">
      <c r="A144" s="106"/>
    </row>
    <row r="145" spans="1:1" s="99" customFormat="1" x14ac:dyDescent="0.25">
      <c r="A145" s="106"/>
    </row>
    <row r="146" spans="1:1" s="99" customFormat="1" x14ac:dyDescent="0.25">
      <c r="A146" s="106"/>
    </row>
    <row r="147" spans="1:1" s="99" customFormat="1" x14ac:dyDescent="0.25">
      <c r="A147" s="106"/>
    </row>
    <row r="148" spans="1:1" s="99" customFormat="1" x14ac:dyDescent="0.25">
      <c r="A148" s="106"/>
    </row>
    <row r="149" spans="1:1" s="99" customFormat="1" x14ac:dyDescent="0.25">
      <c r="A149" s="106"/>
    </row>
    <row r="150" spans="1:1" s="99" customFormat="1" x14ac:dyDescent="0.25">
      <c r="A150" s="106"/>
    </row>
    <row r="151" spans="1:1" s="99" customFormat="1" x14ac:dyDescent="0.25">
      <c r="A151" s="106"/>
    </row>
    <row r="152" spans="1:1" s="99" customFormat="1" x14ac:dyDescent="0.25">
      <c r="A152" s="106"/>
    </row>
    <row r="153" spans="1:1" s="99" customFormat="1" x14ac:dyDescent="0.25">
      <c r="A153" s="106"/>
    </row>
    <row r="154" spans="1:1" s="99" customFormat="1" x14ac:dyDescent="0.25">
      <c r="A154" s="106"/>
    </row>
    <row r="155" spans="1:1" s="99" customFormat="1" x14ac:dyDescent="0.25">
      <c r="A155" s="106"/>
    </row>
    <row r="156" spans="1:1" s="99" customFormat="1" x14ac:dyDescent="0.25">
      <c r="A156" s="106"/>
    </row>
    <row r="157" spans="1:1" s="99" customFormat="1" x14ac:dyDescent="0.25">
      <c r="A157" s="106"/>
    </row>
    <row r="158" spans="1:1" s="99" customFormat="1" x14ac:dyDescent="0.25">
      <c r="A158" s="106"/>
    </row>
    <row r="159" spans="1:1" s="99" customFormat="1" x14ac:dyDescent="0.25">
      <c r="A159" s="106"/>
    </row>
    <row r="160" spans="1:1" s="99" customFormat="1" x14ac:dyDescent="0.25">
      <c r="A160" s="106"/>
    </row>
    <row r="161" spans="1:1" s="99" customFormat="1" x14ac:dyDescent="0.25">
      <c r="A161" s="106"/>
    </row>
    <row r="162" spans="1:1" s="99" customFormat="1" x14ac:dyDescent="0.25">
      <c r="A162" s="106"/>
    </row>
    <row r="163" spans="1:1" s="99" customFormat="1" x14ac:dyDescent="0.25">
      <c r="A163" s="106"/>
    </row>
    <row r="164" spans="1:1" s="99" customFormat="1" x14ac:dyDescent="0.25">
      <c r="A164" s="106"/>
    </row>
    <row r="165" spans="1:1" s="99" customFormat="1" x14ac:dyDescent="0.25">
      <c r="A165" s="106"/>
    </row>
    <row r="166" spans="1:1" s="99" customFormat="1" x14ac:dyDescent="0.25">
      <c r="A166" s="106"/>
    </row>
    <row r="167" spans="1:1" s="99" customFormat="1" x14ac:dyDescent="0.25">
      <c r="A167" s="106"/>
    </row>
    <row r="168" spans="1:1" s="99" customFormat="1" x14ac:dyDescent="0.25">
      <c r="A168" s="106"/>
    </row>
    <row r="169" spans="1:1" s="99" customFormat="1" x14ac:dyDescent="0.25">
      <c r="A169" s="106"/>
    </row>
    <row r="170" spans="1:1" s="99" customFormat="1" x14ac:dyDescent="0.25">
      <c r="A170" s="106"/>
    </row>
    <row r="171" spans="1:1" s="99" customFormat="1" x14ac:dyDescent="0.25">
      <c r="A171" s="106"/>
    </row>
    <row r="172" spans="1:1" s="99" customFormat="1" x14ac:dyDescent="0.25">
      <c r="A172" s="106"/>
    </row>
    <row r="173" spans="1:1" s="99" customFormat="1" x14ac:dyDescent="0.25">
      <c r="A173" s="106"/>
    </row>
    <row r="174" spans="1:1" s="99" customFormat="1" x14ac:dyDescent="0.25">
      <c r="A174" s="106"/>
    </row>
    <row r="175" spans="1:1" s="99" customFormat="1" x14ac:dyDescent="0.25">
      <c r="A175" s="106"/>
    </row>
    <row r="176" spans="1:1" s="99" customFormat="1" x14ac:dyDescent="0.25">
      <c r="A176" s="106"/>
    </row>
    <row r="177" spans="1:1" s="99" customFormat="1" x14ac:dyDescent="0.25">
      <c r="A177" s="106"/>
    </row>
    <row r="178" spans="1:1" s="99" customFormat="1" x14ac:dyDescent="0.25">
      <c r="A178" s="106"/>
    </row>
    <row r="179" spans="1:1" s="99" customFormat="1" x14ac:dyDescent="0.25">
      <c r="A179" s="106"/>
    </row>
    <row r="180" spans="1:1" s="99" customFormat="1" x14ac:dyDescent="0.25">
      <c r="A180" s="106"/>
    </row>
    <row r="181" spans="1:1" s="99" customFormat="1" x14ac:dyDescent="0.25">
      <c r="A181" s="106"/>
    </row>
    <row r="182" spans="1:1" s="99" customFormat="1" x14ac:dyDescent="0.25">
      <c r="A182" s="106"/>
    </row>
    <row r="183" spans="1:1" s="99" customFormat="1" x14ac:dyDescent="0.25">
      <c r="A183" s="106"/>
    </row>
    <row r="184" spans="1:1" s="99" customFormat="1" x14ac:dyDescent="0.25">
      <c r="A184" s="106"/>
    </row>
    <row r="185" spans="1:1" s="99" customFormat="1" x14ac:dyDescent="0.25">
      <c r="A185" s="106"/>
    </row>
    <row r="186" spans="1:1" s="99" customFormat="1" x14ac:dyDescent="0.25">
      <c r="A186" s="106"/>
    </row>
    <row r="187" spans="1:1" s="99" customFormat="1" x14ac:dyDescent="0.25">
      <c r="A187" s="106"/>
    </row>
    <row r="188" spans="1:1" s="99" customFormat="1" x14ac:dyDescent="0.25">
      <c r="A188" s="106"/>
    </row>
    <row r="189" spans="1:1" s="99" customFormat="1" x14ac:dyDescent="0.25">
      <c r="A189" s="106"/>
    </row>
    <row r="190" spans="1:1" s="99" customFormat="1" x14ac:dyDescent="0.25">
      <c r="A190" s="106"/>
    </row>
    <row r="191" spans="1:1" s="99" customFormat="1" x14ac:dyDescent="0.25">
      <c r="A191" s="106"/>
    </row>
    <row r="192" spans="1:1" s="99" customFormat="1" x14ac:dyDescent="0.25">
      <c r="A192" s="106"/>
    </row>
    <row r="193" spans="1:1" s="99" customFormat="1" x14ac:dyDescent="0.25">
      <c r="A193" s="106"/>
    </row>
    <row r="194" spans="1:1" s="99" customFormat="1" x14ac:dyDescent="0.25">
      <c r="A194" s="106"/>
    </row>
    <row r="195" spans="1:1" s="99" customFormat="1" x14ac:dyDescent="0.25">
      <c r="A195" s="106"/>
    </row>
    <row r="196" spans="1:1" s="99" customFormat="1" x14ac:dyDescent="0.25">
      <c r="A196" s="106"/>
    </row>
    <row r="197" spans="1:1" s="99" customFormat="1" x14ac:dyDescent="0.25">
      <c r="A197" s="106"/>
    </row>
    <row r="198" spans="1:1" s="99" customFormat="1" x14ac:dyDescent="0.25">
      <c r="A198" s="106"/>
    </row>
    <row r="199" spans="1:1" s="99" customFormat="1" x14ac:dyDescent="0.25">
      <c r="A199" s="106"/>
    </row>
    <row r="200" spans="1:1" s="99" customFormat="1" x14ac:dyDescent="0.25">
      <c r="A200" s="106"/>
    </row>
    <row r="201" spans="1:1" s="99" customFormat="1" x14ac:dyDescent="0.25">
      <c r="A201" s="106"/>
    </row>
    <row r="202" spans="1:1" s="99" customFormat="1" x14ac:dyDescent="0.25">
      <c r="A202" s="106"/>
    </row>
    <row r="203" spans="1:1" s="99" customFormat="1" x14ac:dyDescent="0.25">
      <c r="A203" s="106"/>
    </row>
    <row r="204" spans="1:1" s="99" customFormat="1" x14ac:dyDescent="0.25">
      <c r="A204" s="106"/>
    </row>
    <row r="205" spans="1:1" s="99" customFormat="1" x14ac:dyDescent="0.25">
      <c r="A205" s="106"/>
    </row>
    <row r="206" spans="1:1" s="99" customFormat="1" x14ac:dyDescent="0.25">
      <c r="A206" s="106"/>
    </row>
    <row r="207" spans="1:1" s="99" customFormat="1" x14ac:dyDescent="0.25">
      <c r="A207" s="106"/>
    </row>
    <row r="208" spans="1:1" s="99" customFormat="1" x14ac:dyDescent="0.25">
      <c r="A208" s="106"/>
    </row>
    <row r="209" spans="1:1" s="99" customFormat="1" x14ac:dyDescent="0.25">
      <c r="A209" s="106"/>
    </row>
    <row r="210" spans="1:1" s="99" customFormat="1" x14ac:dyDescent="0.25">
      <c r="A210" s="106"/>
    </row>
    <row r="211" spans="1:1" s="99" customFormat="1" x14ac:dyDescent="0.25">
      <c r="A211" s="106"/>
    </row>
    <row r="212" spans="1:1" s="99" customFormat="1" x14ac:dyDescent="0.25">
      <c r="A212" s="106"/>
    </row>
    <row r="213" spans="1:1" s="99" customFormat="1" x14ac:dyDescent="0.25">
      <c r="A213" s="106"/>
    </row>
    <row r="214" spans="1:1" s="99" customFormat="1" x14ac:dyDescent="0.25">
      <c r="A214" s="106"/>
    </row>
    <row r="215" spans="1:1" s="99" customFormat="1" x14ac:dyDescent="0.25">
      <c r="A215" s="106"/>
    </row>
    <row r="216" spans="1:1" s="99" customFormat="1" x14ac:dyDescent="0.25">
      <c r="A216" s="106"/>
    </row>
    <row r="217" spans="1:1" s="99" customFormat="1" x14ac:dyDescent="0.25">
      <c r="A217" s="106"/>
    </row>
    <row r="218" spans="1:1" s="99" customFormat="1" x14ac:dyDescent="0.25">
      <c r="A218" s="106"/>
    </row>
    <row r="219" spans="1:1" s="99" customFormat="1" x14ac:dyDescent="0.25">
      <c r="A219" s="106"/>
    </row>
    <row r="220" spans="1:1" s="99" customFormat="1" x14ac:dyDescent="0.25">
      <c r="A220" s="106"/>
    </row>
    <row r="221" spans="1:1" s="99" customFormat="1" x14ac:dyDescent="0.25">
      <c r="A221" s="106"/>
    </row>
    <row r="222" spans="1:1" s="99" customFormat="1" x14ac:dyDescent="0.25">
      <c r="A222" s="106"/>
    </row>
    <row r="223" spans="1:1" s="99" customFormat="1" x14ac:dyDescent="0.25">
      <c r="A223" s="106"/>
    </row>
    <row r="224" spans="1:1" s="99" customFormat="1" x14ac:dyDescent="0.25">
      <c r="A224" s="106"/>
    </row>
    <row r="225" spans="1:1" s="99" customFormat="1" x14ac:dyDescent="0.25">
      <c r="A225" s="106"/>
    </row>
    <row r="226" spans="1:1" s="99" customFormat="1" x14ac:dyDescent="0.25">
      <c r="A226" s="106"/>
    </row>
    <row r="227" spans="1:1" s="99" customFormat="1" x14ac:dyDescent="0.25">
      <c r="A227" s="106"/>
    </row>
    <row r="228" spans="1:1" s="99" customFormat="1" x14ac:dyDescent="0.25">
      <c r="A228" s="106"/>
    </row>
    <row r="229" spans="1:1" s="99" customFormat="1" x14ac:dyDescent="0.25">
      <c r="A229" s="106"/>
    </row>
    <row r="230" spans="1:1" s="99" customFormat="1" x14ac:dyDescent="0.25">
      <c r="A230" s="106"/>
    </row>
    <row r="231" spans="1:1" s="99" customFormat="1" x14ac:dyDescent="0.25">
      <c r="A231" s="106"/>
    </row>
    <row r="232" spans="1:1" s="99" customFormat="1" x14ac:dyDescent="0.25">
      <c r="A232" s="106"/>
    </row>
    <row r="233" spans="1:1" s="99" customFormat="1" x14ac:dyDescent="0.25">
      <c r="A233" s="106"/>
    </row>
    <row r="234" spans="1:1" s="99" customFormat="1" x14ac:dyDescent="0.25">
      <c r="A234" s="106"/>
    </row>
    <row r="235" spans="1:1" s="99" customFormat="1" x14ac:dyDescent="0.25">
      <c r="A235" s="106"/>
    </row>
    <row r="236" spans="1:1" s="99" customFormat="1" x14ac:dyDescent="0.25">
      <c r="A236" s="106"/>
    </row>
    <row r="237" spans="1:1" s="99" customFormat="1" x14ac:dyDescent="0.25">
      <c r="A237" s="106"/>
    </row>
    <row r="238" spans="1:1" s="99" customFormat="1" x14ac:dyDescent="0.25">
      <c r="A238" s="106"/>
    </row>
    <row r="239" spans="1:1" s="99" customFormat="1" x14ac:dyDescent="0.25">
      <c r="A239" s="106"/>
    </row>
    <row r="240" spans="1:1" s="99" customFormat="1" x14ac:dyDescent="0.25">
      <c r="A240" s="106"/>
    </row>
    <row r="241" spans="1:1" s="99" customFormat="1" x14ac:dyDescent="0.25">
      <c r="A241" s="106"/>
    </row>
    <row r="242" spans="1:1" s="99" customFormat="1" x14ac:dyDescent="0.25">
      <c r="A242" s="106"/>
    </row>
    <row r="243" spans="1:1" s="99" customFormat="1" x14ac:dyDescent="0.25">
      <c r="A243" s="106"/>
    </row>
    <row r="244" spans="1:1" s="99" customFormat="1" x14ac:dyDescent="0.25">
      <c r="A244" s="106"/>
    </row>
    <row r="245" spans="1:1" s="99" customFormat="1" x14ac:dyDescent="0.25">
      <c r="A245" s="106"/>
    </row>
    <row r="246" spans="1:1" s="99" customFormat="1" x14ac:dyDescent="0.25">
      <c r="A246" s="106"/>
    </row>
    <row r="247" spans="1:1" s="99" customFormat="1" x14ac:dyDescent="0.25">
      <c r="A247" s="106"/>
    </row>
    <row r="248" spans="1:1" s="99" customFormat="1" x14ac:dyDescent="0.25">
      <c r="A248" s="106"/>
    </row>
    <row r="249" spans="1:1" s="99" customFormat="1" x14ac:dyDescent="0.25">
      <c r="A249" s="106"/>
    </row>
    <row r="250" spans="1:1" s="99" customFormat="1" x14ac:dyDescent="0.25">
      <c r="A250" s="106"/>
    </row>
    <row r="251" spans="1:1" s="99" customFormat="1" x14ac:dyDescent="0.25">
      <c r="A251" s="106"/>
    </row>
    <row r="252" spans="1:1" s="99" customFormat="1" x14ac:dyDescent="0.25">
      <c r="A252" s="106"/>
    </row>
    <row r="253" spans="1:1" s="99" customFormat="1" x14ac:dyDescent="0.25">
      <c r="A253" s="106"/>
    </row>
    <row r="254" spans="1:1" s="99" customFormat="1" x14ac:dyDescent="0.25">
      <c r="A254" s="106"/>
    </row>
    <row r="255" spans="1:1" s="99" customFormat="1" x14ac:dyDescent="0.25">
      <c r="A255" s="106"/>
    </row>
    <row r="256" spans="1:1" s="99" customFormat="1" x14ac:dyDescent="0.25">
      <c r="A256" s="106"/>
    </row>
    <row r="257" spans="1:1" s="99" customFormat="1" x14ac:dyDescent="0.25">
      <c r="A257" s="106"/>
    </row>
    <row r="258" spans="1:1" s="99" customFormat="1" x14ac:dyDescent="0.25">
      <c r="A258" s="106"/>
    </row>
    <row r="259" spans="1:1" s="99" customFormat="1" x14ac:dyDescent="0.25">
      <c r="A259" s="106"/>
    </row>
    <row r="260" spans="1:1" s="99" customFormat="1" x14ac:dyDescent="0.25">
      <c r="A260" s="106"/>
    </row>
    <row r="261" spans="1:1" s="99" customFormat="1" x14ac:dyDescent="0.25">
      <c r="A261" s="106"/>
    </row>
    <row r="262" spans="1:1" s="99" customFormat="1" x14ac:dyDescent="0.25">
      <c r="A262" s="106"/>
    </row>
    <row r="263" spans="1:1" s="99" customFormat="1" x14ac:dyDescent="0.25">
      <c r="A263" s="106"/>
    </row>
    <row r="264" spans="1:1" s="99" customFormat="1" x14ac:dyDescent="0.25">
      <c r="A264" s="106"/>
    </row>
    <row r="265" spans="1:1" s="99" customFormat="1" x14ac:dyDescent="0.25">
      <c r="A265" s="106"/>
    </row>
    <row r="266" spans="1:1" s="99" customFormat="1" x14ac:dyDescent="0.25">
      <c r="A266" s="106"/>
    </row>
    <row r="267" spans="1:1" s="99" customFormat="1" x14ac:dyDescent="0.25">
      <c r="A267" s="106"/>
    </row>
    <row r="268" spans="1:1" s="99" customFormat="1" x14ac:dyDescent="0.25">
      <c r="A268" s="106"/>
    </row>
    <row r="269" spans="1:1" s="99" customFormat="1" x14ac:dyDescent="0.25">
      <c r="A269" s="106"/>
    </row>
    <row r="270" spans="1:1" s="99" customFormat="1" x14ac:dyDescent="0.25">
      <c r="A270" s="106"/>
    </row>
    <row r="271" spans="1:1" s="99" customFormat="1" x14ac:dyDescent="0.25">
      <c r="A271" s="106"/>
    </row>
    <row r="272" spans="1:1" s="99" customFormat="1" x14ac:dyDescent="0.25">
      <c r="A272" s="106"/>
    </row>
    <row r="273" spans="1:1" s="99" customFormat="1" x14ac:dyDescent="0.25">
      <c r="A273" s="106"/>
    </row>
    <row r="274" spans="1:1" s="99" customFormat="1" x14ac:dyDescent="0.25">
      <c r="A274" s="106"/>
    </row>
    <row r="275" spans="1:1" s="99" customFormat="1" x14ac:dyDescent="0.25">
      <c r="A275" s="106"/>
    </row>
    <row r="276" spans="1:1" s="99" customFormat="1" x14ac:dyDescent="0.25">
      <c r="A276" s="106"/>
    </row>
    <row r="277" spans="1:1" s="99" customFormat="1" x14ac:dyDescent="0.25">
      <c r="A277" s="106"/>
    </row>
    <row r="278" spans="1:1" s="99" customFormat="1" x14ac:dyDescent="0.25">
      <c r="A278" s="106"/>
    </row>
    <row r="279" spans="1:1" s="99" customFormat="1" x14ac:dyDescent="0.25">
      <c r="A279" s="106"/>
    </row>
    <row r="280" spans="1:1" s="99" customFormat="1" x14ac:dyDescent="0.25">
      <c r="A280" s="106"/>
    </row>
    <row r="281" spans="1:1" s="99" customFormat="1" x14ac:dyDescent="0.25">
      <c r="A281" s="106"/>
    </row>
    <row r="282" spans="1:1" s="99" customFormat="1" x14ac:dyDescent="0.25">
      <c r="A282" s="106"/>
    </row>
    <row r="283" spans="1:1" s="99" customFormat="1" x14ac:dyDescent="0.25">
      <c r="A283" s="106"/>
    </row>
    <row r="284" spans="1:1" s="99" customFormat="1" x14ac:dyDescent="0.25">
      <c r="A284" s="106"/>
    </row>
    <row r="285" spans="1:1" s="99" customFormat="1" x14ac:dyDescent="0.25">
      <c r="A285" s="106"/>
    </row>
    <row r="286" spans="1:1" s="99" customFormat="1" x14ac:dyDescent="0.25">
      <c r="A286" s="106"/>
    </row>
    <row r="287" spans="1:1" s="99" customFormat="1" x14ac:dyDescent="0.25">
      <c r="A287" s="106"/>
    </row>
    <row r="288" spans="1:1" s="99" customFormat="1" x14ac:dyDescent="0.25">
      <c r="A288" s="106"/>
    </row>
    <row r="289" spans="1:1" s="99" customFormat="1" x14ac:dyDescent="0.25">
      <c r="A289" s="106"/>
    </row>
    <row r="290" spans="1:1" s="99" customFormat="1" x14ac:dyDescent="0.25">
      <c r="A290" s="106"/>
    </row>
    <row r="291" spans="1:1" s="99" customFormat="1" x14ac:dyDescent="0.25">
      <c r="A291" s="106"/>
    </row>
    <row r="292" spans="1:1" s="99" customFormat="1" x14ac:dyDescent="0.25">
      <c r="A292" s="106"/>
    </row>
    <row r="293" spans="1:1" s="99" customFormat="1" x14ac:dyDescent="0.25">
      <c r="A293" s="106"/>
    </row>
    <row r="294" spans="1:1" s="99" customFormat="1" x14ac:dyDescent="0.25">
      <c r="A294" s="106"/>
    </row>
    <row r="295" spans="1:1" s="99" customFormat="1" x14ac:dyDescent="0.25">
      <c r="A295" s="106"/>
    </row>
    <row r="296" spans="1:1" s="99" customFormat="1" x14ac:dyDescent="0.25">
      <c r="A296" s="106"/>
    </row>
    <row r="297" spans="1:1" s="99" customFormat="1" x14ac:dyDescent="0.25">
      <c r="A297" s="106"/>
    </row>
    <row r="298" spans="1:1" s="99" customFormat="1" x14ac:dyDescent="0.25">
      <c r="A298" s="106"/>
    </row>
    <row r="299" spans="1:1" s="99" customFormat="1" x14ac:dyDescent="0.25">
      <c r="A299" s="106"/>
    </row>
    <row r="300" spans="1:1" s="99" customFormat="1" x14ac:dyDescent="0.25">
      <c r="A300" s="106"/>
    </row>
    <row r="301" spans="1:1" s="99" customFormat="1" x14ac:dyDescent="0.25">
      <c r="A301" s="106"/>
    </row>
    <row r="302" spans="1:1" s="99" customFormat="1" x14ac:dyDescent="0.25">
      <c r="A302" s="106"/>
    </row>
    <row r="303" spans="1:1" s="99" customFormat="1" x14ac:dyDescent="0.25">
      <c r="A303" s="106"/>
    </row>
    <row r="304" spans="1:1" s="99" customFormat="1" x14ac:dyDescent="0.25">
      <c r="A304" s="106"/>
    </row>
    <row r="305" spans="1:1" s="99" customFormat="1" x14ac:dyDescent="0.25">
      <c r="A305" s="106"/>
    </row>
    <row r="306" spans="1:1" s="99" customFormat="1" x14ac:dyDescent="0.25">
      <c r="A306" s="106"/>
    </row>
    <row r="307" spans="1:1" s="99" customFormat="1" x14ac:dyDescent="0.25">
      <c r="A307" s="106"/>
    </row>
    <row r="308" spans="1:1" s="99" customFormat="1" x14ac:dyDescent="0.25">
      <c r="A308" s="106"/>
    </row>
    <row r="309" spans="1:1" s="99" customFormat="1" x14ac:dyDescent="0.25">
      <c r="A309" s="106"/>
    </row>
    <row r="310" spans="1:1" s="99" customFormat="1" x14ac:dyDescent="0.25">
      <c r="A310" s="106"/>
    </row>
    <row r="311" spans="1:1" s="99" customFormat="1" x14ac:dyDescent="0.25">
      <c r="A311" s="106"/>
    </row>
    <row r="312" spans="1:1" s="99" customFormat="1" x14ac:dyDescent="0.25">
      <c r="A312" s="106"/>
    </row>
    <row r="313" spans="1:1" s="99" customFormat="1" x14ac:dyDescent="0.25">
      <c r="A313" s="106"/>
    </row>
    <row r="314" spans="1:1" s="99" customFormat="1" x14ac:dyDescent="0.25">
      <c r="A314" s="106"/>
    </row>
    <row r="315" spans="1:1" s="99" customFormat="1" x14ac:dyDescent="0.25">
      <c r="A315" s="106"/>
    </row>
    <row r="316" spans="1:1" s="99" customFormat="1" x14ac:dyDescent="0.25">
      <c r="A316" s="106"/>
    </row>
    <row r="317" spans="1:1" s="99" customFormat="1" x14ac:dyDescent="0.25">
      <c r="A317" s="106"/>
    </row>
    <row r="318" spans="1:1" s="99" customFormat="1" x14ac:dyDescent="0.25">
      <c r="A318" s="106"/>
    </row>
    <row r="319" spans="1:1" s="99" customFormat="1" x14ac:dyDescent="0.25">
      <c r="A319" s="106"/>
    </row>
    <row r="320" spans="1:1" s="99" customFormat="1" x14ac:dyDescent="0.25">
      <c r="A320" s="106"/>
    </row>
    <row r="321" spans="1:1" s="99" customFormat="1" x14ac:dyDescent="0.25">
      <c r="A321" s="106"/>
    </row>
    <row r="322" spans="1:1" s="99" customFormat="1" x14ac:dyDescent="0.25">
      <c r="A322" s="106"/>
    </row>
    <row r="323" spans="1:1" s="99" customFormat="1" x14ac:dyDescent="0.25">
      <c r="A323" s="106"/>
    </row>
    <row r="324" spans="1:1" s="99" customFormat="1" x14ac:dyDescent="0.25">
      <c r="A324" s="106"/>
    </row>
    <row r="325" spans="1:1" s="99" customFormat="1" x14ac:dyDescent="0.25">
      <c r="A325" s="106"/>
    </row>
    <row r="326" spans="1:1" s="99" customFormat="1" x14ac:dyDescent="0.25">
      <c r="A326" s="106"/>
    </row>
    <row r="327" spans="1:1" s="99" customFormat="1" x14ac:dyDescent="0.25">
      <c r="A327" s="106"/>
    </row>
    <row r="328" spans="1:1" s="99" customFormat="1" x14ac:dyDescent="0.25">
      <c r="A328" s="106"/>
    </row>
    <row r="329" spans="1:1" s="99" customFormat="1" x14ac:dyDescent="0.25">
      <c r="A329" s="106"/>
    </row>
    <row r="330" spans="1:1" s="99" customFormat="1" x14ac:dyDescent="0.25">
      <c r="A330" s="106"/>
    </row>
    <row r="331" spans="1:1" s="99" customFormat="1" x14ac:dyDescent="0.25">
      <c r="A331" s="106"/>
    </row>
    <row r="332" spans="1:1" s="99" customFormat="1" x14ac:dyDescent="0.25">
      <c r="A332" s="106"/>
    </row>
    <row r="333" spans="1:1" s="99" customFormat="1" x14ac:dyDescent="0.25">
      <c r="A333" s="106"/>
    </row>
    <row r="334" spans="1:1" s="99" customFormat="1" x14ac:dyDescent="0.25">
      <c r="A334" s="106"/>
    </row>
    <row r="335" spans="1:1" s="99" customFormat="1" x14ac:dyDescent="0.25">
      <c r="A335" s="106"/>
    </row>
    <row r="336" spans="1:1" s="99" customFormat="1" x14ac:dyDescent="0.25">
      <c r="A336" s="106"/>
    </row>
    <row r="337" spans="1:1" s="99" customFormat="1" x14ac:dyDescent="0.25">
      <c r="A337" s="106"/>
    </row>
    <row r="338" spans="1:1" s="99" customFormat="1" x14ac:dyDescent="0.25">
      <c r="A338" s="106"/>
    </row>
    <row r="339" spans="1:1" s="99" customFormat="1" x14ac:dyDescent="0.25">
      <c r="A339" s="106"/>
    </row>
    <row r="340" spans="1:1" s="99" customFormat="1" x14ac:dyDescent="0.25">
      <c r="A340" s="106"/>
    </row>
    <row r="341" spans="1:1" s="99" customFormat="1" x14ac:dyDescent="0.25">
      <c r="A341" s="106"/>
    </row>
    <row r="342" spans="1:1" s="99" customFormat="1" x14ac:dyDescent="0.25">
      <c r="A342" s="106"/>
    </row>
    <row r="343" spans="1:1" s="99" customFormat="1" x14ac:dyDescent="0.25">
      <c r="A343" s="106"/>
    </row>
    <row r="344" spans="1:1" s="99" customFormat="1" x14ac:dyDescent="0.25">
      <c r="A344" s="106"/>
    </row>
    <row r="345" spans="1:1" s="99" customFormat="1" x14ac:dyDescent="0.25">
      <c r="A345" s="106"/>
    </row>
    <row r="346" spans="1:1" s="99" customFormat="1" x14ac:dyDescent="0.25">
      <c r="A346" s="106"/>
    </row>
    <row r="347" spans="1:1" s="99" customFormat="1" x14ac:dyDescent="0.25">
      <c r="A347" s="106"/>
    </row>
    <row r="348" spans="1:1" s="99" customFormat="1" x14ac:dyDescent="0.25">
      <c r="A348" s="106"/>
    </row>
    <row r="349" spans="1:1" s="99" customFormat="1" x14ac:dyDescent="0.25">
      <c r="A349" s="106"/>
    </row>
    <row r="350" spans="1:1" s="99" customFormat="1" x14ac:dyDescent="0.25">
      <c r="A350" s="106"/>
    </row>
    <row r="351" spans="1:1" s="99" customFormat="1" x14ac:dyDescent="0.25">
      <c r="A351" s="106"/>
    </row>
    <row r="352" spans="1:1" s="99" customFormat="1" x14ac:dyDescent="0.25">
      <c r="A352" s="106"/>
    </row>
    <row r="353" spans="1:1" s="99" customFormat="1" x14ac:dyDescent="0.25">
      <c r="A353" s="106"/>
    </row>
    <row r="354" spans="1:1" s="99" customFormat="1" x14ac:dyDescent="0.25">
      <c r="A354" s="106"/>
    </row>
    <row r="355" spans="1:1" s="99" customFormat="1" x14ac:dyDescent="0.25">
      <c r="A355" s="106"/>
    </row>
    <row r="356" spans="1:1" s="99" customFormat="1" x14ac:dyDescent="0.25">
      <c r="A356" s="106"/>
    </row>
    <row r="357" spans="1:1" s="99" customFormat="1" x14ac:dyDescent="0.25">
      <c r="A357" s="106"/>
    </row>
    <row r="358" spans="1:1" s="99" customFormat="1" x14ac:dyDescent="0.25">
      <c r="A358" s="106"/>
    </row>
    <row r="359" spans="1:1" s="99" customFormat="1" x14ac:dyDescent="0.25">
      <c r="A359" s="106"/>
    </row>
    <row r="360" spans="1:1" s="99" customFormat="1" x14ac:dyDescent="0.25">
      <c r="A360" s="106"/>
    </row>
    <row r="361" spans="1:1" s="99" customFormat="1" x14ac:dyDescent="0.25">
      <c r="A361" s="106"/>
    </row>
    <row r="362" spans="1:1" s="99" customFormat="1" x14ac:dyDescent="0.25">
      <c r="A362" s="106"/>
    </row>
    <row r="363" spans="1:1" s="99" customFormat="1" x14ac:dyDescent="0.25">
      <c r="A363" s="106"/>
    </row>
    <row r="364" spans="1:1" s="99" customFormat="1" x14ac:dyDescent="0.25">
      <c r="A364" s="106"/>
    </row>
    <row r="365" spans="1:1" s="99" customFormat="1" x14ac:dyDescent="0.25">
      <c r="A365" s="106"/>
    </row>
    <row r="366" spans="1:1" s="99" customFormat="1" x14ac:dyDescent="0.25">
      <c r="A366" s="106"/>
    </row>
    <row r="367" spans="1:1" s="99" customFormat="1" x14ac:dyDescent="0.25">
      <c r="A367" s="106"/>
    </row>
    <row r="368" spans="1:1" s="99" customFormat="1" x14ac:dyDescent="0.25">
      <c r="A368" s="106"/>
    </row>
    <row r="369" spans="1:1" s="99" customFormat="1" x14ac:dyDescent="0.25">
      <c r="A369" s="106"/>
    </row>
    <row r="370" spans="1:1" s="99" customFormat="1" x14ac:dyDescent="0.25">
      <c r="A370" s="106"/>
    </row>
    <row r="371" spans="1:1" s="99" customFormat="1" x14ac:dyDescent="0.25">
      <c r="A371" s="106"/>
    </row>
    <row r="372" spans="1:1" s="99" customFormat="1" x14ac:dyDescent="0.25">
      <c r="A372" s="106"/>
    </row>
    <row r="373" spans="1:1" s="99" customFormat="1" x14ac:dyDescent="0.25">
      <c r="A373" s="106"/>
    </row>
    <row r="374" spans="1:1" s="99" customFormat="1" x14ac:dyDescent="0.25">
      <c r="A374" s="106"/>
    </row>
    <row r="375" spans="1:1" s="99" customFormat="1" x14ac:dyDescent="0.25">
      <c r="A375" s="106"/>
    </row>
    <row r="376" spans="1:1" s="99" customFormat="1" x14ac:dyDescent="0.25">
      <c r="A376" s="106"/>
    </row>
    <row r="377" spans="1:1" s="99" customFormat="1" x14ac:dyDescent="0.25">
      <c r="A377" s="106"/>
    </row>
    <row r="378" spans="1:1" s="99" customFormat="1" x14ac:dyDescent="0.25">
      <c r="A378" s="106"/>
    </row>
    <row r="379" spans="1:1" s="99" customFormat="1" x14ac:dyDescent="0.25">
      <c r="A379" s="106"/>
    </row>
    <row r="380" spans="1:1" s="99" customFormat="1" x14ac:dyDescent="0.25">
      <c r="A380" s="106"/>
    </row>
    <row r="381" spans="1:1" s="99" customFormat="1" x14ac:dyDescent="0.25">
      <c r="A381" s="106"/>
    </row>
    <row r="382" spans="1:1" s="99" customFormat="1" x14ac:dyDescent="0.25">
      <c r="A382" s="106"/>
    </row>
    <row r="383" spans="1:1" s="99" customFormat="1" x14ac:dyDescent="0.25">
      <c r="A383" s="106"/>
    </row>
    <row r="384" spans="1:1" s="99" customFormat="1" x14ac:dyDescent="0.25">
      <c r="A384" s="106"/>
    </row>
    <row r="385" spans="1:1" s="99" customFormat="1" x14ac:dyDescent="0.25">
      <c r="A385" s="106"/>
    </row>
    <row r="386" spans="1:1" s="99" customFormat="1" x14ac:dyDescent="0.25">
      <c r="A386" s="106"/>
    </row>
    <row r="387" spans="1:1" s="99" customFormat="1" x14ac:dyDescent="0.25">
      <c r="A387" s="106"/>
    </row>
    <row r="388" spans="1:1" s="99" customFormat="1" x14ac:dyDescent="0.25">
      <c r="A388" s="106"/>
    </row>
    <row r="389" spans="1:1" s="99" customFormat="1" x14ac:dyDescent="0.25">
      <c r="A389" s="106"/>
    </row>
    <row r="390" spans="1:1" s="99" customFormat="1" x14ac:dyDescent="0.25">
      <c r="A390" s="106"/>
    </row>
    <row r="391" spans="1:1" s="99" customFormat="1" x14ac:dyDescent="0.25">
      <c r="A391" s="106"/>
    </row>
    <row r="392" spans="1:1" s="99" customFormat="1" x14ac:dyDescent="0.25">
      <c r="A392" s="106"/>
    </row>
    <row r="393" spans="1:1" s="99" customFormat="1" x14ac:dyDescent="0.25">
      <c r="A393" s="106"/>
    </row>
    <row r="394" spans="1:1" s="99" customFormat="1" x14ac:dyDescent="0.25">
      <c r="A394" s="106"/>
    </row>
    <row r="395" spans="1:1" s="99" customFormat="1" x14ac:dyDescent="0.25">
      <c r="A395" s="106"/>
    </row>
    <row r="396" spans="1:1" s="99" customFormat="1" x14ac:dyDescent="0.25">
      <c r="A396" s="106"/>
    </row>
    <row r="397" spans="1:1" s="99" customFormat="1" x14ac:dyDescent="0.25">
      <c r="A397" s="106"/>
    </row>
    <row r="398" spans="1:1" s="99" customFormat="1" x14ac:dyDescent="0.25">
      <c r="A398" s="106"/>
    </row>
    <row r="399" spans="1:1" s="99" customFormat="1" x14ac:dyDescent="0.25">
      <c r="A399" s="106"/>
    </row>
    <row r="400" spans="1:1" s="99" customFormat="1" x14ac:dyDescent="0.25">
      <c r="A400" s="106"/>
    </row>
    <row r="401" spans="1:1" s="99" customFormat="1" x14ac:dyDescent="0.25">
      <c r="A401" s="106"/>
    </row>
    <row r="402" spans="1:1" s="99" customFormat="1" x14ac:dyDescent="0.25">
      <c r="A402" s="106"/>
    </row>
    <row r="403" spans="1:1" s="99" customFormat="1" x14ac:dyDescent="0.25">
      <c r="A403" s="106"/>
    </row>
    <row r="404" spans="1:1" s="99" customFormat="1" x14ac:dyDescent="0.25">
      <c r="A404" s="106"/>
    </row>
    <row r="405" spans="1:1" s="99" customFormat="1" x14ac:dyDescent="0.25">
      <c r="A405" s="106"/>
    </row>
    <row r="406" spans="1:1" s="99" customFormat="1" x14ac:dyDescent="0.25">
      <c r="A406" s="106"/>
    </row>
    <row r="407" spans="1:1" s="99" customFormat="1" x14ac:dyDescent="0.25">
      <c r="A407" s="106"/>
    </row>
    <row r="408" spans="1:1" s="99" customFormat="1" x14ac:dyDescent="0.25">
      <c r="A408" s="106"/>
    </row>
    <row r="409" spans="1:1" s="99" customFormat="1" x14ac:dyDescent="0.25">
      <c r="A409" s="106"/>
    </row>
    <row r="410" spans="1:1" s="99" customFormat="1" x14ac:dyDescent="0.25">
      <c r="A410" s="106"/>
    </row>
    <row r="411" spans="1:1" s="99" customFormat="1" x14ac:dyDescent="0.25">
      <c r="A411" s="106"/>
    </row>
    <row r="412" spans="1:1" s="99" customFormat="1" x14ac:dyDescent="0.25">
      <c r="A412" s="106"/>
    </row>
    <row r="413" spans="1:1" s="99" customFormat="1" x14ac:dyDescent="0.25">
      <c r="A413" s="106"/>
    </row>
    <row r="414" spans="1:1" s="99" customFormat="1" x14ac:dyDescent="0.25">
      <c r="A414" s="106"/>
    </row>
    <row r="415" spans="1:1" s="99" customFormat="1" x14ac:dyDescent="0.25">
      <c r="A415" s="106"/>
    </row>
    <row r="416" spans="1:1" s="99" customFormat="1" x14ac:dyDescent="0.25">
      <c r="A416" s="106"/>
    </row>
    <row r="417" spans="1:1" s="99" customFormat="1" x14ac:dyDescent="0.25">
      <c r="A417" s="106"/>
    </row>
    <row r="418" spans="1:1" s="99" customFormat="1" x14ac:dyDescent="0.25">
      <c r="A418" s="106"/>
    </row>
    <row r="419" spans="1:1" s="99" customFormat="1" x14ac:dyDescent="0.25">
      <c r="A419" s="106"/>
    </row>
    <row r="420" spans="1:1" s="99" customFormat="1" x14ac:dyDescent="0.25">
      <c r="A420" s="106"/>
    </row>
    <row r="421" spans="1:1" s="99" customFormat="1" x14ac:dyDescent="0.25">
      <c r="A421" s="106"/>
    </row>
    <row r="422" spans="1:1" s="99" customFormat="1" x14ac:dyDescent="0.25">
      <c r="A422" s="106"/>
    </row>
    <row r="423" spans="1:1" s="99" customFormat="1" x14ac:dyDescent="0.25">
      <c r="A423" s="106"/>
    </row>
    <row r="424" spans="1:1" s="99" customFormat="1" x14ac:dyDescent="0.25">
      <c r="A424" s="106"/>
    </row>
    <row r="425" spans="1:1" s="99" customFormat="1" x14ac:dyDescent="0.25">
      <c r="A425" s="106"/>
    </row>
    <row r="426" spans="1:1" s="99" customFormat="1" x14ac:dyDescent="0.25">
      <c r="A426" s="106"/>
    </row>
    <row r="427" spans="1:1" s="99" customFormat="1" x14ac:dyDescent="0.25">
      <c r="A427" s="106"/>
    </row>
    <row r="428" spans="1:1" s="99" customFormat="1" x14ac:dyDescent="0.25">
      <c r="A428" s="106"/>
    </row>
    <row r="429" spans="1:1" s="99" customFormat="1" x14ac:dyDescent="0.25">
      <c r="A429" s="106"/>
    </row>
    <row r="430" spans="1:1" s="99" customFormat="1" x14ac:dyDescent="0.25">
      <c r="A430" s="106"/>
    </row>
    <row r="431" spans="1:1" s="99" customFormat="1" x14ac:dyDescent="0.25">
      <c r="A431" s="106"/>
    </row>
    <row r="432" spans="1:1" s="99" customFormat="1" x14ac:dyDescent="0.25">
      <c r="A432" s="106"/>
    </row>
    <row r="433" spans="1:1" s="99" customFormat="1" x14ac:dyDescent="0.25">
      <c r="A433" s="106"/>
    </row>
    <row r="434" spans="1:1" s="99" customFormat="1" x14ac:dyDescent="0.25">
      <c r="A434" s="106"/>
    </row>
    <row r="435" spans="1:1" s="99" customFormat="1" x14ac:dyDescent="0.25">
      <c r="A435" s="106"/>
    </row>
    <row r="436" spans="1:1" s="99" customFormat="1" x14ac:dyDescent="0.25">
      <c r="A436" s="106"/>
    </row>
    <row r="437" spans="1:1" s="99" customFormat="1" x14ac:dyDescent="0.25">
      <c r="A437" s="106"/>
    </row>
    <row r="438" spans="1:1" s="99" customFormat="1" x14ac:dyDescent="0.25">
      <c r="A438" s="106"/>
    </row>
    <row r="439" spans="1:1" s="99" customFormat="1" x14ac:dyDescent="0.25">
      <c r="A439" s="106"/>
    </row>
    <row r="440" spans="1:1" s="99" customFormat="1" x14ac:dyDescent="0.25">
      <c r="A440" s="106"/>
    </row>
    <row r="441" spans="1:1" s="99" customFormat="1" x14ac:dyDescent="0.25">
      <c r="A441" s="106"/>
    </row>
    <row r="442" spans="1:1" s="99" customFormat="1" x14ac:dyDescent="0.25">
      <c r="A442" s="106"/>
    </row>
    <row r="443" spans="1:1" s="99" customFormat="1" x14ac:dyDescent="0.25">
      <c r="A443" s="106"/>
    </row>
    <row r="444" spans="1:1" s="99" customFormat="1" x14ac:dyDescent="0.25">
      <c r="A444" s="106"/>
    </row>
    <row r="445" spans="1:1" s="99" customFormat="1" x14ac:dyDescent="0.25">
      <c r="A445" s="106"/>
    </row>
    <row r="446" spans="1:1" s="99" customFormat="1" x14ac:dyDescent="0.25">
      <c r="A446" s="106"/>
    </row>
    <row r="447" spans="1:1" s="99" customFormat="1" x14ac:dyDescent="0.25">
      <c r="A447" s="106"/>
    </row>
    <row r="448" spans="1:1" s="99" customFormat="1" x14ac:dyDescent="0.25">
      <c r="A448" s="106"/>
    </row>
    <row r="449" spans="1:1" s="99" customFormat="1" x14ac:dyDescent="0.25">
      <c r="A449" s="106"/>
    </row>
    <row r="450" spans="1:1" s="99" customFormat="1" x14ac:dyDescent="0.25">
      <c r="A450" s="106"/>
    </row>
    <row r="451" spans="1:1" s="99" customFormat="1" x14ac:dyDescent="0.25">
      <c r="A451" s="106"/>
    </row>
    <row r="452" spans="1:1" s="99" customFormat="1" x14ac:dyDescent="0.25">
      <c r="A452" s="106"/>
    </row>
    <row r="453" spans="1:1" s="99" customFormat="1" x14ac:dyDescent="0.25">
      <c r="A453" s="106"/>
    </row>
    <row r="454" spans="1:1" s="99" customFormat="1" x14ac:dyDescent="0.25">
      <c r="A454" s="106"/>
    </row>
    <row r="455" spans="1:1" s="99" customFormat="1" x14ac:dyDescent="0.25">
      <c r="A455" s="106"/>
    </row>
    <row r="456" spans="1:1" s="99" customFormat="1" x14ac:dyDescent="0.25">
      <c r="A456" s="106"/>
    </row>
    <row r="457" spans="1:1" s="99" customFormat="1" x14ac:dyDescent="0.25">
      <c r="A457" s="106"/>
    </row>
    <row r="458" spans="1:1" s="99" customFormat="1" x14ac:dyDescent="0.25">
      <c r="A458" s="106"/>
    </row>
    <row r="459" spans="1:1" s="99" customFormat="1" x14ac:dyDescent="0.25">
      <c r="A459" s="106"/>
    </row>
    <row r="460" spans="1:1" s="99" customFormat="1" x14ac:dyDescent="0.25">
      <c r="A460" s="106"/>
    </row>
    <row r="461" spans="1:1" s="99" customFormat="1" x14ac:dyDescent="0.25">
      <c r="A461" s="106"/>
    </row>
    <row r="462" spans="1:1" s="99" customFormat="1" x14ac:dyDescent="0.25">
      <c r="A462" s="106"/>
    </row>
    <row r="463" spans="1:1" s="99" customFormat="1" x14ac:dyDescent="0.25">
      <c r="A463" s="106"/>
    </row>
    <row r="464" spans="1:1" s="99" customFormat="1" x14ac:dyDescent="0.25">
      <c r="A464" s="106"/>
    </row>
    <row r="465" spans="1:1" s="99" customFormat="1" x14ac:dyDescent="0.25">
      <c r="A465" s="106"/>
    </row>
    <row r="466" spans="1:1" s="99" customFormat="1" x14ac:dyDescent="0.25">
      <c r="A466" s="106"/>
    </row>
    <row r="467" spans="1:1" s="99" customFormat="1" x14ac:dyDescent="0.25">
      <c r="A467" s="106"/>
    </row>
    <row r="468" spans="1:1" s="99" customFormat="1" x14ac:dyDescent="0.25">
      <c r="A468" s="106"/>
    </row>
    <row r="469" spans="1:1" s="99" customFormat="1" x14ac:dyDescent="0.25">
      <c r="A469" s="106"/>
    </row>
    <row r="470" spans="1:1" s="99" customFormat="1" x14ac:dyDescent="0.25">
      <c r="A470" s="106"/>
    </row>
    <row r="471" spans="1:1" s="99" customFormat="1" x14ac:dyDescent="0.25">
      <c r="A471" s="106"/>
    </row>
    <row r="472" spans="1:1" s="99" customFormat="1" x14ac:dyDescent="0.25">
      <c r="A472" s="106"/>
    </row>
    <row r="473" spans="1:1" s="99" customFormat="1" x14ac:dyDescent="0.25">
      <c r="A473" s="106"/>
    </row>
    <row r="474" spans="1:1" s="99" customFormat="1" x14ac:dyDescent="0.25">
      <c r="A474" s="106"/>
    </row>
    <row r="475" spans="1:1" s="99" customFormat="1" x14ac:dyDescent="0.25">
      <c r="A475" s="106"/>
    </row>
    <row r="476" spans="1:1" s="99" customFormat="1" x14ac:dyDescent="0.25">
      <c r="A476" s="106"/>
    </row>
    <row r="477" spans="1:1" s="99" customFormat="1" x14ac:dyDescent="0.25">
      <c r="A477" s="106"/>
    </row>
    <row r="478" spans="1:1" s="99" customFormat="1" x14ac:dyDescent="0.25">
      <c r="A478" s="106"/>
    </row>
    <row r="479" spans="1:1" s="99" customFormat="1" x14ac:dyDescent="0.25">
      <c r="A479" s="106"/>
    </row>
    <row r="480" spans="1:1" s="99" customFormat="1" x14ac:dyDescent="0.25">
      <c r="A480" s="106"/>
    </row>
    <row r="481" spans="1:1" s="99" customFormat="1" x14ac:dyDescent="0.25">
      <c r="A481" s="106"/>
    </row>
    <row r="482" spans="1:1" s="99" customFormat="1" x14ac:dyDescent="0.25">
      <c r="A482" s="106"/>
    </row>
    <row r="483" spans="1:1" s="99" customFormat="1" x14ac:dyDescent="0.25">
      <c r="A483" s="106"/>
    </row>
    <row r="484" spans="1:1" s="99" customFormat="1" x14ac:dyDescent="0.25">
      <c r="A484" s="106"/>
    </row>
    <row r="485" spans="1:1" s="99" customFormat="1" x14ac:dyDescent="0.25">
      <c r="A485" s="106"/>
    </row>
    <row r="486" spans="1:1" s="99" customFormat="1" x14ac:dyDescent="0.25">
      <c r="A486" s="106"/>
    </row>
    <row r="487" spans="1:1" s="99" customFormat="1" x14ac:dyDescent="0.25">
      <c r="A487" s="106"/>
    </row>
    <row r="488" spans="1:1" s="99" customFormat="1" x14ac:dyDescent="0.25">
      <c r="A488" s="106"/>
    </row>
    <row r="489" spans="1:1" s="99" customFormat="1" x14ac:dyDescent="0.25">
      <c r="A489" s="106"/>
    </row>
    <row r="490" spans="1:1" s="99" customFormat="1" x14ac:dyDescent="0.25">
      <c r="A490" s="106"/>
    </row>
    <row r="491" spans="1:1" s="99" customFormat="1" x14ac:dyDescent="0.25">
      <c r="A491" s="106"/>
    </row>
    <row r="492" spans="1:1" s="99" customFormat="1" x14ac:dyDescent="0.25">
      <c r="A492" s="106"/>
    </row>
    <row r="493" spans="1:1" s="99" customFormat="1" x14ac:dyDescent="0.25">
      <c r="A493" s="106"/>
    </row>
    <row r="494" spans="1:1" s="99" customFormat="1" x14ac:dyDescent="0.25">
      <c r="A494" s="106"/>
    </row>
    <row r="495" spans="1:1" s="99" customFormat="1" x14ac:dyDescent="0.25">
      <c r="A495" s="106"/>
    </row>
    <row r="496" spans="1:1" s="99" customFormat="1" x14ac:dyDescent="0.25">
      <c r="A496" s="106"/>
    </row>
    <row r="497" spans="1:1" s="99" customFormat="1" x14ac:dyDescent="0.25">
      <c r="A497" s="106"/>
    </row>
    <row r="498" spans="1:1" s="99" customFormat="1" x14ac:dyDescent="0.25">
      <c r="A498" s="106"/>
    </row>
    <row r="499" spans="1:1" s="99" customFormat="1" x14ac:dyDescent="0.25">
      <c r="A499" s="106"/>
    </row>
    <row r="500" spans="1:1" s="99" customFormat="1" x14ac:dyDescent="0.25">
      <c r="A500" s="106"/>
    </row>
    <row r="501" spans="1:1" s="99" customFormat="1" x14ac:dyDescent="0.25">
      <c r="A501" s="106"/>
    </row>
    <row r="502" spans="1:1" s="99" customFormat="1" x14ac:dyDescent="0.25">
      <c r="A502" s="106"/>
    </row>
    <row r="503" spans="1:1" s="99" customFormat="1" x14ac:dyDescent="0.25">
      <c r="A503" s="106"/>
    </row>
    <row r="504" spans="1:1" s="99" customFormat="1" x14ac:dyDescent="0.25">
      <c r="A504" s="106"/>
    </row>
    <row r="505" spans="1:1" s="99" customFormat="1" x14ac:dyDescent="0.25">
      <c r="A505" s="106"/>
    </row>
    <row r="506" spans="1:1" s="99" customFormat="1" x14ac:dyDescent="0.25">
      <c r="A506" s="106"/>
    </row>
    <row r="507" spans="1:1" s="99" customFormat="1" x14ac:dyDescent="0.25">
      <c r="A507" s="106"/>
    </row>
    <row r="508" spans="1:1" s="99" customFormat="1" x14ac:dyDescent="0.25">
      <c r="A508" s="106"/>
    </row>
  </sheetData>
  <mergeCells count="9">
    <mergeCell ref="A1:V1"/>
    <mergeCell ref="A2:V2"/>
    <mergeCell ref="A4:A6"/>
    <mergeCell ref="V4:V6"/>
    <mergeCell ref="H4:N4"/>
    <mergeCell ref="H5:N5"/>
    <mergeCell ref="O4:U4"/>
    <mergeCell ref="O5:U5"/>
    <mergeCell ref="B4:G5"/>
  </mergeCells>
  <pageMargins left="0.7" right="0.7" top="0.75" bottom="0.75" header="0.3" footer="0.3"/>
  <pageSetup scale="46" orientation="portrait" r:id="rId1"/>
  <colBreaks count="1" manualBreakCount="1">
    <brk id="23" max="3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2021-10-19T06:07:32Z</cp:lastPrinted>
  <dcterms:created xsi:type="dcterms:W3CDTF">2019-12-05T04:01:34Z</dcterms:created>
  <dcterms:modified xsi:type="dcterms:W3CDTF">2021-10-19T06:07:43Z</dcterms:modified>
</cp:coreProperties>
</file>