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11" sheetId="11" r:id="rId1"/>
  </sheets>
  <definedNames>
    <definedName name="_xlnm.Print_Area" localSheetId="0">'8.11'!$A$1:$I$33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1" l="1"/>
  <c r="G12" i="11"/>
  <c r="G9" i="11" l="1"/>
  <c r="G6" i="11"/>
  <c r="G7" i="11"/>
  <c r="G8" i="11"/>
  <c r="F5" i="11"/>
  <c r="E5" i="11" l="1"/>
  <c r="G5" i="11" s="1"/>
  <c r="D5" i="11" l="1"/>
  <c r="C5" i="11"/>
  <c r="B5" i="11"/>
</calcChain>
</file>

<file path=xl/sharedStrings.xml><?xml version="1.0" encoding="utf-8"?>
<sst xmlns="http://schemas.openxmlformats.org/spreadsheetml/2006/main" count="27" uniqueCount="25">
  <si>
    <t>Total</t>
  </si>
  <si>
    <t>Traffic accidents</t>
  </si>
  <si>
    <t>Source: Maldives Police Service</t>
  </si>
  <si>
    <t>csivrws csilop cscviDclOm :Ivcaed utWmUluAwm</t>
  </si>
  <si>
    <t>-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</si>
  <si>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</si>
  <si>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</si>
  <si>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</si>
  <si>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</si>
  <si>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>Homicides</t>
  </si>
  <si>
    <t>ގަސްތުގައި މީހުން މެރުން</t>
  </si>
  <si>
    <t>Suicides</t>
  </si>
  <si>
    <t>އަމިއްލައަށް މަރުވުން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</si>
  <si>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</si>
  <si>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</si>
  <si>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</si>
  <si>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</si>
  <si>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</si>
  <si>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</si>
  <si>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</si>
  <si>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Marine Accidents</t>
  </si>
  <si>
    <t>ކަނޑުމަތީގެ އެކްސިޑެންޓް</t>
  </si>
  <si>
    <t>% change over 2019</t>
  </si>
  <si>
    <t>Table 8.11 : LOGGED CASES OF DEATH , 2016 - 2020</t>
  </si>
  <si>
    <t>ތާވަލު 8.11: ހުށަހެޅިފައިވާ މަރުގެ މައްސަލަތައް، 2016- 2020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</si>
</sst>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_Randhoo"/>
    </font>
    <font>
      <sz val="9"/>
      <color theme="1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0"/>
      <color theme="1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8" fillId="0" borderId="7" applyNumberFormat="0" applyFill="0" applyAlignment="0" applyProtection="0"/>
    <xf numFmtId="0" fontId="17" fillId="0" borderId="0"/>
    <xf numFmtId="0" fontId="17" fillId="0" borderId="0"/>
  </cellStyleXfs>
  <cellXfs count="40">
    <xf numFmtId="0" fontId="0" fillId="0" borderId="0" xfId="0"/>
    <xf numFmtId="164" fontId="4" fillId="2" borderId="0" xfId="0" applyNumberFormat="1" applyFont="1" applyFill="1"/>
    <xf numFmtId="164" fontId="8" fillId="2" borderId="5" xfId="0" applyNumberFormat="1" applyFont="1" applyFill="1" applyBorder="1" applyAlignment="1" applyProtection="1">
      <alignment vertical="center"/>
    </xf>
    <xf numFmtId="164" fontId="10" fillId="2" borderId="0" xfId="0" applyNumberFormat="1" applyFont="1" applyFill="1"/>
    <xf numFmtId="164" fontId="0" fillId="2" borderId="0" xfId="0" applyNumberFormat="1" applyFont="1" applyFill="1"/>
    <xf numFmtId="164" fontId="0" fillId="2" borderId="0" xfId="0" applyNumberFormat="1" applyFont="1" applyFill="1" applyBorder="1"/>
    <xf numFmtId="3" fontId="3" fillId="2" borderId="0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 applyAlignment="1" applyProtection="1">
      <alignment horizontal="right" vertical="center" wrapText="1"/>
    </xf>
    <xf numFmtId="164" fontId="13" fillId="2" borderId="0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vertical="center"/>
    </xf>
    <xf numFmtId="166" fontId="5" fillId="2" borderId="3" xfId="1" applyNumberFormat="1" applyFont="1" applyFill="1" applyBorder="1" applyAlignment="1">
      <alignment horizontal="center" vertical="center"/>
    </xf>
    <xf numFmtId="164" fontId="12" fillId="2" borderId="0" xfId="0" applyNumberFormat="1" applyFont="1" applyFill="1" applyBorder="1" applyAlignment="1" applyProtection="1">
      <alignment horizontal="right" vertical="center"/>
    </xf>
    <xf numFmtId="164" fontId="16" fillId="2" borderId="0" xfId="0" applyNumberFormat="1" applyFont="1" applyFill="1"/>
    <xf numFmtId="164" fontId="3" fillId="2" borderId="0" xfId="0" applyNumberFormat="1" applyFont="1" applyFill="1" applyBorder="1" applyAlignment="1">
      <alignment horizontal="left" vertical="center" indent="1"/>
    </xf>
    <xf numFmtId="3" fontId="3" fillId="2" borderId="0" xfId="0" applyNumberFormat="1" applyFont="1" applyFill="1" applyBorder="1" applyAlignment="1">
      <alignment horizontal="right" vertical="center" indent="7"/>
    </xf>
    <xf numFmtId="164" fontId="13" fillId="2" borderId="0" xfId="0" applyNumberFormat="1" applyFont="1" applyFill="1" applyBorder="1" applyAlignment="1" applyProtection="1">
      <alignment horizontal="right" vertical="center" indent="1"/>
    </xf>
    <xf numFmtId="164" fontId="13" fillId="2" borderId="0" xfId="0" applyNumberFormat="1" applyFont="1" applyFill="1" applyBorder="1" applyAlignment="1" applyProtection="1">
      <alignment horizontal="right" vertical="center"/>
    </xf>
    <xf numFmtId="164" fontId="3" fillId="2" borderId="4" xfId="0" applyNumberFormat="1" applyFont="1" applyFill="1" applyBorder="1" applyAlignment="1">
      <alignment horizontal="left" vertical="center" indent="1"/>
    </xf>
    <xf numFmtId="3" fontId="3" fillId="2" borderId="4" xfId="0" applyNumberFormat="1" applyFont="1" applyFill="1" applyBorder="1" applyAlignment="1">
      <alignment horizontal="right" vertical="center" indent="7"/>
    </xf>
    <xf numFmtId="164" fontId="13" fillId="2" borderId="4" xfId="0" applyNumberFormat="1" applyFont="1" applyFill="1" applyBorder="1" applyAlignment="1" applyProtection="1">
      <alignment horizontal="right" vertical="center" indent="1"/>
    </xf>
    <xf numFmtId="164" fontId="4" fillId="2" borderId="0" xfId="0" applyNumberFormat="1" applyFont="1" applyFill="1" applyBorder="1"/>
    <xf numFmtId="164" fontId="9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 indent="1"/>
    </xf>
    <xf numFmtId="164" fontId="9" fillId="2" borderId="6" xfId="0" applyNumberFormat="1" applyFont="1" applyFill="1" applyBorder="1" applyAlignment="1">
      <alignment horizontal="right" vertical="center"/>
    </xf>
    <xf numFmtId="166" fontId="5" fillId="2" borderId="0" xfId="1" applyNumberFormat="1" applyFont="1" applyFill="1" applyBorder="1" applyAlignment="1">
      <alignment horizontal="center" vertical="center"/>
    </xf>
    <xf numFmtId="164" fontId="14" fillId="2" borderId="4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15" fillId="2" borderId="3" xfId="0" applyNumberFormat="1" applyFont="1" applyFill="1" applyBorder="1" applyAlignment="1" applyProtection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left" vertical="center" wrapText="1"/>
    </xf>
    <xf numFmtId="164" fontId="14" fillId="2" borderId="4" xfId="0" applyNumberFormat="1" applyFont="1" applyFill="1" applyBorder="1" applyAlignment="1">
      <alignment horizontal="left" vertical="center" wrapText="1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CCF4F2"/>
      <color rgb="FF33CCCC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8.17: Number of death cases by type, 2017</a:t>
            </a:r>
            <a:r>
              <a:rPr lang="en-US" sz="1200" b="1" baseline="0"/>
              <a:t> - 2020</a:t>
            </a:r>
            <a:endParaRPr lang="en-US" sz="1200" b="1"/>
          </a:p>
        </c:rich>
      </c:tx>
      <c:layout>
        <c:manualLayout>
          <c:xMode val="edge"/>
          <c:yMode val="edge"/>
          <c:x val="0.24601593807260472"/>
          <c:y val="3.79377402848019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219260555825087E-2"/>
          <c:y val="0.15634564301814474"/>
          <c:w val="0.94132317361263051"/>
          <c:h val="0.725316488047288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'8.11'!$C$3:$C$4</c:f>
              <c:strCache>
                <c:ptCount val="2"/>
                <c:pt idx="0">
                  <c:v>2017 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'8.11'!$C$6:$C$11</c:f>
              <c:numCache>
                <c:formatCode>#,##0</c:formatCode>
                <c:ptCount val="6"/>
                <c:pt idx="0">
                  <c:v>9</c:v>
                </c:pt>
                <c:pt idx="1">
                  <c:v>17</c:v>
                </c:pt>
                <c:pt idx="2">
                  <c:v>19</c:v>
                </c:pt>
                <c:pt idx="3">
                  <c:v>9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9-43C6-BAC7-B970DD4052CC}"/>
            </c:ext>
          </c:extLst>
        </c:ser>
        <c:ser>
          <c:idx val="2"/>
          <c:order val="1"/>
          <c:tx>
            <c:strRef>
              <c:f>'8.11'!$D$3:$D$4</c:f>
              <c:strCache>
                <c:ptCount val="2"/>
                <c:pt idx="0">
                  <c:v>2018 </c:v>
                </c:pt>
              </c:strCache>
            </c:strRef>
          </c:tx>
          <c:spPr>
            <a:solidFill>
              <a:srgbClr val="006664"/>
            </a:solidFill>
            <a:ln>
              <a:noFill/>
            </a:ln>
            <a:effectLst/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'8.11'!$D$6:$D$11</c:f>
              <c:numCache>
                <c:formatCode>#,##0</c:formatCode>
                <c:ptCount val="6"/>
                <c:pt idx="0">
                  <c:v>3</c:v>
                </c:pt>
                <c:pt idx="1">
                  <c:v>14</c:v>
                </c:pt>
                <c:pt idx="2">
                  <c:v>15</c:v>
                </c:pt>
                <c:pt idx="3">
                  <c:v>8</c:v>
                </c:pt>
                <c:pt idx="4">
                  <c:v>4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9-43C6-BAC7-B970DD4052CC}"/>
            </c:ext>
          </c:extLst>
        </c:ser>
        <c:ser>
          <c:idx val="3"/>
          <c:order val="2"/>
          <c:tx>
            <c:strRef>
              <c:f>'8.11'!$E$3:$E$4</c:f>
              <c:strCache>
                <c:ptCount val="2"/>
                <c:pt idx="0">
                  <c:v>2019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'8.11'!$E$6:$E$11</c:f>
              <c:numCache>
                <c:formatCode>#,##0</c:formatCode>
                <c:ptCount val="6"/>
                <c:pt idx="0">
                  <c:v>3</c:v>
                </c:pt>
                <c:pt idx="1">
                  <c:v>17</c:v>
                </c:pt>
                <c:pt idx="2">
                  <c:v>28</c:v>
                </c:pt>
                <c:pt idx="3">
                  <c:v>5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9-43C6-BAC7-B970DD4052CC}"/>
            </c:ext>
          </c:extLst>
        </c:ser>
        <c:ser>
          <c:idx val="0"/>
          <c:order val="3"/>
          <c:tx>
            <c:strRef>
              <c:f>'8.11'!$F$3:$F$4</c:f>
              <c:strCache>
                <c:ptCount val="2"/>
                <c:pt idx="0">
                  <c:v>2020 </c:v>
                </c:pt>
              </c:strCache>
            </c:strRef>
          </c:tx>
          <c:spPr>
            <a:solidFill>
              <a:srgbClr val="DDF8F7"/>
            </a:solidFill>
          </c:spPr>
          <c:invertIfNegative val="0"/>
          <c:cat>
            <c:strRef>
              <c:f>'8.11'!$A$6:$A$11</c:f>
              <c:strCache>
                <c:ptCount val="6"/>
                <c:pt idx="0">
                  <c:v>Homicides</c:v>
                </c:pt>
                <c:pt idx="1">
                  <c:v>Suicides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Marine Accidents</c:v>
                </c:pt>
                <c:pt idx="5">
                  <c:v>Drowning</c:v>
                </c:pt>
              </c:strCache>
            </c:strRef>
          </c:cat>
          <c:val>
            <c:numRef>
              <c:f>'8.11'!$F$6:$F$11</c:f>
              <c:numCache>
                <c:formatCode>#,##0</c:formatCode>
                <c:ptCount val="6"/>
                <c:pt idx="0">
                  <c:v>2</c:v>
                </c:pt>
                <c:pt idx="1">
                  <c:v>13</c:v>
                </c:pt>
                <c:pt idx="2">
                  <c:v>11</c:v>
                </c:pt>
                <c:pt idx="3">
                  <c:v>0</c:v>
                </c:pt>
                <c:pt idx="4">
                  <c:v>1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7-40E5-BD31-9C5EFFA58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292352"/>
        <c:axId val="44298240"/>
      </c:barChart>
      <c:catAx>
        <c:axId val="4429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8240"/>
        <c:crosses val="autoZero"/>
        <c:auto val="1"/>
        <c:lblAlgn val="ctr"/>
        <c:lblOffset val="100"/>
        <c:noMultiLvlLbl val="0"/>
      </c:catAx>
      <c:valAx>
        <c:axId val="442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F4F2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2352"/>
        <c:crosses val="autoZero"/>
        <c:crossBetween val="between"/>
      </c:valAx>
      <c:spPr>
        <a:noFill/>
        <a:ln>
          <a:solidFill>
            <a:srgbClr val="CCF4F2"/>
          </a:solidFill>
        </a:ln>
        <a:effectLst/>
      </c:spPr>
    </c:plotArea>
    <c:legend>
      <c:legendPos val="b"/>
      <c:layout>
        <c:manualLayout>
          <c:xMode val="edge"/>
          <c:yMode val="edge"/>
          <c:x val="0.61675952809334811"/>
          <c:y val="0.19961856473197467"/>
          <c:w val="0.23052460062984473"/>
          <c:h val="7.1133760904610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481263</xdr:colOff>
      <xdr:row>15</xdr:row>
      <xdr:rowOff>462</xdr:rowOff>
    </xdr:from>
    <xdr:to>
      <xdr:col>7</xdr:col>
      <xdr:colOff>1378618</xdr:colOff>
      <xdr:row>30</xdr:row>
      <xdr:rowOff>155793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92D050"/>
  </sheetPr>
  <dimension ref="A1:N14"/>
  <sheetViews>
    <sheetView tabSelected="1" zoomScale="95" zoomScaleNormal="95" workbookViewId="0">
      <selection activeCell="G10" sqref="G10"/>
    </sheetView>
  </sheetViews>
  <sheetFormatPr defaultColWidth="9.140625" defaultRowHeight="15"/>
  <cols>
    <col min="1" max="1" width="26.140625" style="4" customWidth="1"/>
    <col min="2" max="4" width="10.7109375" style="4" customWidth="1"/>
    <col min="5" max="6" width="12.7109375" style="4" customWidth="1"/>
    <col min="7" max="7" width="22.42578125" style="4" customWidth="1"/>
    <col min="8" max="8" width="24.85546875" style="4" customWidth="1"/>
    <col min="9" max="9" width="3.85546875" style="4" customWidth="1"/>
    <col min="10" max="14" width="24.85546875" style="4" customWidth="1"/>
    <col min="15" max="16384" width="9.140625" style="4"/>
  </cols>
  <sheetData>
    <row r="1" spans="1:14" ht="21">
      <c r="A1" s="35" t="s">
        <v>24</v>
      </c>
      <c r="B1" s="35"/>
      <c r="C1" s="35"/>
      <c r="D1" s="35"/>
      <c r="E1" s="35"/>
      <c r="F1" s="35"/>
      <c r="G1" s="35"/>
      <c r="H1" s="35"/>
      <c r="I1" s="8"/>
      <c r="J1" s="8"/>
      <c r="K1" s="8"/>
      <c r="L1" s="8"/>
      <c r="M1" s="8"/>
      <c r="N1" s="8"/>
    </row>
    <row r="2" spans="1:14">
      <c r="A2" s="36" t="s">
        <v>23</v>
      </c>
      <c r="B2" s="36"/>
      <c r="C2" s="36"/>
      <c r="D2" s="36"/>
      <c r="E2" s="36"/>
      <c r="F2" s="37"/>
      <c r="G2" s="36"/>
      <c r="H2" s="36"/>
      <c r="I2" s="9"/>
      <c r="J2" s="9"/>
      <c r="K2" s="9"/>
      <c r="L2" s="9"/>
      <c r="M2" s="9"/>
      <c r="N2" s="9"/>
    </row>
    <row r="3" spans="1:14" ht="34.5">
      <c r="A3" s="38" t="s">
        <v>6</v>
      </c>
      <c r="B3" s="31">
        <v>2016</v>
      </c>
      <c r="C3" s="31">
        <v>2017</v>
      </c>
      <c r="D3" s="31">
        <v>2018</v>
      </c>
      <c r="E3" s="31">
        <v>2019</v>
      </c>
      <c r="F3" s="31">
        <v>2020</v>
      </c>
      <c r="G3" s="10" t="s">
        <v>8</v>
      </c>
      <c r="H3" s="33" t="s">
        <v>7</v>
      </c>
      <c r="I3" s="11"/>
      <c r="J3" s="11"/>
      <c r="K3" s="11"/>
      <c r="L3" s="11"/>
      <c r="M3" s="11"/>
      <c r="N3" s="11"/>
    </row>
    <row r="4" spans="1:14" ht="18.75">
      <c r="A4" s="39"/>
      <c r="B4" s="32"/>
      <c r="C4" s="32"/>
      <c r="D4" s="32"/>
      <c r="E4" s="32"/>
      <c r="F4" s="32"/>
      <c r="G4" s="29" t="s">
        <v>22</v>
      </c>
      <c r="H4" s="34"/>
      <c r="I4" s="12"/>
      <c r="J4" s="12"/>
      <c r="K4" s="12"/>
      <c r="L4" s="12"/>
      <c r="M4" s="12"/>
      <c r="N4" s="12"/>
    </row>
    <row r="5" spans="1:14" s="16" customFormat="1" ht="18.75">
      <c r="A5" s="13" t="s">
        <v>0</v>
      </c>
      <c r="B5" s="14">
        <f>SUM(B6:B12)</f>
        <v>154</v>
      </c>
      <c r="C5" s="14">
        <f>SUM(C6:C12)</f>
        <v>174</v>
      </c>
      <c r="D5" s="14">
        <f>SUM(D6:D12)</f>
        <v>181</v>
      </c>
      <c r="E5" s="14">
        <f>SUM(E6:E12)</f>
        <v>224</v>
      </c>
      <c r="F5" s="14">
        <f>SUM(F6:F12)</f>
        <v>174</v>
      </c>
      <c r="G5" s="18">
        <f>((F5-E5)/E5)*100</f>
        <v>-22.321428571428573</v>
      </c>
      <c r="H5" s="15" t="s">
        <v>5</v>
      </c>
      <c r="I5" s="28"/>
      <c r="J5" s="28"/>
      <c r="K5" s="28"/>
      <c r="L5" s="15"/>
      <c r="M5" s="15"/>
      <c r="N5" s="15"/>
    </row>
    <row r="6" spans="1:14" s="1" customFormat="1" ht="18.75">
      <c r="A6" s="17" t="s">
        <v>9</v>
      </c>
      <c r="B6" s="6">
        <v>5</v>
      </c>
      <c r="C6" s="6">
        <v>9</v>
      </c>
      <c r="D6" s="6">
        <v>3</v>
      </c>
      <c r="E6" s="6">
        <v>3</v>
      </c>
      <c r="F6" s="6">
        <v>2</v>
      </c>
      <c r="G6" s="18">
        <f>((F6-E6)/E6)*100</f>
        <v>-33.333333333333329</v>
      </c>
      <c r="H6" s="19" t="s">
        <v>10</v>
      </c>
      <c r="I6" s="6"/>
      <c r="J6" s="6"/>
      <c r="K6" s="6"/>
      <c r="L6" s="20"/>
      <c r="M6" s="20"/>
      <c r="N6" s="20"/>
    </row>
    <row r="7" spans="1:14" s="1" customFormat="1" ht="18.75">
      <c r="A7" s="17" t="s">
        <v>11</v>
      </c>
      <c r="B7" s="6">
        <v>17</v>
      </c>
      <c r="C7" s="6">
        <v>17</v>
      </c>
      <c r="D7" s="6">
        <v>14</v>
      </c>
      <c r="E7" s="6">
        <v>17</v>
      </c>
      <c r="F7" s="6">
        <v>13</v>
      </c>
      <c r="G7" s="18">
        <f t="shared" ref="G7:G8" si="0">((F7-E7)/E7)*100</f>
        <v>-23.52941176470588</v>
      </c>
      <c r="H7" s="19" t="s">
        <v>12</v>
      </c>
      <c r="I7" s="6"/>
      <c r="J7" s="6"/>
      <c r="K7" s="6"/>
      <c r="L7" s="20"/>
      <c r="M7" s="20"/>
      <c r="N7" s="20"/>
    </row>
    <row r="8" spans="1:14" s="1" customFormat="1" ht="18.75">
      <c r="A8" s="17" t="s">
        <v>13</v>
      </c>
      <c r="B8" s="6">
        <v>16</v>
      </c>
      <c r="C8" s="6">
        <v>19</v>
      </c>
      <c r="D8" s="6">
        <v>15</v>
      </c>
      <c r="E8" s="6">
        <v>28</v>
      </c>
      <c r="F8" s="6">
        <v>11</v>
      </c>
      <c r="G8" s="18">
        <f t="shared" si="0"/>
        <v>-60.714285714285708</v>
      </c>
      <c r="H8" s="19" t="s">
        <v>14</v>
      </c>
      <c r="I8" s="6"/>
      <c r="J8" s="6"/>
      <c r="K8" s="6"/>
      <c r="L8" s="20"/>
      <c r="M8" s="20"/>
      <c r="N8" s="20"/>
    </row>
    <row r="9" spans="1:14" s="1" customFormat="1" ht="18.75">
      <c r="A9" s="17" t="s">
        <v>1</v>
      </c>
      <c r="B9" s="6">
        <v>4</v>
      </c>
      <c r="C9" s="6">
        <v>9</v>
      </c>
      <c r="D9" s="6">
        <v>8</v>
      </c>
      <c r="E9" s="6">
        <v>5</v>
      </c>
      <c r="F9" s="6">
        <v>0</v>
      </c>
      <c r="G9" s="18">
        <f>((F9-E9)/E9)*100</f>
        <v>-100</v>
      </c>
      <c r="H9" s="19" t="s">
        <v>15</v>
      </c>
      <c r="I9" s="6"/>
      <c r="J9" s="6"/>
      <c r="K9" s="6"/>
      <c r="L9" s="20"/>
      <c r="M9" s="20"/>
      <c r="N9" s="20"/>
    </row>
    <row r="10" spans="1:14" s="1" customFormat="1" ht="18.75">
      <c r="A10" s="17" t="s">
        <v>20</v>
      </c>
      <c r="B10" s="6" t="s">
        <v>4</v>
      </c>
      <c r="C10" s="6" t="s">
        <v>4</v>
      </c>
      <c r="D10" s="6">
        <v>4</v>
      </c>
      <c r="E10" s="6">
        <v>0</v>
      </c>
      <c r="F10" s="6">
        <v>1</v>
      </c>
      <c r="G10" s="30" t="s">
        <v>4</v>
      </c>
      <c r="H10" s="19" t="s">
        <v>21</v>
      </c>
      <c r="I10" s="6"/>
      <c r="J10" s="6"/>
      <c r="K10" s="6"/>
      <c r="L10" s="20"/>
      <c r="M10" s="20"/>
      <c r="N10" s="20"/>
    </row>
    <row r="11" spans="1:14" s="24" customFormat="1" ht="18.75">
      <c r="A11" s="17" t="s">
        <v>16</v>
      </c>
      <c r="B11" s="6">
        <v>12</v>
      </c>
      <c r="C11" s="6">
        <v>12</v>
      </c>
      <c r="D11" s="6">
        <v>22</v>
      </c>
      <c r="E11" s="6">
        <v>7</v>
      </c>
      <c r="F11" s="6">
        <v>9</v>
      </c>
      <c r="G11" s="18">
        <f t="shared" ref="G11:G12" si="1">((F11-E11)/E11)*100</f>
        <v>28.571428571428569</v>
      </c>
      <c r="H11" s="19" t="s">
        <v>17</v>
      </c>
      <c r="I11" s="6"/>
      <c r="J11" s="6"/>
      <c r="K11" s="6"/>
      <c r="L11" s="20"/>
      <c r="M11" s="20"/>
      <c r="N11" s="20"/>
    </row>
    <row r="12" spans="1:14" s="24" customFormat="1" ht="18.75">
      <c r="A12" s="21" t="s">
        <v>18</v>
      </c>
      <c r="B12" s="7">
        <v>100</v>
      </c>
      <c r="C12" s="7">
        <v>108</v>
      </c>
      <c r="D12" s="7">
        <v>115</v>
      </c>
      <c r="E12" s="7">
        <v>164</v>
      </c>
      <c r="F12" s="7">
        <v>138</v>
      </c>
      <c r="G12" s="22">
        <f t="shared" si="1"/>
        <v>-15.853658536585366</v>
      </c>
      <c r="H12" s="23" t="s">
        <v>19</v>
      </c>
      <c r="I12" s="6"/>
      <c r="J12" s="6"/>
      <c r="K12" s="6"/>
      <c r="L12" s="20"/>
      <c r="M12" s="20"/>
      <c r="N12" s="20"/>
    </row>
    <row r="13" spans="1:14">
      <c r="A13" s="2" t="s">
        <v>2</v>
      </c>
      <c r="B13" s="3"/>
      <c r="C13" s="3"/>
      <c r="D13" s="3"/>
      <c r="E13" s="3"/>
      <c r="F13" s="3"/>
      <c r="G13" s="3"/>
      <c r="H13" s="27" t="s">
        <v>3</v>
      </c>
      <c r="I13" s="26"/>
      <c r="J13" s="25"/>
      <c r="K13" s="5"/>
      <c r="L13" s="25"/>
      <c r="M13" s="25"/>
      <c r="N13" s="25"/>
    </row>
    <row r="14" spans="1:14">
      <c r="I14" s="5"/>
      <c r="J14" s="5"/>
      <c r="K14" s="5"/>
    </row>
  </sheetData>
  <mergeCells count="9">
    <mergeCell ref="D3:D4"/>
    <mergeCell ref="H3:H4"/>
    <mergeCell ref="A1:H1"/>
    <mergeCell ref="A2:H2"/>
    <mergeCell ref="A3:A4"/>
    <mergeCell ref="B3:B4"/>
    <mergeCell ref="C3:C4"/>
    <mergeCell ref="E3:E4"/>
    <mergeCell ref="F3:F4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8.11</vt:lpstr>
      <vt:lpstr>'8.11'!Print_Area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2021-09-28T03:12:18Z</cp:lastPrinted>
  <dcterms:created xsi:type="dcterms:W3CDTF">2019-06-30T04:22:49Z</dcterms:created>
  <dcterms:modified xsi:type="dcterms:W3CDTF">2021-09-28T03:12:29Z</dcterms:modified>
</cp:coreProperties>
</file>