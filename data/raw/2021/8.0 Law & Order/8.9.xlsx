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8. Law and Order\"/>
    </mc:Choice>
  </mc:AlternateContent>
  <bookViews>
    <workbookView xWindow="0" yWindow="0" windowWidth="28740" windowHeight="11730" tabRatio="719"/>
  </bookViews>
  <sheets>
    <sheet name="8.9" sheetId="9" r:id="rId1"/>
  </sheets>
  <definedNames>
    <definedName name="_xlnm.Print_Area" localSheetId="0">'8.9'!$A$1:$I$28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9" l="1"/>
  <c r="F6" i="9" l="1"/>
  <c r="E6" i="9"/>
  <c r="D6" i="9"/>
  <c r="C6" i="9"/>
  <c r="B6" i="9"/>
</calcChain>
</file>

<file path=xl/sharedStrings.xml><?xml version="1.0" encoding="utf-8"?>
<sst xmlns="http://schemas.openxmlformats.org/spreadsheetml/2006/main" count="18" uniqueCount="18">
  <si>
    <t>Total</t>
  </si>
  <si>
    <t>Others</t>
  </si>
  <si>
    <t>އެހެނިހެން</t>
  </si>
  <si>
    <t>Source: Maldives Police Service</t>
  </si>
  <si>
    <t>ޖުމްލަ</t>
  </si>
  <si>
    <t>މަޢުލޫމާތު ދެއްވީ: މޯލްޑިވްސް ޕޮލިސް ސަރވިސް</t>
  </si>
  <si>
    <t>Type of Drug</t>
  </si>
  <si>
    <t>އަދަދު (ގްރާމްއިން)</t>
  </si>
  <si>
    <t>ބާވަތް</t>
  </si>
  <si>
    <t>Heroin</t>
  </si>
  <si>
    <t>ހެރޮއިން</t>
  </si>
  <si>
    <t>Cannabis</t>
  </si>
  <si>
    <t>ކެނަބިސް</t>
  </si>
  <si>
    <t xml:space="preserve">   Quantity ( grams )                                                                              </t>
  </si>
  <si>
    <t>cocaine</t>
  </si>
  <si>
    <t>ކޮކެއިން</t>
  </si>
  <si>
    <t>Table 8.9: DRUG SEIZED  BY MALDIVES POLICE SERVICE, 2014 - 2019</t>
  </si>
  <si>
    <t>ތާވަލު 8.9: މޯލްޑިވްސް ޕޮލިސް ސަރވިސްގެ ފަރާތުން އަތުލައިގަތް މަސްތުވާތަކެތީގެ އަދަދު، 2014 - 2019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</si>
</sst>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sz val="9"/>
      <color rgb="FF000000"/>
      <name val="Faruma"/>
      <family val="3"/>
    </font>
    <font>
      <b/>
      <sz val="11"/>
      <color theme="1"/>
      <name val="Faruma"/>
      <family val="3"/>
    </font>
    <font>
      <b/>
      <sz val="10"/>
      <color theme="1"/>
      <name val="Faruma"/>
      <family val="3"/>
    </font>
    <font>
      <sz val="10"/>
      <color theme="1"/>
      <name val="Faruma"/>
      <family val="3"/>
    </font>
    <font>
      <sz val="9"/>
      <color theme="1"/>
      <name val="Calibri"/>
      <family val="2"/>
      <scheme val="minor"/>
    </font>
    <font>
      <sz val="10"/>
      <name val="Arial"/>
      <family val="2"/>
    </font>
    <font>
      <b/>
      <sz val="15"/>
      <color theme="3"/>
      <name val="Arial Mäo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6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7" fontId="9" fillId="0" borderId="0"/>
    <xf numFmtId="0" fontId="17" fillId="0" borderId="5" applyNumberFormat="0" applyFill="0" applyAlignment="0" applyProtection="0"/>
    <xf numFmtId="0" fontId="16" fillId="0" borderId="0"/>
    <xf numFmtId="0" fontId="16" fillId="0" borderId="0"/>
  </cellStyleXfs>
  <cellXfs count="34">
    <xf numFmtId="0" fontId="0" fillId="0" borderId="0" xfId="0"/>
    <xf numFmtId="164" fontId="0" fillId="2" borderId="0" xfId="0" applyNumberFormat="1" applyFill="1" applyBorder="1"/>
    <xf numFmtId="0" fontId="0" fillId="2" borderId="0" xfId="0" applyNumberFormat="1" applyFill="1" applyBorder="1"/>
    <xf numFmtId="0" fontId="2" fillId="2" borderId="0" xfId="0" applyNumberFormat="1" applyFont="1" applyFill="1" applyBorder="1" applyAlignment="1">
      <alignment vertical="center"/>
    </xf>
    <xf numFmtId="0" fontId="7" fillId="2" borderId="4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/>
    <xf numFmtId="0" fontId="2" fillId="2" borderId="2" xfId="0" applyNumberFormat="1" applyFont="1" applyFill="1" applyBorder="1" applyAlignment="1">
      <alignment horizontal="right" vertical="center"/>
    </xf>
    <xf numFmtId="0" fontId="7" fillId="2" borderId="0" xfId="0" applyNumberFormat="1" applyFont="1" applyFill="1" applyBorder="1" applyAlignment="1">
      <alignment horizontal="left" vertical="center"/>
    </xf>
    <xf numFmtId="3" fontId="7" fillId="2" borderId="0" xfId="1" applyNumberFormat="1" applyFont="1" applyFill="1" applyBorder="1" applyAlignment="1">
      <alignment horizontal="right" vertical="center"/>
    </xf>
    <xf numFmtId="3" fontId="3" fillId="2" borderId="0" xfId="1" applyNumberFormat="1" applyFont="1" applyFill="1" applyBorder="1" applyAlignment="1">
      <alignment horizontal="right" vertical="center"/>
    </xf>
    <xf numFmtId="164" fontId="14" fillId="2" borderId="0" xfId="0" applyNumberFormat="1" applyFont="1" applyFill="1" applyBorder="1" applyAlignment="1">
      <alignment horizontal="right" vertical="center" indent="1"/>
    </xf>
    <xf numFmtId="0" fontId="5" fillId="2" borderId="0" xfId="0" applyNumberFormat="1" applyFont="1" applyFill="1" applyBorder="1" applyAlignment="1">
      <alignment horizontal="left" vertical="center" indent="1"/>
    </xf>
    <xf numFmtId="0" fontId="5" fillId="2" borderId="2" xfId="0" applyNumberFormat="1" applyFont="1" applyFill="1" applyBorder="1" applyAlignment="1">
      <alignment horizontal="left" vertical="center" indent="1"/>
    </xf>
    <xf numFmtId="3" fontId="3" fillId="2" borderId="2" xfId="1" applyNumberFormat="1" applyFont="1" applyFill="1" applyBorder="1" applyAlignment="1">
      <alignment horizontal="right" vertical="center"/>
    </xf>
    <xf numFmtId="164" fontId="14" fillId="2" borderId="2" xfId="0" applyNumberFormat="1" applyFont="1" applyFill="1" applyBorder="1" applyAlignment="1">
      <alignment horizontal="right" vertical="center" indent="1"/>
    </xf>
    <xf numFmtId="164" fontId="15" fillId="2" borderId="0" xfId="0" applyNumberFormat="1" applyFont="1" applyFill="1" applyBorder="1" applyAlignment="1">
      <alignment vertical="top"/>
    </xf>
    <xf numFmtId="164" fontId="15" fillId="2" borderId="0" xfId="0" applyNumberFormat="1" applyFont="1" applyFill="1" applyBorder="1"/>
    <xf numFmtId="0" fontId="6" fillId="2" borderId="0" xfId="0" applyNumberFormat="1" applyFont="1" applyFill="1" applyBorder="1"/>
    <xf numFmtId="0" fontId="0" fillId="2" borderId="0" xfId="0" applyFill="1"/>
    <xf numFmtId="0" fontId="10" fillId="2" borderId="0" xfId="0" applyNumberFormat="1" applyFont="1" applyFill="1" applyBorder="1" applyAlignment="1">
      <alignment vertical="center"/>
    </xf>
    <xf numFmtId="0" fontId="11" fillId="2" borderId="3" xfId="0" applyNumberFormat="1" applyFont="1" applyFill="1" applyBorder="1" applyAlignment="1">
      <alignment vertical="center"/>
    </xf>
    <xf numFmtId="166" fontId="4" fillId="2" borderId="0" xfId="2" applyNumberFormat="1" applyFont="1" applyFill="1" applyBorder="1" applyAlignment="1">
      <alignment horizontal="right" vertical="center"/>
    </xf>
    <xf numFmtId="164" fontId="0" fillId="2" borderId="6" xfId="0" applyNumberFormat="1" applyFill="1" applyBorder="1"/>
    <xf numFmtId="164" fontId="0" fillId="2" borderId="0" xfId="0" applyNumberFormat="1" applyFill="1" applyBorder="1" applyAlignment="1">
      <alignment horizontal="right" vertical="center"/>
    </xf>
    <xf numFmtId="0" fontId="2" fillId="2" borderId="0" xfId="0" applyNumberFormat="1" applyFont="1" applyFill="1" applyBorder="1" applyAlignment="1">
      <alignment horizontal="center" vertical="top"/>
    </xf>
    <xf numFmtId="0" fontId="13" fillId="2" borderId="0" xfId="0" applyNumberFormat="1" applyFont="1" applyFill="1" applyBorder="1" applyAlignment="1">
      <alignment horizontal="right" vertical="center"/>
    </xf>
    <xf numFmtId="164" fontId="12" fillId="2" borderId="0" xfId="0" applyNumberFormat="1" applyFont="1" applyFill="1" applyBorder="1" applyAlignment="1">
      <alignment horizontal="center"/>
    </xf>
    <xf numFmtId="0" fontId="2" fillId="2" borderId="0" xfId="0" applyNumberFormat="1" applyFont="1" applyFill="1" applyBorder="1" applyAlignment="1">
      <alignment horizontal="center" vertical="top"/>
    </xf>
    <xf numFmtId="0" fontId="2" fillId="2" borderId="1" xfId="0" applyNumberFormat="1" applyFont="1" applyFill="1" applyBorder="1" applyAlignment="1">
      <alignment horizontal="left" vertical="center"/>
    </xf>
    <xf numFmtId="0" fontId="2" fillId="2" borderId="2" xfId="0" applyNumberFormat="1" applyFont="1" applyFill="1" applyBorder="1" applyAlignment="1">
      <alignment horizontal="left" vertical="center"/>
    </xf>
    <xf numFmtId="0" fontId="12" fillId="2" borderId="1" xfId="0" applyNumberFormat="1" applyFont="1" applyFill="1" applyBorder="1" applyAlignment="1">
      <alignment horizontal="right" vertical="center"/>
    </xf>
    <xf numFmtId="0" fontId="12" fillId="2" borderId="2" xfId="0" applyNumberFormat="1" applyFont="1" applyFill="1" applyBorder="1" applyAlignment="1">
      <alignment horizontal="right" vertical="center"/>
    </xf>
    <xf numFmtId="0" fontId="13" fillId="2" borderId="4" xfId="0" applyNumberFormat="1" applyFont="1" applyFill="1" applyBorder="1" applyAlignment="1">
      <alignment horizontal="left" vertical="center"/>
    </xf>
    <xf numFmtId="166" fontId="4" fillId="2" borderId="2" xfId="2" applyNumberFormat="1" applyFont="1" applyFill="1" applyBorder="1" applyAlignment="1">
      <alignment horizontal="right" vertical="center"/>
    </xf>
  </cellXfs>
  <cellStyles count="8">
    <cellStyle name="1" xfId="7"/>
    <cellStyle name="Comma" xfId="1" builtinId="3"/>
    <cellStyle name="Comma 2" xfId="2"/>
    <cellStyle name="Heading 1 2" xfId="5"/>
    <cellStyle name="Normal" xfId="0" builtinId="0"/>
    <cellStyle name="Normal 2" xfId="6"/>
    <cellStyle name="Normal 3" xfId="4"/>
    <cellStyle name="Percent 2" xfId="3"/>
  </cellStyles>
  <dxfs count="0"/>
  <tableStyles count="0" defaultTableStyle="TableStyleMedium2" defaultPivotStyle="PivotStyleLight16"/>
  <colors>
    <mruColors>
      <color rgb="FFCCF4F2"/>
      <color rgb="FF33CCCC"/>
      <color rgb="FF249390"/>
      <color rgb="FFEAFAFA"/>
      <color rgb="FFFF9900"/>
      <color rgb="FFDDF8F7"/>
      <color rgb="FF006664"/>
      <color rgb="FF008080"/>
      <color rgb="FF196563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baseline="0">
                <a:effectLst/>
              </a:rPr>
              <a:t>Figure 8.11: Number of logged drug cases, 2014 - 2019 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24736144440992189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766804115019445E-2"/>
          <c:y val="0.15578703703703703"/>
          <c:w val="0.90108308885637867"/>
          <c:h val="0.6910954359871682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'8.9'!$A$7</c:f>
              <c:strCache>
                <c:ptCount val="1"/>
                <c:pt idx="0">
                  <c:v>Heroin</c:v>
                </c:pt>
              </c:strCache>
            </c:strRef>
          </c:tx>
          <c:spPr>
            <a:solidFill>
              <a:srgbClr val="249390"/>
            </a:solidFill>
            <a:ln>
              <a:noFill/>
            </a:ln>
            <a:effectLst/>
          </c:spPr>
          <c:invertIfNegative val="0"/>
          <c:cat>
            <c:numRef>
              <c:f>'8.9'!$B$5:$G$5</c:f>
              <c:numCache>
                <c:formatCode>General</c:formatCode>
                <c:ptCount val="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</c:numCache>
            </c:numRef>
          </c:cat>
          <c:val>
            <c:numRef>
              <c:f>'8.9'!$B$7:$G$7</c:f>
              <c:numCache>
                <c:formatCode>#,##0</c:formatCode>
                <c:ptCount val="6"/>
                <c:pt idx="0">
                  <c:v>21947.937300000001</c:v>
                </c:pt>
                <c:pt idx="1">
                  <c:v>2359</c:v>
                </c:pt>
                <c:pt idx="2">
                  <c:v>46885.842600000004</c:v>
                </c:pt>
                <c:pt idx="3">
                  <c:v>17064.1921</c:v>
                </c:pt>
                <c:pt idx="4">
                  <c:v>75799.18469999994</c:v>
                </c:pt>
                <c:pt idx="5">
                  <c:v>221508.68388000206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06-4A1F-A6BD-8636CF178021}"/>
            </c:ext>
          </c:extLst>
        </c:ser>
        <c:ser>
          <c:idx val="1"/>
          <c:order val="1"/>
          <c:tx>
            <c:strRef>
              <c:f>'8.9'!$A$8</c:f>
              <c:strCache>
                <c:ptCount val="1"/>
                <c:pt idx="0">
                  <c:v>Cannabis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  <a:effectLst/>
          </c:spPr>
          <c:invertIfNegative val="0"/>
          <c:cat>
            <c:numRef>
              <c:f>'8.9'!$B$5:$G$5</c:f>
              <c:numCache>
                <c:formatCode>General</c:formatCode>
                <c:ptCount val="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</c:numCache>
            </c:numRef>
          </c:cat>
          <c:val>
            <c:numRef>
              <c:f>'8.9'!$B$8:$G$8</c:f>
              <c:numCache>
                <c:formatCode>#,##0</c:formatCode>
                <c:ptCount val="6"/>
                <c:pt idx="0">
                  <c:v>4977.3109999999997</c:v>
                </c:pt>
                <c:pt idx="1">
                  <c:v>5542</c:v>
                </c:pt>
                <c:pt idx="2">
                  <c:v>67393.071599999996</c:v>
                </c:pt>
                <c:pt idx="3">
                  <c:v>48438.826699999998</c:v>
                </c:pt>
                <c:pt idx="4">
                  <c:v>28862.109100000005</c:v>
                </c:pt>
                <c:pt idx="5">
                  <c:v>146538.08030000003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06-4A1F-A6BD-8636CF178021}"/>
            </c:ext>
          </c:extLst>
        </c:ser>
        <c:ser>
          <c:idx val="2"/>
          <c:order val="2"/>
          <c:tx>
            <c:strRef>
              <c:f>'8.9'!$A$9</c:f>
              <c:strCache>
                <c:ptCount val="1"/>
                <c:pt idx="0">
                  <c:v>cocaine</c:v>
                </c:pt>
              </c:strCache>
            </c:strRef>
          </c:tx>
          <c:spPr>
            <a:solidFill>
              <a:srgbClr val="CCF4F2"/>
            </a:solidFill>
            <a:ln>
              <a:noFill/>
            </a:ln>
            <a:effectLst/>
          </c:spPr>
          <c:invertIfNegative val="0"/>
          <c:cat>
            <c:numRef>
              <c:f>'8.9'!$B$5:$G$5</c:f>
              <c:numCache>
                <c:formatCode>General</c:formatCode>
                <c:ptCount val="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</c:numCache>
            </c:numRef>
          </c:cat>
          <c:val>
            <c:numRef>
              <c:f>'8.9'!$B$9:$G$9</c:f>
              <c:numCache>
                <c:formatCode>_-* #,##0_-;\-* #,##0_-;_-* "-"??_-;_-@_-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#,##0">
                  <c:v>31034.909600000014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06-4A1F-A6BD-8636CF178021}"/>
            </c:ext>
          </c:extLst>
        </c:ser>
        <c:ser>
          <c:idx val="3"/>
          <c:order val="3"/>
          <c:tx>
            <c:strRef>
              <c:f>'8.9'!$A$10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FFC58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506-4A1F-A6BD-8636CF178021}"/>
              </c:ext>
            </c:extLst>
          </c:dPt>
          <c:cat>
            <c:numRef>
              <c:f>'8.9'!$B$5:$G$5</c:f>
              <c:numCache>
                <c:formatCode>General</c:formatCode>
                <c:ptCount val="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</c:numCache>
            </c:numRef>
          </c:cat>
          <c:val>
            <c:numRef>
              <c:f>'8.9'!$B$10:$G$10</c:f>
              <c:numCache>
                <c:formatCode>_-* #,##0_-;\-* #,##0_-;_-* "-"??_-;_-@_-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#,##0">
                  <c:v>9173.8651799999898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506-4A1F-A6BD-8636CF178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2"/>
        <c:overlap val="100"/>
        <c:axId val="43955328"/>
        <c:axId val="43956864"/>
      </c:barChart>
      <c:catAx>
        <c:axId val="43955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56864"/>
        <c:crosses val="autoZero"/>
        <c:auto val="1"/>
        <c:lblAlgn val="ctr"/>
        <c:lblOffset val="100"/>
        <c:noMultiLvlLbl val="0"/>
      </c:catAx>
      <c:valAx>
        <c:axId val="43956864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55328"/>
        <c:crosses val="autoZero"/>
        <c:crossBetween val="between"/>
      </c:valAx>
      <c:spPr>
        <a:solidFill>
          <a:srgbClr val="EAFAFA"/>
        </a:solidFill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58890243769155459"/>
          <c:y val="0.73205963837853605"/>
          <c:w val="0.35757075529504589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823911</xdr:colOff>
      <xdr:row>12</xdr:row>
      <xdr:rowOff>90487</xdr:rowOff>
    </xdr:from>
    <xdr:to>
      <xdr:col>7</xdr:col>
      <xdr:colOff>781049</xdr:colOff>
      <xdr:row>26</xdr:row>
      <xdr:rowOff>166687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0.43503</cdr:x>
      <cdr:y>0.91787</cdr:y>
    </cdr:from>
    <cdr:to>
      <cdr:x>0.52685</cdr:x>
      <cdr:y>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786263" y="2517898"/>
          <a:ext cx="588153" cy="2253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800" b="0" i="0"/>
            <a:t>In</a:t>
          </a:r>
          <a:r>
            <a:rPr lang="en-US" sz="800" b="0" i="0" baseline="0"/>
            <a:t> Grams</a:t>
          </a:r>
          <a:endParaRPr lang="en-US" sz="800" b="0" i="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92D050"/>
  </sheetPr>
  <dimension ref="A1:Q27"/>
  <sheetViews>
    <sheetView tabSelected="1" zoomScale="130" zoomScaleNormal="130" workbookViewId="0">
      <selection activeCell="M25" sqref="M25"/>
    </sheetView>
  </sheetViews>
  <sheetFormatPr defaultColWidth="9.140625" defaultRowHeight="15"/>
  <cols>
    <col min="1" max="1" width="13.5703125" style="1" customWidth="1"/>
    <col min="2" max="7" width="13.85546875" style="1" customWidth="1"/>
    <col min="8" max="8" width="15.5703125" style="1" customWidth="1"/>
    <col min="9" max="9" width="6.7109375" style="1" customWidth="1"/>
    <col min="10" max="16384" width="9.140625" style="1"/>
  </cols>
  <sheetData>
    <row r="1" spans="1:17" ht="21">
      <c r="A1" s="26" t="s">
        <v>17</v>
      </c>
      <c r="B1" s="26"/>
      <c r="C1" s="26"/>
      <c r="D1" s="26"/>
      <c r="E1" s="26"/>
      <c r="F1" s="26"/>
      <c r="G1" s="26"/>
      <c r="H1" s="26"/>
    </row>
    <row r="2" spans="1:17" ht="17.25" customHeight="1">
      <c r="A2" s="27" t="s">
        <v>16</v>
      </c>
      <c r="B2" s="27"/>
      <c r="C2" s="27"/>
      <c r="D2" s="27"/>
      <c r="E2" s="27"/>
      <c r="F2" s="27"/>
      <c r="G2" s="27"/>
      <c r="H2" s="27"/>
      <c r="I2" s="3"/>
    </row>
    <row r="3" spans="1:17" ht="6" hidden="1" customHeight="1">
      <c r="A3" s="24"/>
      <c r="B3" s="24"/>
      <c r="C3" s="24"/>
      <c r="D3" s="24"/>
      <c r="E3" s="24"/>
      <c r="F3" s="24"/>
      <c r="G3" s="24"/>
      <c r="H3" s="24"/>
      <c r="I3" s="3"/>
    </row>
    <row r="4" spans="1:17" ht="18.75">
      <c r="A4" s="28" t="s">
        <v>6</v>
      </c>
      <c r="B4" s="22"/>
      <c r="C4" s="4" t="s">
        <v>13</v>
      </c>
      <c r="D4" s="4"/>
      <c r="E4" s="32" t="s">
        <v>7</v>
      </c>
      <c r="F4" s="32"/>
      <c r="G4" s="32"/>
      <c r="H4" s="30" t="s">
        <v>8</v>
      </c>
      <c r="I4" s="5"/>
    </row>
    <row r="5" spans="1:17" ht="23.25" customHeight="1">
      <c r="A5" s="29"/>
      <c r="B5" s="6">
        <v>2014</v>
      </c>
      <c r="C5" s="6">
        <v>2015</v>
      </c>
      <c r="D5" s="6">
        <v>2016</v>
      </c>
      <c r="E5" s="6">
        <v>2017</v>
      </c>
      <c r="F5" s="6">
        <v>2018</v>
      </c>
      <c r="G5" s="6">
        <v>2019</v>
      </c>
      <c r="H5" s="31"/>
    </row>
    <row r="6" spans="1:17" ht="25.5" customHeight="1">
      <c r="A6" s="7" t="s">
        <v>0</v>
      </c>
      <c r="B6" s="8">
        <f>SUM(B7:B10)</f>
        <v>26925.248299999999</v>
      </c>
      <c r="C6" s="8">
        <f>SUM(C7:C10)</f>
        <v>7901</v>
      </c>
      <c r="D6" s="8">
        <f>SUM(D7:D10)</f>
        <v>114278.9142</v>
      </c>
      <c r="E6" s="8">
        <f>SUM(E7:E10)</f>
        <v>65503.018799999998</v>
      </c>
      <c r="F6" s="8">
        <f>SUM(F7:F10)</f>
        <v>104661.29379999994</v>
      </c>
      <c r="G6" s="8">
        <f>SUM(G7:G10)</f>
        <v>408255.53896000207</v>
      </c>
      <c r="H6" s="25" t="s">
        <v>4</v>
      </c>
    </row>
    <row r="7" spans="1:17" ht="18.75">
      <c r="A7" s="11" t="s">
        <v>9</v>
      </c>
      <c r="B7" s="9">
        <v>21947.937300000001</v>
      </c>
      <c r="C7" s="9">
        <v>2359</v>
      </c>
      <c r="D7" s="9">
        <v>46885.842600000004</v>
      </c>
      <c r="E7" s="9">
        <v>17064.1921</v>
      </c>
      <c r="F7" s="9">
        <v>75799.18469999994</v>
      </c>
      <c r="G7" s="9">
        <v>221508.68388000206</v>
      </c>
      <c r="H7" s="10" t="s">
        <v>10</v>
      </c>
    </row>
    <row r="8" spans="1:17" ht="18.75">
      <c r="A8" s="11" t="s">
        <v>11</v>
      </c>
      <c r="B8" s="9">
        <v>4977.3109999999997</v>
      </c>
      <c r="C8" s="9">
        <v>5542</v>
      </c>
      <c r="D8" s="9">
        <v>67393.071599999996</v>
      </c>
      <c r="E8" s="9">
        <v>48438.826699999998</v>
      </c>
      <c r="F8" s="9">
        <v>28862.109100000005</v>
      </c>
      <c r="G8" s="9">
        <v>146538.08030000003</v>
      </c>
      <c r="H8" s="10" t="s">
        <v>12</v>
      </c>
    </row>
    <row r="9" spans="1:17" ht="25.5" customHeight="1">
      <c r="A9" s="11" t="s">
        <v>14</v>
      </c>
      <c r="B9" s="21">
        <v>0</v>
      </c>
      <c r="C9" s="21">
        <v>0</v>
      </c>
      <c r="D9" s="21">
        <v>0</v>
      </c>
      <c r="E9" s="21">
        <v>0</v>
      </c>
      <c r="F9" s="21">
        <v>0</v>
      </c>
      <c r="G9" s="9">
        <v>31034.909600000014</v>
      </c>
      <c r="H9" s="10" t="s">
        <v>15</v>
      </c>
    </row>
    <row r="10" spans="1:17" ht="29.25" customHeight="1">
      <c r="A10" s="12" t="s">
        <v>1</v>
      </c>
      <c r="B10" s="33">
        <v>0</v>
      </c>
      <c r="C10" s="33">
        <v>0</v>
      </c>
      <c r="D10" s="33">
        <v>0</v>
      </c>
      <c r="E10" s="33">
        <v>0</v>
      </c>
      <c r="F10" s="33">
        <v>0</v>
      </c>
      <c r="G10" s="13">
        <v>9173.8651799999898</v>
      </c>
      <c r="H10" s="14" t="s">
        <v>2</v>
      </c>
    </row>
    <row r="11" spans="1:17" s="16" customFormat="1" ht="17.25">
      <c r="A11" s="19" t="s">
        <v>3</v>
      </c>
      <c r="B11" s="15"/>
      <c r="C11" s="15"/>
      <c r="D11" s="15"/>
      <c r="E11" s="15"/>
      <c r="F11" s="15"/>
      <c r="G11" s="15"/>
      <c r="H11" s="20" t="s">
        <v>5</v>
      </c>
    </row>
    <row r="12" spans="1:17">
      <c r="A12" s="17"/>
      <c r="B12" s="2"/>
      <c r="C12" s="2"/>
      <c r="D12" s="2"/>
      <c r="E12" s="2"/>
      <c r="F12" s="2"/>
      <c r="G12" s="2"/>
      <c r="H12" s="2"/>
      <c r="I12" s="2"/>
    </row>
    <row r="13" spans="1:17">
      <c r="A13" s="17"/>
      <c r="B13" s="2"/>
      <c r="C13" s="2"/>
      <c r="D13" s="2"/>
      <c r="E13" s="2"/>
      <c r="F13" s="2"/>
      <c r="G13" s="2"/>
      <c r="H13" s="2"/>
      <c r="I13" s="2"/>
    </row>
    <row r="14" spans="1:17">
      <c r="A14" s="17"/>
      <c r="B14" s="2"/>
      <c r="C14" s="2"/>
      <c r="D14" s="2"/>
      <c r="E14" s="2"/>
      <c r="F14" s="2"/>
      <c r="G14" s="2"/>
      <c r="H14" s="2"/>
      <c r="I14" s="2"/>
      <c r="Q14" s="23"/>
    </row>
    <row r="15" spans="1:17">
      <c r="A15" s="17"/>
      <c r="B15" s="2"/>
      <c r="C15" s="2"/>
      <c r="D15" s="2"/>
      <c r="E15" s="2"/>
      <c r="F15" s="2"/>
      <c r="G15" s="2"/>
      <c r="H15" s="2"/>
      <c r="I15" s="2"/>
    </row>
    <row r="16" spans="1:17">
      <c r="A16" s="17"/>
      <c r="B16" s="2"/>
      <c r="C16" s="2"/>
      <c r="D16" s="2"/>
      <c r="E16" s="2"/>
      <c r="F16" s="2"/>
      <c r="G16" s="2"/>
      <c r="H16" s="2"/>
      <c r="I16" s="2"/>
    </row>
    <row r="22" spans="5:9">
      <c r="I22" s="18"/>
    </row>
    <row r="27" spans="5:9">
      <c r="E27" s="18"/>
      <c r="F27" s="18"/>
      <c r="G27" s="18"/>
    </row>
  </sheetData>
  <mergeCells count="5">
    <mergeCell ref="A1:H1"/>
    <mergeCell ref="A2:H2"/>
    <mergeCell ref="A4:A5"/>
    <mergeCell ref="H4:H5"/>
    <mergeCell ref="E4:G4"/>
  </mergeCells>
  <pageMargins left="0.7" right="0.7" top="0.75" bottom="0.75" header="0.3" footer="0.3"/>
  <pageSetup scale="76" orientation="portrait" r:id="rId1"/>
  <colBreaks count="1" manualBreakCount="1">
    <brk id="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8.9</vt:lpstr>
      <vt:lpstr>'8.9'!Print_Area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2021-09-28T03:06:43Z</cp:lastPrinted>
  <dcterms:created xsi:type="dcterms:W3CDTF">2019-06-30T04:22:49Z</dcterms:created>
  <dcterms:modified xsi:type="dcterms:W3CDTF">2021-09-28T03:08:31Z</dcterms:modified>
</cp:coreProperties>
</file>