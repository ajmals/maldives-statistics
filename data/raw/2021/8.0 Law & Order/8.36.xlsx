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6" sheetId="73" r:id="rId1"/>
  </sheets>
  <externalReferences>
    <externalReference r:id="rId2"/>
  </externalReferences>
  <definedNames>
    <definedName name="_xlnm.Print_Area" localSheetId="0">'8.36'!$A$1:$H$35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7" i="73" l="1"/>
  <c r="AN17" i="73"/>
  <c r="AM17" i="73"/>
  <c r="AL17" i="73"/>
  <c r="AK17" i="73"/>
  <c r="AJ17" i="73"/>
  <c r="AI17" i="73"/>
  <c r="AH17" i="73"/>
  <c r="AG17" i="73"/>
  <c r="AF17" i="73"/>
  <c r="AO16" i="73"/>
  <c r="AN16" i="73"/>
  <c r="AM16" i="73"/>
  <c r="AL16" i="73"/>
  <c r="AK16" i="73"/>
  <c r="AJ16" i="73"/>
  <c r="AI16" i="73"/>
  <c r="AH16" i="73"/>
  <c r="AG16" i="73"/>
  <c r="AF16" i="73"/>
  <c r="F10" i="73"/>
  <c r="E10" i="73"/>
  <c r="E4" i="73" s="1"/>
  <c r="D10" i="73"/>
  <c r="C10" i="73"/>
  <c r="B10" i="73"/>
  <c r="B4" i="73" s="1"/>
  <c r="F7" i="73"/>
  <c r="E7" i="73"/>
  <c r="D7" i="73"/>
  <c r="D4" i="73" s="1"/>
  <c r="C7" i="73"/>
  <c r="C4" i="73" s="1"/>
  <c r="B7" i="73"/>
  <c r="F6" i="73"/>
  <c r="E6" i="73"/>
  <c r="D6" i="73"/>
  <c r="C6" i="73"/>
  <c r="B6" i="73"/>
  <c r="F5" i="73"/>
  <c r="E5" i="73"/>
  <c r="D5" i="73"/>
  <c r="C5" i="73"/>
  <c r="B5" i="73"/>
  <c r="F4" i="73"/>
</calcChain>
</file>

<file path=xl/sharedStrings.xml><?xml version="1.0" encoding="utf-8"?>
<sst xmlns="http://schemas.openxmlformats.org/spreadsheetml/2006/main" count="36" uniqueCount="18">
  <si>
    <t>Male</t>
  </si>
  <si>
    <t>Female</t>
  </si>
  <si>
    <t>ފިރިހެން</t>
  </si>
  <si>
    <t>އަންހެން</t>
  </si>
  <si>
    <t>Source: Department of Judicial Administration</t>
  </si>
  <si>
    <t>cnwxErcTcsinimcDea clwxiDuj cfoa cTcnwmcTWpiD : utWmUluAwm</t>
  </si>
  <si>
    <t>Age and sex</t>
  </si>
  <si>
    <t>ޢުމުރު އަދި ޖިންސު</t>
  </si>
  <si>
    <t xml:space="preserve"> Total</t>
  </si>
  <si>
    <t>މުޅި ޖުމުލަ</t>
  </si>
  <si>
    <t>Above 18 -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</si>
  <si>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މަތި- ޖުމުލަ</t>
    </r>
  </si>
  <si>
    <t>Below 18-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</si>
  <si>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ދަށް- ޖުމުލަ</t>
    </r>
  </si>
  <si>
    <t xml:space="preserve">Above 18 </t>
  </si>
  <si>
    <t xml:space="preserve">Below 18 </t>
  </si>
  <si>
    <r>
      <t xml:space="preserve">ތާވަލް </t>
    </r>
    <r>
      <rPr>
        <b/>
        <sz val="11"/>
        <color theme="1"/>
        <rFont val="Calibri"/>
        <family val="2"/>
        <scheme val="minor"/>
      </rPr>
      <t>8.27: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އަދަދު- </t>
    </r>
    <r>
      <rPr>
        <b/>
        <sz val="11"/>
        <color theme="1"/>
        <rFont val="Calibri"/>
        <family val="2"/>
        <scheme val="minor"/>
      </rPr>
      <t>2016-2020</t>
    </r>
  </si>
  <si>
    <t>Table 8.27: Gender distribution of cases filed in the Drug Court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</si>
</sst>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A_Faseyha"/>
    </font>
    <font>
      <sz val="11"/>
      <color theme="1"/>
      <name val="Faruma"/>
    </font>
    <font>
      <b/>
      <sz val="11"/>
      <color theme="1"/>
      <name val="Faruma"/>
    </font>
    <font>
      <sz val="1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/>
    <xf numFmtId="0" fontId="8" fillId="0" borderId="4" applyNumberFormat="0" applyFill="0" applyAlignment="0" applyProtection="0"/>
    <xf numFmtId="0" fontId="7" fillId="0" borderId="0"/>
    <xf numFmtId="0" fontId="7" fillId="0" borderId="0"/>
  </cellStyleXfs>
  <cellXfs count="31">
    <xf numFmtId="0" fontId="0" fillId="0" borderId="0" xfId="0"/>
    <xf numFmtId="0" fontId="0" fillId="2" borderId="0" xfId="0" applyFont="1" applyFill="1"/>
    <xf numFmtId="3" fontId="0" fillId="2" borderId="0" xfId="0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 applyProtection="1">
      <alignment vertical="center"/>
    </xf>
    <xf numFmtId="0" fontId="2" fillId="2" borderId="6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right" vertical="center"/>
    </xf>
    <xf numFmtId="0" fontId="2" fillId="2" borderId="0" xfId="0" applyFont="1" applyFill="1" applyBorder="1"/>
    <xf numFmtId="3" fontId="2" fillId="2" borderId="5" xfId="0" applyNumberFormat="1" applyFont="1" applyFill="1" applyBorder="1" applyAlignment="1">
      <alignment horizontal="right" vertical="center"/>
    </xf>
    <xf numFmtId="0" fontId="11" fillId="2" borderId="0" xfId="0" applyFont="1" applyFill="1" applyBorder="1"/>
    <xf numFmtId="0" fontId="0" fillId="2" borderId="0" xfId="0" applyFont="1" applyFill="1" applyBorder="1" applyAlignment="1">
      <alignment horizontal="left" vertical="center" indent="2"/>
    </xf>
    <xf numFmtId="3" fontId="2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 indent="2" readingOrder="2"/>
    </xf>
    <xf numFmtId="0" fontId="0" fillId="2" borderId="7" xfId="0" applyFont="1" applyFill="1" applyBorder="1" applyAlignment="1">
      <alignment horizontal="left" vertical="center" indent="2"/>
    </xf>
    <xf numFmtId="0" fontId="10" fillId="2" borderId="7" xfId="0" applyFont="1" applyFill="1" applyBorder="1" applyAlignment="1">
      <alignment horizontal="right" vertical="center" indent="2" readingOrder="2"/>
    </xf>
    <xf numFmtId="0" fontId="2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 readingOrder="2"/>
    </xf>
    <xf numFmtId="3" fontId="0" fillId="2" borderId="7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left" vertical="center" indent="2"/>
    </xf>
    <xf numFmtId="0" fontId="10" fillId="2" borderId="1" xfId="0" applyFont="1" applyFill="1" applyBorder="1" applyAlignment="1">
      <alignment horizontal="right" vertical="center" indent="2" readingOrder="2"/>
    </xf>
    <xf numFmtId="0" fontId="3" fillId="2" borderId="0" xfId="0" applyFont="1" applyFill="1"/>
    <xf numFmtId="164" fontId="9" fillId="2" borderId="3" xfId="0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>
      <alignment vertical="center"/>
    </xf>
    <xf numFmtId="0" fontId="0" fillId="2" borderId="0" xfId="0" applyFont="1" applyFill="1" applyAlignment="1"/>
    <xf numFmtId="167" fontId="0" fillId="2" borderId="0" xfId="1" applyNumberFormat="1" applyFont="1" applyFill="1" applyAlignment="1"/>
    <xf numFmtId="1" fontId="0" fillId="2" borderId="0" xfId="1" applyNumberFormat="1" applyFont="1" applyFill="1" applyAlignment="1"/>
    <xf numFmtId="0" fontId="0" fillId="2" borderId="0" xfId="0" applyFont="1" applyFill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8.62: Number of cases filed in the Drug Court,  2016 - 2020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527347288671889"/>
          <c:y val="2.45428890578715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594477960126547E-2"/>
          <c:y val="0.1268034188034188"/>
          <c:w val="0.91126715901414079"/>
          <c:h val="0.70174568593254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'[1]8.36'!$O$16</c:f>
              <c:strCache>
                <c:ptCount val="1"/>
                <c:pt idx="0">
                  <c:v>Above 18 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2DC-4E3F-BA8B-54062BC8EE52}"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2DC-4E3F-BA8B-54062BC8EE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'[1]8.36'!$P$14:$Y$15</c:f>
              <c:multiLvlStrCache>
                <c:ptCount val="10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  <c:pt idx="8">
                    <c:v>2020</c:v>
                  </c:pt>
                </c:lvl>
              </c:multiLvlStrCache>
            </c:multiLvlStrRef>
          </c:cat>
          <c:val>
            <c:numRef>
              <c:f>'[1]8.36'!$P$16:$Y$16</c:f>
              <c:numCache>
                <c:formatCode>_(* #,##0_);_(* \(#,##0\);_(* "-"??_);_(@_)</c:formatCode>
                <c:ptCount val="10"/>
                <c:pt idx="0">
                  <c:v>1356</c:v>
                </c:pt>
                <c:pt idx="1">
                  <c:v>52</c:v>
                </c:pt>
                <c:pt idx="2">
                  <c:v>1475</c:v>
                </c:pt>
                <c:pt idx="3">
                  <c:v>61</c:v>
                </c:pt>
                <c:pt idx="4">
                  <c:v>987</c:v>
                </c:pt>
                <c:pt idx="5">
                  <c:v>53</c:v>
                </c:pt>
                <c:pt idx="6">
                  <c:v>715</c:v>
                </c:pt>
                <c:pt idx="7">
                  <c:v>16</c:v>
                </c:pt>
                <c:pt idx="8">
                  <c:v>385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C-4E3F-BA8B-54062BC8EE52}"/>
            </c:ext>
          </c:extLst>
        </c:ser>
        <c:ser>
          <c:idx val="1"/>
          <c:order val="1"/>
          <c:tx>
            <c:strRef>
              <c:f>'[1]8.36'!$O$17</c:f>
              <c:strCache>
                <c:ptCount val="1"/>
                <c:pt idx="0">
                  <c:v>Below 18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'[1]8.36'!$P$14:$Y$15</c:f>
              <c:multiLvlStrCache>
                <c:ptCount val="10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  <c:pt idx="8">
                    <c:v>2020</c:v>
                  </c:pt>
                </c:lvl>
              </c:multiLvlStrCache>
            </c:multiLvlStrRef>
          </c:cat>
          <c:val>
            <c:numRef>
              <c:f>'[1]8.36'!$P$17:$Y$17</c:f>
              <c:numCache>
                <c:formatCode>_(* #,##0_);_(* \(#,##0\);_(* "-"??_);_(@_)</c:formatCode>
                <c:ptCount val="10"/>
                <c:pt idx="0">
                  <c:v>108</c:v>
                </c:pt>
                <c:pt idx="1">
                  <c:v>7</c:v>
                </c:pt>
                <c:pt idx="2">
                  <c:v>23</c:v>
                </c:pt>
                <c:pt idx="3">
                  <c:v>3</c:v>
                </c:pt>
                <c:pt idx="4">
                  <c:v>10</c:v>
                </c:pt>
                <c:pt idx="5">
                  <c:v>1</c:v>
                </c:pt>
                <c:pt idx="6">
                  <c:v>28</c:v>
                </c:pt>
                <c:pt idx="7">
                  <c:v>1</c:v>
                </c:pt>
                <c:pt idx="8" formatCode="0">
                  <c:v>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DC-4E3F-BA8B-54062BC8E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8151480"/>
        <c:axId val="378151872"/>
      </c:barChart>
      <c:catAx>
        <c:axId val="37815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1872"/>
        <c:crosses val="autoZero"/>
        <c:auto val="1"/>
        <c:lblAlgn val="ctr"/>
        <c:lblOffset val="100"/>
        <c:noMultiLvlLbl val="0"/>
      </c:catAx>
      <c:valAx>
        <c:axId val="378151872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rgbClr val="CCF4F2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148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0226895575030437"/>
          <c:y val="0.23159290652147582"/>
          <c:w val="0.300687461937308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14</xdr:row>
      <xdr:rowOff>76201</xdr:rowOff>
    </xdr:from>
    <xdr:to>
      <xdr:col>6</xdr:col>
      <xdr:colOff>1995489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FINAL%20TABLES/8.%20LAW%20AND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4">
          <cell r="P14">
            <v>2016</v>
          </cell>
          <cell r="R14">
            <v>2017</v>
          </cell>
          <cell r="T14">
            <v>2018</v>
          </cell>
          <cell r="V14">
            <v>2019</v>
          </cell>
          <cell r="X14">
            <v>2020</v>
          </cell>
        </row>
        <row r="15"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  <cell r="T15" t="str">
            <v>Male</v>
          </cell>
          <cell r="U15" t="str">
            <v>Female</v>
          </cell>
          <cell r="V15" t="str">
            <v>Male</v>
          </cell>
          <cell r="W15" t="str">
            <v>Female</v>
          </cell>
          <cell r="X15" t="str">
            <v>Male</v>
          </cell>
          <cell r="Y15" t="str">
            <v>Female</v>
          </cell>
        </row>
        <row r="16">
          <cell r="O16" t="str">
            <v xml:space="preserve">Above 18 </v>
          </cell>
          <cell r="P16">
            <v>1356</v>
          </cell>
          <cell r="Q16">
            <v>52</v>
          </cell>
          <cell r="R16">
            <v>1475</v>
          </cell>
          <cell r="S16">
            <v>61</v>
          </cell>
          <cell r="T16">
            <v>987</v>
          </cell>
          <cell r="U16">
            <v>53</v>
          </cell>
          <cell r="V16">
            <v>715</v>
          </cell>
          <cell r="W16">
            <v>16</v>
          </cell>
          <cell r="X16">
            <v>385</v>
          </cell>
          <cell r="Y16">
            <v>9</v>
          </cell>
        </row>
        <row r="17">
          <cell r="O17" t="str">
            <v xml:space="preserve">Below 18 </v>
          </cell>
          <cell r="P17">
            <v>108</v>
          </cell>
          <cell r="Q17">
            <v>7</v>
          </cell>
          <cell r="R17">
            <v>23</v>
          </cell>
          <cell r="S17">
            <v>3</v>
          </cell>
          <cell r="T17">
            <v>10</v>
          </cell>
          <cell r="U17">
            <v>1</v>
          </cell>
          <cell r="V17">
            <v>28</v>
          </cell>
          <cell r="W17">
            <v>1</v>
          </cell>
          <cell r="X17">
            <v>8</v>
          </cell>
          <cell r="Y17">
            <v>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17"/>
  <sheetViews>
    <sheetView tabSelected="1" zoomScaleNormal="100" workbookViewId="0">
      <selection activeCell="J1" sqref="J1:M1048576"/>
    </sheetView>
  </sheetViews>
  <sheetFormatPr defaultRowHeight="15"/>
  <cols>
    <col min="1" max="1" width="20.28515625" style="1" customWidth="1"/>
    <col min="2" max="6" width="16.7109375" style="1" customWidth="1"/>
    <col min="7" max="7" width="33" style="1" customWidth="1"/>
    <col min="8" max="31" width="9.140625" style="1"/>
    <col min="32" max="32" width="9.5703125" style="1" bestFit="1" customWidth="1"/>
    <col min="33" max="33" width="9.28515625" style="1" bestFit="1" customWidth="1"/>
    <col min="34" max="34" width="9.5703125" style="1" bestFit="1" customWidth="1"/>
    <col min="35" max="35" width="9.28515625" style="1" bestFit="1" customWidth="1"/>
    <col min="36" max="16384" width="9.140625" style="1"/>
  </cols>
  <sheetData>
    <row r="1" spans="1:41" ht="21">
      <c r="A1" s="29" t="s">
        <v>16</v>
      </c>
      <c r="B1" s="29"/>
      <c r="C1" s="29"/>
      <c r="D1" s="29"/>
      <c r="E1" s="29"/>
      <c r="F1" s="29"/>
      <c r="G1" s="29"/>
    </row>
    <row r="2" spans="1:41">
      <c r="A2" s="30" t="s">
        <v>17</v>
      </c>
      <c r="B2" s="30"/>
      <c r="C2" s="30"/>
      <c r="D2" s="30"/>
      <c r="E2" s="30"/>
      <c r="F2" s="30"/>
      <c r="G2" s="30"/>
    </row>
    <row r="3" spans="1:41" ht="21">
      <c r="A3" s="4" t="s">
        <v>6</v>
      </c>
      <c r="B3" s="5">
        <v>2016</v>
      </c>
      <c r="C3" s="7">
        <v>2017</v>
      </c>
      <c r="D3" s="5">
        <v>2018</v>
      </c>
      <c r="E3" s="5">
        <v>2019</v>
      </c>
      <c r="F3" s="5">
        <v>2020</v>
      </c>
      <c r="G3" s="8" t="s">
        <v>7</v>
      </c>
    </row>
    <row r="4" spans="1:41" ht="21">
      <c r="A4" s="9" t="s">
        <v>8</v>
      </c>
      <c r="B4" s="10">
        <f t="shared" ref="B4:F6" si="0">B7+B10</f>
        <v>1523</v>
      </c>
      <c r="C4" s="10">
        <f t="shared" si="0"/>
        <v>1562</v>
      </c>
      <c r="D4" s="10">
        <f t="shared" si="0"/>
        <v>1051</v>
      </c>
      <c r="E4" s="10">
        <f t="shared" si="0"/>
        <v>760</v>
      </c>
      <c r="F4" s="10">
        <f t="shared" si="0"/>
        <v>402</v>
      </c>
      <c r="G4" s="11" t="s">
        <v>9</v>
      </c>
    </row>
    <row r="5" spans="1:41" ht="21">
      <c r="A5" s="12" t="s">
        <v>0</v>
      </c>
      <c r="B5" s="2">
        <f t="shared" si="0"/>
        <v>1464</v>
      </c>
      <c r="C5" s="2">
        <f>C8+C11</f>
        <v>1498</v>
      </c>
      <c r="D5" s="2">
        <f>D8+D11</f>
        <v>997</v>
      </c>
      <c r="E5" s="2">
        <f>E8+E11</f>
        <v>743</v>
      </c>
      <c r="F5" s="2">
        <f>F8+F11</f>
        <v>393</v>
      </c>
      <c r="G5" s="14" t="s">
        <v>2</v>
      </c>
    </row>
    <row r="6" spans="1:41" ht="21">
      <c r="A6" s="15" t="s">
        <v>1</v>
      </c>
      <c r="B6" s="19">
        <f t="shared" si="0"/>
        <v>59</v>
      </c>
      <c r="C6" s="19">
        <f t="shared" si="0"/>
        <v>64</v>
      </c>
      <c r="D6" s="19">
        <f>D9+D12</f>
        <v>54</v>
      </c>
      <c r="E6" s="19">
        <f>E9+E12</f>
        <v>17</v>
      </c>
      <c r="F6" s="19">
        <f>F9+F12</f>
        <v>9</v>
      </c>
      <c r="G6" s="16" t="s">
        <v>3</v>
      </c>
    </row>
    <row r="7" spans="1:41" ht="21">
      <c r="A7" s="17" t="s">
        <v>10</v>
      </c>
      <c r="B7" s="13">
        <f>B8+B9</f>
        <v>1408</v>
      </c>
      <c r="C7" s="13">
        <f>C8+C9</f>
        <v>1536</v>
      </c>
      <c r="D7" s="13">
        <f>D9+D8</f>
        <v>1040</v>
      </c>
      <c r="E7" s="13">
        <f>E9+E8</f>
        <v>731</v>
      </c>
      <c r="F7" s="13">
        <f>F9+F8</f>
        <v>394</v>
      </c>
      <c r="G7" s="18" t="s">
        <v>11</v>
      </c>
    </row>
    <row r="8" spans="1:41" ht="21">
      <c r="A8" s="12" t="s">
        <v>0</v>
      </c>
      <c r="B8" s="2">
        <v>1356</v>
      </c>
      <c r="C8" s="2">
        <v>1475</v>
      </c>
      <c r="D8" s="2">
        <v>987</v>
      </c>
      <c r="E8" s="2">
        <v>715</v>
      </c>
      <c r="F8" s="2">
        <v>385</v>
      </c>
      <c r="G8" s="14" t="s">
        <v>2</v>
      </c>
    </row>
    <row r="9" spans="1:41" ht="21">
      <c r="A9" s="15" t="s">
        <v>1</v>
      </c>
      <c r="B9" s="19">
        <v>52</v>
      </c>
      <c r="C9" s="19">
        <v>61</v>
      </c>
      <c r="D9" s="19">
        <v>53</v>
      </c>
      <c r="E9" s="19">
        <v>16</v>
      </c>
      <c r="F9" s="19">
        <v>9</v>
      </c>
      <c r="G9" s="16" t="s">
        <v>3</v>
      </c>
    </row>
    <row r="10" spans="1:41" ht="21">
      <c r="A10" s="17" t="s">
        <v>12</v>
      </c>
      <c r="B10" s="13">
        <f>B11+B12</f>
        <v>115</v>
      </c>
      <c r="C10" s="13">
        <f>C11+C12</f>
        <v>26</v>
      </c>
      <c r="D10" s="13">
        <f>D12+D11</f>
        <v>11</v>
      </c>
      <c r="E10" s="13">
        <f>E12+E11</f>
        <v>29</v>
      </c>
      <c r="F10" s="13">
        <f>F12+F11</f>
        <v>8</v>
      </c>
      <c r="G10" s="18" t="s">
        <v>13</v>
      </c>
    </row>
    <row r="11" spans="1:41" ht="21">
      <c r="A11" s="12" t="s">
        <v>0</v>
      </c>
      <c r="B11" s="2">
        <v>108</v>
      </c>
      <c r="C11" s="2">
        <v>23</v>
      </c>
      <c r="D11" s="2">
        <v>10</v>
      </c>
      <c r="E11" s="2">
        <v>28</v>
      </c>
      <c r="F11" s="2">
        <v>8</v>
      </c>
      <c r="G11" s="14" t="s">
        <v>2</v>
      </c>
    </row>
    <row r="12" spans="1:41" ht="21">
      <c r="A12" s="20" t="s">
        <v>1</v>
      </c>
      <c r="B12" s="3">
        <v>7</v>
      </c>
      <c r="C12" s="3">
        <v>3</v>
      </c>
      <c r="D12" s="3">
        <v>1</v>
      </c>
      <c r="E12" s="3">
        <v>1</v>
      </c>
      <c r="F12" s="3">
        <v>0</v>
      </c>
      <c r="G12" s="21" t="s">
        <v>3</v>
      </c>
    </row>
    <row r="13" spans="1:41" ht="15.75">
      <c r="A13" s="6" t="s">
        <v>4</v>
      </c>
      <c r="B13" s="22"/>
      <c r="C13" s="22"/>
      <c r="D13" s="22"/>
      <c r="E13" s="22"/>
      <c r="F13" s="22"/>
      <c r="G13" s="23" t="s">
        <v>5</v>
      </c>
    </row>
    <row r="14" spans="1:41">
      <c r="B14" s="24"/>
      <c r="AF14" s="28">
        <v>2016</v>
      </c>
      <c r="AG14" s="28"/>
      <c r="AH14" s="28">
        <v>2017</v>
      </c>
      <c r="AI14" s="28"/>
      <c r="AJ14" s="28">
        <v>2018</v>
      </c>
      <c r="AK14" s="28"/>
      <c r="AL14" s="28">
        <v>2019</v>
      </c>
      <c r="AM14" s="28"/>
      <c r="AN14" s="28">
        <v>2020</v>
      </c>
      <c r="AO14" s="28"/>
    </row>
    <row r="15" spans="1:41">
      <c r="AF15" s="1" t="s">
        <v>0</v>
      </c>
      <c r="AG15" s="1" t="s">
        <v>1</v>
      </c>
      <c r="AH15" s="1" t="s">
        <v>0</v>
      </c>
      <c r="AI15" s="1" t="s">
        <v>1</v>
      </c>
      <c r="AJ15" s="1" t="s">
        <v>0</v>
      </c>
      <c r="AK15" s="1" t="s">
        <v>1</v>
      </c>
      <c r="AL15" s="1" t="s">
        <v>0</v>
      </c>
      <c r="AM15" s="1" t="s">
        <v>1</v>
      </c>
      <c r="AN15" s="1" t="s">
        <v>0</v>
      </c>
      <c r="AO15" s="1" t="s">
        <v>1</v>
      </c>
    </row>
    <row r="16" spans="1:41">
      <c r="AE16" s="25" t="s">
        <v>14</v>
      </c>
      <c r="AF16" s="26">
        <f>B8</f>
        <v>1356</v>
      </c>
      <c r="AG16" s="26">
        <f>B9</f>
        <v>52</v>
      </c>
      <c r="AH16" s="26">
        <f>C8</f>
        <v>1475</v>
      </c>
      <c r="AI16" s="26">
        <f>C9</f>
        <v>61</v>
      </c>
      <c r="AJ16" s="26">
        <f>D8</f>
        <v>987</v>
      </c>
      <c r="AK16" s="26">
        <f>D9</f>
        <v>53</v>
      </c>
      <c r="AL16" s="26">
        <f>E8</f>
        <v>715</v>
      </c>
      <c r="AM16" s="26">
        <f>E9</f>
        <v>16</v>
      </c>
      <c r="AN16" s="26">
        <f>F8</f>
        <v>385</v>
      </c>
      <c r="AO16" s="26">
        <f>F9</f>
        <v>9</v>
      </c>
    </row>
    <row r="17" spans="31:41">
      <c r="AE17" s="25" t="s">
        <v>15</v>
      </c>
      <c r="AF17" s="26">
        <f>B11</f>
        <v>108</v>
      </c>
      <c r="AG17" s="26">
        <f>B12</f>
        <v>7</v>
      </c>
      <c r="AH17" s="26">
        <f>C11</f>
        <v>23</v>
      </c>
      <c r="AI17" s="26">
        <f>C12</f>
        <v>3</v>
      </c>
      <c r="AJ17" s="26">
        <f>D11</f>
        <v>10</v>
      </c>
      <c r="AK17" s="26">
        <f>D12</f>
        <v>1</v>
      </c>
      <c r="AL17" s="26">
        <f>E11</f>
        <v>28</v>
      </c>
      <c r="AM17" s="26">
        <f>E12</f>
        <v>1</v>
      </c>
      <c r="AN17" s="27">
        <f>F11</f>
        <v>8</v>
      </c>
      <c r="AO17" s="26">
        <f>F12</f>
        <v>0</v>
      </c>
    </row>
  </sheetData>
  <mergeCells count="7">
    <mergeCell ref="A1:G1"/>
    <mergeCell ref="A2:G2"/>
    <mergeCell ref="AF14:AG14"/>
    <mergeCell ref="AH14:AI14"/>
    <mergeCell ref="AJ14:AK14"/>
    <mergeCell ref="AL14:AM14"/>
    <mergeCell ref="AN14:AO14"/>
  </mergeCells>
  <pageMargins left="0.7" right="0.7" top="0.75" bottom="0.75" header="0.3" footer="0.3"/>
  <pageSetup scale="61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8.36</vt:lpstr>
      <vt:lpstr>'8.36'!Print_Area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2021-11-17T08:17:23Z</cp:lastPrinted>
  <dcterms:created xsi:type="dcterms:W3CDTF">2019-06-30T04:22:49Z</dcterms:created>
  <dcterms:modified xsi:type="dcterms:W3CDTF">2021-11-17T08:28:12Z</dcterms:modified>
</cp:coreProperties>
</file>