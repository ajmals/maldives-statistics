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719"/>
  </bookViews>
  <sheets>
    <sheet name="8.17" sheetId="16" r:id="rId1"/>
  </sheets>
  <definedNames>
    <definedName name="_xlnm.Print_Area" localSheetId="0">'8.17'!$A$1:$R$53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2" i="16" l="1"/>
  <c r="N31" i="16"/>
  <c r="N30" i="16"/>
  <c r="N29" i="16"/>
  <c r="N28" i="16"/>
  <c r="N27" i="16"/>
  <c r="N26" i="16"/>
  <c r="N25" i="16"/>
  <c r="N24" i="16"/>
  <c r="N23" i="16"/>
  <c r="N22" i="16"/>
  <c r="N21" i="16"/>
  <c r="N20" i="16"/>
  <c r="P19" i="16"/>
  <c r="P7" i="16" s="1"/>
  <c r="O19" i="16"/>
  <c r="N19" i="16" s="1"/>
  <c r="N18" i="16"/>
  <c r="N17" i="16"/>
  <c r="N16" i="16"/>
  <c r="N15" i="16"/>
  <c r="N14" i="16"/>
  <c r="N13" i="16"/>
  <c r="N12" i="16"/>
  <c r="N11" i="16"/>
  <c r="N10" i="16"/>
  <c r="N9" i="16"/>
  <c r="N8" i="16"/>
  <c r="O7" i="16" l="1"/>
  <c r="N7" i="16" s="1"/>
  <c r="M19" i="16" l="1"/>
  <c r="M7" i="16" s="1"/>
  <c r="L19" i="16"/>
  <c r="L7" i="16" s="1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8" i="16"/>
  <c r="K17" i="16"/>
  <c r="K16" i="16"/>
  <c r="K15" i="16"/>
  <c r="K14" i="16"/>
  <c r="K13" i="16"/>
  <c r="K12" i="16"/>
  <c r="K11" i="16"/>
  <c r="K10" i="16"/>
  <c r="K9" i="16"/>
  <c r="K8" i="16"/>
  <c r="K19" i="16" l="1"/>
  <c r="K7" i="16"/>
  <c r="H32" i="16" l="1"/>
  <c r="E32" i="16"/>
  <c r="B32" i="16"/>
  <c r="H31" i="16"/>
  <c r="E31" i="16"/>
  <c r="B31" i="16"/>
  <c r="H30" i="16"/>
  <c r="E30" i="16"/>
  <c r="B30" i="16"/>
  <c r="H29" i="16"/>
  <c r="E29" i="16"/>
  <c r="B29" i="16"/>
  <c r="H28" i="16"/>
  <c r="E28" i="16"/>
  <c r="B28" i="16"/>
  <c r="H27" i="16"/>
  <c r="E27" i="16"/>
  <c r="B27" i="16"/>
  <c r="H26" i="16"/>
  <c r="E26" i="16"/>
  <c r="B26" i="16"/>
  <c r="H25" i="16"/>
  <c r="E25" i="16"/>
  <c r="B25" i="16"/>
  <c r="H24" i="16"/>
  <c r="E24" i="16"/>
  <c r="B24" i="16"/>
  <c r="H23" i="16"/>
  <c r="E23" i="16"/>
  <c r="B23" i="16"/>
  <c r="H22" i="16"/>
  <c r="E22" i="16"/>
  <c r="B22" i="16"/>
  <c r="H21" i="16"/>
  <c r="E21" i="16"/>
  <c r="B21" i="16"/>
  <c r="H20" i="16"/>
  <c r="E20" i="16"/>
  <c r="B20" i="16"/>
  <c r="H19" i="16"/>
  <c r="E19" i="16"/>
  <c r="B19" i="16"/>
  <c r="H18" i="16"/>
  <c r="E18" i="16"/>
  <c r="B18" i="16"/>
  <c r="H17" i="16"/>
  <c r="E17" i="16"/>
  <c r="B17" i="16"/>
  <c r="H16" i="16"/>
  <c r="E16" i="16"/>
  <c r="B16" i="16"/>
  <c r="H15" i="16"/>
  <c r="E15" i="16"/>
  <c r="B15" i="16"/>
  <c r="H14" i="16"/>
  <c r="E14" i="16"/>
  <c r="B14" i="16"/>
  <c r="H13" i="16"/>
  <c r="E13" i="16"/>
  <c r="B13" i="16"/>
  <c r="H12" i="16"/>
  <c r="E12" i="16"/>
  <c r="B12" i="16"/>
  <c r="H11" i="16"/>
  <c r="E11" i="16"/>
  <c r="B11" i="16"/>
  <c r="H10" i="16"/>
  <c r="E10" i="16"/>
  <c r="B10" i="16"/>
  <c r="H9" i="16"/>
  <c r="E9" i="16"/>
  <c r="B9" i="16"/>
  <c r="H8" i="16"/>
  <c r="E8" i="16"/>
  <c r="B8" i="16"/>
  <c r="J7" i="16"/>
  <c r="I7" i="16"/>
  <c r="G7" i="16"/>
  <c r="F7" i="16"/>
  <c r="E7" i="16" s="1"/>
  <c r="D7" i="16"/>
  <c r="C7" i="16"/>
  <c r="B7" i="16" l="1"/>
  <c r="H7" i="16"/>
</calcChain>
</file>

<file path=xl/sharedStrings.xml><?xml version="1.0" encoding="utf-8"?>
<sst xmlns="http://schemas.openxmlformats.org/spreadsheetml/2006/main" count="88" uniqueCount="60">
  <si>
    <t>Theft</t>
  </si>
  <si>
    <t>Total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</si>
  <si>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</si>
  <si>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</si>
  <si>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</si>
  <si>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</si>
  <si>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</si>
  <si>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</si>
  <si>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</si>
  <si>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</si>
  <si>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</si>
  <si>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</si>
  <si>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</si>
  <si>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</si>
  <si>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</si>
  <si>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</si>
  <si>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Traffic Accidents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</si>
  <si>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</si>
  <si>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</si>
  <si>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</si>
  <si>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</si>
  <si>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</si>
  <si>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</si>
  <si>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</si>
  <si>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</si>
  <si>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</si>
  <si>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</si>
  <si>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</si>
  <si>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</si>
  <si>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</si>
  <si>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</si>
  <si>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</si>
  <si>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</si>
  <si>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</si>
  <si>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</si>
  <si>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</si>
  <si>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</si>
  <si>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</si>
  <si>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</si>
  <si>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</si>
  <si>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</si>
  <si>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</si>
  <si>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</si>
  <si>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</si>
  <si>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</si>
  <si>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</si>
  <si>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</si>
  <si>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</si>
  <si>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ޖުމްލަ</t>
  </si>
  <si>
    <t>ވަގުފައިސާ</t>
  </si>
  <si>
    <t>މަޢުލޫމާތު ދެއްވީ: މޯލްޑިވްސް ޕޮލިސް ސަރވިސް</t>
  </si>
  <si>
    <t>ކުށުގެ ބާވަތް</t>
  </si>
  <si>
    <t>ޖިންސީ މައްސަލަ</t>
  </si>
  <si>
    <t>Type of Offence</t>
  </si>
  <si>
    <t>ދިވެހިން</t>
  </si>
  <si>
    <t>ބިދޭސީ</t>
  </si>
  <si>
    <t>Foreign</t>
  </si>
  <si>
    <t>Locals</t>
  </si>
  <si>
    <t>Table: 8.17  NUMBER OF LOCAL AND FOREIGN DETAINEES BY TYPE OF OFFENCES, 2016 - 2020</t>
  </si>
  <si>
    <t xml:space="preserve">ތާވަލް 8.17: ހައްޔަރު ކުރެވުނު ދިވެހިންނާއި ބިދޭސީންގެ އަދަދު، 2016 - 2020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</si>
</sst>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sz val="10"/>
      <name val="Faruma"/>
      <family val="3"/>
    </font>
    <font>
      <sz val="9"/>
      <name val="Courier"/>
      <family val="3"/>
    </font>
    <font>
      <i/>
      <sz val="9"/>
      <name val="Calibri"/>
      <family val="2"/>
      <scheme val="minor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9"/>
      <name val="Faruma"/>
      <family val="3"/>
    </font>
    <font>
      <b/>
      <sz val="10"/>
      <color rgb="FF000000"/>
      <name val="Arial"/>
      <family val="2"/>
    </font>
    <font>
      <b/>
      <sz val="10"/>
      <color theme="1"/>
      <name val="Faruma"/>
      <family val="3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Faruma"/>
      <family val="3"/>
    </font>
    <font>
      <sz val="10"/>
      <name val="Arial"/>
      <family val="2"/>
    </font>
    <font>
      <i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"/>
      <family val="2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166" fontId="10" fillId="0" borderId="0"/>
    <xf numFmtId="0" fontId="21" fillId="0" borderId="21" applyNumberFormat="0" applyFill="0" applyAlignment="0" applyProtection="0"/>
    <xf numFmtId="0" fontId="17" fillId="0" borderId="0"/>
    <xf numFmtId="0" fontId="17" fillId="0" borderId="0"/>
  </cellStyleXfs>
  <cellXfs count="56">
    <xf numFmtId="0" fontId="0" fillId="0" borderId="0" xfId="0"/>
    <xf numFmtId="164" fontId="0" fillId="2" borderId="0" xfId="0" applyNumberFormat="1" applyFill="1"/>
    <xf numFmtId="164" fontId="5" fillId="2" borderId="0" xfId="0" applyNumberFormat="1" applyFont="1" applyFill="1" applyBorder="1" applyAlignment="1" applyProtection="1">
      <alignment horizontal="right" vertical="center" indent="2"/>
    </xf>
    <xf numFmtId="164" fontId="0" fillId="2" borderId="0" xfId="0" applyNumberFormat="1" applyFill="1" applyBorder="1"/>
    <xf numFmtId="164" fontId="5" fillId="2" borderId="2" xfId="0" applyNumberFormat="1" applyFont="1" applyFill="1" applyBorder="1" applyAlignment="1" applyProtection="1">
      <alignment horizontal="right" vertical="center" indent="2"/>
    </xf>
    <xf numFmtId="164" fontId="0" fillId="2" borderId="10" xfId="0" applyNumberFormat="1" applyFill="1" applyBorder="1"/>
    <xf numFmtId="164" fontId="12" fillId="2" borderId="11" xfId="0" applyNumberFormat="1" applyFont="1" applyFill="1" applyBorder="1" applyAlignment="1">
      <alignment horizontal="center"/>
    </xf>
    <xf numFmtId="0" fontId="16" fillId="2" borderId="0" xfId="0" applyNumberFormat="1" applyFont="1" applyFill="1" applyBorder="1" applyAlignment="1">
      <alignment vertical="center" wrapText="1"/>
    </xf>
    <xf numFmtId="164" fontId="18" fillId="2" borderId="0" xfId="0" applyNumberFormat="1" applyFont="1" applyFill="1" applyBorder="1" applyAlignment="1">
      <alignment horizontal="left" vertical="center" indent="2"/>
    </xf>
    <xf numFmtId="164" fontId="18" fillId="2" borderId="0" xfId="0" applyNumberFormat="1" applyFont="1" applyFill="1" applyBorder="1" applyAlignment="1">
      <alignment horizontal="left" vertical="center" wrapText="1" indent="2"/>
    </xf>
    <xf numFmtId="164" fontId="18" fillId="2" borderId="2" xfId="0" applyNumberFormat="1" applyFont="1" applyFill="1" applyBorder="1" applyAlignment="1">
      <alignment horizontal="left" vertical="center" indent="2"/>
    </xf>
    <xf numFmtId="0" fontId="16" fillId="2" borderId="0" xfId="0" applyNumberFormat="1" applyFont="1" applyFill="1" applyBorder="1" applyAlignment="1">
      <alignment vertical="center"/>
    </xf>
    <xf numFmtId="164" fontId="12" fillId="2" borderId="13" xfId="0" applyNumberFormat="1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right" vertical="center"/>
    </xf>
    <xf numFmtId="164" fontId="8" fillId="2" borderId="4" xfId="0" applyNumberFormat="1" applyFont="1" applyFill="1" applyBorder="1" applyAlignment="1">
      <alignment horizontal="right" vertical="center"/>
    </xf>
    <xf numFmtId="164" fontId="8" fillId="2" borderId="5" xfId="0" applyNumberFormat="1" applyFont="1" applyFill="1" applyBorder="1" applyAlignment="1">
      <alignment horizontal="right" vertical="center"/>
    </xf>
    <xf numFmtId="164" fontId="4" fillId="2" borderId="18" xfId="0" applyNumberFormat="1" applyFont="1" applyFill="1" applyBorder="1" applyAlignment="1">
      <alignment horizontal="right" vertical="center"/>
    </xf>
    <xf numFmtId="164" fontId="4" fillId="2" borderId="19" xfId="0" applyNumberFormat="1" applyFont="1" applyFill="1" applyBorder="1" applyAlignment="1">
      <alignment horizontal="right" vertical="center"/>
    </xf>
    <xf numFmtId="164" fontId="4" fillId="2" borderId="20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left" vertical="center"/>
    </xf>
    <xf numFmtId="3" fontId="19" fillId="2" borderId="0" xfId="1" applyNumberFormat="1" applyFont="1" applyFill="1" applyBorder="1" applyAlignment="1">
      <alignment horizontal="right" vertical="center"/>
    </xf>
    <xf numFmtId="3" fontId="19" fillId="2" borderId="9" xfId="1" applyNumberFormat="1" applyFont="1" applyFill="1" applyBorder="1" applyAlignment="1">
      <alignment horizontal="right" vertical="center"/>
    </xf>
    <xf numFmtId="3" fontId="19" fillId="2" borderId="1" xfId="1" applyNumberFormat="1" applyFont="1" applyFill="1" applyBorder="1" applyAlignment="1">
      <alignment horizontal="right" vertical="center"/>
    </xf>
    <xf numFmtId="3" fontId="19" fillId="2" borderId="4" xfId="1" applyNumberFormat="1" applyFont="1" applyFill="1" applyBorder="1" applyAlignment="1">
      <alignment horizontal="right" vertical="center"/>
    </xf>
    <xf numFmtId="0" fontId="13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horizontal="left" vertical="center"/>
    </xf>
    <xf numFmtId="3" fontId="0" fillId="2" borderId="0" xfId="1" applyNumberFormat="1" applyFont="1" applyFill="1" applyBorder="1" applyAlignment="1">
      <alignment horizontal="right" vertical="center"/>
    </xf>
    <xf numFmtId="3" fontId="15" fillId="2" borderId="9" xfId="1" applyNumberFormat="1" applyFont="1" applyFill="1" applyBorder="1" applyAlignment="1">
      <alignment horizontal="right" vertical="center"/>
    </xf>
    <xf numFmtId="3" fontId="15" fillId="2" borderId="0" xfId="1" applyNumberFormat="1" applyFont="1" applyFill="1" applyBorder="1" applyAlignment="1">
      <alignment horizontal="right" vertical="center"/>
    </xf>
    <xf numFmtId="3" fontId="0" fillId="2" borderId="8" xfId="1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horizontal="center"/>
    </xf>
    <xf numFmtId="164" fontId="0" fillId="2" borderId="16" xfId="0" applyNumberFormat="1" applyFill="1" applyBorder="1"/>
    <xf numFmtId="164" fontId="0" fillId="2" borderId="11" xfId="0" applyNumberFormat="1" applyFill="1" applyBorder="1"/>
    <xf numFmtId="0" fontId="14" fillId="2" borderId="0" xfId="0" applyNumberFormat="1" applyFont="1" applyFill="1" applyBorder="1" applyAlignment="1"/>
    <xf numFmtId="164" fontId="0" fillId="2" borderId="0" xfId="0" applyNumberFormat="1" applyFill="1" applyBorder="1" applyAlignment="1">
      <alignment horizontal="center"/>
    </xf>
    <xf numFmtId="3" fontId="15" fillId="2" borderId="7" xfId="1" applyNumberFormat="1" applyFont="1" applyFill="1" applyBorder="1" applyAlignment="1">
      <alignment horizontal="right" vertical="center"/>
    </xf>
    <xf numFmtId="3" fontId="0" fillId="2" borderId="2" xfId="1" applyNumberFormat="1" applyFont="1" applyFill="1" applyBorder="1" applyAlignment="1">
      <alignment horizontal="right" vertical="center"/>
    </xf>
    <xf numFmtId="3" fontId="0" fillId="2" borderId="6" xfId="1" applyNumberFormat="1" applyFont="1" applyFill="1" applyBorder="1" applyAlignment="1">
      <alignment horizontal="right" vertical="center"/>
    </xf>
    <xf numFmtId="3" fontId="15" fillId="2" borderId="2" xfId="1" applyNumberFormat="1" applyFont="1" applyFill="1" applyBorder="1" applyAlignment="1">
      <alignment horizontal="right" vertical="center"/>
    </xf>
    <xf numFmtId="164" fontId="7" fillId="2" borderId="3" xfId="0" applyNumberFormat="1" applyFont="1" applyFill="1" applyBorder="1" applyAlignment="1" applyProtection="1">
      <alignment vertical="center"/>
    </xf>
    <xf numFmtId="164" fontId="20" fillId="2" borderId="3" xfId="0" applyNumberFormat="1" applyFont="1" applyFill="1" applyBorder="1" applyAlignment="1" applyProtection="1">
      <alignment horizontal="center" vertical="center"/>
    </xf>
    <xf numFmtId="164" fontId="6" fillId="2" borderId="15" xfId="0" applyNumberFormat="1" applyFont="1" applyFill="1" applyBorder="1" applyAlignment="1">
      <alignment horizontal="center"/>
    </xf>
    <xf numFmtId="164" fontId="0" fillId="2" borderId="14" xfId="0" applyNumberFormat="1" applyFill="1" applyBorder="1"/>
    <xf numFmtId="164" fontId="4" fillId="2" borderId="7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4" fontId="3" fillId="2" borderId="17" xfId="0" applyNumberFormat="1" applyFont="1" applyFill="1" applyBorder="1" applyAlignment="1">
      <alignment horizontal="center" vertical="center"/>
    </xf>
    <xf numFmtId="164" fontId="12" fillId="2" borderId="12" xfId="0" applyNumberFormat="1" applyFont="1" applyFill="1" applyBorder="1" applyAlignment="1">
      <alignment horizontal="center" vertical="center" wrapText="1"/>
    </xf>
    <xf numFmtId="164" fontId="12" fillId="2" borderId="17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left" vertical="center"/>
    </xf>
    <xf numFmtId="164" fontId="4" fillId="2" borderId="0" xfId="0" applyNumberFormat="1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left" vertical="center"/>
    </xf>
    <xf numFmtId="164" fontId="11" fillId="2" borderId="1" xfId="0" applyNumberFormat="1" applyFont="1" applyFill="1" applyBorder="1" applyAlignment="1" applyProtection="1">
      <alignment horizontal="right" vertical="center"/>
    </xf>
    <xf numFmtId="164" fontId="11" fillId="2" borderId="0" xfId="0" applyNumberFormat="1" applyFont="1" applyFill="1" applyBorder="1" applyAlignment="1" applyProtection="1">
      <alignment horizontal="right" vertical="center"/>
    </xf>
    <xf numFmtId="164" fontId="11" fillId="2" borderId="2" xfId="0" applyNumberFormat="1" applyFont="1" applyFill="1" applyBorder="1" applyAlignment="1" applyProtection="1">
      <alignment horizontal="right" vertical="center"/>
    </xf>
  </cellXfs>
  <cellStyles count="8">
    <cellStyle name="1" xfId="7"/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181633290944668"/>
          <c:y val="0.16210635994709177"/>
          <c:w val="0.44771947147106894"/>
          <c:h val="0.8221824372777341"/>
        </c:manualLayout>
      </c:layout>
      <c:pieChart>
        <c:varyColors val="1"/>
        <c:ser>
          <c:idx val="0"/>
          <c:order val="0"/>
          <c:spPr>
            <a:solidFill>
              <a:srgbClr val="33CCCC"/>
            </a:solidFill>
          </c:spPr>
          <c:explosion val="3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073-478E-A0C3-D0FF9A21E22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2-C073-478E-A0C3-D0FF9A21E225}"/>
              </c:ext>
            </c:extLst>
          </c:dPt>
          <c:dLbls>
            <c:dLbl>
              <c:idx val="0"/>
              <c:layout>
                <c:manualLayout>
                  <c:x val="0.15275205199676309"/>
                  <c:y val="-0.2224310458983363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073-478E-A0C3-D0FF9A21E225}"/>
                </c:ext>
              </c:extLst>
            </c:dLbl>
            <c:dLbl>
              <c:idx val="1"/>
              <c:layout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073-478E-A0C3-D0FF9A21E22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'8.17'!$O$5:$P$5</c:f>
              <c:strCache>
                <c:ptCount val="2"/>
                <c:pt idx="0">
                  <c:v>Locals</c:v>
                </c:pt>
                <c:pt idx="1">
                  <c:v>Foreign</c:v>
                </c:pt>
              </c:strCache>
            </c:strRef>
          </c:cat>
          <c:val>
            <c:numRef>
              <c:f>'8.17'!$O$7:$P$7</c:f>
              <c:numCache>
                <c:formatCode>#,##0</c:formatCode>
                <c:ptCount val="2"/>
                <c:pt idx="0">
                  <c:v>3365</c:v>
                </c:pt>
                <c:pt idx="1">
                  <c:v>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3-478E-A0C3-D0FF9A21E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82"/>
      </c:pieChart>
    </c:plotArea>
    <c:plotVisOnly val="1"/>
    <c:dispBlanksAs val="zero"/>
    <c:showDLblsOverMax val="0"/>
  </c:chart>
  <c:spPr>
    <a:noFill/>
  </c:spPr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33</xdr:row>
      <xdr:rowOff>136805</xdr:rowOff>
    </xdr:from>
    <xdr:to>
      <xdr:col>13</xdr:col>
      <xdr:colOff>161925</xdr:colOff>
      <xdr:row>51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2B56F-7BC8-43B4-9457-7FAA081E4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0.01985</cdr:y>
    </cdr:from>
    <cdr:to>
      <cdr:x>0.97477</cdr:x>
      <cdr:y>0.11623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100" y="66106"/>
          <a:ext cx="5653384" cy="3209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8.24: Percentage share of detainees by locals and foreigners, 2020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92D050"/>
  </sheetPr>
  <dimension ref="A1:DV382"/>
  <sheetViews>
    <sheetView tabSelected="1" zoomScaleNormal="100" workbookViewId="0">
      <selection activeCell="E8" sqref="E8"/>
    </sheetView>
  </sheetViews>
  <sheetFormatPr defaultColWidth="21" defaultRowHeight="15"/>
  <cols>
    <col min="1" max="1" width="47.7109375" style="1" customWidth="1"/>
    <col min="2" max="16" width="10" style="30" customWidth="1"/>
    <col min="17" max="17" width="34.28515625" style="1" customWidth="1"/>
    <col min="18" max="18" width="2.42578125" style="3" customWidth="1"/>
    <col min="19" max="66" width="21" style="3"/>
    <col min="67" max="67" width="21" style="42"/>
    <col min="68" max="126" width="21" style="5"/>
    <col min="127" max="16384" width="21" style="1"/>
  </cols>
  <sheetData>
    <row r="1" spans="1:126" ht="21.75">
      <c r="A1" s="46" t="s">
        <v>59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</row>
    <row r="2" spans="1:126">
      <c r="A2" s="48" t="s">
        <v>58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</row>
    <row r="3" spans="1:126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12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</row>
    <row r="4" spans="1:126" ht="18.75">
      <c r="A4" s="50" t="s">
        <v>53</v>
      </c>
      <c r="B4" s="15" t="s">
        <v>48</v>
      </c>
      <c r="C4" s="13" t="s">
        <v>54</v>
      </c>
      <c r="D4" s="14" t="s">
        <v>55</v>
      </c>
      <c r="E4" s="13" t="s">
        <v>48</v>
      </c>
      <c r="F4" s="13" t="s">
        <v>54</v>
      </c>
      <c r="G4" s="13" t="s">
        <v>55</v>
      </c>
      <c r="H4" s="15" t="s">
        <v>48</v>
      </c>
      <c r="I4" s="13" t="s">
        <v>54</v>
      </c>
      <c r="J4" s="13" t="s">
        <v>55</v>
      </c>
      <c r="K4" s="15" t="s">
        <v>48</v>
      </c>
      <c r="L4" s="13" t="s">
        <v>54</v>
      </c>
      <c r="M4" s="13" t="s">
        <v>55</v>
      </c>
      <c r="N4" s="15" t="s">
        <v>48</v>
      </c>
      <c r="O4" s="13" t="s">
        <v>54</v>
      </c>
      <c r="P4" s="13" t="s">
        <v>55</v>
      </c>
      <c r="Q4" s="53" t="s">
        <v>51</v>
      </c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</row>
    <row r="5" spans="1:126" ht="15" customHeight="1">
      <c r="A5" s="51"/>
      <c r="B5" s="18" t="s">
        <v>1</v>
      </c>
      <c r="C5" s="16" t="s">
        <v>57</v>
      </c>
      <c r="D5" s="17" t="s">
        <v>56</v>
      </c>
      <c r="E5" s="16" t="s">
        <v>1</v>
      </c>
      <c r="F5" s="16" t="s">
        <v>57</v>
      </c>
      <c r="G5" s="16" t="s">
        <v>56</v>
      </c>
      <c r="H5" s="18" t="s">
        <v>1</v>
      </c>
      <c r="I5" s="16" t="s">
        <v>57</v>
      </c>
      <c r="J5" s="16" t="s">
        <v>56</v>
      </c>
      <c r="K5" s="18" t="s">
        <v>1</v>
      </c>
      <c r="L5" s="16" t="s">
        <v>57</v>
      </c>
      <c r="M5" s="16" t="s">
        <v>56</v>
      </c>
      <c r="N5" s="18" t="s">
        <v>1</v>
      </c>
      <c r="O5" s="16" t="s">
        <v>57</v>
      </c>
      <c r="P5" s="16" t="s">
        <v>56</v>
      </c>
      <c r="Q5" s="54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</row>
    <row r="6" spans="1:126" ht="17.25" customHeight="1">
      <c r="A6" s="52"/>
      <c r="B6" s="43">
        <v>2016</v>
      </c>
      <c r="C6" s="44"/>
      <c r="D6" s="45"/>
      <c r="E6" s="44">
        <v>2017</v>
      </c>
      <c r="F6" s="44"/>
      <c r="G6" s="44"/>
      <c r="H6" s="43">
        <v>2018</v>
      </c>
      <c r="I6" s="44"/>
      <c r="J6" s="44"/>
      <c r="K6" s="43">
        <v>2019</v>
      </c>
      <c r="L6" s="44"/>
      <c r="M6" s="44"/>
      <c r="N6" s="43">
        <v>2020</v>
      </c>
      <c r="O6" s="44"/>
      <c r="P6" s="44"/>
      <c r="Q6" s="55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</row>
    <row r="7" spans="1:126" ht="18.75">
      <c r="A7" s="19" t="s">
        <v>1</v>
      </c>
      <c r="B7" s="21">
        <f>C7+D7</f>
        <v>5511</v>
      </c>
      <c r="C7" s="20">
        <f>SUM(C8:C19)</f>
        <v>4914</v>
      </c>
      <c r="D7" s="23">
        <f>SUM(D8:D19)</f>
        <v>597</v>
      </c>
      <c r="E7" s="20">
        <f>F7+G7</f>
        <v>3961</v>
      </c>
      <c r="F7" s="20">
        <f>SUM(F8:F19)</f>
        <v>3481</v>
      </c>
      <c r="G7" s="22">
        <f>SUM(G8:G19)</f>
        <v>480</v>
      </c>
      <c r="H7" s="21">
        <f>I7+J7</f>
        <v>2878</v>
      </c>
      <c r="I7" s="20">
        <f>SUM(I8:I19)</f>
        <v>2604</v>
      </c>
      <c r="J7" s="22">
        <f>SUM(J8:J19)</f>
        <v>274</v>
      </c>
      <c r="K7" s="21">
        <f>L7+M7</f>
        <v>3316</v>
      </c>
      <c r="L7" s="20">
        <f>SUM(L8:L19)</f>
        <v>2895</v>
      </c>
      <c r="M7" s="22">
        <f>SUM(M8:M19)</f>
        <v>421</v>
      </c>
      <c r="N7" s="21">
        <f>O7+P7</f>
        <v>3819</v>
      </c>
      <c r="O7" s="20">
        <f>SUM(O8:O19)</f>
        <v>3365</v>
      </c>
      <c r="P7" s="22">
        <f>SUM(P8:P19)</f>
        <v>454</v>
      </c>
      <c r="Q7" s="24" t="s">
        <v>48</v>
      </c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</row>
    <row r="8" spans="1:126" ht="18.75">
      <c r="A8" s="25" t="s">
        <v>5</v>
      </c>
      <c r="B8" s="27">
        <f>C8+D8</f>
        <v>487</v>
      </c>
      <c r="C8" s="26">
        <v>435</v>
      </c>
      <c r="D8" s="29">
        <v>52</v>
      </c>
      <c r="E8" s="28">
        <f>F8+G8</f>
        <v>505</v>
      </c>
      <c r="F8" s="26">
        <v>433</v>
      </c>
      <c r="G8" s="28">
        <v>72</v>
      </c>
      <c r="H8" s="27">
        <f t="shared" ref="H8:H19" si="0">I8+J8</f>
        <v>411</v>
      </c>
      <c r="I8" s="28">
        <v>375</v>
      </c>
      <c r="J8" s="28">
        <v>36</v>
      </c>
      <c r="K8" s="27">
        <f t="shared" ref="K8:K18" si="1">L8+M8</f>
        <v>210</v>
      </c>
      <c r="L8" s="28">
        <v>188</v>
      </c>
      <c r="M8" s="28">
        <v>22</v>
      </c>
      <c r="N8" s="27">
        <f t="shared" ref="N8:N18" si="2">O8+P8</f>
        <v>324</v>
      </c>
      <c r="O8" s="28">
        <v>271</v>
      </c>
      <c r="P8" s="28">
        <v>53</v>
      </c>
      <c r="Q8" s="7" t="s">
        <v>10</v>
      </c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</row>
    <row r="9" spans="1:126" ht="18.75">
      <c r="A9" s="25" t="s">
        <v>0</v>
      </c>
      <c r="B9" s="27">
        <f t="shared" ref="B9:B19" si="3">C9+D9</f>
        <v>958</v>
      </c>
      <c r="C9" s="26">
        <v>869</v>
      </c>
      <c r="D9" s="29">
        <v>89</v>
      </c>
      <c r="E9" s="28">
        <f t="shared" ref="E9:E19" si="4">F9+G9</f>
        <v>772</v>
      </c>
      <c r="F9" s="26">
        <v>718</v>
      </c>
      <c r="G9" s="28">
        <v>54</v>
      </c>
      <c r="H9" s="27">
        <f t="shared" si="0"/>
        <v>707</v>
      </c>
      <c r="I9" s="28">
        <v>668</v>
      </c>
      <c r="J9" s="28">
        <v>39</v>
      </c>
      <c r="K9" s="27">
        <f t="shared" si="1"/>
        <v>914</v>
      </c>
      <c r="L9" s="28">
        <v>864</v>
      </c>
      <c r="M9" s="28">
        <v>50</v>
      </c>
      <c r="N9" s="27">
        <f t="shared" si="2"/>
        <v>770</v>
      </c>
      <c r="O9" s="28">
        <v>718</v>
      </c>
      <c r="P9" s="28">
        <v>52</v>
      </c>
      <c r="Q9" s="7" t="s">
        <v>2</v>
      </c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</row>
    <row r="10" spans="1:126" ht="18.75">
      <c r="A10" s="25" t="s">
        <v>9</v>
      </c>
      <c r="B10" s="27">
        <f t="shared" si="3"/>
        <v>165</v>
      </c>
      <c r="C10" s="26">
        <v>161</v>
      </c>
      <c r="D10" s="29">
        <v>4</v>
      </c>
      <c r="E10" s="28">
        <f t="shared" si="4"/>
        <v>167</v>
      </c>
      <c r="F10" s="26">
        <v>162</v>
      </c>
      <c r="G10" s="28">
        <v>5</v>
      </c>
      <c r="H10" s="27">
        <f t="shared" si="0"/>
        <v>98</v>
      </c>
      <c r="I10" s="28">
        <v>96</v>
      </c>
      <c r="J10" s="28">
        <v>2</v>
      </c>
      <c r="K10" s="27">
        <f t="shared" si="1"/>
        <v>137</v>
      </c>
      <c r="L10" s="28">
        <v>133</v>
      </c>
      <c r="M10" s="28">
        <v>4</v>
      </c>
      <c r="N10" s="27">
        <f t="shared" si="2"/>
        <v>100</v>
      </c>
      <c r="O10" s="28">
        <v>98</v>
      </c>
      <c r="P10" s="28">
        <v>2</v>
      </c>
      <c r="Q10" s="7" t="s">
        <v>15</v>
      </c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</row>
    <row r="11" spans="1:126" ht="18.75">
      <c r="A11" s="25" t="s">
        <v>3</v>
      </c>
      <c r="B11" s="27">
        <f t="shared" si="3"/>
        <v>2732</v>
      </c>
      <c r="C11" s="26">
        <v>2579</v>
      </c>
      <c r="D11" s="29">
        <v>153</v>
      </c>
      <c r="E11" s="28">
        <f t="shared" si="4"/>
        <v>1690</v>
      </c>
      <c r="F11" s="26">
        <v>1547</v>
      </c>
      <c r="G11" s="28">
        <v>143</v>
      </c>
      <c r="H11" s="27">
        <f t="shared" si="0"/>
        <v>1043</v>
      </c>
      <c r="I11" s="28">
        <v>940</v>
      </c>
      <c r="J11" s="28">
        <v>103</v>
      </c>
      <c r="K11" s="27">
        <f t="shared" si="1"/>
        <v>1490</v>
      </c>
      <c r="L11" s="28">
        <v>1314</v>
      </c>
      <c r="M11" s="28">
        <v>176</v>
      </c>
      <c r="N11" s="27">
        <f t="shared" si="2"/>
        <v>1219</v>
      </c>
      <c r="O11" s="28">
        <v>1097</v>
      </c>
      <c r="P11" s="28">
        <v>122</v>
      </c>
      <c r="Q11" s="7" t="s">
        <v>7</v>
      </c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</row>
    <row r="12" spans="1:126" ht="18.75">
      <c r="A12" s="25" t="s">
        <v>13</v>
      </c>
      <c r="B12" s="27">
        <f t="shared" si="3"/>
        <v>309</v>
      </c>
      <c r="C12" s="26">
        <v>205</v>
      </c>
      <c r="D12" s="29">
        <v>104</v>
      </c>
      <c r="E12" s="28">
        <f t="shared" si="4"/>
        <v>190</v>
      </c>
      <c r="F12" s="26">
        <v>129</v>
      </c>
      <c r="G12" s="28">
        <v>61</v>
      </c>
      <c r="H12" s="27">
        <f t="shared" si="0"/>
        <v>137</v>
      </c>
      <c r="I12" s="28">
        <v>92</v>
      </c>
      <c r="J12" s="28">
        <v>45</v>
      </c>
      <c r="K12" s="27">
        <f t="shared" si="1"/>
        <v>172</v>
      </c>
      <c r="L12" s="28">
        <v>67</v>
      </c>
      <c r="M12" s="28">
        <v>105</v>
      </c>
      <c r="N12" s="27">
        <f t="shared" si="2"/>
        <v>202</v>
      </c>
      <c r="O12" s="28">
        <v>150</v>
      </c>
      <c r="P12" s="28">
        <v>52</v>
      </c>
      <c r="Q12" s="7" t="s">
        <v>52</v>
      </c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</row>
    <row r="13" spans="1:126" ht="18.75">
      <c r="A13" s="25" t="s">
        <v>16</v>
      </c>
      <c r="B13" s="27">
        <f t="shared" si="3"/>
        <v>14</v>
      </c>
      <c r="C13" s="26">
        <v>13</v>
      </c>
      <c r="D13" s="29">
        <v>1</v>
      </c>
      <c r="E13" s="28">
        <f t="shared" si="4"/>
        <v>3</v>
      </c>
      <c r="F13" s="26">
        <v>2</v>
      </c>
      <c r="G13" s="28">
        <v>1</v>
      </c>
      <c r="H13" s="27">
        <f t="shared" si="0"/>
        <v>3</v>
      </c>
      <c r="I13" s="28">
        <v>3</v>
      </c>
      <c r="J13" s="28">
        <v>0</v>
      </c>
      <c r="K13" s="27">
        <f t="shared" si="1"/>
        <v>4</v>
      </c>
      <c r="L13" s="28">
        <v>3</v>
      </c>
      <c r="M13" s="28">
        <v>1</v>
      </c>
      <c r="N13" s="27">
        <f t="shared" si="2"/>
        <v>1</v>
      </c>
      <c r="O13" s="28">
        <v>1</v>
      </c>
      <c r="P13" s="28">
        <v>0</v>
      </c>
      <c r="Q13" s="7" t="s">
        <v>4</v>
      </c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</row>
    <row r="14" spans="1:126" ht="18.75">
      <c r="A14" s="25" t="s">
        <v>18</v>
      </c>
      <c r="B14" s="27">
        <f t="shared" si="3"/>
        <v>42</v>
      </c>
      <c r="C14" s="26">
        <v>39</v>
      </c>
      <c r="D14" s="29">
        <v>3</v>
      </c>
      <c r="E14" s="28">
        <f t="shared" si="4"/>
        <v>23</v>
      </c>
      <c r="F14" s="26">
        <v>21</v>
      </c>
      <c r="G14" s="28">
        <v>2</v>
      </c>
      <c r="H14" s="27">
        <f t="shared" si="0"/>
        <v>12</v>
      </c>
      <c r="I14" s="28">
        <v>11</v>
      </c>
      <c r="J14" s="28">
        <v>1</v>
      </c>
      <c r="K14" s="27">
        <f t="shared" si="1"/>
        <v>16</v>
      </c>
      <c r="L14" s="28">
        <v>15</v>
      </c>
      <c r="M14" s="28">
        <v>1</v>
      </c>
      <c r="N14" s="27">
        <f t="shared" si="2"/>
        <v>24</v>
      </c>
      <c r="O14" s="28">
        <v>22</v>
      </c>
      <c r="P14" s="28">
        <v>2</v>
      </c>
      <c r="Q14" s="7" t="s">
        <v>21</v>
      </c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</row>
    <row r="15" spans="1:126" ht="18.75">
      <c r="A15" s="25" t="s">
        <v>20</v>
      </c>
      <c r="B15" s="27">
        <f t="shared" si="3"/>
        <v>24</v>
      </c>
      <c r="C15" s="26">
        <v>16</v>
      </c>
      <c r="D15" s="29">
        <v>8</v>
      </c>
      <c r="E15" s="28">
        <f t="shared" si="4"/>
        <v>7</v>
      </c>
      <c r="F15" s="26">
        <v>2</v>
      </c>
      <c r="G15" s="28">
        <v>5</v>
      </c>
      <c r="H15" s="27">
        <f t="shared" si="0"/>
        <v>1</v>
      </c>
      <c r="I15" s="28">
        <v>1</v>
      </c>
      <c r="J15" s="28">
        <v>0</v>
      </c>
      <c r="K15" s="27">
        <f t="shared" si="1"/>
        <v>0</v>
      </c>
      <c r="L15" s="28">
        <v>0</v>
      </c>
      <c r="M15" s="28">
        <v>0</v>
      </c>
      <c r="N15" s="27">
        <f t="shared" si="2"/>
        <v>3</v>
      </c>
      <c r="O15" s="28">
        <v>1</v>
      </c>
      <c r="P15" s="28">
        <v>2</v>
      </c>
      <c r="Q15" s="7" t="s">
        <v>49</v>
      </c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</row>
    <row r="16" spans="1:126" ht="18.75">
      <c r="A16" s="25" t="s">
        <v>11</v>
      </c>
      <c r="B16" s="27">
        <f t="shared" si="3"/>
        <v>73</v>
      </c>
      <c r="C16" s="26">
        <v>71</v>
      </c>
      <c r="D16" s="29">
        <v>2</v>
      </c>
      <c r="E16" s="28">
        <f t="shared" si="4"/>
        <v>73</v>
      </c>
      <c r="F16" s="26">
        <v>68</v>
      </c>
      <c r="G16" s="28">
        <v>5</v>
      </c>
      <c r="H16" s="27">
        <f t="shared" si="0"/>
        <v>62</v>
      </c>
      <c r="I16" s="28">
        <v>62</v>
      </c>
      <c r="J16" s="28">
        <v>0</v>
      </c>
      <c r="K16" s="27">
        <f t="shared" si="1"/>
        <v>57</v>
      </c>
      <c r="L16" s="28">
        <v>48</v>
      </c>
      <c r="M16" s="28">
        <v>9</v>
      </c>
      <c r="N16" s="27">
        <f t="shared" si="2"/>
        <v>59</v>
      </c>
      <c r="O16" s="28">
        <v>56</v>
      </c>
      <c r="P16" s="28">
        <v>3</v>
      </c>
      <c r="Q16" s="7" t="s">
        <v>12</v>
      </c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</row>
    <row r="17" spans="1:126" ht="18.75">
      <c r="A17" s="25" t="s">
        <v>17</v>
      </c>
      <c r="B17" s="27">
        <f t="shared" si="3"/>
        <v>75</v>
      </c>
      <c r="C17" s="26">
        <v>54</v>
      </c>
      <c r="D17" s="29">
        <v>21</v>
      </c>
      <c r="E17" s="28">
        <f t="shared" si="4"/>
        <v>29</v>
      </c>
      <c r="F17" s="26">
        <v>17</v>
      </c>
      <c r="G17" s="28">
        <v>12</v>
      </c>
      <c r="H17" s="27">
        <f t="shared" si="0"/>
        <v>19</v>
      </c>
      <c r="I17" s="28">
        <v>14</v>
      </c>
      <c r="J17" s="28">
        <v>5</v>
      </c>
      <c r="K17" s="27">
        <f t="shared" si="1"/>
        <v>12</v>
      </c>
      <c r="L17" s="28">
        <v>9</v>
      </c>
      <c r="M17" s="28">
        <v>3</v>
      </c>
      <c r="N17" s="27">
        <f t="shared" si="2"/>
        <v>31</v>
      </c>
      <c r="O17" s="28">
        <v>26</v>
      </c>
      <c r="P17" s="28">
        <v>5</v>
      </c>
      <c r="Q17" s="7" t="s">
        <v>19</v>
      </c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</row>
    <row r="18" spans="1:126" ht="18.75">
      <c r="A18" s="25" t="s">
        <v>27</v>
      </c>
      <c r="B18" s="27">
        <f t="shared" si="3"/>
        <v>0</v>
      </c>
      <c r="C18" s="26">
        <v>0</v>
      </c>
      <c r="D18" s="29">
        <v>0</v>
      </c>
      <c r="E18" s="28">
        <f t="shared" si="4"/>
        <v>0</v>
      </c>
      <c r="F18" s="26">
        <v>0</v>
      </c>
      <c r="G18" s="28">
        <v>0</v>
      </c>
      <c r="H18" s="27">
        <f t="shared" si="0"/>
        <v>0</v>
      </c>
      <c r="I18" s="28">
        <v>0</v>
      </c>
      <c r="J18" s="28">
        <v>0</v>
      </c>
      <c r="K18" s="27">
        <f t="shared" si="1"/>
        <v>1</v>
      </c>
      <c r="L18" s="28">
        <v>1</v>
      </c>
      <c r="M18" s="28">
        <v>0</v>
      </c>
      <c r="N18" s="27">
        <f t="shared" si="2"/>
        <v>0</v>
      </c>
      <c r="O18" s="28">
        <v>0</v>
      </c>
      <c r="P18" s="28">
        <v>0</v>
      </c>
      <c r="Q18" s="7" t="s">
        <v>8</v>
      </c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</row>
    <row r="19" spans="1:126" ht="18.75">
      <c r="A19" s="25" t="s">
        <v>6</v>
      </c>
      <c r="B19" s="27">
        <f t="shared" si="3"/>
        <v>632</v>
      </c>
      <c r="C19" s="26">
        <v>472</v>
      </c>
      <c r="D19" s="29">
        <v>160</v>
      </c>
      <c r="E19" s="28">
        <f t="shared" si="4"/>
        <v>502</v>
      </c>
      <c r="F19" s="26">
        <v>382</v>
      </c>
      <c r="G19" s="28">
        <v>120</v>
      </c>
      <c r="H19" s="27">
        <f t="shared" si="0"/>
        <v>385</v>
      </c>
      <c r="I19" s="26">
        <v>342</v>
      </c>
      <c r="J19" s="26">
        <v>43</v>
      </c>
      <c r="K19" s="27">
        <f>L19+M19</f>
        <v>303</v>
      </c>
      <c r="L19" s="26">
        <f>SUM(L20:L32)</f>
        <v>253</v>
      </c>
      <c r="M19" s="26">
        <f>SUM(M20:M32)</f>
        <v>50</v>
      </c>
      <c r="N19" s="27">
        <f>O19+P19</f>
        <v>1086</v>
      </c>
      <c r="O19" s="26">
        <f>SUM(O20:O32)</f>
        <v>925</v>
      </c>
      <c r="P19" s="26">
        <f>SUM(P20:P32)</f>
        <v>161</v>
      </c>
      <c r="Q19" s="7" t="s">
        <v>24</v>
      </c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</row>
    <row r="20" spans="1:126" ht="18" customHeight="1">
      <c r="A20" s="8" t="s">
        <v>25</v>
      </c>
      <c r="B20" s="27">
        <f>D20+C20</f>
        <v>16</v>
      </c>
      <c r="C20" s="26">
        <v>16</v>
      </c>
      <c r="D20" s="29">
        <v>0</v>
      </c>
      <c r="E20" s="28">
        <f>G20+F20</f>
        <v>11</v>
      </c>
      <c r="F20" s="26">
        <v>11</v>
      </c>
      <c r="G20" s="28">
        <v>0</v>
      </c>
      <c r="H20" s="27">
        <f>J20+I20</f>
        <v>7</v>
      </c>
      <c r="I20" s="28">
        <v>7</v>
      </c>
      <c r="J20" s="28">
        <v>0</v>
      </c>
      <c r="K20" s="27">
        <f>M20+L20</f>
        <v>8</v>
      </c>
      <c r="L20" s="28">
        <v>8</v>
      </c>
      <c r="M20" s="28">
        <v>0</v>
      </c>
      <c r="N20" s="27">
        <f>P20+O20</f>
        <v>4</v>
      </c>
      <c r="O20" s="28">
        <v>4</v>
      </c>
      <c r="P20" s="28">
        <v>0</v>
      </c>
      <c r="Q20" s="2" t="s">
        <v>26</v>
      </c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</row>
    <row r="21" spans="1:126" ht="18" customHeight="1">
      <c r="A21" s="8" t="s">
        <v>28</v>
      </c>
      <c r="B21" s="27">
        <f t="shared" ref="B21:B32" si="5">D21+C21</f>
        <v>12</v>
      </c>
      <c r="C21" s="26">
        <v>12</v>
      </c>
      <c r="D21" s="29">
        <v>0</v>
      </c>
      <c r="E21" s="28">
        <f t="shared" ref="E21:E32" si="6">G21+F21</f>
        <v>15</v>
      </c>
      <c r="F21" s="26">
        <v>11</v>
      </c>
      <c r="G21" s="28">
        <v>4</v>
      </c>
      <c r="H21" s="27">
        <f t="shared" ref="H21:H32" si="7">J21+I21</f>
        <v>3</v>
      </c>
      <c r="I21" s="28">
        <v>2</v>
      </c>
      <c r="J21" s="28">
        <v>1</v>
      </c>
      <c r="K21" s="27">
        <f t="shared" ref="K21:K32" si="8">M21+L21</f>
        <v>4</v>
      </c>
      <c r="L21" s="28">
        <v>3</v>
      </c>
      <c r="M21" s="28">
        <v>1</v>
      </c>
      <c r="N21" s="27">
        <f t="shared" ref="N21:N32" si="9">P21+O21</f>
        <v>7</v>
      </c>
      <c r="O21" s="28">
        <v>6</v>
      </c>
      <c r="P21" s="28">
        <v>1</v>
      </c>
      <c r="Q21" s="2" t="s">
        <v>29</v>
      </c>
      <c r="BO21" s="31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</row>
    <row r="22" spans="1:126" s="33" customFormat="1" ht="18" customHeight="1">
      <c r="A22" s="8" t="s">
        <v>31</v>
      </c>
      <c r="B22" s="27">
        <f t="shared" si="5"/>
        <v>6</v>
      </c>
      <c r="C22" s="26">
        <v>6</v>
      </c>
      <c r="D22" s="29">
        <v>0</v>
      </c>
      <c r="E22" s="28">
        <f t="shared" si="6"/>
        <v>0</v>
      </c>
      <c r="F22" s="26">
        <v>0</v>
      </c>
      <c r="G22" s="28">
        <v>0</v>
      </c>
      <c r="H22" s="27">
        <f t="shared" si="7"/>
        <v>0</v>
      </c>
      <c r="I22" s="28">
        <v>0</v>
      </c>
      <c r="J22" s="28">
        <v>0</v>
      </c>
      <c r="K22" s="27">
        <f t="shared" si="8"/>
        <v>0</v>
      </c>
      <c r="L22" s="28">
        <v>0</v>
      </c>
      <c r="M22" s="28">
        <v>0</v>
      </c>
      <c r="N22" s="27">
        <f t="shared" si="9"/>
        <v>0</v>
      </c>
      <c r="O22" s="28">
        <v>0</v>
      </c>
      <c r="P22" s="28">
        <v>0</v>
      </c>
      <c r="Q22" s="2" t="s">
        <v>32</v>
      </c>
    </row>
    <row r="23" spans="1:126" s="3" customFormat="1" ht="18" customHeight="1">
      <c r="A23" s="8" t="s">
        <v>33</v>
      </c>
      <c r="B23" s="27">
        <f t="shared" si="5"/>
        <v>1</v>
      </c>
      <c r="C23" s="26">
        <v>1</v>
      </c>
      <c r="D23" s="29">
        <v>0</v>
      </c>
      <c r="E23" s="28">
        <f t="shared" si="6"/>
        <v>3</v>
      </c>
      <c r="F23" s="26">
        <v>3</v>
      </c>
      <c r="G23" s="28">
        <v>0</v>
      </c>
      <c r="H23" s="27">
        <f t="shared" si="7"/>
        <v>4</v>
      </c>
      <c r="I23" s="28">
        <v>4</v>
      </c>
      <c r="J23" s="28">
        <v>0</v>
      </c>
      <c r="K23" s="27">
        <f t="shared" si="8"/>
        <v>0</v>
      </c>
      <c r="L23" s="28">
        <v>0</v>
      </c>
      <c r="M23" s="28">
        <v>0</v>
      </c>
      <c r="N23" s="27">
        <f t="shared" si="9"/>
        <v>4</v>
      </c>
      <c r="O23" s="28">
        <v>4</v>
      </c>
      <c r="P23" s="28">
        <v>0</v>
      </c>
      <c r="Q23" s="2" t="s">
        <v>34</v>
      </c>
    </row>
    <row r="24" spans="1:126" s="3" customFormat="1" ht="18" customHeight="1">
      <c r="A24" s="8" t="s">
        <v>23</v>
      </c>
      <c r="B24" s="27">
        <f t="shared" si="5"/>
        <v>4</v>
      </c>
      <c r="C24" s="26">
        <v>3</v>
      </c>
      <c r="D24" s="29">
        <v>1</v>
      </c>
      <c r="E24" s="28">
        <f t="shared" si="6"/>
        <v>3</v>
      </c>
      <c r="F24" s="26">
        <v>0</v>
      </c>
      <c r="G24" s="28">
        <v>3</v>
      </c>
      <c r="H24" s="27">
        <f t="shared" si="7"/>
        <v>0</v>
      </c>
      <c r="I24" s="28">
        <v>0</v>
      </c>
      <c r="J24" s="28">
        <v>0</v>
      </c>
      <c r="K24" s="27">
        <f t="shared" si="8"/>
        <v>1</v>
      </c>
      <c r="L24" s="28">
        <v>1</v>
      </c>
      <c r="M24" s="28">
        <v>0</v>
      </c>
      <c r="N24" s="27">
        <f t="shared" si="9"/>
        <v>1</v>
      </c>
      <c r="O24" s="28">
        <v>0</v>
      </c>
      <c r="P24" s="28">
        <v>1</v>
      </c>
      <c r="Q24" s="2" t="s">
        <v>35</v>
      </c>
    </row>
    <row r="25" spans="1:126" s="3" customFormat="1" ht="18" customHeight="1">
      <c r="A25" s="8" t="s">
        <v>22</v>
      </c>
      <c r="B25" s="27">
        <f t="shared" si="5"/>
        <v>19</v>
      </c>
      <c r="C25" s="26">
        <v>15</v>
      </c>
      <c r="D25" s="29">
        <v>4</v>
      </c>
      <c r="E25" s="28">
        <f t="shared" si="6"/>
        <v>9</v>
      </c>
      <c r="F25" s="26">
        <v>8</v>
      </c>
      <c r="G25" s="28">
        <v>1</v>
      </c>
      <c r="H25" s="27">
        <f t="shared" si="7"/>
        <v>13</v>
      </c>
      <c r="I25" s="28">
        <v>10</v>
      </c>
      <c r="J25" s="28">
        <v>3</v>
      </c>
      <c r="K25" s="27">
        <f t="shared" si="8"/>
        <v>7</v>
      </c>
      <c r="L25" s="28">
        <v>5</v>
      </c>
      <c r="M25" s="28">
        <v>2</v>
      </c>
      <c r="N25" s="27">
        <f t="shared" si="9"/>
        <v>7</v>
      </c>
      <c r="O25" s="28">
        <v>6</v>
      </c>
      <c r="P25" s="28">
        <v>1</v>
      </c>
      <c r="Q25" s="2" t="s">
        <v>36</v>
      </c>
    </row>
    <row r="26" spans="1:126" s="3" customFormat="1" ht="18" customHeight="1">
      <c r="A26" s="8" t="s">
        <v>30</v>
      </c>
      <c r="B26" s="27">
        <f t="shared" si="5"/>
        <v>95</v>
      </c>
      <c r="C26" s="26">
        <v>87</v>
      </c>
      <c r="D26" s="29">
        <v>8</v>
      </c>
      <c r="E26" s="28">
        <f t="shared" si="6"/>
        <v>54</v>
      </c>
      <c r="F26" s="26">
        <v>52</v>
      </c>
      <c r="G26" s="28">
        <v>2</v>
      </c>
      <c r="H26" s="27">
        <f t="shared" si="7"/>
        <v>39</v>
      </c>
      <c r="I26" s="28">
        <v>36</v>
      </c>
      <c r="J26" s="28">
        <v>3</v>
      </c>
      <c r="K26" s="27">
        <f t="shared" si="8"/>
        <v>39</v>
      </c>
      <c r="L26" s="28">
        <v>37</v>
      </c>
      <c r="M26" s="28">
        <v>2</v>
      </c>
      <c r="N26" s="27">
        <f t="shared" si="9"/>
        <v>48</v>
      </c>
      <c r="O26" s="28">
        <v>45</v>
      </c>
      <c r="P26" s="28">
        <v>3</v>
      </c>
      <c r="Q26" s="2" t="s">
        <v>37</v>
      </c>
    </row>
    <row r="27" spans="1:126" s="3" customFormat="1" ht="18" customHeight="1">
      <c r="A27" s="8" t="s">
        <v>38</v>
      </c>
      <c r="B27" s="27">
        <f t="shared" si="5"/>
        <v>13</v>
      </c>
      <c r="C27" s="26">
        <v>9</v>
      </c>
      <c r="D27" s="29">
        <v>4</v>
      </c>
      <c r="E27" s="28">
        <f t="shared" si="6"/>
        <v>7</v>
      </c>
      <c r="F27" s="26">
        <v>7</v>
      </c>
      <c r="G27" s="28">
        <v>0</v>
      </c>
      <c r="H27" s="27">
        <f t="shared" si="7"/>
        <v>15</v>
      </c>
      <c r="I27" s="28">
        <v>9</v>
      </c>
      <c r="J27" s="28">
        <v>6</v>
      </c>
      <c r="K27" s="27">
        <f t="shared" si="8"/>
        <v>8</v>
      </c>
      <c r="L27" s="28">
        <v>5</v>
      </c>
      <c r="M27" s="28">
        <v>3</v>
      </c>
      <c r="N27" s="27">
        <f t="shared" si="9"/>
        <v>5</v>
      </c>
      <c r="O27" s="28">
        <v>5</v>
      </c>
      <c r="P27" s="28">
        <v>0</v>
      </c>
      <c r="Q27" s="2" t="s">
        <v>39</v>
      </c>
    </row>
    <row r="28" spans="1:126" s="3" customFormat="1" ht="18" customHeight="1">
      <c r="A28" s="8" t="s">
        <v>40</v>
      </c>
      <c r="B28" s="27">
        <f t="shared" si="5"/>
        <v>13</v>
      </c>
      <c r="C28" s="26">
        <v>9</v>
      </c>
      <c r="D28" s="29">
        <v>4</v>
      </c>
      <c r="E28" s="28">
        <f t="shared" si="6"/>
        <v>5</v>
      </c>
      <c r="F28" s="26">
        <v>5</v>
      </c>
      <c r="G28" s="28">
        <v>0</v>
      </c>
      <c r="H28" s="27">
        <f t="shared" si="7"/>
        <v>1</v>
      </c>
      <c r="I28" s="28">
        <v>1</v>
      </c>
      <c r="J28" s="28">
        <v>0</v>
      </c>
      <c r="K28" s="27">
        <f t="shared" si="8"/>
        <v>3</v>
      </c>
      <c r="L28" s="28">
        <v>3</v>
      </c>
      <c r="M28" s="28">
        <v>0</v>
      </c>
      <c r="N28" s="27">
        <f t="shared" si="9"/>
        <v>6</v>
      </c>
      <c r="O28" s="28">
        <v>6</v>
      </c>
      <c r="P28" s="28">
        <v>0</v>
      </c>
      <c r="Q28" s="2" t="s">
        <v>41</v>
      </c>
    </row>
    <row r="29" spans="1:126" s="3" customFormat="1" ht="18" customHeight="1">
      <c r="A29" s="8" t="s">
        <v>14</v>
      </c>
      <c r="B29" s="27">
        <f t="shared" si="5"/>
        <v>108</v>
      </c>
      <c r="C29" s="26">
        <v>104</v>
      </c>
      <c r="D29" s="29">
        <v>4</v>
      </c>
      <c r="E29" s="28">
        <f t="shared" si="6"/>
        <v>65</v>
      </c>
      <c r="F29" s="26">
        <v>63</v>
      </c>
      <c r="G29" s="28">
        <v>2</v>
      </c>
      <c r="H29" s="27">
        <f t="shared" si="7"/>
        <v>61</v>
      </c>
      <c r="I29" s="28">
        <v>58</v>
      </c>
      <c r="J29" s="28">
        <v>3</v>
      </c>
      <c r="K29" s="27">
        <f t="shared" si="8"/>
        <v>46</v>
      </c>
      <c r="L29" s="28">
        <v>46</v>
      </c>
      <c r="M29" s="28">
        <v>0</v>
      </c>
      <c r="N29" s="27">
        <f t="shared" si="9"/>
        <v>79</v>
      </c>
      <c r="O29" s="28">
        <v>54</v>
      </c>
      <c r="P29" s="28">
        <v>25</v>
      </c>
      <c r="Q29" s="2" t="s">
        <v>42</v>
      </c>
    </row>
    <row r="30" spans="1:126" s="3" customFormat="1" ht="30" customHeight="1">
      <c r="A30" s="9" t="s">
        <v>43</v>
      </c>
      <c r="B30" s="27">
        <f t="shared" si="5"/>
        <v>34</v>
      </c>
      <c r="C30" s="26">
        <v>33</v>
      </c>
      <c r="D30" s="29">
        <v>1</v>
      </c>
      <c r="E30" s="28">
        <f t="shared" si="6"/>
        <v>38</v>
      </c>
      <c r="F30" s="26">
        <v>38</v>
      </c>
      <c r="G30" s="28">
        <v>0</v>
      </c>
      <c r="H30" s="27">
        <f t="shared" si="7"/>
        <v>31</v>
      </c>
      <c r="I30" s="28">
        <v>31</v>
      </c>
      <c r="J30" s="28">
        <v>0</v>
      </c>
      <c r="K30" s="27">
        <f t="shared" si="8"/>
        <v>10</v>
      </c>
      <c r="L30" s="28">
        <v>10</v>
      </c>
      <c r="M30" s="28">
        <v>0</v>
      </c>
      <c r="N30" s="27">
        <f t="shared" si="9"/>
        <v>1</v>
      </c>
      <c r="O30" s="28">
        <v>1</v>
      </c>
      <c r="P30" s="28">
        <v>0</v>
      </c>
      <c r="Q30" s="2" t="s">
        <v>44</v>
      </c>
    </row>
    <row r="31" spans="1:126" s="3" customFormat="1" ht="18" customHeight="1">
      <c r="A31" s="8" t="s">
        <v>45</v>
      </c>
      <c r="B31" s="27">
        <f t="shared" si="5"/>
        <v>11</v>
      </c>
      <c r="C31" s="26">
        <v>11</v>
      </c>
      <c r="D31" s="29">
        <v>0</v>
      </c>
      <c r="E31" s="28">
        <f t="shared" si="6"/>
        <v>9</v>
      </c>
      <c r="F31" s="26">
        <v>9</v>
      </c>
      <c r="G31" s="28">
        <v>0</v>
      </c>
      <c r="H31" s="27">
        <f t="shared" si="7"/>
        <v>12</v>
      </c>
      <c r="I31" s="28">
        <v>12</v>
      </c>
      <c r="J31" s="28">
        <v>0</v>
      </c>
      <c r="K31" s="27">
        <f t="shared" si="8"/>
        <v>8</v>
      </c>
      <c r="L31" s="28">
        <v>7</v>
      </c>
      <c r="M31" s="28">
        <v>1</v>
      </c>
      <c r="N31" s="27">
        <f t="shared" si="9"/>
        <v>7</v>
      </c>
      <c r="O31" s="28">
        <v>7</v>
      </c>
      <c r="P31" s="28">
        <v>0</v>
      </c>
      <c r="Q31" s="2" t="s">
        <v>46</v>
      </c>
    </row>
    <row r="32" spans="1:126" s="3" customFormat="1" ht="18" customHeight="1">
      <c r="A32" s="10" t="s">
        <v>6</v>
      </c>
      <c r="B32" s="35">
        <f t="shared" si="5"/>
        <v>300</v>
      </c>
      <c r="C32" s="36">
        <v>166</v>
      </c>
      <c r="D32" s="37">
        <v>134</v>
      </c>
      <c r="E32" s="38">
        <f t="shared" si="6"/>
        <v>283</v>
      </c>
      <c r="F32" s="36">
        <v>175</v>
      </c>
      <c r="G32" s="38">
        <v>108</v>
      </c>
      <c r="H32" s="35">
        <f t="shared" si="7"/>
        <v>199</v>
      </c>
      <c r="I32" s="38">
        <v>172</v>
      </c>
      <c r="J32" s="38">
        <v>27</v>
      </c>
      <c r="K32" s="35">
        <f t="shared" si="8"/>
        <v>169</v>
      </c>
      <c r="L32" s="38">
        <v>128</v>
      </c>
      <c r="M32" s="38">
        <v>41</v>
      </c>
      <c r="N32" s="35">
        <f t="shared" si="9"/>
        <v>917</v>
      </c>
      <c r="O32" s="38">
        <v>787</v>
      </c>
      <c r="P32" s="38">
        <v>130</v>
      </c>
      <c r="Q32" s="4" t="s">
        <v>24</v>
      </c>
    </row>
    <row r="33" spans="1:17" s="3" customFormat="1" ht="18" customHeight="1">
      <c r="A33" s="39" t="s">
        <v>47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11" t="s">
        <v>50</v>
      </c>
    </row>
    <row r="34" spans="1:17" s="3" customFormat="1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</row>
    <row r="35" spans="1:17" s="3" customFormat="1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</row>
    <row r="36" spans="1:17" s="3" customFormat="1"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</row>
    <row r="37" spans="1:17" s="3" customFormat="1">
      <c r="B37" s="40"/>
      <c r="C37" s="40"/>
      <c r="D37" s="41"/>
      <c r="E37" s="40"/>
      <c r="F37" s="40"/>
      <c r="G37" s="41"/>
      <c r="H37" s="40"/>
      <c r="I37" s="40"/>
      <c r="J37" s="41"/>
      <c r="K37" s="40"/>
      <c r="L37" s="40"/>
      <c r="M37" s="41"/>
      <c r="N37" s="40"/>
      <c r="O37" s="40"/>
      <c r="P37" s="41"/>
    </row>
    <row r="38" spans="1:17" s="3" customFormat="1"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</row>
    <row r="39" spans="1:17" s="3" customFormat="1"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</row>
    <row r="40" spans="1:17" s="3" customFormat="1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</row>
    <row r="41" spans="1:17" s="3" customFormat="1"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</row>
    <row r="42" spans="1:17" s="3" customFormat="1"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</row>
    <row r="43" spans="1:17" s="3" customFormat="1"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</row>
    <row r="44" spans="1:17" s="3" customFormat="1"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</row>
    <row r="45" spans="1:17" s="3" customFormat="1"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</row>
    <row r="46" spans="1:17" s="3" customFormat="1"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</row>
    <row r="47" spans="1:17" s="3" customFormat="1"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</row>
    <row r="48" spans="1:17" s="3" customFormat="1"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</row>
    <row r="49" spans="2:16" s="3" customFormat="1"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</row>
    <row r="50" spans="2:16" s="3" customFormat="1"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</row>
    <row r="51" spans="2:16" s="3" customFormat="1"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</row>
    <row r="52" spans="2:16" s="3" customFormat="1"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</row>
    <row r="53" spans="2:16" s="3" customFormat="1"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</row>
    <row r="54" spans="2:16" s="3" customFormat="1"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</row>
    <row r="55" spans="2:16" s="3" customFormat="1"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</row>
    <row r="56" spans="2:16" s="3" customFormat="1"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</row>
    <row r="57" spans="2:16" s="3" customFormat="1"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</row>
    <row r="58" spans="2:16" s="3" customFormat="1"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</row>
    <row r="59" spans="2:16" s="3" customFormat="1"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</row>
    <row r="60" spans="2:16" s="3" customFormat="1"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</row>
    <row r="61" spans="2:16" s="3" customFormat="1"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</row>
    <row r="62" spans="2:16" s="3" customFormat="1"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</row>
    <row r="63" spans="2:16" s="3" customFormat="1"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</row>
    <row r="64" spans="2:16" s="3" customFormat="1"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</row>
    <row r="65" spans="2:16" s="3" customFormat="1"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</row>
    <row r="66" spans="2:16" s="3" customFormat="1"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</row>
    <row r="67" spans="2:16" s="3" customFormat="1"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</row>
    <row r="68" spans="2:16" s="3" customFormat="1"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</row>
    <row r="69" spans="2:16" s="3" customFormat="1"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</row>
    <row r="70" spans="2:16" s="3" customFormat="1"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</row>
    <row r="71" spans="2:16" s="3" customFormat="1"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</row>
    <row r="72" spans="2:16" s="3" customFormat="1"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</row>
    <row r="73" spans="2:16" s="3" customFormat="1"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</row>
    <row r="74" spans="2:16" s="3" customFormat="1"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</row>
    <row r="75" spans="2:16" s="3" customFormat="1"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</row>
    <row r="76" spans="2:16" s="3" customFormat="1"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</row>
    <row r="77" spans="2:16" s="3" customFormat="1"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</row>
    <row r="78" spans="2:16" s="3" customFormat="1"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</row>
    <row r="79" spans="2:16" s="3" customFormat="1"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</row>
    <row r="80" spans="2:16" s="3" customFormat="1"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</row>
    <row r="81" spans="2:16" s="3" customFormat="1"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</row>
    <row r="82" spans="2:16" s="3" customFormat="1"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</row>
    <row r="83" spans="2:16" s="3" customFormat="1"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</row>
    <row r="84" spans="2:16" s="3" customFormat="1"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</row>
    <row r="85" spans="2:16" s="3" customFormat="1"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</row>
    <row r="86" spans="2:16" s="3" customFormat="1"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</row>
    <row r="87" spans="2:16" s="3" customFormat="1"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</row>
    <row r="88" spans="2:16" s="3" customFormat="1"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</row>
    <row r="89" spans="2:16" s="3" customFormat="1"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</row>
    <row r="90" spans="2:16" s="3" customFormat="1"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</row>
    <row r="91" spans="2:16" s="3" customFormat="1"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</row>
    <row r="92" spans="2:16" s="3" customFormat="1"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</row>
    <row r="93" spans="2:16" s="3" customFormat="1"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</row>
    <row r="94" spans="2:16" s="3" customFormat="1"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</row>
    <row r="95" spans="2:16" s="3" customFormat="1"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</row>
    <row r="96" spans="2:16" s="3" customFormat="1"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</row>
    <row r="97" spans="2:16" s="3" customFormat="1"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</row>
    <row r="98" spans="2:16" s="3" customFormat="1"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</row>
    <row r="99" spans="2:16" s="3" customFormat="1"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</row>
    <row r="100" spans="2:16" s="3" customFormat="1"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</row>
    <row r="101" spans="2:16" s="3" customFormat="1"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</row>
    <row r="102" spans="2:16" s="3" customFormat="1"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</row>
    <row r="103" spans="2:16" s="3" customFormat="1"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</row>
    <row r="104" spans="2:16" s="3" customFormat="1"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</row>
    <row r="105" spans="2:16" s="3" customFormat="1"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</row>
    <row r="106" spans="2:16" s="3" customFormat="1"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</row>
    <row r="107" spans="2:16" s="3" customFormat="1"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</row>
    <row r="108" spans="2:16" s="3" customFormat="1"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</row>
    <row r="109" spans="2:16" s="3" customFormat="1"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</row>
    <row r="110" spans="2:16" s="3" customFormat="1"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</row>
    <row r="111" spans="2:16" s="3" customFormat="1"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</row>
    <row r="112" spans="2:16" s="3" customFormat="1"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</row>
    <row r="113" spans="2:16" s="3" customFormat="1"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</row>
    <row r="114" spans="2:16" s="3" customFormat="1"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</row>
    <row r="115" spans="2:16" s="3" customFormat="1"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</row>
    <row r="116" spans="2:16" s="3" customFormat="1"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</row>
    <row r="117" spans="2:16" s="3" customFormat="1"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</row>
    <row r="118" spans="2:16" s="3" customFormat="1"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</row>
    <row r="119" spans="2:16" s="3" customFormat="1"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</row>
    <row r="120" spans="2:16" s="3" customFormat="1"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</row>
    <row r="121" spans="2:16" s="3" customFormat="1"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</row>
    <row r="122" spans="2:16" s="3" customFormat="1"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</row>
    <row r="123" spans="2:16" s="3" customFormat="1"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</row>
    <row r="124" spans="2:16" s="3" customFormat="1"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</row>
    <row r="125" spans="2:16" s="3" customFormat="1"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</row>
    <row r="126" spans="2:16" s="3" customFormat="1"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</row>
    <row r="127" spans="2:16" s="3" customFormat="1"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</row>
    <row r="128" spans="2:16" s="3" customFormat="1"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</row>
    <row r="129" spans="2:16" s="3" customFormat="1"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</row>
    <row r="130" spans="2:16" s="3" customFormat="1"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</row>
    <row r="131" spans="2:16" s="3" customFormat="1"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</row>
    <row r="132" spans="2:16" s="3" customFormat="1"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</row>
    <row r="133" spans="2:16" s="3" customFormat="1"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</row>
    <row r="134" spans="2:16" s="3" customFormat="1"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</row>
    <row r="135" spans="2:16" s="3" customFormat="1"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</row>
    <row r="136" spans="2:16" s="3" customFormat="1"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</row>
    <row r="137" spans="2:16" s="3" customFormat="1"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</row>
    <row r="138" spans="2:16" s="3" customFormat="1"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</row>
    <row r="139" spans="2:16" s="3" customFormat="1"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</row>
    <row r="140" spans="2:16" s="3" customFormat="1"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</row>
    <row r="141" spans="2:16" s="3" customFormat="1"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</row>
    <row r="142" spans="2:16" s="3" customFormat="1"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</row>
    <row r="143" spans="2:16" s="3" customFormat="1"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</row>
    <row r="144" spans="2:16" s="3" customFormat="1"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</row>
    <row r="145" spans="2:16" s="3" customFormat="1"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</row>
    <row r="146" spans="2:16" s="3" customFormat="1"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</row>
    <row r="147" spans="2:16" s="3" customFormat="1"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</row>
    <row r="148" spans="2:16" s="3" customFormat="1"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</row>
    <row r="149" spans="2:16" s="3" customFormat="1"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</row>
    <row r="150" spans="2:16" s="3" customFormat="1"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</row>
    <row r="151" spans="2:16" s="3" customFormat="1"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</row>
    <row r="152" spans="2:16" s="3" customFormat="1"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</row>
    <row r="153" spans="2:16" s="3" customFormat="1"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</row>
    <row r="154" spans="2:16" s="3" customFormat="1"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</row>
    <row r="155" spans="2:16" s="3" customFormat="1"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</row>
    <row r="156" spans="2:16" s="3" customFormat="1"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</row>
    <row r="157" spans="2:16" s="3" customFormat="1"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</row>
    <row r="158" spans="2:16" s="3" customFormat="1"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</row>
    <row r="159" spans="2:16" s="3" customFormat="1"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</row>
    <row r="160" spans="2:16" s="3" customFormat="1"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</row>
    <row r="161" spans="2:16" s="3" customFormat="1"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</row>
    <row r="162" spans="2:16" s="3" customFormat="1"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</row>
    <row r="163" spans="2:16" s="3" customFormat="1"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</row>
    <row r="164" spans="2:16" s="3" customFormat="1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</row>
    <row r="165" spans="2:16" s="3" customFormat="1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</row>
    <row r="166" spans="2:16" s="3" customFormat="1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</row>
    <row r="167" spans="2:16" s="3" customFormat="1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</row>
    <row r="168" spans="2:16" s="3" customFormat="1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</row>
    <row r="169" spans="2:16" s="3" customFormat="1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</row>
    <row r="170" spans="2:16" s="3" customFormat="1"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</row>
    <row r="171" spans="2:16" s="3" customFormat="1"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</row>
    <row r="172" spans="2:16" s="3" customFormat="1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</row>
    <row r="173" spans="2:16" s="3" customFormat="1"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</row>
    <row r="174" spans="2:16" s="3" customFormat="1"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</row>
    <row r="175" spans="2:16" s="3" customFormat="1"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</row>
    <row r="176" spans="2:16" s="3" customFormat="1"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</row>
    <row r="177" spans="2:16" s="3" customFormat="1"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</row>
    <row r="178" spans="2:16" s="3" customFormat="1"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</row>
    <row r="179" spans="2:16" s="3" customFormat="1"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</row>
    <row r="180" spans="2:16" s="3" customFormat="1"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</row>
    <row r="181" spans="2:16" s="3" customFormat="1"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</row>
    <row r="182" spans="2:16" s="3" customFormat="1"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</row>
    <row r="183" spans="2:16" s="3" customFormat="1"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</row>
    <row r="184" spans="2:16" s="3" customFormat="1"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</row>
    <row r="185" spans="2:16" s="3" customFormat="1"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</row>
    <row r="186" spans="2:16" s="3" customFormat="1"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</row>
    <row r="187" spans="2:16" s="3" customFormat="1"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</row>
    <row r="188" spans="2:16" s="3" customFormat="1"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</row>
    <row r="189" spans="2:16" s="3" customFormat="1"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</row>
    <row r="190" spans="2:16" s="3" customFormat="1"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</row>
    <row r="191" spans="2:16" s="3" customFormat="1"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</row>
    <row r="192" spans="2:16" s="3" customFormat="1"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</row>
    <row r="193" spans="2:16" s="3" customFormat="1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</row>
    <row r="194" spans="2:16" s="3" customFormat="1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</row>
    <row r="195" spans="2:16" s="3" customFormat="1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</row>
    <row r="196" spans="2:16" s="3" customFormat="1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</row>
    <row r="197" spans="2:16" s="3" customFormat="1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</row>
    <row r="198" spans="2:16" s="3" customFormat="1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</row>
    <row r="199" spans="2:16" s="3" customFormat="1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</row>
    <row r="200" spans="2:16" s="3" customFormat="1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</row>
    <row r="201" spans="2:16" s="3" customFormat="1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</row>
    <row r="202" spans="2:16" s="3" customFormat="1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</row>
    <row r="203" spans="2:16" s="3" customFormat="1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</row>
    <row r="204" spans="2:16" s="3" customFormat="1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</row>
    <row r="205" spans="2:16" s="3" customFormat="1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</row>
    <row r="206" spans="2:16" s="3" customFormat="1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</row>
    <row r="207" spans="2:16" s="3" customFormat="1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</row>
    <row r="208" spans="2:16" s="3" customFormat="1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</row>
    <row r="209" spans="2:16" s="3" customFormat="1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</row>
    <row r="210" spans="2:16" s="3" customFormat="1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</row>
    <row r="211" spans="2:16" s="3" customFormat="1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</row>
    <row r="212" spans="2:16" s="3" customFormat="1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</row>
    <row r="213" spans="2:16" s="3" customFormat="1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</row>
    <row r="214" spans="2:16" s="3" customFormat="1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</row>
    <row r="215" spans="2:16" s="3" customFormat="1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</row>
    <row r="216" spans="2:16" s="3" customFormat="1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</row>
    <row r="217" spans="2:16" s="3" customFormat="1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</row>
    <row r="218" spans="2:16" s="3" customFormat="1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</row>
    <row r="219" spans="2:16" s="3" customFormat="1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</row>
    <row r="220" spans="2:16" s="3" customFormat="1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</row>
    <row r="221" spans="2:16" s="3" customFormat="1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</row>
    <row r="222" spans="2:16" s="3" customFormat="1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</row>
    <row r="223" spans="2:16" s="3" customFormat="1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</row>
    <row r="224" spans="2:16" s="3" customFormat="1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</row>
    <row r="225" spans="2:16" s="3" customFormat="1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</row>
    <row r="226" spans="2:16" s="3" customFormat="1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</row>
    <row r="227" spans="2:16" s="3" customFormat="1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</row>
    <row r="228" spans="2:16" s="3" customFormat="1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</row>
    <row r="229" spans="2:16" s="3" customFormat="1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</row>
    <row r="230" spans="2:16" s="3" customFormat="1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</row>
    <row r="231" spans="2:16" s="3" customFormat="1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</row>
    <row r="232" spans="2:16" s="3" customFormat="1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</row>
    <row r="233" spans="2:16" s="3" customFormat="1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</row>
    <row r="234" spans="2:16" s="3" customFormat="1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</row>
    <row r="235" spans="2:16" s="3" customFormat="1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</row>
    <row r="236" spans="2:16" s="3" customFormat="1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</row>
    <row r="237" spans="2:16" s="3" customFormat="1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</row>
    <row r="238" spans="2:16" s="3" customFormat="1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</row>
    <row r="239" spans="2:16" s="3" customFormat="1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</row>
    <row r="240" spans="2:16" s="3" customFormat="1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</row>
    <row r="241" spans="2:16" s="3" customFormat="1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</row>
    <row r="242" spans="2:16" s="3" customFormat="1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</row>
    <row r="243" spans="2:16" s="3" customFormat="1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</row>
    <row r="244" spans="2:16" s="3" customFormat="1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</row>
    <row r="245" spans="2:16" s="3" customFormat="1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</row>
    <row r="246" spans="2:16" s="3" customFormat="1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</row>
    <row r="247" spans="2:16" s="3" customFormat="1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</row>
    <row r="248" spans="2:16" s="3" customFormat="1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</row>
    <row r="249" spans="2:16" s="3" customFormat="1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</row>
    <row r="250" spans="2:16" s="3" customFormat="1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</row>
    <row r="251" spans="2:16" s="3" customFormat="1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</row>
    <row r="252" spans="2:16" s="3" customFormat="1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</row>
    <row r="253" spans="2:16" s="3" customFormat="1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</row>
    <row r="254" spans="2:16" s="3" customFormat="1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</row>
    <row r="255" spans="2:16" s="3" customFormat="1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</row>
    <row r="256" spans="2:16" s="3" customFormat="1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</row>
    <row r="257" spans="2:16" s="3" customFormat="1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</row>
    <row r="258" spans="2:16" s="3" customFormat="1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</row>
    <row r="259" spans="2:16" s="3" customFormat="1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</row>
    <row r="260" spans="2:16" s="3" customFormat="1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</row>
    <row r="261" spans="2:16" s="3" customFormat="1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</row>
    <row r="262" spans="2:16" s="3" customFormat="1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</row>
    <row r="263" spans="2:16" s="3" customFormat="1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</row>
    <row r="264" spans="2:16" s="3" customFormat="1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</row>
    <row r="265" spans="2:16" s="3" customFormat="1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</row>
    <row r="266" spans="2:16" s="3" customFormat="1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</row>
    <row r="267" spans="2:16" s="3" customFormat="1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</row>
    <row r="268" spans="2:16" s="3" customFormat="1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</row>
    <row r="269" spans="2:16" s="3" customFormat="1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</row>
    <row r="270" spans="2:16" s="3" customFormat="1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</row>
    <row r="271" spans="2:16" s="3" customFormat="1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</row>
    <row r="272" spans="2:16" s="3" customFormat="1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</row>
    <row r="273" spans="2:16" s="3" customFormat="1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</row>
    <row r="274" spans="2:16" s="3" customFormat="1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</row>
    <row r="275" spans="2:16" s="3" customFormat="1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</row>
    <row r="276" spans="2:16" s="3" customFormat="1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</row>
    <row r="277" spans="2:16" s="3" customFormat="1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</row>
    <row r="278" spans="2:16" s="3" customFormat="1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</row>
    <row r="279" spans="2:16" s="3" customFormat="1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</row>
    <row r="280" spans="2:16" s="3" customFormat="1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</row>
    <row r="281" spans="2:16" s="3" customFormat="1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</row>
    <row r="282" spans="2:16" s="3" customFormat="1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</row>
    <row r="283" spans="2:16" s="3" customFormat="1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</row>
    <row r="284" spans="2:16" s="3" customFormat="1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</row>
    <row r="285" spans="2:16" s="3" customFormat="1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</row>
    <row r="286" spans="2:16" s="3" customFormat="1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</row>
    <row r="287" spans="2:16" s="3" customFormat="1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</row>
    <row r="288" spans="2:16" s="3" customFormat="1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</row>
    <row r="289" spans="2:16" s="3" customFormat="1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</row>
    <row r="290" spans="2:16" s="3" customFormat="1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</row>
    <row r="291" spans="2:16" s="3" customFormat="1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</row>
    <row r="292" spans="2:16" s="3" customFormat="1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</row>
    <row r="293" spans="2:16" s="3" customFormat="1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</row>
    <row r="294" spans="2:16" s="3" customFormat="1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</row>
    <row r="295" spans="2:16" s="3" customFormat="1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</row>
    <row r="296" spans="2:16" s="3" customFormat="1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</row>
    <row r="297" spans="2:16" s="3" customFormat="1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</row>
    <row r="298" spans="2:16" s="3" customFormat="1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</row>
    <row r="299" spans="2:16" s="3" customFormat="1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</row>
    <row r="300" spans="2:16" s="3" customFormat="1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</row>
    <row r="301" spans="2:16" s="3" customFormat="1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</row>
    <row r="302" spans="2:16" s="3" customFormat="1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</row>
    <row r="303" spans="2:16" s="3" customFormat="1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</row>
    <row r="304" spans="2:16" s="3" customFormat="1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</row>
    <row r="305" spans="2:16" s="3" customFormat="1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</row>
    <row r="306" spans="2:16" s="3" customFormat="1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</row>
    <row r="307" spans="2:16" s="3" customFormat="1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</row>
    <row r="308" spans="2:16" s="3" customFormat="1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</row>
    <row r="309" spans="2:16" s="3" customFormat="1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</row>
    <row r="310" spans="2:16" s="3" customFormat="1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</row>
    <row r="311" spans="2:16" s="3" customFormat="1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</row>
    <row r="312" spans="2:16" s="3" customFormat="1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</row>
    <row r="313" spans="2:16" s="3" customFormat="1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</row>
    <row r="314" spans="2:16" s="3" customFormat="1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</row>
    <row r="315" spans="2:16" s="3" customFormat="1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</row>
    <row r="316" spans="2:16" s="3" customFormat="1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</row>
    <row r="317" spans="2:16" s="3" customFormat="1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</row>
    <row r="318" spans="2:16" s="3" customFormat="1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</row>
    <row r="319" spans="2:16" s="3" customFormat="1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</row>
    <row r="320" spans="2:16" s="3" customFormat="1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</row>
    <row r="321" spans="2:16" s="3" customFormat="1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</row>
    <row r="322" spans="2:16" s="3" customFormat="1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</row>
    <row r="323" spans="2:16" s="3" customFormat="1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</row>
    <row r="324" spans="2:16" s="3" customFormat="1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</row>
    <row r="325" spans="2:16" s="3" customFormat="1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</row>
    <row r="326" spans="2:16" s="3" customFormat="1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</row>
    <row r="327" spans="2:16" s="3" customFormat="1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</row>
    <row r="328" spans="2:16" s="3" customFormat="1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</row>
    <row r="329" spans="2:16" s="3" customFormat="1"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</row>
    <row r="330" spans="2:16" s="3" customFormat="1"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</row>
    <row r="331" spans="2:16" s="3" customFormat="1"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</row>
    <row r="332" spans="2:16" s="3" customFormat="1"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</row>
    <row r="333" spans="2:16" s="3" customFormat="1"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</row>
    <row r="334" spans="2:16" s="3" customFormat="1"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</row>
    <row r="335" spans="2:16" s="3" customFormat="1"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</row>
    <row r="336" spans="2:16" s="3" customFormat="1"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</row>
    <row r="337" spans="2:16" s="3" customFormat="1"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</row>
    <row r="338" spans="2:16" s="3" customFormat="1"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</row>
    <row r="339" spans="2:16" s="3" customFormat="1"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</row>
    <row r="340" spans="2:16" s="3" customFormat="1"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</row>
    <row r="341" spans="2:16" s="3" customFormat="1"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</row>
    <row r="342" spans="2:16" s="3" customFormat="1"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</row>
    <row r="343" spans="2:16" s="3" customFormat="1"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</row>
    <row r="344" spans="2:16" s="3" customFormat="1"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</row>
    <row r="345" spans="2:16" s="3" customFormat="1"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</row>
    <row r="346" spans="2:16" s="3" customFormat="1"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</row>
    <row r="347" spans="2:16" s="3" customFormat="1"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</row>
    <row r="348" spans="2:16" s="3" customFormat="1"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</row>
    <row r="349" spans="2:16" s="3" customFormat="1"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</row>
    <row r="350" spans="2:16" s="3" customFormat="1"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</row>
    <row r="351" spans="2:16" s="3" customFormat="1"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</row>
    <row r="352" spans="2:16" s="3" customFormat="1"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</row>
    <row r="353" spans="2:16" s="3" customFormat="1"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</row>
    <row r="354" spans="2:16" s="3" customFormat="1"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</row>
    <row r="355" spans="2:16" s="3" customFormat="1"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</row>
    <row r="356" spans="2:16" s="3" customFormat="1"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</row>
    <row r="357" spans="2:16" s="3" customFormat="1"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</row>
    <row r="358" spans="2:16" s="3" customFormat="1"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</row>
    <row r="359" spans="2:16" s="3" customFormat="1"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</row>
    <row r="360" spans="2:16" s="3" customFormat="1"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</row>
    <row r="361" spans="2:16" s="3" customFormat="1"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</row>
    <row r="362" spans="2:16" s="3" customFormat="1"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</row>
    <row r="363" spans="2:16" s="3" customFormat="1"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</row>
    <row r="364" spans="2:16" s="3" customFormat="1"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</row>
    <row r="365" spans="2:16" s="3" customFormat="1"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</row>
    <row r="366" spans="2:16" s="3" customFormat="1"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</row>
    <row r="367" spans="2:16" s="3" customFormat="1"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</row>
    <row r="368" spans="2:16" s="3" customFormat="1"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</row>
    <row r="369" spans="1:17" s="3" customFormat="1"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</row>
    <row r="370" spans="1:17" s="3" customFormat="1"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</row>
    <row r="371" spans="1:17" s="3" customFormat="1"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</row>
    <row r="372" spans="1:17" s="3" customFormat="1"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</row>
    <row r="373" spans="1:17" s="3" customFormat="1"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</row>
    <row r="374" spans="1:17" s="3" customFormat="1"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</row>
    <row r="375" spans="1:17" s="3" customFormat="1"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</row>
    <row r="376" spans="1:17" s="3" customFormat="1"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</row>
    <row r="377" spans="1:17" s="3" customFormat="1"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</row>
    <row r="378" spans="1:17" s="3" customFormat="1"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</row>
    <row r="379" spans="1:17" s="3" customFormat="1"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</row>
    <row r="380" spans="1:17" s="3" customFormat="1"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</row>
    <row r="381" spans="1:17" s="3" customFormat="1"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</row>
    <row r="382" spans="1:17" s="3" customFormat="1">
      <c r="A382" s="1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1"/>
    </row>
  </sheetData>
  <mergeCells count="9">
    <mergeCell ref="B6:D6"/>
    <mergeCell ref="E6:G6"/>
    <mergeCell ref="H6:J6"/>
    <mergeCell ref="A1:Q1"/>
    <mergeCell ref="A2:Q2"/>
    <mergeCell ref="A4:A6"/>
    <mergeCell ref="Q4:Q6"/>
    <mergeCell ref="K6:M6"/>
    <mergeCell ref="N6:P6"/>
  </mergeCells>
  <pageMargins left="0.7" right="0.7" top="0.75" bottom="0.75" header="0.3" footer="0.3"/>
  <pageSetup scale="38" orientation="portrait" r:id="rId1"/>
  <colBreaks count="1" manualBreakCount="1">
    <brk id="18" max="1048575" man="1"/>
  </colBreaks>
  <ignoredErrors>
    <ignoredError sqref="I7:J7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8.17</vt:lpstr>
      <vt:lpstr>'8.17'!Print_Area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2021-09-28T04:20:57Z</cp:lastPrinted>
  <dcterms:created xsi:type="dcterms:W3CDTF">2019-06-30T04:22:49Z</dcterms:created>
  <dcterms:modified xsi:type="dcterms:W3CDTF">2021-09-28T04:21:09Z</dcterms:modified>
</cp:coreProperties>
</file>