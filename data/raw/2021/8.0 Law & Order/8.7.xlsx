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7" sheetId="7" r:id="rId1"/>
  </sheets>
  <definedNames>
    <definedName name="_xlnm.Print_Area" localSheetId="0">'8.7'!$A$1:$K$32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7" l="1"/>
  <c r="H8" i="7"/>
  <c r="H9" i="7"/>
  <c r="H10" i="7"/>
  <c r="H11" i="7"/>
  <c r="H12" i="7"/>
  <c r="H13" i="7"/>
  <c r="F6" i="7"/>
  <c r="I9" i="7" l="1"/>
  <c r="I8" i="7"/>
  <c r="I7" i="7"/>
  <c r="I6" i="7"/>
  <c r="I10" i="7"/>
  <c r="I13" i="7"/>
  <c r="I11" i="7"/>
  <c r="I12" i="7"/>
  <c r="E6" i="7" l="1"/>
  <c r="H6" i="7" s="1"/>
  <c r="D6" i="7" l="1"/>
  <c r="C6" i="7" l="1"/>
  <c r="B6" i="7"/>
</calcChain>
</file>

<file path=xl/sharedStrings.xml><?xml version="1.0" encoding="utf-8"?>
<sst xmlns="http://schemas.openxmlformats.org/spreadsheetml/2006/main" count="27" uniqueCount="27">
  <si>
    <t>Total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</si>
  <si>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</si>
  <si>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</si>
  <si>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</si>
  <si>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</si>
  <si>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ޖުމްލަ</t>
  </si>
  <si>
    <t xml:space="preserve">Type </t>
  </si>
  <si>
    <t>އިންސައްތަ</t>
  </si>
  <si>
    <t xml:space="preserve"> މައްސަލައިގެ ބާވަތް</t>
  </si>
  <si>
    <t>Percentage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</si>
  <si>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</si>
  <si>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</si>
  <si>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</si>
  <si>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</si>
  <si>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</si>
  <si>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</si>
  <si>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</si>
  <si>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</si>
  <si>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</si>
  <si>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</si>
  <si>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 entry)</t>
  </si>
  <si>
    <t>ފަޅާލައިގެންވަދެ ތަންތަނުން ކޮށްފައިވާ ވައްކަން</t>
  </si>
  <si>
    <t>Other theft</t>
  </si>
  <si>
    <t>އެހެނިހެން ވައްކަން</t>
  </si>
  <si>
    <t>%change over 2019</t>
  </si>
  <si>
    <t>Table 8.7:  THEFT CASES LOGGED BY TYPE, 2016 - 2020</t>
  </si>
  <si>
    <t>ތާވަލު 8.7: ހުށަހެޅިފައިވާ ވައްކަމުގެ މައްސަލަތަކުގެ ބާވަތް، 2016- 2020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</si>
</sst>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b/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/>
    <xf numFmtId="0" fontId="27" fillId="0" borderId="7" applyNumberFormat="0" applyFill="0" applyAlignment="0" applyProtection="0"/>
    <xf numFmtId="0" fontId="26" fillId="0" borderId="0"/>
    <xf numFmtId="0" fontId="26" fillId="0" borderId="0"/>
  </cellStyleXfs>
  <cellXfs count="53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8" fillId="2" borderId="0" xfId="0" applyNumberFormat="1" applyFont="1" applyFill="1"/>
    <xf numFmtId="164" fontId="5" fillId="2" borderId="0" xfId="0" applyNumberFormat="1" applyFont="1" applyFill="1" applyBorder="1" applyAlignment="1">
      <alignment vertical="center"/>
    </xf>
    <xf numFmtId="167" fontId="15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8" fillId="2" borderId="0" xfId="0" applyNumberFormat="1" applyFont="1" applyFill="1" applyBorder="1"/>
    <xf numFmtId="164" fontId="9" fillId="2" borderId="0" xfId="0" applyNumberFormat="1" applyFont="1" applyFill="1" applyBorder="1" applyAlignment="1" applyProtection="1">
      <alignment horizontal="right" vertical="center" indent="1"/>
    </xf>
    <xf numFmtId="164" fontId="9" fillId="2" borderId="4" xfId="0" applyNumberFormat="1" applyFont="1" applyFill="1" applyBorder="1" applyAlignment="1" applyProtection="1">
      <alignment horizontal="right" vertical="center" indent="1"/>
    </xf>
    <xf numFmtId="164" fontId="14" fillId="2" borderId="0" xfId="0" applyNumberFormat="1" applyFont="1" applyFill="1"/>
    <xf numFmtId="164" fontId="16" fillId="2" borderId="6" xfId="0" applyNumberFormat="1" applyFont="1" applyFill="1" applyBorder="1" applyAlignment="1" applyProtection="1">
      <alignment vertical="center"/>
    </xf>
    <xf numFmtId="164" fontId="12" fillId="2" borderId="0" xfId="0" applyNumberFormat="1" applyFont="1" applyFill="1" applyBorder="1"/>
    <xf numFmtId="164" fontId="21" fillId="2" borderId="0" xfId="0" applyNumberFormat="1" applyFont="1" applyFill="1" applyBorder="1" applyAlignment="1" applyProtection="1">
      <alignment horizontal="right" vertical="center"/>
    </xf>
    <xf numFmtId="164" fontId="20" fillId="2" borderId="0" xfId="0" applyNumberFormat="1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11" fillId="2" borderId="0" xfId="0" applyNumberFormat="1" applyFont="1" applyFill="1" applyBorder="1" applyAlignment="1">
      <alignment horizontal="left" vertical="center" indent="1"/>
    </xf>
    <xf numFmtId="164" fontId="8" fillId="2" borderId="0" xfId="0" applyNumberFormat="1" applyFont="1" applyFill="1" applyAlignment="1">
      <alignment vertical="center"/>
    </xf>
    <xf numFmtId="164" fontId="8" fillId="2" borderId="0" xfId="0" applyNumberFormat="1" applyFont="1" applyFill="1" applyBorder="1" applyAlignment="1">
      <alignment vertical="center"/>
    </xf>
    <xf numFmtId="164" fontId="11" fillId="2" borderId="4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0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>
      <alignment horizontal="center" vertical="top" wrapText="1"/>
    </xf>
    <xf numFmtId="164" fontId="6" fillId="2" borderId="0" xfId="0" applyNumberFormat="1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164" fontId="25" fillId="2" borderId="5" xfId="0" applyNumberFormat="1" applyFont="1" applyFill="1" applyBorder="1" applyAlignment="1" applyProtection="1">
      <alignment horizontal="right" vertical="center"/>
    </xf>
    <xf numFmtId="3" fontId="10" fillId="2" borderId="0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Border="1" applyAlignment="1">
      <alignment horizontal="right" vertical="center"/>
    </xf>
    <xf numFmtId="164" fontId="23" fillId="2" borderId="0" xfId="0" applyNumberFormat="1" applyFont="1" applyFill="1" applyBorder="1" applyAlignment="1">
      <alignment vertical="center"/>
    </xf>
    <xf numFmtId="3" fontId="13" fillId="2" borderId="0" xfId="0" applyNumberFormat="1" applyFont="1" applyFill="1" applyBorder="1" applyAlignment="1">
      <alignment horizontal="center" vertical="center"/>
    </xf>
    <xf numFmtId="3" fontId="13" fillId="2" borderId="4" xfId="0" applyNumberFormat="1" applyFont="1" applyFill="1" applyBorder="1" applyAlignment="1">
      <alignment horizontal="center" vertical="center"/>
    </xf>
    <xf numFmtId="164" fontId="28" fillId="2" borderId="6" xfId="0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Border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64" fontId="9" fillId="2" borderId="4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17" fillId="2" borderId="1" xfId="0" applyNumberFormat="1" applyFont="1" applyFill="1" applyBorder="1" applyAlignment="1">
      <alignment horizontal="center" vertical="center"/>
    </xf>
    <xf numFmtId="164" fontId="22" fillId="2" borderId="3" xfId="0" applyNumberFormat="1" applyFont="1" applyFill="1" applyBorder="1" applyAlignment="1" applyProtection="1">
      <alignment horizontal="right" vertical="center" wrapText="1"/>
    </xf>
    <xf numFmtId="164" fontId="22" fillId="2" borderId="0" xfId="0" applyNumberFormat="1" applyFont="1" applyFill="1" applyBorder="1" applyAlignment="1" applyProtection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3" fontId="10" fillId="2" borderId="9" xfId="0" applyNumberFormat="1" applyFont="1" applyFill="1" applyBorder="1" applyAlignment="1">
      <alignment horizontal="center" vertical="center"/>
    </xf>
  </cellXfs>
  <cellStyles count="9">
    <cellStyle name="1" xfId="8"/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39368213964375E-2"/>
          <c:y val="0.1772514214065041"/>
          <c:w val="0.90921450982037544"/>
          <c:h val="0.65020293544955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'8.7'!$C$3:$C$5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'8.7'!$C$7:$C$13</c:f>
              <c:numCache>
                <c:formatCode>#,##0</c:formatCode>
                <c:ptCount val="7"/>
                <c:pt idx="0">
                  <c:v>1217</c:v>
                </c:pt>
                <c:pt idx="1">
                  <c:v>666</c:v>
                </c:pt>
                <c:pt idx="2">
                  <c:v>606</c:v>
                </c:pt>
                <c:pt idx="3">
                  <c:v>237</c:v>
                </c:pt>
                <c:pt idx="4">
                  <c:v>135</c:v>
                </c:pt>
                <c:pt idx="5">
                  <c:v>174</c:v>
                </c:pt>
                <c:pt idx="6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32D-B48E-6D73FF7657F3}"/>
            </c:ext>
          </c:extLst>
        </c:ser>
        <c:ser>
          <c:idx val="1"/>
          <c:order val="1"/>
          <c:tx>
            <c:strRef>
              <c:f>'8.7'!$D$3:$D$5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'8.7'!$D$7:$D$13</c:f>
              <c:numCache>
                <c:formatCode>#,##0</c:formatCode>
                <c:ptCount val="7"/>
                <c:pt idx="0">
                  <c:v>1290</c:v>
                </c:pt>
                <c:pt idx="1">
                  <c:v>494</c:v>
                </c:pt>
                <c:pt idx="2">
                  <c:v>523</c:v>
                </c:pt>
                <c:pt idx="3">
                  <c:v>223</c:v>
                </c:pt>
                <c:pt idx="4">
                  <c:v>92</c:v>
                </c:pt>
                <c:pt idx="5">
                  <c:v>227</c:v>
                </c:pt>
                <c:pt idx="6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2-432D-B48E-6D73FF7657F3}"/>
            </c:ext>
          </c:extLst>
        </c:ser>
        <c:ser>
          <c:idx val="2"/>
          <c:order val="2"/>
          <c:tx>
            <c:strRef>
              <c:f>'8.7'!$E$3:$E$5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006664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'8.7'!$E$7:$E$13</c:f>
              <c:numCache>
                <c:formatCode>#,##0</c:formatCode>
                <c:ptCount val="7"/>
                <c:pt idx="0">
                  <c:v>1777</c:v>
                </c:pt>
                <c:pt idx="1">
                  <c:v>777</c:v>
                </c:pt>
                <c:pt idx="2">
                  <c:v>757</c:v>
                </c:pt>
                <c:pt idx="3">
                  <c:v>232</c:v>
                </c:pt>
                <c:pt idx="4">
                  <c:v>94</c:v>
                </c:pt>
                <c:pt idx="5">
                  <c:v>306</c:v>
                </c:pt>
                <c:pt idx="6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F-4895-86B0-AB7221C2C9A5}"/>
            </c:ext>
          </c:extLst>
        </c:ser>
        <c:ser>
          <c:idx val="3"/>
          <c:order val="3"/>
          <c:tx>
            <c:strRef>
              <c:f>'8.7'!$F$3:$F$5</c:f>
              <c:strCache>
                <c:ptCount val="3"/>
                <c:pt idx="0">
                  <c:v>2020 </c:v>
                </c:pt>
              </c:strCache>
            </c:strRef>
          </c:tx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'8.7'!$F$7:$F$13</c:f>
              <c:numCache>
                <c:formatCode>#,##0</c:formatCode>
                <c:ptCount val="7"/>
                <c:pt idx="0">
                  <c:v>1609</c:v>
                </c:pt>
                <c:pt idx="1">
                  <c:v>479</c:v>
                </c:pt>
                <c:pt idx="2">
                  <c:v>583</c:v>
                </c:pt>
                <c:pt idx="3">
                  <c:v>129</c:v>
                </c:pt>
                <c:pt idx="4">
                  <c:v>73</c:v>
                </c:pt>
                <c:pt idx="5">
                  <c:v>190</c:v>
                </c:pt>
                <c:pt idx="6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7-4B35-850D-DB92EBFA2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1680"/>
        <c:axId val="43833216"/>
      </c:barChart>
      <c:catAx>
        <c:axId val="43831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833216"/>
        <c:crosses val="autoZero"/>
        <c:auto val="1"/>
        <c:lblAlgn val="ctr"/>
        <c:lblOffset val="100"/>
        <c:noMultiLvlLbl val="0"/>
      </c:catAx>
      <c:valAx>
        <c:axId val="438332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831680"/>
        <c:crosses val="autoZero"/>
        <c:crossBetween val="between"/>
      </c:valAx>
      <c:spPr>
        <a:solidFill>
          <a:srgbClr val="EAFAFA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6471831941562161"/>
          <c:y val="0.22362185680227722"/>
          <c:w val="0.27056322877673084"/>
          <c:h val="7.629688052327049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15</xdr:row>
      <xdr:rowOff>76108</xdr:rowOff>
    </xdr:from>
    <xdr:to>
      <xdr:col>9</xdr:col>
      <xdr:colOff>809625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0.24457</cdr:x>
      <cdr:y>0.03962</cdr:y>
    </cdr:from>
    <cdr:to>
      <cdr:x>0.76552</cdr:x>
      <cdr:y>0.12581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8906" y="120008"/>
          <a:ext cx="3597469" cy="261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2017 - 2020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92D050"/>
  </sheetPr>
  <dimension ref="A1:R23"/>
  <sheetViews>
    <sheetView tabSelected="1" zoomScaleNormal="100" workbookViewId="0">
      <selection activeCell="L11" sqref="L11"/>
    </sheetView>
  </sheetViews>
  <sheetFormatPr defaultColWidth="9.140625" defaultRowHeight="15"/>
  <cols>
    <col min="1" max="1" width="34.140625" style="1" customWidth="1"/>
    <col min="2" max="6" width="9.7109375" style="1" customWidth="1"/>
    <col min="7" max="7" width="2.7109375" style="1" customWidth="1"/>
    <col min="8" max="8" width="15.5703125" style="1" customWidth="1"/>
    <col min="9" max="9" width="14.28515625" style="1" customWidth="1"/>
    <col min="10" max="10" width="34.5703125" style="1" customWidth="1"/>
    <col min="11" max="11" width="5.42578125" style="1" customWidth="1"/>
    <col min="12" max="12" width="22.140625" style="1" bestFit="1" customWidth="1"/>
    <col min="13" max="16384" width="9.140625" style="1"/>
  </cols>
  <sheetData>
    <row r="1" spans="1:18" ht="21">
      <c r="A1" s="43" t="s">
        <v>26</v>
      </c>
      <c r="B1" s="43"/>
      <c r="C1" s="43"/>
      <c r="D1" s="43"/>
      <c r="E1" s="43"/>
      <c r="F1" s="43"/>
      <c r="G1" s="43"/>
      <c r="H1" s="43"/>
      <c r="I1" s="43"/>
      <c r="J1" s="43"/>
    </row>
    <row r="2" spans="1:18" ht="15.75" customHeight="1">
      <c r="A2" s="41" t="s">
        <v>25</v>
      </c>
      <c r="B2" s="41"/>
      <c r="C2" s="41"/>
      <c r="D2" s="41"/>
      <c r="E2" s="42"/>
      <c r="F2" s="42"/>
      <c r="G2" s="41"/>
      <c r="H2" s="42"/>
      <c r="I2" s="42"/>
      <c r="J2" s="41"/>
      <c r="L2" s="2"/>
    </row>
    <row r="3" spans="1:18" ht="17.25">
      <c r="A3" s="49" t="s">
        <v>6</v>
      </c>
      <c r="B3" s="46">
        <v>2016</v>
      </c>
      <c r="C3" s="46">
        <v>2017</v>
      </c>
      <c r="D3" s="46">
        <v>2018</v>
      </c>
      <c r="E3" s="46">
        <v>2019</v>
      </c>
      <c r="F3" s="46">
        <v>2020</v>
      </c>
      <c r="G3" s="37"/>
      <c r="H3" s="36" t="s">
        <v>3</v>
      </c>
      <c r="I3" s="22" t="s">
        <v>7</v>
      </c>
      <c r="J3" s="44" t="s">
        <v>8</v>
      </c>
      <c r="M3" s="3"/>
      <c r="N3" s="3"/>
      <c r="O3" s="3"/>
      <c r="P3" s="3"/>
      <c r="Q3" s="3"/>
      <c r="R3" s="3"/>
    </row>
    <row r="4" spans="1:18" ht="34.5">
      <c r="A4" s="50"/>
      <c r="B4" s="47"/>
      <c r="C4" s="47"/>
      <c r="D4" s="47"/>
      <c r="E4" s="47"/>
      <c r="F4" s="47"/>
      <c r="G4" s="38"/>
      <c r="H4" s="23" t="s">
        <v>4</v>
      </c>
      <c r="I4" s="24" t="s">
        <v>9</v>
      </c>
      <c r="J4" s="45"/>
      <c r="M4" s="3"/>
      <c r="N4" s="3"/>
      <c r="O4" s="3"/>
      <c r="P4" s="3"/>
      <c r="Q4" s="3"/>
      <c r="R4" s="3"/>
    </row>
    <row r="5" spans="1:18" ht="17.25">
      <c r="A5" s="51"/>
      <c r="B5" s="48"/>
      <c r="C5" s="48"/>
      <c r="D5" s="48"/>
      <c r="E5" s="48"/>
      <c r="F5" s="48"/>
      <c r="G5" s="39"/>
      <c r="H5" s="25" t="s">
        <v>24</v>
      </c>
      <c r="I5" s="25">
        <v>2020</v>
      </c>
      <c r="J5" s="40"/>
      <c r="M5" s="3"/>
      <c r="N5" s="3"/>
      <c r="O5" s="3"/>
      <c r="P5" s="3"/>
      <c r="Q5" s="3"/>
      <c r="R5" s="3"/>
    </row>
    <row r="6" spans="1:18" s="14" customFormat="1" ht="17.25">
      <c r="A6" s="4" t="s">
        <v>0</v>
      </c>
      <c r="B6" s="26">
        <f>SUM(B7:B13)</f>
        <v>3616</v>
      </c>
      <c r="C6" s="26">
        <f t="shared" ref="C6" si="0">SUM(C7:C13)</f>
        <v>3503</v>
      </c>
      <c r="D6" s="26">
        <f>SUM(D7:D13)</f>
        <v>3270</v>
      </c>
      <c r="E6" s="26">
        <f>SUM(E7:E13)</f>
        <v>4554</v>
      </c>
      <c r="F6" s="26">
        <f>SUM(F7:F13)</f>
        <v>3581</v>
      </c>
      <c r="G6" s="26"/>
      <c r="H6" s="52">
        <f>((F6-E6)/E6*100)</f>
        <v>-21.365832235397452</v>
      </c>
      <c r="I6" s="52">
        <f>F6/$F$6*100</f>
        <v>100</v>
      </c>
      <c r="J6" s="29" t="s">
        <v>5</v>
      </c>
      <c r="L6" s="26"/>
      <c r="M6" s="15"/>
      <c r="N6" s="15"/>
      <c r="O6" s="15"/>
      <c r="P6" s="15"/>
      <c r="Q6" s="15"/>
      <c r="R6" s="15"/>
    </row>
    <row r="7" spans="1:18" s="21" customFormat="1" ht="18.75">
      <c r="A7" s="16" t="s">
        <v>10</v>
      </c>
      <c r="B7" s="27">
        <v>1054</v>
      </c>
      <c r="C7" s="27">
        <v>1217</v>
      </c>
      <c r="D7" s="27">
        <v>1290</v>
      </c>
      <c r="E7" s="27">
        <v>1777</v>
      </c>
      <c r="F7" s="27">
        <v>1609</v>
      </c>
      <c r="G7" s="27"/>
      <c r="H7" s="33">
        <f>((F7-E7)/E7*100)</f>
        <v>-9.4541361845807543</v>
      </c>
      <c r="I7" s="33">
        <f>F7/$F$6*100</f>
        <v>44.9315833566043</v>
      </c>
      <c r="J7" s="8" t="s">
        <v>11</v>
      </c>
      <c r="L7" s="26"/>
      <c r="M7" s="15"/>
      <c r="N7" s="15"/>
      <c r="O7" s="17"/>
      <c r="P7" s="17"/>
      <c r="Q7" s="17"/>
      <c r="R7" s="17"/>
    </row>
    <row r="8" spans="1:18" s="21" customFormat="1" ht="18.75">
      <c r="A8" s="16" t="s">
        <v>12</v>
      </c>
      <c r="B8" s="27">
        <v>650</v>
      </c>
      <c r="C8" s="27">
        <v>666</v>
      </c>
      <c r="D8" s="27">
        <v>494</v>
      </c>
      <c r="E8" s="27">
        <v>777</v>
      </c>
      <c r="F8" s="27">
        <v>479</v>
      </c>
      <c r="G8" s="27"/>
      <c r="H8" s="33">
        <f t="shared" ref="H8:H13" si="1">((F8-E8)/E8*100)</f>
        <v>-38.352638352638351</v>
      </c>
      <c r="I8" s="33">
        <f>F8/$F$6*100</f>
        <v>13.3761519128735</v>
      </c>
      <c r="J8" s="8" t="s">
        <v>13</v>
      </c>
      <c r="L8" s="26"/>
      <c r="M8" s="27"/>
      <c r="N8" s="15"/>
      <c r="O8" s="17"/>
      <c r="P8" s="17"/>
      <c r="Q8" s="17"/>
      <c r="R8" s="17"/>
    </row>
    <row r="9" spans="1:18" s="21" customFormat="1" ht="18.75">
      <c r="A9" s="16" t="s">
        <v>14</v>
      </c>
      <c r="B9" s="27">
        <v>778</v>
      </c>
      <c r="C9" s="27">
        <v>606</v>
      </c>
      <c r="D9" s="27">
        <v>523</v>
      </c>
      <c r="E9" s="27">
        <v>757</v>
      </c>
      <c r="F9" s="27">
        <v>583</v>
      </c>
      <c r="G9" s="27"/>
      <c r="H9" s="33">
        <f t="shared" si="1"/>
        <v>-22.985468956406869</v>
      </c>
      <c r="I9" s="33">
        <f>F9/$F$6*100</f>
        <v>16.280368612119521</v>
      </c>
      <c r="J9" s="8" t="s">
        <v>15</v>
      </c>
      <c r="L9" s="26"/>
      <c r="M9" s="27"/>
      <c r="N9" s="15"/>
      <c r="O9" s="17"/>
      <c r="P9" s="17"/>
      <c r="Q9" s="17"/>
      <c r="R9" s="17"/>
    </row>
    <row r="10" spans="1:18" s="21" customFormat="1" ht="18.75">
      <c r="A10" s="16" t="s">
        <v>16</v>
      </c>
      <c r="B10" s="27">
        <v>278</v>
      </c>
      <c r="C10" s="27">
        <v>237</v>
      </c>
      <c r="D10" s="27">
        <v>223</v>
      </c>
      <c r="E10" s="27">
        <v>232</v>
      </c>
      <c r="F10" s="27">
        <v>129</v>
      </c>
      <c r="G10" s="27"/>
      <c r="H10" s="33">
        <f t="shared" si="1"/>
        <v>-44.396551724137936</v>
      </c>
      <c r="I10" s="33">
        <f t="shared" ref="I10:I13" si="2">F10/$F$6*100</f>
        <v>3.6023457134878525</v>
      </c>
      <c r="J10" s="8" t="s">
        <v>17</v>
      </c>
      <c r="M10" s="27"/>
      <c r="N10" s="15"/>
      <c r="O10" s="17"/>
      <c r="P10" s="17"/>
      <c r="Q10" s="17"/>
      <c r="R10" s="17"/>
    </row>
    <row r="11" spans="1:18" s="21" customFormat="1" ht="18.75">
      <c r="A11" s="16" t="s">
        <v>18</v>
      </c>
      <c r="B11" s="27">
        <v>181</v>
      </c>
      <c r="C11" s="27">
        <v>135</v>
      </c>
      <c r="D11" s="27">
        <v>92</v>
      </c>
      <c r="E11" s="27">
        <v>94</v>
      </c>
      <c r="F11" s="27">
        <v>73</v>
      </c>
      <c r="G11" s="27"/>
      <c r="H11" s="33">
        <f t="shared" si="1"/>
        <v>-22.340425531914892</v>
      </c>
      <c r="I11" s="33">
        <f t="shared" si="2"/>
        <v>2.0385367215861492</v>
      </c>
      <c r="J11" s="8" t="s">
        <v>19</v>
      </c>
      <c r="L11" s="30"/>
      <c r="M11" s="31"/>
      <c r="N11" s="32"/>
      <c r="O11" s="31"/>
      <c r="P11" s="18"/>
      <c r="Q11" s="18"/>
      <c r="R11" s="17"/>
    </row>
    <row r="12" spans="1:18" s="21" customFormat="1" ht="18.75">
      <c r="A12" s="16" t="s">
        <v>20</v>
      </c>
      <c r="B12" s="27">
        <v>258</v>
      </c>
      <c r="C12" s="27">
        <v>174</v>
      </c>
      <c r="D12" s="27">
        <v>227</v>
      </c>
      <c r="E12" s="27">
        <v>306</v>
      </c>
      <c r="F12" s="27">
        <v>190</v>
      </c>
      <c r="G12" s="27"/>
      <c r="H12" s="33">
        <f t="shared" si="1"/>
        <v>-37.908496732026144</v>
      </c>
      <c r="I12" s="33">
        <f t="shared" si="2"/>
        <v>5.3057805082379224</v>
      </c>
      <c r="J12" s="8" t="s">
        <v>21</v>
      </c>
      <c r="L12" s="30"/>
      <c r="M12" s="31"/>
      <c r="N12" s="32"/>
      <c r="O12" s="31"/>
      <c r="P12" s="18"/>
      <c r="Q12" s="18"/>
      <c r="R12" s="17"/>
    </row>
    <row r="13" spans="1:18" s="21" customFormat="1" ht="18.75">
      <c r="A13" s="19" t="s">
        <v>22</v>
      </c>
      <c r="B13" s="28">
        <v>417</v>
      </c>
      <c r="C13" s="28">
        <v>468</v>
      </c>
      <c r="D13" s="28">
        <v>421</v>
      </c>
      <c r="E13" s="28">
        <v>611</v>
      </c>
      <c r="F13" s="28">
        <v>518</v>
      </c>
      <c r="G13" s="28"/>
      <c r="H13" s="34">
        <f t="shared" si="1"/>
        <v>-15.220949263502456</v>
      </c>
      <c r="I13" s="34">
        <f t="shared" si="2"/>
        <v>14.465233175090757</v>
      </c>
      <c r="J13" s="9" t="s">
        <v>23</v>
      </c>
      <c r="L13" s="30"/>
      <c r="M13" s="31"/>
      <c r="N13" s="32"/>
      <c r="O13" s="31"/>
      <c r="P13" s="18"/>
      <c r="Q13" s="18"/>
      <c r="R13" s="17"/>
    </row>
    <row r="14" spans="1:18">
      <c r="A14" s="11" t="s">
        <v>1</v>
      </c>
      <c r="B14" s="10"/>
      <c r="C14" s="10"/>
      <c r="D14" s="10"/>
      <c r="E14" s="10"/>
      <c r="F14" s="10"/>
      <c r="G14" s="10"/>
      <c r="H14" s="10"/>
      <c r="I14" s="10"/>
      <c r="J14" s="35" t="s">
        <v>2</v>
      </c>
      <c r="L14" s="30"/>
      <c r="M14" s="31"/>
      <c r="N14" s="32"/>
      <c r="O14" s="31"/>
      <c r="P14" s="7"/>
      <c r="Q14" s="7"/>
      <c r="R14" s="3"/>
    </row>
    <row r="15" spans="1:18">
      <c r="L15" s="30"/>
      <c r="M15" s="32"/>
      <c r="N15" s="32"/>
      <c r="O15" s="31"/>
      <c r="P15" s="7"/>
      <c r="Q15" s="7"/>
      <c r="R15" s="3"/>
    </row>
    <row r="16" spans="1:18">
      <c r="A16" s="20"/>
      <c r="L16" s="30"/>
      <c r="M16" s="32"/>
      <c r="N16" s="32"/>
      <c r="O16" s="31"/>
      <c r="P16" s="7"/>
      <c r="Q16" s="7"/>
      <c r="R16" s="3"/>
    </row>
    <row r="17" spans="1:18">
      <c r="L17" s="30"/>
      <c r="M17" s="32"/>
      <c r="N17" s="32"/>
      <c r="O17" s="31"/>
      <c r="P17" s="7"/>
      <c r="Q17" s="7"/>
      <c r="R17" s="3"/>
    </row>
    <row r="18" spans="1:18">
      <c r="L18" s="30"/>
      <c r="M18" s="32"/>
      <c r="N18" s="32"/>
      <c r="O18" s="7"/>
      <c r="P18" s="7"/>
      <c r="Q18" s="7"/>
      <c r="R18" s="3"/>
    </row>
    <row r="19" spans="1:18">
      <c r="L19" s="6"/>
      <c r="M19" s="7"/>
      <c r="N19" s="7"/>
      <c r="O19" s="7"/>
      <c r="P19" s="7"/>
      <c r="Q19" s="7"/>
      <c r="R19" s="3"/>
    </row>
    <row r="20" spans="1:18">
      <c r="L20" s="6"/>
      <c r="M20" s="7"/>
      <c r="N20" s="7"/>
      <c r="O20" s="7"/>
      <c r="P20" s="7"/>
      <c r="Q20" s="7"/>
      <c r="R20" s="3"/>
    </row>
    <row r="21" spans="1:18" ht="17.25">
      <c r="A21" s="12"/>
      <c r="B21" s="5"/>
      <c r="C21" s="5"/>
      <c r="D21" s="5"/>
      <c r="E21" s="5"/>
      <c r="F21" s="5"/>
      <c r="G21" s="5"/>
      <c r="H21" s="5"/>
      <c r="I21" s="5"/>
      <c r="J21" s="13"/>
      <c r="L21" s="6"/>
      <c r="M21" s="7"/>
      <c r="N21" s="7"/>
      <c r="O21" s="7"/>
      <c r="P21" s="7"/>
      <c r="Q21" s="7"/>
      <c r="R21" s="3"/>
    </row>
    <row r="22" spans="1:18">
      <c r="L22" s="6"/>
      <c r="M22" s="7"/>
      <c r="N22" s="7"/>
      <c r="O22" s="7"/>
      <c r="P22" s="7"/>
      <c r="Q22" s="7"/>
      <c r="R22" s="3"/>
    </row>
    <row r="23" spans="1:18">
      <c r="M23" s="3"/>
      <c r="N23" s="3"/>
      <c r="O23" s="3"/>
      <c r="P23" s="3"/>
      <c r="Q23" s="3"/>
      <c r="R23" s="3"/>
    </row>
  </sheetData>
  <mergeCells count="9">
    <mergeCell ref="D3:D5"/>
    <mergeCell ref="J3:J5"/>
    <mergeCell ref="A1:J1"/>
    <mergeCell ref="A2:J2"/>
    <mergeCell ref="A3:A5"/>
    <mergeCell ref="B3:B5"/>
    <mergeCell ref="C3:C5"/>
    <mergeCell ref="E3:E5"/>
    <mergeCell ref="F3:F5"/>
  </mergeCells>
  <pageMargins left="0.7" right="0.7" top="0.75" bottom="0.75" header="0.3" footer="0.3"/>
  <pageSetup paperSize="9" scale="5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8.7</vt:lpstr>
      <vt:lpstr>'8.7'!Print_Area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2021-09-28T02:55:34Z</cp:lastPrinted>
  <dcterms:created xsi:type="dcterms:W3CDTF">2019-06-30T04:22:49Z</dcterms:created>
  <dcterms:modified xsi:type="dcterms:W3CDTF">2021-09-28T02:55:46Z</dcterms:modified>
</cp:coreProperties>
</file>