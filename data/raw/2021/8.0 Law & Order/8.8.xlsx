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8" sheetId="8" r:id="rId1"/>
  </sheets>
  <definedNames>
    <definedName name="_xlnm.Print_Area" localSheetId="0">'8.8'!$A$1:$K$51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8" l="1"/>
  <c r="H9" i="8"/>
  <c r="H10" i="8"/>
  <c r="H11" i="8"/>
  <c r="H12" i="8"/>
  <c r="H13" i="8"/>
  <c r="H15" i="8"/>
  <c r="H16" i="8"/>
  <c r="H17" i="8"/>
  <c r="H18" i="8"/>
  <c r="H19" i="8"/>
  <c r="H20" i="8"/>
  <c r="H21" i="8"/>
  <c r="F14" i="8"/>
  <c r="F7" i="8"/>
  <c r="F6" i="8" l="1"/>
  <c r="I10" i="8" l="1"/>
  <c r="I14" i="8"/>
  <c r="I18" i="8"/>
  <c r="I6" i="8"/>
  <c r="I11" i="8"/>
  <c r="I15" i="8"/>
  <c r="I19" i="8"/>
  <c r="I8" i="8"/>
  <c r="I12" i="8"/>
  <c r="I16" i="8"/>
  <c r="I20" i="8"/>
  <c r="I9" i="8"/>
  <c r="I13" i="8"/>
  <c r="I17" i="8"/>
  <c r="I21" i="8"/>
  <c r="I7" i="8"/>
  <c r="C14" i="8" l="1"/>
  <c r="D14" i="8"/>
  <c r="E14" i="8"/>
  <c r="H14" i="8" s="1"/>
  <c r="C7" i="8"/>
  <c r="D7" i="8"/>
  <c r="E7" i="8"/>
  <c r="H7" i="8" s="1"/>
  <c r="E6" i="8" l="1"/>
  <c r="H6" i="8" s="1"/>
  <c r="C6" i="8" l="1"/>
  <c r="B14" i="8"/>
  <c r="B7" i="8"/>
  <c r="D6" i="8"/>
  <c r="B6" i="8" l="1"/>
</calcChain>
</file>

<file path=xl/sharedStrings.xml><?xml version="1.0" encoding="utf-8"?>
<sst xmlns="http://schemas.openxmlformats.org/spreadsheetml/2006/main" count="47" uniqueCount="33">
  <si>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</si>
  <si>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</si>
  <si>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</si>
  <si>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</si>
  <si>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</si>
  <si>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</si>
  <si>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</si>
  <si>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</si>
  <si>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</si>
  <si>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</si>
  <si>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</si>
  <si>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</si>
  <si>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</si>
  <si>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</si>
  <si>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</si>
  <si>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</si>
  <si>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</si>
  <si>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</si>
  <si>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</si>
  <si>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</si>
  <si>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</si>
  <si>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</si>
  <si>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</si>
  <si>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</si>
  <si>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</si>
  <si>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</si>
  <si>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</si>
  <si>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</si>
  <si>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</si>
  <si>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</si>
  <si>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2019</t>
  </si>
  <si>
    <t>Table 8.8:  DRUG CASES LOGGED BY TYPE, 2016 - 2020</t>
  </si>
  <si>
    <t>ތާވަލު 8.8: ހުށަހެޅިފައިވާ މަސްތުވާތަކެތީގެ މައްސަލަތަކާއި އަދި ބާވަތް، 2016- 2020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</si>
</sst>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</cellStyleXfs>
  <cellXfs count="55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3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3" fontId="10" fillId="2" borderId="4" xfId="0" applyNumberFormat="1" applyFont="1" applyFill="1" applyBorder="1" applyAlignment="1">
      <alignment horizontal="right" vertical="center" indent="5"/>
    </xf>
    <xf numFmtId="1" fontId="0" fillId="2" borderId="0" xfId="0" applyNumberFormat="1" applyFill="1"/>
    <xf numFmtId="3" fontId="10" fillId="2" borderId="8" xfId="0" applyNumberFormat="1" applyFont="1" applyFill="1" applyBorder="1" applyAlignment="1">
      <alignment horizontal="right" vertical="center" indent="5"/>
    </xf>
    <xf numFmtId="3" fontId="10" fillId="2" borderId="0" xfId="0" applyNumberFormat="1" applyFont="1" applyFill="1" applyBorder="1" applyAlignment="1">
      <alignment horizontal="right" vertical="center" indent="5"/>
    </xf>
    <xf numFmtId="164" fontId="29" fillId="2" borderId="5" xfId="0" applyNumberFormat="1" applyFont="1" applyFill="1" applyBorder="1" applyAlignment="1">
      <alignment horizontal="right" vertical="center"/>
    </xf>
    <xf numFmtId="1" fontId="13" fillId="2" borderId="8" xfId="2" applyNumberFormat="1" applyFont="1" applyFill="1" applyBorder="1" applyAlignment="1">
      <alignment horizontal="center" vertical="center"/>
    </xf>
    <xf numFmtId="1" fontId="13" fillId="2" borderId="0" xfId="2" applyNumberFormat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 applyProtection="1">
      <alignment horizontal="right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 applyProtection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 applyProtection="1">
      <alignment horizontal="right" vertical="center" wrapText="1"/>
    </xf>
    <xf numFmtId="164" fontId="3" fillId="2" borderId="9" xfId="0" applyNumberFormat="1" applyFont="1" applyFill="1" applyBorder="1" applyAlignment="1">
      <alignment horizontal="center" vertical="top"/>
    </xf>
  </cellXfs>
  <cellStyles count="9">
    <cellStyle name="1" xfId="8"/>
    <cellStyle name="Comma" xfId="1" builtinId="3"/>
    <cellStyle name="Comma 2" xfId="3"/>
    <cellStyle name="Heading 1 2" xfId="6"/>
    <cellStyle name="Normal" xfId="0" builtinId="0"/>
    <cellStyle name="Normal 2" xfId="7"/>
    <cellStyle name="Normal 3" xfId="5"/>
    <cellStyle name="Percent" xfId="2" builtin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'8.8'!$AU$8:$AU$10</c15:sqref>
                  </c15:fullRef>
                </c:ext>
              </c:extLst>
              <c:f>'8.8'!$AU$8:$AU$9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'8.8'!$AV$8:$AV$10</c15:sqref>
                  </c15:fullRef>
                </c:ext>
              </c:extLst>
              <c:f>'8.8'!$AV$8:$AV$9</c:f>
              <c:numCache>
                <c:formatCode>_-* #,##0_-;\-* #,##0_-;_-* "-"??_-;_-@_-</c:formatCode>
                <c:ptCount val="2"/>
                <c:pt idx="0" formatCode="General_)">
                  <c:v>1280</c:v>
                </c:pt>
                <c:pt idx="1">
                  <c:v>141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'8.8'!$AV$10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A4C0-417E-B280-65DB714A209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'8.8'!$C$3:$C$5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rgbClr val="006664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'8.8'!$C$8:$C$13</c:f>
              <c:numCache>
                <c:formatCode>_-* #,##0_-;\-* #,##0_-;_-* "-"??_-;_-@_-</c:formatCode>
                <c:ptCount val="6"/>
                <c:pt idx="0">
                  <c:v>949</c:v>
                </c:pt>
                <c:pt idx="1">
                  <c:v>492</c:v>
                </c:pt>
                <c:pt idx="2">
                  <c:v>0</c:v>
                </c:pt>
                <c:pt idx="3">
                  <c:v>159</c:v>
                </c:pt>
                <c:pt idx="4">
                  <c:v>210</c:v>
                </c:pt>
                <c:pt idx="5">
                  <c:v>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718</c:v>
                </c:pt>
                <c:pt idx="1">
                  <c:v>918</c:v>
                </c:pt>
                <c:pt idx="2">
                  <c:v>2</c:v>
                </c:pt>
                <c:pt idx="3">
                  <c:v>146</c:v>
                </c:pt>
                <c:pt idx="4">
                  <c:v>207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ser>
          <c:idx val="3"/>
          <c:order val="3"/>
          <c:tx>
            <c:strRef>
              <c:f>'8.8'!$E$3:$E$5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'8.8'!$E$8:$E$13</c:f>
              <c:numCache>
                <c:formatCode>_-* #,##0_-;\-* #,##0_-;_-* "-"??_-;_-@_-</c:formatCode>
                <c:ptCount val="6"/>
                <c:pt idx="0">
                  <c:v>561</c:v>
                </c:pt>
                <c:pt idx="1">
                  <c:v>878</c:v>
                </c:pt>
                <c:pt idx="2">
                  <c:v>1</c:v>
                </c:pt>
                <c:pt idx="3">
                  <c:v>175</c:v>
                </c:pt>
                <c:pt idx="4">
                  <c:v>305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3-458C-A3CA-E5A8EE0CD1E5}"/>
            </c:ext>
          </c:extLst>
        </c:ser>
        <c:ser>
          <c:idx val="4"/>
          <c:order val="4"/>
          <c:tx>
            <c:strRef>
              <c:f>'8.8'!$F$3:$F$5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'8.8'!$F$8:$F$13</c:f>
              <c:numCache>
                <c:formatCode>_-* #,##0_-;\-* #,##0_-;_-* "-"??_-;_-@_-</c:formatCode>
                <c:ptCount val="6"/>
                <c:pt idx="0">
                  <c:v>174</c:v>
                </c:pt>
                <c:pt idx="1">
                  <c:v>590</c:v>
                </c:pt>
                <c:pt idx="2">
                  <c:v>1</c:v>
                </c:pt>
                <c:pt idx="3">
                  <c:v>132</c:v>
                </c:pt>
                <c:pt idx="4">
                  <c:v>334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E-4EC3-96E3-8FFFC430D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77888"/>
        <c:axId val="438794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'8.8'!$B$3:$B$5</c15:sqref>
                        </c15:formulaRef>
                      </c:ext>
                    </c:extLst>
                    <c:strCache>
                      <c:ptCount val="3"/>
                      <c:pt idx="0">
                        <c:v>2016 </c:v>
                      </c:pt>
                    </c:strCache>
                  </c:strRef>
                </c:tx>
                <c:spPr>
                  <a:solidFill>
                    <a:srgbClr val="66330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'8.8'!$A$8:$A$13</c15:sqref>
                        </c15:formulaRef>
                      </c:ext>
                    </c:extLst>
                    <c:strCache>
                      <c:ptCount val="6"/>
                      <c:pt idx="0">
                        <c:v>Use </c:v>
                      </c:pt>
                      <c:pt idx="1">
                        <c:v>Possession </c:v>
                      </c:pt>
                      <c:pt idx="2">
                        <c:v>Production</c:v>
                      </c:pt>
                      <c:pt idx="3">
                        <c:v>Import </c:v>
                      </c:pt>
                      <c:pt idx="4">
                        <c:v>Sale </c:v>
                      </c:pt>
                      <c:pt idx="5">
                        <c:v>others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'8.8'!$B$8:$B$13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6"/>
                      <c:pt idx="0">
                        <c:v>1281</c:v>
                      </c:pt>
                      <c:pt idx="1">
                        <c:v>550</c:v>
                      </c:pt>
                      <c:pt idx="2">
                        <c:v>0</c:v>
                      </c:pt>
                      <c:pt idx="3">
                        <c:v>122</c:v>
                      </c:pt>
                      <c:pt idx="4">
                        <c:v>184</c:v>
                      </c:pt>
                      <c:pt idx="5">
                        <c:v>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832-426D-BAEF-F06F4B391A89}"/>
                  </c:ext>
                </c:extLst>
              </c15:ser>
            </c15:filteredBarSeries>
          </c:ext>
        </c:extLst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60790028836376531"/>
          <c:y val="0.24146129536577463"/>
          <c:w val="0.31969393879811592"/>
          <c:h val="9.105907878678298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9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9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0.7413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5643" y="82711"/>
          <a:ext cx="3990992" cy="35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2020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0.78694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5627" y="79219"/>
          <a:ext cx="3543456" cy="30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2017 - 2020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AV37"/>
  <sheetViews>
    <sheetView tabSelected="1" zoomScaleNormal="100" workbookViewId="0">
      <selection activeCell="Q10" sqref="Q10"/>
    </sheetView>
  </sheetViews>
  <sheetFormatPr defaultColWidth="9.140625" defaultRowHeight="15"/>
  <cols>
    <col min="1" max="1" width="14.5703125" style="1" customWidth="1"/>
    <col min="2" max="6" width="11.42578125" style="1" customWidth="1"/>
    <col min="7" max="7" width="2.7109375" style="1" customWidth="1"/>
    <col min="8" max="8" width="20.5703125" style="1" customWidth="1"/>
    <col min="9" max="9" width="15" style="1" customWidth="1"/>
    <col min="10" max="10" width="20.28515625" style="1" customWidth="1"/>
    <col min="11" max="11" width="7.5703125" style="1" customWidth="1"/>
    <col min="12" max="12" width="9.140625" style="1"/>
    <col min="13" max="18" width="9.28515625" style="1" customWidth="1"/>
    <col min="19" max="19" width="11.140625" style="1" customWidth="1"/>
    <col min="20" max="16384" width="9.140625" style="1"/>
  </cols>
  <sheetData>
    <row r="1" spans="1:48" ht="21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</row>
    <row r="2" spans="1:48" ht="21.75" customHeight="1">
      <c r="A2" s="42" t="s">
        <v>31</v>
      </c>
      <c r="B2" s="42"/>
      <c r="C2" s="42"/>
      <c r="D2" s="42"/>
      <c r="E2" s="43"/>
      <c r="F2" s="43"/>
      <c r="G2" s="42"/>
      <c r="H2" s="54"/>
      <c r="I2" s="54"/>
      <c r="J2" s="42"/>
    </row>
    <row r="3" spans="1:48" ht="17.25">
      <c r="A3" s="47" t="s">
        <v>10</v>
      </c>
      <c r="B3" s="50">
        <v>2016</v>
      </c>
      <c r="C3" s="50">
        <v>2017</v>
      </c>
      <c r="D3" s="50">
        <v>2018</v>
      </c>
      <c r="E3" s="50">
        <v>2019</v>
      </c>
      <c r="F3" s="50">
        <v>2020</v>
      </c>
      <c r="G3" s="21"/>
      <c r="H3" s="41" t="s">
        <v>6</v>
      </c>
      <c r="I3" s="22">
        <v>2020</v>
      </c>
      <c r="J3" s="45" t="s">
        <v>13</v>
      </c>
    </row>
    <row r="4" spans="1:48" ht="27" customHeight="1">
      <c r="A4" s="48"/>
      <c r="B4" s="51"/>
      <c r="C4" s="51"/>
      <c r="D4" s="51"/>
      <c r="E4" s="51"/>
      <c r="F4" s="51"/>
      <c r="G4" s="17"/>
      <c r="H4" s="18" t="s">
        <v>7</v>
      </c>
      <c r="I4" s="17" t="s">
        <v>11</v>
      </c>
      <c r="J4" s="46"/>
      <c r="L4" s="2"/>
      <c r="M4" s="2"/>
      <c r="N4" s="2"/>
      <c r="O4" s="2"/>
    </row>
    <row r="5" spans="1:48" ht="25.5" customHeight="1">
      <c r="A5" s="49"/>
      <c r="B5" s="52"/>
      <c r="C5" s="52"/>
      <c r="D5" s="52"/>
      <c r="E5" s="52"/>
      <c r="F5" s="52"/>
      <c r="G5" s="19"/>
      <c r="H5" s="19" t="s">
        <v>30</v>
      </c>
      <c r="I5" s="19" t="s">
        <v>12</v>
      </c>
      <c r="J5" s="53"/>
      <c r="L5" s="2"/>
      <c r="M5" s="2"/>
      <c r="N5" s="2"/>
      <c r="O5" s="2"/>
    </row>
    <row r="6" spans="1:48" s="26" customFormat="1" ht="18.75">
      <c r="A6" s="3" t="s">
        <v>0</v>
      </c>
      <c r="B6" s="23">
        <f t="shared" ref="B6" si="0">B7+B14+B21</f>
        <v>2375</v>
      </c>
      <c r="C6" s="23">
        <f>C7+C14+C21</f>
        <v>2038</v>
      </c>
      <c r="D6" s="23">
        <f>D7+D14+D21</f>
        <v>2230</v>
      </c>
      <c r="E6" s="23">
        <f>E7+E14+E21</f>
        <v>2188</v>
      </c>
      <c r="F6" s="23">
        <f>F7+F14+F21</f>
        <v>1425</v>
      </c>
      <c r="G6" s="24"/>
      <c r="H6" s="37">
        <f>IFERROR(((F6-E6)/E6)*100,"-")</f>
        <v>-34.872029250457039</v>
      </c>
      <c r="I6" s="34">
        <f>IFERROR((F6/$F$6*100),"-")</f>
        <v>100</v>
      </c>
      <c r="J6" s="25" t="s">
        <v>9</v>
      </c>
      <c r="L6" s="27"/>
      <c r="M6" s="27"/>
      <c r="N6" s="27"/>
      <c r="O6" s="27"/>
    </row>
    <row r="7" spans="1:48" s="10" customFormat="1" ht="18.75">
      <c r="A7" s="3" t="s">
        <v>1</v>
      </c>
      <c r="B7" s="24">
        <f>SUM(B8:B13)</f>
        <v>2216</v>
      </c>
      <c r="C7" s="24">
        <f t="shared" ref="C7:E7" si="1">SUM(C8:C13)</f>
        <v>1857</v>
      </c>
      <c r="D7" s="24">
        <f t="shared" si="1"/>
        <v>2046</v>
      </c>
      <c r="E7" s="24">
        <f t="shared" si="1"/>
        <v>1966</v>
      </c>
      <c r="F7" s="24">
        <f t="shared" ref="F7" si="2">SUM(F8:F13)</f>
        <v>1280</v>
      </c>
      <c r="G7" s="24"/>
      <c r="H7" s="38">
        <f t="shared" ref="H7:H21" si="3">IFERROR(((F7-E7)/E7)*100,"-")</f>
        <v>-34.893184130213633</v>
      </c>
      <c r="I7" s="35">
        <f>IFERROR((F7/$F$6*100),"-")</f>
        <v>89.824561403508767</v>
      </c>
      <c r="J7" s="25" t="s">
        <v>14</v>
      </c>
      <c r="K7" s="24"/>
      <c r="L7" s="27"/>
      <c r="M7" s="27"/>
      <c r="N7" s="27"/>
      <c r="O7" s="27"/>
    </row>
    <row r="8" spans="1:48" ht="18.75">
      <c r="A8" s="15" t="s">
        <v>15</v>
      </c>
      <c r="B8" s="28">
        <v>1281</v>
      </c>
      <c r="C8" s="28">
        <v>949</v>
      </c>
      <c r="D8" s="28">
        <v>718</v>
      </c>
      <c r="E8" s="28">
        <v>561</v>
      </c>
      <c r="F8" s="28">
        <v>174</v>
      </c>
      <c r="G8" s="28"/>
      <c r="H8" s="38">
        <f t="shared" si="3"/>
        <v>-68.983957219251337</v>
      </c>
      <c r="I8" s="35">
        <f t="shared" ref="I8:I21" si="4">IFERROR((F8/$F$6*100),"-")</f>
        <v>12.210526315789473</v>
      </c>
      <c r="J8" s="5" t="s">
        <v>16</v>
      </c>
      <c r="K8" s="28"/>
      <c r="L8" s="2"/>
      <c r="O8" s="2"/>
      <c r="AU8" s="3" t="s">
        <v>1</v>
      </c>
      <c r="AV8" s="2">
        <v>1280</v>
      </c>
    </row>
    <row r="9" spans="1:48" ht="18.75">
      <c r="A9" s="15" t="s">
        <v>17</v>
      </c>
      <c r="B9" s="28">
        <v>550</v>
      </c>
      <c r="C9" s="28">
        <v>492</v>
      </c>
      <c r="D9" s="28">
        <v>918</v>
      </c>
      <c r="E9" s="28">
        <v>878</v>
      </c>
      <c r="F9" s="28">
        <v>590</v>
      </c>
      <c r="G9" s="28"/>
      <c r="H9" s="38">
        <f t="shared" si="3"/>
        <v>-32.801822323462417</v>
      </c>
      <c r="I9" s="35">
        <f t="shared" si="4"/>
        <v>41.403508771929829</v>
      </c>
      <c r="J9" s="5" t="s">
        <v>18</v>
      </c>
      <c r="K9" s="28"/>
      <c r="L9" s="2"/>
      <c r="O9" s="2"/>
      <c r="AU9" s="3" t="s">
        <v>26</v>
      </c>
      <c r="AV9" s="24">
        <v>141</v>
      </c>
    </row>
    <row r="10" spans="1:48" ht="22.5" customHeight="1">
      <c r="A10" s="15" t="s">
        <v>19</v>
      </c>
      <c r="B10" s="28">
        <v>0</v>
      </c>
      <c r="C10" s="28" t="s">
        <v>8</v>
      </c>
      <c r="D10" s="28">
        <v>2</v>
      </c>
      <c r="E10" s="28">
        <v>1</v>
      </c>
      <c r="F10" s="28">
        <v>1</v>
      </c>
      <c r="G10" s="28"/>
      <c r="H10" s="38">
        <f t="shared" si="3"/>
        <v>0</v>
      </c>
      <c r="I10" s="35">
        <f t="shared" si="4"/>
        <v>7.0175438596491224E-2</v>
      </c>
      <c r="J10" s="5" t="s">
        <v>20</v>
      </c>
      <c r="K10" s="28"/>
      <c r="L10" s="2"/>
      <c r="O10" s="2"/>
      <c r="AU10" s="29" t="s">
        <v>28</v>
      </c>
      <c r="AV10" s="2">
        <v>4</v>
      </c>
    </row>
    <row r="11" spans="1:48" ht="18.75">
      <c r="A11" s="15" t="s">
        <v>21</v>
      </c>
      <c r="B11" s="28">
        <v>122</v>
      </c>
      <c r="C11" s="28">
        <v>159</v>
      </c>
      <c r="D11" s="28">
        <v>146</v>
      </c>
      <c r="E11" s="28">
        <v>175</v>
      </c>
      <c r="F11" s="28">
        <v>132</v>
      </c>
      <c r="G11" s="28"/>
      <c r="H11" s="38">
        <f t="shared" si="3"/>
        <v>-24.571428571428573</v>
      </c>
      <c r="I11" s="35">
        <f t="shared" si="4"/>
        <v>9.2631578947368425</v>
      </c>
      <c r="J11" s="5" t="s">
        <v>22</v>
      </c>
      <c r="K11" s="28"/>
      <c r="L11" s="2"/>
      <c r="M11" s="2"/>
      <c r="N11" s="2"/>
      <c r="O11" s="2"/>
    </row>
    <row r="12" spans="1:48" ht="18.75">
      <c r="A12" s="15" t="s">
        <v>23</v>
      </c>
      <c r="B12" s="28">
        <v>184</v>
      </c>
      <c r="C12" s="28">
        <v>210</v>
      </c>
      <c r="D12" s="28">
        <v>207</v>
      </c>
      <c r="E12" s="28">
        <v>305</v>
      </c>
      <c r="F12" s="28">
        <v>334</v>
      </c>
      <c r="G12" s="28"/>
      <c r="H12" s="38">
        <f t="shared" si="3"/>
        <v>9.5081967213114744</v>
      </c>
      <c r="I12" s="35">
        <f t="shared" si="4"/>
        <v>23.438596491228068</v>
      </c>
      <c r="J12" s="5" t="s">
        <v>24</v>
      </c>
      <c r="K12" s="28"/>
      <c r="L12" s="2"/>
      <c r="M12" s="2"/>
      <c r="N12" s="2"/>
      <c r="O12" s="2"/>
    </row>
    <row r="13" spans="1:48" ht="18.75">
      <c r="A13" s="15" t="s">
        <v>25</v>
      </c>
      <c r="B13" s="28">
        <v>79</v>
      </c>
      <c r="C13" s="28">
        <v>47</v>
      </c>
      <c r="D13" s="28">
        <v>55</v>
      </c>
      <c r="E13" s="28">
        <v>46</v>
      </c>
      <c r="F13" s="28">
        <v>49</v>
      </c>
      <c r="G13" s="28"/>
      <c r="H13" s="38">
        <f t="shared" si="3"/>
        <v>6.5217391304347823</v>
      </c>
      <c r="I13" s="35">
        <f t="shared" si="4"/>
        <v>3.4385964912280702</v>
      </c>
      <c r="J13" s="6" t="s">
        <v>3</v>
      </c>
      <c r="K13" s="28"/>
      <c r="L13" s="2"/>
      <c r="M13" s="2"/>
      <c r="N13" s="2"/>
      <c r="O13" s="2"/>
    </row>
    <row r="14" spans="1:48" s="10" customFormat="1" ht="18.75">
      <c r="A14" s="3" t="s">
        <v>26</v>
      </c>
      <c r="B14" s="24">
        <f t="shared" ref="B14:E14" si="5">SUM(B15:B20)</f>
        <v>151</v>
      </c>
      <c r="C14" s="24">
        <f t="shared" si="5"/>
        <v>168</v>
      </c>
      <c r="D14" s="24">
        <f t="shared" si="5"/>
        <v>178</v>
      </c>
      <c r="E14" s="24">
        <f t="shared" si="5"/>
        <v>216</v>
      </c>
      <c r="F14" s="24">
        <f t="shared" ref="F14" si="6">SUM(F15:F20)</f>
        <v>141</v>
      </c>
      <c r="G14" s="24"/>
      <c r="H14" s="38">
        <f t="shared" si="3"/>
        <v>-34.722222222222221</v>
      </c>
      <c r="I14" s="35">
        <f t="shared" si="4"/>
        <v>9.8947368421052637</v>
      </c>
      <c r="J14" s="25" t="s">
        <v>27</v>
      </c>
      <c r="K14" s="24"/>
      <c r="L14" s="27"/>
      <c r="M14" s="27"/>
      <c r="N14" s="27"/>
      <c r="O14" s="27"/>
    </row>
    <row r="15" spans="1:48" ht="18.75">
      <c r="A15" s="15" t="s">
        <v>15</v>
      </c>
      <c r="B15" s="28">
        <v>48</v>
      </c>
      <c r="C15" s="28">
        <v>59</v>
      </c>
      <c r="D15" s="28">
        <v>46</v>
      </c>
      <c r="E15" s="28">
        <v>32</v>
      </c>
      <c r="F15" s="28">
        <v>10</v>
      </c>
      <c r="G15" s="28"/>
      <c r="H15" s="38">
        <f t="shared" si="3"/>
        <v>-68.75</v>
      </c>
      <c r="I15" s="35">
        <f t="shared" si="4"/>
        <v>0.70175438596491224</v>
      </c>
      <c r="J15" s="5" t="s">
        <v>16</v>
      </c>
      <c r="K15" s="28"/>
      <c r="L15" s="2"/>
      <c r="M15" s="2"/>
      <c r="N15" s="2"/>
      <c r="O15" s="2"/>
    </row>
    <row r="16" spans="1:48" ht="18.75">
      <c r="A16" s="15" t="s">
        <v>17</v>
      </c>
      <c r="B16" s="28">
        <v>55</v>
      </c>
      <c r="C16" s="28">
        <v>70</v>
      </c>
      <c r="D16" s="28">
        <v>83</v>
      </c>
      <c r="E16" s="28">
        <v>123</v>
      </c>
      <c r="F16" s="28">
        <v>54</v>
      </c>
      <c r="G16" s="28"/>
      <c r="H16" s="38">
        <f t="shared" si="3"/>
        <v>-56.09756097560976</v>
      </c>
      <c r="I16" s="35">
        <f t="shared" si="4"/>
        <v>3.7894736842105265</v>
      </c>
      <c r="J16" s="5" t="s">
        <v>18</v>
      </c>
      <c r="K16" s="28"/>
      <c r="L16" s="2"/>
      <c r="M16" s="2"/>
      <c r="N16" s="2"/>
      <c r="O16" s="2"/>
    </row>
    <row r="17" spans="1:16" ht="18.75">
      <c r="A17" s="15" t="s">
        <v>19</v>
      </c>
      <c r="B17" s="28">
        <v>15</v>
      </c>
      <c r="C17" s="28">
        <v>6</v>
      </c>
      <c r="D17" s="28">
        <v>9</v>
      </c>
      <c r="E17" s="28">
        <v>11</v>
      </c>
      <c r="F17" s="28">
        <v>25</v>
      </c>
      <c r="G17" s="28"/>
      <c r="H17" s="38">
        <f t="shared" si="3"/>
        <v>127.27272727272727</v>
      </c>
      <c r="I17" s="35">
        <f t="shared" si="4"/>
        <v>1.7543859649122806</v>
      </c>
      <c r="J17" s="5" t="s">
        <v>20</v>
      </c>
      <c r="K17" s="28"/>
      <c r="L17" s="2"/>
      <c r="M17" s="2"/>
      <c r="N17" s="2"/>
      <c r="O17" s="2"/>
    </row>
    <row r="18" spans="1:16" ht="18.75">
      <c r="A18" s="15" t="s">
        <v>21</v>
      </c>
      <c r="B18" s="28">
        <v>6</v>
      </c>
      <c r="C18" s="28">
        <v>6</v>
      </c>
      <c r="D18" s="28">
        <v>7</v>
      </c>
      <c r="E18" s="28">
        <v>7</v>
      </c>
      <c r="F18" s="28">
        <v>4</v>
      </c>
      <c r="G18" s="28"/>
      <c r="H18" s="38">
        <f t="shared" si="3"/>
        <v>-42.857142857142854</v>
      </c>
      <c r="I18" s="35">
        <f t="shared" si="4"/>
        <v>0.2807017543859649</v>
      </c>
      <c r="J18" s="5" t="s">
        <v>22</v>
      </c>
      <c r="K18" s="28"/>
      <c r="L18" s="2"/>
      <c r="M18" s="2"/>
      <c r="N18" s="2"/>
      <c r="O18" s="2"/>
    </row>
    <row r="19" spans="1:16" ht="18.75">
      <c r="A19" s="15" t="s">
        <v>23</v>
      </c>
      <c r="B19" s="28">
        <v>23</v>
      </c>
      <c r="C19" s="28">
        <v>26</v>
      </c>
      <c r="D19" s="28">
        <v>29</v>
      </c>
      <c r="E19" s="28">
        <v>41</v>
      </c>
      <c r="F19" s="28">
        <v>38</v>
      </c>
      <c r="G19" s="28"/>
      <c r="H19" s="38">
        <f t="shared" si="3"/>
        <v>-7.3170731707317067</v>
      </c>
      <c r="I19" s="35">
        <f t="shared" si="4"/>
        <v>2.666666666666667</v>
      </c>
      <c r="J19" s="5" t="s">
        <v>24</v>
      </c>
      <c r="K19" s="28"/>
      <c r="L19" s="2"/>
      <c r="M19" s="2"/>
      <c r="N19" s="2"/>
      <c r="O19" s="2"/>
    </row>
    <row r="20" spans="1:16" s="8" customFormat="1" ht="18.75">
      <c r="A20" s="15" t="s">
        <v>2</v>
      </c>
      <c r="B20" s="28">
        <v>4</v>
      </c>
      <c r="C20" s="28">
        <v>1</v>
      </c>
      <c r="D20" s="28">
        <v>4</v>
      </c>
      <c r="E20" s="28">
        <v>2</v>
      </c>
      <c r="F20" s="28">
        <v>10</v>
      </c>
      <c r="G20" s="28"/>
      <c r="H20" s="38">
        <f t="shared" si="3"/>
        <v>400</v>
      </c>
      <c r="I20" s="35">
        <f t="shared" si="4"/>
        <v>0.70175438596491224</v>
      </c>
      <c r="J20" s="6" t="s">
        <v>3</v>
      </c>
      <c r="K20" s="28"/>
      <c r="L20" s="9"/>
      <c r="M20" s="9"/>
      <c r="N20" s="9"/>
      <c r="O20" s="9"/>
    </row>
    <row r="21" spans="1:16" s="26" customFormat="1" ht="38.25">
      <c r="A21" s="29" t="s">
        <v>28</v>
      </c>
      <c r="B21" s="30">
        <v>8</v>
      </c>
      <c r="C21" s="30">
        <v>13</v>
      </c>
      <c r="D21" s="30">
        <v>6</v>
      </c>
      <c r="E21" s="30">
        <v>6</v>
      </c>
      <c r="F21" s="30">
        <v>4</v>
      </c>
      <c r="G21" s="31"/>
      <c r="H21" s="39">
        <f t="shared" si="3"/>
        <v>-33.333333333333329</v>
      </c>
      <c r="I21" s="32">
        <f t="shared" si="4"/>
        <v>0.2807017543859649</v>
      </c>
      <c r="J21" s="40" t="s">
        <v>29</v>
      </c>
      <c r="K21" s="24"/>
      <c r="L21" s="27"/>
      <c r="M21" s="27"/>
      <c r="N21" s="27"/>
    </row>
    <row r="22" spans="1:16" ht="15.6" customHeight="1">
      <c r="A22" s="12" t="s">
        <v>4</v>
      </c>
      <c r="B22" s="11"/>
      <c r="C22" s="11"/>
      <c r="D22" s="11"/>
      <c r="E22" s="11"/>
      <c r="F22" s="11"/>
      <c r="G22" s="11"/>
      <c r="H22" s="11"/>
      <c r="I22" s="20"/>
      <c r="J22" s="36" t="s">
        <v>5</v>
      </c>
      <c r="L22" s="2"/>
      <c r="M22" s="2"/>
      <c r="N22" s="2"/>
      <c r="O22" s="2"/>
    </row>
    <row r="23" spans="1:16" ht="25.5" customHeight="1">
      <c r="A23" s="16"/>
      <c r="L23" s="2"/>
      <c r="M23" s="2"/>
      <c r="N23" s="2"/>
      <c r="O23" s="2"/>
    </row>
    <row r="24" spans="1:16">
      <c r="L24" s="2"/>
      <c r="M24" s="2"/>
      <c r="N24" s="2"/>
      <c r="O24" s="2"/>
    </row>
    <row r="25" spans="1:16">
      <c r="L25" s="2"/>
      <c r="M25" s="2"/>
      <c r="N25" s="2"/>
      <c r="O25" s="2"/>
    </row>
    <row r="26" spans="1:16">
      <c r="L26" s="2"/>
      <c r="M26" s="2"/>
      <c r="N26" s="2"/>
      <c r="O26" s="2"/>
    </row>
    <row r="27" spans="1:16">
      <c r="L27" s="2"/>
      <c r="M27" s="2"/>
      <c r="N27" s="2"/>
      <c r="O27" s="2"/>
    </row>
    <row r="28" spans="1:16" ht="17.25">
      <c r="A28" s="13"/>
      <c r="B28" s="4"/>
      <c r="C28" s="4"/>
      <c r="D28" s="4"/>
      <c r="E28" s="4"/>
      <c r="F28" s="4"/>
      <c r="G28" s="4"/>
      <c r="H28" s="7"/>
      <c r="I28" s="7"/>
      <c r="J28" s="14"/>
      <c r="L28" s="2"/>
      <c r="M28" s="2"/>
      <c r="N28" s="2"/>
      <c r="O28" s="2"/>
    </row>
    <row r="29" spans="1:16">
      <c r="L29" s="2"/>
      <c r="M29" s="2"/>
      <c r="N29" s="3"/>
      <c r="O29" s="24"/>
      <c r="P29" s="33"/>
    </row>
    <row r="30" spans="1:16">
      <c r="L30" s="2"/>
      <c r="M30" s="2"/>
      <c r="N30" s="3"/>
      <c r="O30" s="24"/>
      <c r="P30" s="33"/>
    </row>
    <row r="31" spans="1:16">
      <c r="N31" s="3"/>
      <c r="O31" s="24"/>
      <c r="P31" s="33"/>
    </row>
    <row r="32" spans="1:16">
      <c r="N32" s="8"/>
      <c r="O32" s="8"/>
    </row>
    <row r="33" spans="14:15">
      <c r="N33" s="8"/>
      <c r="O33" s="8"/>
    </row>
    <row r="34" spans="14:15">
      <c r="N34" s="8"/>
      <c r="O34" s="8"/>
    </row>
    <row r="35" spans="14:15">
      <c r="N35" s="8"/>
      <c r="O35" s="8"/>
    </row>
    <row r="36" spans="14:15">
      <c r="N36" s="8"/>
      <c r="O36" s="8"/>
    </row>
    <row r="37" spans="14:15">
      <c r="N37" s="8"/>
      <c r="O37" s="8"/>
    </row>
  </sheetData>
  <mergeCells count="9">
    <mergeCell ref="D3:D5"/>
    <mergeCell ref="J3:J5"/>
    <mergeCell ref="A1:J1"/>
    <mergeCell ref="A2:J2"/>
    <mergeCell ref="A3:A5"/>
    <mergeCell ref="B3:B5"/>
    <mergeCell ref="C3:C5"/>
    <mergeCell ref="E3:E5"/>
    <mergeCell ref="F3:F5"/>
  </mergeCells>
  <pageMargins left="0.7" right="0.7" top="0.75" bottom="0.75" header="0.3" footer="0.3"/>
  <pageSetup paperSize="9" scale="64" orientation="portrait" horizontalDpi="4294967295" verticalDpi="4294967295" r:id="rId1"/>
  <ignoredErrors>
    <ignoredError sqref="G14 B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2021-09-28T02:57:19Z</cp:lastPrinted>
  <dcterms:created xsi:type="dcterms:W3CDTF">2019-06-30T04:22:49Z</dcterms:created>
  <dcterms:modified xsi:type="dcterms:W3CDTF">2021-09-28T02:57:42Z</dcterms:modified>
</cp:coreProperties>
</file>