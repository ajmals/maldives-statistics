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8. Law and Order\"/>
    </mc:Choice>
  </mc:AlternateContent>
  <bookViews>
    <workbookView xWindow="0" yWindow="0" windowWidth="28740" windowHeight="11730" tabRatio="877"/>
  </bookViews>
  <sheets>
    <sheet name="8.38" sheetId="75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'8.38'!$A$1:$G$248</definedName>
    <definedName name="_xlnm.Print_Titles" localSheetId="0">'8.38'!$3:$5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5" i="75" l="1"/>
  <c r="AD111" i="75" s="1"/>
  <c r="D215" i="75"/>
  <c r="C215" i="75"/>
  <c r="B215" i="75"/>
  <c r="E213" i="75"/>
  <c r="AD110" i="75" s="1"/>
  <c r="D213" i="75"/>
  <c r="C213" i="75"/>
  <c r="B213" i="75"/>
  <c r="E203" i="75"/>
  <c r="AD109" i="75" s="1"/>
  <c r="D203" i="75"/>
  <c r="C203" i="75"/>
  <c r="B203" i="75"/>
  <c r="E193" i="75"/>
  <c r="AD108" i="75" s="1"/>
  <c r="D193" i="75"/>
  <c r="C193" i="75"/>
  <c r="B193" i="75"/>
  <c r="E181" i="75"/>
  <c r="AD107" i="75" s="1"/>
  <c r="D181" i="75"/>
  <c r="C181" i="75"/>
  <c r="B181" i="75"/>
  <c r="E167" i="75"/>
  <c r="AD106" i="75" s="1"/>
  <c r="D167" i="75"/>
  <c r="C167" i="75"/>
  <c r="B167" i="75"/>
  <c r="E160" i="75"/>
  <c r="AD105" i="75" s="1"/>
  <c r="D160" i="75"/>
  <c r="C160" i="75"/>
  <c r="B160" i="75"/>
  <c r="E154" i="75"/>
  <c r="AD104" i="75" s="1"/>
  <c r="D154" i="75"/>
  <c r="C154" i="75"/>
  <c r="B154" i="75"/>
  <c r="E145" i="75"/>
  <c r="AD103" i="75" s="1"/>
  <c r="D145" i="75"/>
  <c r="C145" i="75"/>
  <c r="B145" i="75"/>
  <c r="E139" i="75"/>
  <c r="AD102" i="75" s="1"/>
  <c r="D139" i="75"/>
  <c r="C139" i="75"/>
  <c r="B139" i="75"/>
  <c r="E128" i="75"/>
  <c r="AD101" i="75" s="1"/>
  <c r="D128" i="75"/>
  <c r="C128" i="75"/>
  <c r="B128" i="75"/>
  <c r="E119" i="75"/>
  <c r="AD100" i="75" s="1"/>
  <c r="D119" i="75"/>
  <c r="C119" i="75"/>
  <c r="B119" i="75"/>
  <c r="AE112" i="75"/>
  <c r="E109" i="75"/>
  <c r="AD99" i="75" s="1"/>
  <c r="D109" i="75"/>
  <c r="C109" i="75"/>
  <c r="B109" i="75"/>
  <c r="E104" i="75"/>
  <c r="AD98" i="75" s="1"/>
  <c r="D104" i="75"/>
  <c r="C104" i="75"/>
  <c r="B104" i="75"/>
  <c r="AE90" i="75"/>
  <c r="E90" i="75"/>
  <c r="AD97" i="75" s="1"/>
  <c r="D90" i="75"/>
  <c r="C90" i="75"/>
  <c r="B90" i="75"/>
  <c r="E74" i="75"/>
  <c r="AD96" i="75" s="1"/>
  <c r="D74" i="75"/>
  <c r="C74" i="75"/>
  <c r="B74" i="75"/>
  <c r="E60" i="75"/>
  <c r="AD95" i="75" s="1"/>
  <c r="D60" i="75"/>
  <c r="C60" i="75"/>
  <c r="B60" i="75"/>
  <c r="E46" i="75"/>
  <c r="AD94" i="75" s="1"/>
  <c r="D46" i="75"/>
  <c r="C46" i="75"/>
  <c r="B46" i="75"/>
  <c r="E32" i="75"/>
  <c r="AD93" i="75" s="1"/>
  <c r="D32" i="75"/>
  <c r="C32" i="75"/>
  <c r="B32" i="75"/>
  <c r="E17" i="75"/>
  <c r="AD92" i="75" s="1"/>
  <c r="AD90" i="75" s="1"/>
  <c r="D17" i="75"/>
  <c r="C17" i="75"/>
  <c r="B17" i="75"/>
  <c r="B16" i="75" s="1"/>
  <c r="B6" i="75" s="1"/>
  <c r="E7" i="75"/>
  <c r="AC130" i="75" s="1"/>
  <c r="D7" i="75"/>
  <c r="C7" i="75"/>
  <c r="B7" i="75"/>
  <c r="D16" i="75" l="1"/>
  <c r="C16" i="75"/>
  <c r="C6" i="75" s="1"/>
  <c r="AD112" i="75"/>
  <c r="E16" i="75"/>
  <c r="E6" i="75" s="1"/>
  <c r="D6" i="75"/>
  <c r="AC129" i="75" l="1"/>
  <c r="AC128" i="75" s="1"/>
  <c r="AD130" i="75" s="1"/>
  <c r="AD129" i="75" l="1"/>
</calcChain>
</file>

<file path=xl/sharedStrings.xml><?xml version="1.0" encoding="utf-8"?>
<sst xmlns="http://schemas.openxmlformats.org/spreadsheetml/2006/main" count="466" uniqueCount="465">
  <si>
    <t>Male'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</si>
  <si>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</si>
  <si>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</si>
  <si>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</si>
  <si>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</si>
  <si>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</si>
  <si>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</si>
  <si>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</si>
  <si>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</si>
  <si>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</si>
  <si>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</si>
  <si>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</si>
  <si>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</si>
  <si>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</si>
  <si>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</si>
  <si>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</si>
  <si>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</si>
  <si>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</si>
  <si>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</si>
  <si>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</si>
  <si>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</si>
  <si>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</si>
  <si>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ޖުމްލަ</t>
  </si>
  <si>
    <t xml:space="preserve">Total </t>
  </si>
  <si>
    <t>Drug court</t>
  </si>
  <si>
    <t>Civil Court</t>
  </si>
  <si>
    <t>Criminal Court</t>
  </si>
  <si>
    <t>Family Court</t>
  </si>
  <si>
    <t>Juvenile Court</t>
  </si>
  <si>
    <t>ޖުވެނައިލް ކޯޓް</t>
  </si>
  <si>
    <t>ސިވިލް ކޯޓް</t>
  </si>
  <si>
    <t>މަޢުލޫމާތު ދެއްވި ފަރާތް: ޖުޑީޝަލް ސަރވިސް ކޮމިޝަން</t>
  </si>
  <si>
    <t>% share 2019</t>
  </si>
  <si>
    <t xml:space="preserve"> Court</t>
  </si>
  <si>
    <t>ފަނޑިޔާރުންގެ އަދަދު</t>
  </si>
  <si>
    <t>ކޯޓް</t>
  </si>
  <si>
    <t>Assigned number of Majistrates</t>
  </si>
  <si>
    <t>Courts in Male'</t>
  </si>
  <si>
    <t xml:space="preserve">މާލޭ ކޯޓުތައް </t>
  </si>
  <si>
    <t>Supreme court</t>
  </si>
  <si>
    <t>ދިވެހިރާއްޖޭގެ ސުޕްރީމް ކޯޓް</t>
  </si>
  <si>
    <t>High court</t>
  </si>
  <si>
    <t>ދިވެހިރާއްޖޭގެ ހައި ކޯޓް</t>
  </si>
  <si>
    <t>ކްރިމިނަލް ކޯޓް</t>
  </si>
  <si>
    <t>ފެމިލީ ކޯޓް</t>
  </si>
  <si>
    <t>ޑްރަގްކޯޓް</t>
  </si>
  <si>
    <t>Hulhumale' majistrate court</t>
  </si>
  <si>
    <t>ހުޅުމާލެ މެޖިސްޓްރޭޓް ކޯޓް</t>
  </si>
  <si>
    <t>Majistrate Courts in Atolls</t>
  </si>
  <si>
    <t>މެޖިސްޓްރޭޓް ކޯޓް (އަތޮޅު)</t>
  </si>
  <si>
    <t>HA. Atoll</t>
  </si>
  <si>
    <t>ހއ. އަތޮޅު</t>
  </si>
  <si>
    <t>HA.Dhidhoo majistrate Court</t>
  </si>
  <si>
    <t>ހއ. ދިއްދޫ މެޖިސްޓްރޭޓް ކޯޓް</t>
  </si>
  <si>
    <t>HA.Thuraakunu majistrate court</t>
  </si>
  <si>
    <t>ހއ. ތުރާކުނު މެޖިސްޓްރޭޓް ކޯޓް</t>
  </si>
  <si>
    <t>HA.Hoarafushi majistarte court</t>
  </si>
  <si>
    <t>ހއ. ހޯރަފުށީ މެޖިސްޓްރޭޓް ކޯޓް</t>
  </si>
  <si>
    <t>HA.Ihavandhoo majistarte court</t>
  </si>
  <si>
    <t>ހއ. އިހަވަންދޫ މެޖިސްޓްރޭޓް ކޯޓް</t>
  </si>
  <si>
    <t>HA.Filladhoo majistarte court</t>
  </si>
  <si>
    <t>ހއ. ފިއްލަދޫ މެޖިސްޓްރޭޓް ކޯޓް</t>
  </si>
  <si>
    <t>HA.Vashafaru majistarte court</t>
  </si>
  <si>
    <t>ހއ. ވަށަފަރު މެޖިސްޓްރޭޓް ކޯޓް</t>
  </si>
  <si>
    <t>HA.Muraidhoo majistarte court</t>
  </si>
  <si>
    <t>ހއ. މުރައިދޫ މެޖިސްޓްރޭޓް ކޯޓް</t>
  </si>
  <si>
    <t>HA.Baarah majistrate court</t>
  </si>
  <si>
    <t>ހއ. ބާރަށް މެޖިސްޓްރޭޓް ކޯޓް</t>
  </si>
  <si>
    <t>HA.Molhadhoo majistrate court</t>
  </si>
  <si>
    <t>ހއ. މޮޅަދޫ މެޖިސްޓްރޭޓް ކޯޓް</t>
  </si>
  <si>
    <t>HA.Marandhoo majistrate court</t>
  </si>
  <si>
    <t>ހއ. މާރަންދޫ މެޖިސްޓްރޭޓް ކޯޓް</t>
  </si>
  <si>
    <t>HA.Thakandhoo majistrate court</t>
  </si>
  <si>
    <t>ހއ. ތަކަންދޫ މެޖިސްޓްރޭޓް ކޯޓް</t>
  </si>
  <si>
    <t>HA.Kelaa majistrate court</t>
  </si>
  <si>
    <t>ހއ. ކެލާ މެޖިސްޓްރޭޓް ކޯޓް</t>
  </si>
  <si>
    <t>HA.Uligamu majistrate court</t>
  </si>
  <si>
    <t>ހއ. އުލިގަމު މެޖިސްޓްރޭޓް ކޯޓް</t>
  </si>
  <si>
    <t>HA.Utheemu majistrate court</t>
  </si>
  <si>
    <t>ހއ. އުތީމު މެޖިސްޓްރޭޓް ކޯޓް</t>
  </si>
  <si>
    <t>HDh. Atoll</t>
  </si>
  <si>
    <t>ހދ. އަތޮޅު</t>
  </si>
  <si>
    <t>HDh.Kulhudhufushi majistrate court</t>
  </si>
  <si>
    <t>ހދ. ކުޅުދުއްފުށީ މެޖިސްޓްރޭޓް ކޯޓް</t>
  </si>
  <si>
    <t>HDh.Vaikaradhoo majistrate court</t>
  </si>
  <si>
    <t>ހދ. ވައިކަރަދޫ މެޖިސްޓްރޭޓް ކޯޓް</t>
  </si>
  <si>
    <t>HDh.Hanimaadhoo majistrate court</t>
  </si>
  <si>
    <t>ހދ. ހަނިމާދޫ މެޖިސްޓްރޭޓް ކޯޓް</t>
  </si>
  <si>
    <t>HDh.Neillaadhoo majistrate court</t>
  </si>
  <si>
    <t>ހދ. ނެއްލައިދޫ މެޖިސްޓްރޭޓް ކޯޓް</t>
  </si>
  <si>
    <t>HDh.Hirimaradhoo majistrate court</t>
  </si>
  <si>
    <t>ހދ. ހިރިމަރަދޫ މެޖިސްޓްރޭޓް ކޯޓް</t>
  </si>
  <si>
    <t>HDh.Finey majistrate court</t>
  </si>
  <si>
    <t>ހދ. ފިނޭ މެޖިސްޓްރޭޓް ކޯޓް</t>
  </si>
  <si>
    <t>HDh.Kuribey majistrate court</t>
  </si>
  <si>
    <t>ހދ. ކުރިބީ މެޖިސްޓްރޭޓް ކޯޓް</t>
  </si>
  <si>
    <t>HDh.Naivadhoo majistrate court</t>
  </si>
  <si>
    <t>ހދ. ނައިވާދޫ މެޖިސްޓްރޭޓް ކޯޓް</t>
  </si>
  <si>
    <t>HDh.Neykurendhoo majistrate court</t>
  </si>
  <si>
    <t>ހދ. ނޭކުރެންދޫ މެޖިސްޓްރޭޓް ކޯޓް</t>
  </si>
  <si>
    <t>HDh.Nolhivaranfaru majistrate court</t>
  </si>
  <si>
    <t>ހދ. ނޮޅިވަރަންފަރު މެޖިސްޓްރޭޓް ކޯޓް</t>
  </si>
  <si>
    <t>HDh.Nolhivaran majistrate court</t>
  </si>
  <si>
    <t>ހދ. ނޮޅިވަރަން މެޖިސްޓްރޭޓް ކޯޓް</t>
  </si>
  <si>
    <t>HDh.Makunudhoo majistrate court</t>
  </si>
  <si>
    <t>ހދ. މަކުނުދޫ މެޖިސްޓްރޭޓް ކޯޓް</t>
  </si>
  <si>
    <t>HDh.kumundhoo majistrate court</t>
  </si>
  <si>
    <t>ހދ. ކުމުންދޫ މެޖިސްޓްރޭޓް ކޯޓް</t>
  </si>
  <si>
    <t>Sh. Atoll</t>
  </si>
  <si>
    <t>ށ. އަތޮޅު</t>
  </si>
  <si>
    <t>Sh.Funadhoo majistrate court</t>
  </si>
  <si>
    <t>ށ. ފުނަދޫ މެޖިސްޓްރޭޓް ކޯޓް</t>
  </si>
  <si>
    <t>Sh.Foakaidhoo majistrate court</t>
  </si>
  <si>
    <t>ށ. ފޯކައިދޫ މެޖިސްޓްރޭޓް ކޯޓް</t>
  </si>
  <si>
    <t>Sh.Goidhoo majistrate court</t>
  </si>
  <si>
    <t>ށ. ގޮއިދޫ މެޖިސްޓްރޭޓް ކޯޓް</t>
  </si>
  <si>
    <t>Sh.Feevaku majistrate court</t>
  </si>
  <si>
    <t>ށ. ފީވަކު މެޖިސްޓްރޭޓް ކޯޓް</t>
  </si>
  <si>
    <t>Sh.Kaditheemu majistrate court</t>
  </si>
  <si>
    <t>ށ. ކަނޑިތީމު މެޖިސްޓްރޭޓް ކޯޓް</t>
  </si>
  <si>
    <t>Sh.Bileifahi majistrate court</t>
  </si>
  <si>
    <t>ށ. ބިލެތްފަހި މެޖިސްޓްރޭޓް ކޯޓް</t>
  </si>
  <si>
    <t>Sh.Narudhoo majistrate court</t>
  </si>
  <si>
    <t>ށ. ނަރުދޫ މެޖިސްޓްރޭޓް ކޯޓް</t>
  </si>
  <si>
    <t>Sh.Maroshi majistrate court</t>
  </si>
  <si>
    <t>ށ. މަރޮށި މެޖިސްޓްރޭޓް ކޯޓް</t>
  </si>
  <si>
    <t>Sh.Lhaimagu majistrate court</t>
  </si>
  <si>
    <t>ށ. ޅައިމަގު މެޖިސްޓްރޭޓް ކޯޓް</t>
  </si>
  <si>
    <t>Sh.Komandoo majistrate court</t>
  </si>
  <si>
    <t>ށ. ކޮމަންޑޫ މެޖިސްޓްރޭޓް ކޯޓް</t>
  </si>
  <si>
    <t>Sh.Maaungoodhoo majistrate court</t>
  </si>
  <si>
    <t>ށ. މާއުގޫދޫ މެޖިސްޓްރޭޓް ކޯޓް</t>
  </si>
  <si>
    <t>Sh.Milandhoo majistrate court</t>
  </si>
  <si>
    <t>ށ. މިލަންދޫ މެޖިސްޓްރޭޓް ކޯޓު</t>
  </si>
  <si>
    <t>Sh.Feydhoo majistrate court</t>
  </si>
  <si>
    <t>ށ. ފޭދޫ މެޖިސްޓްރޭޓް ކޯޓު</t>
  </si>
  <si>
    <t>N. Atoll</t>
  </si>
  <si>
    <t>ނ. އަތޮޅު</t>
  </si>
  <si>
    <t>N.Manadhoo majistrate court</t>
  </si>
  <si>
    <t>ނ. މަނަދޫ މެޖިސްޓްރޭޓް ކޯޓް</t>
  </si>
  <si>
    <t>N.Henbadhoo majistrate court</t>
  </si>
  <si>
    <t>ނ. ހެބަނދޫ މެޖިސްޓްރޭޓް ކޯޓް</t>
  </si>
  <si>
    <t>N.Kendhikulhudhoo majistrate court</t>
  </si>
  <si>
    <t>ނ. ކެނދިކުޅަދޫ މެޖިސްޓްރޭޓް ކޯޓް</t>
  </si>
  <si>
    <t>N.Maalhendhoo majistrate court</t>
  </si>
  <si>
    <t>ނ. މާޅެންދޫ މެޖިސްޓްރޭޓް ކޯޓް</t>
  </si>
  <si>
    <t>N.Kudafari majistrate court</t>
  </si>
  <si>
    <t>ނ. ކުޑަފަރީ މެޖިސްޓްރޭޓް ކޯޓް</t>
  </si>
  <si>
    <t>N.Landhoo majistrate court</t>
  </si>
  <si>
    <t>ނ. ލަންދޫ މެޖިސްޓްރޭޓް  ކޯޓް</t>
  </si>
  <si>
    <t>N.Maafaru majistrate court</t>
  </si>
  <si>
    <t>ނ. މާފަރު މެޖިސްޓްރޭޓް ކޯޓް</t>
  </si>
  <si>
    <t>N.Magoodhoo majistrate court</t>
  </si>
  <si>
    <t>ނ. މަގޫދޫ މެޖިސްޓްރޭޓް ކޯޓް</t>
  </si>
  <si>
    <t>N.Fohdhoo majistrate court</t>
  </si>
  <si>
    <t>ނ. ފޮއްދޫ މެޖިސްޓްރޭޓް ކޯޓް</t>
  </si>
  <si>
    <t>N.Lhohee majistrate court</t>
  </si>
  <si>
    <t>ނ. ޅޮހީ މެޖިސްޓްރޭޓް ކޯޓް</t>
  </si>
  <si>
    <t>N.Holhudhoo majistrate court</t>
  </si>
  <si>
    <t>ނ. ހޮޅުދޫ މެޖިސްޓްރޭޓް ކޯޓު</t>
  </si>
  <si>
    <t>N.Velidhoo majistrate court</t>
  </si>
  <si>
    <t>ނ. ވެލިދޫ މެޖިސްޓްރޭޓް ކޯޓް</t>
  </si>
  <si>
    <t>N.Miladhoo majistrate court</t>
  </si>
  <si>
    <t>ނ. މިލަދޫ މެޖިސްޓްރޭޓް ކޯޓު</t>
  </si>
  <si>
    <t>R.Atoll</t>
  </si>
  <si>
    <t>ރ. އަތޮޅު</t>
  </si>
  <si>
    <t>R.Hulhudhufaaru magistrate court</t>
  </si>
  <si>
    <t>ރ. ހުޅުދުއްފާރު މެޖިސްޓްރޭޓް ކޯޓް</t>
  </si>
  <si>
    <t>R.Alifushi magistrate court</t>
  </si>
  <si>
    <t>ރ. އަލިފުށީ މެޖިސްޓްރޭޓް ކޯޓް</t>
  </si>
  <si>
    <t>R.Angolhitheemu magistrate court</t>
  </si>
  <si>
    <t>ރ. އަނގޮޅިތީމު މެޖިސްޓްރޭޓް ކޯޓް</t>
  </si>
  <si>
    <t>R.Inguraidhoo magistrate court</t>
  </si>
  <si>
    <t>ރ. އިނގުރައިދޫ މެޖިސްޓްރޭޓް ކޯޓް</t>
  </si>
  <si>
    <t>R.Meedhoo magistrate court</t>
  </si>
  <si>
    <t>ރ. މީދޫ މެޖިސްޓްރޭޓް ކޯޓް</t>
  </si>
  <si>
    <t>R.Dhuvaafaru magistrate court</t>
  </si>
  <si>
    <t>ރ. ދުވާފަރު މެޖިސްޓްރޭޓް ކޯޓް</t>
  </si>
  <si>
    <t>R.Innamaadhoo magistrate court</t>
  </si>
  <si>
    <t>ރ. އިންނަމާދޫ މެޖިސްޓްރޭޓް ކޯޓް</t>
  </si>
  <si>
    <t>R.Ungoofaaru magistrate court</t>
  </si>
  <si>
    <t>ރ. އުނގޫފާރު މެޖިސްޓްރޭޓް ކޯޓް</t>
  </si>
  <si>
    <t>R.Maakurathu magistrate court</t>
  </si>
  <si>
    <t>ރ. މާކުރަތު މެޖިސްޓްރޭޓް ކޯޓް</t>
  </si>
  <si>
    <t>R.Vaadhoo magistrate court</t>
  </si>
  <si>
    <t>ރ. ވާދޫ މެޖިސްޓްރޭޓް ކޯޓް</t>
  </si>
  <si>
    <t>R.Khinolhas magistrate court</t>
  </si>
  <si>
    <t>ރ. ކިނޮޅަސް މެޖިސްޓްރޭޓް ކޯޓް</t>
  </si>
  <si>
    <t>R.Fainu magistrate court</t>
  </si>
  <si>
    <t>ރ. ފައިނު މެޖިސްޓްރޭޓް  ކޯޓް</t>
  </si>
  <si>
    <t>R.Rasmadhoo magistrate court</t>
  </si>
  <si>
    <t>ރ. ރަސްމާދޫ މެޖިސްޓްރޭޓް  ކޯޓް</t>
  </si>
  <si>
    <t>R.Maduvvari magistrate court</t>
  </si>
  <si>
    <t>ރ. މަޑުއްވަރީ މެޖިސްޓްރޭޓް  ކޯޓް</t>
  </si>
  <si>
    <t>R.Rasgetheemu magistrate court</t>
  </si>
  <si>
    <t>ރ. ރަސްގެތީމު މެޖިސްޓްރޭޓް ކޯޓް</t>
  </si>
  <si>
    <t>B.Atoll</t>
  </si>
  <si>
    <t>ބ. އަތޮޅު</t>
  </si>
  <si>
    <t>B.Eydhafushi magistrate court</t>
  </si>
  <si>
    <t>ބ. އޭދަފުށީ މެޖިސްޓްރޭޓް ކޯޓް</t>
  </si>
  <si>
    <t>Number  of majistrates</t>
  </si>
  <si>
    <t>Number of islands with majistrate courts</t>
  </si>
  <si>
    <t>B.Kamadhoo magistrate court</t>
  </si>
  <si>
    <t>ބ. ކަމަދޫ މެޖިސްޓްރޭޓް ކޯޓް</t>
  </si>
  <si>
    <t>B.Dhonfanu magistrate court</t>
  </si>
  <si>
    <t>ބ. ދޮންފަނު މެޖިސްޓްރޭޓް ކޯޓް</t>
  </si>
  <si>
    <t>B.Kendhoo magistrate court</t>
  </si>
  <si>
    <t>ބ. ކެންދޫ މެޖިސްޓްރޭޓް ކޯޓް</t>
  </si>
  <si>
    <t>B.Goidhoo magistrate court</t>
  </si>
  <si>
    <t>ބ. ގޮއިދޫ މެޖިސްޓްރޭޓް ކޯޓް</t>
  </si>
  <si>
    <t>B.Dharavandhoo magistrate court</t>
  </si>
  <si>
    <t>ބ. ދަރަވަންދޫ މެޖިސްޓްރޭޓް ކޯޓް</t>
  </si>
  <si>
    <t>B.Hithaadhoo magistrate court</t>
  </si>
  <si>
    <t>ބ. ހިތާދޫ މެޖިސްޓްރޭޓް ކޯޓް</t>
  </si>
  <si>
    <t>B.Maalhos magistrate court</t>
  </si>
  <si>
    <t>ބ. މާޅޮހު މެޖިސްޓްރޭޓް ކޯޓް</t>
  </si>
  <si>
    <t>B.Kudarikhilu magistrate court</t>
  </si>
  <si>
    <t>ބ. ކުޑަރިކިލު މެޖިސްޓްރޭޓް ކޯޓް</t>
  </si>
  <si>
    <t>B.Kihadhoo magistrate court</t>
  </si>
  <si>
    <t>ބ. ކިހާދޫ މެޖިސްޓްރޭޓް ކޯޓް</t>
  </si>
  <si>
    <t>B.Fulhadhoo magistrate court</t>
  </si>
  <si>
    <t>ބ. ފުޅަދޫ މެޖިސްޓްރޭޓް  ކޯޓް</t>
  </si>
  <si>
    <t>B.Fehendhoo  magistrate court</t>
  </si>
  <si>
    <t>ބ. ފެހެންދޫ މެޖިސްޓްރޭޓް  ކޯޓް</t>
  </si>
  <si>
    <t>B.Thulhaadhoo magistrate court</t>
  </si>
  <si>
    <t>ބ. ތުޅާދޫ މެޖިސްޓްރޭޓް ކޯޓް</t>
  </si>
  <si>
    <t>Lh.Atoll</t>
  </si>
  <si>
    <t>ޅ. އަތޮޅު</t>
  </si>
  <si>
    <t>Lh.Naifaru magistrate court</t>
  </si>
  <si>
    <t>ޅ. ނައިފަރު މެޖިސްޓްރޭޓް ކޯޓް</t>
  </si>
  <si>
    <t>Lh.Hinnavaru magistrate court</t>
  </si>
  <si>
    <t>ޅ. ހިންނަވަރު މެޖިސްޓްރޭޓް ކޯޓް</t>
  </si>
  <si>
    <t>Lh.Olhuvelifushi magistrate court</t>
  </si>
  <si>
    <t>ޅ. އޮޅިވެލިފުށީ މެޖިސްޓްރޭޓް ކޯޓް</t>
  </si>
  <si>
    <t>Lh.Kurendhoo magistrate court</t>
  </si>
  <si>
    <t>ޅ. ކުރެންދޫ މެޖިސްޓްރޭޓް ކޯޓް</t>
  </si>
  <si>
    <t>K.Atoll</t>
  </si>
  <si>
    <t>ކ. އަތޮޅު</t>
  </si>
  <si>
    <t>K.Thulusdhoo magistrate court</t>
  </si>
  <si>
    <t>ކ. ތުލުސްދޫ މެޖިސްޓްރޭޓް ކޯޓް</t>
  </si>
  <si>
    <t>K.Kaashidhoo magistrate court</t>
  </si>
  <si>
    <t>ކ. ކާށިދޫ މެޖިސްޓްރޭޓް ކޯޓް</t>
  </si>
  <si>
    <t>K.Dhifushi magistrate court</t>
  </si>
  <si>
    <t>ކ. ދިއްފުށީ މެޖިސްޓްރޭޓް ކޯޓް</t>
  </si>
  <si>
    <t>K.Huraa magistrate court</t>
  </si>
  <si>
    <t>ކ. ހުރާ މެޖިސްޓްރޭޓް ކޯޓް</t>
  </si>
  <si>
    <t>K.Hinmafushi magistrate court</t>
  </si>
  <si>
    <t>ކ. ހިއްމަފުށީ މެޖިސްޓްރޭޓް ކޯޓް</t>
  </si>
  <si>
    <t>K.Maafushi magistrate court</t>
  </si>
  <si>
    <t>ކ. މާފުށީ މެޖިސްޓްރޭޓް ކޯޓް</t>
  </si>
  <si>
    <t>K.Guraidhoo magistrate court</t>
  </si>
  <si>
    <t>ކ. ގުރައިދޫ މެޖިސްޓްރޭޓް ކޯޓް</t>
  </si>
  <si>
    <t>K.Gulhi magistrate court</t>
  </si>
  <si>
    <t>ކ. ގުޅި މެޖިސްޓްރޭޓް ކޯޓް</t>
  </si>
  <si>
    <t>K.Gaafaru magistrate court</t>
  </si>
  <si>
    <t>ކ. ގާފަރު މެޖިސްޓްރޭޓް ކޯޓް</t>
  </si>
  <si>
    <t>AA.Atoll</t>
  </si>
  <si>
    <t>އއ. އަތޮޅު</t>
  </si>
  <si>
    <t>AA.Rasdhoo magistrate court</t>
  </si>
  <si>
    <t>އއ. ރަސްދޫ މެޖިސްޓްރޭޓް ކޯޓް</t>
  </si>
  <si>
    <t>AA.Thodoo magistrate court</t>
  </si>
  <si>
    <t>އއ. ތޮއްޑޫ މެޖިސްޓްރޭޓް ކޯޓް</t>
  </si>
  <si>
    <t>AA.Mathiveri magistrate court</t>
  </si>
  <si>
    <t>އއ. މަތިވެރި މެޖިސްޓްރޭޓް ކޯޓް</t>
  </si>
  <si>
    <t>AA.Maalhohu magistrate court</t>
  </si>
  <si>
    <t>އއ. މާޅޮހު މެޖިސްޓްރޭޓް ކޯޓް</t>
  </si>
  <si>
    <t>AA.Himandhoo magistrate court</t>
  </si>
  <si>
    <t>އއ. ހިމަންދޫ މެޖިސްޓްރޭޓް ކޯޓް</t>
  </si>
  <si>
    <t>AA.Ukulhahu magistrate court</t>
  </si>
  <si>
    <t>އއ. އުކުޅަހު މެޖިސްޓްރޭޓް ކޯޓް</t>
  </si>
  <si>
    <t>AA.Bodufolhudhoo magistrate court</t>
  </si>
  <si>
    <t>އއ. ބޮޑުފޮޅުދޫ މެޖިސްޓްރޭޓް ކޯޓް</t>
  </si>
  <si>
    <t>AA.Feridhoo magistrate court</t>
  </si>
  <si>
    <t>އއ. ފެރިދޫ މެޖިސްޓްރޭޓް ކޯޓް</t>
  </si>
  <si>
    <t>ADh.Atoll</t>
  </si>
  <si>
    <t>އދ. އަތޮޅު</t>
  </si>
  <si>
    <t>ADh.Mahibadhoo magistrate court</t>
  </si>
  <si>
    <t>އދ. މަހިބަދޫ މެޖިސްޓްރޭޓް ކޯޓް</t>
  </si>
  <si>
    <t>ADh.Omadhoo magistrate court</t>
  </si>
  <si>
    <t>އދ. އޮމަދޫ މެޖިސްޓްރޭޓް ކޯޓް</t>
  </si>
  <si>
    <t>ADh.Mandhoo magistrate court</t>
  </si>
  <si>
    <t>އދ. މަންދޫ މެޖިސްޓްރޭޓް ކޯޓް</t>
  </si>
  <si>
    <t>ADh.Maamigili magistrate court</t>
  </si>
  <si>
    <t>އދ. މާމިގިލި މެޖިސްޓްރޭޓް ކޯޓް</t>
  </si>
  <si>
    <t>ADh.Hannameedhoo magistrate court</t>
  </si>
  <si>
    <t>އދ. ހަންޏާމީދޫ މެޖިސްޓްރޭޓް ކޯޓް</t>
  </si>
  <si>
    <t>ADh.Fenfushi magistrate court</t>
  </si>
  <si>
    <t>އދ. ފެންފުށި މެޖިސްޓްރޭޓް ކޯޓް</t>
  </si>
  <si>
    <t>ADh.Kuburudhoo magistrate court</t>
  </si>
  <si>
    <t>އދ. ކުނބުރުދޫ މެޖިސްޓްރޭޓް ކޯޓް</t>
  </si>
  <si>
    <t>ADh.Dhidhoo magistrate court</t>
  </si>
  <si>
    <t>އދ. ދިއްދޫ މެޖިސްޓްރޭޓް ކޯޓް</t>
  </si>
  <si>
    <t>ADh.Dhigurah magistrate court</t>
  </si>
  <si>
    <t>އދ. ދިގުރަށު މެޖިސްޓްރޭޓް ކޯޓް</t>
  </si>
  <si>
    <t>ADh.Dhangethi magistrate court</t>
  </si>
  <si>
    <t>އދ. ދަނގެތި މެޖިސްޓްރޭޓް ކޯޓް</t>
  </si>
  <si>
    <t>V.Atoll</t>
  </si>
  <si>
    <t>ވ. އަތޮޅު</t>
  </si>
  <si>
    <t>V.Felidhoo magistrate court</t>
  </si>
  <si>
    <t>ވ. ފެލިދޫ މެޖިސްޓްރޭޓް ކޯޓް</t>
  </si>
  <si>
    <t>V.Thinadhoo magistrate court</t>
  </si>
  <si>
    <t>ވ. ތިނަދޫ މެޖިސްޓްރޭޓް ކޯޓް</t>
  </si>
  <si>
    <t>V.Fulidhoo magistrate court</t>
  </si>
  <si>
    <t>ވ. ފުލިދޫ މެޖިސްޓްރޭޓް ކޯޓް</t>
  </si>
  <si>
    <t>V.Rakeedhoo magistrate court</t>
  </si>
  <si>
    <t>ވ. ރަކީދޫ މެޖިސްޓްރޭޓް ކޯޓް</t>
  </si>
  <si>
    <t>V.Keyodhoo magistrate court</t>
  </si>
  <si>
    <t>ވ. ކެޔޮދޫ މެޖިސްޓްރޭޓް ކޯޓް</t>
  </si>
  <si>
    <t>M.Atoll</t>
  </si>
  <si>
    <t>މ. އަތޮޅު</t>
  </si>
  <si>
    <t>M.Muli magistrate court</t>
  </si>
  <si>
    <t>މ. މުލީ މެޖިސްޓްރޭޓް ކޯޓް</t>
  </si>
  <si>
    <t>M.Mulaku magistrate court</t>
  </si>
  <si>
    <t>މ. މުލަކު މެޖިސްޓްރޭޓް ކޯޓް</t>
  </si>
  <si>
    <t>M.Rahmandhoo magistrate court</t>
  </si>
  <si>
    <t>މ. ރަތްމަންދޫ މެޖިސްޓްރޭޓް ކޯޓް</t>
  </si>
  <si>
    <t>M.Kolhufushi magistrate court</t>
  </si>
  <si>
    <t>މ. ކޮޅުފުށީ މެޖިސްޓްރޭޓް ކޯޓް</t>
  </si>
  <si>
    <t>M.Naalaafushi magistrate court</t>
  </si>
  <si>
    <t>މ. ނާލާފުށީ މެޖިސްޓްރޭޓް ކޯޓް</t>
  </si>
  <si>
    <t>M.Veyvashu magistrate court</t>
  </si>
  <si>
    <t>މ. ވޭވަށު މެޖިސްޓްރޭޓް  ކޯޓް</t>
  </si>
  <si>
    <t>M.Maduvvari magistrate court</t>
  </si>
  <si>
    <t>މ. މަޑުއްވަރީ މެޖިސްޓްރޭޓް ކޯޓް</t>
  </si>
  <si>
    <t>M.Dhigaru magistrate court</t>
  </si>
  <si>
    <t>މ. ދިއްގަރު މެޖިސްޓްރޭޓް ކޯޓް</t>
  </si>
  <si>
    <t>F.Atoll</t>
  </si>
  <si>
    <t>ފ. އަތޮޅު</t>
  </si>
  <si>
    <t>F.Nilandhoo magistrate court</t>
  </si>
  <si>
    <t>ފ. ނިލަންދޫ މެޖިސްޓްރޭޓް ކޯޓް</t>
  </si>
  <si>
    <t>F.Magoodhoo magistrate court</t>
  </si>
  <si>
    <t>ފ. މަގޫދޫ މެޖިސްޓްރޭޓް ކޯޓް</t>
  </si>
  <si>
    <t>F.Bileidhoo magistrate court</t>
  </si>
  <si>
    <t>ފ. ބިލެތްދޫ މެޖިސްޓްރޭޓް  ކޯޓް</t>
  </si>
  <si>
    <t>F.Daraboodhoo magistrate court</t>
  </si>
  <si>
    <t>ފ. ދަނރަބޫދޫ މެޖިސްޓްރޭޓް  ކޯޓް</t>
  </si>
  <si>
    <t>F.Feeali magistrate court</t>
  </si>
  <si>
    <t>ފ. ފީއަލީ މެޖިސްޓްރޭޓް ކޯޓް</t>
  </si>
  <si>
    <t>Dh.Atoll</t>
  </si>
  <si>
    <t>ދ. އަތޮޅު</t>
  </si>
  <si>
    <t>Dh.Kudahuvadhoo magistrate court</t>
  </si>
  <si>
    <t>ދ. ކުޑަހުވަދޫ މެޖިސްޓްރޭޓް ކޯޓް</t>
  </si>
  <si>
    <t>Dh.Bandidhoo magistrate court</t>
  </si>
  <si>
    <t>ދ. ބަނޑިދޫ މެޖިސްޓްރޭޓް ކޯޓް</t>
  </si>
  <si>
    <t>Dh.Ribudhoo magistrate court</t>
  </si>
  <si>
    <t>ދ. ރިނބުދޫ މެޖިސްޓްރޭޓް ކޯޓް</t>
  </si>
  <si>
    <t>Dh.Hulhudheli magistrate court</t>
  </si>
  <si>
    <t>ދ. ހުޅުދެލީ މެޖިސްޓްރޭޓް  ކޯޓް</t>
  </si>
  <si>
    <t>Dh.Maaembudhoo magistrate court</t>
  </si>
  <si>
    <t>ދ. މާއެނބޫދޫ މެޖިސްޓްރޭޓް ކޯޓް</t>
  </si>
  <si>
    <t>Dh.Meedhoo magistrate court</t>
  </si>
  <si>
    <t>ދ. މީދޫ މެޖިސްޓްރޭޓް ކޯޓް</t>
  </si>
  <si>
    <t>Th.Atoll</t>
  </si>
  <si>
    <t>ތ. އަތޮޅު</t>
  </si>
  <si>
    <t>Th.Buruni magistrate court</t>
  </si>
  <si>
    <t>ތ. ބުރުނީ މެޖިސްޓްރޭޓް ކޯޓް</t>
  </si>
  <si>
    <t>Th.Gaadhifushi magistrate court</t>
  </si>
  <si>
    <t>ތ. ގާދިއްފުށީ މެޖިސްޓްރޭޓް ކޯޓް</t>
  </si>
  <si>
    <t>Th.Vilufushi magistrate court</t>
  </si>
  <si>
    <t>ތ. ވިލުފުށީ މެޖިސްޓްރޭޓް ކޯޓް</t>
  </si>
  <si>
    <t>Th.Guraidhoo magistrate court</t>
  </si>
  <si>
    <t>ތ. ގުރައިދޫ މެޖިސްޓްރޭޓް ކޯޓް</t>
  </si>
  <si>
    <t>Th.Veymandoo magistrate court</t>
  </si>
  <si>
    <t>ތ. ވޭމަންޑޫ މެޖިސްޓްރޭޓް ކޯޓް</t>
  </si>
  <si>
    <t>Th.Kandoodhoo magistrate court</t>
  </si>
  <si>
    <t>ތ. ކަނޑޫދޫ މެޖިސްޓްރޭޓް ކޯޓް</t>
  </si>
  <si>
    <t>Th.Vandhoo magistrate court</t>
  </si>
  <si>
    <t>ތ. ވަންދޫ މެޖިސްޓްރޭޓް ކޯޓް</t>
  </si>
  <si>
    <t>Th.Thimarafushi magistrate court</t>
  </si>
  <si>
    <t>ތ. ތިމަރަފުށީ މެޖިސްޓްރޭޓް ކޯޓް</t>
  </si>
  <si>
    <t>Th.Omadhoo magistrate court</t>
  </si>
  <si>
    <t>ތ. އޮމަދޫ މެޖިސްޓްރޭޓް ކޯޓް</t>
  </si>
  <si>
    <t>Th.Hirilandhoo magistrate court</t>
  </si>
  <si>
    <t>ތ. ހިރިލަންދޫ މެޖިސްޓްރޭޓް ކޯޓް</t>
  </si>
  <si>
    <t>Th.Dhiyamigili magistrate court</t>
  </si>
  <si>
    <t>ތ. ދިޔަމިގިލީ މެޖިސްޓްރޭޓް ކޯޓް</t>
  </si>
  <si>
    <t>Th.Madifushi magistrate court</t>
  </si>
  <si>
    <t>ތ. މަޑިފުށި މެޖިސްޓްރޭޓް ކޯޓް</t>
  </si>
  <si>
    <t>Th.Kinbidhoo magistrate court</t>
  </si>
  <si>
    <t>ތ. ކިނބިދޫ މެޖިސްޓްރޭޓް ކޯޓް</t>
  </si>
  <si>
    <t>L.Atoll</t>
  </si>
  <si>
    <t>ލ. އަތޮޅު</t>
  </si>
  <si>
    <t>L.Fonadhoo magistrate court</t>
  </si>
  <si>
    <t>ލ. ފޮނަދޫ މެޖިސްޓްރޭޓް ކޯޓް</t>
  </si>
  <si>
    <t>L.Maabaidhoo magistrate court</t>
  </si>
  <si>
    <t>ލ. މާބައިދޫ މެޖިސްޓްރޭޓް ކޯޓް</t>
  </si>
  <si>
    <t>L.Gamu magistrate court</t>
  </si>
  <si>
    <t>ލ. ގަމު މެޖިސްޓްރޭޓް ކޯޓް</t>
  </si>
  <si>
    <t>L.Maamendhoo magistrate court</t>
  </si>
  <si>
    <t>ލ. މާމެންދޫ މެޖިސްޓްރޭޓް ކޯޓް</t>
  </si>
  <si>
    <t>L.Hithadhoo magistrate court</t>
  </si>
  <si>
    <t>ލ. ހިތަދޫ މެޖިސްޓްރޭޓް ކޯޓް</t>
  </si>
  <si>
    <t>L.Kunahandhoo magistrate court</t>
  </si>
  <si>
    <t>ލ. ކުނަހަންދޫ މެޖިސްޓްރޭޓް ކޯޓް</t>
  </si>
  <si>
    <t>L.Isdhoo magistrate court</t>
  </si>
  <si>
    <t>ލ. އިސްދޫ މެޖިސްޓްރޭޓް ކޯޓް</t>
  </si>
  <si>
    <t>L.DMunhoo magistrate court</t>
  </si>
  <si>
    <t>ލ. މުންޑޫ މެޖިސްޓްރޭޓް ކޯޓް</t>
  </si>
  <si>
    <t>L.Dhabidhoo magistrate court</t>
  </si>
  <si>
    <t>ލ. ދަނބިދޫ މެޖިސްޓްރޭޓް ކޯޓް</t>
  </si>
  <si>
    <t>L. Kalaidhoo magistrate court</t>
  </si>
  <si>
    <t>ލ. ކަލައިދޫ މެޖިސްޓްރޭޓް ކޯޓް</t>
  </si>
  <si>
    <t>L.Maavashu magistrate court</t>
  </si>
  <si>
    <t>ލ. މާވަށު މެޖިސްޓްރޭޓް ކޯޓް</t>
  </si>
  <si>
    <t>GA.Atoll</t>
  </si>
  <si>
    <t>ގއ. އަތޮޅު</t>
  </si>
  <si>
    <t>GA.Viligili magistrate court</t>
  </si>
  <si>
    <t>ގއ. ވިލިނގިލީ މެޖިސްޓްރޭޓް ކޯޓް</t>
  </si>
  <si>
    <t>GA.Kolamaafushi magistrate court</t>
  </si>
  <si>
    <t>ގއ. ކޮލަމާފުށީ މެޖިސްޓްރޭޓް ކޯޓް</t>
  </si>
  <si>
    <t>GA.Nilandhoo magistrate court</t>
  </si>
  <si>
    <t>ގއ. ނިލަންދޫ މެޖިސްޓްރޭޓް ކޯޓް</t>
  </si>
  <si>
    <t>GA.Maamendhoo magistrate court</t>
  </si>
  <si>
    <t>ގއ. މާމެންދޫ މެޖިސްޓްރޭޓް ކޯޓު</t>
  </si>
  <si>
    <t>GA.Dhaandhoo magistrate court</t>
  </si>
  <si>
    <t>ގއ. ދާންދޫ މެޖިސްޓްރޭޓް ކޯޓް</t>
  </si>
  <si>
    <t>GA.Dhevadhoo magistrate court</t>
  </si>
  <si>
    <t>ގއ. ދެއްވަދޫ މެޖިސްޓްރޭޓް ކޯޓް</t>
  </si>
  <si>
    <t>GA.Kondey magistrate court</t>
  </si>
  <si>
    <t>ގއ. ކޮނޑޭ މެޖިސްޓްރޭޓް ކޯޓް</t>
  </si>
  <si>
    <t>GA.Gemanafushi magistrate court</t>
  </si>
  <si>
    <t>ގއ. ގެމަނަފުށި މެޖިސްޓްރޭޓް ކޯޓް</t>
  </si>
  <si>
    <t>GA.Kanduhulhudhoo magistrate court</t>
  </si>
  <si>
    <t>ގއ. ކަނޑުހުޅުދޫ މެޖިސްޓްރޭޓް ކޯޓް</t>
  </si>
  <si>
    <t>GDh.Atoll</t>
  </si>
  <si>
    <t>ގދ. އަތޮޅު</t>
  </si>
  <si>
    <t>GDh.Thinadhoo magistrate court</t>
  </si>
  <si>
    <t>ގދ. ތިނަދޫ މެޖިސްޓްރޭޓް ކޯޓް</t>
  </si>
  <si>
    <t>GDh.Madaveli magistrate court</t>
  </si>
  <si>
    <t>ގދ. މަޑަވެލި މެޖިސްޓްރޭޓް ކޯޓް</t>
  </si>
  <si>
    <t>GDh.Hoandedhoo magistrate court</t>
  </si>
  <si>
    <t>ގދ. ހޯނޑެއްދޫ މެޖިސްޓްރޭޓް ކޯޓް</t>
  </si>
  <si>
    <t>GDh.Rathafandhoo magistrate court</t>
  </si>
  <si>
    <t>ގދ. ރަތަފަންދޫ މެޖިސްޓްރޭޓް ކޯޓް</t>
  </si>
  <si>
    <t>GDh.Faresmaathodaa magistrate court</t>
  </si>
  <si>
    <t>ގދ. ފަރެސް މާތޮޑާ މެޖިސްޓްރޭޓް ކޯޓް</t>
  </si>
  <si>
    <t>GDh.Nadella magistrate court</t>
  </si>
  <si>
    <t>ގދ. ނަޑެއްލާ މެޖިސްޓްރޭޓް ކޯޓް</t>
  </si>
  <si>
    <t>GDh.Vaadhoo magistrate court</t>
  </si>
  <si>
    <t>ގދ. ވާދޫ މެޖިސްޓްރޭޓް  ކޯޓް</t>
  </si>
  <si>
    <t>GDh.Gadhoo magistrate court</t>
  </si>
  <si>
    <t>ގދ. ގައްދޫ މެޖިސްޓްރޭޓް ކޯޓް</t>
  </si>
  <si>
    <t>GDh.Fiyoree magistrate court</t>
  </si>
  <si>
    <t>ގދ. ފިޔޯރީ މެޖިސްޓްރޭޓް ކޯޓް</t>
  </si>
  <si>
    <t>Gn.Atoll</t>
  </si>
  <si>
    <t>ޏ. އަތޮޅު</t>
  </si>
  <si>
    <t>Gn.Fuvahmulaku magistrate court</t>
  </si>
  <si>
    <t>ޏ. ފުވައްމުލަކު މެޖިސްޓްރޭޓް ކޯޓް</t>
  </si>
  <si>
    <t>S.Atoll</t>
  </si>
  <si>
    <t>ސ. އަތޮޅު</t>
  </si>
  <si>
    <t>S.Hithadhoo magistrate court</t>
  </si>
  <si>
    <t>ސ. ހިތަދޫ މެޖިސްޓްރޭޓް ކޯޓް</t>
  </si>
  <si>
    <t>S.Hulhudhoo magistrate court</t>
  </si>
  <si>
    <t>ސ. ހުޅުދޫ މެޖިސްޓްރޭޓް ކޯޓް</t>
  </si>
  <si>
    <t>S.Maradhoo magistrate court</t>
  </si>
  <si>
    <t>ސ. މަރަދޫ މެޖިސްޓްރޭޓް ކޯޓް</t>
  </si>
  <si>
    <t>S.Feydhoo magistrate court</t>
  </si>
  <si>
    <t>ސ. ފޭދޫ މެޖިސްޓްރޭޓް ކޯޓް</t>
  </si>
  <si>
    <t>S.Meedhoo magistrate court</t>
  </si>
  <si>
    <t>ސ. މީދޫ މެޖިސްޓްރޭޓް ކޯޓް</t>
  </si>
  <si>
    <t>S.Maradhoofeydhoo magistrate court</t>
  </si>
  <si>
    <t>ސ، މަރަދޫފޭދޫ މެޖިސްޓްރޭޓް ކޯޓް</t>
  </si>
  <si>
    <t>Source: Judicial Service Commission</t>
  </si>
  <si>
    <t>TABLE 8.38:  NUMBER OF ASSIGNED MAGISTRATES , 2017 - 2020</t>
  </si>
  <si>
    <t>ތާވަލު 8.38: ކޯޓުތަކަށް ޢައްޔަނުކުރެވިފައިވާ ފަނޑިޔާރުންގެ އަދަދު، 2017 - 2020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</si>
</sst>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_-* #,##0_-;\-* #,##0_-;_-* &quot;-&quot;??_-;_-@_-"/>
    <numFmt numFmtId="167" formatCode="#,##0.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5"/>
      <color theme="3"/>
      <name val="Arial Mäori"/>
      <family val="2"/>
    </font>
    <font>
      <sz val="11"/>
      <color theme="1"/>
      <name val="Faruma"/>
    </font>
    <font>
      <b/>
      <sz val="11"/>
      <color theme="1"/>
      <name val="Faruma"/>
    </font>
    <font>
      <sz val="10"/>
      <color theme="1"/>
      <name val="Faruma"/>
    </font>
    <font>
      <b/>
      <sz val="10.5"/>
      <color theme="1"/>
      <name val="Faruma"/>
    </font>
    <font>
      <sz val="10.5"/>
      <color theme="1"/>
      <name val="Faruma"/>
    </font>
    <font>
      <sz val="9"/>
      <color indexed="6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166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/>
    <xf numFmtId="0" fontId="5" fillId="0" borderId="0"/>
    <xf numFmtId="0" fontId="7" fillId="0" borderId="3" applyNumberFormat="0" applyFill="0" applyAlignment="0" applyProtection="0"/>
    <xf numFmtId="0" fontId="5" fillId="0" borderId="0"/>
    <xf numFmtId="0" fontId="5" fillId="0" borderId="0"/>
  </cellStyleXfs>
  <cellXfs count="38">
    <xf numFmtId="0" fontId="0" fillId="0" borderId="0" xfId="0"/>
    <xf numFmtId="0" fontId="0" fillId="2" borderId="0" xfId="0" applyFill="1" applyBorder="1" applyAlignment="1">
      <alignment horizontal="center" vertical="center"/>
    </xf>
    <xf numFmtId="0" fontId="0" fillId="2" borderId="0" xfId="0" applyFill="1"/>
    <xf numFmtId="0" fontId="1" fillId="2" borderId="0" xfId="0" applyFont="1" applyFill="1"/>
    <xf numFmtId="0" fontId="0" fillId="2" borderId="1" xfId="0" applyFill="1" applyBorder="1"/>
    <xf numFmtId="0" fontId="1" fillId="2" borderId="0" xfId="0" applyFont="1" applyFill="1" applyBorder="1" applyAlignment="1">
      <alignment horizontal="left"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Border="1" applyAlignment="1">
      <alignment vertical="center"/>
    </xf>
    <xf numFmtId="0" fontId="0" fillId="2" borderId="0" xfId="0" applyFont="1" applyFill="1" applyAlignment="1">
      <alignment horizontal="center"/>
    </xf>
    <xf numFmtId="0" fontId="9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1" fillId="2" borderId="0" xfId="0" applyFont="1" applyFill="1" applyBorder="1" applyAlignment="1">
      <alignment horizontal="right" vertical="center"/>
    </xf>
    <xf numFmtId="0" fontId="11" fillId="2" borderId="0" xfId="0" applyFont="1" applyFill="1"/>
    <xf numFmtId="0" fontId="12" fillId="2" borderId="0" xfId="0" applyFont="1" applyFill="1" applyAlignment="1">
      <alignment wrapText="1"/>
    </xf>
    <xf numFmtId="0" fontId="11" fillId="2" borderId="0" xfId="0" applyFont="1" applyFill="1" applyAlignment="1">
      <alignment wrapText="1"/>
    </xf>
    <xf numFmtId="3" fontId="13" fillId="2" borderId="0" xfId="4" applyNumberFormat="1" applyFont="1" applyFill="1" applyBorder="1"/>
    <xf numFmtId="1" fontId="1" fillId="2" borderId="0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wrapText="1"/>
    </xf>
    <xf numFmtId="0" fontId="6" fillId="2" borderId="0" xfId="0" applyFont="1" applyFill="1"/>
    <xf numFmtId="0" fontId="2" fillId="2" borderId="0" xfId="0" applyFont="1" applyFill="1"/>
    <xf numFmtId="0" fontId="10" fillId="2" borderId="0" xfId="0" applyFont="1" applyFill="1"/>
    <xf numFmtId="0" fontId="8" fillId="2" borderId="0" xfId="0" applyFont="1" applyFill="1"/>
    <xf numFmtId="0" fontId="1" fillId="2" borderId="0" xfId="0" applyFont="1" applyFill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</cellXfs>
  <cellStyles count="8">
    <cellStyle name="1" xfId="7"/>
    <cellStyle name="Comma 2" xfId="1"/>
    <cellStyle name="Heading 1 2" xfId="5"/>
    <cellStyle name="Normal" xfId="0" builtinId="0"/>
    <cellStyle name="Normal 2" xfId="6"/>
    <cellStyle name="Normal 3" xfId="3"/>
    <cellStyle name="Normal_II-15(Population) 2" xfId="4"/>
    <cellStyle name="Percent 2" xfId="2"/>
  </cellStyles>
  <dxfs count="0"/>
  <tableStyles count="0" defaultTableStyle="TableStyleMedium2" defaultPivotStyle="PivotStyleLight16"/>
  <colors>
    <mruColors>
      <color rgb="FFEAFAFA"/>
      <color rgb="FFFF9900"/>
      <color rgb="FF33CCCC"/>
      <color rgb="FFCCF4F2"/>
      <color rgb="FF008080"/>
      <color rgb="FF249390"/>
      <color rgb="FFDDF8F7"/>
      <color rgb="FF196563"/>
      <color rgb="FF006664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932470170049125E-2"/>
          <c:y val="0.15927473730094693"/>
          <c:w val="0.88441287875110564"/>
          <c:h val="0.742785068533104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'8.38'!$AD$91</c:f>
              <c:strCache>
                <c:ptCount val="1"/>
                <c:pt idx="0">
                  <c:v>Number  of majistrates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'8.38'!$AC$92:$AC$111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'8.38'!$AD$92:$AD$111</c:f>
              <c:numCache>
                <c:formatCode>General</c:formatCode>
                <c:ptCount val="20"/>
                <c:pt idx="0">
                  <c:v>8</c:v>
                </c:pt>
                <c:pt idx="1">
                  <c:v>8</c:v>
                </c:pt>
                <c:pt idx="2">
                  <c:v>5</c:v>
                </c:pt>
                <c:pt idx="3">
                  <c:v>7</c:v>
                </c:pt>
                <c:pt idx="4">
                  <c:v>12</c:v>
                </c:pt>
                <c:pt idx="5">
                  <c:v>7</c:v>
                </c:pt>
                <c:pt idx="6">
                  <c:v>4</c:v>
                </c:pt>
                <c:pt idx="7">
                  <c:v>8</c:v>
                </c:pt>
                <c:pt idx="8">
                  <c:v>4</c:v>
                </c:pt>
                <c:pt idx="9">
                  <c:v>6</c:v>
                </c:pt>
                <c:pt idx="10">
                  <c:v>1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9</c:v>
                </c:pt>
                <c:pt idx="15">
                  <c:v>12</c:v>
                </c:pt>
                <c:pt idx="16">
                  <c:v>6</c:v>
                </c:pt>
                <c:pt idx="17">
                  <c:v>8</c:v>
                </c:pt>
                <c:pt idx="18">
                  <c:v>2</c:v>
                </c:pt>
                <c:pt idx="1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F-49CB-A573-8ACEF1F3EAF1}"/>
            </c:ext>
          </c:extLst>
        </c:ser>
        <c:ser>
          <c:idx val="1"/>
          <c:order val="1"/>
          <c:tx>
            <c:strRef>
              <c:f>'8.38'!$AE$91</c:f>
              <c:strCache>
                <c:ptCount val="1"/>
                <c:pt idx="0">
                  <c:v>Number of islands with majistrate courts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'8.38'!$AC$92:$AC$111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'8.38'!$AE$92:$AE$111</c:f>
              <c:numCache>
                <c:formatCode>General</c:formatCode>
                <c:ptCount val="20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14</c:v>
                </c:pt>
                <c:pt idx="5">
                  <c:v>13</c:v>
                </c:pt>
                <c:pt idx="6">
                  <c:v>4</c:v>
                </c:pt>
                <c:pt idx="7">
                  <c:v>9</c:v>
                </c:pt>
                <c:pt idx="8">
                  <c:v>8</c:v>
                </c:pt>
                <c:pt idx="9">
                  <c:v>10</c:v>
                </c:pt>
                <c:pt idx="10">
                  <c:v>5</c:v>
                </c:pt>
                <c:pt idx="11">
                  <c:v>8</c:v>
                </c:pt>
                <c:pt idx="12">
                  <c:v>5</c:v>
                </c:pt>
                <c:pt idx="13">
                  <c:v>6</c:v>
                </c:pt>
                <c:pt idx="14">
                  <c:v>13</c:v>
                </c:pt>
                <c:pt idx="15">
                  <c:v>11</c:v>
                </c:pt>
                <c:pt idx="16">
                  <c:v>9</c:v>
                </c:pt>
                <c:pt idx="17">
                  <c:v>9</c:v>
                </c:pt>
                <c:pt idx="18">
                  <c:v>1</c:v>
                </c:pt>
                <c:pt idx="1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9F-49CB-A573-8ACEF1F3E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axId val="366146800"/>
        <c:axId val="367351392"/>
      </c:barChart>
      <c:catAx>
        <c:axId val="3661468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67351392"/>
        <c:crosses val="autoZero"/>
        <c:auto val="1"/>
        <c:lblAlgn val="ctr"/>
        <c:lblOffset val="100"/>
        <c:noMultiLvlLbl val="0"/>
      </c:catAx>
      <c:valAx>
        <c:axId val="367351392"/>
        <c:scaling>
          <c:orientation val="minMax"/>
        </c:scaling>
        <c:delete val="0"/>
        <c:axPos val="l"/>
        <c:majorGridlines>
          <c:spPr>
            <a:ln>
              <a:solidFill>
                <a:srgbClr val="CCF4F2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number</a:t>
                </a:r>
              </a:p>
            </c:rich>
          </c:tx>
          <c:layout>
            <c:manualLayout>
              <c:xMode val="edge"/>
              <c:yMode val="edge"/>
              <c:x val="3.9800995024875862E-3"/>
              <c:y val="0.3460338291046953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66146800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4361805236487053"/>
          <c:y val="0.1879002624671916"/>
          <c:w val="0.5905683360448396"/>
          <c:h val="8.2177019539224253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30554097487191"/>
          <c:y val="0.16191775795525834"/>
          <c:w val="0.49596521778718655"/>
          <c:h val="0.79141145463623475"/>
        </c:manualLayout>
      </c:layout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1-2DF6-4744-A15D-FE8617C66413}"/>
              </c:ext>
            </c:extLst>
          </c:dPt>
          <c:dPt>
            <c:idx val="1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3-2DF6-4744-A15D-FE8617C664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'[2]8.29'!$U$129:$U$130</c:f>
              <c:strCache>
                <c:ptCount val="2"/>
                <c:pt idx="0">
                  <c:v>Atolls</c:v>
                </c:pt>
                <c:pt idx="1">
                  <c:v>Male'</c:v>
                </c:pt>
              </c:strCache>
            </c:strRef>
          </c:cat>
          <c:val>
            <c:numRef>
              <c:f>'[2]8.29'!$W$129:$W$130</c:f>
              <c:numCache>
                <c:formatCode>General</c:formatCode>
                <c:ptCount val="2"/>
                <c:pt idx="0">
                  <c:v>69.565217391304344</c:v>
                </c:pt>
                <c:pt idx="1">
                  <c:v>30.434782608695656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F6-4744-A15D-FE8617C6641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spPr>
    <a:solidFill>
      <a:srgbClr val="EAFAFA"/>
    </a:solidFill>
  </c:spPr>
  <c:printSettings>
    <c:headerFooter/>
    <c:pageMargins b="0.75000000000000244" l="0.70000000000000062" r="0.70000000000000062" t="0.75000000000000244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468737</xdr:colOff>
      <xdr:row>222</xdr:row>
      <xdr:rowOff>138462</xdr:rowOff>
    </xdr:from>
    <xdr:to>
      <xdr:col>5</xdr:col>
      <xdr:colOff>1428750</xdr:colOff>
      <xdr:row>232</xdr:row>
      <xdr:rowOff>214662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424656</xdr:colOff>
      <xdr:row>233</xdr:row>
      <xdr:rowOff>229610</xdr:rowOff>
    </xdr:from>
    <xdr:to>
      <xdr:col>5</xdr:col>
      <xdr:colOff>1418828</xdr:colOff>
      <xdr:row>245</xdr:row>
      <xdr:rowOff>263528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0.08371</cdr:x>
      <cdr:y>0.03776</cdr:y>
    </cdr:from>
    <cdr:to>
      <cdr:x>0.96637</cdr:x>
      <cdr:y>0.13121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74238" y="103583"/>
          <a:ext cx="5000625" cy="2563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8.43: Number of majistrates in the island courts, 20</a:t>
          </a:r>
          <a:r>
            <a:rPr lang="dv-MV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20</a:t>
          </a: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0.14381</cdr:x>
      <cdr:y>0.03552</cdr:y>
    </cdr:from>
    <cdr:to>
      <cdr:x>0.93245</cdr:x>
      <cdr:y>0.11588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31993" y="114867"/>
          <a:ext cx="5110826" cy="2599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8.44: Percentage share of majistrates in courts, 20</a:t>
          </a:r>
          <a:r>
            <a:rPr lang="dv-MV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20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_DJ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LAW%20AND%20ORDER_%20PG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8.%20LAW%20AND%20ORDER..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1"/>
      <sheetName val="8.23"/>
      <sheetName val="8.24"/>
      <sheetName val="8.25"/>
      <sheetName val="8.26"/>
      <sheetName val="8.27"/>
      <sheetName val="8.28"/>
      <sheetName val="8.30"/>
      <sheetName val="8.31"/>
      <sheetName val="8.60"/>
      <sheetName val="8.61"/>
    </sheetNames>
    <sheetDataSet>
      <sheetData sheetId="0"/>
      <sheetData sheetId="1">
        <row r="293">
          <cell r="AE293" t="str">
            <v>HA</v>
          </cell>
          <cell r="AF293">
            <v>60.791366906474821</v>
          </cell>
        </row>
        <row r="294">
          <cell r="AE294" t="str">
            <v>HDh</v>
          </cell>
          <cell r="AF294">
            <v>58.897485493230171</v>
          </cell>
        </row>
        <row r="295">
          <cell r="AE295" t="str">
            <v>Sh</v>
          </cell>
          <cell r="AF295">
            <v>74.088291746641076</v>
          </cell>
        </row>
        <row r="296">
          <cell r="AE296" t="str">
            <v>N</v>
          </cell>
          <cell r="AF296">
            <v>55.076142131979701</v>
          </cell>
        </row>
        <row r="297">
          <cell r="AE297" t="str">
            <v>R</v>
          </cell>
          <cell r="AF297">
            <v>76.221079691516707</v>
          </cell>
        </row>
        <row r="298">
          <cell r="AE298" t="str">
            <v>B</v>
          </cell>
          <cell r="AF298">
            <v>71.974522292993626</v>
          </cell>
        </row>
        <row r="299">
          <cell r="AE299" t="str">
            <v>Lh</v>
          </cell>
          <cell r="AF299">
            <v>86.47686832740213</v>
          </cell>
        </row>
        <row r="300">
          <cell r="AE300" t="str">
            <v>K</v>
          </cell>
          <cell r="AF300">
            <v>58.045977011494251</v>
          </cell>
        </row>
        <row r="301">
          <cell r="AE301" t="str">
            <v>AA</v>
          </cell>
          <cell r="AF301">
            <v>61.655773420479299</v>
          </cell>
        </row>
        <row r="302">
          <cell r="AE302" t="str">
            <v>ADh</v>
          </cell>
          <cell r="AF302">
            <v>59.46462715105163</v>
          </cell>
        </row>
        <row r="303">
          <cell r="AE303" t="str">
            <v>V</v>
          </cell>
          <cell r="AF303">
            <v>77.906976744186053</v>
          </cell>
        </row>
        <row r="304">
          <cell r="AE304" t="str">
            <v>M</v>
          </cell>
          <cell r="AF304">
            <v>70.048309178743963</v>
          </cell>
        </row>
        <row r="305">
          <cell r="AE305" t="str">
            <v>F</v>
          </cell>
          <cell r="AF305">
            <v>80.408163265306115</v>
          </cell>
        </row>
        <row r="306">
          <cell r="AE306" t="str">
            <v>Dh</v>
          </cell>
          <cell r="AF306">
            <v>63.720930232558139</v>
          </cell>
        </row>
        <row r="307">
          <cell r="AE307" t="str">
            <v>Th</v>
          </cell>
          <cell r="AF307">
            <v>60.512820512820511</v>
          </cell>
        </row>
        <row r="308">
          <cell r="AE308" t="str">
            <v>L</v>
          </cell>
          <cell r="AF308">
            <v>68.635437881873727</v>
          </cell>
        </row>
        <row r="309">
          <cell r="AE309" t="str">
            <v>GA</v>
          </cell>
          <cell r="AF309">
            <v>66.666666666666657</v>
          </cell>
        </row>
        <row r="310">
          <cell r="AE310" t="str">
            <v>GDh</v>
          </cell>
          <cell r="AF310">
            <v>52.55354200988468</v>
          </cell>
        </row>
        <row r="311">
          <cell r="AE311" t="str">
            <v>Gn</v>
          </cell>
          <cell r="AF311">
            <v>69.675925925925924</v>
          </cell>
        </row>
        <row r="312">
          <cell r="AE312" t="str">
            <v>S</v>
          </cell>
          <cell r="AF312">
            <v>70.426651081239044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">
          <cell r="AA4" t="str">
            <v xml:space="preserve">Male </v>
          </cell>
          <cell r="AB4" t="str">
            <v>Female</v>
          </cell>
        </row>
        <row r="8">
          <cell r="A8" t="str">
            <v>Certificate 3</v>
          </cell>
          <cell r="AA8">
            <v>180</v>
          </cell>
          <cell r="AB8">
            <v>0</v>
          </cell>
        </row>
        <row r="9">
          <cell r="A9" t="str">
            <v>Advanced Certificate</v>
          </cell>
          <cell r="AA9">
            <v>142</v>
          </cell>
          <cell r="AB9">
            <v>2</v>
          </cell>
        </row>
        <row r="10">
          <cell r="A10" t="str">
            <v>Gaanoonee vakeelukamuge sanadhu</v>
          </cell>
          <cell r="AA10">
            <v>14</v>
          </cell>
          <cell r="AB10">
            <v>0</v>
          </cell>
        </row>
        <row r="11">
          <cell r="A11" t="str">
            <v>Diploma</v>
          </cell>
          <cell r="AA11">
            <v>50</v>
          </cell>
          <cell r="AB11">
            <v>36</v>
          </cell>
        </row>
        <row r="12">
          <cell r="A12" t="str">
            <v>Advanced Diploma</v>
          </cell>
          <cell r="AA12">
            <v>62</v>
          </cell>
          <cell r="AB12">
            <v>74</v>
          </cell>
        </row>
        <row r="13">
          <cell r="A13" t="str">
            <v>Bachelors degree</v>
          </cell>
          <cell r="AA13">
            <v>586</v>
          </cell>
          <cell r="AB13">
            <v>538</v>
          </cell>
        </row>
        <row r="14">
          <cell r="A14" t="str">
            <v xml:space="preserve">Masters degree </v>
          </cell>
          <cell r="AA14">
            <v>18</v>
          </cell>
          <cell r="AB14">
            <v>4</v>
          </cell>
        </row>
        <row r="15">
          <cell r="A15" t="str">
            <v>Doctoral degree</v>
          </cell>
          <cell r="AA15">
            <v>2</v>
          </cell>
          <cell r="AB15">
            <v>0</v>
          </cell>
        </row>
        <row r="16">
          <cell r="A16" t="str">
            <v>Other</v>
          </cell>
          <cell r="AA16">
            <v>28</v>
          </cell>
          <cell r="AB16">
            <v>0</v>
          </cell>
        </row>
      </sheetData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Sheet5"/>
      <sheetName val="Sheet4"/>
      <sheetName val="Sheet3"/>
      <sheetName val="Sheet1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"/>
      <sheetName val="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34">
          <cell r="U34">
            <v>2011</v>
          </cell>
          <cell r="V34">
            <v>2012</v>
          </cell>
          <cell r="W34">
            <v>2013</v>
          </cell>
          <cell r="X34">
            <v>2014</v>
          </cell>
          <cell r="Y34">
            <v>2015</v>
          </cell>
          <cell r="Z34">
            <v>2016</v>
          </cell>
          <cell r="AA34">
            <v>2017</v>
          </cell>
          <cell r="AB34">
            <v>2018</v>
          </cell>
        </row>
        <row r="35">
          <cell r="T35" t="str">
            <v xml:space="preserve">Completed </v>
          </cell>
          <cell r="U35">
            <v>2495</v>
          </cell>
          <cell r="V35">
            <v>2069</v>
          </cell>
          <cell r="W35">
            <v>2521</v>
          </cell>
          <cell r="X35">
            <v>2401</v>
          </cell>
          <cell r="Y35">
            <v>3191</v>
          </cell>
          <cell r="Z35">
            <v>3328</v>
          </cell>
          <cell r="AA35">
            <v>2679</v>
          </cell>
          <cell r="AB35">
            <v>2002</v>
          </cell>
        </row>
        <row r="36">
          <cell r="T36" t="str">
            <v>Submitted to court</v>
          </cell>
          <cell r="U36">
            <v>1850</v>
          </cell>
          <cell r="V36">
            <v>1429</v>
          </cell>
          <cell r="W36">
            <v>1821</v>
          </cell>
          <cell r="X36">
            <v>1497</v>
          </cell>
          <cell r="Y36">
            <v>1831</v>
          </cell>
          <cell r="Z36">
            <v>3375</v>
          </cell>
          <cell r="AA36">
            <v>3223</v>
          </cell>
          <cell r="AB36">
            <v>2650</v>
          </cell>
        </row>
        <row r="37">
          <cell r="T37" t="str">
            <v xml:space="preserve">Not sent to court </v>
          </cell>
          <cell r="U37">
            <v>379</v>
          </cell>
          <cell r="V37">
            <v>1293</v>
          </cell>
          <cell r="W37">
            <v>1030</v>
          </cell>
          <cell r="X37">
            <v>995</v>
          </cell>
          <cell r="Y37">
            <v>1318</v>
          </cell>
          <cell r="Z37">
            <v>135</v>
          </cell>
          <cell r="AA37">
            <v>51</v>
          </cell>
          <cell r="AB37">
            <v>6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222"/>
  <sheetViews>
    <sheetView tabSelected="1" zoomScale="106" zoomScaleNormal="106" workbookViewId="0">
      <selection activeCell="I16" sqref="I16"/>
    </sheetView>
  </sheetViews>
  <sheetFormatPr defaultColWidth="9.140625" defaultRowHeight="21"/>
  <cols>
    <col min="1" max="1" width="35.42578125" style="2" bestFit="1" customWidth="1"/>
    <col min="2" max="5" width="13.5703125" style="2" customWidth="1"/>
    <col min="6" max="6" width="31.85546875" style="26" customWidth="1"/>
    <col min="7" max="7" width="4.140625" style="2" customWidth="1"/>
    <col min="8" max="20" width="17.42578125" style="2" customWidth="1"/>
    <col min="21" max="21" width="6.42578125" style="2" customWidth="1"/>
    <col min="22" max="22" width="3.42578125" style="2" customWidth="1"/>
    <col min="23" max="29" width="9.140625" style="2"/>
    <col min="30" max="31" width="9.140625" style="2" customWidth="1"/>
    <col min="32" max="16384" width="9.140625" style="2"/>
  </cols>
  <sheetData>
    <row r="1" spans="1:22" s="6" customFormat="1">
      <c r="A1" s="28" t="s">
        <v>464</v>
      </c>
      <c r="B1" s="28"/>
      <c r="C1" s="28"/>
      <c r="D1" s="28"/>
      <c r="E1" s="28"/>
      <c r="F1" s="28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s="1" customFormat="1" ht="15">
      <c r="A2" s="29" t="s">
        <v>463</v>
      </c>
      <c r="B2" s="29"/>
      <c r="C2" s="29"/>
      <c r="D2" s="29"/>
      <c r="E2" s="29"/>
      <c r="F2" s="2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s="3" customFormat="1" ht="21" customHeight="1">
      <c r="A3" s="30" t="s">
        <v>33</v>
      </c>
      <c r="B3" s="37" t="s">
        <v>34</v>
      </c>
      <c r="C3" s="37"/>
      <c r="D3" s="37"/>
      <c r="E3" s="37"/>
      <c r="F3" s="33" t="s">
        <v>35</v>
      </c>
      <c r="G3" s="7"/>
      <c r="H3" s="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7"/>
      <c r="V3" s="7"/>
    </row>
    <row r="4" spans="1:22" s="3" customFormat="1" ht="15" customHeight="1">
      <c r="A4" s="31"/>
      <c r="B4" s="36" t="s">
        <v>36</v>
      </c>
      <c r="C4" s="36"/>
      <c r="D4" s="36"/>
      <c r="E4" s="36"/>
      <c r="F4" s="34"/>
      <c r="G4" s="7"/>
      <c r="H4" s="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7"/>
      <c r="V4" s="7"/>
    </row>
    <row r="5" spans="1:22" s="14" customFormat="1" ht="15">
      <c r="A5" s="32"/>
      <c r="B5" s="13">
        <v>2017</v>
      </c>
      <c r="C5" s="13">
        <v>2018</v>
      </c>
      <c r="D5" s="13">
        <v>2019</v>
      </c>
      <c r="E5" s="13">
        <v>2020</v>
      </c>
      <c r="F5" s="35"/>
    </row>
    <row r="6" spans="1:22" s="7" customFormat="1" ht="19.5">
      <c r="A6" s="5" t="s">
        <v>23</v>
      </c>
      <c r="B6" s="12">
        <f t="shared" ref="B6:E6" si="0">B16+B7</f>
        <v>181</v>
      </c>
      <c r="C6" s="12">
        <f t="shared" si="0"/>
        <v>197</v>
      </c>
      <c r="D6" s="12">
        <f t="shared" si="0"/>
        <v>184</v>
      </c>
      <c r="E6" s="12">
        <f t="shared" si="0"/>
        <v>188</v>
      </c>
      <c r="F6" s="15" t="s">
        <v>22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</row>
    <row r="7" spans="1:22" ht="19.5">
      <c r="A7" s="3" t="s">
        <v>37</v>
      </c>
      <c r="B7" s="8">
        <f t="shared" ref="B7" si="1">SUM(B8:B15)</f>
        <v>53</v>
      </c>
      <c r="C7" s="8">
        <f>SUM(C8:C15)</f>
        <v>60</v>
      </c>
      <c r="D7" s="8">
        <f>SUM(D8:D15)</f>
        <v>56</v>
      </c>
      <c r="E7" s="8">
        <f>SUM(E8:E15)</f>
        <v>62</v>
      </c>
      <c r="F7" s="16" t="s">
        <v>38</v>
      </c>
    </row>
    <row r="8" spans="1:22" ht="19.5">
      <c r="A8" s="2" t="s">
        <v>39</v>
      </c>
      <c r="B8" s="10">
        <v>5</v>
      </c>
      <c r="C8" s="10">
        <v>5</v>
      </c>
      <c r="D8" s="10">
        <v>5</v>
      </c>
      <c r="E8" s="10">
        <v>7</v>
      </c>
      <c r="F8" s="17" t="s">
        <v>40</v>
      </c>
    </row>
    <row r="9" spans="1:22" ht="19.5">
      <c r="A9" s="2" t="s">
        <v>41</v>
      </c>
      <c r="B9" s="10">
        <v>7</v>
      </c>
      <c r="C9" s="10">
        <v>9</v>
      </c>
      <c r="D9" s="10">
        <v>11</v>
      </c>
      <c r="E9" s="10">
        <v>11</v>
      </c>
      <c r="F9" s="17" t="s">
        <v>42</v>
      </c>
    </row>
    <row r="10" spans="1:22" ht="19.5">
      <c r="A10" s="2" t="s">
        <v>25</v>
      </c>
      <c r="B10" s="10">
        <v>13</v>
      </c>
      <c r="C10" s="10">
        <v>16</v>
      </c>
      <c r="D10" s="10">
        <v>12</v>
      </c>
      <c r="E10" s="10">
        <v>15</v>
      </c>
      <c r="F10" s="17" t="s">
        <v>30</v>
      </c>
    </row>
    <row r="11" spans="1:22" ht="19.5">
      <c r="A11" s="2" t="s">
        <v>26</v>
      </c>
      <c r="B11" s="10">
        <v>5</v>
      </c>
      <c r="C11" s="10">
        <v>6</v>
      </c>
      <c r="D11" s="10">
        <v>9</v>
      </c>
      <c r="E11" s="10">
        <v>10</v>
      </c>
      <c r="F11" s="17" t="s">
        <v>43</v>
      </c>
    </row>
    <row r="12" spans="1:22" ht="19.5">
      <c r="A12" s="2" t="s">
        <v>27</v>
      </c>
      <c r="B12" s="10">
        <v>11</v>
      </c>
      <c r="C12" s="10">
        <v>11</v>
      </c>
      <c r="D12" s="10">
        <v>7</v>
      </c>
      <c r="E12" s="10">
        <v>7</v>
      </c>
      <c r="F12" s="17" t="s">
        <v>44</v>
      </c>
    </row>
    <row r="13" spans="1:22" ht="19.5">
      <c r="A13" s="2" t="s">
        <v>28</v>
      </c>
      <c r="B13" s="10">
        <v>4</v>
      </c>
      <c r="C13" s="10">
        <v>4</v>
      </c>
      <c r="D13" s="10">
        <v>4</v>
      </c>
      <c r="E13" s="10">
        <v>4</v>
      </c>
      <c r="F13" s="17" t="s">
        <v>29</v>
      </c>
    </row>
    <row r="14" spans="1:22" s="3" customFormat="1" ht="19.5">
      <c r="A14" s="2" t="s">
        <v>24</v>
      </c>
      <c r="B14" s="10">
        <v>5</v>
      </c>
      <c r="C14" s="10">
        <v>6</v>
      </c>
      <c r="D14" s="10">
        <v>5</v>
      </c>
      <c r="E14" s="10">
        <v>5</v>
      </c>
      <c r="F14" s="17" t="s">
        <v>45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s="3" customFormat="1" ht="19.5">
      <c r="A15" s="2" t="s">
        <v>46</v>
      </c>
      <c r="B15" s="10">
        <v>3</v>
      </c>
      <c r="C15" s="10">
        <v>3</v>
      </c>
      <c r="D15" s="10">
        <v>3</v>
      </c>
      <c r="E15" s="10">
        <v>3</v>
      </c>
      <c r="F15" s="17" t="s">
        <v>47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9.5">
      <c r="A16" s="3" t="s">
        <v>48</v>
      </c>
      <c r="B16" s="8">
        <f t="shared" ref="B16" si="2">B17+B32+B46+B60+B74+B90+B109+B119+B104+B128+B139+B145+B154+B160+B167+B181+B193+B203+B213+B215</f>
        <v>128</v>
      </c>
      <c r="C16" s="8">
        <f>C17+C32+C46+C60+C74+C90+C109+C119+C104+C128+C139+C145+C154+C160+C167+C181+C193+C203+C213+C215</f>
        <v>137</v>
      </c>
      <c r="D16" s="8">
        <f>D17+D32+D46+D60+D74+D90+D109+D119+D104+D128+D139+D145+D154+D160+D167+D181+D193+D203+D213+D215</f>
        <v>128</v>
      </c>
      <c r="E16" s="8">
        <f>E17+E32+E46+E60+E74+E90+E109+E119+E104+E128+E139+E145+E154+E160+E167+E181+E193+E203+E213+E215</f>
        <v>126</v>
      </c>
      <c r="F16" s="18" t="s">
        <v>49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9.5">
      <c r="A17" s="3" t="s">
        <v>50</v>
      </c>
      <c r="B17" s="8">
        <f t="shared" ref="B17" si="3">SUM(B18:B31)</f>
        <v>9</v>
      </c>
      <c r="C17" s="8">
        <f t="shared" ref="C17:E17" si="4">SUM(C18:C31)</f>
        <v>9</v>
      </c>
      <c r="D17" s="8">
        <f t="shared" si="4"/>
        <v>9</v>
      </c>
      <c r="E17" s="8">
        <f t="shared" si="4"/>
        <v>8</v>
      </c>
      <c r="F17" s="18" t="s">
        <v>51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9.5">
      <c r="A18" s="2" t="s">
        <v>52</v>
      </c>
      <c r="B18" s="10">
        <v>1</v>
      </c>
      <c r="C18" s="10">
        <v>1</v>
      </c>
      <c r="D18" s="10">
        <v>1</v>
      </c>
      <c r="E18" s="10">
        <v>1</v>
      </c>
      <c r="F18" s="17" t="s">
        <v>53</v>
      </c>
    </row>
    <row r="19" spans="1:22" ht="19.5">
      <c r="A19" s="2" t="s">
        <v>54</v>
      </c>
      <c r="B19" s="10">
        <v>0</v>
      </c>
      <c r="C19" s="10">
        <v>0</v>
      </c>
      <c r="D19" s="10">
        <v>0</v>
      </c>
      <c r="E19" s="10">
        <v>0</v>
      </c>
      <c r="F19" s="17" t="s">
        <v>55</v>
      </c>
    </row>
    <row r="20" spans="1:22" ht="19.5">
      <c r="A20" s="2" t="s">
        <v>56</v>
      </c>
      <c r="B20" s="10">
        <v>1</v>
      </c>
      <c r="C20" s="10">
        <v>1</v>
      </c>
      <c r="D20" s="10">
        <v>1</v>
      </c>
      <c r="E20" s="10">
        <v>1</v>
      </c>
      <c r="F20" s="17" t="s">
        <v>57</v>
      </c>
    </row>
    <row r="21" spans="1:22" ht="19.5">
      <c r="A21" s="2" t="s">
        <v>58</v>
      </c>
      <c r="B21" s="10">
        <v>2</v>
      </c>
      <c r="C21" s="10">
        <v>2</v>
      </c>
      <c r="D21" s="10">
        <v>2</v>
      </c>
      <c r="E21" s="10">
        <v>2</v>
      </c>
      <c r="F21" s="17" t="s">
        <v>59</v>
      </c>
    </row>
    <row r="22" spans="1:22" ht="19.5">
      <c r="A22" s="2" t="s">
        <v>60</v>
      </c>
      <c r="B22" s="10">
        <v>1</v>
      </c>
      <c r="C22" s="10">
        <v>1</v>
      </c>
      <c r="D22" s="10">
        <v>1</v>
      </c>
      <c r="E22" s="10">
        <v>0</v>
      </c>
      <c r="F22" s="17" t="s">
        <v>61</v>
      </c>
    </row>
    <row r="23" spans="1:22" ht="19.5">
      <c r="A23" s="2" t="s">
        <v>62</v>
      </c>
      <c r="B23" s="10">
        <v>0</v>
      </c>
      <c r="C23" s="10">
        <v>0</v>
      </c>
      <c r="D23" s="10">
        <v>0</v>
      </c>
      <c r="E23" s="10">
        <v>0</v>
      </c>
      <c r="F23" s="17" t="s">
        <v>63</v>
      </c>
    </row>
    <row r="24" spans="1:22" ht="19.5">
      <c r="A24" s="2" t="s">
        <v>64</v>
      </c>
      <c r="B24" s="10">
        <v>1</v>
      </c>
      <c r="C24" s="10">
        <v>1</v>
      </c>
      <c r="D24" s="10">
        <v>1</v>
      </c>
      <c r="E24" s="10">
        <v>1</v>
      </c>
      <c r="F24" s="17" t="s">
        <v>65</v>
      </c>
    </row>
    <row r="25" spans="1:22" s="3" customFormat="1" ht="19.5">
      <c r="A25" s="2" t="s">
        <v>66</v>
      </c>
      <c r="B25" s="10">
        <v>1</v>
      </c>
      <c r="C25" s="10">
        <v>1</v>
      </c>
      <c r="D25" s="10">
        <v>1</v>
      </c>
      <c r="E25" s="10">
        <v>1</v>
      </c>
      <c r="F25" s="17" t="s">
        <v>67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s="3" customFormat="1" ht="19.5">
      <c r="A26" s="2" t="s">
        <v>68</v>
      </c>
      <c r="B26" s="10">
        <v>0</v>
      </c>
      <c r="C26" s="10">
        <v>0</v>
      </c>
      <c r="D26" s="10">
        <v>0</v>
      </c>
      <c r="E26" s="10">
        <v>0</v>
      </c>
      <c r="F26" s="17" t="s">
        <v>69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s="3" customFormat="1" ht="19.5">
      <c r="A27" s="2" t="s">
        <v>70</v>
      </c>
      <c r="B27" s="10">
        <v>0</v>
      </c>
      <c r="C27" s="10">
        <v>0</v>
      </c>
      <c r="D27" s="10">
        <v>0</v>
      </c>
      <c r="E27" s="10">
        <v>0</v>
      </c>
      <c r="F27" s="17" t="s">
        <v>71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s="3" customFormat="1" ht="19.5">
      <c r="A28" s="2" t="s">
        <v>72</v>
      </c>
      <c r="B28" s="10">
        <v>0</v>
      </c>
      <c r="C28" s="10">
        <v>0</v>
      </c>
      <c r="D28" s="10">
        <v>0</v>
      </c>
      <c r="E28" s="10">
        <v>0</v>
      </c>
      <c r="F28" s="17" t="s">
        <v>73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s="3" customFormat="1" ht="19.5">
      <c r="A29" s="2" t="s">
        <v>74</v>
      </c>
      <c r="B29" s="10">
        <v>0</v>
      </c>
      <c r="C29" s="10">
        <v>0</v>
      </c>
      <c r="D29" s="10">
        <v>0</v>
      </c>
      <c r="E29" s="10">
        <v>0</v>
      </c>
      <c r="F29" s="17" t="s">
        <v>75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s="3" customFormat="1" ht="19.5">
      <c r="A30" s="2" t="s">
        <v>76</v>
      </c>
      <c r="B30" s="10">
        <v>1</v>
      </c>
      <c r="C30" s="10">
        <v>1</v>
      </c>
      <c r="D30" s="10">
        <v>1</v>
      </c>
      <c r="E30" s="10">
        <v>1</v>
      </c>
      <c r="F30" s="17" t="s">
        <v>77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9.5">
      <c r="A31" s="2" t="s">
        <v>78</v>
      </c>
      <c r="B31" s="10">
        <v>1</v>
      </c>
      <c r="C31" s="10">
        <v>1</v>
      </c>
      <c r="D31" s="10">
        <v>1</v>
      </c>
      <c r="E31" s="10">
        <v>1</v>
      </c>
      <c r="F31" s="17" t="s">
        <v>79</v>
      </c>
    </row>
    <row r="32" spans="1:22" ht="19.5">
      <c r="A32" s="3" t="s">
        <v>80</v>
      </c>
      <c r="B32" s="8">
        <f t="shared" ref="B32:E32" si="5">SUM(B33:B45)</f>
        <v>9</v>
      </c>
      <c r="C32" s="8">
        <f t="shared" si="5"/>
        <v>8</v>
      </c>
      <c r="D32" s="8">
        <f t="shared" si="5"/>
        <v>8</v>
      </c>
      <c r="E32" s="8">
        <f t="shared" si="5"/>
        <v>8</v>
      </c>
      <c r="F32" s="18" t="s">
        <v>81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9.5">
      <c r="A33" s="2" t="s">
        <v>82</v>
      </c>
      <c r="B33" s="10">
        <v>2</v>
      </c>
      <c r="C33" s="10">
        <v>3</v>
      </c>
      <c r="D33" s="10">
        <v>3</v>
      </c>
      <c r="E33" s="10">
        <v>3</v>
      </c>
      <c r="F33" s="17" t="s">
        <v>83</v>
      </c>
    </row>
    <row r="34" spans="1:22" ht="19.5">
      <c r="A34" s="2" t="s">
        <v>84</v>
      </c>
      <c r="B34" s="10">
        <v>0</v>
      </c>
      <c r="C34" s="10">
        <v>0</v>
      </c>
      <c r="D34" s="10">
        <v>0</v>
      </c>
      <c r="E34" s="10">
        <v>0</v>
      </c>
      <c r="F34" s="17" t="s">
        <v>85</v>
      </c>
    </row>
    <row r="35" spans="1:22" ht="19.5">
      <c r="A35" s="2" t="s">
        <v>86</v>
      </c>
      <c r="B35" s="10">
        <v>1</v>
      </c>
      <c r="C35" s="10">
        <v>1</v>
      </c>
      <c r="D35" s="10">
        <v>1</v>
      </c>
      <c r="E35" s="10">
        <v>1</v>
      </c>
      <c r="F35" s="17" t="s">
        <v>87</v>
      </c>
    </row>
    <row r="36" spans="1:22" ht="19.5">
      <c r="A36" s="2" t="s">
        <v>88</v>
      </c>
      <c r="B36" s="10">
        <v>1</v>
      </c>
      <c r="C36" s="10">
        <v>1</v>
      </c>
      <c r="D36" s="10">
        <v>1</v>
      </c>
      <c r="E36" s="10">
        <v>1</v>
      </c>
      <c r="F36" s="17" t="s">
        <v>89</v>
      </c>
    </row>
    <row r="37" spans="1:22" ht="19.5">
      <c r="A37" s="2" t="s">
        <v>90</v>
      </c>
      <c r="B37" s="10">
        <v>0</v>
      </c>
      <c r="C37" s="10">
        <v>0</v>
      </c>
      <c r="D37" s="10">
        <v>0</v>
      </c>
      <c r="E37" s="10">
        <v>0</v>
      </c>
      <c r="F37" s="17" t="s">
        <v>91</v>
      </c>
    </row>
    <row r="38" spans="1:22" ht="19.5">
      <c r="A38" s="2" t="s">
        <v>92</v>
      </c>
      <c r="B38" s="10">
        <v>0</v>
      </c>
      <c r="C38" s="10">
        <v>0</v>
      </c>
      <c r="D38" s="10">
        <v>0</v>
      </c>
      <c r="E38" s="10">
        <v>0</v>
      </c>
      <c r="F38" s="17" t="s">
        <v>93</v>
      </c>
    </row>
    <row r="39" spans="1:22" ht="19.5">
      <c r="A39" s="2" t="s">
        <v>94</v>
      </c>
      <c r="B39" s="10">
        <v>0</v>
      </c>
      <c r="C39" s="10">
        <v>0</v>
      </c>
      <c r="D39" s="10">
        <v>0</v>
      </c>
      <c r="E39" s="10">
        <v>0</v>
      </c>
      <c r="F39" s="17" t="s">
        <v>95</v>
      </c>
    </row>
    <row r="40" spans="1:22" ht="19.5">
      <c r="A40" s="2" t="s">
        <v>96</v>
      </c>
      <c r="B40" s="10">
        <v>0</v>
      </c>
      <c r="C40" s="10">
        <v>0</v>
      </c>
      <c r="D40" s="10">
        <v>0</v>
      </c>
      <c r="E40" s="10">
        <v>0</v>
      </c>
      <c r="F40" s="17" t="s">
        <v>97</v>
      </c>
    </row>
    <row r="41" spans="1:22" ht="19.5">
      <c r="A41" s="2" t="s">
        <v>98</v>
      </c>
      <c r="B41" s="10">
        <v>0</v>
      </c>
      <c r="C41" s="10">
        <v>0</v>
      </c>
      <c r="D41" s="10">
        <v>0</v>
      </c>
      <c r="E41" s="10">
        <v>0</v>
      </c>
      <c r="F41" s="17" t="s">
        <v>99</v>
      </c>
    </row>
    <row r="42" spans="1:22" s="3" customFormat="1" ht="18" customHeight="1">
      <c r="A42" s="2" t="s">
        <v>100</v>
      </c>
      <c r="B42" s="10">
        <v>2</v>
      </c>
      <c r="C42" s="10">
        <v>1</v>
      </c>
      <c r="D42" s="10">
        <v>1</v>
      </c>
      <c r="E42" s="10">
        <v>1</v>
      </c>
      <c r="F42" s="17" t="s">
        <v>101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s="3" customFormat="1" ht="19.5">
      <c r="A43" s="2" t="s">
        <v>102</v>
      </c>
      <c r="B43" s="10">
        <v>1</v>
      </c>
      <c r="C43" s="10">
        <v>0</v>
      </c>
      <c r="D43" s="10">
        <v>0</v>
      </c>
      <c r="E43" s="10">
        <v>0</v>
      </c>
      <c r="F43" s="17" t="s">
        <v>103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9.5">
      <c r="A44" s="2" t="s">
        <v>104</v>
      </c>
      <c r="B44" s="10">
        <v>1</v>
      </c>
      <c r="C44" s="10">
        <v>1</v>
      </c>
      <c r="D44" s="10">
        <v>1</v>
      </c>
      <c r="E44" s="10">
        <v>1</v>
      </c>
      <c r="F44" s="17" t="s">
        <v>105</v>
      </c>
    </row>
    <row r="45" spans="1:22" ht="19.5">
      <c r="A45" s="2" t="s">
        <v>106</v>
      </c>
      <c r="B45" s="10">
        <v>1</v>
      </c>
      <c r="C45" s="10">
        <v>1</v>
      </c>
      <c r="D45" s="10">
        <v>1</v>
      </c>
      <c r="E45" s="10">
        <v>1</v>
      </c>
      <c r="F45" s="17" t="s">
        <v>107</v>
      </c>
    </row>
    <row r="46" spans="1:22" ht="19.5">
      <c r="A46" s="3" t="s">
        <v>108</v>
      </c>
      <c r="B46" s="8">
        <f t="shared" ref="B46:E46" si="6">SUM(B47:B59)</f>
        <v>3</v>
      </c>
      <c r="C46" s="8">
        <f t="shared" si="6"/>
        <v>4</v>
      </c>
      <c r="D46" s="8">
        <f t="shared" si="6"/>
        <v>4</v>
      </c>
      <c r="E46" s="8">
        <f t="shared" si="6"/>
        <v>5</v>
      </c>
      <c r="F46" s="18" t="s">
        <v>109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9.5">
      <c r="A47" s="2" t="s">
        <v>110</v>
      </c>
      <c r="B47" s="10">
        <v>0</v>
      </c>
      <c r="C47" s="10">
        <v>0</v>
      </c>
      <c r="D47" s="10">
        <v>0</v>
      </c>
      <c r="E47" s="10">
        <v>1</v>
      </c>
      <c r="F47" s="17" t="s">
        <v>111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2" ht="19.5">
      <c r="A48" s="2" t="s">
        <v>112</v>
      </c>
      <c r="B48" s="10">
        <v>0</v>
      </c>
      <c r="C48" s="10">
        <v>1</v>
      </c>
      <c r="D48" s="10">
        <v>1</v>
      </c>
      <c r="E48" s="10">
        <v>1</v>
      </c>
      <c r="F48" s="17" t="s">
        <v>113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2" ht="19.5">
      <c r="A49" s="2" t="s">
        <v>114</v>
      </c>
      <c r="B49" s="10">
        <v>0</v>
      </c>
      <c r="C49" s="10">
        <v>0</v>
      </c>
      <c r="D49" s="10">
        <v>0</v>
      </c>
      <c r="E49" s="10">
        <v>0</v>
      </c>
      <c r="F49" s="17" t="s">
        <v>115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2" s="3" customFormat="1" ht="19.5">
      <c r="A50" s="2" t="s">
        <v>116</v>
      </c>
      <c r="B50" s="10">
        <v>1</v>
      </c>
      <c r="C50" s="10">
        <v>1</v>
      </c>
      <c r="D50" s="10">
        <v>1</v>
      </c>
      <c r="E50" s="10">
        <v>1</v>
      </c>
      <c r="F50" s="17" t="s">
        <v>117</v>
      </c>
      <c r="G50" s="2"/>
      <c r="V50" s="2"/>
    </row>
    <row r="51" spans="1:22" s="3" customFormat="1" ht="19.5">
      <c r="A51" s="2" t="s">
        <v>118</v>
      </c>
      <c r="B51" s="10">
        <v>0</v>
      </c>
      <c r="C51" s="10">
        <v>0</v>
      </c>
      <c r="D51" s="10">
        <v>0</v>
      </c>
      <c r="E51" s="10">
        <v>0</v>
      </c>
      <c r="F51" s="17" t="s">
        <v>119</v>
      </c>
      <c r="G51" s="2"/>
      <c r="V51" s="2"/>
    </row>
    <row r="52" spans="1:22" s="3" customFormat="1" ht="19.5">
      <c r="A52" s="2" t="s">
        <v>120</v>
      </c>
      <c r="B52" s="10">
        <v>0</v>
      </c>
      <c r="C52" s="10">
        <v>0</v>
      </c>
      <c r="D52" s="10">
        <v>0</v>
      </c>
      <c r="E52" s="10">
        <v>0</v>
      </c>
      <c r="F52" s="17" t="s">
        <v>121</v>
      </c>
      <c r="G52" s="2"/>
      <c r="V52" s="2"/>
    </row>
    <row r="53" spans="1:22" s="3" customFormat="1" ht="19.5">
      <c r="A53" s="2" t="s">
        <v>122</v>
      </c>
      <c r="B53" s="10">
        <v>0</v>
      </c>
      <c r="C53" s="10">
        <v>0</v>
      </c>
      <c r="D53" s="10">
        <v>0</v>
      </c>
      <c r="E53" s="10">
        <v>0</v>
      </c>
      <c r="F53" s="17" t="s">
        <v>123</v>
      </c>
      <c r="G53" s="2"/>
      <c r="V53" s="2"/>
    </row>
    <row r="54" spans="1:22" s="3" customFormat="1" ht="19.5">
      <c r="A54" s="2" t="s">
        <v>124</v>
      </c>
      <c r="B54" s="10">
        <v>0</v>
      </c>
      <c r="C54" s="10">
        <v>0</v>
      </c>
      <c r="D54" s="10">
        <v>0</v>
      </c>
      <c r="E54" s="10">
        <v>0</v>
      </c>
      <c r="F54" s="17" t="s">
        <v>125</v>
      </c>
      <c r="G54" s="2"/>
      <c r="V54" s="2"/>
    </row>
    <row r="55" spans="1:22" s="3" customFormat="1" ht="19.5">
      <c r="A55" s="2" t="s">
        <v>126</v>
      </c>
      <c r="B55" s="10">
        <v>0</v>
      </c>
      <c r="C55" s="10">
        <v>0</v>
      </c>
      <c r="D55" s="10">
        <v>0</v>
      </c>
      <c r="E55" s="10">
        <v>0</v>
      </c>
      <c r="F55" s="17" t="s">
        <v>127</v>
      </c>
      <c r="G55" s="2"/>
      <c r="U55" s="19"/>
      <c r="V55" s="2"/>
    </row>
    <row r="56" spans="1:22" s="3" customFormat="1" ht="19.5">
      <c r="A56" s="2" t="s">
        <v>128</v>
      </c>
      <c r="B56" s="10">
        <v>0</v>
      </c>
      <c r="C56" s="10">
        <v>0</v>
      </c>
      <c r="D56" s="10">
        <v>0</v>
      </c>
      <c r="E56" s="10">
        <v>0</v>
      </c>
      <c r="F56" s="17" t="s">
        <v>129</v>
      </c>
      <c r="G56" s="2"/>
      <c r="V56" s="2"/>
    </row>
    <row r="57" spans="1:22" s="3" customFormat="1" ht="19.5">
      <c r="A57" s="2" t="s">
        <v>130</v>
      </c>
      <c r="B57" s="10">
        <v>0</v>
      </c>
      <c r="C57" s="10">
        <v>0</v>
      </c>
      <c r="D57" s="10">
        <v>0</v>
      </c>
      <c r="E57" s="10">
        <v>0</v>
      </c>
      <c r="F57" s="17" t="s">
        <v>131</v>
      </c>
      <c r="G57" s="2"/>
      <c r="V57" s="2"/>
    </row>
    <row r="58" spans="1:22" ht="19.5">
      <c r="A58" s="2" t="s">
        <v>132</v>
      </c>
      <c r="B58" s="10">
        <v>1</v>
      </c>
      <c r="C58" s="10">
        <v>1</v>
      </c>
      <c r="D58" s="10">
        <v>1</v>
      </c>
      <c r="E58" s="10">
        <v>1</v>
      </c>
      <c r="F58" s="17" t="s">
        <v>133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19"/>
    </row>
    <row r="59" spans="1:22" ht="19.5">
      <c r="A59" s="2" t="s">
        <v>134</v>
      </c>
      <c r="B59" s="10">
        <v>1</v>
      </c>
      <c r="C59" s="10">
        <v>1</v>
      </c>
      <c r="D59" s="10">
        <v>1</v>
      </c>
      <c r="E59" s="10">
        <v>1</v>
      </c>
      <c r="F59" s="17" t="s">
        <v>135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2" ht="19.5">
      <c r="A60" s="3" t="s">
        <v>136</v>
      </c>
      <c r="B60" s="8">
        <f t="shared" ref="B60:E60" si="7">SUM(B61:B73)</f>
        <v>6</v>
      </c>
      <c r="C60" s="8">
        <f t="shared" si="7"/>
        <v>5</v>
      </c>
      <c r="D60" s="8">
        <f t="shared" si="7"/>
        <v>5</v>
      </c>
      <c r="E60" s="8">
        <f t="shared" si="7"/>
        <v>7</v>
      </c>
      <c r="F60" s="18" t="s">
        <v>137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V60" s="3"/>
    </row>
    <row r="61" spans="1:22" ht="19.5">
      <c r="A61" s="2" t="s">
        <v>138</v>
      </c>
      <c r="B61" s="10">
        <v>1</v>
      </c>
      <c r="C61" s="10">
        <v>0</v>
      </c>
      <c r="D61" s="10">
        <v>0</v>
      </c>
      <c r="E61" s="10">
        <v>1</v>
      </c>
      <c r="F61" s="17" t="s">
        <v>139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2" ht="19.5">
      <c r="A62" s="2" t="s">
        <v>140</v>
      </c>
      <c r="B62" s="10">
        <v>1</v>
      </c>
      <c r="C62" s="10">
        <v>1</v>
      </c>
      <c r="D62" s="10">
        <v>1</v>
      </c>
      <c r="E62" s="10">
        <v>1</v>
      </c>
      <c r="F62" s="17" t="s">
        <v>141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2" ht="19.5">
      <c r="A63" s="2" t="s">
        <v>142</v>
      </c>
      <c r="B63" s="10">
        <v>1</v>
      </c>
      <c r="C63" s="10">
        <v>1</v>
      </c>
      <c r="D63" s="10">
        <v>1</v>
      </c>
      <c r="E63" s="10">
        <v>1</v>
      </c>
      <c r="F63" s="17" t="s">
        <v>143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2" ht="19.5">
      <c r="A64" s="2" t="s">
        <v>144</v>
      </c>
      <c r="B64" s="10">
        <v>0</v>
      </c>
      <c r="C64" s="10">
        <v>0</v>
      </c>
      <c r="D64" s="10">
        <v>0</v>
      </c>
      <c r="E64" s="10">
        <v>0</v>
      </c>
      <c r="F64" s="17" t="s">
        <v>145</v>
      </c>
    </row>
    <row r="65" spans="1:6" ht="19.5">
      <c r="A65" s="2" t="s">
        <v>146</v>
      </c>
      <c r="B65" s="10">
        <v>0</v>
      </c>
      <c r="C65" s="10">
        <v>0</v>
      </c>
      <c r="D65" s="10">
        <v>0</v>
      </c>
      <c r="E65" s="10">
        <v>0</v>
      </c>
      <c r="F65" s="17" t="s">
        <v>147</v>
      </c>
    </row>
    <row r="66" spans="1:6" ht="19.5">
      <c r="A66" s="2" t="s">
        <v>148</v>
      </c>
      <c r="B66" s="10">
        <v>0</v>
      </c>
      <c r="C66" s="10">
        <v>0</v>
      </c>
      <c r="D66" s="10">
        <v>0</v>
      </c>
      <c r="E66" s="10">
        <v>0</v>
      </c>
      <c r="F66" s="17" t="s">
        <v>149</v>
      </c>
    </row>
    <row r="67" spans="1:6" ht="19.5">
      <c r="A67" s="2" t="s">
        <v>150</v>
      </c>
      <c r="B67" s="10">
        <v>0</v>
      </c>
      <c r="C67" s="10">
        <v>0</v>
      </c>
      <c r="D67" s="10">
        <v>0</v>
      </c>
      <c r="E67" s="10">
        <v>0</v>
      </c>
      <c r="F67" s="17" t="s">
        <v>151</v>
      </c>
    </row>
    <row r="68" spans="1:6" ht="19.5">
      <c r="A68" s="2" t="s">
        <v>152</v>
      </c>
      <c r="B68" s="10">
        <v>0</v>
      </c>
      <c r="C68" s="10">
        <v>0</v>
      </c>
      <c r="D68" s="10">
        <v>0</v>
      </c>
      <c r="E68" s="10">
        <v>0</v>
      </c>
      <c r="F68" s="17" t="s">
        <v>153</v>
      </c>
    </row>
    <row r="69" spans="1:6" ht="19.5">
      <c r="A69" s="2" t="s">
        <v>154</v>
      </c>
      <c r="B69" s="10">
        <v>0</v>
      </c>
      <c r="C69" s="10">
        <v>0</v>
      </c>
      <c r="D69" s="10">
        <v>0</v>
      </c>
      <c r="E69" s="10">
        <v>0</v>
      </c>
      <c r="F69" s="17" t="s">
        <v>155</v>
      </c>
    </row>
    <row r="70" spans="1:6" ht="19.5">
      <c r="A70" s="2" t="s">
        <v>156</v>
      </c>
      <c r="B70" s="10">
        <v>1</v>
      </c>
      <c r="C70" s="10">
        <v>1</v>
      </c>
      <c r="D70" s="10">
        <v>1</v>
      </c>
      <c r="E70" s="10">
        <v>1</v>
      </c>
      <c r="F70" s="17" t="s">
        <v>157</v>
      </c>
    </row>
    <row r="71" spans="1:6" ht="19.5">
      <c r="A71" s="2" t="s">
        <v>158</v>
      </c>
      <c r="B71" s="10">
        <v>0</v>
      </c>
      <c r="C71" s="10">
        <v>0</v>
      </c>
      <c r="D71" s="10">
        <v>0</v>
      </c>
      <c r="E71" s="10">
        <v>1</v>
      </c>
      <c r="F71" s="17" t="s">
        <v>159</v>
      </c>
    </row>
    <row r="72" spans="1:6" ht="19.5">
      <c r="A72" s="2" t="s">
        <v>160</v>
      </c>
      <c r="B72" s="10">
        <v>1</v>
      </c>
      <c r="C72" s="10">
        <v>1</v>
      </c>
      <c r="D72" s="10">
        <v>1</v>
      </c>
      <c r="E72" s="10">
        <v>1</v>
      </c>
      <c r="F72" s="17" t="s">
        <v>161</v>
      </c>
    </row>
    <row r="73" spans="1:6" ht="19.5">
      <c r="A73" s="2" t="s">
        <v>162</v>
      </c>
      <c r="B73" s="10">
        <v>1</v>
      </c>
      <c r="C73" s="10">
        <v>1</v>
      </c>
      <c r="D73" s="10">
        <v>1</v>
      </c>
      <c r="E73" s="10">
        <v>1</v>
      </c>
      <c r="F73" s="17" t="s">
        <v>163</v>
      </c>
    </row>
    <row r="74" spans="1:6" ht="19.5">
      <c r="A74" s="3" t="s">
        <v>164</v>
      </c>
      <c r="B74" s="8">
        <f t="shared" ref="B74:E74" si="8">SUM(B75:B89)</f>
        <v>12</v>
      </c>
      <c r="C74" s="8">
        <f t="shared" si="8"/>
        <v>14</v>
      </c>
      <c r="D74" s="8">
        <f t="shared" si="8"/>
        <v>12</v>
      </c>
      <c r="E74" s="8">
        <f t="shared" si="8"/>
        <v>12</v>
      </c>
      <c r="F74" s="18" t="s">
        <v>165</v>
      </c>
    </row>
    <row r="75" spans="1:6" ht="19.5">
      <c r="A75" s="2" t="s">
        <v>166</v>
      </c>
      <c r="B75" s="10">
        <v>1</v>
      </c>
      <c r="C75" s="10">
        <v>1</v>
      </c>
      <c r="D75" s="10">
        <v>1</v>
      </c>
      <c r="E75" s="10">
        <v>1</v>
      </c>
      <c r="F75" s="17" t="s">
        <v>167</v>
      </c>
    </row>
    <row r="76" spans="1:6" ht="19.5">
      <c r="A76" s="2" t="s">
        <v>168</v>
      </c>
      <c r="B76" s="10">
        <v>1</v>
      </c>
      <c r="C76" s="10">
        <v>2</v>
      </c>
      <c r="D76" s="10">
        <v>2</v>
      </c>
      <c r="E76" s="10">
        <v>2</v>
      </c>
      <c r="F76" s="17" t="s">
        <v>169</v>
      </c>
    </row>
    <row r="77" spans="1:6" ht="19.5">
      <c r="A77" s="2" t="s">
        <v>170</v>
      </c>
      <c r="B77" s="10">
        <v>1</v>
      </c>
      <c r="C77" s="10">
        <v>1</v>
      </c>
      <c r="D77" s="10">
        <v>0</v>
      </c>
      <c r="E77" s="10">
        <v>0</v>
      </c>
      <c r="F77" s="17" t="s">
        <v>171</v>
      </c>
    </row>
    <row r="78" spans="1:6" ht="19.5">
      <c r="A78" s="2" t="s">
        <v>172</v>
      </c>
      <c r="B78" s="10">
        <v>1</v>
      </c>
      <c r="C78" s="10">
        <v>1</v>
      </c>
      <c r="D78" s="10">
        <v>1</v>
      </c>
      <c r="E78" s="10">
        <v>1</v>
      </c>
      <c r="F78" s="17" t="s">
        <v>173</v>
      </c>
    </row>
    <row r="79" spans="1:6" ht="19.5">
      <c r="A79" s="2" t="s">
        <v>174</v>
      </c>
      <c r="B79" s="10">
        <v>1</v>
      </c>
      <c r="C79" s="10">
        <v>1</v>
      </c>
      <c r="D79" s="10">
        <v>1</v>
      </c>
      <c r="E79" s="10">
        <v>1</v>
      </c>
      <c r="F79" s="17" t="s">
        <v>175</v>
      </c>
    </row>
    <row r="80" spans="1:6" ht="19.5">
      <c r="A80" s="2" t="s">
        <v>176</v>
      </c>
      <c r="B80" s="10">
        <v>1</v>
      </c>
      <c r="C80" s="10">
        <v>2</v>
      </c>
      <c r="D80" s="10">
        <v>2</v>
      </c>
      <c r="E80" s="10">
        <v>1</v>
      </c>
      <c r="F80" s="17" t="s">
        <v>177</v>
      </c>
    </row>
    <row r="81" spans="1:32" ht="19.5">
      <c r="A81" s="2" t="s">
        <v>178</v>
      </c>
      <c r="B81" s="10">
        <v>1</v>
      </c>
      <c r="C81" s="10">
        <v>1</v>
      </c>
      <c r="D81" s="10">
        <v>1</v>
      </c>
      <c r="E81" s="10">
        <v>1</v>
      </c>
      <c r="F81" s="17" t="s">
        <v>179</v>
      </c>
    </row>
    <row r="82" spans="1:32" ht="19.5">
      <c r="A82" s="2" t="s">
        <v>180</v>
      </c>
      <c r="B82" s="10">
        <v>1</v>
      </c>
      <c r="C82" s="10">
        <v>1</v>
      </c>
      <c r="D82" s="10">
        <v>1</v>
      </c>
      <c r="E82" s="10">
        <v>1</v>
      </c>
      <c r="F82" s="17" t="s">
        <v>181</v>
      </c>
    </row>
    <row r="83" spans="1:32" ht="19.5">
      <c r="A83" s="2" t="s">
        <v>182</v>
      </c>
      <c r="B83" s="10">
        <v>1</v>
      </c>
      <c r="C83" s="10">
        <v>1</v>
      </c>
      <c r="D83" s="10">
        <v>0</v>
      </c>
      <c r="E83" s="10">
        <v>0</v>
      </c>
      <c r="F83" s="17" t="s">
        <v>183</v>
      </c>
    </row>
    <row r="84" spans="1:32" ht="19.5">
      <c r="A84" s="2" t="s">
        <v>184</v>
      </c>
      <c r="B84" s="10">
        <v>1</v>
      </c>
      <c r="C84" s="10">
        <v>1</v>
      </c>
      <c r="D84" s="10">
        <v>1</v>
      </c>
      <c r="E84" s="10">
        <v>1</v>
      </c>
      <c r="F84" s="17" t="s">
        <v>185</v>
      </c>
    </row>
    <row r="85" spans="1:32" ht="19.5">
      <c r="A85" s="2" t="s">
        <v>186</v>
      </c>
      <c r="B85" s="10">
        <v>1</v>
      </c>
      <c r="C85" s="10">
        <v>1</v>
      </c>
      <c r="D85" s="10">
        <v>1</v>
      </c>
      <c r="E85" s="10">
        <v>1</v>
      </c>
      <c r="F85" s="17" t="s">
        <v>187</v>
      </c>
    </row>
    <row r="86" spans="1:32" ht="19.5">
      <c r="A86" s="2" t="s">
        <v>188</v>
      </c>
      <c r="B86" s="10">
        <v>0</v>
      </c>
      <c r="C86" s="10">
        <v>0</v>
      </c>
      <c r="D86" s="10">
        <v>0</v>
      </c>
      <c r="E86" s="10">
        <v>0</v>
      </c>
      <c r="F86" s="17" t="s">
        <v>189</v>
      </c>
    </row>
    <row r="87" spans="1:32" ht="19.5">
      <c r="A87" s="2" t="s">
        <v>190</v>
      </c>
      <c r="B87" s="10">
        <v>0</v>
      </c>
      <c r="C87" s="10">
        <v>0</v>
      </c>
      <c r="D87" s="10">
        <v>0</v>
      </c>
      <c r="E87" s="10">
        <v>0</v>
      </c>
      <c r="F87" s="17" t="s">
        <v>191</v>
      </c>
    </row>
    <row r="88" spans="1:32" ht="19.5">
      <c r="A88" s="2" t="s">
        <v>192</v>
      </c>
      <c r="B88" s="10">
        <v>0</v>
      </c>
      <c r="C88" s="10">
        <v>0</v>
      </c>
      <c r="D88" s="10">
        <v>0</v>
      </c>
      <c r="E88" s="10">
        <v>1</v>
      </c>
      <c r="F88" s="17" t="s">
        <v>193</v>
      </c>
    </row>
    <row r="89" spans="1:32" ht="19.5">
      <c r="A89" s="2" t="s">
        <v>194</v>
      </c>
      <c r="B89" s="10">
        <v>1</v>
      </c>
      <c r="C89" s="10">
        <v>1</v>
      </c>
      <c r="D89" s="10">
        <v>1</v>
      </c>
      <c r="E89" s="10">
        <v>1</v>
      </c>
      <c r="F89" s="17" t="s">
        <v>195</v>
      </c>
    </row>
    <row r="90" spans="1:32" ht="19.5">
      <c r="A90" s="3" t="s">
        <v>196</v>
      </c>
      <c r="B90" s="8">
        <f t="shared" ref="B90:E90" si="9">SUM(B91:B103)</f>
        <v>8</v>
      </c>
      <c r="C90" s="8">
        <f t="shared" si="9"/>
        <v>6</v>
      </c>
      <c r="D90" s="8">
        <f t="shared" si="9"/>
        <v>6</v>
      </c>
      <c r="E90" s="8">
        <f t="shared" si="9"/>
        <v>7</v>
      </c>
      <c r="F90" s="18" t="s">
        <v>197</v>
      </c>
      <c r="AC90" s="3" t="s">
        <v>48</v>
      </c>
      <c r="AD90" s="8">
        <f>SUM(AD92:AD111)</f>
        <v>126</v>
      </c>
      <c r="AE90" s="8">
        <f>SUM(AE92:AE111)</f>
        <v>184</v>
      </c>
      <c r="AF90" s="8"/>
    </row>
    <row r="91" spans="1:32" ht="19.5">
      <c r="A91" s="2" t="s">
        <v>198</v>
      </c>
      <c r="B91" s="10">
        <v>0</v>
      </c>
      <c r="C91" s="10">
        <v>1</v>
      </c>
      <c r="D91" s="10">
        <v>1</v>
      </c>
      <c r="E91" s="10">
        <v>1</v>
      </c>
      <c r="F91" s="17" t="s">
        <v>199</v>
      </c>
      <c r="AC91" s="3"/>
      <c r="AD91" s="8" t="s">
        <v>200</v>
      </c>
      <c r="AE91" s="8" t="s">
        <v>201</v>
      </c>
      <c r="AF91" s="8"/>
    </row>
    <row r="92" spans="1:32" ht="19.5">
      <c r="A92" s="2" t="s">
        <v>202</v>
      </c>
      <c r="B92" s="10">
        <v>1</v>
      </c>
      <c r="C92" s="10">
        <v>1</v>
      </c>
      <c r="D92" s="10">
        <v>1</v>
      </c>
      <c r="E92" s="10">
        <v>1</v>
      </c>
      <c r="F92" s="17" t="s">
        <v>203</v>
      </c>
      <c r="AC92" s="3" t="s">
        <v>2</v>
      </c>
      <c r="AD92" s="2">
        <f>E17</f>
        <v>8</v>
      </c>
      <c r="AE92" s="2">
        <v>14</v>
      </c>
      <c r="AF92" s="8"/>
    </row>
    <row r="93" spans="1:32" ht="19.5">
      <c r="A93" s="2" t="s">
        <v>204</v>
      </c>
      <c r="B93" s="10">
        <v>1</v>
      </c>
      <c r="C93" s="10">
        <v>0</v>
      </c>
      <c r="D93" s="10">
        <v>0</v>
      </c>
      <c r="E93" s="10">
        <v>0</v>
      </c>
      <c r="F93" s="17" t="s">
        <v>205</v>
      </c>
      <c r="AC93" s="3" t="s">
        <v>3</v>
      </c>
      <c r="AD93" s="2">
        <f>E32</f>
        <v>8</v>
      </c>
      <c r="AE93" s="2">
        <v>13</v>
      </c>
      <c r="AF93" s="8"/>
    </row>
    <row r="94" spans="1:32" ht="19.5">
      <c r="A94" s="2" t="s">
        <v>206</v>
      </c>
      <c r="B94" s="10">
        <v>1</v>
      </c>
      <c r="C94" s="10">
        <v>1</v>
      </c>
      <c r="D94" s="10">
        <v>1</v>
      </c>
      <c r="E94" s="10">
        <v>1</v>
      </c>
      <c r="F94" s="17" t="s">
        <v>207</v>
      </c>
      <c r="AC94" s="3" t="s">
        <v>4</v>
      </c>
      <c r="AD94" s="2">
        <f>E46</f>
        <v>5</v>
      </c>
      <c r="AE94" s="2">
        <v>13</v>
      </c>
      <c r="AF94" s="8"/>
    </row>
    <row r="95" spans="1:32" ht="19.5">
      <c r="A95" s="2" t="s">
        <v>208</v>
      </c>
      <c r="B95" s="10">
        <v>1</v>
      </c>
      <c r="C95" s="10">
        <v>1</v>
      </c>
      <c r="D95" s="10">
        <v>1</v>
      </c>
      <c r="E95" s="10">
        <v>1</v>
      </c>
      <c r="F95" s="17" t="s">
        <v>209</v>
      </c>
      <c r="AC95" s="3" t="s">
        <v>6</v>
      </c>
      <c r="AD95" s="2">
        <f>E60</f>
        <v>7</v>
      </c>
      <c r="AE95" s="2">
        <v>13</v>
      </c>
      <c r="AF95" s="8"/>
    </row>
    <row r="96" spans="1:32" ht="19.5">
      <c r="A96" s="2" t="s">
        <v>210</v>
      </c>
      <c r="B96" s="10">
        <v>1</v>
      </c>
      <c r="C96" s="10">
        <v>1</v>
      </c>
      <c r="D96" s="10">
        <v>1</v>
      </c>
      <c r="E96" s="10">
        <v>1</v>
      </c>
      <c r="F96" s="17" t="s">
        <v>211</v>
      </c>
      <c r="AC96" s="3" t="s">
        <v>7</v>
      </c>
      <c r="AD96" s="2">
        <f>E74</f>
        <v>12</v>
      </c>
      <c r="AE96" s="2">
        <v>14</v>
      </c>
      <c r="AF96" s="8"/>
    </row>
    <row r="97" spans="1:32" ht="19.5">
      <c r="A97" s="2" t="s">
        <v>212</v>
      </c>
      <c r="B97" s="10">
        <v>1</v>
      </c>
      <c r="C97" s="10">
        <v>0</v>
      </c>
      <c r="D97" s="10">
        <v>0</v>
      </c>
      <c r="E97" s="10">
        <v>0</v>
      </c>
      <c r="F97" s="17" t="s">
        <v>213</v>
      </c>
      <c r="AC97" s="3" t="s">
        <v>8</v>
      </c>
      <c r="AD97" s="2">
        <f>E90</f>
        <v>7</v>
      </c>
      <c r="AE97" s="2">
        <v>13</v>
      </c>
      <c r="AF97" s="8"/>
    </row>
    <row r="98" spans="1:32" ht="19.5">
      <c r="A98" s="2" t="s">
        <v>214</v>
      </c>
      <c r="B98" s="10">
        <v>1</v>
      </c>
      <c r="C98" s="10">
        <v>1</v>
      </c>
      <c r="D98" s="10">
        <v>1</v>
      </c>
      <c r="E98" s="10">
        <v>1</v>
      </c>
      <c r="F98" s="17" t="s">
        <v>215</v>
      </c>
      <c r="AC98" s="3" t="s">
        <v>9</v>
      </c>
      <c r="AD98" s="2">
        <f>E104</f>
        <v>4</v>
      </c>
      <c r="AE98" s="2">
        <v>4</v>
      </c>
      <c r="AF98" s="8"/>
    </row>
    <row r="99" spans="1:32" ht="19.5">
      <c r="A99" s="2" t="s">
        <v>216</v>
      </c>
      <c r="B99" s="10">
        <v>0</v>
      </c>
      <c r="C99" s="10">
        <v>0</v>
      </c>
      <c r="D99" s="10">
        <v>0</v>
      </c>
      <c r="E99" s="10">
        <v>0</v>
      </c>
      <c r="F99" s="17" t="s">
        <v>217</v>
      </c>
      <c r="AC99" s="3" t="s">
        <v>11</v>
      </c>
      <c r="AD99" s="2">
        <f>E109</f>
        <v>8</v>
      </c>
      <c r="AE99" s="2">
        <v>9</v>
      </c>
      <c r="AF99" s="8"/>
    </row>
    <row r="100" spans="1:32" ht="19.5">
      <c r="A100" s="2" t="s">
        <v>218</v>
      </c>
      <c r="B100" s="10">
        <v>0</v>
      </c>
      <c r="C100" s="10">
        <v>0</v>
      </c>
      <c r="D100" s="10">
        <v>0</v>
      </c>
      <c r="E100" s="10">
        <v>0</v>
      </c>
      <c r="F100" s="17" t="s">
        <v>219</v>
      </c>
      <c r="AC100" s="3" t="s">
        <v>12</v>
      </c>
      <c r="AD100" s="2">
        <f>E119</f>
        <v>4</v>
      </c>
      <c r="AE100" s="2">
        <v>8</v>
      </c>
      <c r="AF100" s="8"/>
    </row>
    <row r="101" spans="1:32" ht="19.5">
      <c r="A101" s="2" t="s">
        <v>220</v>
      </c>
      <c r="B101" s="10">
        <v>0</v>
      </c>
      <c r="C101" s="10">
        <v>0</v>
      </c>
      <c r="D101" s="10">
        <v>0</v>
      </c>
      <c r="E101" s="10">
        <v>0</v>
      </c>
      <c r="F101" s="17" t="s">
        <v>221</v>
      </c>
      <c r="AC101" s="3" t="s">
        <v>13</v>
      </c>
      <c r="AD101" s="2">
        <f>E128</f>
        <v>6</v>
      </c>
      <c r="AE101" s="2">
        <v>10</v>
      </c>
      <c r="AF101" s="8"/>
    </row>
    <row r="102" spans="1:32" ht="19.5">
      <c r="A102" s="2" t="s">
        <v>222</v>
      </c>
      <c r="B102" s="10">
        <v>0</v>
      </c>
      <c r="C102" s="10">
        <v>0</v>
      </c>
      <c r="D102" s="10">
        <v>0</v>
      </c>
      <c r="E102" s="10">
        <v>0</v>
      </c>
      <c r="F102" s="17" t="s">
        <v>223</v>
      </c>
      <c r="AC102" s="3" t="s">
        <v>14</v>
      </c>
      <c r="AD102" s="2">
        <f>E139</f>
        <v>1</v>
      </c>
      <c r="AE102" s="2">
        <v>5</v>
      </c>
      <c r="AF102" s="8"/>
    </row>
    <row r="103" spans="1:32" ht="19.5">
      <c r="A103" s="2" t="s">
        <v>224</v>
      </c>
      <c r="B103" s="10">
        <v>1</v>
      </c>
      <c r="C103" s="10">
        <v>0</v>
      </c>
      <c r="D103" s="10">
        <v>0</v>
      </c>
      <c r="E103" s="10">
        <v>1</v>
      </c>
      <c r="F103" s="17" t="s">
        <v>225</v>
      </c>
      <c r="AC103" s="3" t="s">
        <v>15</v>
      </c>
      <c r="AD103" s="2">
        <f>E145</f>
        <v>4</v>
      </c>
      <c r="AE103" s="2">
        <v>8</v>
      </c>
      <c r="AF103" s="8"/>
    </row>
    <row r="104" spans="1:32" ht="19.5">
      <c r="A104" s="3" t="s">
        <v>226</v>
      </c>
      <c r="B104" s="8">
        <f t="shared" ref="B104:D104" si="10">SUM(B105:B108)</f>
        <v>4</v>
      </c>
      <c r="C104" s="8">
        <f t="shared" si="10"/>
        <v>4</v>
      </c>
      <c r="D104" s="8">
        <f t="shared" si="10"/>
        <v>4</v>
      </c>
      <c r="E104" s="8">
        <f>SUM(E105:E108)</f>
        <v>4</v>
      </c>
      <c r="F104" s="18" t="s">
        <v>227</v>
      </c>
      <c r="AC104" s="3" t="s">
        <v>16</v>
      </c>
      <c r="AD104" s="2">
        <f>E154</f>
        <v>4</v>
      </c>
      <c r="AE104" s="2">
        <v>5</v>
      </c>
      <c r="AF104" s="8"/>
    </row>
    <row r="105" spans="1:32" ht="19.5">
      <c r="A105" s="2" t="s">
        <v>228</v>
      </c>
      <c r="B105" s="10">
        <v>2</v>
      </c>
      <c r="C105" s="10">
        <v>2</v>
      </c>
      <c r="D105" s="10">
        <v>2</v>
      </c>
      <c r="E105" s="10">
        <v>2</v>
      </c>
      <c r="F105" s="17" t="s">
        <v>229</v>
      </c>
      <c r="AC105" s="3" t="s">
        <v>17</v>
      </c>
      <c r="AD105" s="2">
        <f>E160</f>
        <v>4</v>
      </c>
      <c r="AE105" s="2">
        <v>6</v>
      </c>
      <c r="AF105" s="8"/>
    </row>
    <row r="106" spans="1:32" ht="19.5">
      <c r="A106" s="2" t="s">
        <v>230</v>
      </c>
      <c r="B106" s="10">
        <v>1</v>
      </c>
      <c r="C106" s="10">
        <v>1</v>
      </c>
      <c r="D106" s="10">
        <v>1</v>
      </c>
      <c r="E106" s="10">
        <v>1</v>
      </c>
      <c r="F106" s="17" t="s">
        <v>231</v>
      </c>
      <c r="AC106" s="3" t="s">
        <v>18</v>
      </c>
      <c r="AD106" s="2">
        <f>E167</f>
        <v>9</v>
      </c>
      <c r="AE106" s="2">
        <v>13</v>
      </c>
      <c r="AF106" s="8"/>
    </row>
    <row r="107" spans="1:32" ht="19.5">
      <c r="A107" s="2" t="s">
        <v>232</v>
      </c>
      <c r="B107" s="10">
        <v>0</v>
      </c>
      <c r="C107" s="10">
        <v>0</v>
      </c>
      <c r="D107" s="10">
        <v>0</v>
      </c>
      <c r="E107" s="10">
        <v>0</v>
      </c>
      <c r="F107" s="17" t="s">
        <v>233</v>
      </c>
      <c r="AC107" s="3" t="s">
        <v>10</v>
      </c>
      <c r="AD107" s="2">
        <f>E181</f>
        <v>12</v>
      </c>
      <c r="AE107" s="2">
        <v>11</v>
      </c>
      <c r="AF107" s="8"/>
    </row>
    <row r="108" spans="1:32" ht="19.5">
      <c r="A108" s="2" t="s">
        <v>234</v>
      </c>
      <c r="B108" s="10">
        <v>1</v>
      </c>
      <c r="C108" s="10">
        <v>1</v>
      </c>
      <c r="D108" s="10">
        <v>1</v>
      </c>
      <c r="E108" s="10">
        <v>1</v>
      </c>
      <c r="F108" s="17" t="s">
        <v>235</v>
      </c>
      <c r="AC108" s="3" t="s">
        <v>19</v>
      </c>
      <c r="AD108" s="2">
        <f>E193</f>
        <v>6</v>
      </c>
      <c r="AE108" s="2">
        <v>9</v>
      </c>
      <c r="AF108" s="8"/>
    </row>
    <row r="109" spans="1:32" ht="19.5">
      <c r="A109" s="3" t="s">
        <v>236</v>
      </c>
      <c r="B109" s="8">
        <f t="shared" ref="B109:D109" si="11">SUM(B110:B118)</f>
        <v>7</v>
      </c>
      <c r="C109" s="8">
        <f t="shared" si="11"/>
        <v>10</v>
      </c>
      <c r="D109" s="8">
        <f t="shared" si="11"/>
        <v>7</v>
      </c>
      <c r="E109" s="8">
        <f>(E110+E111+E112+E113+E114+E115+E116+E117+E118)</f>
        <v>8</v>
      </c>
      <c r="F109" s="18" t="s">
        <v>237</v>
      </c>
      <c r="AC109" s="3" t="s">
        <v>20</v>
      </c>
      <c r="AD109" s="2">
        <f>E203</f>
        <v>8</v>
      </c>
      <c r="AE109" s="2">
        <v>9</v>
      </c>
      <c r="AF109" s="8"/>
    </row>
    <row r="110" spans="1:32" ht="19.5">
      <c r="A110" s="2" t="s">
        <v>238</v>
      </c>
      <c r="B110" s="10">
        <v>1</v>
      </c>
      <c r="C110" s="10">
        <v>2</v>
      </c>
      <c r="D110" s="10">
        <v>0</v>
      </c>
      <c r="E110" s="10">
        <v>1</v>
      </c>
      <c r="F110" s="17" t="s">
        <v>239</v>
      </c>
      <c r="AC110" s="3" t="s">
        <v>21</v>
      </c>
      <c r="AD110" s="2">
        <f>E213</f>
        <v>2</v>
      </c>
      <c r="AE110" s="2">
        <v>1</v>
      </c>
      <c r="AF110" s="8"/>
    </row>
    <row r="111" spans="1:32" ht="19.5">
      <c r="A111" s="2" t="s">
        <v>240</v>
      </c>
      <c r="B111" s="10">
        <v>1</v>
      </c>
      <c r="C111" s="10">
        <v>1</v>
      </c>
      <c r="D111" s="10">
        <v>1</v>
      </c>
      <c r="E111" s="10">
        <v>1</v>
      </c>
      <c r="F111" s="17" t="s">
        <v>241</v>
      </c>
      <c r="AC111" s="3" t="s">
        <v>5</v>
      </c>
      <c r="AD111" s="2">
        <f>E215</f>
        <v>7</v>
      </c>
      <c r="AE111" s="2">
        <v>6</v>
      </c>
      <c r="AF111" s="8"/>
    </row>
    <row r="112" spans="1:32" ht="19.5">
      <c r="A112" s="2" t="s">
        <v>242</v>
      </c>
      <c r="B112" s="10">
        <v>1</v>
      </c>
      <c r="C112" s="10">
        <v>1</v>
      </c>
      <c r="D112" s="10">
        <v>1</v>
      </c>
      <c r="E112" s="10">
        <v>1</v>
      </c>
      <c r="F112" s="17" t="s">
        <v>243</v>
      </c>
      <c r="AD112" s="2">
        <f>SUM(AD92:AD111)</f>
        <v>126</v>
      </c>
      <c r="AE112" s="2">
        <f>SUM(AE92:AE111)</f>
        <v>184</v>
      </c>
      <c r="AF112" s="8"/>
    </row>
    <row r="113" spans="1:32" ht="19.5">
      <c r="A113" s="2" t="s">
        <v>244</v>
      </c>
      <c r="B113" s="10">
        <v>1</v>
      </c>
      <c r="C113" s="10">
        <v>1</v>
      </c>
      <c r="D113" s="10">
        <v>1</v>
      </c>
      <c r="E113" s="10">
        <v>1</v>
      </c>
      <c r="F113" s="17" t="s">
        <v>245</v>
      </c>
      <c r="AF113" s="8"/>
    </row>
    <row r="114" spans="1:32" ht="19.5">
      <c r="A114" s="2" t="s">
        <v>246</v>
      </c>
      <c r="B114" s="10">
        <v>0</v>
      </c>
      <c r="C114" s="10">
        <v>1</v>
      </c>
      <c r="D114" s="10">
        <v>1</v>
      </c>
      <c r="E114" s="10">
        <v>0</v>
      </c>
      <c r="F114" s="17" t="s">
        <v>247</v>
      </c>
      <c r="AF114" s="8"/>
    </row>
    <row r="115" spans="1:32" ht="19.5">
      <c r="A115" s="2" t="s">
        <v>248</v>
      </c>
      <c r="B115" s="10">
        <v>1</v>
      </c>
      <c r="C115" s="10">
        <v>1</v>
      </c>
      <c r="D115" s="10">
        <v>1</v>
      </c>
      <c r="E115" s="10">
        <v>1</v>
      </c>
      <c r="F115" s="17" t="s">
        <v>249</v>
      </c>
      <c r="AF115" s="8"/>
    </row>
    <row r="116" spans="1:32" ht="19.5">
      <c r="A116" s="2" t="s">
        <v>250</v>
      </c>
      <c r="B116" s="10">
        <v>1</v>
      </c>
      <c r="C116" s="10">
        <v>1</v>
      </c>
      <c r="D116" s="10">
        <v>0</v>
      </c>
      <c r="E116" s="10">
        <v>1</v>
      </c>
      <c r="F116" s="17" t="s">
        <v>251</v>
      </c>
      <c r="AF116" s="8"/>
    </row>
    <row r="117" spans="1:32" ht="19.5">
      <c r="A117" s="2" t="s">
        <v>252</v>
      </c>
      <c r="B117" s="10">
        <v>0</v>
      </c>
      <c r="C117" s="10">
        <v>1</v>
      </c>
      <c r="D117" s="10">
        <v>1</v>
      </c>
      <c r="E117" s="10">
        <v>1</v>
      </c>
      <c r="F117" s="17" t="s">
        <v>253</v>
      </c>
      <c r="AF117" s="8"/>
    </row>
    <row r="118" spans="1:32" ht="19.5">
      <c r="A118" s="2" t="s">
        <v>254</v>
      </c>
      <c r="B118" s="10">
        <v>1</v>
      </c>
      <c r="C118" s="10">
        <v>1</v>
      </c>
      <c r="D118" s="10">
        <v>1</v>
      </c>
      <c r="E118" s="10">
        <v>1</v>
      </c>
      <c r="F118" s="17" t="s">
        <v>255</v>
      </c>
      <c r="AC118" s="3"/>
      <c r="AD118" s="8"/>
      <c r="AE118" s="8"/>
      <c r="AF118" s="8"/>
    </row>
    <row r="119" spans="1:32" ht="19.5">
      <c r="A119" s="3" t="s">
        <v>256</v>
      </c>
      <c r="B119" s="8">
        <f t="shared" ref="B119:E119" si="12">SUM(B120:B127)</f>
        <v>4</v>
      </c>
      <c r="C119" s="8">
        <f t="shared" si="12"/>
        <v>5</v>
      </c>
      <c r="D119" s="8">
        <f t="shared" si="12"/>
        <v>4</v>
      </c>
      <c r="E119" s="8">
        <f t="shared" si="12"/>
        <v>4</v>
      </c>
      <c r="F119" s="18" t="s">
        <v>257</v>
      </c>
      <c r="AC119" s="3"/>
      <c r="AD119" s="8"/>
      <c r="AE119" s="8"/>
      <c r="AF119" s="8"/>
    </row>
    <row r="120" spans="1:32" ht="19.5">
      <c r="A120" s="2" t="s">
        <v>258</v>
      </c>
      <c r="B120" s="10">
        <v>1</v>
      </c>
      <c r="C120" s="10">
        <v>1</v>
      </c>
      <c r="D120" s="10">
        <v>1</v>
      </c>
      <c r="E120" s="10">
        <v>1</v>
      </c>
      <c r="F120" s="17" t="s">
        <v>259</v>
      </c>
      <c r="AC120" s="3"/>
      <c r="AD120" s="8"/>
      <c r="AE120" s="8"/>
      <c r="AF120" s="8"/>
    </row>
    <row r="121" spans="1:32" ht="19.5">
      <c r="A121" s="2" t="s">
        <v>260</v>
      </c>
      <c r="B121" s="10">
        <v>1</v>
      </c>
      <c r="C121" s="10">
        <v>1</v>
      </c>
      <c r="D121" s="10">
        <v>1</v>
      </c>
      <c r="E121" s="10">
        <v>1</v>
      </c>
      <c r="F121" s="17" t="s">
        <v>261</v>
      </c>
      <c r="AC121" s="3"/>
      <c r="AD121" s="8"/>
      <c r="AE121" s="8"/>
      <c r="AF121" s="8"/>
    </row>
    <row r="122" spans="1:32" ht="19.5">
      <c r="A122" s="2" t="s">
        <v>262</v>
      </c>
      <c r="B122" s="10">
        <v>0</v>
      </c>
      <c r="C122" s="10">
        <v>0</v>
      </c>
      <c r="D122" s="10">
        <v>0</v>
      </c>
      <c r="E122" s="10">
        <v>0</v>
      </c>
      <c r="F122" s="17" t="s">
        <v>263</v>
      </c>
      <c r="AC122" s="3"/>
      <c r="AD122" s="8"/>
      <c r="AE122" s="8"/>
      <c r="AF122" s="8"/>
    </row>
    <row r="123" spans="1:32" ht="19.5">
      <c r="A123" s="2" t="s">
        <v>264</v>
      </c>
      <c r="B123" s="10">
        <v>1</v>
      </c>
      <c r="C123" s="10">
        <v>1</v>
      </c>
      <c r="D123" s="10">
        <v>1</v>
      </c>
      <c r="E123" s="10">
        <v>1</v>
      </c>
      <c r="F123" s="17" t="s">
        <v>265</v>
      </c>
      <c r="AC123" s="3"/>
      <c r="AD123" s="8"/>
      <c r="AE123" s="8"/>
      <c r="AF123" s="8"/>
    </row>
    <row r="124" spans="1:32" ht="19.5">
      <c r="A124" s="2" t="s">
        <v>266</v>
      </c>
      <c r="B124" s="10">
        <v>0</v>
      </c>
      <c r="C124" s="10">
        <v>1</v>
      </c>
      <c r="D124" s="10">
        <v>0</v>
      </c>
      <c r="E124" s="10">
        <v>0</v>
      </c>
      <c r="F124" s="17" t="s">
        <v>267</v>
      </c>
    </row>
    <row r="125" spans="1:32" ht="19.5">
      <c r="A125" s="2" t="s">
        <v>268</v>
      </c>
      <c r="B125" s="10">
        <v>1</v>
      </c>
      <c r="C125" s="10">
        <v>1</v>
      </c>
      <c r="D125" s="10">
        <v>1</v>
      </c>
      <c r="E125" s="10">
        <v>1</v>
      </c>
      <c r="F125" s="17" t="s">
        <v>269</v>
      </c>
    </row>
    <row r="126" spans="1:32" ht="19.5">
      <c r="A126" s="2" t="s">
        <v>270</v>
      </c>
      <c r="B126" s="10">
        <v>0</v>
      </c>
      <c r="C126" s="10">
        <v>0</v>
      </c>
      <c r="D126" s="10">
        <v>0</v>
      </c>
      <c r="E126" s="10">
        <v>0</v>
      </c>
      <c r="F126" s="17" t="s">
        <v>271</v>
      </c>
    </row>
    <row r="127" spans="1:32" ht="19.5">
      <c r="A127" s="2" t="s">
        <v>272</v>
      </c>
      <c r="B127" s="10">
        <v>0</v>
      </c>
      <c r="C127" s="10">
        <v>0</v>
      </c>
      <c r="D127" s="10">
        <v>0</v>
      </c>
      <c r="E127" s="10">
        <v>0</v>
      </c>
      <c r="F127" s="17" t="s">
        <v>273</v>
      </c>
    </row>
    <row r="128" spans="1:32" ht="30">
      <c r="A128" s="3" t="s">
        <v>274</v>
      </c>
      <c r="B128" s="8">
        <f t="shared" ref="B128:E128" si="13">SUM(B129:B138)</f>
        <v>5</v>
      </c>
      <c r="C128" s="8">
        <f t="shared" si="13"/>
        <v>7</v>
      </c>
      <c r="D128" s="8">
        <f t="shared" si="13"/>
        <v>7</v>
      </c>
      <c r="E128" s="8">
        <f t="shared" si="13"/>
        <v>6</v>
      </c>
      <c r="F128" s="18" t="s">
        <v>275</v>
      </c>
      <c r="AC128" s="12">
        <f>AC129+AC130</f>
        <v>188</v>
      </c>
      <c r="AD128" s="20" t="s">
        <v>32</v>
      </c>
    </row>
    <row r="129" spans="1:30" ht="19.5">
      <c r="A129" s="2" t="s">
        <v>276</v>
      </c>
      <c r="B129" s="10">
        <v>2</v>
      </c>
      <c r="C129" s="10">
        <v>1</v>
      </c>
      <c r="D129" s="10">
        <v>1</v>
      </c>
      <c r="E129" s="10">
        <v>2</v>
      </c>
      <c r="F129" s="17" t="s">
        <v>277</v>
      </c>
      <c r="AB129" s="8" t="s">
        <v>1</v>
      </c>
      <c r="AC129" s="8">
        <f>E16</f>
        <v>126</v>
      </c>
      <c r="AD129" s="20">
        <f>AC129/AC128*100</f>
        <v>67.021276595744681</v>
      </c>
    </row>
    <row r="130" spans="1:30" ht="19.5">
      <c r="A130" s="2" t="s">
        <v>278</v>
      </c>
      <c r="B130" s="10">
        <v>0</v>
      </c>
      <c r="C130" s="10">
        <v>1</v>
      </c>
      <c r="D130" s="10">
        <v>1</v>
      </c>
      <c r="E130" s="10">
        <v>0</v>
      </c>
      <c r="F130" s="17" t="s">
        <v>279</v>
      </c>
      <c r="AB130" s="8" t="s">
        <v>0</v>
      </c>
      <c r="AC130" s="8">
        <f>E7</f>
        <v>62</v>
      </c>
      <c r="AD130" s="20">
        <f>AC130/AC128*100</f>
        <v>32.978723404255319</v>
      </c>
    </row>
    <row r="131" spans="1:30" ht="19.5">
      <c r="A131" s="2" t="s">
        <v>280</v>
      </c>
      <c r="B131" s="10">
        <v>1</v>
      </c>
      <c r="C131" s="10">
        <v>1</v>
      </c>
      <c r="D131" s="10">
        <v>1</v>
      </c>
      <c r="E131" s="10">
        <v>0</v>
      </c>
      <c r="F131" s="17" t="s">
        <v>281</v>
      </c>
    </row>
    <row r="132" spans="1:30" ht="19.5">
      <c r="A132" s="2" t="s">
        <v>282</v>
      </c>
      <c r="B132" s="10">
        <v>1</v>
      </c>
      <c r="C132" s="10">
        <v>1</v>
      </c>
      <c r="D132" s="10">
        <v>1</v>
      </c>
      <c r="E132" s="10">
        <v>1</v>
      </c>
      <c r="F132" s="17" t="s">
        <v>283</v>
      </c>
    </row>
    <row r="133" spans="1:30" ht="19.5">
      <c r="A133" s="2" t="s">
        <v>284</v>
      </c>
      <c r="B133" s="10">
        <v>1</v>
      </c>
      <c r="C133" s="10">
        <v>1</v>
      </c>
      <c r="D133" s="10">
        <v>1</v>
      </c>
      <c r="E133" s="10">
        <v>1</v>
      </c>
      <c r="F133" s="17" t="s">
        <v>285</v>
      </c>
    </row>
    <row r="134" spans="1:30" ht="19.5">
      <c r="A134" s="2" t="s">
        <v>286</v>
      </c>
      <c r="B134" s="10">
        <v>0</v>
      </c>
      <c r="C134" s="10">
        <v>0</v>
      </c>
      <c r="D134" s="10">
        <v>0</v>
      </c>
      <c r="E134" s="10">
        <v>0</v>
      </c>
      <c r="F134" s="17" t="s">
        <v>287</v>
      </c>
    </row>
    <row r="135" spans="1:30" ht="19.5">
      <c r="A135" s="2" t="s">
        <v>288</v>
      </c>
      <c r="B135" s="10">
        <v>0</v>
      </c>
      <c r="C135" s="10">
        <v>0</v>
      </c>
      <c r="D135" s="10">
        <v>0</v>
      </c>
      <c r="E135" s="10">
        <v>0</v>
      </c>
      <c r="F135" s="17" t="s">
        <v>289</v>
      </c>
    </row>
    <row r="136" spans="1:30" ht="19.5">
      <c r="A136" s="2" t="s">
        <v>290</v>
      </c>
      <c r="B136" s="10">
        <v>0</v>
      </c>
      <c r="C136" s="10">
        <v>0</v>
      </c>
      <c r="D136" s="10">
        <v>0</v>
      </c>
      <c r="E136" s="10">
        <v>0</v>
      </c>
      <c r="F136" s="17" t="s">
        <v>291</v>
      </c>
    </row>
    <row r="137" spans="1:30" ht="19.5">
      <c r="A137" s="2" t="s">
        <v>292</v>
      </c>
      <c r="B137" s="10">
        <v>0</v>
      </c>
      <c r="C137" s="10">
        <v>1</v>
      </c>
      <c r="D137" s="10">
        <v>1</v>
      </c>
      <c r="E137" s="10">
        <v>1</v>
      </c>
      <c r="F137" s="17" t="s">
        <v>293</v>
      </c>
    </row>
    <row r="138" spans="1:30" ht="19.5">
      <c r="A138" s="2" t="s">
        <v>294</v>
      </c>
      <c r="B138" s="10">
        <v>0</v>
      </c>
      <c r="C138" s="10">
        <v>1</v>
      </c>
      <c r="D138" s="10">
        <v>1</v>
      </c>
      <c r="E138" s="10">
        <v>1</v>
      </c>
      <c r="F138" s="17" t="s">
        <v>295</v>
      </c>
    </row>
    <row r="139" spans="1:30" ht="19.5">
      <c r="A139" s="3" t="s">
        <v>296</v>
      </c>
      <c r="B139" s="8">
        <f t="shared" ref="B139" si="14">SUM(B140:B144)</f>
        <v>2</v>
      </c>
      <c r="C139" s="8">
        <f t="shared" ref="C139:E139" si="15">SUM(C140:C144)</f>
        <v>2</v>
      </c>
      <c r="D139" s="8">
        <f t="shared" si="15"/>
        <v>2</v>
      </c>
      <c r="E139" s="8">
        <f t="shared" si="15"/>
        <v>1</v>
      </c>
      <c r="F139" s="18" t="s">
        <v>297</v>
      </c>
    </row>
    <row r="140" spans="1:30" ht="19.5">
      <c r="A140" s="2" t="s">
        <v>298</v>
      </c>
      <c r="B140" s="10">
        <v>0</v>
      </c>
      <c r="C140" s="10">
        <v>0</v>
      </c>
      <c r="D140" s="10">
        <v>0</v>
      </c>
      <c r="E140" s="10">
        <v>0</v>
      </c>
      <c r="F140" s="17" t="s">
        <v>299</v>
      </c>
    </row>
    <row r="141" spans="1:30" ht="19.5">
      <c r="A141" s="2" t="s">
        <v>300</v>
      </c>
      <c r="B141" s="10">
        <v>0</v>
      </c>
      <c r="C141" s="10">
        <v>0</v>
      </c>
      <c r="D141" s="10">
        <v>0</v>
      </c>
      <c r="E141" s="10">
        <v>0</v>
      </c>
      <c r="F141" s="17" t="s">
        <v>301</v>
      </c>
    </row>
    <row r="142" spans="1:30" ht="19.5">
      <c r="A142" s="2" t="s">
        <v>302</v>
      </c>
      <c r="B142" s="10">
        <v>1</v>
      </c>
      <c r="C142" s="10">
        <v>1</v>
      </c>
      <c r="D142" s="10">
        <v>1</v>
      </c>
      <c r="E142" s="10">
        <v>1</v>
      </c>
      <c r="F142" s="17" t="s">
        <v>303</v>
      </c>
    </row>
    <row r="143" spans="1:30" ht="19.5">
      <c r="A143" s="2" t="s">
        <v>304</v>
      </c>
      <c r="B143" s="10">
        <v>0</v>
      </c>
      <c r="C143" s="10">
        <v>0</v>
      </c>
      <c r="D143" s="10">
        <v>0</v>
      </c>
      <c r="E143" s="10">
        <v>0</v>
      </c>
      <c r="F143" s="17" t="s">
        <v>305</v>
      </c>
    </row>
    <row r="144" spans="1:30" ht="19.5">
      <c r="A144" s="2" t="s">
        <v>306</v>
      </c>
      <c r="B144" s="10">
        <v>1</v>
      </c>
      <c r="C144" s="10">
        <v>1</v>
      </c>
      <c r="D144" s="10">
        <v>1</v>
      </c>
      <c r="E144" s="10">
        <v>0</v>
      </c>
      <c r="F144" s="17" t="s">
        <v>307</v>
      </c>
    </row>
    <row r="145" spans="1:6" ht="19.5">
      <c r="A145" s="3" t="s">
        <v>308</v>
      </c>
      <c r="B145" s="8">
        <f t="shared" ref="B145:E145" si="16">SUM(B146:B153)</f>
        <v>5</v>
      </c>
      <c r="C145" s="8">
        <f t="shared" si="16"/>
        <v>5</v>
      </c>
      <c r="D145" s="8">
        <f t="shared" si="16"/>
        <v>5</v>
      </c>
      <c r="E145" s="8">
        <f t="shared" si="16"/>
        <v>4</v>
      </c>
      <c r="F145" s="18" t="s">
        <v>309</v>
      </c>
    </row>
    <row r="146" spans="1:6" ht="19.5">
      <c r="A146" s="2" t="s">
        <v>310</v>
      </c>
      <c r="B146" s="10">
        <v>1</v>
      </c>
      <c r="C146" s="10">
        <v>2</v>
      </c>
      <c r="D146" s="10">
        <v>2</v>
      </c>
      <c r="E146" s="10">
        <v>2</v>
      </c>
      <c r="F146" s="17" t="s">
        <v>311</v>
      </c>
    </row>
    <row r="147" spans="1:6" ht="19.5">
      <c r="A147" s="2" t="s">
        <v>312</v>
      </c>
      <c r="B147" s="10">
        <v>1</v>
      </c>
      <c r="C147" s="10">
        <v>1</v>
      </c>
      <c r="D147" s="10">
        <v>1</v>
      </c>
      <c r="E147" s="10">
        <v>0</v>
      </c>
      <c r="F147" s="17" t="s">
        <v>313</v>
      </c>
    </row>
    <row r="148" spans="1:6" ht="19.5">
      <c r="A148" s="2" t="s">
        <v>314</v>
      </c>
      <c r="B148" s="10">
        <v>1</v>
      </c>
      <c r="C148" s="10">
        <v>1</v>
      </c>
      <c r="D148" s="10">
        <v>1</v>
      </c>
      <c r="E148" s="10">
        <v>1</v>
      </c>
      <c r="F148" s="17" t="s">
        <v>315</v>
      </c>
    </row>
    <row r="149" spans="1:6" ht="19.5">
      <c r="A149" s="2" t="s">
        <v>316</v>
      </c>
      <c r="B149" s="10">
        <v>1</v>
      </c>
      <c r="C149" s="10">
        <v>1</v>
      </c>
      <c r="D149" s="10">
        <v>1</v>
      </c>
      <c r="E149" s="10">
        <v>1</v>
      </c>
      <c r="F149" s="17" t="s">
        <v>317</v>
      </c>
    </row>
    <row r="150" spans="1:6" ht="19.5">
      <c r="A150" s="2" t="s">
        <v>318</v>
      </c>
      <c r="B150" s="10">
        <v>0</v>
      </c>
      <c r="C150" s="10">
        <v>0</v>
      </c>
      <c r="D150" s="10">
        <v>0</v>
      </c>
      <c r="E150" s="10">
        <v>0</v>
      </c>
      <c r="F150" s="17" t="s">
        <v>319</v>
      </c>
    </row>
    <row r="151" spans="1:6" ht="19.5">
      <c r="A151" s="2" t="s">
        <v>320</v>
      </c>
      <c r="B151" s="10">
        <v>0</v>
      </c>
      <c r="C151" s="10">
        <v>0</v>
      </c>
      <c r="D151" s="10">
        <v>0</v>
      </c>
      <c r="E151" s="10">
        <v>0</v>
      </c>
      <c r="F151" s="17" t="s">
        <v>321</v>
      </c>
    </row>
    <row r="152" spans="1:6" ht="19.5">
      <c r="A152" s="2" t="s">
        <v>322</v>
      </c>
      <c r="B152" s="10">
        <v>0</v>
      </c>
      <c r="C152" s="10">
        <v>0</v>
      </c>
      <c r="D152" s="10">
        <v>0</v>
      </c>
      <c r="E152" s="10">
        <v>0</v>
      </c>
      <c r="F152" s="17" t="s">
        <v>323</v>
      </c>
    </row>
    <row r="153" spans="1:6" ht="19.5">
      <c r="A153" s="2" t="s">
        <v>324</v>
      </c>
      <c r="B153" s="10">
        <v>1</v>
      </c>
      <c r="C153" s="10">
        <v>0</v>
      </c>
      <c r="D153" s="10">
        <v>0</v>
      </c>
      <c r="E153" s="10">
        <v>0</v>
      </c>
      <c r="F153" s="17" t="s">
        <v>325</v>
      </c>
    </row>
    <row r="154" spans="1:6" ht="19.5">
      <c r="A154" s="3" t="s">
        <v>326</v>
      </c>
      <c r="B154" s="8">
        <f t="shared" ref="B154:E154" si="17">SUM(B155:B159)</f>
        <v>3</v>
      </c>
      <c r="C154" s="8">
        <f t="shared" si="17"/>
        <v>4</v>
      </c>
      <c r="D154" s="8">
        <f t="shared" si="17"/>
        <v>4</v>
      </c>
      <c r="E154" s="8">
        <f t="shared" si="17"/>
        <v>4</v>
      </c>
      <c r="F154" s="18" t="s">
        <v>327</v>
      </c>
    </row>
    <row r="155" spans="1:6" ht="19.5">
      <c r="A155" s="2" t="s">
        <v>328</v>
      </c>
      <c r="B155" s="10">
        <v>2</v>
      </c>
      <c r="C155" s="10">
        <v>2</v>
      </c>
      <c r="D155" s="10">
        <v>2</v>
      </c>
      <c r="E155" s="10">
        <v>2</v>
      </c>
      <c r="F155" s="17" t="s">
        <v>329</v>
      </c>
    </row>
    <row r="156" spans="1:6" ht="19.5">
      <c r="A156" s="2" t="s">
        <v>330</v>
      </c>
      <c r="B156" s="10">
        <v>0</v>
      </c>
      <c r="C156" s="10">
        <v>1</v>
      </c>
      <c r="D156" s="10">
        <v>1</v>
      </c>
      <c r="E156" s="10">
        <v>1</v>
      </c>
      <c r="F156" s="17" t="s">
        <v>331</v>
      </c>
    </row>
    <row r="157" spans="1:6" ht="19.5">
      <c r="A157" s="2" t="s">
        <v>332</v>
      </c>
      <c r="B157" s="10">
        <v>1</v>
      </c>
      <c r="C157" s="10">
        <v>0</v>
      </c>
      <c r="D157" s="10">
        <v>0</v>
      </c>
      <c r="E157" s="10">
        <v>0</v>
      </c>
      <c r="F157" s="17" t="s">
        <v>333</v>
      </c>
    </row>
    <row r="158" spans="1:6" ht="19.5">
      <c r="A158" s="2" t="s">
        <v>334</v>
      </c>
      <c r="B158" s="10">
        <v>0</v>
      </c>
      <c r="C158" s="10">
        <v>1</v>
      </c>
      <c r="D158" s="10">
        <v>1</v>
      </c>
      <c r="E158" s="10">
        <v>1</v>
      </c>
      <c r="F158" s="17" t="s">
        <v>335</v>
      </c>
    </row>
    <row r="159" spans="1:6" ht="19.5">
      <c r="A159" s="2" t="s">
        <v>336</v>
      </c>
      <c r="B159" s="10">
        <v>0</v>
      </c>
      <c r="C159" s="10">
        <v>0</v>
      </c>
      <c r="D159" s="10">
        <v>0</v>
      </c>
      <c r="E159" s="10">
        <v>0</v>
      </c>
      <c r="F159" s="17" t="s">
        <v>337</v>
      </c>
    </row>
    <row r="160" spans="1:6" ht="19.5">
      <c r="A160" s="3" t="s">
        <v>338</v>
      </c>
      <c r="B160" s="8">
        <f t="shared" ref="B160:E160" si="18">SUM(B161:B166)</f>
        <v>4</v>
      </c>
      <c r="C160" s="8">
        <f t="shared" si="18"/>
        <v>5</v>
      </c>
      <c r="D160" s="8">
        <f t="shared" si="18"/>
        <v>5</v>
      </c>
      <c r="E160" s="8">
        <f t="shared" si="18"/>
        <v>4</v>
      </c>
      <c r="F160" s="18" t="s">
        <v>339</v>
      </c>
    </row>
    <row r="161" spans="1:6" ht="19.5">
      <c r="A161" s="2" t="s">
        <v>340</v>
      </c>
      <c r="B161" s="10">
        <v>2</v>
      </c>
      <c r="C161" s="10">
        <v>2</v>
      </c>
      <c r="D161" s="10">
        <v>2</v>
      </c>
      <c r="E161" s="10">
        <v>1</v>
      </c>
      <c r="F161" s="17" t="s">
        <v>341</v>
      </c>
    </row>
    <row r="162" spans="1:6" ht="19.5">
      <c r="A162" s="2" t="s">
        <v>342</v>
      </c>
      <c r="B162" s="10">
        <v>1</v>
      </c>
      <c r="C162" s="10">
        <v>1</v>
      </c>
      <c r="D162" s="10">
        <v>1</v>
      </c>
      <c r="E162" s="10">
        <v>1</v>
      </c>
      <c r="F162" s="17" t="s">
        <v>343</v>
      </c>
    </row>
    <row r="163" spans="1:6" ht="19.5">
      <c r="A163" s="2" t="s">
        <v>344</v>
      </c>
      <c r="B163" s="10">
        <v>0</v>
      </c>
      <c r="C163" s="10">
        <v>0</v>
      </c>
      <c r="D163" s="10">
        <v>0</v>
      </c>
      <c r="E163" s="10"/>
      <c r="F163" s="17" t="s">
        <v>345</v>
      </c>
    </row>
    <row r="164" spans="1:6" ht="19.5">
      <c r="A164" s="2" t="s">
        <v>346</v>
      </c>
      <c r="B164" s="10">
        <v>0</v>
      </c>
      <c r="C164" s="10">
        <v>1</v>
      </c>
      <c r="D164" s="10">
        <v>1</v>
      </c>
      <c r="E164" s="10">
        <v>1</v>
      </c>
      <c r="F164" s="17" t="s">
        <v>347</v>
      </c>
    </row>
    <row r="165" spans="1:6" ht="19.5">
      <c r="A165" s="2" t="s">
        <v>348</v>
      </c>
      <c r="B165" s="10">
        <v>0</v>
      </c>
      <c r="C165" s="10">
        <v>0</v>
      </c>
      <c r="D165" s="10">
        <v>0</v>
      </c>
      <c r="E165" s="10"/>
      <c r="F165" s="17" t="s">
        <v>349</v>
      </c>
    </row>
    <row r="166" spans="1:6" ht="19.5">
      <c r="A166" s="2" t="s">
        <v>350</v>
      </c>
      <c r="B166" s="10">
        <v>1</v>
      </c>
      <c r="C166" s="10">
        <v>1</v>
      </c>
      <c r="D166" s="10">
        <v>1</v>
      </c>
      <c r="E166" s="10">
        <v>1</v>
      </c>
      <c r="F166" s="17" t="s">
        <v>351</v>
      </c>
    </row>
    <row r="167" spans="1:6" ht="19.5">
      <c r="A167" s="3" t="s">
        <v>352</v>
      </c>
      <c r="B167" s="8">
        <f t="shared" ref="B167:E167" si="19">SUM(B168:B180)</f>
        <v>7</v>
      </c>
      <c r="C167" s="8">
        <f t="shared" si="19"/>
        <v>8</v>
      </c>
      <c r="D167" s="8">
        <f t="shared" si="19"/>
        <v>8</v>
      </c>
      <c r="E167" s="8">
        <f t="shared" si="19"/>
        <v>9</v>
      </c>
      <c r="F167" s="18" t="s">
        <v>353</v>
      </c>
    </row>
    <row r="168" spans="1:6" ht="19.5">
      <c r="A168" s="2" t="s">
        <v>354</v>
      </c>
      <c r="B168" s="10">
        <v>1</v>
      </c>
      <c r="C168" s="10">
        <v>1</v>
      </c>
      <c r="D168" s="10">
        <v>1</v>
      </c>
      <c r="E168" s="10">
        <v>1</v>
      </c>
      <c r="F168" s="17" t="s">
        <v>355</v>
      </c>
    </row>
    <row r="169" spans="1:6" ht="19.5">
      <c r="A169" s="2" t="s">
        <v>356</v>
      </c>
      <c r="B169" s="10">
        <v>0</v>
      </c>
      <c r="C169" s="10">
        <v>0</v>
      </c>
      <c r="D169" s="10">
        <v>0</v>
      </c>
      <c r="E169" s="10">
        <v>0</v>
      </c>
      <c r="F169" s="17" t="s">
        <v>357</v>
      </c>
    </row>
    <row r="170" spans="1:6" ht="19.5">
      <c r="A170" s="2" t="s">
        <v>358</v>
      </c>
      <c r="B170" s="10">
        <v>0</v>
      </c>
      <c r="C170" s="10">
        <v>0</v>
      </c>
      <c r="D170" s="10">
        <v>0</v>
      </c>
      <c r="E170" s="10">
        <v>0</v>
      </c>
      <c r="F170" s="17" t="s">
        <v>359</v>
      </c>
    </row>
    <row r="171" spans="1:6" ht="19.5">
      <c r="A171" s="2" t="s">
        <v>360</v>
      </c>
      <c r="B171" s="10">
        <v>0</v>
      </c>
      <c r="C171" s="10">
        <v>0</v>
      </c>
      <c r="D171" s="10">
        <v>0</v>
      </c>
      <c r="E171" s="10">
        <v>0</v>
      </c>
      <c r="F171" s="17" t="s">
        <v>361</v>
      </c>
    </row>
    <row r="172" spans="1:6" ht="19.5">
      <c r="A172" s="2" t="s">
        <v>362</v>
      </c>
      <c r="B172" s="10">
        <v>2</v>
      </c>
      <c r="C172" s="10">
        <v>2</v>
      </c>
      <c r="D172" s="10">
        <v>2</v>
      </c>
      <c r="E172" s="10">
        <v>2</v>
      </c>
      <c r="F172" s="17" t="s">
        <v>363</v>
      </c>
    </row>
    <row r="173" spans="1:6" ht="19.5">
      <c r="A173" s="2" t="s">
        <v>364</v>
      </c>
      <c r="B173" s="10">
        <v>1</v>
      </c>
      <c r="C173" s="10">
        <v>1</v>
      </c>
      <c r="D173" s="10">
        <v>1</v>
      </c>
      <c r="E173" s="10">
        <v>1</v>
      </c>
      <c r="F173" s="17" t="s">
        <v>365</v>
      </c>
    </row>
    <row r="174" spans="1:6" ht="19.5">
      <c r="A174" s="2" t="s">
        <v>366</v>
      </c>
      <c r="B174" s="10">
        <v>1</v>
      </c>
      <c r="C174" s="10">
        <v>1</v>
      </c>
      <c r="D174" s="10">
        <v>1</v>
      </c>
      <c r="E174" s="10">
        <v>1</v>
      </c>
      <c r="F174" s="17" t="s">
        <v>367</v>
      </c>
    </row>
    <row r="175" spans="1:6" ht="19.5">
      <c r="A175" s="2" t="s">
        <v>368</v>
      </c>
      <c r="B175" s="10">
        <v>0</v>
      </c>
      <c r="C175" s="10">
        <v>1</v>
      </c>
      <c r="D175" s="10">
        <v>1</v>
      </c>
      <c r="E175" s="10">
        <v>1</v>
      </c>
      <c r="F175" s="17" t="s">
        <v>369</v>
      </c>
    </row>
    <row r="176" spans="1:6" ht="19.5">
      <c r="A176" s="2" t="s">
        <v>370</v>
      </c>
      <c r="B176" s="10">
        <v>1</v>
      </c>
      <c r="C176" s="10">
        <v>1</v>
      </c>
      <c r="D176" s="10">
        <v>1</v>
      </c>
      <c r="E176" s="10">
        <v>1</v>
      </c>
      <c r="F176" s="17" t="s">
        <v>371</v>
      </c>
    </row>
    <row r="177" spans="1:6" ht="19.5">
      <c r="A177" s="2" t="s">
        <v>372</v>
      </c>
      <c r="B177" s="10">
        <v>0</v>
      </c>
      <c r="C177" s="10">
        <v>0</v>
      </c>
      <c r="D177" s="10">
        <v>0</v>
      </c>
      <c r="E177" s="10">
        <v>1</v>
      </c>
      <c r="F177" s="17" t="s">
        <v>373</v>
      </c>
    </row>
    <row r="178" spans="1:6" ht="19.5">
      <c r="A178" s="2" t="s">
        <v>374</v>
      </c>
      <c r="B178" s="10">
        <v>0</v>
      </c>
      <c r="C178" s="10">
        <v>0</v>
      </c>
      <c r="D178" s="10">
        <v>0</v>
      </c>
      <c r="E178" s="10">
        <v>0</v>
      </c>
      <c r="F178" s="17" t="s">
        <v>375</v>
      </c>
    </row>
    <row r="179" spans="1:6" ht="19.5">
      <c r="A179" s="2" t="s">
        <v>376</v>
      </c>
      <c r="B179" s="10">
        <v>1</v>
      </c>
      <c r="C179" s="10">
        <v>1</v>
      </c>
      <c r="D179" s="10">
        <v>1</v>
      </c>
      <c r="E179" s="10">
        <v>1</v>
      </c>
      <c r="F179" s="17" t="s">
        <v>377</v>
      </c>
    </row>
    <row r="180" spans="1:6" ht="19.5">
      <c r="A180" s="2" t="s">
        <v>378</v>
      </c>
      <c r="B180" s="10">
        <v>0</v>
      </c>
      <c r="C180" s="10">
        <v>0</v>
      </c>
      <c r="D180" s="10">
        <v>0</v>
      </c>
      <c r="E180" s="10">
        <v>0</v>
      </c>
      <c r="F180" s="17" t="s">
        <v>379</v>
      </c>
    </row>
    <row r="181" spans="1:6" ht="19.5">
      <c r="A181" s="3" t="s">
        <v>380</v>
      </c>
      <c r="B181" s="8">
        <f t="shared" ref="B181:E181" si="20">SUM(B182:B192)</f>
        <v>11</v>
      </c>
      <c r="C181" s="8">
        <f t="shared" si="20"/>
        <v>12</v>
      </c>
      <c r="D181" s="8">
        <f t="shared" si="20"/>
        <v>12</v>
      </c>
      <c r="E181" s="8">
        <f t="shared" si="20"/>
        <v>12</v>
      </c>
      <c r="F181" s="18" t="s">
        <v>381</v>
      </c>
    </row>
    <row r="182" spans="1:6" ht="19.5">
      <c r="A182" s="2" t="s">
        <v>382</v>
      </c>
      <c r="B182" s="10">
        <v>2</v>
      </c>
      <c r="C182" s="10">
        <v>2</v>
      </c>
      <c r="D182" s="10">
        <v>2</v>
      </c>
      <c r="E182" s="10">
        <v>2</v>
      </c>
      <c r="F182" s="17" t="s">
        <v>383</v>
      </c>
    </row>
    <row r="183" spans="1:6" ht="19.5">
      <c r="A183" s="2" t="s">
        <v>384</v>
      </c>
      <c r="B183" s="10">
        <v>1</v>
      </c>
      <c r="C183" s="10">
        <v>1</v>
      </c>
      <c r="D183" s="10">
        <v>1</v>
      </c>
      <c r="E183" s="10">
        <v>1</v>
      </c>
      <c r="F183" s="17" t="s">
        <v>385</v>
      </c>
    </row>
    <row r="184" spans="1:6" ht="19.5">
      <c r="A184" s="2" t="s">
        <v>386</v>
      </c>
      <c r="B184" s="10">
        <v>1</v>
      </c>
      <c r="C184" s="10">
        <v>2</v>
      </c>
      <c r="D184" s="10">
        <v>2</v>
      </c>
      <c r="E184" s="10">
        <v>2</v>
      </c>
      <c r="F184" s="17" t="s">
        <v>387</v>
      </c>
    </row>
    <row r="185" spans="1:6" ht="19.5">
      <c r="A185" s="2" t="s">
        <v>388</v>
      </c>
      <c r="B185" s="10">
        <v>1</v>
      </c>
      <c r="C185" s="10">
        <v>1</v>
      </c>
      <c r="D185" s="10">
        <v>1</v>
      </c>
      <c r="E185" s="10">
        <v>1</v>
      </c>
      <c r="F185" s="17" t="s">
        <v>389</v>
      </c>
    </row>
    <row r="186" spans="1:6" ht="19.5">
      <c r="A186" s="2" t="s">
        <v>390</v>
      </c>
      <c r="B186" s="10">
        <v>1</v>
      </c>
      <c r="C186" s="10">
        <v>1</v>
      </c>
      <c r="D186" s="10">
        <v>1</v>
      </c>
      <c r="E186" s="10">
        <v>1</v>
      </c>
      <c r="F186" s="17" t="s">
        <v>391</v>
      </c>
    </row>
    <row r="187" spans="1:6" ht="19.5">
      <c r="A187" s="2" t="s">
        <v>392</v>
      </c>
      <c r="B187" s="10">
        <v>1</v>
      </c>
      <c r="C187" s="10">
        <v>1</v>
      </c>
      <c r="D187" s="10">
        <v>1</v>
      </c>
      <c r="E187" s="10">
        <v>1</v>
      </c>
      <c r="F187" s="17" t="s">
        <v>393</v>
      </c>
    </row>
    <row r="188" spans="1:6" ht="19.5">
      <c r="A188" s="2" t="s">
        <v>394</v>
      </c>
      <c r="B188" s="10">
        <v>1</v>
      </c>
      <c r="C188" s="10">
        <v>1</v>
      </c>
      <c r="D188" s="10">
        <v>1</v>
      </c>
      <c r="E188" s="10">
        <v>1</v>
      </c>
      <c r="F188" s="17" t="s">
        <v>395</v>
      </c>
    </row>
    <row r="189" spans="1:6" ht="19.5">
      <c r="A189" s="2" t="s">
        <v>396</v>
      </c>
      <c r="B189" s="10">
        <v>0</v>
      </c>
      <c r="C189" s="10">
        <v>0</v>
      </c>
      <c r="D189" s="10">
        <v>0</v>
      </c>
      <c r="E189" s="10">
        <v>0</v>
      </c>
      <c r="F189" s="17" t="s">
        <v>397</v>
      </c>
    </row>
    <row r="190" spans="1:6" ht="19.5">
      <c r="A190" s="2" t="s">
        <v>398</v>
      </c>
      <c r="B190" s="10">
        <v>1</v>
      </c>
      <c r="C190" s="10">
        <v>1</v>
      </c>
      <c r="D190" s="10">
        <v>1</v>
      </c>
      <c r="E190" s="10">
        <v>1</v>
      </c>
      <c r="F190" s="17" t="s">
        <v>399</v>
      </c>
    </row>
    <row r="191" spans="1:6" ht="19.5">
      <c r="A191" s="2" t="s">
        <v>400</v>
      </c>
      <c r="B191" s="10">
        <v>1</v>
      </c>
      <c r="C191" s="10">
        <v>1</v>
      </c>
      <c r="D191" s="10">
        <v>1</v>
      </c>
      <c r="E191" s="10">
        <v>1</v>
      </c>
      <c r="F191" s="17" t="s">
        <v>401</v>
      </c>
    </row>
    <row r="192" spans="1:6" ht="19.5">
      <c r="A192" s="2" t="s">
        <v>402</v>
      </c>
      <c r="B192" s="10">
        <v>1</v>
      </c>
      <c r="C192" s="10">
        <v>1</v>
      </c>
      <c r="D192" s="10">
        <v>1</v>
      </c>
      <c r="E192" s="10">
        <v>1</v>
      </c>
      <c r="F192" s="17" t="s">
        <v>403</v>
      </c>
    </row>
    <row r="193" spans="1:6" ht="19.5">
      <c r="A193" s="3" t="s">
        <v>404</v>
      </c>
      <c r="B193" s="8">
        <f t="shared" ref="B193:E193" si="21">SUM(B194:B202)</f>
        <v>8</v>
      </c>
      <c r="C193" s="8">
        <f t="shared" si="21"/>
        <v>8</v>
      </c>
      <c r="D193" s="8">
        <f t="shared" si="21"/>
        <v>8</v>
      </c>
      <c r="E193" s="8">
        <f t="shared" si="21"/>
        <v>6</v>
      </c>
      <c r="F193" s="18" t="s">
        <v>405</v>
      </c>
    </row>
    <row r="194" spans="1:6" ht="19.5">
      <c r="A194" s="2" t="s">
        <v>406</v>
      </c>
      <c r="B194" s="10">
        <v>2</v>
      </c>
      <c r="C194" s="10">
        <v>2</v>
      </c>
      <c r="D194" s="10">
        <v>2</v>
      </c>
      <c r="E194" s="10">
        <v>2</v>
      </c>
      <c r="F194" s="17" t="s">
        <v>407</v>
      </c>
    </row>
    <row r="195" spans="1:6" ht="19.5">
      <c r="A195" s="2" t="s">
        <v>408</v>
      </c>
      <c r="B195" s="10">
        <v>0</v>
      </c>
      <c r="C195" s="10">
        <v>0</v>
      </c>
      <c r="D195" s="10">
        <v>0</v>
      </c>
      <c r="E195" s="10">
        <v>0</v>
      </c>
      <c r="F195" s="17" t="s">
        <v>409</v>
      </c>
    </row>
    <row r="196" spans="1:6" ht="19.5">
      <c r="A196" s="2" t="s">
        <v>410</v>
      </c>
      <c r="B196" s="10">
        <v>1</v>
      </c>
      <c r="C196" s="10">
        <v>1</v>
      </c>
      <c r="D196" s="10">
        <v>1</v>
      </c>
      <c r="E196" s="10">
        <v>1</v>
      </c>
      <c r="F196" s="17" t="s">
        <v>411</v>
      </c>
    </row>
    <row r="197" spans="1:6" ht="19.5">
      <c r="A197" s="2" t="s">
        <v>412</v>
      </c>
      <c r="B197" s="10">
        <v>1</v>
      </c>
      <c r="C197" s="10">
        <v>1</v>
      </c>
      <c r="D197" s="10">
        <v>1</v>
      </c>
      <c r="E197" s="10">
        <v>0</v>
      </c>
      <c r="F197" s="17" t="s">
        <v>413</v>
      </c>
    </row>
    <row r="198" spans="1:6" ht="19.5">
      <c r="A198" s="2" t="s">
        <v>414</v>
      </c>
      <c r="B198" s="10">
        <v>1</v>
      </c>
      <c r="C198" s="10">
        <v>1</v>
      </c>
      <c r="D198" s="10">
        <v>1</v>
      </c>
      <c r="E198" s="10">
        <v>1</v>
      </c>
      <c r="F198" s="17" t="s">
        <v>415</v>
      </c>
    </row>
    <row r="199" spans="1:6" ht="19.5">
      <c r="A199" s="2" t="s">
        <v>416</v>
      </c>
      <c r="B199" s="10">
        <v>0</v>
      </c>
      <c r="C199" s="10">
        <v>0</v>
      </c>
      <c r="D199" s="10">
        <v>0</v>
      </c>
      <c r="E199" s="10">
        <v>0</v>
      </c>
      <c r="F199" s="17" t="s">
        <v>417</v>
      </c>
    </row>
    <row r="200" spans="1:6" ht="19.5">
      <c r="A200" s="2" t="s">
        <v>418</v>
      </c>
      <c r="B200" s="10">
        <v>1</v>
      </c>
      <c r="C200" s="10">
        <v>1</v>
      </c>
      <c r="D200" s="10">
        <v>1</v>
      </c>
      <c r="E200" s="10">
        <v>1</v>
      </c>
      <c r="F200" s="17" t="s">
        <v>419</v>
      </c>
    </row>
    <row r="201" spans="1:6" ht="19.5">
      <c r="A201" s="2" t="s">
        <v>420</v>
      </c>
      <c r="B201" s="10">
        <v>1</v>
      </c>
      <c r="C201" s="10">
        <v>1</v>
      </c>
      <c r="D201" s="10">
        <v>1</v>
      </c>
      <c r="E201" s="10">
        <v>1</v>
      </c>
      <c r="F201" s="17" t="s">
        <v>421</v>
      </c>
    </row>
    <row r="202" spans="1:6" ht="19.5">
      <c r="A202" s="2" t="s">
        <v>422</v>
      </c>
      <c r="B202" s="10">
        <v>1</v>
      </c>
      <c r="C202" s="10">
        <v>1</v>
      </c>
      <c r="D202" s="10">
        <v>1</v>
      </c>
      <c r="E202" s="10">
        <v>0</v>
      </c>
      <c r="F202" s="17" t="s">
        <v>423</v>
      </c>
    </row>
    <row r="203" spans="1:6" ht="19.5">
      <c r="A203" s="3" t="s">
        <v>424</v>
      </c>
      <c r="B203" s="8">
        <f t="shared" ref="B203:D203" si="22">SUM(B204:B212)</f>
        <v>10</v>
      </c>
      <c r="C203" s="8">
        <f t="shared" si="22"/>
        <v>10</v>
      </c>
      <c r="D203" s="8">
        <f t="shared" si="22"/>
        <v>8</v>
      </c>
      <c r="E203" s="8">
        <f t="shared" ref="E203" si="23">SUM(E204:E212)</f>
        <v>8</v>
      </c>
      <c r="F203" s="18" t="s">
        <v>425</v>
      </c>
    </row>
    <row r="204" spans="1:6" ht="19.5">
      <c r="A204" s="2" t="s">
        <v>426</v>
      </c>
      <c r="B204" s="10">
        <v>3</v>
      </c>
      <c r="C204" s="10">
        <v>3</v>
      </c>
      <c r="D204" s="10">
        <v>1</v>
      </c>
      <c r="E204" s="10">
        <v>3</v>
      </c>
      <c r="F204" s="17" t="s">
        <v>427</v>
      </c>
    </row>
    <row r="205" spans="1:6" ht="19.5">
      <c r="A205" s="2" t="s">
        <v>428</v>
      </c>
      <c r="B205" s="10">
        <v>1</v>
      </c>
      <c r="C205" s="10">
        <v>1</v>
      </c>
      <c r="D205" s="10">
        <v>1</v>
      </c>
      <c r="E205" s="10">
        <v>1</v>
      </c>
      <c r="F205" s="17" t="s">
        <v>429</v>
      </c>
    </row>
    <row r="206" spans="1:6" ht="19.5">
      <c r="A206" s="2" t="s">
        <v>430</v>
      </c>
      <c r="B206" s="10">
        <v>1</v>
      </c>
      <c r="C206" s="10">
        <v>1</v>
      </c>
      <c r="D206" s="10">
        <v>1</v>
      </c>
      <c r="E206" s="10">
        <v>1</v>
      </c>
      <c r="F206" s="17" t="s">
        <v>431</v>
      </c>
    </row>
    <row r="207" spans="1:6" ht="19.5">
      <c r="A207" s="2" t="s">
        <v>432</v>
      </c>
      <c r="B207" s="10">
        <v>1</v>
      </c>
      <c r="C207" s="10">
        <v>1</v>
      </c>
      <c r="D207" s="10">
        <v>1</v>
      </c>
      <c r="E207" s="10">
        <v>1</v>
      </c>
      <c r="F207" s="17" t="s">
        <v>433</v>
      </c>
    </row>
    <row r="208" spans="1:6" ht="16.5" customHeight="1">
      <c r="A208" s="2" t="s">
        <v>434</v>
      </c>
      <c r="B208" s="10">
        <v>0</v>
      </c>
      <c r="C208" s="10">
        <v>0</v>
      </c>
      <c r="D208" s="10">
        <v>0</v>
      </c>
      <c r="E208" s="10">
        <v>0</v>
      </c>
      <c r="F208" s="17" t="s">
        <v>435</v>
      </c>
    </row>
    <row r="209" spans="1:22" ht="19.5">
      <c r="A209" s="2" t="s">
        <v>436</v>
      </c>
      <c r="B209" s="10">
        <v>0</v>
      </c>
      <c r="C209" s="10">
        <v>0</v>
      </c>
      <c r="D209" s="10">
        <v>0</v>
      </c>
      <c r="E209" s="10">
        <v>0</v>
      </c>
      <c r="F209" s="17" t="s">
        <v>437</v>
      </c>
    </row>
    <row r="210" spans="1:22" ht="19.5">
      <c r="A210" s="2" t="s">
        <v>438</v>
      </c>
      <c r="B210" s="10">
        <v>1</v>
      </c>
      <c r="C210" s="10">
        <v>1</v>
      </c>
      <c r="D210" s="10">
        <v>1</v>
      </c>
      <c r="E210" s="10">
        <v>1</v>
      </c>
      <c r="F210" s="17" t="s">
        <v>439</v>
      </c>
    </row>
    <row r="211" spans="1:22" ht="19.5">
      <c r="A211" s="2" t="s">
        <v>440</v>
      </c>
      <c r="B211" s="10">
        <v>2</v>
      </c>
      <c r="C211" s="10">
        <v>2</v>
      </c>
      <c r="D211" s="10">
        <v>2</v>
      </c>
      <c r="E211" s="10">
        <v>1</v>
      </c>
      <c r="F211" s="17" t="s">
        <v>441</v>
      </c>
    </row>
    <row r="212" spans="1:22" ht="19.5">
      <c r="A212" s="2" t="s">
        <v>442</v>
      </c>
      <c r="B212" s="10">
        <v>1</v>
      </c>
      <c r="C212" s="10">
        <v>1</v>
      </c>
      <c r="D212" s="10">
        <v>1</v>
      </c>
      <c r="E212" s="10">
        <v>0</v>
      </c>
      <c r="F212" s="17" t="s">
        <v>443</v>
      </c>
    </row>
    <row r="213" spans="1:22" ht="19.5">
      <c r="A213" s="3" t="s">
        <v>444</v>
      </c>
      <c r="B213" s="8">
        <f t="shared" ref="B213:E213" si="24">SUM(B214)</f>
        <v>2</v>
      </c>
      <c r="C213" s="8">
        <f t="shared" si="24"/>
        <v>4</v>
      </c>
      <c r="D213" s="8">
        <f t="shared" si="24"/>
        <v>3</v>
      </c>
      <c r="E213" s="8">
        <f t="shared" si="24"/>
        <v>2</v>
      </c>
      <c r="F213" s="18" t="s">
        <v>445</v>
      </c>
    </row>
    <row r="214" spans="1:22" ht="19.5">
      <c r="A214" s="2" t="s">
        <v>446</v>
      </c>
      <c r="B214" s="10">
        <v>2</v>
      </c>
      <c r="C214" s="10">
        <v>4</v>
      </c>
      <c r="D214" s="10">
        <v>3</v>
      </c>
      <c r="E214" s="10">
        <v>2</v>
      </c>
      <c r="F214" s="17" t="s">
        <v>447</v>
      </c>
    </row>
    <row r="215" spans="1:22" ht="19.5">
      <c r="A215" s="3" t="s">
        <v>448</v>
      </c>
      <c r="B215" s="8">
        <f t="shared" ref="B215:C215" si="25">SUM(B216:B221)</f>
        <v>9</v>
      </c>
      <c r="C215" s="8">
        <f t="shared" si="25"/>
        <v>7</v>
      </c>
      <c r="D215" s="8">
        <f t="shared" ref="D215:E215" si="26">SUM(D216:D224)</f>
        <v>7</v>
      </c>
      <c r="E215" s="8">
        <f t="shared" si="26"/>
        <v>7</v>
      </c>
      <c r="F215" s="18" t="s">
        <v>449</v>
      </c>
    </row>
    <row r="216" spans="1:22" ht="19.5">
      <c r="A216" s="2" t="s">
        <v>450</v>
      </c>
      <c r="B216" s="10">
        <v>3</v>
      </c>
      <c r="C216" s="10">
        <v>2</v>
      </c>
      <c r="D216" s="10">
        <v>2</v>
      </c>
      <c r="E216" s="10">
        <v>2</v>
      </c>
      <c r="F216" s="17" t="s">
        <v>451</v>
      </c>
    </row>
    <row r="217" spans="1:22" ht="19.5">
      <c r="A217" s="2" t="s">
        <v>452</v>
      </c>
      <c r="B217" s="10">
        <v>1</v>
      </c>
      <c r="C217" s="10">
        <v>1</v>
      </c>
      <c r="D217" s="10">
        <v>1</v>
      </c>
      <c r="E217" s="10">
        <v>1</v>
      </c>
      <c r="F217" s="17" t="s">
        <v>453</v>
      </c>
    </row>
    <row r="218" spans="1:22" ht="19.5">
      <c r="A218" s="2" t="s">
        <v>454</v>
      </c>
      <c r="B218" s="10">
        <v>1</v>
      </c>
      <c r="C218" s="10">
        <v>1</v>
      </c>
      <c r="D218" s="10">
        <v>1</v>
      </c>
      <c r="E218" s="10">
        <v>1</v>
      </c>
      <c r="F218" s="17" t="s">
        <v>455</v>
      </c>
    </row>
    <row r="219" spans="1:22" ht="19.5">
      <c r="A219" s="2" t="s">
        <v>456</v>
      </c>
      <c r="B219" s="10">
        <v>2</v>
      </c>
      <c r="C219" s="10">
        <v>1</v>
      </c>
      <c r="D219" s="10">
        <v>1</v>
      </c>
      <c r="E219" s="10">
        <v>1</v>
      </c>
      <c r="F219" s="17" t="s">
        <v>457</v>
      </c>
    </row>
    <row r="220" spans="1:22" ht="19.5">
      <c r="A220" s="2" t="s">
        <v>458</v>
      </c>
      <c r="B220" s="10">
        <v>1</v>
      </c>
      <c r="C220" s="10">
        <v>1</v>
      </c>
      <c r="D220" s="10">
        <v>1</v>
      </c>
      <c r="E220" s="10">
        <v>1</v>
      </c>
      <c r="F220" s="17" t="s">
        <v>459</v>
      </c>
    </row>
    <row r="221" spans="1:22" s="23" customFormat="1" ht="19.5">
      <c r="A221" s="4" t="s">
        <v>460</v>
      </c>
      <c r="B221" s="21">
        <v>1</v>
      </c>
      <c r="C221" s="21">
        <v>1</v>
      </c>
      <c r="D221" s="21">
        <v>1</v>
      </c>
      <c r="E221" s="21">
        <v>1</v>
      </c>
      <c r="F221" s="22" t="s">
        <v>461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8.75">
      <c r="A222" s="24" t="s">
        <v>462</v>
      </c>
      <c r="B222" s="23"/>
      <c r="C222" s="23"/>
      <c r="D222" s="23"/>
      <c r="E222" s="23"/>
      <c r="F222" s="25" t="s">
        <v>31</v>
      </c>
    </row>
  </sheetData>
  <mergeCells count="6">
    <mergeCell ref="A1:F1"/>
    <mergeCell ref="A2:F2"/>
    <mergeCell ref="A3:A5"/>
    <mergeCell ref="F3:F5"/>
    <mergeCell ref="B3:E3"/>
    <mergeCell ref="B4:E4"/>
  </mergeCells>
  <pageMargins left="0.7" right="0.7" top="0.75" bottom="0.75" header="0.3" footer="0.3"/>
  <pageSetup scale="76" orientation="portrait" r:id="rId1"/>
  <rowBreaks count="1" manualBreakCount="1">
    <brk id="222" max="11" man="1"/>
  </rowBreaks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8.38</vt:lpstr>
      <vt:lpstr>'8.38'!Print_Area</vt:lpstr>
      <vt:lpstr>'8.38'!Print_Titles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2021-09-29T03:13:22Z</cp:lastPrinted>
  <dcterms:created xsi:type="dcterms:W3CDTF">2019-06-30T04:22:49Z</dcterms:created>
  <dcterms:modified xsi:type="dcterms:W3CDTF">2021-09-29T03:14:58Z</dcterms:modified>
</cp:coreProperties>
</file>