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3. Public Finance\"/>
    </mc:Choice>
  </mc:AlternateContent>
  <bookViews>
    <workbookView xWindow="0" yWindow="0" windowWidth="21570" windowHeight="8145" tabRatio="738"/>
  </bookViews>
  <sheets>
    <sheet name="13.10" sheetId="36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'13.10'!$A$1:$H$25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G14" i="36" l="1"/>
  <c r="F14" i="36"/>
  <c r="E14" i="36"/>
  <c r="D14" i="36"/>
  <c r="C14" i="36"/>
  <c r="B14" i="36"/>
  <c r="G11" i="36"/>
  <c r="F11" i="36"/>
  <c r="E11" i="36"/>
  <c r="D11" i="36"/>
  <c r="C11" i="36"/>
  <c r="B11" i="36"/>
</calcChain>
</file>

<file path=xl/sharedStrings.xml><?xml version="1.0" encoding="utf-8"?>
<sst xmlns="http://schemas.openxmlformats.org/spreadsheetml/2006/main" count="38" uniqueCount="38">
  <si>
    <t>ތަފްސީލު</t>
  </si>
  <si>
    <t>(މިލިޔަން ރުފިޔާއިން)</t>
  </si>
  <si>
    <t>(In millions of Rufiyaa)</t>
  </si>
  <si>
    <t>Particular</t>
  </si>
  <si>
    <r>
      <t xml:space="preserve">Debt outstanding disbursement. (DOD) </t>
    </r>
    <r>
      <rPr>
        <vertAlign val="superscript"/>
        <sz val="10"/>
        <rFont val="Calibri"/>
        <family val="2"/>
        <scheme val="minor"/>
      </rPr>
      <t>1_/</t>
    </r>
  </si>
  <si>
    <t xml:space="preserve"> 1_/IkWb uhwfcSwmuDek udwdwa ikcaedWrubwa iawgutog egclwpiscnircpcnudwdwA unugen cniaeretegunOl   </t>
  </si>
  <si>
    <r>
      <t xml:space="preserve">Disbursement </t>
    </r>
    <r>
      <rPr>
        <vertAlign val="superscript"/>
        <sz val="10"/>
        <rFont val="Calibri"/>
        <family val="2"/>
        <scheme val="minor"/>
      </rPr>
      <t>2_/</t>
    </r>
  </si>
  <si>
    <t xml:space="preserve"> 2_/ cnugen cniaeretegunOl  </t>
  </si>
  <si>
    <r>
      <t xml:space="preserve">Principal Repayment </t>
    </r>
    <r>
      <rPr>
        <vertAlign val="superscript"/>
        <sz val="10"/>
        <rFont val="Calibri"/>
        <family val="2"/>
        <scheme val="minor"/>
      </rPr>
      <t>3_/</t>
    </r>
  </si>
  <si>
    <t xml:space="preserve">3_/ ikcaed Wrubwa clwpiscnircpegunOl  </t>
  </si>
  <si>
    <r>
      <t xml:space="preserve">Interest payments (INT) </t>
    </r>
    <r>
      <rPr>
        <vertAlign val="superscript"/>
        <sz val="10"/>
        <rFont val="Calibri"/>
        <family val="2"/>
        <scheme val="minor"/>
      </rPr>
      <t>4_/</t>
    </r>
  </si>
  <si>
    <r>
      <t xml:space="preserve">Total debt service (TDS) </t>
    </r>
    <r>
      <rPr>
        <vertAlign val="superscript"/>
        <sz val="10"/>
        <rFont val="Calibri"/>
        <family val="2"/>
        <scheme val="minor"/>
      </rPr>
      <t>5_/</t>
    </r>
  </si>
  <si>
    <t>Selected ratios</t>
  </si>
  <si>
    <t>ctwbcsin caeawb WviawfivelWvoh</t>
  </si>
  <si>
    <t>Gross Domestic Product (GDP)</t>
  </si>
  <si>
    <t>DOD as a percentage of GDP</t>
  </si>
  <si>
    <t xml:space="preserve"> Ip.ID.Ij / ID .Oa .ID  </t>
  </si>
  <si>
    <t xml:space="preserve">Notes: </t>
  </si>
  <si>
    <t>:cTOn</t>
  </si>
  <si>
    <t>1_/ Total outstanding disbursed (M &amp; L/T)</t>
  </si>
  <si>
    <t xml:space="preserve"> (utwdcaum ugid idwa udem) wlcmuj egIkWb uhwfcSwmuDek udwdwa ikcaedWrubwa iawgutogegclwpiscnircp cnudwdeAunugen  cniaeretegunOl 1_/  </t>
  </si>
  <si>
    <t>2_/ Disbursement of  loans during the year</t>
  </si>
  <si>
    <t xml:space="preserve">unugen iawgutogegunOl iawgEreturwhwa 2_/  </t>
  </si>
  <si>
    <t>3_/ Repayments of  loans (principal only)</t>
  </si>
  <si>
    <t xml:space="preserve">(clwpiscnircp inwkeawmwh ) ikcaedWrubnwa unOl 3_/  </t>
  </si>
  <si>
    <t>4_/ Interest on  loans (M &amp; L / T)</t>
  </si>
  <si>
    <t xml:space="preserve">(iawgutwdcaumugid idwa udem ) ugwa egutwmcdiH WkcawdcSwnOl 4_/ </t>
  </si>
  <si>
    <t>5_/ Sum of Principal repayments and interest</t>
  </si>
  <si>
    <t xml:space="preserve">uhwfcSwmurukinua urwvikcaed cSwgwa egutwmudiK iaWmurukWdwaunOl cnudwdwa unugen cniaeretegunOl 5_/  </t>
  </si>
  <si>
    <t>Additonal Notes:</t>
  </si>
  <si>
    <t>1/ Data Source: Ministry of Finance</t>
  </si>
  <si>
    <t>2/ Difference in historical data due to reconciliations</t>
  </si>
  <si>
    <t xml:space="preserve"> cscnEnif cfoa IrcTcsinim :ctWrwf ivcaedutWmUluAwm    </t>
  </si>
  <si>
    <t>Table 13.10 : SUMMARY OF PUBLICLY GUARANTEED EXTERNAL DEBT, 2015 - 2020</t>
  </si>
  <si>
    <t>ތާވަލު 13.10: ސަރުކާރުން ގެރެންޓީކޮށްދީފައިވާ ބޭރުގެ ދަރަނި ތާވަލު، 2015 - 2020</t>
  </si>
  <si>
    <t xml:space="preserve">4_/ ugwa egutwmudiK egunOl  </t>
  </si>
  <si>
    <t xml:space="preserve">5_/ utWfwtegumuruk ctwmcdiK egunOl iaWdwdwA unugen cniaeretegunOl  </t>
  </si>
  <si>
    <t>ޤައުމީ އުފެއްދުންތެރިކަމުގެ މިންގަނޑު (ޖީ.ޑީ.ޕީ)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</si>
</sst>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5" formatCode="_(* #,##0.00_);_(* \(#,##0.00\);_(* &quot;-&quot;??_);_(@_)"/>
    <numFmt numFmtId="166" formatCode="General_)"/>
    <numFmt numFmtId="170" formatCode="0.0"/>
    <numFmt numFmtId="172" formatCode="_-* #,##0.00_-;\-* #,##0.00_-;_-* &quot;-&quot;??_-;_-@_-"/>
    <numFmt numFmtId="173" formatCode="#,##0.00\ ;&quot; (&quot;#,##0.00\);&quot; -&quot;#\ ;@\ "/>
    <numFmt numFmtId="180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9"/>
      <color theme="1"/>
      <name val="A_Randhoo"/>
    </font>
    <font>
      <sz val="9.5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name val="Courier"/>
    </font>
    <font>
      <sz val="10"/>
      <name val="Helv"/>
    </font>
    <font>
      <b/>
      <sz val="10"/>
      <color theme="1"/>
      <name val="A_Faseyha"/>
    </font>
    <font>
      <sz val="10"/>
      <color theme="1"/>
      <name val="A_Faseyha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1"/>
      <color theme="1"/>
      <name val="Faruma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Arial"/>
      <family val="2"/>
    </font>
    <font>
      <b/>
      <sz val="9"/>
      <name val="Calibri"/>
      <family val="2"/>
      <scheme val="minor"/>
    </font>
    <font>
      <sz val="10"/>
      <name val="A_Faseyha"/>
    </font>
    <font>
      <b/>
      <u/>
      <sz val="10"/>
      <color theme="1"/>
      <name val="Calibri"/>
      <family val="2"/>
      <scheme val="minor"/>
    </font>
    <font>
      <sz val="9.5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34998626667073579"/>
      </bottom>
      <diagonal/>
    </border>
  </borders>
  <cellStyleXfs count="21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72" fontId="1" fillId="0" borderId="0" applyFont="0" applyFill="0" applyBorder="0" applyAlignment="0" applyProtection="0"/>
    <xf numFmtId="0" fontId="5" fillId="0" borderId="0"/>
    <xf numFmtId="173" fontId="5" fillId="0" borderId="0"/>
    <xf numFmtId="0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5" fontId="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9" fontId="1" fillId="0" borderId="0" applyFont="0" applyFill="0" applyBorder="0" applyAlignment="0" applyProtection="0"/>
    <xf numFmtId="170" fontId="16" fillId="0" borderId="0"/>
    <xf numFmtId="4" fontId="1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50">
    <xf numFmtId="0" fontId="0" fillId="0" borderId="0" xfId="0"/>
    <xf numFmtId="166" fontId="11" fillId="2" borderId="0" xfId="2" applyNumberFormat="1" applyFont="1" applyFill="1" applyAlignment="1">
      <alignment horizontal="right" vertical="center" indent="1"/>
    </xf>
    <xf numFmtId="166" fontId="12" fillId="2" borderId="0" xfId="2" applyNumberFormat="1" applyFont="1" applyFill="1" applyAlignment="1">
      <alignment horizontal="right" vertical="center"/>
    </xf>
    <xf numFmtId="166" fontId="18" fillId="2" borderId="0" xfId="2" applyNumberFormat="1" applyFont="1" applyFill="1" applyAlignment="1">
      <alignment horizontal="right" vertical="center"/>
    </xf>
    <xf numFmtId="166" fontId="19" fillId="2" borderId="0" xfId="2" applyNumberFormat="1" applyFont="1" applyFill="1" applyAlignment="1">
      <alignment horizontal="right" vertical="center"/>
    </xf>
    <xf numFmtId="166" fontId="19" fillId="2" borderId="0" xfId="2" applyNumberFormat="1" applyFont="1" applyFill="1" applyBorder="1" applyAlignment="1">
      <alignment horizontal="right" vertical="center"/>
    </xf>
    <xf numFmtId="0" fontId="1" fillId="2" borderId="0" xfId="0" applyFont="1" applyFill="1"/>
    <xf numFmtId="0" fontId="0" fillId="2" borderId="0" xfId="0" applyFill="1"/>
    <xf numFmtId="0" fontId="27" fillId="2" borderId="0" xfId="17" applyFont="1" applyFill="1" applyAlignment="1"/>
    <xf numFmtId="166" fontId="7" fillId="2" borderId="0" xfId="2" applyNumberFormat="1" applyFont="1" applyFill="1" applyBorder="1" applyAlignment="1">
      <alignment horizontal="right"/>
    </xf>
    <xf numFmtId="166" fontId="7" fillId="2" borderId="0" xfId="2" applyNumberFormat="1" applyFont="1" applyFill="1" applyBorder="1" applyAlignment="1">
      <alignment horizontal="right" wrapText="1"/>
    </xf>
    <xf numFmtId="0" fontId="7" fillId="2" borderId="1" xfId="17" applyFont="1" applyFill="1" applyBorder="1" applyAlignment="1">
      <alignment horizontal="right" vertical="center"/>
    </xf>
    <xf numFmtId="0" fontId="20" fillId="2" borderId="0" xfId="17" applyFont="1" applyFill="1" applyAlignment="1">
      <alignment vertical="center"/>
    </xf>
    <xf numFmtId="180" fontId="20" fillId="2" borderId="0" xfId="1" applyNumberFormat="1" applyFont="1" applyFill="1" applyAlignment="1">
      <alignment horizontal="right" vertical="center"/>
    </xf>
    <xf numFmtId="180" fontId="20" fillId="2" borderId="0" xfId="1" applyNumberFormat="1" applyFont="1" applyFill="1" applyBorder="1" applyAlignment="1">
      <alignment horizontal="right" vertical="center"/>
    </xf>
    <xf numFmtId="0" fontId="21" fillId="2" borderId="0" xfId="0" applyFont="1" applyFill="1"/>
    <xf numFmtId="166" fontId="29" fillId="2" borderId="0" xfId="2" applyNumberFormat="1" applyFont="1" applyFill="1" applyBorder="1" applyAlignment="1">
      <alignment horizontal="right"/>
    </xf>
    <xf numFmtId="0" fontId="20" fillId="2" borderId="2" xfId="17" applyFont="1" applyFill="1" applyBorder="1" applyAlignment="1">
      <alignment vertical="center"/>
    </xf>
    <xf numFmtId="180" fontId="20" fillId="2" borderId="2" xfId="1" applyNumberFormat="1" applyFont="1" applyFill="1" applyBorder="1" applyAlignment="1">
      <alignment horizontal="right" vertical="center"/>
    </xf>
    <xf numFmtId="0" fontId="30" fillId="2" borderId="0" xfId="17" applyFont="1" applyFill="1"/>
    <xf numFmtId="170" fontId="13" fillId="2" borderId="0" xfId="17" applyNumberFormat="1" applyFont="1" applyFill="1" applyBorder="1" applyAlignment="1">
      <alignment horizontal="right" vertical="center"/>
    </xf>
    <xf numFmtId="0" fontId="8" fillId="2" borderId="0" xfId="17" applyFont="1" applyFill="1"/>
    <xf numFmtId="180" fontId="13" fillId="2" borderId="0" xfId="1" applyNumberFormat="1" applyFont="1" applyFill="1" applyBorder="1" applyAlignment="1">
      <alignment horizontal="right" vertical="center"/>
    </xf>
    <xf numFmtId="0" fontId="8" fillId="2" borderId="1" xfId="17" applyNumberFormat="1" applyFont="1" applyFill="1" applyBorder="1"/>
    <xf numFmtId="9" fontId="31" fillId="2" borderId="1" xfId="11" applyFont="1" applyFill="1" applyBorder="1" applyAlignment="1">
      <alignment horizontal="right" vertical="center"/>
    </xf>
    <xf numFmtId="0" fontId="1" fillId="2" borderId="0" xfId="0" applyNumberFormat="1" applyFont="1" applyFill="1"/>
    <xf numFmtId="0" fontId="0" fillId="2" borderId="0" xfId="0" applyNumberFormat="1" applyFill="1"/>
    <xf numFmtId="0" fontId="8" fillId="2" borderId="0" xfId="17" applyFont="1" applyFill="1" applyBorder="1"/>
    <xf numFmtId="2" fontId="13" fillId="2" borderId="0" xfId="11" applyNumberFormat="1" applyFont="1" applyFill="1" applyBorder="1" applyAlignment="1">
      <alignment horizontal="right" vertical="center"/>
    </xf>
    <xf numFmtId="170" fontId="13" fillId="2" borderId="0" xfId="11" applyNumberFormat="1" applyFont="1" applyFill="1" applyBorder="1" applyAlignment="1">
      <alignment horizontal="right" vertical="center"/>
    </xf>
    <xf numFmtId="0" fontId="10" fillId="2" borderId="0" xfId="17" applyFont="1" applyFill="1" applyAlignment="1">
      <alignment horizontal="left"/>
    </xf>
    <xf numFmtId="0" fontId="10" fillId="2" borderId="0" xfId="17" applyFont="1" applyFill="1"/>
    <xf numFmtId="0" fontId="32" fillId="2" borderId="0" xfId="17" applyFont="1" applyFill="1" applyBorder="1"/>
    <xf numFmtId="0" fontId="22" fillId="2" borderId="0" xfId="17" applyFont="1" applyFill="1" applyBorder="1" applyAlignment="1">
      <alignment horizontal="left" vertical="center"/>
    </xf>
    <xf numFmtId="0" fontId="15" fillId="2" borderId="0" xfId="17" applyFont="1" applyFill="1"/>
    <xf numFmtId="0" fontId="7" fillId="2" borderId="0" xfId="17" applyFont="1" applyFill="1" applyBorder="1" applyAlignment="1">
      <alignment vertical="center"/>
    </xf>
    <xf numFmtId="0" fontId="9" fillId="2" borderId="0" xfId="17" applyFont="1" applyFill="1" applyBorder="1" applyAlignment="1">
      <alignment vertical="center"/>
    </xf>
    <xf numFmtId="0" fontId="7" fillId="2" borderId="1" xfId="17" applyFont="1" applyFill="1" applyBorder="1" applyAlignment="1">
      <alignment vertical="center"/>
    </xf>
    <xf numFmtId="0" fontId="28" fillId="2" borderId="1" xfId="17" applyFont="1" applyFill="1" applyBorder="1" applyAlignment="1">
      <alignment horizontal="right" vertical="center"/>
    </xf>
    <xf numFmtId="0" fontId="9" fillId="2" borderId="1" xfId="17" applyFont="1" applyFill="1" applyBorder="1" applyAlignment="1">
      <alignment vertical="center"/>
    </xf>
    <xf numFmtId="170" fontId="31" fillId="2" borderId="0" xfId="17" applyNumberFormat="1" applyFont="1" applyFill="1" applyBorder="1" applyAlignment="1">
      <alignment horizontal="right" vertical="center"/>
    </xf>
    <xf numFmtId="180" fontId="31" fillId="2" borderId="0" xfId="1" applyNumberFormat="1" applyFont="1" applyFill="1" applyBorder="1" applyAlignment="1">
      <alignment horizontal="right" vertical="center"/>
    </xf>
    <xf numFmtId="166" fontId="29" fillId="2" borderId="2" xfId="2" applyNumberFormat="1" applyFont="1" applyFill="1" applyBorder="1" applyAlignment="1">
      <alignment horizontal="right" vertical="center"/>
    </xf>
    <xf numFmtId="166" fontId="29" fillId="2" borderId="0" xfId="2" applyNumberFormat="1" applyFont="1" applyFill="1" applyAlignment="1">
      <alignment horizontal="right" vertical="center"/>
    </xf>
    <xf numFmtId="0" fontId="19" fillId="2" borderId="1" xfId="2" applyNumberFormat="1" applyFont="1" applyFill="1" applyBorder="1" applyAlignment="1">
      <alignment horizontal="right" vertical="center"/>
    </xf>
    <xf numFmtId="0" fontId="19" fillId="2" borderId="0" xfId="0" applyFont="1" applyFill="1"/>
    <xf numFmtId="0" fontId="25" fillId="2" borderId="0" xfId="17" applyFont="1" applyFill="1" applyAlignment="1">
      <alignment horizontal="center"/>
    </xf>
    <xf numFmtId="0" fontId="26" fillId="2" borderId="1" xfId="17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166" fontId="9" fillId="2" borderId="0" xfId="2" applyNumberFormat="1" applyFont="1" applyFill="1" applyAlignment="1">
      <alignment horizontal="center" vertical="center" wrapText="1"/>
    </xf>
  </cellXfs>
  <cellStyles count="21">
    <cellStyle name="Comma" xfId="1" builtinId="3"/>
    <cellStyle name="Comma 2" xfId="6"/>
    <cellStyle name="Comma 3" xfId="7"/>
    <cellStyle name="Comma 3 2" xfId="19"/>
    <cellStyle name="Comma 4" xfId="3"/>
    <cellStyle name="Comma 4 2" xfId="15"/>
    <cellStyle name="Comma 5" xfId="13"/>
    <cellStyle name="Comma 6" xfId="9"/>
    <cellStyle name="Comma 6 2" xfId="20"/>
    <cellStyle name="Comma 7" xfId="18"/>
    <cellStyle name="Excel Built-in Comma" xfId="5"/>
    <cellStyle name="Excel Built-in Normal" xfId="4"/>
    <cellStyle name="Normal" xfId="0" builtinId="0"/>
    <cellStyle name="Normal 2" xfId="10"/>
    <cellStyle name="Normal 2 2" xfId="14"/>
    <cellStyle name="Normal 3" xfId="12"/>
    <cellStyle name="Normal 4" xfId="8"/>
    <cellStyle name="Normal_13 Public Finance_done" xfId="2"/>
    <cellStyle name="Normal_EXDT-MPHRE (1)" xfId="17"/>
    <cellStyle name="Percent" xfId="11" builtinId="5"/>
    <cellStyle name="Percent 2" xfId="16"/>
  </cellStyles>
  <dxfs count="0"/>
  <tableStyles count="0" defaultTableStyle="TableStyleMedium9" defaultPivotStyle="PivotStyleLight16"/>
  <colors>
    <mruColors>
      <color rgb="FFFBC99F"/>
      <color rgb="FFF5EADF"/>
      <color rgb="FFFDEADA"/>
      <color rgb="FFFAC090"/>
      <color rgb="FF996633"/>
      <color rgb="FFCC6600"/>
      <color rgb="FF6C3600"/>
      <color rgb="FFFCD5B5"/>
      <color rgb="FF7DDFDD"/>
      <color rgb="FF9537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1"/>
  <sheetViews>
    <sheetView tabSelected="1" zoomScaleNormal="100" workbookViewId="0">
      <selection activeCell="D30" sqref="D30"/>
    </sheetView>
  </sheetViews>
  <sheetFormatPr defaultColWidth="24.7109375" defaultRowHeight="15"/>
  <cols>
    <col min="1" max="1" width="38" style="7" customWidth="1"/>
    <col min="2" max="5" width="10.5703125" style="7" customWidth="1"/>
    <col min="6" max="6" width="10" style="7" bestFit="1" customWidth="1"/>
    <col min="7" max="7" width="10.5703125" style="7" customWidth="1"/>
    <col min="8" max="8" width="66.85546875" style="7" customWidth="1"/>
    <col min="9" max="16384" width="24.7109375" style="7"/>
  </cols>
  <sheetData>
    <row r="1" spans="1:10" ht="21.75" customHeight="1">
      <c r="A1" s="48" t="s">
        <v>34</v>
      </c>
      <c r="B1" s="48"/>
      <c r="C1" s="48"/>
      <c r="D1" s="48"/>
      <c r="E1" s="48"/>
      <c r="F1" s="48"/>
      <c r="G1" s="48"/>
      <c r="H1" s="48"/>
      <c r="I1" s="6"/>
      <c r="J1" s="6"/>
    </row>
    <row r="2" spans="1:10">
      <c r="A2" s="46" t="s">
        <v>33</v>
      </c>
      <c r="B2" s="46"/>
      <c r="C2" s="46"/>
      <c r="D2" s="46"/>
      <c r="E2" s="46"/>
      <c r="F2" s="46"/>
      <c r="G2" s="46"/>
      <c r="H2" s="46"/>
      <c r="I2" s="6"/>
      <c r="J2" s="6"/>
    </row>
    <row r="3" spans="1:10" ht="17.25">
      <c r="A3" s="49" t="s">
        <v>1</v>
      </c>
      <c r="B3" s="49"/>
      <c r="C3" s="49"/>
      <c r="D3" s="49"/>
      <c r="E3" s="49"/>
      <c r="F3" s="49"/>
      <c r="G3" s="49"/>
      <c r="H3" s="49"/>
      <c r="I3" s="6"/>
      <c r="J3" s="6"/>
    </row>
    <row r="4" spans="1:10">
      <c r="A4" s="47" t="s">
        <v>2</v>
      </c>
      <c r="B4" s="47"/>
      <c r="C4" s="47"/>
      <c r="D4" s="47"/>
      <c r="E4" s="47"/>
      <c r="F4" s="47"/>
      <c r="G4" s="47"/>
      <c r="H4" s="47"/>
      <c r="I4" s="8"/>
      <c r="J4" s="8"/>
    </row>
    <row r="5" spans="1:10" ht="17.25">
      <c r="A5" s="35"/>
      <c r="B5" s="9"/>
      <c r="C5" s="10"/>
      <c r="D5" s="9"/>
      <c r="E5" s="9"/>
      <c r="F5" s="9"/>
      <c r="G5" s="9"/>
      <c r="H5" s="36"/>
      <c r="I5" s="8"/>
      <c r="J5" s="8"/>
    </row>
    <row r="6" spans="1:10" ht="17.25">
      <c r="A6" s="37" t="s">
        <v>3</v>
      </c>
      <c r="B6" s="11">
        <v>2015</v>
      </c>
      <c r="C6" s="11">
        <v>2016</v>
      </c>
      <c r="D6" s="11">
        <v>2017</v>
      </c>
      <c r="E6" s="11">
        <v>2018</v>
      </c>
      <c r="F6" s="11">
        <v>2019</v>
      </c>
      <c r="G6" s="38">
        <v>2020</v>
      </c>
      <c r="H6" s="39" t="s">
        <v>0</v>
      </c>
      <c r="I6" s="6"/>
      <c r="J6" s="6"/>
    </row>
    <row r="7" spans="1:10" ht="15.75">
      <c r="A7" s="12" t="s">
        <v>4</v>
      </c>
      <c r="B7" s="13">
        <v>439.1</v>
      </c>
      <c r="C7" s="13">
        <v>2117.1</v>
      </c>
      <c r="D7" s="13">
        <v>778.2</v>
      </c>
      <c r="E7" s="13">
        <v>10348.4</v>
      </c>
      <c r="F7" s="14">
        <v>12728.3</v>
      </c>
      <c r="G7" s="14">
        <v>19078.5</v>
      </c>
      <c r="H7" s="43" t="s">
        <v>5</v>
      </c>
      <c r="I7" s="15"/>
      <c r="J7" s="15"/>
    </row>
    <row r="8" spans="1:10" ht="17.25">
      <c r="A8" s="12" t="s">
        <v>6</v>
      </c>
      <c r="B8" s="13">
        <v>110.3</v>
      </c>
      <c r="C8" s="13">
        <v>1842.5</v>
      </c>
      <c r="D8" s="13">
        <v>713.5</v>
      </c>
      <c r="E8" s="13">
        <v>12270</v>
      </c>
      <c r="F8" s="14">
        <v>7864.2</v>
      </c>
      <c r="G8" s="14">
        <v>10548.6</v>
      </c>
      <c r="H8" s="43" t="s">
        <v>7</v>
      </c>
      <c r="I8" s="15"/>
      <c r="J8" s="16"/>
    </row>
    <row r="9" spans="1:10" ht="15.75">
      <c r="A9" s="12" t="s">
        <v>8</v>
      </c>
      <c r="B9" s="13">
        <v>260.2</v>
      </c>
      <c r="C9" s="13">
        <v>163.30000000000001</v>
      </c>
      <c r="D9" s="13">
        <v>2057.1</v>
      </c>
      <c r="E9" s="13">
        <v>2706.1</v>
      </c>
      <c r="F9" s="14">
        <v>5465.6</v>
      </c>
      <c r="G9" s="14">
        <v>4229</v>
      </c>
      <c r="H9" s="43" t="s">
        <v>9</v>
      </c>
      <c r="I9" s="15"/>
      <c r="J9" s="15"/>
    </row>
    <row r="10" spans="1:10" ht="15.75">
      <c r="A10" s="12" t="s">
        <v>10</v>
      </c>
      <c r="B10" s="13">
        <v>26</v>
      </c>
      <c r="C10" s="13">
        <v>33.799999999999997</v>
      </c>
      <c r="D10" s="13">
        <v>46</v>
      </c>
      <c r="E10" s="13">
        <v>248.2</v>
      </c>
      <c r="F10" s="14">
        <v>555.5</v>
      </c>
      <c r="G10" s="14">
        <v>593.5</v>
      </c>
      <c r="H10" s="43" t="s">
        <v>35</v>
      </c>
      <c r="I10" s="15"/>
      <c r="J10" s="15"/>
    </row>
    <row r="11" spans="1:10" ht="15.75">
      <c r="A11" s="17" t="s">
        <v>11</v>
      </c>
      <c r="B11" s="18">
        <f t="shared" ref="B11:F11" si="0">B10+B9</f>
        <v>286.2</v>
      </c>
      <c r="C11" s="18">
        <f t="shared" si="0"/>
        <v>197.10000000000002</v>
      </c>
      <c r="D11" s="18">
        <f t="shared" si="0"/>
        <v>2103.1</v>
      </c>
      <c r="E11" s="18">
        <f t="shared" si="0"/>
        <v>2954.2999999999997</v>
      </c>
      <c r="F11" s="18">
        <f t="shared" si="0"/>
        <v>6021.1</v>
      </c>
      <c r="G11" s="18">
        <f>G10+G9</f>
        <v>4822.5</v>
      </c>
      <c r="H11" s="42" t="s">
        <v>36</v>
      </c>
      <c r="I11" s="15"/>
      <c r="J11" s="15"/>
    </row>
    <row r="12" spans="1:10" ht="15.75">
      <c r="A12" s="19" t="s">
        <v>12</v>
      </c>
      <c r="B12" s="20"/>
      <c r="C12" s="20"/>
      <c r="D12" s="20"/>
      <c r="E12" s="20"/>
      <c r="F12" s="20"/>
      <c r="G12" s="40"/>
      <c r="H12" s="3" t="s">
        <v>13</v>
      </c>
      <c r="I12" s="6"/>
      <c r="J12" s="6"/>
    </row>
    <row r="13" spans="1:10" ht="18.75">
      <c r="A13" s="21" t="s">
        <v>14</v>
      </c>
      <c r="B13" s="22">
        <v>52787</v>
      </c>
      <c r="C13" s="22">
        <v>64919</v>
      </c>
      <c r="D13" s="22">
        <v>75052</v>
      </c>
      <c r="E13" s="22">
        <v>81994</v>
      </c>
      <c r="F13" s="22">
        <v>86788</v>
      </c>
      <c r="G13" s="41">
        <v>57942</v>
      </c>
      <c r="H13" s="1" t="s">
        <v>37</v>
      </c>
      <c r="I13" s="6"/>
      <c r="J13" s="6"/>
    </row>
    <row r="14" spans="1:10" s="26" customFormat="1" ht="15.75">
      <c r="A14" s="23" t="s">
        <v>15</v>
      </c>
      <c r="B14" s="24">
        <f t="shared" ref="B14:G14" si="1">B7/B13</f>
        <v>8.3183359539280508E-3</v>
      </c>
      <c r="C14" s="24">
        <f t="shared" si="1"/>
        <v>3.2611408062354623E-2</v>
      </c>
      <c r="D14" s="24">
        <f t="shared" si="1"/>
        <v>1.036881095773597E-2</v>
      </c>
      <c r="E14" s="24">
        <f t="shared" si="1"/>
        <v>0.12620923482206015</v>
      </c>
      <c r="F14" s="24">
        <f t="shared" si="1"/>
        <v>0.14665967645296585</v>
      </c>
      <c r="G14" s="24">
        <f t="shared" si="1"/>
        <v>0.32926892409651032</v>
      </c>
      <c r="H14" s="44" t="s">
        <v>16</v>
      </c>
      <c r="I14" s="25"/>
      <c r="J14" s="25"/>
    </row>
    <row r="15" spans="1:10" ht="15.75">
      <c r="A15" s="27" t="s">
        <v>17</v>
      </c>
      <c r="B15" s="28"/>
      <c r="C15" s="29"/>
      <c r="D15" s="29"/>
      <c r="E15" s="29"/>
      <c r="F15" s="29"/>
      <c r="G15" s="29"/>
      <c r="H15" s="5" t="s">
        <v>18</v>
      </c>
    </row>
    <row r="16" spans="1:10" ht="15.75">
      <c r="A16" s="30" t="s">
        <v>19</v>
      </c>
      <c r="B16" s="31"/>
      <c r="C16" s="31"/>
      <c r="D16" s="31"/>
      <c r="E16" s="31"/>
      <c r="F16" s="31"/>
      <c r="G16" s="31"/>
      <c r="H16" s="4" t="s">
        <v>20</v>
      </c>
    </row>
    <row r="17" spans="1:8" ht="15.75">
      <c r="A17" s="30" t="s">
        <v>21</v>
      </c>
      <c r="B17" s="31"/>
      <c r="C17" s="31"/>
      <c r="D17" s="31"/>
      <c r="E17" s="31"/>
      <c r="F17" s="31"/>
      <c r="G17" s="31"/>
      <c r="H17" s="4" t="s">
        <v>22</v>
      </c>
    </row>
    <row r="18" spans="1:8" ht="15.75">
      <c r="A18" s="30" t="s">
        <v>23</v>
      </c>
      <c r="B18" s="31"/>
      <c r="C18" s="31"/>
      <c r="D18" s="31"/>
      <c r="E18" s="31"/>
      <c r="F18" s="31"/>
      <c r="G18" s="31"/>
      <c r="H18" s="4" t="s">
        <v>24</v>
      </c>
    </row>
    <row r="19" spans="1:8" ht="15.75">
      <c r="A19" s="30" t="s">
        <v>25</v>
      </c>
      <c r="B19" s="31"/>
      <c r="C19" s="31"/>
      <c r="D19" s="31"/>
      <c r="E19" s="31"/>
      <c r="F19" s="31"/>
      <c r="G19" s="31"/>
      <c r="H19" s="4" t="s">
        <v>26</v>
      </c>
    </row>
    <row r="20" spans="1:8" ht="15.75">
      <c r="A20" s="30" t="s">
        <v>27</v>
      </c>
      <c r="B20" s="6"/>
      <c r="C20" s="6"/>
      <c r="D20" s="6"/>
      <c r="E20" s="6"/>
      <c r="F20" s="6"/>
      <c r="G20" s="6"/>
      <c r="H20" s="4" t="s">
        <v>28</v>
      </c>
    </row>
    <row r="21" spans="1:8" ht="15.75">
      <c r="B21" s="6"/>
      <c r="C21" s="6"/>
      <c r="D21" s="6"/>
      <c r="E21" s="6"/>
      <c r="F21" s="6"/>
      <c r="G21" s="6"/>
      <c r="H21" s="4" t="s">
        <v>32</v>
      </c>
    </row>
    <row r="22" spans="1:8" ht="17.25">
      <c r="A22" s="32" t="s">
        <v>29</v>
      </c>
      <c r="B22" s="6"/>
      <c r="C22" s="6"/>
      <c r="D22" s="6"/>
      <c r="E22" s="6"/>
      <c r="F22" s="6"/>
      <c r="G22" s="6"/>
      <c r="H22" s="45"/>
    </row>
    <row r="23" spans="1:8">
      <c r="A23" s="33" t="s">
        <v>30</v>
      </c>
      <c r="B23" s="6"/>
      <c r="C23" s="6"/>
      <c r="D23" s="6"/>
      <c r="E23" s="6"/>
      <c r="F23" s="6"/>
      <c r="G23" s="6"/>
      <c r="H23" s="6"/>
    </row>
    <row r="24" spans="1:8">
      <c r="A24" s="33" t="s">
        <v>31</v>
      </c>
      <c r="B24" s="6"/>
      <c r="C24" s="6"/>
      <c r="D24" s="6"/>
      <c r="E24" s="6"/>
      <c r="F24" s="6"/>
      <c r="G24" s="6"/>
      <c r="H24" s="6"/>
    </row>
    <row r="25" spans="1:8">
      <c r="A25" s="34"/>
      <c r="B25" s="6"/>
      <c r="C25" s="6"/>
      <c r="D25" s="6"/>
      <c r="E25" s="6"/>
      <c r="F25" s="6"/>
      <c r="G25" s="6"/>
      <c r="H25" s="6"/>
    </row>
    <row r="31" spans="1:8">
      <c r="H31" s="2"/>
    </row>
  </sheetData>
  <mergeCells count="4">
    <mergeCell ref="A1:H1"/>
    <mergeCell ref="A2:H2"/>
    <mergeCell ref="A3:H3"/>
    <mergeCell ref="A4:H4"/>
  </mergeCells>
  <pageMargins left="0.7" right="0.7" top="0.75" bottom="0.75" header="0.3" footer="0.3"/>
  <pageSetup scale="53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schemas.microsoft.com/office/2006/documentManagement/types"/>
    <ds:schemaRef ds:uri="http://schemas.microsoft.com/office/2006/metadata/properties"/>
    <ds:schemaRef ds:uri="1916c6aa-fa20-4fca-8349-5fbeea1bc483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13.10</vt:lpstr>
      <vt:lpstr>'13.10'!Print_Area</vt:lpstr>
    </vt:vector>
  </TitlesOfParts>
  <Manager/>
  <Company>Department of National Planning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mohamed</cp:lastModifiedBy>
  <cp:revision/>
  <cp:lastPrinted>2021-06-16T17:59:47Z</cp:lastPrinted>
  <dcterms:created xsi:type="dcterms:W3CDTF">2014-03-06T08:38:12Z</dcterms:created>
  <dcterms:modified xsi:type="dcterms:W3CDTF">2021-06-16T18:00:46Z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