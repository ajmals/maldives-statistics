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4" sheetId="4" r:id="rId1"/>
  </sheets>
  <externalReferences>
    <externalReference r:id="rId2"/>
  </externalReferences>
  <definedNames>
    <definedName name="_xlnm.Print_Area" localSheetId="0">'10.4'!$A$1:$L$46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21" i="4" l="1"/>
  <c r="AS21" i="4"/>
  <c r="AT22" i="4" l="1"/>
  <c r="AT23" i="4"/>
  <c r="AT24" i="4"/>
  <c r="AT25" i="4"/>
  <c r="AT26" i="4"/>
  <c r="AT27" i="4"/>
  <c r="AT28" i="4"/>
  <c r="AT29" i="4"/>
  <c r="AT30" i="4"/>
  <c r="AT31" i="4"/>
  <c r="AT32" i="4"/>
  <c r="AS22" i="4"/>
  <c r="AS23" i="4"/>
  <c r="AS24" i="4"/>
  <c r="AS25" i="4"/>
  <c r="AS26" i="4"/>
  <c r="AS27" i="4"/>
  <c r="AS28" i="4"/>
  <c r="AS29" i="4"/>
  <c r="AS30" i="4"/>
  <c r="AS31" i="4"/>
  <c r="AS32" i="4"/>
  <c r="K7" i="4"/>
  <c r="J7" i="4"/>
  <c r="I7" i="4"/>
  <c r="H7" i="4"/>
  <c r="G7" i="4"/>
  <c r="F7" i="4" l="1"/>
  <c r="E7" i="4"/>
  <c r="D7" i="4"/>
  <c r="C7" i="4"/>
  <c r="B7" i="4"/>
</calcChain>
</file>

<file path=xl/sharedStrings.xml><?xml version="1.0" encoding="utf-8"?>
<sst xmlns="http://schemas.openxmlformats.org/spreadsheetml/2006/main" count="54" uniqueCount="42">
  <si>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</si>
  <si>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</si>
  <si>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</si>
  <si>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</si>
  <si>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</si>
  <si>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</si>
  <si>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</si>
  <si>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</si>
  <si>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</si>
  <si>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</si>
  <si>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</si>
  <si>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</si>
  <si>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</si>
  <si>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</si>
  <si>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</si>
  <si>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</si>
  <si>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</si>
  <si>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</si>
  <si>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</si>
  <si>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</si>
  <si>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</si>
  <si>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</si>
  <si>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</si>
  <si>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</si>
  <si>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</si>
  <si>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</si>
  <si>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</si>
  <si>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</si>
  <si>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</si>
  <si>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</si>
  <si>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</si>
  <si>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</si>
  <si>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</si>
  <si>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</si>
  <si>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</si>
  <si>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</si>
  <si>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</si>
  <si>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</si>
  <si>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10.4: BED CAPACITY AND UTILIZATION OF RESORTS BY MONTH,  2019 - 2020</t>
  </si>
  <si>
    <t>2020 - 2019  ,urwvcnim unuverukcnunEb wgWjegudnea iaWa wgWj egudnea egukwtuTOsir uhwmcswmikea : 10.4 ulwvWt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</si>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</sst>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#,##0.0"/>
    <numFmt numFmtId="168" formatCode="[$-409]mmm\-yy;@"/>
    <numFmt numFmtId="171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3" fontId="7" fillId="2" borderId="0" xfId="0" applyNumberFormat="1" applyFont="1" applyFill="1" applyBorder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/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8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right" vertical="center" wrapText="1"/>
    </xf>
    <xf numFmtId="166" fontId="6" fillId="2" borderId="0" xfId="1" applyNumberFormat="1" applyFont="1" applyFill="1" applyAlignment="1">
      <alignment horizontal="right" vertical="center"/>
    </xf>
    <xf numFmtId="166" fontId="7" fillId="2" borderId="0" xfId="1" applyNumberFormat="1" applyFont="1" applyFill="1" applyBorder="1" applyAlignment="1">
      <alignment horizontal="right" vertical="center"/>
    </xf>
    <xf numFmtId="166" fontId="7" fillId="2" borderId="1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0" fontId="19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indent="3"/>
    </xf>
    <xf numFmtId="0" fontId="10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</cellXfs>
  <cellStyles count="22">
    <cellStyle name="1" xfId="6"/>
    <cellStyle name="Comma" xfId="1" builtinId="3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resorts , 2020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9376625060904604"/>
          <c:y val="4.7686959484046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646198871158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'10.4'!$AS$20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'10.4'!$AR$21:$AR$32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'10.4'!$AS$21:$AS$32</c:f>
              <c:numCache>
                <c:formatCode>#,##0</c:formatCode>
                <c:ptCount val="12"/>
                <c:pt idx="0">
                  <c:v>37394</c:v>
                </c:pt>
                <c:pt idx="1">
                  <c:v>37522</c:v>
                </c:pt>
                <c:pt idx="2">
                  <c:v>37522</c:v>
                </c:pt>
                <c:pt idx="3">
                  <c:v>37522</c:v>
                </c:pt>
                <c:pt idx="4">
                  <c:v>37522</c:v>
                </c:pt>
                <c:pt idx="5">
                  <c:v>37522</c:v>
                </c:pt>
                <c:pt idx="6">
                  <c:v>37522</c:v>
                </c:pt>
                <c:pt idx="7">
                  <c:v>37614</c:v>
                </c:pt>
                <c:pt idx="8">
                  <c:v>37622</c:v>
                </c:pt>
                <c:pt idx="9">
                  <c:v>37900</c:v>
                </c:pt>
                <c:pt idx="10">
                  <c:v>38000</c:v>
                </c:pt>
                <c:pt idx="11">
                  <c:v>37134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A-4B78-BFEE-5F455A783DF5}"/>
            </c:ext>
          </c:extLst>
        </c:ser>
        <c:ser>
          <c:idx val="1"/>
          <c:order val="1"/>
          <c:tx>
            <c:strRef>
              <c:f>'10.4'!$AT$20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'10.4'!$AR$21:$AR$32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'10.4'!$AT$21:$AT$32</c:f>
              <c:numCache>
                <c:formatCode>#,##0</c:formatCode>
                <c:ptCount val="12"/>
                <c:pt idx="0">
                  <c:v>36094</c:v>
                </c:pt>
                <c:pt idx="1">
                  <c:v>36222</c:v>
                </c:pt>
                <c:pt idx="2">
                  <c:v>36222</c:v>
                </c:pt>
                <c:pt idx="3">
                  <c:v>7064</c:v>
                </c:pt>
                <c:pt idx="4">
                  <c:v>2904</c:v>
                </c:pt>
                <c:pt idx="5">
                  <c:v>3004</c:v>
                </c:pt>
                <c:pt idx="6">
                  <c:v>9180</c:v>
                </c:pt>
                <c:pt idx="7">
                  <c:v>16222</c:v>
                </c:pt>
                <c:pt idx="8">
                  <c:v>20922</c:v>
                </c:pt>
                <c:pt idx="9">
                  <c:v>26580</c:v>
                </c:pt>
                <c:pt idx="10">
                  <c:v>30136</c:v>
                </c:pt>
                <c:pt idx="11">
                  <c:v>32798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A-4B78-BFEE-5F455A78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0018640"/>
        <c:axId val="400020992"/>
      </c:barChart>
      <c:catAx>
        <c:axId val="4000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20992"/>
        <c:crosses val="autoZero"/>
        <c:auto val="1"/>
        <c:lblAlgn val="ctr"/>
        <c:lblOffset val="100"/>
        <c:noMultiLvlLbl val="0"/>
      </c:catAx>
      <c:valAx>
        <c:axId val="400020992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864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119767171960651"/>
          <c:y val="0.90526962890700591"/>
          <c:w val="0.40792415233810059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133349</xdr:colOff>
      <xdr:row>23</xdr:row>
      <xdr:rowOff>57150</xdr:rowOff>
    </xdr:from>
    <xdr:to>
      <xdr:col>10</xdr:col>
      <xdr:colOff>19050</xdr:colOff>
      <xdr:row>43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37"/>
  <sheetViews>
    <sheetView tabSelected="1" zoomScaleNormal="100" workbookViewId="0">
      <selection activeCell="S43" sqref="S43"/>
    </sheetView>
  </sheetViews>
  <sheetFormatPr defaultColWidth="9.140625" defaultRowHeight="12"/>
  <cols>
    <col min="1" max="1" width="13.7109375" style="3" customWidth="1"/>
    <col min="2" max="11" width="13" style="3" customWidth="1"/>
    <col min="12" max="12" width="3" style="3" customWidth="1"/>
    <col min="13" max="16384" width="9.140625" style="3"/>
  </cols>
  <sheetData>
    <row r="1" spans="1:14" ht="14.25">
      <c r="A1" s="40" t="s">
        <v>39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4" s="22" customFormat="1" ht="12.75">
      <c r="A2" s="39" t="s">
        <v>38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23"/>
    </row>
    <row r="3" spans="1:14" ht="12.7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23"/>
    </row>
    <row r="4" spans="1:14" s="4" customFormat="1" ht="12.75">
      <c r="A4" s="41" t="s">
        <v>3</v>
      </c>
      <c r="B4" s="44">
        <v>2019</v>
      </c>
      <c r="C4" s="45"/>
      <c r="D4" s="45"/>
      <c r="E4" s="45"/>
      <c r="F4" s="45"/>
      <c r="G4" s="44">
        <v>2020</v>
      </c>
      <c r="H4" s="45"/>
      <c r="I4" s="45"/>
      <c r="J4" s="45"/>
      <c r="K4" s="45"/>
      <c r="L4" s="27"/>
    </row>
    <row r="5" spans="1:14" s="4" customFormat="1" ht="63.75" customHeight="1">
      <c r="A5" s="42"/>
      <c r="B5" s="5" t="s">
        <v>4</v>
      </c>
      <c r="C5" s="6" t="s">
        <v>5</v>
      </c>
      <c r="D5" s="6" t="s">
        <v>2</v>
      </c>
      <c r="E5" s="6" t="s">
        <v>6</v>
      </c>
      <c r="F5" s="6" t="s">
        <v>7</v>
      </c>
      <c r="G5" s="5" t="s">
        <v>4</v>
      </c>
      <c r="H5" s="6" t="s">
        <v>5</v>
      </c>
      <c r="I5" s="6" t="s">
        <v>2</v>
      </c>
      <c r="J5" s="6" t="s">
        <v>6</v>
      </c>
      <c r="K5" s="6" t="s">
        <v>7</v>
      </c>
      <c r="L5" s="27"/>
    </row>
    <row r="6" spans="1:14" s="4" customFormat="1" ht="51">
      <c r="A6" s="43"/>
      <c r="B6" s="36" t="s">
        <v>12</v>
      </c>
      <c r="C6" s="35" t="s">
        <v>8</v>
      </c>
      <c r="D6" s="35" t="s">
        <v>9</v>
      </c>
      <c r="E6" s="35" t="s">
        <v>10</v>
      </c>
      <c r="F6" s="28" t="s">
        <v>11</v>
      </c>
      <c r="G6" s="36" t="s">
        <v>12</v>
      </c>
      <c r="H6" s="35" t="s">
        <v>8</v>
      </c>
      <c r="I6" s="35" t="s">
        <v>9</v>
      </c>
      <c r="J6" s="35" t="s">
        <v>10</v>
      </c>
      <c r="K6" s="28" t="s">
        <v>11</v>
      </c>
      <c r="L6" s="27"/>
    </row>
    <row r="7" spans="1:14" s="4" customFormat="1" ht="18.75" customHeight="1">
      <c r="A7" s="7" t="s">
        <v>13</v>
      </c>
      <c r="B7" s="8">
        <f>AVERAGE(B8:B19)</f>
        <v>35016.083333333336</v>
      </c>
      <c r="C7" s="9">
        <f>AVERAGE(C8:C19)</f>
        <v>33439.75</v>
      </c>
      <c r="D7" s="10">
        <f>AVERAGE(D8:D19)</f>
        <v>95.49671311225535</v>
      </c>
      <c r="E7" s="10">
        <f>AVERAGE(E8:E19)</f>
        <v>74.139742717834707</v>
      </c>
      <c r="F7" s="29">
        <f>SUM(F8:F19)</f>
        <v>8997786.5859985687</v>
      </c>
      <c r="G7" s="8">
        <f>AVERAGE(G8:G19)</f>
        <v>37566.333333333336</v>
      </c>
      <c r="H7" s="9">
        <f>AVERAGE(H8:H19)</f>
        <v>21445.666666666668</v>
      </c>
      <c r="I7" s="10">
        <f>AVERAGE(I8:I19)</f>
        <v>57.094233269850641</v>
      </c>
      <c r="J7" s="10">
        <f>AVERAGE(J8:J19)</f>
        <v>28.978640707515321</v>
      </c>
      <c r="K7" s="29">
        <f>SUM(K8:K19)</f>
        <v>3357345.18568527</v>
      </c>
      <c r="L7" s="27"/>
    </row>
    <row r="8" spans="1:14" s="4" customFormat="1" ht="18.75" customHeight="1">
      <c r="A8" s="11" t="s">
        <v>14</v>
      </c>
      <c r="B8" s="12">
        <v>32213</v>
      </c>
      <c r="C8" s="2">
        <v>30938</v>
      </c>
      <c r="D8" s="13">
        <v>96.041970632974255</v>
      </c>
      <c r="E8" s="13">
        <v>84.87836412825412</v>
      </c>
      <c r="F8" s="30">
        <v>814049.71711397695</v>
      </c>
      <c r="G8" s="12">
        <v>37394</v>
      </c>
      <c r="H8" s="2">
        <v>36094</v>
      </c>
      <c r="I8" s="13">
        <v>96.523506444884205</v>
      </c>
      <c r="J8" s="13">
        <v>83.216709817367573</v>
      </c>
      <c r="K8" s="30">
        <v>931123.41648590018</v>
      </c>
      <c r="L8" s="27"/>
      <c r="M8" s="32"/>
      <c r="N8" s="32"/>
    </row>
    <row r="9" spans="1:14" s="4" customFormat="1" ht="18.75" customHeight="1">
      <c r="A9" s="11" t="s">
        <v>15</v>
      </c>
      <c r="B9" s="12">
        <v>32437</v>
      </c>
      <c r="C9" s="2">
        <v>31068</v>
      </c>
      <c r="D9" s="13">
        <v>95.779511052193484</v>
      </c>
      <c r="E9" s="13">
        <v>94.565352868379492</v>
      </c>
      <c r="F9" s="30">
        <v>822627.78721614799</v>
      </c>
      <c r="G9" s="12">
        <v>37522</v>
      </c>
      <c r="H9" s="2">
        <v>36222</v>
      </c>
      <c r="I9" s="13">
        <v>96.535365918661057</v>
      </c>
      <c r="J9" s="13">
        <v>79.284757759816344</v>
      </c>
      <c r="K9" s="30">
        <v>832837.22371705959</v>
      </c>
      <c r="L9" s="27"/>
      <c r="M9" s="32"/>
      <c r="N9" s="32"/>
    </row>
    <row r="10" spans="1:14" s="4" customFormat="1" ht="18.75" customHeight="1">
      <c r="A10" s="11" t="s">
        <v>16</v>
      </c>
      <c r="B10" s="12">
        <v>33355</v>
      </c>
      <c r="C10" s="2">
        <v>31488</v>
      </c>
      <c r="D10" s="13">
        <v>94.402638285114676</v>
      </c>
      <c r="E10" s="13">
        <v>83.700140940474171</v>
      </c>
      <c r="F10" s="30">
        <v>817020.51175943168</v>
      </c>
      <c r="G10" s="12">
        <v>37522</v>
      </c>
      <c r="H10" s="2">
        <v>36222</v>
      </c>
      <c r="I10" s="13">
        <v>96.535365918661057</v>
      </c>
      <c r="J10" s="13">
        <v>41.80475367158656</v>
      </c>
      <c r="K10" s="30">
        <v>469418.05412258458</v>
      </c>
      <c r="L10" s="27"/>
      <c r="M10" s="32"/>
      <c r="N10" s="32"/>
    </row>
    <row r="11" spans="1:14" s="4" customFormat="1" ht="18.75" customHeight="1">
      <c r="A11" s="11" t="s">
        <v>17</v>
      </c>
      <c r="B11" s="12">
        <v>33509</v>
      </c>
      <c r="C11" s="2">
        <v>32118</v>
      </c>
      <c r="D11" s="13">
        <v>95.848876421259959</v>
      </c>
      <c r="E11" s="13">
        <v>84.445085006330274</v>
      </c>
      <c r="F11" s="30">
        <v>813662.17206999462</v>
      </c>
      <c r="G11" s="12">
        <v>37522</v>
      </c>
      <c r="H11" s="2">
        <v>7064</v>
      </c>
      <c r="I11" s="13">
        <v>18.826288577367944</v>
      </c>
      <c r="J11" s="13">
        <v>3.8354191497814853</v>
      </c>
      <c r="K11" s="30">
        <v>8128.0202622169245</v>
      </c>
      <c r="L11" s="27"/>
      <c r="M11" s="32"/>
      <c r="N11" s="32"/>
    </row>
    <row r="12" spans="1:14" s="4" customFormat="1" ht="18.75" customHeight="1">
      <c r="A12" s="11" t="s">
        <v>18</v>
      </c>
      <c r="B12" s="12">
        <v>34735</v>
      </c>
      <c r="C12" s="2">
        <v>33352</v>
      </c>
      <c r="D12" s="13">
        <v>96.018425219519216</v>
      </c>
      <c r="E12" s="13">
        <v>59.108570754232495</v>
      </c>
      <c r="F12" s="30">
        <v>611130.60605650023</v>
      </c>
      <c r="G12" s="12">
        <v>37522</v>
      </c>
      <c r="H12" s="2">
        <v>2904</v>
      </c>
      <c r="I12" s="13">
        <v>7.7394595170833105</v>
      </c>
      <c r="J12" s="13">
        <v>5.1859739128330471</v>
      </c>
      <c r="K12" s="30">
        <v>4668.6211552888226</v>
      </c>
      <c r="L12" s="27"/>
      <c r="M12" s="32"/>
      <c r="N12" s="32"/>
    </row>
    <row r="13" spans="1:14" s="4" customFormat="1" ht="18.75" customHeight="1">
      <c r="A13" s="11" t="s">
        <v>19</v>
      </c>
      <c r="B13" s="12">
        <v>34953</v>
      </c>
      <c r="C13" s="2">
        <v>33581</v>
      </c>
      <c r="D13" s="13">
        <v>96.074728921694856</v>
      </c>
      <c r="E13" s="13">
        <v>62.184862692565304</v>
      </c>
      <c r="F13" s="30">
        <v>626468.96222371061</v>
      </c>
      <c r="G13" s="12">
        <v>37522</v>
      </c>
      <c r="H13" s="2">
        <v>3004</v>
      </c>
      <c r="I13" s="13">
        <v>8.005969831032461</v>
      </c>
      <c r="J13" s="13">
        <v>2.5042178838274287</v>
      </c>
      <c r="K13" s="30">
        <v>2256.8011569052783</v>
      </c>
      <c r="L13" s="27"/>
      <c r="M13" s="32"/>
      <c r="N13" s="32"/>
    </row>
    <row r="14" spans="1:14" s="4" customFormat="1" ht="18.75" customHeight="1">
      <c r="A14" s="11" t="s">
        <v>20</v>
      </c>
      <c r="B14" s="12">
        <v>35195</v>
      </c>
      <c r="C14" s="2">
        <v>33302</v>
      </c>
      <c r="D14" s="13">
        <v>94.621395084529041</v>
      </c>
      <c r="E14" s="13">
        <v>65.926352476993259</v>
      </c>
      <c r="F14" s="30">
        <v>680598.61095853709</v>
      </c>
      <c r="G14" s="12">
        <v>37522</v>
      </c>
      <c r="H14" s="2">
        <v>9180</v>
      </c>
      <c r="I14" s="13">
        <v>24.465646820531955</v>
      </c>
      <c r="J14" s="13">
        <v>8.466309880362024</v>
      </c>
      <c r="K14" s="30">
        <v>24093.424657534248</v>
      </c>
      <c r="L14" s="27"/>
      <c r="M14" s="32"/>
      <c r="N14" s="32"/>
    </row>
    <row r="15" spans="1:14" s="4" customFormat="1" ht="18.75" customHeight="1">
      <c r="A15" s="11" t="s">
        <v>21</v>
      </c>
      <c r="B15" s="12">
        <v>35931</v>
      </c>
      <c r="C15" s="2">
        <v>33422</v>
      </c>
      <c r="D15" s="13">
        <v>93.017171801508454</v>
      </c>
      <c r="E15" s="13">
        <v>74.983346656008536</v>
      </c>
      <c r="F15" s="30">
        <v>776888.95770050632</v>
      </c>
      <c r="G15" s="12">
        <v>37614</v>
      </c>
      <c r="H15" s="2">
        <v>16222</v>
      </c>
      <c r="I15" s="13">
        <v>43.127558887648213</v>
      </c>
      <c r="J15" s="13">
        <v>12.458847142403327</v>
      </c>
      <c r="K15" s="30">
        <v>62653.299686660699</v>
      </c>
      <c r="L15" s="27"/>
      <c r="M15" s="32"/>
      <c r="N15" s="32"/>
    </row>
    <row r="16" spans="1:14" s="4" customFormat="1" ht="18.75" customHeight="1">
      <c r="A16" s="11" t="s">
        <v>22</v>
      </c>
      <c r="B16" s="12">
        <v>36887</v>
      </c>
      <c r="C16" s="2">
        <v>35427</v>
      </c>
      <c r="D16" s="13">
        <v>96.041966004283353</v>
      </c>
      <c r="E16" s="13">
        <v>56.707958204639539</v>
      </c>
      <c r="F16" s="30">
        <v>602697.85059472953</v>
      </c>
      <c r="G16" s="12">
        <v>37622</v>
      </c>
      <c r="H16" s="2">
        <v>20922</v>
      </c>
      <c r="I16" s="13">
        <v>55.611078624209242</v>
      </c>
      <c r="J16" s="13">
        <v>10.30312823164426</v>
      </c>
      <c r="K16" s="30">
        <v>64668.614658738363</v>
      </c>
      <c r="L16" s="27"/>
      <c r="M16" s="32"/>
      <c r="N16" s="32"/>
    </row>
    <row r="17" spans="1:46" s="4" customFormat="1" ht="18.75" customHeight="1">
      <c r="A17" s="11" t="s">
        <v>23</v>
      </c>
      <c r="B17" s="12">
        <v>36987</v>
      </c>
      <c r="C17" s="2">
        <v>35527</v>
      </c>
      <c r="D17" s="13">
        <v>96.052667153324151</v>
      </c>
      <c r="E17" s="13">
        <v>72.48289676021389</v>
      </c>
      <c r="F17" s="30">
        <v>798280.96069203678</v>
      </c>
      <c r="G17" s="12">
        <v>37900</v>
      </c>
      <c r="H17" s="2">
        <v>26580</v>
      </c>
      <c r="I17" s="13">
        <v>70.131926121372032</v>
      </c>
      <c r="J17" s="13">
        <v>18.153538893723479</v>
      </c>
      <c r="K17" s="30">
        <v>149581.52977650272</v>
      </c>
      <c r="L17" s="27"/>
      <c r="M17" s="32"/>
      <c r="N17" s="32"/>
    </row>
    <row r="18" spans="1:46" s="4" customFormat="1" ht="18.75" customHeight="1">
      <c r="A18" s="14" t="s">
        <v>24</v>
      </c>
      <c r="B18" s="12">
        <v>36987</v>
      </c>
      <c r="C18" s="2">
        <v>35527</v>
      </c>
      <c r="D18" s="13">
        <v>96.052667153324151</v>
      </c>
      <c r="E18" s="13">
        <v>71.180038599393441</v>
      </c>
      <c r="F18" s="30">
        <v>758643.96939619526</v>
      </c>
      <c r="G18" s="12">
        <v>38000</v>
      </c>
      <c r="H18" s="2">
        <v>30136</v>
      </c>
      <c r="I18" s="13">
        <v>79.305263157894728</v>
      </c>
      <c r="J18" s="13">
        <v>27.692678942678938</v>
      </c>
      <c r="K18" s="30">
        <v>250363.97178497177</v>
      </c>
      <c r="L18" s="27"/>
      <c r="M18" s="32"/>
      <c r="N18" s="32"/>
    </row>
    <row r="19" spans="1:46" s="4" customFormat="1" ht="18.75" customHeight="1">
      <c r="A19" s="15" t="s">
        <v>25</v>
      </c>
      <c r="B19" s="16">
        <v>37004</v>
      </c>
      <c r="C19" s="17">
        <v>35527</v>
      </c>
      <c r="D19" s="18">
        <v>96.008539617338656</v>
      </c>
      <c r="E19" s="18">
        <v>79.513943526532032</v>
      </c>
      <c r="F19" s="31">
        <v>875716.48021680221</v>
      </c>
      <c r="G19" s="16">
        <v>37134</v>
      </c>
      <c r="H19" s="17">
        <v>32798</v>
      </c>
      <c r="I19" s="18">
        <v>88.323369418861418</v>
      </c>
      <c r="J19" s="18">
        <v>54.837353204159399</v>
      </c>
      <c r="K19" s="31">
        <v>557552.20822090621</v>
      </c>
      <c r="L19" s="27"/>
      <c r="M19" s="32"/>
      <c r="N19" s="32"/>
    </row>
    <row r="20" spans="1:46" ht="15" customHeight="1">
      <c r="A20" s="1" t="s">
        <v>0</v>
      </c>
      <c r="B20" s="24"/>
      <c r="C20" s="27"/>
      <c r="D20" s="27"/>
      <c r="E20" s="27"/>
      <c r="F20" s="33"/>
      <c r="G20" s="24"/>
      <c r="H20" s="27"/>
      <c r="I20" s="27"/>
      <c r="J20" s="27"/>
      <c r="K20" s="33" t="s">
        <v>1</v>
      </c>
      <c r="L20" s="27"/>
      <c r="AS20" s="19" t="s">
        <v>12</v>
      </c>
      <c r="AT20" s="19" t="s">
        <v>26</v>
      </c>
    </row>
    <row r="21" spans="1:46" ht="12.75">
      <c r="A21" s="37" t="s">
        <v>40</v>
      </c>
      <c r="L21" s="27"/>
      <c r="AR21" s="20" t="s">
        <v>27</v>
      </c>
      <c r="AS21" s="12">
        <f>G8</f>
        <v>37394</v>
      </c>
      <c r="AT21" s="12">
        <f>H8</f>
        <v>36094</v>
      </c>
    </row>
    <row r="22" spans="1:46" ht="12.75">
      <c r="A22" s="38" t="s">
        <v>41</v>
      </c>
      <c r="B22" s="24"/>
      <c r="C22" s="27"/>
      <c r="D22" s="27"/>
      <c r="E22" s="27"/>
      <c r="F22" s="27"/>
      <c r="G22" s="24"/>
      <c r="H22" s="27"/>
      <c r="I22" s="27"/>
      <c r="J22" s="27"/>
      <c r="K22" s="27"/>
      <c r="L22" s="27"/>
      <c r="AR22" s="20" t="s">
        <v>28</v>
      </c>
      <c r="AS22" s="12">
        <f>G9</f>
        <v>37522</v>
      </c>
      <c r="AT22" s="12">
        <f>H9</f>
        <v>36222</v>
      </c>
    </row>
    <row r="23" spans="1:46" ht="12.75">
      <c r="A23" s="21"/>
      <c r="B23" s="24"/>
      <c r="C23" s="27"/>
      <c r="D23" s="27"/>
      <c r="E23" s="27"/>
      <c r="F23" s="27"/>
      <c r="G23" s="24"/>
      <c r="H23" s="27"/>
      <c r="I23" s="27"/>
      <c r="J23" s="27"/>
      <c r="K23" s="27"/>
      <c r="L23" s="27"/>
      <c r="AR23" s="20" t="s">
        <v>29</v>
      </c>
      <c r="AS23" s="12">
        <f>G10</f>
        <v>37522</v>
      </c>
      <c r="AT23" s="12">
        <f>H10</f>
        <v>36222</v>
      </c>
    </row>
    <row r="24" spans="1:46" ht="12.75">
      <c r="A24" s="21"/>
      <c r="B24" s="24"/>
      <c r="C24" s="27"/>
      <c r="D24" s="27"/>
      <c r="E24" s="27"/>
      <c r="F24" s="27"/>
      <c r="G24" s="24"/>
      <c r="H24" s="27"/>
      <c r="I24" s="27"/>
      <c r="J24" s="27"/>
      <c r="K24" s="27"/>
      <c r="L24" s="27"/>
      <c r="AR24" s="20" t="s">
        <v>30</v>
      </c>
      <c r="AS24" s="12">
        <f>G11</f>
        <v>37522</v>
      </c>
      <c r="AT24" s="12">
        <f>H11</f>
        <v>7064</v>
      </c>
    </row>
    <row r="25" spans="1:46" ht="12.75">
      <c r="A25" s="21"/>
      <c r="B25" s="24"/>
      <c r="C25" s="27"/>
      <c r="D25" s="27"/>
      <c r="E25" s="27"/>
      <c r="F25" s="27"/>
      <c r="G25" s="24"/>
      <c r="H25" s="27"/>
      <c r="I25" s="27"/>
      <c r="J25" s="27"/>
      <c r="K25" s="27"/>
      <c r="L25" s="27"/>
      <c r="AR25" s="20" t="s">
        <v>18</v>
      </c>
      <c r="AS25" s="12">
        <f>G12</f>
        <v>37522</v>
      </c>
      <c r="AT25" s="12">
        <f>H12</f>
        <v>2904</v>
      </c>
    </row>
    <row r="26" spans="1:46" ht="12.75">
      <c r="A26" s="21"/>
      <c r="B26" s="26"/>
      <c r="C26" s="25"/>
      <c r="D26" s="25"/>
      <c r="E26" s="25"/>
      <c r="F26" s="25"/>
      <c r="G26" s="26"/>
      <c r="H26" s="25"/>
      <c r="I26" s="25"/>
      <c r="J26" s="25"/>
      <c r="K26" s="25"/>
      <c r="L26" s="25"/>
      <c r="AR26" s="20" t="s">
        <v>31</v>
      </c>
      <c r="AS26" s="12">
        <f>G13</f>
        <v>37522</v>
      </c>
      <c r="AT26" s="12">
        <f>H13</f>
        <v>3004</v>
      </c>
    </row>
    <row r="27" spans="1:46" ht="12.75">
      <c r="A27" s="21"/>
      <c r="B27" s="24"/>
      <c r="C27" s="25"/>
      <c r="D27" s="25"/>
      <c r="E27" s="25"/>
      <c r="F27" s="25"/>
      <c r="G27" s="24"/>
      <c r="H27" s="25"/>
      <c r="I27" s="25"/>
      <c r="J27" s="25"/>
      <c r="K27" s="25"/>
      <c r="L27" s="25"/>
      <c r="AR27" s="20" t="s">
        <v>32</v>
      </c>
      <c r="AS27" s="12">
        <f>G14</f>
        <v>37522</v>
      </c>
      <c r="AT27" s="12">
        <f>H14</f>
        <v>9180</v>
      </c>
    </row>
    <row r="28" spans="1:46" ht="12.75">
      <c r="A28" s="21"/>
      <c r="B28" s="24"/>
      <c r="C28" s="25"/>
      <c r="D28" s="25"/>
      <c r="E28" s="25"/>
      <c r="F28" s="25"/>
      <c r="G28" s="24"/>
      <c r="H28" s="25"/>
      <c r="I28" s="25"/>
      <c r="J28" s="25"/>
      <c r="K28" s="25"/>
      <c r="L28" s="25"/>
      <c r="AR28" s="20" t="s">
        <v>33</v>
      </c>
      <c r="AS28" s="12">
        <f>G15</f>
        <v>37614</v>
      </c>
      <c r="AT28" s="12">
        <f>H15</f>
        <v>16222</v>
      </c>
    </row>
    <row r="29" spans="1:46" ht="12.75">
      <c r="A29" s="21"/>
      <c r="B29" s="24"/>
      <c r="C29" s="25"/>
      <c r="D29" s="25"/>
      <c r="E29" s="25"/>
      <c r="F29" s="25"/>
      <c r="G29" s="24"/>
      <c r="H29" s="25"/>
      <c r="I29" s="25"/>
      <c r="J29" s="25"/>
      <c r="K29" s="25"/>
      <c r="L29" s="25"/>
      <c r="AR29" s="20" t="s">
        <v>34</v>
      </c>
      <c r="AS29" s="12">
        <f>G16</f>
        <v>37622</v>
      </c>
      <c r="AT29" s="12">
        <f>H16</f>
        <v>20922</v>
      </c>
    </row>
    <row r="30" spans="1:46" ht="12.75">
      <c r="A30" s="21"/>
      <c r="B30" s="24"/>
      <c r="C30" s="25"/>
      <c r="D30" s="25"/>
      <c r="E30" s="25"/>
      <c r="F30" s="25"/>
      <c r="G30" s="24"/>
      <c r="H30" s="25"/>
      <c r="I30" s="25"/>
      <c r="J30" s="25"/>
      <c r="K30" s="25"/>
      <c r="L30" s="25"/>
      <c r="AR30" s="20" t="s">
        <v>35</v>
      </c>
      <c r="AS30" s="12">
        <f>G17</f>
        <v>37900</v>
      </c>
      <c r="AT30" s="12">
        <f>H17</f>
        <v>26580</v>
      </c>
    </row>
    <row r="31" spans="1:46" ht="12.75">
      <c r="A31" s="21"/>
      <c r="B31" s="24"/>
      <c r="C31" s="25"/>
      <c r="D31" s="25"/>
      <c r="E31" s="25"/>
      <c r="F31" s="25"/>
      <c r="G31" s="24"/>
      <c r="H31" s="25"/>
      <c r="I31" s="25"/>
      <c r="J31" s="25"/>
      <c r="K31" s="25"/>
      <c r="L31" s="25"/>
      <c r="AR31" s="20" t="s">
        <v>36</v>
      </c>
      <c r="AS31" s="12">
        <f>G18</f>
        <v>38000</v>
      </c>
      <c r="AT31" s="12">
        <f>H18</f>
        <v>30136</v>
      </c>
    </row>
    <row r="32" spans="1:46" ht="12.75">
      <c r="A32" s="21"/>
      <c r="B32" s="24"/>
      <c r="C32" s="25"/>
      <c r="D32" s="25"/>
      <c r="E32" s="25"/>
      <c r="F32" s="25"/>
      <c r="G32" s="24"/>
      <c r="H32" s="25"/>
      <c r="I32" s="25"/>
      <c r="J32" s="25"/>
      <c r="K32" s="25"/>
      <c r="L32" s="25"/>
      <c r="AR32" s="20" t="s">
        <v>37</v>
      </c>
      <c r="AS32" s="12">
        <f>G19</f>
        <v>37134</v>
      </c>
      <c r="AT32" s="12">
        <f>H19</f>
        <v>32798</v>
      </c>
    </row>
    <row r="33" spans="1:12" ht="12.75">
      <c r="A33" s="21"/>
      <c r="B33" s="24"/>
      <c r="C33" s="25"/>
      <c r="D33" s="25"/>
      <c r="E33" s="25"/>
      <c r="F33" s="25"/>
      <c r="G33" s="24"/>
      <c r="H33" s="25"/>
      <c r="I33" s="25"/>
      <c r="J33" s="25"/>
      <c r="K33" s="25"/>
      <c r="L33" s="25"/>
    </row>
    <row r="34" spans="1:12" ht="12.75">
      <c r="A34" s="21"/>
      <c r="B34" s="24"/>
      <c r="C34" s="25"/>
      <c r="D34" s="25"/>
      <c r="E34" s="25"/>
      <c r="F34" s="25"/>
      <c r="G34" s="24"/>
      <c r="H34" s="25"/>
      <c r="I34" s="25"/>
      <c r="J34" s="25"/>
      <c r="K34" s="25"/>
      <c r="L34" s="25"/>
    </row>
    <row r="35" spans="1:12" ht="12.75">
      <c r="B35" s="24"/>
      <c r="C35" s="25"/>
      <c r="D35" s="25"/>
      <c r="E35" s="25"/>
      <c r="F35" s="25"/>
      <c r="G35" s="24"/>
      <c r="H35" s="25"/>
      <c r="I35" s="25"/>
      <c r="J35" s="25"/>
      <c r="K35" s="25"/>
      <c r="L35" s="25"/>
    </row>
    <row r="36" spans="1:12" ht="12.75">
      <c r="B36" s="24"/>
      <c r="C36" s="25"/>
      <c r="D36" s="25"/>
      <c r="E36" s="25"/>
      <c r="F36" s="25"/>
      <c r="G36" s="24"/>
      <c r="H36" s="25"/>
      <c r="I36" s="25"/>
      <c r="J36" s="25"/>
      <c r="K36" s="25"/>
      <c r="L36" s="25"/>
    </row>
    <row r="37" spans="1:12" ht="12.75">
      <c r="B37" s="24"/>
      <c r="C37" s="25"/>
      <c r="D37" s="25"/>
      <c r="E37" s="25"/>
      <c r="F37" s="25"/>
      <c r="G37" s="24"/>
      <c r="H37" s="25"/>
      <c r="I37" s="25"/>
      <c r="J37" s="25"/>
      <c r="K37" s="25"/>
      <c r="L37" s="25"/>
    </row>
  </sheetData>
  <mergeCells count="5">
    <mergeCell ref="G4:K4"/>
    <mergeCell ref="A2:K2"/>
    <mergeCell ref="A1:K1"/>
    <mergeCell ref="B4:F4"/>
    <mergeCell ref="A4:A6"/>
  </mergeCells>
  <pageMargins left="0.7" right="0.7" top="0.75" bottom="0.75" header="0.3" footer="0.3"/>
  <pageSetup paperSize="9" scale="67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10.4</vt:lpstr>
      <vt:lpstr>'10.4'!Print_Area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2021-07-12T05:46:20Z</cp:lastPrinted>
  <dcterms:created xsi:type="dcterms:W3CDTF">2019-02-27T06:18:18Z</dcterms:created>
  <dcterms:modified xsi:type="dcterms:W3CDTF">2021-07-12T05:46:33Z</dcterms:modified>
</cp:coreProperties>
</file>