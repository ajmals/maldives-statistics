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21" sheetId="20" r:id="rId1"/>
  </sheets>
  <externalReferences>
    <externalReference r:id="rId2"/>
  </externalReferences>
  <definedNames>
    <definedName name="_xlnm.Print_Area" localSheetId="0">'18.21'!$A$1:$J$41</definedName>
  </definedNames>
  <calcPr calcId="162913"/>
</workbook>
</file>

<file path=xl/calcChain.xml><?xml version="1.0" encoding="utf-8"?>
<calcChain xmlns="http://schemas.openxmlformats.org/spreadsheetml/2006/main">
  <c r="B9" i="20" l="1"/>
  <c r="AB15" i="20" s="1"/>
  <c r="B8" i="20"/>
  <c r="AB14" i="20" s="1"/>
  <c r="B7" i="20"/>
  <c r="AB13" i="20" s="1"/>
  <c r="H6" i="20"/>
  <c r="G6" i="20"/>
  <c r="F6" i="20"/>
  <c r="E6" i="20"/>
  <c r="D6" i="20"/>
  <c r="C6" i="20"/>
  <c r="B6" i="20" l="1"/>
  <c r="AB12" i="20" s="1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<sst xmlns="http://schemas.openxmlformats.org/spreadsheetml/2006/main" count="36" uniqueCount="32">
  <si>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</si>
  <si>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</si>
  <si>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</si>
  <si>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</si>
  <si>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</si>
  <si>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</si>
  <si>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</si>
  <si>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</si>
  <si>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Overseas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</si>
  <si>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</si>
  <si>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</si>
  <si>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</si>
  <si>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</si>
  <si>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</si>
  <si>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</si>
  <si>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</si>
  <si>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</si>
  <si>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</si>
  <si>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</si>
  <si>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</si>
  <si>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</si>
  <si>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</si>
  <si>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</si>
  <si>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</si>
  <si>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</si>
  <si>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</si>
  <si>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</si>
  <si>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</si>
  <si>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Airfare includes expenditure for overseas airfare tickets, and local emergency evacuation tickets</t>
  </si>
  <si>
    <t>Emergency evacuation includes Launch transfers and sea plane transfers</t>
  </si>
  <si>
    <t>Table 18.21 :  EXPENDITURE ON AASANDHA SERVICES BY TYPE OF INSTITUTION ,  2020</t>
  </si>
  <si>
    <t>ތާވަލް 18.21: އިޖްތިމާއީ ރައްކާތެރިކަމުގެ ދަށުން ދެވޭ ޙިދުމަތްތައް ފޯރުކޮށްދޭ ތަންތަނަށް ކުރެވިފައިވާ ޚަރަދު،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</si>
</sst>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6" formatCode="General_)"/>
    <numFmt numFmtId="167" formatCode="_-* #,##0.00_-;\-* #,##0.00_-;_-* &quot;-&quot;??_-;_-@_-"/>
    <numFmt numFmtId="168" formatCode="_-* #,##0_-;\-* #,##0_-;_-* &quot;-&quot;??_-;_-@_-"/>
  </numFmts>
  <fonts count="2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7">
    <xf numFmtId="0" fontId="0" fillId="0" borderId="0"/>
    <xf numFmtId="0" fontId="4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3" fillId="0" borderId="1"/>
    <xf numFmtId="0" fontId="24" fillId="0" borderId="1" applyFill="0" applyProtection="0"/>
    <xf numFmtId="0" fontId="25" fillId="0" borderId="1"/>
    <xf numFmtId="0" fontId="25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68">
    <xf numFmtId="0" fontId="0" fillId="0" borderId="0" xfId="0" applyFont="1" applyAlignment="1"/>
    <xf numFmtId="0" fontId="0" fillId="2" borderId="0" xfId="0" applyFill="1"/>
    <xf numFmtId="166" fontId="15" fillId="2" borderId="1" xfId="2" applyNumberFormat="1" applyFont="1" applyFill="1" applyBorder="1" applyAlignment="1" applyProtection="1">
      <alignment horizontal="left" vertical="center"/>
    </xf>
    <xf numFmtId="166" fontId="16" fillId="2" borderId="1" xfId="4" applyNumberFormat="1" applyFont="1" applyFill="1" applyAlignment="1">
      <alignment horizontal="right" vertical="center"/>
    </xf>
    <xf numFmtId="0" fontId="0" fillId="2" borderId="1" xfId="0" applyFill="1" applyBorder="1"/>
    <xf numFmtId="166" fontId="16" fillId="2" borderId="1" xfId="4" applyNumberFormat="1" applyFont="1" applyFill="1" applyBorder="1" applyAlignment="1">
      <alignment horizontal="right" vertical="center"/>
    </xf>
    <xf numFmtId="166" fontId="9" fillId="2" borderId="1" xfId="2" applyNumberFormat="1" applyFont="1" applyFill="1" applyBorder="1" applyAlignment="1">
      <alignment horizontal="right" vertical="center" wrapText="1"/>
    </xf>
    <xf numFmtId="0" fontId="0" fillId="2" borderId="0" xfId="0" applyFont="1" applyFill="1" applyAlignment="1">
      <alignment vertical="center"/>
    </xf>
    <xf numFmtId="167" fontId="3" fillId="2" borderId="4" xfId="6" applyNumberFormat="1" applyFont="1" applyFill="1" applyBorder="1" applyAlignment="1">
      <alignment horizontal="right" vertical="center" wrapText="1"/>
    </xf>
    <xf numFmtId="166" fontId="13" fillId="2" borderId="4" xfId="2" applyNumberFormat="1" applyFont="1" applyFill="1" applyBorder="1" applyAlignment="1">
      <alignment horizontal="right" vertical="center" wrapText="1"/>
    </xf>
    <xf numFmtId="167" fontId="3" fillId="2" borderId="4" xfId="6" applyNumberFormat="1" applyFont="1" applyFill="1" applyBorder="1" applyAlignment="1">
      <alignment horizontal="right" vertical="center"/>
    </xf>
    <xf numFmtId="167" fontId="11" fillId="2" borderId="4" xfId="6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6" fontId="9" fillId="2" borderId="2" xfId="2" applyNumberFormat="1" applyFont="1" applyFill="1" applyBorder="1" applyAlignment="1">
      <alignment horizontal="right" vertical="center" wrapText="1"/>
    </xf>
    <xf numFmtId="166" fontId="22" fillId="2" borderId="2" xfId="2" applyNumberFormat="1" applyFont="1" applyFill="1" applyBorder="1" applyAlignment="1">
      <alignment horizontal="right" vertical="center" wrapText="1"/>
    </xf>
    <xf numFmtId="168" fontId="18" fillId="2" borderId="0" xfId="0" applyNumberFormat="1" applyFont="1" applyFill="1" applyAlignment="1">
      <alignment horizontal="left" vertical="center"/>
    </xf>
    <xf numFmtId="164" fontId="11" fillId="2" borderId="1" xfId="6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8" fontId="12" fillId="2" borderId="1" xfId="6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11" fillId="2" borderId="1" xfId="6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68" fontId="12" fillId="2" borderId="2" xfId="6" applyNumberFormat="1" applyFont="1" applyFill="1" applyBorder="1" applyAlignment="1">
      <alignment vertical="center"/>
    </xf>
    <xf numFmtId="164" fontId="11" fillId="2" borderId="2" xfId="6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14" fillId="2" borderId="0" xfId="0" applyNumberFormat="1" applyFont="1" applyFill="1"/>
    <xf numFmtId="3" fontId="19" fillId="2" borderId="1" xfId="1" applyNumberFormat="1" applyFont="1" applyFill="1" applyBorder="1" applyAlignment="1">
      <alignment vertical="center"/>
    </xf>
    <xf numFmtId="164" fontId="20" fillId="2" borderId="1" xfId="6" applyNumberFormat="1" applyFont="1" applyFill="1" applyBorder="1" applyAlignment="1">
      <alignment horizontal="center" vertical="center"/>
    </xf>
    <xf numFmtId="4" fontId="20" fillId="2" borderId="1" xfId="6" applyNumberFormat="1" applyFont="1" applyFill="1" applyBorder="1" applyAlignment="1">
      <alignment horizontal="center" vertical="center"/>
    </xf>
    <xf numFmtId="164" fontId="20" fillId="2" borderId="1" xfId="6" applyNumberFormat="1" applyFont="1" applyFill="1" applyBorder="1" applyAlignment="1">
      <alignment horizontal="right" vertical="center"/>
    </xf>
    <xf numFmtId="164" fontId="0" fillId="2" borderId="0" xfId="0" applyNumberFormat="1" applyFont="1" applyFill="1" applyAlignment="1">
      <alignment vertical="center"/>
    </xf>
    <xf numFmtId="167" fontId="3" fillId="2" borderId="1" xfId="6" applyNumberFormat="1" applyFont="1" applyFill="1" applyBorder="1" applyAlignment="1">
      <alignment horizontal="right" vertical="center" wrapText="1"/>
    </xf>
    <xf numFmtId="166" fontId="13" fillId="2" borderId="1" xfId="2" applyNumberFormat="1" applyFont="1" applyFill="1" applyBorder="1" applyAlignment="1">
      <alignment horizontal="right" vertical="center" wrapText="1"/>
    </xf>
    <xf numFmtId="167" fontId="3" fillId="2" borderId="1" xfId="6" applyNumberFormat="1" applyFont="1" applyFill="1" applyBorder="1" applyAlignment="1">
      <alignment horizontal="right" vertical="center"/>
    </xf>
    <xf numFmtId="167" fontId="11" fillId="2" borderId="1" xfId="6" applyNumberFormat="1" applyFont="1" applyFill="1" applyBorder="1" applyAlignment="1">
      <alignment horizontal="right" vertical="center" wrapText="1"/>
    </xf>
    <xf numFmtId="166" fontId="22" fillId="2" borderId="1" xfId="2" applyNumberFormat="1" applyFont="1" applyFill="1" applyBorder="1" applyAlignment="1">
      <alignment horizontal="right" vertical="center" wrapText="1"/>
    </xf>
    <xf numFmtId="168" fontId="18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64" fontId="17" fillId="2" borderId="1" xfId="6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/>
    <xf numFmtId="3" fontId="5" fillId="2" borderId="1" xfId="1" applyNumberFormat="1" applyFont="1" applyFill="1" applyBorder="1" applyAlignment="1">
      <alignment vertical="center" readingOrder="2"/>
    </xf>
    <xf numFmtId="3" fontId="6" fillId="2" borderId="1" xfId="1" applyNumberFormat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64" fontId="17" fillId="2" borderId="1" xfId="6" applyNumberFormat="1" applyFont="1" applyFill="1" applyAlignment="1">
      <alignment horizontal="right" vertical="center"/>
    </xf>
    <xf numFmtId="164" fontId="17" fillId="2" borderId="2" xfId="6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1" fontId="14" fillId="2" borderId="1" xfId="0" applyNumberFormat="1" applyFont="1" applyFill="1" applyBorder="1" applyAlignment="1">
      <alignment horizontal="left" vertical="center"/>
    </xf>
    <xf numFmtId="166" fontId="13" fillId="2" borderId="1" xfId="2" applyNumberFormat="1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4" fillId="2" borderId="1" xfId="0" applyNumberFormat="1" applyFont="1" applyFill="1" applyBorder="1" applyAlignment="1">
      <alignment vertical="center"/>
    </xf>
    <xf numFmtId="3" fontId="5" fillId="2" borderId="1" xfId="1" applyNumberFormat="1" applyFont="1" applyFill="1" applyAlignment="1">
      <alignment horizontal="center" vertical="center" readingOrder="2"/>
    </xf>
    <xf numFmtId="3" fontId="6" fillId="2" borderId="1" xfId="1" applyNumberFormat="1" applyFont="1" applyFill="1" applyBorder="1" applyAlignment="1" applyProtection="1">
      <alignment horizontal="center" vertical="center"/>
    </xf>
    <xf numFmtId="3" fontId="5" fillId="2" borderId="1" xfId="1" applyNumberFormat="1" applyFont="1" applyFill="1" applyBorder="1" applyAlignment="1">
      <alignment horizontal="center" vertical="center" readingOrder="2"/>
    </xf>
    <xf numFmtId="166" fontId="13" fillId="2" borderId="1" xfId="2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right" vertical="center"/>
    </xf>
    <xf numFmtId="166" fontId="13" fillId="2" borderId="3" xfId="2" applyNumberFormat="1" applyFont="1" applyFill="1" applyBorder="1" applyAlignment="1">
      <alignment horizontal="left" vertical="center" wrapText="1"/>
    </xf>
    <xf numFmtId="166" fontId="13" fillId="2" borderId="2" xfId="2" applyNumberFormat="1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vertical="center"/>
    </xf>
  </cellXfs>
  <cellStyles count="17">
    <cellStyle name="Comma 23" xfId="7"/>
    <cellStyle name="Comma 3" xfId="6"/>
    <cellStyle name="Normal" xfId="0" builtinId="0"/>
    <cellStyle name="Normal 10" xfId="12"/>
    <cellStyle name="Normal 12" xfId="5"/>
    <cellStyle name="Normal 2" xfId="2"/>
    <cellStyle name="Normal 25" xfId="16"/>
    <cellStyle name="Normal 3" xfId="9"/>
    <cellStyle name="Normal 3 2" xfId="3"/>
    <cellStyle name="Normal 30" xfId="11"/>
    <cellStyle name="Normal 4" xfId="10"/>
    <cellStyle name="Normal 54" xfId="13"/>
    <cellStyle name="Normal 58" xfId="15"/>
    <cellStyle name="Normal 59" xfId="14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9B7-4E85-8E25-F94B51C570B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9B7-4E85-8E25-F94B51C570B2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9B7-4E85-8E25-F94B51C570B2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B7-4E85-8E25-F94B51C570B2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B7-4E85-8E25-F94B51C570B2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9B7-4E85-8E25-F94B51C570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'18.21'!$A$7:$A$9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'18.21'!$B$7:$B$9</c:f>
              <c:numCache>
                <c:formatCode>_(* #,##0_);_(* \(#,##0\);_(* "-"??_);_(@_)</c:formatCode>
                <c:ptCount val="3"/>
                <c:pt idx="0">
                  <c:v>1164428500.4760997</c:v>
                </c:pt>
                <c:pt idx="1">
                  <c:v>725519558.47500014</c:v>
                </c:pt>
                <c:pt idx="2">
                  <c:v>124721731.0976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E85-8E25-F94B51C570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'18.21'!$U$12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'18.21'!$X$11:$AB$11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'18.21'!$X$12:$AB$12</c:f>
              <c:numCache>
                <c:formatCode>_(* #,##0_);_(* \(#,##0\);_(* "-"??_);_(@_)</c:formatCode>
                <c:ptCount val="5"/>
                <c:pt idx="0">
                  <c:v>1675199187.0308001</c:v>
                </c:pt>
                <c:pt idx="1">
                  <c:v>1797290685.4405</c:v>
                </c:pt>
                <c:pt idx="2">
                  <c:v>2164672441.0613999</c:v>
                </c:pt>
                <c:pt idx="3">
                  <c:v>2433716952.1484995</c:v>
                </c:pt>
                <c:pt idx="4">
                  <c:v>2014669790.0487001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D-49CD-9E79-CDF8D6CB2D93}"/>
            </c:ext>
          </c:extLst>
        </c:ser>
        <c:ser>
          <c:idx val="1"/>
          <c:order val="1"/>
          <c:tx>
            <c:strRef>
              <c:f>'18.21'!$U$13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'18.21'!$X$11:$AB$11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'18.21'!$X$13:$AB$13</c:f>
              <c:numCache>
                <c:formatCode>_(* #,##0_);_(* \(#,##0\);_(* "-"??_);_(@_)</c:formatCode>
                <c:ptCount val="5"/>
                <c:pt idx="0">
                  <c:v>899761456.92000008</c:v>
                </c:pt>
                <c:pt idx="1">
                  <c:v>1040187042.5204999</c:v>
                </c:pt>
                <c:pt idx="2">
                  <c:v>1255240833.9584999</c:v>
                </c:pt>
                <c:pt idx="3">
                  <c:v>1488868041.2019994</c:v>
                </c:pt>
                <c:pt idx="4">
                  <c:v>1164428500.4760997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1C9-9A93-0FB2B571780B}"/>
            </c:ext>
          </c:extLst>
        </c:ser>
        <c:ser>
          <c:idx val="2"/>
          <c:order val="2"/>
          <c:tx>
            <c:strRef>
              <c:f>'18.21'!$U$14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'18.21'!$X$11:$AB$11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'18.21'!$X$14:$AB$14</c:f>
              <c:numCache>
                <c:formatCode>_(* #,##0_);_(* \(#,##0\);_(* "-"??_);_(@_)</c:formatCode>
                <c:ptCount val="5"/>
                <c:pt idx="0">
                  <c:v>552084045.86000001</c:v>
                </c:pt>
                <c:pt idx="1">
                  <c:v>582040521.91999996</c:v>
                </c:pt>
                <c:pt idx="2">
                  <c:v>642497891.10289991</c:v>
                </c:pt>
                <c:pt idx="3">
                  <c:v>665276794.77769983</c:v>
                </c:pt>
                <c:pt idx="4">
                  <c:v>725519558.47500014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A-41C9-9A93-0FB2B571780B}"/>
            </c:ext>
          </c:extLst>
        </c:ser>
        <c:ser>
          <c:idx val="3"/>
          <c:order val="3"/>
          <c:tx>
            <c:strRef>
              <c:f>'18.21'!$U$15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'18.21'!$X$11:$AB$11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'18.21'!$X$15:$AB$15</c:f>
              <c:numCache>
                <c:formatCode>_(* #,##0_);_(* \(#,##0\);_(* "-"??_);_(@_)</c:formatCode>
                <c:ptCount val="5"/>
                <c:pt idx="0">
                  <c:v>223353684.25080001</c:v>
                </c:pt>
                <c:pt idx="1">
                  <c:v>175063121</c:v>
                </c:pt>
                <c:pt idx="2">
                  <c:v>266933716</c:v>
                </c:pt>
                <c:pt idx="3">
                  <c:v>279572116.1688</c:v>
                </c:pt>
                <c:pt idx="4">
                  <c:v>124721731.0976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A-41C9-9A93-0FB2B571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9928"/>
        <c:axId val="402977968"/>
      </c:barChart>
      <c:catAx>
        <c:axId val="402979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968"/>
        <c:crosses val="autoZero"/>
        <c:auto val="1"/>
        <c:lblAlgn val="ctr"/>
        <c:lblOffset val="100"/>
        <c:noMultiLvlLbl val="0"/>
      </c:catAx>
      <c:valAx>
        <c:axId val="402977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4029799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45669291338582"/>
          <c:y val="0.23142643627879847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18374996300909574"/>
          <c:w val="0.3806417248441088"/>
          <c:h val="0.763234336706007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E270-4083-BAF4-C4598B9C3DA8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270-4083-BAF4-C4598B9C3DA8}"/>
              </c:ext>
            </c:extLst>
          </c:dPt>
          <c:dPt>
            <c:idx val="2"/>
            <c:bubble3D val="0"/>
            <c:spPr>
              <a:solidFill>
                <a:srgbClr val="B2EDEC"/>
              </a:solidFill>
            </c:spPr>
            <c:extLst>
              <c:ext xmlns:c16="http://schemas.microsoft.com/office/drawing/2014/chart" uri="{C3380CC4-5D6E-409C-BE32-E72D297353CC}">
                <c16:uniqueId val="{00000005-E270-4083-BAF4-C4598B9C3DA8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270-4083-BAF4-C4598B9C3DA8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270-4083-BAF4-C4598B9C3DA8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270-4083-BAF4-C4598B9C3D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'[1]18.19'!$A$7:$A$9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'[1]18.19'!$B$7:$B$9</c:f>
              <c:numCache>
                <c:formatCode>General</c:formatCode>
                <c:ptCount val="3"/>
                <c:pt idx="0">
                  <c:v>1164428500.4760997</c:v>
                </c:pt>
                <c:pt idx="1">
                  <c:v>725519558.47500014</c:v>
                </c:pt>
                <c:pt idx="2">
                  <c:v>124721731.0976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70-4083-BAF4-C4598B9C3DA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'[1]18.19'!$N$12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'[1]18.19'!$Q$11:$U$11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'[1]18.19'!$Q$12:$U$12</c:f>
              <c:numCache>
                <c:formatCode>General</c:formatCode>
                <c:ptCount val="5"/>
                <c:pt idx="0">
                  <c:v>1675199187.0308001</c:v>
                </c:pt>
                <c:pt idx="1">
                  <c:v>1797290685.4405</c:v>
                </c:pt>
                <c:pt idx="2">
                  <c:v>2164672441.0613999</c:v>
                </c:pt>
                <c:pt idx="3">
                  <c:v>2433716952.1484995</c:v>
                </c:pt>
                <c:pt idx="4">
                  <c:v>2014669790.0487001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B-4131-A480-265907A6DE8E}"/>
            </c:ext>
          </c:extLst>
        </c:ser>
        <c:ser>
          <c:idx val="1"/>
          <c:order val="1"/>
          <c:tx>
            <c:strRef>
              <c:f>'[1]18.19'!$N$13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'[1]18.19'!$Q$11:$U$11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'[1]18.19'!$Q$13:$U$13</c:f>
              <c:numCache>
                <c:formatCode>General</c:formatCode>
                <c:ptCount val="5"/>
                <c:pt idx="0">
                  <c:v>899761456.92000008</c:v>
                </c:pt>
                <c:pt idx="1">
                  <c:v>1040187042.5204999</c:v>
                </c:pt>
                <c:pt idx="2">
                  <c:v>1255240833.9584999</c:v>
                </c:pt>
                <c:pt idx="3">
                  <c:v>1488868041.2019994</c:v>
                </c:pt>
                <c:pt idx="4">
                  <c:v>1164428500.4760997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B-4131-A480-265907A6DE8E}"/>
            </c:ext>
          </c:extLst>
        </c:ser>
        <c:ser>
          <c:idx val="2"/>
          <c:order val="2"/>
          <c:tx>
            <c:strRef>
              <c:f>'[1]18.19'!$N$14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B2EDEC"/>
            </a:solidFill>
          </c:spPr>
          <c:invertIfNegative val="0"/>
          <c:cat>
            <c:numRef>
              <c:f>'[1]18.19'!$Q$11:$U$11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'[1]18.19'!$Q$14:$U$14</c:f>
              <c:numCache>
                <c:formatCode>General</c:formatCode>
                <c:ptCount val="5"/>
                <c:pt idx="0">
                  <c:v>552084045.86000001</c:v>
                </c:pt>
                <c:pt idx="1">
                  <c:v>582040521.91999996</c:v>
                </c:pt>
                <c:pt idx="2">
                  <c:v>642497891.10289991</c:v>
                </c:pt>
                <c:pt idx="3">
                  <c:v>665276794.77769983</c:v>
                </c:pt>
                <c:pt idx="4">
                  <c:v>725519558.47500014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B-4131-A480-265907A6DE8E}"/>
            </c:ext>
          </c:extLst>
        </c:ser>
        <c:ser>
          <c:idx val="3"/>
          <c:order val="3"/>
          <c:tx>
            <c:strRef>
              <c:f>'[1]18.19'!$N$15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'[1]18.19'!$Q$11:$U$11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'[1]18.19'!$Q$15:$U$15</c:f>
              <c:numCache>
                <c:formatCode>General</c:formatCode>
                <c:ptCount val="5"/>
                <c:pt idx="0">
                  <c:v>223353684.25080001</c:v>
                </c:pt>
                <c:pt idx="1">
                  <c:v>175063121</c:v>
                </c:pt>
                <c:pt idx="2">
                  <c:v>266933716</c:v>
                </c:pt>
                <c:pt idx="3">
                  <c:v>279572116.1688</c:v>
                </c:pt>
                <c:pt idx="4">
                  <c:v>124721731.0976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0B-4131-A480-265907A6D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68817584"/>
        <c:axId val="-1368821936"/>
      </c:barChart>
      <c:catAx>
        <c:axId val="-136881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368821936"/>
        <c:crosses val="autoZero"/>
        <c:auto val="1"/>
        <c:lblAlgn val="ctr"/>
        <c:lblOffset val="100"/>
        <c:noMultiLvlLbl val="0"/>
      </c:catAx>
      <c:valAx>
        <c:axId val="-1368821936"/>
        <c:scaling>
          <c:orientation val="minMax"/>
          <c:max val="25000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-1368817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945669291338581"/>
          <c:y val="0.19438939924176143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4" name="TextBox 3"/>
        <xdr:cNvSpPr txBox="1"/>
      </xdr:nvSpPr>
      <xdr:spPr>
        <a:xfrm>
          <a:off x="1514476" y="6905626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2018</a:t>
          </a:r>
          <a:endParaRPr lang="en-US" sz="1100" b="1">
            <a:latin typeface="Candara" pitchFamily="34" charset="0"/>
          </a:endParaRPr>
        </a:p>
      </xdr:txBody>
    </xdr:sp>
    <xdr:clientData/>
  </xdr:twoCellAnchor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514476" y="69723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2020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2016 - 2020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2016 - 2020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B67"/>
  <sheetViews>
    <sheetView tabSelected="1" zoomScaleNormal="100" workbookViewId="0">
      <selection activeCell="H14" sqref="H14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20" width="9.140625" style="1"/>
    <col min="21" max="28" width="14.42578125" style="1" customWidth="1"/>
    <col min="29" max="29" width="18" style="1" customWidth="1"/>
    <col min="30" max="16384" width="9.140625" style="1"/>
  </cols>
  <sheetData>
    <row r="2" spans="1:28" ht="21" x14ac:dyDescent="0.25">
      <c r="A2" s="59" t="s">
        <v>31</v>
      </c>
      <c r="B2" s="59"/>
      <c r="C2" s="59"/>
      <c r="D2" s="59"/>
      <c r="E2" s="59"/>
      <c r="F2" s="59"/>
      <c r="G2" s="59"/>
      <c r="H2" s="59"/>
      <c r="I2" s="59"/>
    </row>
    <row r="3" spans="1:28" ht="15" x14ac:dyDescent="0.25">
      <c r="A3" s="60" t="s">
        <v>30</v>
      </c>
      <c r="B3" s="60"/>
      <c r="C3" s="60"/>
      <c r="D3" s="60"/>
      <c r="E3" s="60"/>
      <c r="F3" s="60"/>
      <c r="G3" s="60"/>
      <c r="H3" s="60"/>
      <c r="I3" s="60"/>
    </row>
    <row r="4" spans="1:28" s="12" customFormat="1" ht="45" x14ac:dyDescent="0.25">
      <c r="A4" s="64" t="s">
        <v>2</v>
      </c>
      <c r="B4" s="8" t="s">
        <v>9</v>
      </c>
      <c r="C4" s="9" t="s">
        <v>10</v>
      </c>
      <c r="D4" s="9" t="s">
        <v>0</v>
      </c>
      <c r="E4" s="9" t="s">
        <v>11</v>
      </c>
      <c r="F4" s="9" t="s">
        <v>12</v>
      </c>
      <c r="G4" s="10" t="s">
        <v>13</v>
      </c>
      <c r="H4" s="11" t="s">
        <v>14</v>
      </c>
      <c r="I4" s="66" t="s">
        <v>1</v>
      </c>
    </row>
    <row r="5" spans="1:28" s="12" customFormat="1" ht="37.5" x14ac:dyDescent="0.25">
      <c r="A5" s="65"/>
      <c r="B5" s="13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3" t="s">
        <v>20</v>
      </c>
      <c r="H5" s="13" t="s">
        <v>21</v>
      </c>
      <c r="I5" s="67"/>
    </row>
    <row r="6" spans="1:28" s="18" customFormat="1" x14ac:dyDescent="0.25">
      <c r="A6" s="15" t="s">
        <v>3</v>
      </c>
      <c r="B6" s="16">
        <f>SUM(C6:H6)</f>
        <v>2014669790.0487001</v>
      </c>
      <c r="C6" s="16">
        <f>C7+C8+C9</f>
        <v>1083950632.6737001</v>
      </c>
      <c r="D6" s="16">
        <f>D7+D8+D9</f>
        <v>752713889.11500001</v>
      </c>
      <c r="E6" s="16">
        <f>E7+E8+E9</f>
        <v>27752269.409999996</v>
      </c>
      <c r="F6" s="16">
        <f t="shared" ref="F6:G6" si="0">F7+F8+F9</f>
        <v>75774147.599999994</v>
      </c>
      <c r="G6" s="16">
        <f t="shared" si="0"/>
        <v>53705491.299999997</v>
      </c>
      <c r="H6" s="16">
        <f>H7+H8+H9</f>
        <v>20773359.949999999</v>
      </c>
      <c r="I6" s="17" t="s">
        <v>22</v>
      </c>
      <c r="K6" s="19"/>
      <c r="L6" s="19"/>
      <c r="M6" s="19"/>
      <c r="N6" s="19"/>
      <c r="O6" s="19"/>
    </row>
    <row r="7" spans="1:28" s="22" customFormat="1" x14ac:dyDescent="0.25">
      <c r="A7" s="20" t="s">
        <v>4</v>
      </c>
      <c r="B7" s="16">
        <f>SUM(C7:H7)</f>
        <v>1164428500.4760997</v>
      </c>
      <c r="C7" s="49">
        <v>620558359.37609994</v>
      </c>
      <c r="D7" s="49">
        <v>402975457.81000006</v>
      </c>
      <c r="E7" s="49">
        <v>23499504.559999999</v>
      </c>
      <c r="F7" s="49">
        <v>46040963.600000001</v>
      </c>
      <c r="G7" s="49">
        <v>53705491.299999997</v>
      </c>
      <c r="H7" s="49">
        <v>17648723.829999998</v>
      </c>
      <c r="I7" s="21" t="s">
        <v>5</v>
      </c>
      <c r="K7" s="19"/>
      <c r="L7" s="19"/>
      <c r="M7" s="19"/>
      <c r="N7" s="19"/>
      <c r="O7" s="19"/>
    </row>
    <row r="8" spans="1:28" s="22" customFormat="1" x14ac:dyDescent="0.25">
      <c r="A8" s="20" t="s">
        <v>6</v>
      </c>
      <c r="B8" s="23">
        <f>SUM(C8:H8)</f>
        <v>725519558.47500014</v>
      </c>
      <c r="C8" s="49">
        <v>338670542.20000005</v>
      </c>
      <c r="D8" s="49">
        <v>349738431.30500001</v>
      </c>
      <c r="E8" s="49">
        <v>4252764.8499999996</v>
      </c>
      <c r="F8" s="49">
        <v>29733184</v>
      </c>
      <c r="G8" s="49">
        <v>0</v>
      </c>
      <c r="H8" s="49">
        <v>3124636.12</v>
      </c>
      <c r="I8" s="24" t="s">
        <v>7</v>
      </c>
      <c r="K8" s="19"/>
      <c r="L8" s="19"/>
      <c r="M8" s="19"/>
      <c r="N8" s="19"/>
      <c r="O8" s="19"/>
    </row>
    <row r="9" spans="1:28" s="22" customFormat="1" x14ac:dyDescent="0.25">
      <c r="A9" s="25" t="s">
        <v>8</v>
      </c>
      <c r="B9" s="26">
        <f>SUM(C9:H9)</f>
        <v>124721731.0976</v>
      </c>
      <c r="C9" s="50">
        <v>124721731.0976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27" t="s">
        <v>23</v>
      </c>
    </row>
    <row r="10" spans="1:28" ht="17.25" x14ac:dyDescent="0.25">
      <c r="A10" s="28" t="s">
        <v>24</v>
      </c>
      <c r="I10" s="3" t="s">
        <v>25</v>
      </c>
    </row>
    <row r="11" spans="1:28" ht="18.75" customHeight="1" x14ac:dyDescent="0.25">
      <c r="A11" s="29" t="s">
        <v>26</v>
      </c>
      <c r="I11" s="3" t="s">
        <v>27</v>
      </c>
      <c r="V11" s="1">
        <v>2014</v>
      </c>
      <c r="W11" s="1">
        <v>2015</v>
      </c>
      <c r="X11" s="1">
        <v>2016</v>
      </c>
      <c r="Y11" s="1">
        <v>2017</v>
      </c>
      <c r="Z11" s="1">
        <v>2018</v>
      </c>
      <c r="AA11" s="1">
        <v>2019</v>
      </c>
      <c r="AB11" s="1">
        <v>2020</v>
      </c>
    </row>
    <row r="12" spans="1:28" s="7" customFormat="1" ht="18.75" customHeight="1" x14ac:dyDescent="0.25">
      <c r="A12" s="51" t="s">
        <v>28</v>
      </c>
      <c r="B12" s="30"/>
      <c r="C12" s="31"/>
      <c r="D12" s="32"/>
      <c r="E12" s="32"/>
      <c r="F12" s="32"/>
      <c r="G12" s="32"/>
      <c r="H12" s="32"/>
      <c r="U12" s="7" t="s">
        <v>3</v>
      </c>
      <c r="V12" s="33">
        <v>1063054680.1288999</v>
      </c>
      <c r="W12" s="33">
        <v>1400609841.8314998</v>
      </c>
      <c r="X12" s="33">
        <v>1675199187.0308001</v>
      </c>
      <c r="Y12" s="33">
        <v>1797290685.4405</v>
      </c>
      <c r="Z12" s="33">
        <v>2164672441.0613999</v>
      </c>
      <c r="AA12" s="33">
        <v>2433716952.1484995</v>
      </c>
      <c r="AB12" s="33">
        <f>B6</f>
        <v>2014669790.0487001</v>
      </c>
    </row>
    <row r="13" spans="1:28" ht="18.75" customHeight="1" x14ac:dyDescent="0.25">
      <c r="A13" s="52" t="s">
        <v>29</v>
      </c>
      <c r="U13" s="1" t="s">
        <v>4</v>
      </c>
      <c r="V13" s="33">
        <v>529844339.34140003</v>
      </c>
      <c r="W13" s="33">
        <v>694778647.7112</v>
      </c>
      <c r="X13" s="33">
        <v>899761456.92000008</v>
      </c>
      <c r="Y13" s="33">
        <v>1040187042.5204999</v>
      </c>
      <c r="Z13" s="33">
        <v>1255240833.9584999</v>
      </c>
      <c r="AA13" s="33">
        <v>1488868041.2019994</v>
      </c>
      <c r="AB13" s="33">
        <f>B7</f>
        <v>1164428500.4760997</v>
      </c>
    </row>
    <row r="14" spans="1:28" ht="18.75" customHeight="1" x14ac:dyDescent="0.25">
      <c r="U14" s="1" t="s">
        <v>6</v>
      </c>
      <c r="V14" s="33">
        <v>364203693.46629995</v>
      </c>
      <c r="W14" s="33">
        <v>483525096.47310001</v>
      </c>
      <c r="X14" s="33">
        <v>552084045.86000001</v>
      </c>
      <c r="Y14" s="33">
        <v>582040521.91999996</v>
      </c>
      <c r="Z14" s="33">
        <v>642497891.10289991</v>
      </c>
      <c r="AA14" s="33">
        <v>665276794.77769983</v>
      </c>
      <c r="AB14" s="33">
        <f>B8</f>
        <v>725519558.47500014</v>
      </c>
    </row>
    <row r="15" spans="1:28" ht="15" x14ac:dyDescent="0.25">
      <c r="A15" s="4"/>
      <c r="B15" s="4"/>
      <c r="C15" s="4"/>
      <c r="D15" s="4"/>
      <c r="E15" s="4"/>
      <c r="F15" s="4"/>
      <c r="G15" s="4"/>
      <c r="H15" s="4"/>
      <c r="I15" s="4"/>
      <c r="U15" s="1" t="s">
        <v>8</v>
      </c>
      <c r="V15" s="33">
        <v>169006647.32120001</v>
      </c>
      <c r="W15" s="33">
        <v>222306097.64719999</v>
      </c>
      <c r="X15" s="33">
        <v>223353684.25080001</v>
      </c>
      <c r="Y15" s="33">
        <v>175063121</v>
      </c>
      <c r="Z15" s="33">
        <v>266933716</v>
      </c>
      <c r="AA15" s="33">
        <v>279572116.1688</v>
      </c>
      <c r="AB15" s="33">
        <f>B9</f>
        <v>124721731.0976</v>
      </c>
    </row>
    <row r="16" spans="1:28" ht="21" x14ac:dyDescent="0.25">
      <c r="A16" s="61"/>
      <c r="B16" s="61"/>
      <c r="C16" s="61"/>
      <c r="D16" s="61"/>
      <c r="E16" s="61"/>
      <c r="F16" s="61"/>
      <c r="G16" s="61"/>
      <c r="H16" s="61"/>
      <c r="I16" s="61"/>
    </row>
    <row r="17" spans="1:9" s="12" customFormat="1" ht="15" x14ac:dyDescent="0.25">
      <c r="A17" s="60"/>
      <c r="B17" s="60"/>
      <c r="C17" s="60"/>
      <c r="D17" s="60"/>
      <c r="E17" s="60"/>
      <c r="F17" s="60"/>
      <c r="G17" s="60"/>
      <c r="H17" s="60"/>
      <c r="I17" s="60"/>
    </row>
    <row r="18" spans="1:9" s="12" customFormat="1" ht="15" x14ac:dyDescent="0.25">
      <c r="A18" s="62"/>
      <c r="B18" s="34"/>
      <c r="C18" s="35"/>
      <c r="D18" s="35"/>
      <c r="E18" s="35"/>
      <c r="F18" s="35"/>
      <c r="G18" s="36"/>
      <c r="H18" s="37"/>
      <c r="I18" s="63"/>
    </row>
    <row r="19" spans="1:9" s="18" customFormat="1" x14ac:dyDescent="0.25">
      <c r="A19" s="62"/>
      <c r="B19" s="6"/>
      <c r="C19" s="38"/>
      <c r="D19" s="38"/>
      <c r="E19" s="38"/>
      <c r="F19" s="38"/>
      <c r="G19" s="6"/>
      <c r="H19" s="6"/>
      <c r="I19" s="63"/>
    </row>
    <row r="20" spans="1:9" s="22" customFormat="1" x14ac:dyDescent="0.25">
      <c r="A20" s="39"/>
      <c r="B20" s="23"/>
      <c r="C20" s="23"/>
      <c r="D20" s="23"/>
      <c r="E20" s="23"/>
      <c r="F20" s="23"/>
      <c r="G20" s="23"/>
      <c r="H20" s="23"/>
      <c r="I20" s="40"/>
    </row>
    <row r="21" spans="1:9" s="22" customFormat="1" x14ac:dyDescent="0.25">
      <c r="A21" s="20"/>
      <c r="B21" s="23"/>
      <c r="C21" s="41"/>
      <c r="D21" s="41"/>
      <c r="E21" s="41"/>
      <c r="F21" s="41"/>
      <c r="G21" s="41"/>
      <c r="H21" s="41"/>
      <c r="I21" s="24"/>
    </row>
    <row r="22" spans="1:9" s="22" customFormat="1" x14ac:dyDescent="0.25">
      <c r="A22" s="20"/>
      <c r="B22" s="23"/>
      <c r="C22" s="41"/>
      <c r="D22" s="41"/>
      <c r="E22" s="41"/>
      <c r="F22" s="41"/>
      <c r="G22" s="41"/>
      <c r="H22" s="41"/>
      <c r="I22" s="24"/>
    </row>
    <row r="23" spans="1:9" x14ac:dyDescent="0.25">
      <c r="A23" s="20"/>
      <c r="B23" s="23"/>
      <c r="C23" s="41"/>
      <c r="D23" s="41"/>
      <c r="E23" s="41"/>
      <c r="F23" s="41"/>
      <c r="G23" s="41"/>
      <c r="H23" s="41"/>
      <c r="I23" s="24"/>
    </row>
    <row r="24" spans="1:9" ht="17.25" x14ac:dyDescent="0.25">
      <c r="A24" s="42"/>
      <c r="B24" s="4"/>
      <c r="C24" s="4"/>
      <c r="D24" s="4"/>
      <c r="E24" s="4"/>
      <c r="F24" s="4"/>
      <c r="G24" s="4"/>
      <c r="H24" s="4"/>
      <c r="I24" s="5"/>
    </row>
    <row r="25" spans="1:9" s="7" customFormat="1" ht="17.25" x14ac:dyDescent="0.25">
      <c r="A25" s="2"/>
      <c r="B25" s="4"/>
      <c r="C25" s="4"/>
      <c r="D25" s="4"/>
      <c r="E25" s="4"/>
      <c r="F25" s="4"/>
      <c r="G25" s="4"/>
      <c r="H25" s="4"/>
      <c r="I25" s="5"/>
    </row>
    <row r="26" spans="1:9" ht="17.25" x14ac:dyDescent="0.25">
      <c r="A26" s="29"/>
      <c r="B26" s="30"/>
      <c r="C26" s="31"/>
      <c r="D26" s="32"/>
      <c r="E26" s="32"/>
      <c r="F26" s="32"/>
      <c r="G26" s="32"/>
      <c r="H26" s="32"/>
      <c r="I26" s="5"/>
    </row>
    <row r="27" spans="1:9" ht="18.75" customHeight="1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ht="18.75" customHeigh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ht="21" x14ac:dyDescent="0.25">
      <c r="A29" s="61"/>
      <c r="B29" s="61"/>
      <c r="C29" s="61"/>
      <c r="D29" s="61"/>
      <c r="E29" s="61"/>
      <c r="F29" s="61"/>
      <c r="G29" s="61"/>
      <c r="H29" s="61"/>
      <c r="I29" s="43"/>
    </row>
    <row r="30" spans="1:9" ht="15" x14ac:dyDescent="0.25">
      <c r="A30" s="60"/>
      <c r="B30" s="60"/>
      <c r="C30" s="60"/>
      <c r="D30" s="60"/>
      <c r="E30" s="60"/>
      <c r="F30" s="60"/>
      <c r="G30" s="60"/>
      <c r="H30" s="60"/>
      <c r="I30" s="44"/>
    </row>
    <row r="31" spans="1:9" ht="15" x14ac:dyDescent="0.25">
      <c r="A31" s="62"/>
      <c r="B31" s="34"/>
      <c r="C31" s="35"/>
      <c r="D31" s="35"/>
      <c r="E31" s="35"/>
      <c r="F31" s="35"/>
      <c r="G31" s="36"/>
      <c r="H31" s="63"/>
      <c r="I31" s="45"/>
    </row>
    <row r="32" spans="1:9" x14ac:dyDescent="0.25">
      <c r="A32" s="62"/>
      <c r="B32" s="6"/>
      <c r="C32" s="38"/>
      <c r="D32" s="38"/>
      <c r="E32" s="38"/>
      <c r="F32" s="38"/>
      <c r="G32" s="6"/>
      <c r="H32" s="63"/>
      <c r="I32" s="45"/>
    </row>
    <row r="33" spans="1:9" ht="18.75" customHeight="1" x14ac:dyDescent="0.25">
      <c r="A33" s="39"/>
      <c r="B33" s="23"/>
      <c r="C33" s="23"/>
      <c r="D33" s="23"/>
      <c r="E33" s="23"/>
      <c r="F33" s="23"/>
      <c r="G33" s="23"/>
      <c r="H33" s="40"/>
      <c r="I33" s="46"/>
    </row>
    <row r="34" spans="1:9" ht="18.75" customHeight="1" x14ac:dyDescent="0.25">
      <c r="A34" s="20"/>
      <c r="B34" s="23"/>
      <c r="C34" s="41"/>
      <c r="D34" s="41"/>
      <c r="E34" s="41"/>
      <c r="F34" s="41"/>
      <c r="G34" s="41"/>
      <c r="H34" s="24"/>
      <c r="I34" s="47"/>
    </row>
    <row r="35" spans="1:9" ht="18.75" customHeight="1" x14ac:dyDescent="0.25">
      <c r="A35" s="20"/>
      <c r="B35" s="23"/>
      <c r="C35" s="41"/>
      <c r="D35" s="41"/>
      <c r="E35" s="41"/>
      <c r="F35" s="41"/>
      <c r="G35" s="41"/>
      <c r="H35" s="24"/>
      <c r="I35" s="47"/>
    </row>
    <row r="36" spans="1:9" ht="18.75" customHeight="1" x14ac:dyDescent="0.25">
      <c r="A36" s="20"/>
      <c r="B36" s="23"/>
      <c r="C36" s="41"/>
      <c r="D36" s="41"/>
      <c r="E36" s="41"/>
      <c r="F36" s="41"/>
      <c r="G36" s="41"/>
      <c r="H36" s="24"/>
      <c r="I36" s="47"/>
    </row>
    <row r="37" spans="1:9" ht="17.25" x14ac:dyDescent="0.25">
      <c r="A37" s="42"/>
      <c r="B37" s="4"/>
      <c r="C37" s="4"/>
      <c r="D37" s="4"/>
      <c r="E37" s="4"/>
      <c r="F37" s="4"/>
      <c r="G37" s="4"/>
      <c r="H37" s="5"/>
      <c r="I37" s="4"/>
    </row>
    <row r="38" spans="1:9" ht="17.25" x14ac:dyDescent="0.25">
      <c r="A38" s="2"/>
      <c r="B38" s="4"/>
      <c r="C38" s="4"/>
      <c r="D38" s="4"/>
      <c r="E38" s="4"/>
      <c r="F38" s="4"/>
      <c r="G38" s="4"/>
      <c r="H38" s="5"/>
      <c r="I38" s="4"/>
    </row>
    <row r="39" spans="1:9" ht="17.25" x14ac:dyDescent="0.25">
      <c r="A39" s="29"/>
      <c r="B39" s="30"/>
      <c r="C39" s="31"/>
      <c r="D39" s="32"/>
      <c r="E39" s="32"/>
      <c r="F39" s="32"/>
      <c r="G39" s="32"/>
      <c r="H39" s="5"/>
      <c r="I39" s="48"/>
    </row>
    <row r="40" spans="1:9" ht="18.75" customHeight="1" x14ac:dyDescent="0.25">
      <c r="A40" s="4"/>
      <c r="B40" s="4"/>
      <c r="C40" s="4"/>
      <c r="D40" s="4"/>
      <c r="E40" s="4"/>
      <c r="F40" s="4"/>
      <c r="G40" s="4"/>
      <c r="H40" s="4"/>
      <c r="I40" s="4"/>
    </row>
    <row r="47" spans="1:9" ht="18.75" customHeight="1" x14ac:dyDescent="0.25">
      <c r="A47" s="57"/>
      <c r="B47" s="57"/>
      <c r="C47" s="57"/>
      <c r="D47" s="57"/>
      <c r="E47" s="57"/>
      <c r="F47" s="57"/>
      <c r="G47" s="57"/>
      <c r="H47" s="57"/>
      <c r="I47" s="57"/>
    </row>
    <row r="48" spans="1:9" ht="18.75" customHeight="1" x14ac:dyDescent="0.25">
      <c r="A48" s="57"/>
      <c r="B48" s="57"/>
      <c r="C48" s="57"/>
      <c r="D48" s="57"/>
      <c r="E48" s="57"/>
      <c r="F48" s="57"/>
      <c r="G48" s="57"/>
      <c r="H48" s="57"/>
      <c r="I48" s="57"/>
    </row>
    <row r="49" spans="1:9" ht="18.75" customHeight="1" x14ac:dyDescent="0.25">
      <c r="A49" s="43"/>
      <c r="B49" s="43"/>
      <c r="C49" s="43"/>
      <c r="D49" s="43"/>
      <c r="E49" s="43"/>
      <c r="F49" s="43"/>
      <c r="G49" s="43"/>
      <c r="H49" s="43"/>
      <c r="I49" s="43"/>
    </row>
    <row r="50" spans="1:9" ht="18.75" customHeight="1" x14ac:dyDescent="0.25">
      <c r="A50" s="44"/>
      <c r="B50" s="44"/>
      <c r="C50" s="44"/>
      <c r="D50" s="44"/>
      <c r="E50" s="44"/>
      <c r="F50" s="44"/>
      <c r="G50" s="44"/>
      <c r="H50" s="44"/>
      <c r="I50" s="44"/>
    </row>
    <row r="51" spans="1:9" ht="28.5" customHeight="1" x14ac:dyDescent="0.25">
      <c r="A51" s="55"/>
      <c r="B51" s="34"/>
      <c r="C51" s="35"/>
      <c r="D51" s="35"/>
      <c r="E51" s="35"/>
      <c r="F51" s="35"/>
      <c r="G51" s="36"/>
      <c r="H51" s="37"/>
      <c r="I51" s="56"/>
    </row>
    <row r="52" spans="1:9" ht="18.75" customHeight="1" x14ac:dyDescent="0.25">
      <c r="A52" s="55"/>
      <c r="B52" s="6"/>
      <c r="C52" s="38"/>
      <c r="D52" s="38"/>
      <c r="E52" s="38"/>
      <c r="F52" s="38"/>
      <c r="G52" s="6"/>
      <c r="H52" s="6"/>
      <c r="I52" s="56"/>
    </row>
    <row r="53" spans="1:9" ht="18.75" customHeight="1" x14ac:dyDescent="0.25">
      <c r="A53" s="39"/>
      <c r="B53" s="23"/>
      <c r="C53" s="23"/>
      <c r="D53" s="23"/>
      <c r="E53" s="23"/>
      <c r="F53" s="23"/>
      <c r="G53" s="23"/>
      <c r="H53" s="23"/>
      <c r="I53" s="40"/>
    </row>
    <row r="54" spans="1:9" ht="18.75" customHeight="1" x14ac:dyDescent="0.25">
      <c r="A54" s="20"/>
      <c r="B54" s="23"/>
      <c r="C54" s="41"/>
      <c r="D54" s="41"/>
      <c r="E54" s="41"/>
      <c r="F54" s="41"/>
      <c r="G54" s="41"/>
      <c r="H54" s="41"/>
      <c r="I54" s="24"/>
    </row>
    <row r="55" spans="1:9" ht="18.75" customHeight="1" x14ac:dyDescent="0.25">
      <c r="A55" s="20"/>
      <c r="B55" s="23"/>
      <c r="C55" s="41"/>
      <c r="D55" s="41"/>
      <c r="E55" s="41"/>
      <c r="F55" s="41"/>
      <c r="G55" s="41"/>
      <c r="H55" s="41"/>
      <c r="I55" s="24"/>
    </row>
    <row r="56" spans="1:9" ht="18.75" customHeight="1" x14ac:dyDescent="0.25">
      <c r="A56" s="20"/>
      <c r="B56" s="23"/>
      <c r="C56" s="41"/>
      <c r="D56" s="41"/>
      <c r="E56" s="41"/>
      <c r="F56" s="41"/>
      <c r="G56" s="41"/>
      <c r="H56" s="41"/>
      <c r="I56" s="24"/>
    </row>
    <row r="57" spans="1:9" ht="18.75" customHeight="1" x14ac:dyDescent="0.25">
      <c r="A57" s="58"/>
      <c r="B57" s="57"/>
      <c r="C57" s="57"/>
      <c r="D57" s="57"/>
      <c r="E57" s="57"/>
      <c r="F57" s="57"/>
      <c r="G57" s="57"/>
      <c r="H57" s="57"/>
      <c r="I57" s="5"/>
    </row>
    <row r="58" spans="1:9" ht="18.75" customHeight="1" x14ac:dyDescent="0.25">
      <c r="A58" s="29"/>
      <c r="B58" s="57"/>
      <c r="C58" s="57"/>
      <c r="D58" s="57"/>
      <c r="E58" s="57"/>
      <c r="F58" s="57"/>
      <c r="G58" s="57"/>
      <c r="H58" s="57"/>
      <c r="I58" s="5"/>
    </row>
    <row r="59" spans="1:9" ht="18.75" customHeight="1" x14ac:dyDescent="0.25">
      <c r="A59" s="53"/>
      <c r="B59" s="30"/>
      <c r="C59" s="31"/>
      <c r="D59" s="32"/>
      <c r="E59" s="32"/>
      <c r="F59" s="32"/>
      <c r="G59" s="32"/>
      <c r="H59" s="32"/>
      <c r="I59" s="48"/>
    </row>
    <row r="60" spans="1:9" ht="18.75" customHeight="1" x14ac:dyDescent="0.25">
      <c r="A60" s="54"/>
      <c r="B60" s="57"/>
      <c r="C60" s="57"/>
      <c r="D60" s="57"/>
      <c r="E60" s="57"/>
      <c r="F60" s="57"/>
      <c r="G60" s="57"/>
      <c r="H60" s="57"/>
      <c r="I60" s="57"/>
    </row>
    <row r="61" spans="1:9" ht="18.75" customHeight="1" x14ac:dyDescent="0.25">
      <c r="A61" s="57"/>
      <c r="B61" s="57"/>
      <c r="C61" s="57"/>
      <c r="D61" s="57"/>
      <c r="E61" s="57"/>
      <c r="F61" s="57"/>
      <c r="G61" s="57"/>
      <c r="H61" s="57"/>
      <c r="I61" s="57"/>
    </row>
    <row r="62" spans="1:9" ht="18.75" customHeight="1" x14ac:dyDescent="0.25">
      <c r="A62" s="57"/>
      <c r="B62" s="57"/>
      <c r="C62" s="57"/>
      <c r="D62" s="57"/>
      <c r="E62" s="57"/>
      <c r="F62" s="57"/>
      <c r="G62" s="57"/>
      <c r="H62" s="57"/>
      <c r="I62" s="57"/>
    </row>
    <row r="63" spans="1:9" ht="18.75" customHeight="1" x14ac:dyDescent="0.25">
      <c r="A63" s="57"/>
      <c r="B63" s="57"/>
      <c r="C63" s="57"/>
      <c r="D63" s="57"/>
      <c r="E63" s="57"/>
      <c r="F63" s="57"/>
      <c r="G63" s="57"/>
      <c r="H63" s="57"/>
      <c r="I63" s="57"/>
    </row>
    <row r="64" spans="1:9" ht="18.75" customHeight="1" x14ac:dyDescent="0.25">
      <c r="A64" s="57"/>
      <c r="B64" s="57"/>
      <c r="C64" s="57"/>
      <c r="D64" s="57"/>
      <c r="E64" s="57"/>
      <c r="F64" s="57"/>
      <c r="G64" s="57"/>
      <c r="H64" s="57"/>
      <c r="I64" s="57"/>
    </row>
    <row r="65" spans="1:9" ht="18.75" customHeight="1" x14ac:dyDescent="0.25">
      <c r="A65" s="57"/>
      <c r="B65" s="57"/>
      <c r="C65" s="57"/>
      <c r="D65" s="57"/>
      <c r="E65" s="57"/>
      <c r="F65" s="57"/>
      <c r="G65" s="57"/>
      <c r="H65" s="57"/>
      <c r="I65" s="57"/>
    </row>
    <row r="66" spans="1:9" ht="18.75" customHeight="1" x14ac:dyDescent="0.25">
      <c r="A66" s="57"/>
      <c r="B66" s="57"/>
      <c r="C66" s="57"/>
      <c r="D66" s="57"/>
      <c r="E66" s="57"/>
      <c r="F66" s="57"/>
      <c r="G66" s="57"/>
      <c r="H66" s="57"/>
      <c r="I66" s="57"/>
    </row>
    <row r="67" spans="1:9" ht="18.75" customHeight="1" x14ac:dyDescent="0.25">
      <c r="A67" s="57"/>
      <c r="B67" s="57"/>
      <c r="C67" s="57"/>
      <c r="D67" s="57"/>
      <c r="E67" s="57"/>
      <c r="F67" s="57"/>
      <c r="G67" s="57"/>
      <c r="H67" s="57"/>
      <c r="I67" s="57"/>
    </row>
  </sheetData>
  <mergeCells count="12">
    <mergeCell ref="A31:A32"/>
    <mergeCell ref="H31:H32"/>
    <mergeCell ref="A2:I2"/>
    <mergeCell ref="A3:I3"/>
    <mergeCell ref="A4:A5"/>
    <mergeCell ref="I4:I5"/>
    <mergeCell ref="A16:I16"/>
    <mergeCell ref="A17:I17"/>
    <mergeCell ref="A18:A19"/>
    <mergeCell ref="I18:I19"/>
    <mergeCell ref="A29:H29"/>
    <mergeCell ref="A30:H30"/>
  </mergeCells>
  <pageMargins left="0.7" right="0.7" top="0.75" bottom="0.75" header="0.3" footer="0.3"/>
  <pageSetup scale="63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2021-09-23T05:48:28Z</cp:lastPrinted>
  <dcterms:created xsi:type="dcterms:W3CDTF">2019-02-21T04:10:17Z</dcterms:created>
  <dcterms:modified xsi:type="dcterms:W3CDTF">2021-09-23T05:48:39Z</dcterms:modified>
</cp:coreProperties>
</file>