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2" sheetId="2" r:id="rId1"/>
  </sheets>
  <definedNames>
    <definedName name="_xlnm.Print_Area" localSheetId="0">'18.2'!$A$1:$Q$40</definedName>
  </definedNames>
  <calcPr calcId="152511"/>
</workbook>
</file>

<file path=xl/calcChain.xml><?xml version="1.0" encoding="utf-8"?>
<calcChain xmlns="http://schemas.openxmlformats.org/spreadsheetml/2006/main">
  <c r="AQ27" i="2" l="1"/>
  <c r="AH27" i="2" l="1"/>
  <c r="I8" i="2" l="1"/>
  <c r="AQ26" i="2" s="1"/>
  <c r="AH26" i="2" s="1"/>
  <c r="E8" i="2"/>
  <c r="AQ24" i="2" s="1"/>
  <c r="L8" i="2"/>
  <c r="AH24" i="2" l="1"/>
  <c r="P8" i="2"/>
  <c r="AP27" i="2" s="1"/>
  <c r="AG27" i="2" s="1"/>
  <c r="M8" i="2" l="1"/>
  <c r="G8" i="2"/>
  <c r="AO26" i="2" s="1"/>
  <c r="AF26" i="2" s="1"/>
  <c r="C8" i="2"/>
  <c r="AO24" i="2" s="1"/>
  <c r="AF24" i="2" s="1"/>
  <c r="AP25" i="2" l="1"/>
  <c r="AG25" i="2" s="1"/>
  <c r="AQ25" i="2"/>
  <c r="AA27" i="2"/>
  <c r="Z27" i="2"/>
  <c r="Y27" i="2"/>
  <c r="Y26" i="2"/>
  <c r="Y25" i="2"/>
  <c r="Y24" i="2"/>
  <c r="O8" i="2"/>
  <c r="AO27" i="2" s="1"/>
  <c r="AF27" i="2" s="1"/>
  <c r="N8" i="2"/>
  <c r="AN27" i="2" s="1"/>
  <c r="AM27" i="2"/>
  <c r="AD27" i="2" s="1"/>
  <c r="AL27" i="2"/>
  <c r="AC27" i="2" s="1"/>
  <c r="AK27" i="2"/>
  <c r="AB27" i="2" s="1"/>
  <c r="K8" i="2"/>
  <c r="AO25" i="2" s="1"/>
  <c r="AF25" i="2" s="1"/>
  <c r="J8" i="2"/>
  <c r="AN25" i="2" s="1"/>
  <c r="AM25" i="2"/>
  <c r="AD25" i="2" s="1"/>
  <c r="AL25" i="2"/>
  <c r="AC25" i="2" s="1"/>
  <c r="AK25" i="2"/>
  <c r="AB25" i="2" s="1"/>
  <c r="AJ25" i="2"/>
  <c r="AA25" i="2" s="1"/>
  <c r="AI25" i="2"/>
  <c r="Z25" i="2" s="1"/>
  <c r="H8" i="2"/>
  <c r="AP26" i="2" s="1"/>
  <c r="AG26" i="2" s="1"/>
  <c r="F8" i="2"/>
  <c r="AN26" i="2" s="1"/>
  <c r="AM26" i="2"/>
  <c r="AD26" i="2" s="1"/>
  <c r="AL26" i="2"/>
  <c r="AC26" i="2" s="1"/>
  <c r="AK26" i="2"/>
  <c r="AB26" i="2" s="1"/>
  <c r="AJ26" i="2"/>
  <c r="AA26" i="2" s="1"/>
  <c r="AI26" i="2"/>
  <c r="Z26" i="2" s="1"/>
  <c r="D8" i="2"/>
  <c r="AP24" i="2" s="1"/>
  <c r="B8" i="2"/>
  <c r="AN24" i="2" s="1"/>
  <c r="AE24" i="2" s="1"/>
  <c r="AM24" i="2"/>
  <c r="AD24" i="2" s="1"/>
  <c r="AL24" i="2"/>
  <c r="AC24" i="2" s="1"/>
  <c r="AK24" i="2"/>
  <c r="AB24" i="2" s="1"/>
  <c r="AJ24" i="2"/>
  <c r="AA24" i="2" s="1"/>
  <c r="AI24" i="2"/>
  <c r="Z24" i="2" s="1"/>
  <c r="AP28" i="2" l="1"/>
  <c r="AH25" i="2"/>
  <c r="AQ28" i="2"/>
  <c r="AG24" i="2"/>
  <c r="AO28" i="2"/>
  <c r="AE27" i="2"/>
  <c r="AE26" i="2"/>
  <c r="AE25" i="2"/>
</calcChain>
</file>

<file path=xl/sharedStrings.xml><?xml version="1.0" encoding="utf-8"?>
<sst xmlns="http://schemas.openxmlformats.org/spreadsheetml/2006/main" count="45" uniqueCount="45">
  <si>
    <t>(In MVR)</t>
  </si>
  <si>
    <t>Month</t>
  </si>
  <si>
    <t>އަސާސީ ޕެންޝަން</t>
  </si>
  <si>
    <t>ރިޓަޔަރމަންޓް ޕެންޝަން</t>
  </si>
  <si>
    <t>އެހެނިހެން ޕެންޝަން</t>
  </si>
  <si>
    <t>ސީނިއަ ސިޓިޒަން އެލަވަންސް</t>
  </si>
  <si>
    <t>މަސް</t>
  </si>
  <si>
    <t>ޖުމްލަ</t>
  </si>
  <si>
    <t>Basic pension</t>
  </si>
  <si>
    <t>Retirement  pension</t>
  </si>
  <si>
    <t>Other  pension</t>
  </si>
  <si>
    <t xml:space="preserve"> Senior Citizen Allowance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</si>
  <si>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</si>
  <si>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</si>
  <si>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</si>
  <si>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</si>
  <si>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</si>
  <si>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</si>
  <si>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</si>
  <si>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</si>
  <si>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</si>
  <si>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</si>
  <si>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</si>
  <si>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</si>
  <si>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</si>
  <si>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</si>
  <si>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</si>
  <si>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</si>
  <si>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</si>
  <si>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</si>
  <si>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</si>
  <si>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</si>
  <si>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</si>
  <si>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</si>
  <si>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</si>
  <si>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</si>
  <si>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</si>
  <si>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</si>
  <si>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</si>
  <si>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In million Rf</t>
  </si>
  <si>
    <t>In Rf</t>
  </si>
  <si>
    <t xml:space="preserve">ސީނިއަރ ސިޓިޒަން އެލަވަންސް ސްކީމް ތަޢާރަފުކުރެވިފައިވާ ފެބްރުއަރީ 2014 ގައެވެ. އަދި މާރޗް 2019 ގައި ވަނީ ހުއްޓާލާފައެވެ.  </t>
  </si>
  <si>
    <t>Note: Senior Citizen Allowance was introduced in February 2014 and discontinued in March 2019.</t>
  </si>
  <si>
    <t>ތާވަލު 18.2: އެކި މަސްމަހު ޕެންޝަންގެ ގޮތުގައި ސްކީމްތަކުން ދެވުނު މިންވަރު، 2017 - 2020</t>
  </si>
  <si>
    <t>TABLE   18.2: MONTHLY PENSION PAYOUTS BY SCHEME, 2017- 2020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</si>
</sst>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9"/>
      <color rgb="FF262626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9"/>
      <color rgb="FFFF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/>
      <diagonal/>
    </border>
    <border>
      <left style="hair">
        <color rgb="FF000000"/>
      </left>
      <right/>
      <top style="thin">
        <color indexed="64"/>
      </top>
      <bottom/>
      <diagonal/>
    </border>
    <border>
      <left/>
      <right style="hair">
        <color rgb="FF000000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</borders>
  <cellStyleXfs count="9">
    <xf numFmtId="0" fontId="0" fillId="0" borderId="0"/>
    <xf numFmtId="165" fontId="15" fillId="0" borderId="18"/>
    <xf numFmtId="0" fontId="1" fillId="0" borderId="18"/>
    <xf numFmtId="0" fontId="1" fillId="0" borderId="18"/>
    <xf numFmtId="164" fontId="13" fillId="0" borderId="18" applyFont="0" applyFill="0" applyBorder="0" applyAlignment="0" applyProtection="0"/>
    <xf numFmtId="164" fontId="13" fillId="0" borderId="18" applyFont="0" applyFill="0" applyBorder="0" applyAlignment="0" applyProtection="0"/>
    <xf numFmtId="0" fontId="13" fillId="0" borderId="18"/>
    <xf numFmtId="0" fontId="16" fillId="0" borderId="18"/>
    <xf numFmtId="0" fontId="17" fillId="0" borderId="18" applyFill="0" applyProtection="0"/>
  </cellStyleXfs>
  <cellXfs count="93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165" fontId="0" fillId="2" borderId="2" xfId="0" applyNumberFormat="1" applyFont="1" applyFill="1" applyBorder="1"/>
    <xf numFmtId="0" fontId="2" fillId="2" borderId="2" xfId="0" applyFont="1" applyFill="1" applyBorder="1" applyAlignment="1">
      <alignment horizontal="center" vertical="center"/>
    </xf>
    <xf numFmtId="0" fontId="0" fillId="2" borderId="18" xfId="0" applyFont="1" applyFill="1" applyBorder="1"/>
    <xf numFmtId="0" fontId="5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4" borderId="2" xfId="0" applyNumberFormat="1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3" fontId="9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3" fontId="5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right"/>
    </xf>
    <xf numFmtId="3" fontId="0" fillId="2" borderId="12" xfId="0" applyNumberFormat="1" applyFont="1" applyFill="1" applyBorder="1" applyAlignment="1">
      <alignment horizontal="right" vertical="center"/>
    </xf>
    <xf numFmtId="3" fontId="0" fillId="4" borderId="12" xfId="0" applyNumberFormat="1" applyFont="1" applyFill="1" applyBorder="1" applyAlignment="1">
      <alignment horizontal="right" vertical="center"/>
    </xf>
    <xf numFmtId="0" fontId="9" fillId="2" borderId="1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11" fillId="2" borderId="2" xfId="0" applyFont="1" applyFill="1" applyBorder="1" applyAlignment="1">
      <alignment vertical="center"/>
    </xf>
    <xf numFmtId="0" fontId="5" fillId="2" borderId="18" xfId="0" applyFont="1" applyFill="1" applyBorder="1" applyAlignment="1">
      <alignment horizontal="center"/>
    </xf>
    <xf numFmtId="0" fontId="10" fillId="2" borderId="2" xfId="0" applyFont="1" applyFill="1" applyBorder="1"/>
    <xf numFmtId="3" fontId="5" fillId="2" borderId="2" xfId="0" applyNumberFormat="1" applyFont="1" applyFill="1" applyBorder="1"/>
    <xf numFmtId="0" fontId="11" fillId="2" borderId="2" xfId="0" applyFont="1" applyFill="1" applyBorder="1" applyAlignment="1"/>
    <xf numFmtId="0" fontId="11" fillId="2" borderId="2" xfId="0" applyFont="1" applyFill="1" applyBorder="1"/>
    <xf numFmtId="0" fontId="5" fillId="2" borderId="18" xfId="0" applyFont="1" applyFill="1" applyBorder="1"/>
    <xf numFmtId="0" fontId="8" fillId="2" borderId="2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3" fontId="0" fillId="3" borderId="0" xfId="0" applyNumberFormat="1" applyFont="1" applyFill="1" applyAlignment="1"/>
    <xf numFmtId="0" fontId="6" fillId="2" borderId="18" xfId="0" applyFont="1" applyFill="1" applyBorder="1"/>
    <xf numFmtId="0" fontId="4" fillId="2" borderId="15" xfId="0" applyFont="1" applyFill="1" applyBorder="1" applyAlignment="1">
      <alignment horizontal="right" vertical="center"/>
    </xf>
    <xf numFmtId="3" fontId="0" fillId="2" borderId="18" xfId="0" applyNumberFormat="1" applyFont="1" applyFill="1" applyBorder="1" applyAlignment="1">
      <alignment vertical="center"/>
    </xf>
    <xf numFmtId="3" fontId="0" fillId="2" borderId="20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 indent="1"/>
    </xf>
    <xf numFmtId="0" fontId="0" fillId="2" borderId="12" xfId="0" applyFont="1" applyFill="1" applyBorder="1" applyAlignment="1">
      <alignment horizontal="left" vertical="center" indent="1"/>
    </xf>
    <xf numFmtId="3" fontId="4" fillId="2" borderId="18" xfId="0" applyNumberFormat="1" applyFont="1" applyFill="1" applyBorder="1" applyAlignment="1">
      <alignment vertical="center"/>
    </xf>
    <xf numFmtId="3" fontId="0" fillId="4" borderId="18" xfId="0" applyNumberFormat="1" applyFont="1" applyFill="1" applyBorder="1" applyAlignment="1">
      <alignment vertical="center"/>
    </xf>
    <xf numFmtId="3" fontId="0" fillId="4" borderId="20" xfId="0" applyNumberFormat="1" applyFont="1" applyFill="1" applyBorder="1" applyAlignment="1">
      <alignment vertical="center"/>
    </xf>
    <xf numFmtId="3" fontId="4" fillId="2" borderId="17" xfId="0" applyNumberFormat="1" applyFont="1" applyFill="1" applyBorder="1" applyAlignment="1">
      <alignment vertical="center"/>
    </xf>
    <xf numFmtId="0" fontId="11" fillId="6" borderId="18" xfId="0" applyFont="1" applyFill="1" applyBorder="1" applyAlignment="1">
      <alignment vertical="center"/>
    </xf>
    <xf numFmtId="3" fontId="0" fillId="5" borderId="18" xfId="0" applyNumberFormat="1" applyFont="1" applyFill="1" applyBorder="1" applyAlignment="1">
      <alignment vertical="center"/>
    </xf>
    <xf numFmtId="3" fontId="0" fillId="5" borderId="17" xfId="0" applyNumberFormat="1" applyFont="1" applyFill="1" applyBorder="1" applyAlignment="1">
      <alignment vertical="center"/>
    </xf>
    <xf numFmtId="3" fontId="0" fillId="5" borderId="18" xfId="0" applyNumberFormat="1" applyFont="1" applyFill="1" applyBorder="1" applyAlignment="1">
      <alignment horizontal="right" vertical="center"/>
    </xf>
    <xf numFmtId="3" fontId="0" fillId="5" borderId="20" xfId="0" applyNumberFormat="1" applyFont="1" applyFill="1" applyBorder="1" applyAlignment="1">
      <alignment vertical="center"/>
    </xf>
    <xf numFmtId="3" fontId="0" fillId="5" borderId="14" xfId="0" applyNumberFormat="1" applyFont="1" applyFill="1" applyBorder="1" applyAlignment="1">
      <alignment vertical="center"/>
    </xf>
    <xf numFmtId="3" fontId="0" fillId="5" borderId="20" xfId="0" applyNumberFormat="1" applyFont="1" applyFill="1" applyBorder="1" applyAlignment="1">
      <alignment horizontal="right" vertical="center"/>
    </xf>
    <xf numFmtId="3" fontId="4" fillId="2" borderId="8" xfId="0" applyNumberFormat="1" applyFont="1" applyFill="1" applyBorder="1" applyAlignment="1">
      <alignment vertical="center"/>
    </xf>
    <xf numFmtId="3" fontId="5" fillId="2" borderId="18" xfId="0" applyNumberFormat="1" applyFont="1" applyFill="1" applyBorder="1"/>
    <xf numFmtId="0" fontId="3" fillId="3" borderId="3" xfId="0" applyFont="1" applyFill="1" applyBorder="1"/>
    <xf numFmtId="0" fontId="3" fillId="3" borderId="18" xfId="0" applyFont="1" applyFill="1" applyBorder="1"/>
    <xf numFmtId="0" fontId="3" fillId="3" borderId="4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6" xfId="0" applyFont="1" applyFill="1" applyBorder="1"/>
    <xf numFmtId="0" fontId="3" fillId="3" borderId="11" xfId="0" applyFont="1" applyFill="1" applyBorder="1"/>
    <xf numFmtId="0" fontId="4" fillId="2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right" vertical="center"/>
    </xf>
    <xf numFmtId="3" fontId="4" fillId="2" borderId="23" xfId="0" applyNumberFormat="1" applyFont="1" applyFill="1" applyBorder="1" applyAlignment="1">
      <alignment vertical="center"/>
    </xf>
    <xf numFmtId="3" fontId="0" fillId="5" borderId="23" xfId="0" applyNumberFormat="1" applyFont="1" applyFill="1" applyBorder="1" applyAlignment="1">
      <alignment vertical="center"/>
    </xf>
    <xf numFmtId="3" fontId="0" fillId="5" borderId="27" xfId="0" applyNumberFormat="1" applyFont="1" applyFill="1" applyBorder="1" applyAlignment="1">
      <alignment vertical="center"/>
    </xf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6217672790901131E-2"/>
          <c:y val="0.15093206372459256"/>
          <c:w val="0.89619475065616794"/>
          <c:h val="0.7358023561008362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'18.2'!$AE$23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24939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'18.2'!$Y$24:$Y$27</c:f>
              <c:strCache>
                <c:ptCount val="4"/>
                <c:pt idx="0">
                  <c:v>#REF!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'18.2'!$AE$24:$AE$27</c:f>
              <c:numCache>
                <c:formatCode>_(* #,##0_);_(* \(#,##0\);_(* "-"??_);_(@_)</c:formatCode>
                <c:ptCount val="4"/>
                <c:pt idx="0">
                  <c:v>435.25136824000003</c:v>
                </c:pt>
                <c:pt idx="1">
                  <c:v>270.65722773000005</c:v>
                </c:pt>
                <c:pt idx="2">
                  <c:v>54.585241880000005</c:v>
                </c:pt>
                <c:pt idx="3">
                  <c:v>539.03694702999996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0-4ACB-4276-B2A7-EE61FC27565F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1"/>
          <c:order val="1"/>
          <c:tx>
            <c:strRef>
              <c:f>'18.2'!$AF$23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33CCCC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'18.2'!$Y$24:$Y$27</c:f>
              <c:strCache>
                <c:ptCount val="4"/>
                <c:pt idx="0">
                  <c:v>#REF!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'18.2'!$AF$24:$AF$27</c:f>
              <c:numCache>
                <c:formatCode>_(* #,##0_);_(* \(#,##0\);_(* "-"??_);_(@_)</c:formatCode>
                <c:ptCount val="4"/>
                <c:pt idx="0">
                  <c:v>443.15210785000011</c:v>
                </c:pt>
                <c:pt idx="1">
                  <c:v>280.56057788999999</c:v>
                </c:pt>
                <c:pt idx="2">
                  <c:v>58.618929450000003</c:v>
                </c:pt>
                <c:pt idx="3">
                  <c:v>550.82376364999993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ACB-4276-B2A7-EE61FC27565F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2"/>
          <c:order val="2"/>
          <c:tx>
            <c:strRef>
              <c:f>'18.2'!$AG$23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F99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'18.2'!$Y$24:$Y$27</c:f>
              <c:strCache>
                <c:ptCount val="4"/>
                <c:pt idx="0">
                  <c:v>#REF!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'18.2'!$AG$24:$AG$27</c:f>
              <c:numCache>
                <c:formatCode>_(* #,##0_);_(* \(#,##0\);_(* "-"??_);_(@_)</c:formatCode>
                <c:ptCount val="4"/>
                <c:pt idx="0">
                  <c:v>903.98428605999993</c:v>
                </c:pt>
                <c:pt idx="1">
                  <c:v>292.83854117999994</c:v>
                </c:pt>
                <c:pt idx="2">
                  <c:v>90.949201129999992</c:v>
                </c:pt>
                <c:pt idx="3">
                  <c:v>93.669343139999981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ACB-4276-B2A7-EE61FC27565F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ser>
          <c:idx val="3"/>
          <c:order val="3"/>
          <c:tx>
            <c:strRef>
              <c:f>'18.2'!$AH$23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BC7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'18.2'!$Y$24:$Y$27</c:f>
              <c:strCache>
                <c:ptCount val="4"/>
                <c:pt idx="0">
                  <c:v>#REF!</c:v>
                </c:pt>
                <c:pt idx="1">
                  <c:v>Other  pension</c:v>
                </c:pt>
                <c:pt idx="2">
                  <c:v>Retirement  pension</c:v>
                </c:pt>
                <c:pt idx="3">
                  <c:v> Senior Citizen Allowance</c:v>
                </c:pt>
              </c:strCache>
            </c:strRef>
          </c:cat>
          <c:val>
            <c:numRef>
              <c:f>'18.2'!$AH$24:$AH$27</c:f>
              <c:numCache>
                <c:formatCode>_(* #,##0_);_(* \(#,##0\);_(* "-"??_);_(@_)</c:formatCode>
                <c:ptCount val="4"/>
                <c:pt idx="0">
                  <c:v>1033.2069669300001</c:v>
                </c:pt>
                <c:pt idx="1">
                  <c:v>292.83854117999994</c:v>
                </c:pt>
                <c:pt idx="2">
                  <c:v>102.48052142999998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5C-4F29-8F32-8C0994AE2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0658664"/>
        <c:axId val="360659048"/>
        <c:extLst xmlns:c16r2="http://schemas.microsoft.com/office/drawing/2015/06/chart"/>
      </c:barChart>
      <c:catAx>
        <c:axId val="360658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/>
            </a:pPr>
            <a:endParaRPr lang="en-US"/>
          </a:p>
        </c:txPr>
        <c:crossAx val="360659048"/>
        <c:crosses val="autoZero"/>
        <c:auto val="1"/>
        <c:lblAlgn val="ctr"/>
        <c:lblOffset val="100"/>
        <c:noMultiLvlLbl val="1"/>
      </c:catAx>
      <c:valAx>
        <c:axId val="360659048"/>
        <c:scaling>
          <c:orientation val="minMax"/>
        </c:scaling>
        <c:delete val="0"/>
        <c:axPos val="l"/>
        <c:majorGridlines>
          <c:spPr>
            <a:ln>
              <a:solidFill>
                <a:srgbClr val="B2EDEC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800" b="1" i="0"/>
                </a:pPr>
                <a:r>
                  <a:rPr lang="en-US"/>
                  <a:t>In million MVR</a:t>
                </a:r>
              </a:p>
            </c:rich>
          </c:tx>
          <c:layout>
            <c:manualLayout>
              <c:xMode val="edge"/>
              <c:yMode val="edge"/>
              <c:x val="9.5238095238095247E-3"/>
              <c:y val="0.39679067966798098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/>
            </a:pPr>
            <a:endParaRPr lang="en-US"/>
          </a:p>
        </c:txPr>
        <c:crossAx val="360658664"/>
        <c:crossesAt val="1"/>
        <c:crossBetween val="between"/>
      </c:valAx>
      <c:spPr>
        <a:solidFill>
          <a:srgbClr val="EAFAFA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6436805399325085"/>
          <c:y val="0.28518804417205601"/>
          <c:w val="0.29567576552930885"/>
          <c:h val="9.7863333943722153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586808</xdr:colOff>
      <xdr:row>22</xdr:row>
      <xdr:rowOff>102053</xdr:rowOff>
    </xdr:from>
    <xdr:ext cx="6667500" cy="2978263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304461</xdr:colOff>
      <xdr:row>23</xdr:row>
      <xdr:rowOff>64294</xdr:rowOff>
    </xdr:from>
    <xdr:ext cx="4330473" cy="266700"/>
    <xdr:sp macro="" textlink="">
      <xdr:nvSpPr>
        <xdr:cNvPr id="3" name="Shape 3"/>
        <xdr:cNvSpPr txBox="1"/>
      </xdr:nvSpPr>
      <xdr:spPr>
        <a:xfrm>
          <a:off x="3349059" y="5566682"/>
          <a:ext cx="4330473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+mn-lt"/>
              <a:ea typeface="Consolas"/>
              <a:cs typeface="Consolas"/>
              <a:sym typeface="Consolas"/>
            </a:rPr>
            <a:t>Figure 18.4: Pension payments made under different schemes, 2017 - 2020</a:t>
          </a:r>
          <a:endParaRPr sz="1400">
            <a:latin typeface="+mn-lt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+mn-lt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Q285"/>
  <sheetViews>
    <sheetView tabSelected="1" zoomScaleNormal="100" zoomScaleSheetLayoutView="112" workbookViewId="0">
      <selection activeCell="O27" sqref="O27"/>
    </sheetView>
  </sheetViews>
  <sheetFormatPr defaultColWidth="14.42578125" defaultRowHeight="15" customHeight="1" x14ac:dyDescent="0.25"/>
  <cols>
    <col min="1" max="1" width="9.7109375" style="2" customWidth="1"/>
    <col min="2" max="4" width="12" style="2" customWidth="1"/>
    <col min="5" max="5" width="13.28515625" style="2" customWidth="1"/>
    <col min="6" max="8" width="12" style="2" customWidth="1"/>
    <col min="9" max="9" width="11.140625" style="2" customWidth="1"/>
    <col min="10" max="16" width="12" style="2" customWidth="1"/>
    <col min="17" max="17" width="14.42578125" style="2" customWidth="1"/>
    <col min="18" max="23" width="15.140625" style="2" customWidth="1"/>
    <col min="24" max="24" width="24.7109375" style="2" customWidth="1"/>
    <col min="25" max="25" width="17" style="2" customWidth="1"/>
    <col min="26" max="26" width="9.7109375" style="2" customWidth="1"/>
    <col min="27" max="28" width="9.85546875" style="2" customWidth="1"/>
    <col min="29" max="29" width="10.140625" style="2" customWidth="1"/>
    <col min="30" max="34" width="10" style="2" customWidth="1"/>
    <col min="35" max="39" width="11" style="2" customWidth="1"/>
    <col min="40" max="40" width="15.140625" style="2" customWidth="1"/>
    <col min="41" max="16384" width="14.42578125" style="2"/>
  </cols>
  <sheetData>
    <row r="1" spans="1:40" ht="20.25" customHeight="1" x14ac:dyDescent="0.25">
      <c r="A1" s="76" t="s">
        <v>43</v>
      </c>
      <c r="B1" s="66"/>
      <c r="C1" s="67"/>
      <c r="D1" s="66"/>
      <c r="E1" s="67"/>
      <c r="F1" s="66"/>
      <c r="G1" s="67"/>
      <c r="H1" s="66"/>
      <c r="I1" s="67"/>
      <c r="J1" s="66"/>
      <c r="K1" s="66"/>
      <c r="L1" s="67"/>
      <c r="M1" s="67"/>
      <c r="N1" s="66"/>
      <c r="O1" s="66"/>
      <c r="P1" s="67"/>
      <c r="Q1" s="68"/>
      <c r="R1" s="11"/>
      <c r="S1" s="11"/>
      <c r="T1" s="11"/>
      <c r="U1" s="11"/>
      <c r="V1" s="11"/>
      <c r="W1" s="11"/>
      <c r="X1" s="77"/>
      <c r="Y1" s="66"/>
      <c r="Z1" s="68"/>
      <c r="AA1" s="1"/>
      <c r="AB1" s="1"/>
      <c r="AC1" s="1"/>
      <c r="AD1" s="1"/>
      <c r="AE1" s="1"/>
      <c r="AF1" s="12"/>
      <c r="AG1" s="1"/>
      <c r="AH1" s="12"/>
      <c r="AI1" s="1"/>
      <c r="AJ1" s="1"/>
      <c r="AK1" s="1"/>
      <c r="AL1" s="1"/>
      <c r="AM1" s="1"/>
      <c r="AN1" s="1"/>
    </row>
    <row r="2" spans="1:40" x14ac:dyDescent="0.25">
      <c r="A2" s="77" t="s">
        <v>44</v>
      </c>
      <c r="B2" s="66"/>
      <c r="C2" s="67"/>
      <c r="D2" s="66"/>
      <c r="E2" s="67"/>
      <c r="F2" s="66"/>
      <c r="G2" s="67"/>
      <c r="H2" s="66"/>
      <c r="I2" s="67"/>
      <c r="J2" s="66"/>
      <c r="K2" s="66"/>
      <c r="L2" s="67"/>
      <c r="M2" s="67"/>
      <c r="N2" s="66"/>
      <c r="O2" s="66"/>
      <c r="P2" s="67"/>
      <c r="Q2" s="68"/>
      <c r="R2" s="3"/>
      <c r="S2" s="3"/>
      <c r="T2" s="3"/>
      <c r="U2" s="3"/>
      <c r="V2" s="3"/>
      <c r="W2" s="3"/>
      <c r="X2" s="1"/>
      <c r="Y2" s="13"/>
      <c r="Z2" s="13"/>
      <c r="AA2" s="13"/>
      <c r="AB2" s="13"/>
      <c r="AC2" s="13"/>
      <c r="AD2" s="14"/>
      <c r="AE2" s="14"/>
      <c r="AF2" s="15"/>
      <c r="AG2" s="14"/>
      <c r="AH2" s="15"/>
      <c r="AI2" s="14"/>
      <c r="AJ2" s="16"/>
      <c r="AK2" s="1"/>
      <c r="AL2" s="1"/>
      <c r="AM2" s="1"/>
      <c r="AN2" s="1"/>
    </row>
    <row r="3" spans="1:40" ht="17.25" customHeight="1" x14ac:dyDescent="0.25">
      <c r="A3" s="79" t="s">
        <v>0</v>
      </c>
      <c r="B3" s="66"/>
      <c r="C3" s="67"/>
      <c r="D3" s="66"/>
      <c r="E3" s="67"/>
      <c r="F3" s="66"/>
      <c r="G3" s="67"/>
      <c r="H3" s="66"/>
      <c r="I3" s="67"/>
      <c r="J3" s="66"/>
      <c r="K3" s="66"/>
      <c r="L3" s="67"/>
      <c r="M3" s="67"/>
      <c r="N3" s="66"/>
      <c r="O3" s="66"/>
      <c r="P3" s="67"/>
      <c r="Q3" s="68"/>
      <c r="R3" s="3"/>
      <c r="S3" s="3"/>
      <c r="T3" s="3"/>
      <c r="U3" s="3"/>
      <c r="V3" s="3"/>
      <c r="W3" s="3"/>
      <c r="X3" s="5"/>
      <c r="Y3" s="17"/>
      <c r="Z3" s="17"/>
      <c r="AA3" s="17"/>
      <c r="AB3" s="17"/>
      <c r="AC3" s="17"/>
      <c r="AD3" s="18"/>
      <c r="AE3" s="18"/>
      <c r="AF3" s="19"/>
      <c r="AG3" s="18"/>
      <c r="AH3" s="19"/>
      <c r="AI3" s="18"/>
      <c r="AJ3" s="20"/>
      <c r="AK3" s="5"/>
      <c r="AL3" s="5"/>
      <c r="AM3" s="1"/>
      <c r="AN3" s="1"/>
    </row>
    <row r="4" spans="1:40" ht="1.5" customHeight="1" x14ac:dyDescent="0.25">
      <c r="A4" s="1"/>
      <c r="B4" s="1"/>
      <c r="C4" s="1"/>
      <c r="D4" s="1"/>
      <c r="E4" s="12"/>
      <c r="F4" s="1"/>
      <c r="G4" s="1"/>
      <c r="H4" s="1"/>
      <c r="I4" s="12"/>
      <c r="J4" s="1"/>
      <c r="K4" s="1"/>
      <c r="L4" s="12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3"/>
      <c r="Z4" s="13"/>
      <c r="AA4" s="13"/>
      <c r="AB4" s="13"/>
      <c r="AC4" s="13"/>
      <c r="AD4" s="14"/>
      <c r="AE4" s="14"/>
      <c r="AF4" s="15"/>
      <c r="AG4" s="14"/>
      <c r="AH4" s="15"/>
      <c r="AI4" s="14"/>
      <c r="AJ4" s="16"/>
      <c r="AK4" s="1"/>
      <c r="AL4" s="1"/>
      <c r="AM4" s="1"/>
      <c r="AN4" s="1"/>
    </row>
    <row r="5" spans="1:40" ht="17.25" customHeight="1" x14ac:dyDescent="0.25">
      <c r="A5" s="78" t="s">
        <v>1</v>
      </c>
      <c r="B5" s="82" t="s">
        <v>2</v>
      </c>
      <c r="C5" s="82"/>
      <c r="D5" s="82"/>
      <c r="E5" s="87"/>
      <c r="F5" s="82" t="s">
        <v>3</v>
      </c>
      <c r="G5" s="82"/>
      <c r="H5" s="82"/>
      <c r="I5" s="83"/>
      <c r="J5" s="81" t="s">
        <v>4</v>
      </c>
      <c r="K5" s="82"/>
      <c r="L5" s="82"/>
      <c r="M5" s="83"/>
      <c r="N5" s="86" t="s">
        <v>5</v>
      </c>
      <c r="O5" s="80"/>
      <c r="P5" s="80"/>
      <c r="Q5" s="69" t="s">
        <v>6</v>
      </c>
      <c r="R5" s="4"/>
      <c r="S5" s="4"/>
      <c r="T5" s="4"/>
      <c r="U5" s="4"/>
      <c r="V5" s="4"/>
      <c r="W5" s="4"/>
      <c r="X5" s="1"/>
      <c r="Y5" s="13"/>
      <c r="Z5" s="13"/>
      <c r="AA5" s="13"/>
      <c r="AB5" s="13"/>
      <c r="AC5" s="13"/>
      <c r="AD5" s="14"/>
      <c r="AE5" s="14"/>
      <c r="AF5" s="15"/>
      <c r="AG5" s="14"/>
      <c r="AH5" s="15"/>
      <c r="AI5" s="14"/>
      <c r="AJ5" s="16"/>
      <c r="AK5" s="1"/>
      <c r="AL5" s="1"/>
      <c r="AM5" s="1"/>
      <c r="AN5" s="1"/>
    </row>
    <row r="6" spans="1:40" ht="15" customHeight="1" x14ac:dyDescent="0.25">
      <c r="A6" s="70"/>
      <c r="B6" s="84" t="s">
        <v>8</v>
      </c>
      <c r="C6" s="84"/>
      <c r="D6" s="84"/>
      <c r="E6" s="88"/>
      <c r="F6" s="84" t="s">
        <v>9</v>
      </c>
      <c r="G6" s="84"/>
      <c r="H6" s="84"/>
      <c r="I6" s="85"/>
      <c r="J6" s="72" t="s">
        <v>10</v>
      </c>
      <c r="K6" s="73"/>
      <c r="L6" s="73"/>
      <c r="M6" s="74"/>
      <c r="N6" s="72" t="s">
        <v>11</v>
      </c>
      <c r="O6" s="73"/>
      <c r="P6" s="73"/>
      <c r="Q6" s="70"/>
      <c r="R6" s="4"/>
      <c r="S6" s="4"/>
      <c r="T6" s="4"/>
      <c r="U6" s="4"/>
      <c r="V6" s="4"/>
      <c r="W6" s="4"/>
      <c r="X6" s="1"/>
      <c r="Y6" s="13"/>
      <c r="Z6" s="13"/>
      <c r="AA6" s="13"/>
      <c r="AB6" s="13"/>
      <c r="AC6" s="13"/>
      <c r="AD6" s="14"/>
      <c r="AE6" s="14"/>
      <c r="AF6" s="15"/>
      <c r="AG6" s="14"/>
      <c r="AH6" s="15"/>
      <c r="AI6" s="14"/>
      <c r="AJ6" s="16"/>
      <c r="AK6" s="1"/>
      <c r="AL6" s="1"/>
      <c r="AM6" s="1"/>
      <c r="AN6" s="1"/>
    </row>
    <row r="7" spans="1:40" ht="18" customHeight="1" x14ac:dyDescent="0.25">
      <c r="A7" s="71"/>
      <c r="B7" s="8">
        <v>2017</v>
      </c>
      <c r="C7" s="8">
        <v>2018</v>
      </c>
      <c r="D7" s="8">
        <v>2019</v>
      </c>
      <c r="E7" s="89">
        <v>2020</v>
      </c>
      <c r="F7" s="8">
        <v>2017</v>
      </c>
      <c r="G7" s="48">
        <v>2018</v>
      </c>
      <c r="H7" s="48">
        <v>2019</v>
      </c>
      <c r="I7" s="7">
        <v>2020</v>
      </c>
      <c r="J7" s="8">
        <v>2017</v>
      </c>
      <c r="K7" s="48">
        <v>2018</v>
      </c>
      <c r="L7" s="48">
        <v>2019</v>
      </c>
      <c r="M7" s="9">
        <v>2020</v>
      </c>
      <c r="N7" s="6">
        <v>2017</v>
      </c>
      <c r="O7" s="6">
        <v>2018</v>
      </c>
      <c r="P7" s="48">
        <v>2019</v>
      </c>
      <c r="Q7" s="71"/>
      <c r="R7" s="4"/>
      <c r="S7" s="4"/>
      <c r="T7" s="4"/>
      <c r="U7" s="4"/>
      <c r="V7" s="4"/>
      <c r="W7" s="4"/>
      <c r="X7" s="1"/>
      <c r="Y7" s="13"/>
      <c r="Z7" s="13"/>
      <c r="AA7" s="13"/>
      <c r="AB7" s="13"/>
      <c r="AC7" s="13"/>
      <c r="AD7" s="14"/>
      <c r="AE7" s="14"/>
      <c r="AF7" s="15"/>
      <c r="AG7" s="14"/>
      <c r="AH7" s="15"/>
      <c r="AI7" s="14"/>
      <c r="AJ7" s="16"/>
      <c r="AK7" s="1"/>
      <c r="AL7" s="1"/>
      <c r="AM7" s="1"/>
      <c r="AN7" s="1"/>
    </row>
    <row r="8" spans="1:40" ht="21.75" customHeight="1" x14ac:dyDescent="0.25">
      <c r="A8" s="21" t="s">
        <v>12</v>
      </c>
      <c r="B8" s="53">
        <f t="shared" ref="B8:O8" si="0">SUM(B9:B20)</f>
        <v>435251368.24000001</v>
      </c>
      <c r="C8" s="53">
        <f t="shared" ref="C8" si="1">SUM(C9:C20)</f>
        <v>443152107.85000008</v>
      </c>
      <c r="D8" s="53">
        <f t="shared" si="0"/>
        <v>903984286.05999994</v>
      </c>
      <c r="E8" s="90">
        <f t="shared" si="0"/>
        <v>1033206966.9300001</v>
      </c>
      <c r="F8" s="53">
        <f t="shared" si="0"/>
        <v>54585241.880000003</v>
      </c>
      <c r="G8" s="53">
        <f t="shared" ref="G8" si="2">SUM(G9:G20)</f>
        <v>58618929.450000003</v>
      </c>
      <c r="H8" s="53">
        <f t="shared" si="0"/>
        <v>90949201.129999995</v>
      </c>
      <c r="I8" s="64">
        <f t="shared" si="0"/>
        <v>102480521.42999998</v>
      </c>
      <c r="J8" s="53">
        <f t="shared" si="0"/>
        <v>270657227.73000002</v>
      </c>
      <c r="K8" s="53">
        <f t="shared" si="0"/>
        <v>280560577.88999999</v>
      </c>
      <c r="L8" s="53">
        <f t="shared" ref="L8:M8" si="3">SUM(L9:L20)</f>
        <v>297502868.85000002</v>
      </c>
      <c r="M8" s="56">
        <f t="shared" si="3"/>
        <v>292838541.17999995</v>
      </c>
      <c r="N8" s="22">
        <f t="shared" si="0"/>
        <v>539036947.02999997</v>
      </c>
      <c r="O8" s="22">
        <f t="shared" si="0"/>
        <v>550823763.64999998</v>
      </c>
      <c r="P8" s="22">
        <f>SUM(P9:P20)</f>
        <v>93669343.139999986</v>
      </c>
      <c r="Q8" s="23" t="s">
        <v>7</v>
      </c>
      <c r="R8" s="23"/>
      <c r="S8" s="23"/>
      <c r="T8" s="23"/>
      <c r="U8" s="23"/>
      <c r="V8" s="23"/>
      <c r="W8" s="23"/>
      <c r="X8" s="1"/>
      <c r="Y8" s="13"/>
      <c r="Z8" s="13"/>
      <c r="AA8" s="13"/>
      <c r="AB8" s="13"/>
      <c r="AC8" s="13"/>
      <c r="AD8" s="14"/>
      <c r="AE8" s="14"/>
      <c r="AF8" s="15"/>
      <c r="AG8" s="14"/>
      <c r="AH8" s="15"/>
      <c r="AI8" s="14"/>
      <c r="AJ8" s="16"/>
      <c r="AK8" s="1"/>
      <c r="AL8" s="1"/>
      <c r="AM8" s="1"/>
      <c r="AN8" s="1"/>
    </row>
    <row r="9" spans="1:40" ht="21.75" customHeight="1" x14ac:dyDescent="0.25">
      <c r="A9" s="51" t="s">
        <v>13</v>
      </c>
      <c r="B9" s="49">
        <v>35968949.509999998</v>
      </c>
      <c r="C9" s="54">
        <v>36747189</v>
      </c>
      <c r="D9" s="58">
        <v>37367611.450000003</v>
      </c>
      <c r="E9" s="91">
        <v>84205179.430000007</v>
      </c>
      <c r="F9" s="49">
        <v>3393007.22</v>
      </c>
      <c r="G9" s="54">
        <v>4966924.1900000004</v>
      </c>
      <c r="H9" s="54">
        <v>4881882.46</v>
      </c>
      <c r="I9" s="59">
        <v>7908459.1699999999</v>
      </c>
      <c r="J9" s="49">
        <v>21353747.300000001</v>
      </c>
      <c r="K9" s="54">
        <v>22997843.920000002</v>
      </c>
      <c r="L9" s="54">
        <v>23408249.120000001</v>
      </c>
      <c r="M9" s="59">
        <v>24744606.129999999</v>
      </c>
      <c r="N9" s="24">
        <v>44461770.149999999</v>
      </c>
      <c r="O9" s="25">
        <v>45577506.369999997</v>
      </c>
      <c r="P9" s="60">
        <v>46596972.479999997</v>
      </c>
      <c r="Q9" s="26" t="s">
        <v>14</v>
      </c>
      <c r="R9" s="26"/>
      <c r="S9" s="26"/>
      <c r="T9" s="27"/>
      <c r="U9" s="26"/>
      <c r="V9" s="26"/>
      <c r="W9" s="26"/>
      <c r="X9" s="28"/>
      <c r="Y9" s="29"/>
      <c r="Z9" s="13"/>
      <c r="AA9" s="13"/>
      <c r="AB9" s="13"/>
      <c r="AC9" s="1"/>
      <c r="AD9" s="14"/>
      <c r="AE9" s="14"/>
      <c r="AF9" s="15"/>
      <c r="AG9" s="14"/>
      <c r="AH9" s="15"/>
      <c r="AI9" s="14"/>
      <c r="AJ9" s="16"/>
      <c r="AK9" s="1"/>
      <c r="AL9" s="1"/>
      <c r="AM9" s="1"/>
      <c r="AN9" s="1"/>
    </row>
    <row r="10" spans="1:40" ht="21.75" customHeight="1" x14ac:dyDescent="0.25">
      <c r="A10" s="51" t="s">
        <v>15</v>
      </c>
      <c r="B10" s="49">
        <v>36236211.920000002</v>
      </c>
      <c r="C10" s="54">
        <v>37048460.609999999</v>
      </c>
      <c r="D10" s="58">
        <v>37717369.780000001</v>
      </c>
      <c r="E10" s="91">
        <v>85047798.390000001</v>
      </c>
      <c r="F10" s="49">
        <v>2997796.21</v>
      </c>
      <c r="G10" s="54">
        <v>4755147.32</v>
      </c>
      <c r="H10" s="54">
        <v>4799866.7699999996</v>
      </c>
      <c r="I10" s="59">
        <v>9223041.8300000001</v>
      </c>
      <c r="J10" s="49">
        <v>24529736.510000002</v>
      </c>
      <c r="K10" s="54">
        <v>25982204.170000002</v>
      </c>
      <c r="L10" s="54">
        <v>28786380.350000001</v>
      </c>
      <c r="M10" s="59">
        <v>24562857.760000002</v>
      </c>
      <c r="N10" s="24">
        <v>44810914.170000002</v>
      </c>
      <c r="O10" s="25">
        <v>46034387.5</v>
      </c>
      <c r="P10" s="60">
        <v>47072370.659999996</v>
      </c>
      <c r="Q10" s="26" t="s">
        <v>16</v>
      </c>
      <c r="R10" s="26"/>
      <c r="S10" s="26"/>
      <c r="T10" s="27"/>
      <c r="U10" s="26"/>
      <c r="V10" s="26"/>
      <c r="W10" s="26"/>
      <c r="X10" s="1"/>
      <c r="Y10" s="29"/>
      <c r="Z10" s="13"/>
      <c r="AA10" s="13"/>
      <c r="AB10" s="13"/>
      <c r="AC10" s="1"/>
      <c r="AD10" s="14"/>
      <c r="AE10" s="14"/>
      <c r="AF10" s="15"/>
      <c r="AG10" s="14"/>
      <c r="AH10" s="15"/>
      <c r="AI10" s="14"/>
      <c r="AJ10" s="16"/>
      <c r="AK10" s="1"/>
      <c r="AL10" s="1"/>
      <c r="AM10" s="1"/>
      <c r="AN10" s="1"/>
    </row>
    <row r="11" spans="1:40" ht="21.75" customHeight="1" x14ac:dyDescent="0.25">
      <c r="A11" s="51" t="s">
        <v>17</v>
      </c>
      <c r="B11" s="49">
        <v>36116743.340000004</v>
      </c>
      <c r="C11" s="54">
        <v>36970764.030000001</v>
      </c>
      <c r="D11" s="58">
        <v>82659651.840000004</v>
      </c>
      <c r="E11" s="91">
        <v>85530868.75</v>
      </c>
      <c r="F11" s="49">
        <v>4636382.8099999996</v>
      </c>
      <c r="G11" s="54">
        <v>6350919.9199999999</v>
      </c>
      <c r="H11" s="54">
        <v>9185687.6699999999</v>
      </c>
      <c r="I11" s="59">
        <v>9275531.8399999999</v>
      </c>
      <c r="J11" s="49">
        <v>20762005.899999999</v>
      </c>
      <c r="K11" s="54">
        <v>23647457.32</v>
      </c>
      <c r="L11" s="54">
        <v>21772901.25</v>
      </c>
      <c r="M11" s="59">
        <v>27314533.890000001</v>
      </c>
      <c r="N11" s="24">
        <v>44721757.189999998</v>
      </c>
      <c r="O11" s="25">
        <v>45909139.420000002</v>
      </c>
      <c r="P11" s="60">
        <v>0</v>
      </c>
      <c r="Q11" s="26" t="s">
        <v>18</v>
      </c>
      <c r="R11" s="26"/>
      <c r="S11" s="26"/>
      <c r="T11" s="27"/>
      <c r="U11" s="26"/>
      <c r="V11" s="26"/>
      <c r="W11" s="26"/>
      <c r="X11" s="1"/>
      <c r="Y11" s="29"/>
      <c r="Z11" s="13"/>
      <c r="AA11" s="13"/>
      <c r="AB11" s="13"/>
      <c r="AC11" s="13"/>
      <c r="AD11" s="14"/>
      <c r="AE11" s="14"/>
      <c r="AF11" s="15"/>
      <c r="AG11" s="14"/>
      <c r="AH11" s="15"/>
      <c r="AI11" s="14"/>
      <c r="AJ11" s="16"/>
      <c r="AK11" s="1"/>
      <c r="AL11" s="1"/>
      <c r="AM11" s="1"/>
      <c r="AN11" s="1"/>
    </row>
    <row r="12" spans="1:40" ht="21.75" customHeight="1" x14ac:dyDescent="0.25">
      <c r="A12" s="51" t="s">
        <v>19</v>
      </c>
      <c r="B12" s="49">
        <v>36230750.740000002</v>
      </c>
      <c r="C12" s="54">
        <v>37007732.969999999</v>
      </c>
      <c r="D12" s="58">
        <v>82729665.810000002</v>
      </c>
      <c r="E12" s="91">
        <v>85495145.260000005</v>
      </c>
      <c r="F12" s="49">
        <v>6677343.46</v>
      </c>
      <c r="G12" s="54">
        <v>3639247.26</v>
      </c>
      <c r="H12" s="54">
        <v>8156775.1699999999</v>
      </c>
      <c r="I12" s="59">
        <v>7369249.71</v>
      </c>
      <c r="J12" s="49">
        <v>24685532.059999999</v>
      </c>
      <c r="K12" s="54">
        <v>23186276.129999999</v>
      </c>
      <c r="L12" s="54">
        <v>25267956.949999999</v>
      </c>
      <c r="M12" s="59">
        <v>23545193.949999999</v>
      </c>
      <c r="N12" s="24">
        <v>44880317.399999999</v>
      </c>
      <c r="O12" s="25">
        <v>45996533.189999998</v>
      </c>
      <c r="P12" s="60">
        <v>0</v>
      </c>
      <c r="Q12" s="26" t="s">
        <v>20</v>
      </c>
      <c r="R12" s="26"/>
      <c r="S12" s="26"/>
      <c r="T12" s="27"/>
      <c r="U12" s="26"/>
      <c r="V12" s="26"/>
      <c r="W12" s="26"/>
      <c r="X12" s="1"/>
      <c r="Y12" s="29"/>
      <c r="Z12" s="13"/>
      <c r="AA12" s="13"/>
      <c r="AB12" s="13"/>
      <c r="AC12" s="13"/>
      <c r="AD12" s="14"/>
      <c r="AE12" s="14"/>
      <c r="AF12" s="15"/>
      <c r="AG12" s="14"/>
      <c r="AH12" s="15"/>
      <c r="AI12" s="14"/>
      <c r="AJ12" s="16"/>
      <c r="AK12" s="1"/>
      <c r="AL12" s="1"/>
      <c r="AM12" s="1"/>
      <c r="AN12" s="1"/>
    </row>
    <row r="13" spans="1:40" ht="21.75" customHeight="1" x14ac:dyDescent="0.25">
      <c r="A13" s="51" t="s">
        <v>21</v>
      </c>
      <c r="B13" s="49">
        <v>36355611.409999996</v>
      </c>
      <c r="C13" s="54">
        <v>36938771.509999998</v>
      </c>
      <c r="D13" s="58">
        <v>82872266.040000007</v>
      </c>
      <c r="E13" s="91">
        <v>85433568.219999999</v>
      </c>
      <c r="F13" s="49">
        <v>5085268.92</v>
      </c>
      <c r="G13" s="54">
        <v>3884879.53</v>
      </c>
      <c r="H13" s="54">
        <v>7823514.8600000003</v>
      </c>
      <c r="I13" s="59">
        <v>7054956.5499999998</v>
      </c>
      <c r="J13" s="49">
        <v>22403673.059999999</v>
      </c>
      <c r="K13" s="54">
        <v>24211040.039999999</v>
      </c>
      <c r="L13" s="54">
        <v>22562985.719999999</v>
      </c>
      <c r="M13" s="59">
        <v>24089928.109999999</v>
      </c>
      <c r="N13" s="24">
        <v>45031827.07</v>
      </c>
      <c r="O13" s="25">
        <v>45905014</v>
      </c>
      <c r="P13" s="60">
        <v>0</v>
      </c>
      <c r="Q13" s="26" t="s">
        <v>22</v>
      </c>
      <c r="R13" s="26"/>
      <c r="S13" s="26"/>
      <c r="T13" s="26"/>
      <c r="U13" s="26"/>
      <c r="V13" s="26"/>
      <c r="W13" s="26"/>
      <c r="X13" s="1"/>
      <c r="Y13" s="29"/>
      <c r="Z13" s="13"/>
      <c r="AA13" s="13"/>
      <c r="AB13" s="13"/>
      <c r="AC13" s="13"/>
      <c r="AD13" s="14"/>
      <c r="AE13" s="14"/>
      <c r="AF13" s="15"/>
      <c r="AG13" s="14"/>
      <c r="AH13" s="15"/>
      <c r="AI13" s="14"/>
      <c r="AJ13" s="16"/>
      <c r="AK13" s="1"/>
      <c r="AL13" s="1"/>
      <c r="AM13" s="1"/>
      <c r="AN13" s="1"/>
    </row>
    <row r="14" spans="1:40" ht="21.75" customHeight="1" x14ac:dyDescent="0.25">
      <c r="A14" s="51" t="s">
        <v>23</v>
      </c>
      <c r="B14" s="49">
        <v>36298219.840000004</v>
      </c>
      <c r="C14" s="54">
        <v>36925696.890000001</v>
      </c>
      <c r="D14" s="58">
        <v>82855364.069999993</v>
      </c>
      <c r="E14" s="91">
        <v>85894473.629999995</v>
      </c>
      <c r="F14" s="49">
        <v>3981105.07</v>
      </c>
      <c r="G14" s="54">
        <v>5207816.67</v>
      </c>
      <c r="H14" s="54">
        <v>8322492.2300000004</v>
      </c>
      <c r="I14" s="59">
        <v>8321216.6799999997</v>
      </c>
      <c r="J14" s="49">
        <v>20519433.440000001</v>
      </c>
      <c r="K14" s="54">
        <v>22605156.52</v>
      </c>
      <c r="L14" s="54">
        <v>24962914.370000001</v>
      </c>
      <c r="M14" s="59">
        <v>23527835.149999999</v>
      </c>
      <c r="N14" s="24">
        <v>44946197.149999999</v>
      </c>
      <c r="O14" s="25">
        <v>45901185.25</v>
      </c>
      <c r="P14" s="60">
        <v>0</v>
      </c>
      <c r="Q14" s="26" t="s">
        <v>24</v>
      </c>
      <c r="R14" s="26"/>
      <c r="S14" s="26"/>
      <c r="T14" s="26"/>
      <c r="U14" s="26"/>
      <c r="V14" s="26"/>
      <c r="W14" s="26"/>
      <c r="X14" s="1"/>
      <c r="Y14" s="29"/>
      <c r="Z14" s="13"/>
      <c r="AA14" s="13"/>
      <c r="AB14" s="13"/>
      <c r="AC14" s="13"/>
      <c r="AD14" s="14"/>
      <c r="AE14" s="14"/>
      <c r="AF14" s="15"/>
      <c r="AG14" s="14"/>
      <c r="AH14" s="15"/>
      <c r="AI14" s="14"/>
      <c r="AJ14" s="16"/>
      <c r="AK14" s="1"/>
      <c r="AL14" s="1"/>
      <c r="AM14" s="1"/>
      <c r="AN14" s="1"/>
    </row>
    <row r="15" spans="1:40" ht="21.75" customHeight="1" x14ac:dyDescent="0.25">
      <c r="A15" s="51" t="s">
        <v>25</v>
      </c>
      <c r="B15" s="49">
        <v>36318836.100000001</v>
      </c>
      <c r="C15" s="54">
        <v>36963420.649999999</v>
      </c>
      <c r="D15" s="58">
        <v>82876358.700000003</v>
      </c>
      <c r="E15" s="91">
        <v>86286402.700000003</v>
      </c>
      <c r="F15" s="49">
        <v>5261600.0999999996</v>
      </c>
      <c r="G15" s="54">
        <v>5418440.29</v>
      </c>
      <c r="H15" s="54">
        <v>7757548.4100000001</v>
      </c>
      <c r="I15" s="59">
        <v>8882763.3300000001</v>
      </c>
      <c r="J15" s="49">
        <v>24752976.48</v>
      </c>
      <c r="K15" s="54">
        <v>21475970.510000002</v>
      </c>
      <c r="L15" s="54">
        <v>23811099.420000002</v>
      </c>
      <c r="M15" s="59">
        <v>24101938.379999999</v>
      </c>
      <c r="N15" s="24">
        <v>44989173.789999999</v>
      </c>
      <c r="O15" s="25">
        <v>45986715.799999997</v>
      </c>
      <c r="P15" s="60">
        <v>0</v>
      </c>
      <c r="Q15" s="26" t="s">
        <v>26</v>
      </c>
      <c r="R15" s="26"/>
      <c r="S15" s="26"/>
      <c r="T15" s="26"/>
      <c r="U15" s="26"/>
      <c r="V15" s="26"/>
      <c r="W15" s="26"/>
      <c r="X15" s="1"/>
      <c r="Y15" s="29"/>
      <c r="Z15" s="13"/>
      <c r="AA15" s="13"/>
      <c r="AB15" s="13"/>
      <c r="AC15" s="13"/>
      <c r="AD15" s="14"/>
      <c r="AE15" s="14"/>
      <c r="AF15" s="15"/>
      <c r="AG15" s="14"/>
      <c r="AH15" s="15"/>
      <c r="AI15" s="14"/>
      <c r="AJ15" s="16"/>
      <c r="AK15" s="1"/>
      <c r="AL15" s="1"/>
      <c r="AM15" s="1"/>
      <c r="AN15" s="1"/>
    </row>
    <row r="16" spans="1:40" ht="21.75" customHeight="1" x14ac:dyDescent="0.25">
      <c r="A16" s="51" t="s">
        <v>27</v>
      </c>
      <c r="B16" s="49">
        <v>36412397.18</v>
      </c>
      <c r="C16" s="54">
        <v>36987685.469999999</v>
      </c>
      <c r="D16" s="58">
        <v>82969241.530000001</v>
      </c>
      <c r="E16" s="91">
        <v>86468412.319999993</v>
      </c>
      <c r="F16" s="49">
        <v>5162412.24</v>
      </c>
      <c r="G16" s="54">
        <v>4193156.14</v>
      </c>
      <c r="H16" s="54">
        <v>7957664.3899999997</v>
      </c>
      <c r="I16" s="59">
        <v>8232170.2400000002</v>
      </c>
      <c r="J16" s="49">
        <v>22454599.140000001</v>
      </c>
      <c r="K16" s="54">
        <v>23526425.82</v>
      </c>
      <c r="L16" s="54">
        <v>24308700.02</v>
      </c>
      <c r="M16" s="59">
        <v>23542787.829999998</v>
      </c>
      <c r="N16" s="24">
        <v>45041925.409999996</v>
      </c>
      <c r="O16" s="25">
        <v>46020459.649999999</v>
      </c>
      <c r="P16" s="60">
        <v>0</v>
      </c>
      <c r="Q16" s="26" t="s">
        <v>28</v>
      </c>
      <c r="R16" s="26"/>
      <c r="S16" s="26"/>
      <c r="T16" s="26"/>
      <c r="U16" s="26"/>
      <c r="V16" s="26"/>
      <c r="W16" s="26"/>
      <c r="X16" s="1"/>
      <c r="Y16" s="29"/>
      <c r="Z16" s="13"/>
      <c r="AA16" s="13"/>
      <c r="AB16" s="13"/>
      <c r="AC16" s="13"/>
      <c r="AD16" s="14"/>
      <c r="AE16" s="14"/>
      <c r="AF16" s="15"/>
      <c r="AG16" s="14"/>
      <c r="AH16" s="15"/>
      <c r="AI16" s="14"/>
      <c r="AJ16" s="16"/>
      <c r="AK16" s="1"/>
      <c r="AL16" s="1"/>
      <c r="AM16" s="1"/>
      <c r="AN16" s="1"/>
    </row>
    <row r="17" spans="1:43" ht="21.75" customHeight="1" x14ac:dyDescent="0.25">
      <c r="A17" s="51" t="s">
        <v>29</v>
      </c>
      <c r="B17" s="49">
        <v>36446247.899999999</v>
      </c>
      <c r="C17" s="54">
        <v>36970532.670000002</v>
      </c>
      <c r="D17" s="58">
        <v>82971084.75</v>
      </c>
      <c r="E17" s="91">
        <v>87650800.219999999</v>
      </c>
      <c r="F17" s="49">
        <v>4291130.3600000003</v>
      </c>
      <c r="G17" s="54">
        <v>4639134.76</v>
      </c>
      <c r="H17" s="54">
        <v>7482628.8099999996</v>
      </c>
      <c r="I17" s="59">
        <v>10867602.789999999</v>
      </c>
      <c r="J17" s="49">
        <v>22721163.620000001</v>
      </c>
      <c r="K17" s="54">
        <v>23246985.52</v>
      </c>
      <c r="L17" s="54">
        <v>25061212</v>
      </c>
      <c r="M17" s="59">
        <v>24651010.469999999</v>
      </c>
      <c r="N17" s="24">
        <v>45281804.299999997</v>
      </c>
      <c r="O17" s="25">
        <v>45982647.130000003</v>
      </c>
      <c r="P17" s="60">
        <v>0</v>
      </c>
      <c r="Q17" s="26" t="s">
        <v>30</v>
      </c>
      <c r="R17" s="26"/>
      <c r="S17" s="26"/>
      <c r="T17" s="26"/>
      <c r="U17" s="26"/>
      <c r="V17" s="26"/>
      <c r="W17" s="26"/>
      <c r="X17" s="1"/>
      <c r="Y17" s="29"/>
      <c r="Z17" s="13"/>
      <c r="AA17" s="13"/>
      <c r="AB17" s="13"/>
      <c r="AC17" s="13"/>
      <c r="AD17" s="14"/>
      <c r="AE17" s="14"/>
      <c r="AF17" s="15"/>
      <c r="AG17" s="14"/>
      <c r="AH17" s="15"/>
      <c r="AI17" s="14"/>
      <c r="AJ17" s="16"/>
      <c r="AK17" s="1"/>
      <c r="AL17" s="1"/>
      <c r="AM17" s="1"/>
      <c r="AN17" s="1"/>
    </row>
    <row r="18" spans="1:43" ht="21.75" customHeight="1" x14ac:dyDescent="0.25">
      <c r="A18" s="51" t="s">
        <v>31</v>
      </c>
      <c r="B18" s="49">
        <v>36282949.869999997</v>
      </c>
      <c r="C18" s="54">
        <v>36881683.780000001</v>
      </c>
      <c r="D18" s="58">
        <v>83061418.120000005</v>
      </c>
      <c r="E18" s="91">
        <v>87032361.140000001</v>
      </c>
      <c r="F18" s="49">
        <v>5262311.57</v>
      </c>
      <c r="G18" s="54">
        <v>5013889.07</v>
      </c>
      <c r="H18" s="54">
        <v>9656842.9100000001</v>
      </c>
      <c r="I18" s="59">
        <v>7840916.3700000001</v>
      </c>
      <c r="J18" s="49">
        <v>22527771.489999998</v>
      </c>
      <c r="K18" s="54">
        <v>23295345.75</v>
      </c>
      <c r="L18" s="54">
        <v>25380520.93</v>
      </c>
      <c r="M18" s="59">
        <v>23501154.859999999</v>
      </c>
      <c r="N18" s="24">
        <v>44969354.149999999</v>
      </c>
      <c r="O18" s="25">
        <v>45894130.229999997</v>
      </c>
      <c r="P18" s="60">
        <v>0</v>
      </c>
      <c r="Q18" s="26" t="s">
        <v>32</v>
      </c>
      <c r="R18" s="26"/>
      <c r="S18" s="26"/>
      <c r="T18" s="26"/>
      <c r="U18" s="26"/>
      <c r="V18" s="26"/>
      <c r="W18" s="26"/>
      <c r="X18" s="1"/>
      <c r="Y18" s="29"/>
      <c r="Z18" s="13"/>
      <c r="AA18" s="13"/>
      <c r="AB18" s="13"/>
      <c r="AC18" s="13"/>
      <c r="AD18" s="14"/>
      <c r="AE18" s="14"/>
      <c r="AF18" s="15"/>
      <c r="AG18" s="14"/>
      <c r="AH18" s="15"/>
      <c r="AI18" s="14"/>
      <c r="AJ18" s="16"/>
      <c r="AK18" s="1"/>
      <c r="AL18" s="1"/>
      <c r="AM18" s="1"/>
      <c r="AN18" s="1"/>
    </row>
    <row r="19" spans="1:43" ht="21.75" customHeight="1" x14ac:dyDescent="0.55000000000000004">
      <c r="A19" s="51" t="s">
        <v>33</v>
      </c>
      <c r="B19" s="49">
        <v>36333466.950000003</v>
      </c>
      <c r="C19" s="54">
        <v>36867780.420000002</v>
      </c>
      <c r="D19" s="58">
        <v>83011338.040000007</v>
      </c>
      <c r="E19" s="91">
        <v>86878170.810000002</v>
      </c>
      <c r="F19" s="49">
        <v>4462791.46</v>
      </c>
      <c r="G19" s="54">
        <v>6112626.2000000002</v>
      </c>
      <c r="H19" s="54">
        <v>7534728.5499999998</v>
      </c>
      <c r="I19" s="59">
        <v>8670293.7899999991</v>
      </c>
      <c r="J19" s="49">
        <v>22169535.789999999</v>
      </c>
      <c r="K19" s="54">
        <v>23794397.079999998</v>
      </c>
      <c r="L19" s="54">
        <v>28905318</v>
      </c>
      <c r="M19" s="59">
        <v>25078148.149999999</v>
      </c>
      <c r="N19" s="24">
        <v>45004333.439999998</v>
      </c>
      <c r="O19" s="25">
        <v>45831243.82</v>
      </c>
      <c r="P19" s="60">
        <v>0</v>
      </c>
      <c r="Q19" s="30" t="s">
        <v>34</v>
      </c>
      <c r="R19" s="30"/>
      <c r="S19" s="30"/>
      <c r="T19" s="30"/>
      <c r="U19" s="30"/>
      <c r="V19" s="30"/>
      <c r="W19" s="30"/>
      <c r="X19" s="1"/>
      <c r="Y19" s="29"/>
      <c r="Z19" s="13"/>
      <c r="AA19" s="13"/>
      <c r="AB19" s="13"/>
      <c r="AC19" s="13"/>
      <c r="AD19" s="14"/>
      <c r="AE19" s="14"/>
      <c r="AF19" s="15"/>
      <c r="AG19" s="14"/>
      <c r="AH19" s="15"/>
      <c r="AI19" s="14"/>
      <c r="AJ19" s="16"/>
      <c r="AK19" s="1"/>
      <c r="AL19" s="1"/>
      <c r="AM19" s="1"/>
      <c r="AN19" s="1"/>
    </row>
    <row r="20" spans="1:43" ht="21.75" customHeight="1" x14ac:dyDescent="0.25">
      <c r="A20" s="52" t="s">
        <v>35</v>
      </c>
      <c r="B20" s="50">
        <v>36250983.479999997</v>
      </c>
      <c r="C20" s="55">
        <v>36842389.850000001</v>
      </c>
      <c r="D20" s="61">
        <v>82892915.930000007</v>
      </c>
      <c r="E20" s="92">
        <v>87283786.060000002</v>
      </c>
      <c r="F20" s="50">
        <v>3374092.46</v>
      </c>
      <c r="G20" s="55">
        <v>4436748.0999999996</v>
      </c>
      <c r="H20" s="55">
        <v>7389568.9000000004</v>
      </c>
      <c r="I20" s="62">
        <v>8834319.1300000008</v>
      </c>
      <c r="J20" s="50">
        <v>21777052.940000001</v>
      </c>
      <c r="K20" s="55">
        <v>22591475.109999999</v>
      </c>
      <c r="L20" s="55">
        <v>23274630.719999999</v>
      </c>
      <c r="M20" s="62">
        <v>24178546.5</v>
      </c>
      <c r="N20" s="31">
        <v>44897572.810000002</v>
      </c>
      <c r="O20" s="32">
        <v>45784801.289999999</v>
      </c>
      <c r="P20" s="63">
        <v>0</v>
      </c>
      <c r="Q20" s="33" t="s">
        <v>36</v>
      </c>
      <c r="R20" s="26"/>
      <c r="S20" s="26"/>
      <c r="T20" s="26"/>
      <c r="U20" s="26"/>
      <c r="V20" s="26"/>
      <c r="W20" s="26"/>
      <c r="X20" s="1"/>
      <c r="Y20" s="29"/>
      <c r="Z20" s="13"/>
      <c r="AA20" s="13"/>
      <c r="AB20" s="13"/>
      <c r="AC20" s="13"/>
      <c r="AD20" s="14"/>
      <c r="AE20" s="14"/>
      <c r="AF20" s="15"/>
      <c r="AG20" s="14"/>
      <c r="AH20" s="15"/>
      <c r="AI20" s="14"/>
      <c r="AJ20" s="16"/>
      <c r="AK20" s="1"/>
      <c r="AL20" s="1"/>
      <c r="AM20" s="1"/>
      <c r="AN20" s="1"/>
    </row>
    <row r="21" spans="1:43" ht="17.25" customHeight="1" x14ac:dyDescent="0.25">
      <c r="A21" s="34" t="s">
        <v>42</v>
      </c>
      <c r="B21" s="35"/>
      <c r="C21" s="35"/>
      <c r="D21" s="35"/>
      <c r="E21" s="42"/>
      <c r="F21" s="35"/>
      <c r="G21" s="35"/>
      <c r="H21" s="35"/>
      <c r="I21" s="65"/>
      <c r="J21" s="35"/>
      <c r="K21" s="35"/>
      <c r="L21" s="42"/>
      <c r="M21" s="42"/>
      <c r="N21" s="35"/>
      <c r="O21" s="35"/>
      <c r="P21" s="35"/>
      <c r="Q21" s="57" t="s">
        <v>41</v>
      </c>
      <c r="R21" s="36"/>
      <c r="S21" s="36"/>
      <c r="T21" s="36"/>
      <c r="U21" s="36"/>
      <c r="V21" s="36"/>
      <c r="W21" s="36"/>
      <c r="X21" s="35"/>
      <c r="Y21" s="29"/>
      <c r="Z21" s="13"/>
      <c r="AA21" s="13"/>
      <c r="AB21" s="13"/>
      <c r="AC21" s="13"/>
      <c r="AD21" s="13"/>
      <c r="AE21" s="13"/>
      <c r="AF21" s="37"/>
      <c r="AG21" s="13"/>
      <c r="AH21" s="37"/>
      <c r="AI21" s="13"/>
      <c r="AJ21" s="35"/>
      <c r="AK21" s="35"/>
      <c r="AL21" s="35"/>
      <c r="AM21" s="1"/>
      <c r="AN21" s="1"/>
    </row>
    <row r="22" spans="1:43" ht="17.25" customHeight="1" x14ac:dyDescent="0.45">
      <c r="A22" s="38" t="s">
        <v>37</v>
      </c>
      <c r="B22" s="35"/>
      <c r="C22" s="35"/>
      <c r="D22" s="35"/>
      <c r="E22" s="42"/>
      <c r="F22" s="39"/>
      <c r="G22" s="39"/>
      <c r="H22" s="39"/>
      <c r="I22" s="65"/>
      <c r="J22" s="35"/>
      <c r="K22" s="35"/>
      <c r="L22" s="42"/>
      <c r="M22" s="42"/>
      <c r="N22" s="35"/>
      <c r="O22" s="35"/>
      <c r="P22" s="35"/>
      <c r="Q22" s="40" t="s">
        <v>38</v>
      </c>
      <c r="R22" s="41"/>
      <c r="S22" s="41"/>
      <c r="T22" s="41"/>
      <c r="U22" s="41"/>
      <c r="V22" s="41"/>
      <c r="W22" s="41"/>
      <c r="X22" s="35"/>
      <c r="Y22" s="29"/>
      <c r="Z22" s="75" t="s">
        <v>39</v>
      </c>
      <c r="AA22" s="66"/>
      <c r="AB22" s="66"/>
      <c r="AC22" s="68"/>
      <c r="AD22" s="35"/>
      <c r="AE22" s="35"/>
      <c r="AF22" s="42"/>
      <c r="AG22" s="35"/>
      <c r="AH22" s="42"/>
      <c r="AI22" s="75" t="s">
        <v>40</v>
      </c>
      <c r="AJ22" s="66"/>
      <c r="AK22" s="66"/>
      <c r="AL22" s="68"/>
      <c r="AM22" s="1"/>
      <c r="AN22" s="1"/>
    </row>
    <row r="23" spans="1:43" ht="15.75" customHeight="1" x14ac:dyDescent="0.25">
      <c r="A23" s="1"/>
      <c r="B23" s="1"/>
      <c r="C23" s="1"/>
      <c r="D23" s="1"/>
      <c r="E23" s="12"/>
      <c r="F23" s="1"/>
      <c r="G23" s="1"/>
      <c r="H23" s="1"/>
      <c r="I23" s="12"/>
      <c r="J23" s="1"/>
      <c r="K23" s="1"/>
      <c r="L23" s="12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29"/>
      <c r="Z23" s="13">
        <v>2012</v>
      </c>
      <c r="AA23" s="13">
        <v>2013</v>
      </c>
      <c r="AB23" s="13">
        <v>2014</v>
      </c>
      <c r="AC23" s="13">
        <v>2015</v>
      </c>
      <c r="AD23" s="13">
        <v>2016</v>
      </c>
      <c r="AE23" s="13">
        <v>2017</v>
      </c>
      <c r="AF23" s="13">
        <v>2018</v>
      </c>
      <c r="AG23" s="13">
        <v>2019</v>
      </c>
      <c r="AH23" s="13">
        <v>2020</v>
      </c>
      <c r="AI23" s="43">
        <v>2012</v>
      </c>
      <c r="AJ23" s="43">
        <v>2013</v>
      </c>
      <c r="AK23" s="43">
        <v>2014</v>
      </c>
      <c r="AL23" s="43">
        <v>2015</v>
      </c>
      <c r="AM23" s="43">
        <v>2016</v>
      </c>
      <c r="AN23" s="43">
        <v>2017</v>
      </c>
      <c r="AO23" s="43">
        <v>2018</v>
      </c>
      <c r="AP23" s="43">
        <v>2019</v>
      </c>
      <c r="AQ23" s="2">
        <v>2020</v>
      </c>
    </row>
    <row r="24" spans="1:43" ht="15.75" customHeight="1" x14ac:dyDescent="0.25">
      <c r="A24" s="5"/>
      <c r="B24" s="1"/>
      <c r="C24" s="1"/>
      <c r="D24" s="1"/>
      <c r="E24" s="12"/>
      <c r="F24" s="1"/>
      <c r="G24" s="1"/>
      <c r="H24" s="1"/>
      <c r="I24" s="12"/>
      <c r="J24" s="1"/>
      <c r="K24" s="1"/>
      <c r="L24" s="12"/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e">
        <f>#REF!</f>
        <v>#REF!</v>
      </c>
      <c r="Z24" s="10" t="e">
        <f t="shared" ref="Z24:AD24" si="4">AI24/1000000</f>
        <v>#REF!</v>
      </c>
      <c r="AA24" s="10" t="e">
        <f t="shared" si="4"/>
        <v>#REF!</v>
      </c>
      <c r="AB24" s="10" t="e">
        <f t="shared" si="4"/>
        <v>#REF!</v>
      </c>
      <c r="AC24" s="10" t="e">
        <f t="shared" si="4"/>
        <v>#REF!</v>
      </c>
      <c r="AD24" s="10" t="e">
        <f t="shared" si="4"/>
        <v>#REF!</v>
      </c>
      <c r="AE24" s="10">
        <f>AN24/1000000</f>
        <v>435.25136824000003</v>
      </c>
      <c r="AF24" s="10">
        <f>AO24/1000000</f>
        <v>443.15210785000011</v>
      </c>
      <c r="AG24" s="10">
        <f>AP24/1000000</f>
        <v>903.98428605999993</v>
      </c>
      <c r="AH24" s="10">
        <f>AQ24/1000000</f>
        <v>1033.2069669300001</v>
      </c>
      <c r="AI24" s="24" t="e">
        <f>#REF!</f>
        <v>#REF!</v>
      </c>
      <c r="AJ24" s="24" t="e">
        <f>#REF!</f>
        <v>#REF!</v>
      </c>
      <c r="AK24" s="24" t="e">
        <f>#REF!</f>
        <v>#REF!</v>
      </c>
      <c r="AL24" s="24" t="e">
        <f>#REF!</f>
        <v>#REF!</v>
      </c>
      <c r="AM24" s="24" t="e">
        <f>#REF!</f>
        <v>#REF!</v>
      </c>
      <c r="AN24" s="24">
        <f>B8</f>
        <v>435251368.24000001</v>
      </c>
      <c r="AO24" s="24">
        <f>C8</f>
        <v>443152107.85000008</v>
      </c>
      <c r="AP24" s="24">
        <f>D8</f>
        <v>903984286.05999994</v>
      </c>
      <c r="AQ24" s="24">
        <f>E8</f>
        <v>1033206966.9300001</v>
      </c>
    </row>
    <row r="25" spans="1:43" ht="15.75" customHeight="1" x14ac:dyDescent="0.25">
      <c r="A25" s="1"/>
      <c r="B25" s="1"/>
      <c r="C25" s="1"/>
      <c r="D25" s="1"/>
      <c r="E25" s="12"/>
      <c r="F25" s="1"/>
      <c r="G25" s="1"/>
      <c r="H25" s="1"/>
      <c r="I25" s="12"/>
      <c r="J25" s="1"/>
      <c r="K25" s="1"/>
      <c r="L25" s="12"/>
      <c r="M25" s="1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 t="str">
        <f>J6</f>
        <v>Other  pension</v>
      </c>
      <c r="Z25" s="10" t="e">
        <f t="shared" ref="Z25:AH27" si="5">AI25/1000000</f>
        <v>#REF!</v>
      </c>
      <c r="AA25" s="10" t="e">
        <f t="shared" si="5"/>
        <v>#REF!</v>
      </c>
      <c r="AB25" s="10" t="e">
        <f t="shared" si="5"/>
        <v>#REF!</v>
      </c>
      <c r="AC25" s="10" t="e">
        <f t="shared" si="5"/>
        <v>#REF!</v>
      </c>
      <c r="AD25" s="10" t="e">
        <f t="shared" si="5"/>
        <v>#REF!</v>
      </c>
      <c r="AE25" s="10">
        <f t="shared" si="5"/>
        <v>270.65722773000005</v>
      </c>
      <c r="AF25" s="10">
        <f t="shared" si="5"/>
        <v>280.56057788999999</v>
      </c>
      <c r="AG25" s="10">
        <f t="shared" si="5"/>
        <v>292.83854117999994</v>
      </c>
      <c r="AH25" s="10">
        <f t="shared" si="5"/>
        <v>292.83854117999994</v>
      </c>
      <c r="AI25" s="24" t="e">
        <f>#REF!</f>
        <v>#REF!</v>
      </c>
      <c r="AJ25" s="24" t="e">
        <f>#REF!</f>
        <v>#REF!</v>
      </c>
      <c r="AK25" s="24" t="e">
        <f>#REF!</f>
        <v>#REF!</v>
      </c>
      <c r="AL25" s="24" t="e">
        <f>#REF!</f>
        <v>#REF!</v>
      </c>
      <c r="AM25" s="24" t="e">
        <f>#REF!</f>
        <v>#REF!</v>
      </c>
      <c r="AN25" s="24">
        <f>J8</f>
        <v>270657227.73000002</v>
      </c>
      <c r="AO25" s="24">
        <f>K8</f>
        <v>280560577.88999999</v>
      </c>
      <c r="AP25" s="24">
        <f>M8</f>
        <v>292838541.17999995</v>
      </c>
      <c r="AQ25" s="24">
        <f>M8</f>
        <v>292838541.17999995</v>
      </c>
    </row>
    <row r="26" spans="1:43" ht="15.75" customHeight="1" x14ac:dyDescent="0.25">
      <c r="A26" s="1"/>
      <c r="B26" s="1"/>
      <c r="C26" s="1"/>
      <c r="D26" s="1"/>
      <c r="E26" s="12"/>
      <c r="F26" s="1"/>
      <c r="G26" s="1"/>
      <c r="H26" s="1"/>
      <c r="I26" s="12"/>
      <c r="J26" s="1"/>
      <c r="K26" s="1"/>
      <c r="L26" s="12"/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 t="str">
        <f>F6</f>
        <v>Retirement  pension</v>
      </c>
      <c r="Z26" s="10" t="e">
        <f t="shared" ref="Z26:AG26" si="6">AI26/1000000</f>
        <v>#REF!</v>
      </c>
      <c r="AA26" s="10" t="e">
        <f t="shared" si="6"/>
        <v>#REF!</v>
      </c>
      <c r="AB26" s="10" t="e">
        <f t="shared" si="6"/>
        <v>#REF!</v>
      </c>
      <c r="AC26" s="10" t="e">
        <f t="shared" si="6"/>
        <v>#REF!</v>
      </c>
      <c r="AD26" s="10" t="e">
        <f t="shared" si="6"/>
        <v>#REF!</v>
      </c>
      <c r="AE26" s="10">
        <f t="shared" si="6"/>
        <v>54.585241880000005</v>
      </c>
      <c r="AF26" s="10">
        <f>AO26/1000000</f>
        <v>58.618929450000003</v>
      </c>
      <c r="AG26" s="10">
        <f t="shared" si="6"/>
        <v>90.949201129999992</v>
      </c>
      <c r="AH26" s="10">
        <f t="shared" si="5"/>
        <v>102.48052142999998</v>
      </c>
      <c r="AI26" s="24" t="e">
        <f>#REF!</f>
        <v>#REF!</v>
      </c>
      <c r="AJ26" s="24" t="e">
        <f>#REF!</f>
        <v>#REF!</v>
      </c>
      <c r="AK26" s="24" t="e">
        <f>#REF!</f>
        <v>#REF!</v>
      </c>
      <c r="AL26" s="24" t="e">
        <f>#REF!</f>
        <v>#REF!</v>
      </c>
      <c r="AM26" s="24" t="e">
        <f>#REF!</f>
        <v>#REF!</v>
      </c>
      <c r="AN26" s="24">
        <f>F8</f>
        <v>54585241.880000003</v>
      </c>
      <c r="AO26" s="24">
        <f>G8</f>
        <v>58618929.450000003</v>
      </c>
      <c r="AP26" s="24">
        <f>H8</f>
        <v>90949201.129999995</v>
      </c>
      <c r="AQ26" s="24">
        <f>I8</f>
        <v>102480521.42999998</v>
      </c>
    </row>
    <row r="27" spans="1:43" ht="15.75" customHeight="1" x14ac:dyDescent="0.25">
      <c r="A27" s="1"/>
      <c r="B27" s="1"/>
      <c r="C27" s="1"/>
      <c r="D27" s="1"/>
      <c r="E27" s="12"/>
      <c r="F27" s="1"/>
      <c r="G27" s="1"/>
      <c r="H27" s="1"/>
      <c r="I27" s="12"/>
      <c r="J27" s="1"/>
      <c r="K27" s="1"/>
      <c r="L27" s="12"/>
      <c r="M27" s="1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str">
        <f>N6</f>
        <v xml:space="preserve"> Senior Citizen Allowance</v>
      </c>
      <c r="Z27" s="10">
        <f t="shared" ref="Z27:AE27" si="7">AI27/1000000</f>
        <v>0</v>
      </c>
      <c r="AA27" s="10">
        <f t="shared" si="7"/>
        <v>0</v>
      </c>
      <c r="AB27" s="10" t="e">
        <f t="shared" si="7"/>
        <v>#REF!</v>
      </c>
      <c r="AC27" s="10" t="e">
        <f t="shared" si="7"/>
        <v>#REF!</v>
      </c>
      <c r="AD27" s="10" t="e">
        <f t="shared" si="7"/>
        <v>#REF!</v>
      </c>
      <c r="AE27" s="10">
        <f t="shared" si="7"/>
        <v>539.03694702999996</v>
      </c>
      <c r="AF27" s="10">
        <f>AO27/1000000</f>
        <v>550.82376364999993</v>
      </c>
      <c r="AG27" s="10">
        <f>AP27/1000000</f>
        <v>93.669343139999981</v>
      </c>
      <c r="AH27" s="10">
        <f t="shared" si="5"/>
        <v>0</v>
      </c>
      <c r="AI27" s="44">
        <v>0</v>
      </c>
      <c r="AJ27" s="44">
        <v>0</v>
      </c>
      <c r="AK27" s="24" t="e">
        <f>#REF!</f>
        <v>#REF!</v>
      </c>
      <c r="AL27" s="24" t="e">
        <f>#REF!</f>
        <v>#REF!</v>
      </c>
      <c r="AM27" s="24" t="e">
        <f>#REF!</f>
        <v>#REF!</v>
      </c>
      <c r="AN27" s="24">
        <f>N8</f>
        <v>539036947.02999997</v>
      </c>
      <c r="AO27" s="24">
        <f>O8</f>
        <v>550823763.64999998</v>
      </c>
      <c r="AP27" s="24">
        <f t="shared" ref="AP27" si="8">P8</f>
        <v>93669343.139999986</v>
      </c>
      <c r="AQ27" s="10">
        <f t="shared" ref="AQ27" si="9">AZ27/1000000</f>
        <v>0</v>
      </c>
    </row>
    <row r="28" spans="1:43" ht="15.75" customHeight="1" x14ac:dyDescent="0.25">
      <c r="A28" s="1"/>
      <c r="B28" s="1"/>
      <c r="C28" s="1"/>
      <c r="D28" s="1"/>
      <c r="E28" s="12"/>
      <c r="F28" s="1"/>
      <c r="G28" s="1"/>
      <c r="H28" s="1"/>
      <c r="I28" s="12"/>
      <c r="J28" s="1"/>
      <c r="K28" s="1"/>
      <c r="L28" s="12"/>
      <c r="M28" s="1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3"/>
      <c r="Z28" s="13"/>
      <c r="AA28" s="14"/>
      <c r="AB28" s="14"/>
      <c r="AC28" s="1"/>
      <c r="AD28" s="1"/>
      <c r="AE28" s="1"/>
      <c r="AF28" s="12"/>
      <c r="AG28" s="1"/>
      <c r="AH28" s="12"/>
      <c r="AI28" s="45"/>
      <c r="AJ28" s="45"/>
      <c r="AK28" s="44"/>
      <c r="AL28" s="44"/>
      <c r="AM28" s="44"/>
      <c r="AN28" s="1"/>
      <c r="AO28" s="46">
        <f>SUM(AO24:AO27)</f>
        <v>1333155378.8400002</v>
      </c>
      <c r="AP28" s="46">
        <f>SUM(AP24:AP27)</f>
        <v>1381441371.5099998</v>
      </c>
      <c r="AQ28" s="46">
        <f>SUM(AQ24:AQ27)</f>
        <v>1428526029.5400002</v>
      </c>
    </row>
    <row r="29" spans="1:43" ht="15.75" customHeight="1" x14ac:dyDescent="0.25">
      <c r="A29" s="1"/>
      <c r="B29" s="1"/>
      <c r="C29" s="1"/>
      <c r="D29" s="1"/>
      <c r="E29" s="12"/>
      <c r="F29" s="1"/>
      <c r="G29" s="1"/>
      <c r="H29" s="1"/>
      <c r="I29" s="12"/>
      <c r="J29" s="1"/>
      <c r="K29" s="1"/>
      <c r="L29" s="12"/>
      <c r="M29" s="1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3"/>
      <c r="Z29" s="13"/>
      <c r="AA29" s="14"/>
      <c r="AB29" s="14"/>
      <c r="AC29" s="14"/>
      <c r="AD29" s="16"/>
      <c r="AE29" s="16"/>
      <c r="AF29" s="47"/>
      <c r="AG29" s="16"/>
      <c r="AH29" s="47"/>
      <c r="AI29" s="1"/>
      <c r="AJ29" s="1"/>
      <c r="AK29" s="1"/>
      <c r="AL29" s="1"/>
      <c r="AM29" s="1"/>
      <c r="AN29" s="1"/>
    </row>
    <row r="30" spans="1:43" ht="15.75" customHeight="1" x14ac:dyDescent="0.25">
      <c r="A30" s="1"/>
      <c r="B30" s="1"/>
      <c r="C30" s="1"/>
      <c r="D30" s="1"/>
      <c r="E30" s="12"/>
      <c r="F30" s="1"/>
      <c r="G30" s="1"/>
      <c r="H30" s="1"/>
      <c r="I30" s="12"/>
      <c r="J30" s="1"/>
      <c r="K30" s="1"/>
      <c r="L30" s="12"/>
      <c r="M30" s="1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2"/>
      <c r="AG30" s="1"/>
      <c r="AH30" s="12"/>
      <c r="AI30" s="1"/>
      <c r="AJ30" s="1"/>
      <c r="AK30" s="1"/>
      <c r="AL30" s="1"/>
      <c r="AM30" s="1"/>
      <c r="AN30" s="1"/>
    </row>
    <row r="31" spans="1:43" ht="15.75" customHeight="1" x14ac:dyDescent="0.25">
      <c r="A31" s="1"/>
      <c r="B31" s="1"/>
      <c r="C31" s="1"/>
      <c r="D31" s="1"/>
      <c r="E31" s="12"/>
      <c r="F31" s="1"/>
      <c r="G31" s="1"/>
      <c r="H31" s="1"/>
      <c r="I31" s="12"/>
      <c r="J31" s="1"/>
      <c r="K31" s="1"/>
      <c r="L31" s="12"/>
      <c r="M31" s="1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2"/>
      <c r="AG31" s="1"/>
      <c r="AH31" s="12"/>
      <c r="AI31" s="1"/>
      <c r="AJ31" s="1"/>
      <c r="AK31" s="1"/>
      <c r="AL31" s="1"/>
      <c r="AM31" s="1"/>
      <c r="AN31" s="1"/>
    </row>
    <row r="32" spans="1:43" ht="15.75" customHeight="1" x14ac:dyDescent="0.25">
      <c r="A32" s="1"/>
      <c r="B32" s="1"/>
      <c r="C32" s="1"/>
      <c r="D32" s="1"/>
      <c r="E32" s="12"/>
      <c r="F32" s="1"/>
      <c r="G32" s="1"/>
      <c r="H32" s="1"/>
      <c r="I32" s="12"/>
      <c r="J32" s="1"/>
      <c r="K32" s="1"/>
      <c r="L32" s="12"/>
      <c r="M32" s="1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2"/>
      <c r="AG32" s="1"/>
      <c r="AH32" s="12"/>
      <c r="AI32" s="1"/>
      <c r="AJ32" s="1"/>
      <c r="AK32" s="1"/>
      <c r="AL32" s="1"/>
      <c r="AM32" s="1"/>
      <c r="AN32" s="1"/>
    </row>
    <row r="33" spans="1:40" ht="15.75" customHeight="1" x14ac:dyDescent="0.25">
      <c r="A33" s="1"/>
      <c r="B33" s="1"/>
      <c r="C33" s="1"/>
      <c r="D33" s="1"/>
      <c r="E33" s="12"/>
      <c r="F33" s="1"/>
      <c r="G33" s="1"/>
      <c r="H33" s="1"/>
      <c r="I33" s="12"/>
      <c r="J33" s="1"/>
      <c r="K33" s="1"/>
      <c r="L33" s="12"/>
      <c r="M33" s="1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2"/>
      <c r="AG33" s="1"/>
      <c r="AH33" s="12"/>
      <c r="AI33" s="1"/>
      <c r="AJ33" s="1"/>
      <c r="AK33" s="1"/>
      <c r="AL33" s="1"/>
      <c r="AM33" s="1"/>
      <c r="AN33" s="1"/>
    </row>
    <row r="34" spans="1:40" ht="15.75" customHeight="1" x14ac:dyDescent="0.25">
      <c r="A34" s="1"/>
      <c r="B34" s="1"/>
      <c r="C34" s="1"/>
      <c r="D34" s="1"/>
      <c r="E34" s="12"/>
      <c r="F34" s="1"/>
      <c r="G34" s="1"/>
      <c r="H34" s="1"/>
      <c r="I34" s="12"/>
      <c r="J34" s="1"/>
      <c r="K34" s="1"/>
      <c r="L34" s="12"/>
      <c r="M34" s="1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2"/>
      <c r="AG34" s="1"/>
      <c r="AH34" s="12"/>
      <c r="AI34" s="1"/>
      <c r="AJ34" s="1"/>
      <c r="AK34" s="1"/>
      <c r="AL34" s="1"/>
      <c r="AM34" s="1"/>
      <c r="AN34" s="1"/>
    </row>
    <row r="35" spans="1:40" ht="15.75" customHeight="1" x14ac:dyDescent="0.25">
      <c r="A35" s="1"/>
      <c r="B35" s="1"/>
      <c r="C35" s="1"/>
      <c r="D35" s="1"/>
      <c r="E35" s="12"/>
      <c r="F35" s="1"/>
      <c r="G35" s="1"/>
      <c r="H35" s="1"/>
      <c r="I35" s="12"/>
      <c r="J35" s="1"/>
      <c r="K35" s="1"/>
      <c r="L35" s="12"/>
      <c r="M35" s="1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2"/>
      <c r="AG35" s="1"/>
      <c r="AH35" s="12"/>
      <c r="AI35" s="1"/>
      <c r="AJ35" s="1"/>
      <c r="AK35" s="1"/>
      <c r="AL35" s="1"/>
      <c r="AM35" s="1"/>
      <c r="AN35" s="1"/>
    </row>
    <row r="36" spans="1:40" ht="15.75" customHeight="1" x14ac:dyDescent="0.25">
      <c r="A36" s="1"/>
      <c r="B36" s="1"/>
      <c r="C36" s="1"/>
      <c r="D36" s="1"/>
      <c r="E36" s="12"/>
      <c r="F36" s="1"/>
      <c r="G36" s="1"/>
      <c r="H36" s="1"/>
      <c r="I36" s="12"/>
      <c r="J36" s="1"/>
      <c r="K36" s="1"/>
      <c r="L36" s="12"/>
      <c r="M36" s="1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2"/>
      <c r="AG36" s="1"/>
      <c r="AH36" s="12"/>
      <c r="AI36" s="1"/>
      <c r="AJ36" s="1"/>
      <c r="AK36" s="1"/>
      <c r="AL36" s="1"/>
      <c r="AM36" s="1"/>
      <c r="AN36" s="1"/>
    </row>
    <row r="37" spans="1:40" ht="15.75" customHeight="1" x14ac:dyDescent="0.25">
      <c r="A37" s="1"/>
      <c r="B37" s="1"/>
      <c r="C37" s="1"/>
      <c r="D37" s="1"/>
      <c r="E37" s="12"/>
      <c r="F37" s="1"/>
      <c r="G37" s="1"/>
      <c r="H37" s="1"/>
      <c r="I37" s="12"/>
      <c r="J37" s="1"/>
      <c r="K37" s="1"/>
      <c r="L37" s="12"/>
      <c r="M37" s="1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2"/>
      <c r="AG37" s="1"/>
      <c r="AH37" s="12"/>
      <c r="AI37" s="1"/>
      <c r="AJ37" s="1"/>
      <c r="AK37" s="1"/>
      <c r="AL37" s="1"/>
      <c r="AM37" s="1"/>
      <c r="AN37" s="1"/>
    </row>
    <row r="38" spans="1:40" ht="15.75" customHeight="1" x14ac:dyDescent="0.25">
      <c r="A38" s="1"/>
      <c r="B38" s="1"/>
      <c r="C38" s="1"/>
      <c r="D38" s="1"/>
      <c r="E38" s="12"/>
      <c r="F38" s="1"/>
      <c r="G38" s="1"/>
      <c r="H38" s="1"/>
      <c r="I38" s="12"/>
      <c r="J38" s="1"/>
      <c r="K38" s="1"/>
      <c r="L38" s="12"/>
      <c r="M38" s="1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2"/>
      <c r="AG38" s="1"/>
      <c r="AH38" s="12"/>
      <c r="AI38" s="1"/>
      <c r="AJ38" s="1"/>
      <c r="AK38" s="1"/>
      <c r="AL38" s="1"/>
      <c r="AM38" s="1"/>
      <c r="AN38" s="1"/>
    </row>
    <row r="39" spans="1:40" ht="15.75" customHeight="1" x14ac:dyDescent="0.25">
      <c r="A39" s="1"/>
      <c r="B39" s="1"/>
      <c r="C39" s="1"/>
      <c r="D39" s="1"/>
      <c r="E39" s="12"/>
      <c r="F39" s="1"/>
      <c r="G39" s="1"/>
      <c r="H39" s="1"/>
      <c r="I39" s="12"/>
      <c r="J39" s="1"/>
      <c r="K39" s="1"/>
      <c r="L39" s="12"/>
      <c r="M39" s="1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2"/>
      <c r="AG39" s="1"/>
      <c r="AH39" s="12"/>
      <c r="AI39" s="1"/>
      <c r="AJ39" s="1"/>
      <c r="AK39" s="1"/>
      <c r="AL39" s="1"/>
      <c r="AM39" s="1"/>
      <c r="AN39" s="1"/>
    </row>
    <row r="40" spans="1:40" ht="15.75" customHeight="1" x14ac:dyDescent="0.25">
      <c r="A40" s="1"/>
      <c r="B40" s="1"/>
      <c r="C40" s="1"/>
      <c r="D40" s="1"/>
      <c r="E40" s="12"/>
      <c r="F40" s="1"/>
      <c r="G40" s="1"/>
      <c r="H40" s="1"/>
      <c r="I40" s="12"/>
      <c r="J40" s="1"/>
      <c r="K40" s="1"/>
      <c r="L40" s="12"/>
      <c r="M40" s="1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2"/>
      <c r="AG40" s="1"/>
      <c r="AH40" s="12"/>
      <c r="AI40" s="1"/>
      <c r="AJ40" s="1"/>
      <c r="AK40" s="1"/>
      <c r="AL40" s="1"/>
      <c r="AM40" s="1"/>
      <c r="AN40" s="1"/>
    </row>
    <row r="41" spans="1:40" ht="15.75" customHeight="1" x14ac:dyDescent="0.25">
      <c r="A41" s="1"/>
      <c r="B41" s="1"/>
      <c r="C41" s="1"/>
      <c r="D41" s="1"/>
      <c r="E41" s="12"/>
      <c r="F41" s="1"/>
      <c r="G41" s="1"/>
      <c r="H41" s="1"/>
      <c r="I41" s="12"/>
      <c r="J41" s="1"/>
      <c r="K41" s="1"/>
      <c r="L41" s="12"/>
      <c r="M41" s="1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2"/>
      <c r="AG41" s="1"/>
      <c r="AH41" s="12"/>
      <c r="AI41" s="1"/>
      <c r="AJ41" s="1"/>
      <c r="AK41" s="1"/>
      <c r="AL41" s="1"/>
      <c r="AM41" s="1"/>
      <c r="AN41" s="1"/>
    </row>
    <row r="42" spans="1:40" ht="15.75" customHeight="1" x14ac:dyDescent="0.25">
      <c r="A42" s="1"/>
      <c r="B42" s="1"/>
      <c r="C42" s="1"/>
      <c r="D42" s="1"/>
      <c r="E42" s="12"/>
      <c r="F42" s="1"/>
      <c r="G42" s="1"/>
      <c r="H42" s="1"/>
      <c r="I42" s="12"/>
      <c r="J42" s="1"/>
      <c r="K42" s="1"/>
      <c r="L42" s="12"/>
      <c r="M42" s="1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2"/>
      <c r="AG42" s="1"/>
      <c r="AH42" s="12"/>
      <c r="AI42" s="1"/>
      <c r="AJ42" s="1"/>
      <c r="AK42" s="1"/>
      <c r="AL42" s="1"/>
      <c r="AM42" s="1"/>
      <c r="AN42" s="1"/>
    </row>
    <row r="43" spans="1:40" ht="15.75" customHeight="1" x14ac:dyDescent="0.25">
      <c r="A43" s="1"/>
      <c r="B43" s="1"/>
      <c r="C43" s="1"/>
      <c r="D43" s="1"/>
      <c r="E43" s="12"/>
      <c r="F43" s="1"/>
      <c r="G43" s="1"/>
      <c r="H43" s="1"/>
      <c r="I43" s="12"/>
      <c r="J43" s="1"/>
      <c r="K43" s="1"/>
      <c r="L43" s="12"/>
      <c r="M43" s="1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2"/>
      <c r="AG43" s="1"/>
      <c r="AH43" s="12"/>
      <c r="AI43" s="1"/>
      <c r="AJ43" s="1"/>
      <c r="AK43" s="1"/>
      <c r="AL43" s="1"/>
      <c r="AM43" s="1"/>
      <c r="AN43" s="1"/>
    </row>
    <row r="44" spans="1:40" ht="15.75" customHeight="1" x14ac:dyDescent="0.25">
      <c r="A44" s="1"/>
      <c r="B44" s="1"/>
      <c r="C44" s="1"/>
      <c r="D44" s="1"/>
      <c r="E44" s="12"/>
      <c r="F44" s="1"/>
      <c r="G44" s="1"/>
      <c r="H44" s="1"/>
      <c r="I44" s="12"/>
      <c r="J44" s="1"/>
      <c r="K44" s="1"/>
      <c r="L44" s="12"/>
      <c r="M44" s="1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2"/>
      <c r="AG44" s="1"/>
      <c r="AH44" s="12"/>
      <c r="AI44" s="1"/>
      <c r="AJ44" s="1"/>
      <c r="AK44" s="1"/>
      <c r="AL44" s="1"/>
      <c r="AM44" s="1"/>
      <c r="AN44" s="1"/>
    </row>
    <row r="45" spans="1:40" ht="15.75" customHeight="1" x14ac:dyDescent="0.25">
      <c r="A45" s="1"/>
      <c r="B45" s="1"/>
      <c r="C45" s="1"/>
      <c r="D45" s="1"/>
      <c r="E45" s="12"/>
      <c r="F45" s="1"/>
      <c r="G45" s="1"/>
      <c r="H45" s="1"/>
      <c r="I45" s="12"/>
      <c r="J45" s="1"/>
      <c r="K45" s="1"/>
      <c r="L45" s="12"/>
      <c r="M45" s="1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2"/>
      <c r="AG45" s="1"/>
      <c r="AH45" s="12"/>
      <c r="AI45" s="1"/>
      <c r="AJ45" s="1"/>
      <c r="AK45" s="1"/>
      <c r="AL45" s="1"/>
      <c r="AM45" s="1"/>
      <c r="AN45" s="1"/>
    </row>
    <row r="46" spans="1:40" ht="15.75" customHeight="1" x14ac:dyDescent="0.25">
      <c r="A46" s="1"/>
      <c r="B46" s="1"/>
      <c r="C46" s="1"/>
      <c r="D46" s="1"/>
      <c r="E46" s="12"/>
      <c r="F46" s="1"/>
      <c r="G46" s="1"/>
      <c r="H46" s="1"/>
      <c r="I46" s="12"/>
      <c r="J46" s="1"/>
      <c r="K46" s="1"/>
      <c r="L46" s="12"/>
      <c r="M46" s="1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2"/>
      <c r="AG46" s="1"/>
      <c r="AH46" s="12"/>
      <c r="AI46" s="1"/>
      <c r="AJ46" s="1"/>
      <c r="AK46" s="1"/>
      <c r="AL46" s="1"/>
      <c r="AM46" s="1"/>
      <c r="AN46" s="1"/>
    </row>
    <row r="47" spans="1:40" ht="15.75" customHeight="1" x14ac:dyDescent="0.25">
      <c r="A47" s="1"/>
      <c r="B47" s="1"/>
      <c r="C47" s="1"/>
      <c r="D47" s="1"/>
      <c r="E47" s="12"/>
      <c r="F47" s="1"/>
      <c r="G47" s="1"/>
      <c r="H47" s="1"/>
      <c r="I47" s="12"/>
      <c r="J47" s="1"/>
      <c r="K47" s="1"/>
      <c r="L47" s="12"/>
      <c r="M47" s="1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2"/>
      <c r="AG47" s="1"/>
      <c r="AH47" s="12"/>
      <c r="AI47" s="1"/>
      <c r="AJ47" s="1"/>
      <c r="AK47" s="1"/>
      <c r="AL47" s="1"/>
      <c r="AM47" s="1"/>
      <c r="AN47" s="1"/>
    </row>
    <row r="48" spans="1:40" ht="15.75" customHeight="1" x14ac:dyDescent="0.25">
      <c r="A48" s="1"/>
      <c r="B48" s="1"/>
      <c r="C48" s="1"/>
      <c r="D48" s="1"/>
      <c r="E48" s="12"/>
      <c r="F48" s="1"/>
      <c r="G48" s="1"/>
      <c r="H48" s="1"/>
      <c r="I48" s="12"/>
      <c r="J48" s="1"/>
      <c r="K48" s="1"/>
      <c r="L48" s="12"/>
      <c r="M48" s="1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2"/>
      <c r="AG48" s="1"/>
      <c r="AH48" s="12"/>
      <c r="AI48" s="1"/>
      <c r="AJ48" s="1"/>
      <c r="AK48" s="1"/>
      <c r="AL48" s="1"/>
      <c r="AM48" s="1"/>
      <c r="AN48" s="1"/>
    </row>
    <row r="49" spans="1:40" ht="15.75" customHeight="1" x14ac:dyDescent="0.25">
      <c r="A49" s="1"/>
      <c r="B49" s="1"/>
      <c r="C49" s="1"/>
      <c r="D49" s="1"/>
      <c r="E49" s="12"/>
      <c r="F49" s="1"/>
      <c r="G49" s="1"/>
      <c r="H49" s="1"/>
      <c r="I49" s="12"/>
      <c r="J49" s="1"/>
      <c r="K49" s="1"/>
      <c r="L49" s="12"/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2"/>
      <c r="AG49" s="1"/>
      <c r="AH49" s="12"/>
      <c r="AI49" s="1"/>
      <c r="AJ49" s="1"/>
      <c r="AK49" s="1"/>
      <c r="AL49" s="1"/>
      <c r="AM49" s="1"/>
      <c r="AN49" s="1"/>
    </row>
    <row r="50" spans="1:40" ht="15.75" customHeight="1" x14ac:dyDescent="0.25">
      <c r="A50" s="1"/>
      <c r="B50" s="1"/>
      <c r="C50" s="1"/>
      <c r="D50" s="1"/>
      <c r="E50" s="12"/>
      <c r="F50" s="1"/>
      <c r="G50" s="1"/>
      <c r="H50" s="1"/>
      <c r="I50" s="12"/>
      <c r="J50" s="1"/>
      <c r="K50" s="1"/>
      <c r="L50" s="12"/>
      <c r="M50" s="1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2"/>
      <c r="AG50" s="1"/>
      <c r="AH50" s="12"/>
      <c r="AI50" s="1"/>
      <c r="AJ50" s="1"/>
      <c r="AK50" s="1"/>
      <c r="AL50" s="1"/>
      <c r="AM50" s="1"/>
      <c r="AN50" s="1"/>
    </row>
    <row r="51" spans="1:40" ht="15.75" customHeight="1" x14ac:dyDescent="0.25">
      <c r="A51" s="1"/>
      <c r="B51" s="1"/>
      <c r="C51" s="1"/>
      <c r="D51" s="1"/>
      <c r="E51" s="12"/>
      <c r="F51" s="1"/>
      <c r="G51" s="1"/>
      <c r="H51" s="1"/>
      <c r="I51" s="12"/>
      <c r="J51" s="1"/>
      <c r="K51" s="1"/>
      <c r="L51" s="12"/>
      <c r="M51" s="1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2"/>
      <c r="AG51" s="1"/>
      <c r="AH51" s="12"/>
      <c r="AI51" s="1"/>
      <c r="AJ51" s="1"/>
      <c r="AK51" s="1"/>
      <c r="AL51" s="1"/>
      <c r="AM51" s="1"/>
      <c r="AN51" s="1"/>
    </row>
    <row r="52" spans="1:40" ht="15.75" customHeight="1" x14ac:dyDescent="0.25">
      <c r="A52" s="1"/>
      <c r="B52" s="1"/>
      <c r="C52" s="1"/>
      <c r="D52" s="1"/>
      <c r="E52" s="12"/>
      <c r="F52" s="1"/>
      <c r="G52" s="1"/>
      <c r="H52" s="1"/>
      <c r="I52" s="12"/>
      <c r="J52" s="1"/>
      <c r="K52" s="1"/>
      <c r="L52" s="12"/>
      <c r="M52" s="1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2"/>
      <c r="AG52" s="1"/>
      <c r="AH52" s="12"/>
      <c r="AI52" s="1"/>
      <c r="AJ52" s="1"/>
      <c r="AK52" s="1"/>
      <c r="AL52" s="1"/>
      <c r="AM52" s="1"/>
      <c r="AN52" s="1"/>
    </row>
    <row r="53" spans="1:40" ht="15.75" customHeight="1" x14ac:dyDescent="0.25">
      <c r="A53" s="1"/>
      <c r="B53" s="1"/>
      <c r="C53" s="1"/>
      <c r="D53" s="1"/>
      <c r="E53" s="12"/>
      <c r="F53" s="1"/>
      <c r="G53" s="1"/>
      <c r="H53" s="1"/>
      <c r="I53" s="12"/>
      <c r="J53" s="1"/>
      <c r="K53" s="1"/>
      <c r="L53" s="12"/>
      <c r="M53" s="1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2"/>
      <c r="AG53" s="1"/>
      <c r="AH53" s="12"/>
      <c r="AI53" s="1"/>
      <c r="AJ53" s="1"/>
      <c r="AK53" s="1"/>
      <c r="AL53" s="1"/>
      <c r="AM53" s="1"/>
      <c r="AN53" s="1"/>
    </row>
    <row r="54" spans="1:40" ht="15.75" customHeight="1" x14ac:dyDescent="0.25">
      <c r="A54" s="1"/>
      <c r="B54" s="1"/>
      <c r="C54" s="1"/>
      <c r="D54" s="1"/>
      <c r="E54" s="12"/>
      <c r="F54" s="1"/>
      <c r="G54" s="1"/>
      <c r="H54" s="1"/>
      <c r="I54" s="12"/>
      <c r="J54" s="1"/>
      <c r="K54" s="1"/>
      <c r="L54" s="12"/>
      <c r="M54" s="1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2"/>
      <c r="AG54" s="1"/>
      <c r="AH54" s="12"/>
      <c r="AI54" s="1"/>
      <c r="AJ54" s="1"/>
      <c r="AK54" s="1"/>
      <c r="AL54" s="1"/>
      <c r="AM54" s="1"/>
      <c r="AN54" s="1"/>
    </row>
    <row r="55" spans="1:40" ht="15.75" customHeight="1" x14ac:dyDescent="0.25">
      <c r="A55" s="1"/>
      <c r="B55" s="1"/>
      <c r="C55" s="1"/>
      <c r="D55" s="1"/>
      <c r="E55" s="12"/>
      <c r="F55" s="1"/>
      <c r="G55" s="1"/>
      <c r="H55" s="1"/>
      <c r="I55" s="12"/>
      <c r="J55" s="1"/>
      <c r="K55" s="1"/>
      <c r="L55" s="12"/>
      <c r="M55" s="1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2"/>
      <c r="AG55" s="1"/>
      <c r="AH55" s="12"/>
      <c r="AI55" s="1"/>
      <c r="AJ55" s="1"/>
      <c r="AK55" s="1"/>
      <c r="AL55" s="1"/>
      <c r="AM55" s="1"/>
      <c r="AN55" s="1"/>
    </row>
    <row r="56" spans="1:40" ht="15.75" customHeight="1" x14ac:dyDescent="0.25">
      <c r="A56" s="1"/>
      <c r="B56" s="1"/>
      <c r="C56" s="1"/>
      <c r="D56" s="1"/>
      <c r="E56" s="12"/>
      <c r="F56" s="1"/>
      <c r="G56" s="1"/>
      <c r="H56" s="1"/>
      <c r="I56" s="12"/>
      <c r="J56" s="1"/>
      <c r="K56" s="1"/>
      <c r="L56" s="12"/>
      <c r="M56" s="1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2"/>
      <c r="AG56" s="1"/>
      <c r="AH56" s="12"/>
      <c r="AI56" s="1"/>
      <c r="AJ56" s="1"/>
      <c r="AK56" s="1"/>
      <c r="AL56" s="1"/>
      <c r="AM56" s="1"/>
      <c r="AN56" s="1"/>
    </row>
    <row r="57" spans="1:40" ht="15.75" customHeight="1" x14ac:dyDescent="0.25">
      <c r="A57" s="1"/>
      <c r="B57" s="1"/>
      <c r="C57" s="1"/>
      <c r="D57" s="1"/>
      <c r="E57" s="12"/>
      <c r="F57" s="1"/>
      <c r="G57" s="1"/>
      <c r="H57" s="1"/>
      <c r="I57" s="12"/>
      <c r="J57" s="1"/>
      <c r="K57" s="1"/>
      <c r="L57" s="12"/>
      <c r="M57" s="1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2"/>
      <c r="AG57" s="1"/>
      <c r="AH57" s="12"/>
      <c r="AI57" s="1"/>
      <c r="AJ57" s="1"/>
      <c r="AK57" s="1"/>
      <c r="AL57" s="1"/>
      <c r="AM57" s="1"/>
      <c r="AN57" s="1"/>
    </row>
    <row r="58" spans="1:40" ht="15.75" customHeight="1" x14ac:dyDescent="0.25">
      <c r="A58" s="1"/>
      <c r="B58" s="1"/>
      <c r="C58" s="1"/>
      <c r="D58" s="1"/>
      <c r="E58" s="12"/>
      <c r="F58" s="1"/>
      <c r="G58" s="1"/>
      <c r="H58" s="1"/>
      <c r="I58" s="12"/>
      <c r="J58" s="1"/>
      <c r="K58" s="1"/>
      <c r="L58" s="12"/>
      <c r="M58" s="1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2"/>
      <c r="AG58" s="1"/>
      <c r="AH58" s="12"/>
      <c r="AI58" s="1"/>
      <c r="AJ58" s="1"/>
      <c r="AK58" s="1"/>
      <c r="AL58" s="1"/>
      <c r="AM58" s="1"/>
      <c r="AN58" s="1"/>
    </row>
    <row r="59" spans="1:40" ht="15.75" customHeight="1" x14ac:dyDescent="0.25">
      <c r="A59" s="1"/>
      <c r="B59" s="1"/>
      <c r="C59" s="1"/>
      <c r="D59" s="1"/>
      <c r="E59" s="12"/>
      <c r="F59" s="1"/>
      <c r="G59" s="1"/>
      <c r="H59" s="1"/>
      <c r="I59" s="12"/>
      <c r="J59" s="1"/>
      <c r="K59" s="1"/>
      <c r="L59" s="12"/>
      <c r="M59" s="1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2"/>
      <c r="AG59" s="1"/>
      <c r="AH59" s="12"/>
      <c r="AI59" s="1"/>
      <c r="AJ59" s="1"/>
      <c r="AK59" s="1"/>
      <c r="AL59" s="1"/>
      <c r="AM59" s="1"/>
      <c r="AN59" s="1"/>
    </row>
    <row r="60" spans="1:40" ht="15.75" customHeight="1" x14ac:dyDescent="0.25">
      <c r="A60" s="1"/>
      <c r="B60" s="1"/>
      <c r="C60" s="1"/>
      <c r="D60" s="1"/>
      <c r="E60" s="12"/>
      <c r="F60" s="1"/>
      <c r="G60" s="1"/>
      <c r="H60" s="1"/>
      <c r="I60" s="12"/>
      <c r="J60" s="1"/>
      <c r="K60" s="1"/>
      <c r="L60" s="12"/>
      <c r="M60" s="1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2"/>
      <c r="AG60" s="1"/>
      <c r="AH60" s="12"/>
      <c r="AI60" s="1"/>
      <c r="AJ60" s="1"/>
      <c r="AK60" s="1"/>
      <c r="AL60" s="1"/>
      <c r="AM60" s="1"/>
      <c r="AN60" s="1"/>
    </row>
    <row r="61" spans="1:40" ht="15.75" customHeight="1" x14ac:dyDescent="0.25">
      <c r="A61" s="1"/>
      <c r="B61" s="1"/>
      <c r="C61" s="1"/>
      <c r="D61" s="1"/>
      <c r="E61" s="12"/>
      <c r="F61" s="1"/>
      <c r="G61" s="1"/>
      <c r="H61" s="1"/>
      <c r="I61" s="12"/>
      <c r="J61" s="1"/>
      <c r="K61" s="1"/>
      <c r="L61" s="12"/>
      <c r="M61" s="1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2"/>
      <c r="AG61" s="1"/>
      <c r="AH61" s="12"/>
      <c r="AI61" s="1"/>
      <c r="AJ61" s="1"/>
      <c r="AK61" s="1"/>
      <c r="AL61" s="1"/>
      <c r="AM61" s="1"/>
      <c r="AN61" s="1"/>
    </row>
    <row r="62" spans="1:40" ht="15.75" customHeight="1" x14ac:dyDescent="0.25">
      <c r="A62" s="1"/>
      <c r="B62" s="1"/>
      <c r="C62" s="1"/>
      <c r="D62" s="1"/>
      <c r="E62" s="12"/>
      <c r="F62" s="1"/>
      <c r="G62" s="1"/>
      <c r="H62" s="1"/>
      <c r="I62" s="12"/>
      <c r="J62" s="1"/>
      <c r="K62" s="1"/>
      <c r="L62" s="12"/>
      <c r="M62" s="1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2"/>
      <c r="AG62" s="1"/>
      <c r="AH62" s="12"/>
      <c r="AI62" s="1"/>
      <c r="AJ62" s="1"/>
      <c r="AK62" s="1"/>
      <c r="AL62" s="1"/>
      <c r="AM62" s="1"/>
      <c r="AN62" s="1"/>
    </row>
    <row r="63" spans="1:40" ht="15.75" customHeight="1" x14ac:dyDescent="0.25">
      <c r="A63" s="1"/>
      <c r="B63" s="1"/>
      <c r="C63" s="1"/>
      <c r="D63" s="1"/>
      <c r="E63" s="12"/>
      <c r="F63" s="1"/>
      <c r="G63" s="1"/>
      <c r="H63" s="1"/>
      <c r="I63" s="12"/>
      <c r="J63" s="1"/>
      <c r="K63" s="1"/>
      <c r="L63" s="12"/>
      <c r="M63" s="1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2"/>
      <c r="AG63" s="1"/>
      <c r="AH63" s="12"/>
      <c r="AI63" s="1"/>
      <c r="AJ63" s="1"/>
      <c r="AK63" s="1"/>
      <c r="AL63" s="1"/>
      <c r="AM63" s="1"/>
      <c r="AN63" s="1"/>
    </row>
    <row r="64" spans="1:40" ht="15.75" customHeight="1" x14ac:dyDescent="0.25">
      <c r="A64" s="1"/>
      <c r="B64" s="1"/>
      <c r="C64" s="1"/>
      <c r="D64" s="1"/>
      <c r="E64" s="12"/>
      <c r="F64" s="1"/>
      <c r="G64" s="1"/>
      <c r="H64" s="1"/>
      <c r="I64" s="12"/>
      <c r="J64" s="1"/>
      <c r="K64" s="1"/>
      <c r="L64" s="12"/>
      <c r="M64" s="1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2"/>
      <c r="AG64" s="1"/>
      <c r="AH64" s="12"/>
      <c r="AI64" s="1"/>
      <c r="AJ64" s="1"/>
      <c r="AK64" s="1"/>
      <c r="AL64" s="1"/>
      <c r="AM64" s="1"/>
      <c r="AN64" s="1"/>
    </row>
    <row r="65" spans="1:40" ht="15.75" customHeight="1" x14ac:dyDescent="0.25">
      <c r="A65" s="1"/>
      <c r="B65" s="1"/>
      <c r="C65" s="1"/>
      <c r="D65" s="1"/>
      <c r="E65" s="12"/>
      <c r="F65" s="1"/>
      <c r="G65" s="1"/>
      <c r="H65" s="1"/>
      <c r="I65" s="12"/>
      <c r="J65" s="1"/>
      <c r="K65" s="1"/>
      <c r="L65" s="12"/>
      <c r="M65" s="1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2"/>
      <c r="AG65" s="1"/>
      <c r="AH65" s="12"/>
      <c r="AI65" s="1"/>
      <c r="AJ65" s="1"/>
      <c r="AK65" s="1"/>
      <c r="AL65" s="1"/>
      <c r="AM65" s="1"/>
      <c r="AN65" s="1"/>
    </row>
    <row r="66" spans="1:40" ht="15.75" customHeight="1" x14ac:dyDescent="0.25">
      <c r="A66" s="1"/>
      <c r="B66" s="1"/>
      <c r="C66" s="1"/>
      <c r="D66" s="1"/>
      <c r="E66" s="12"/>
      <c r="F66" s="1"/>
      <c r="G66" s="1"/>
      <c r="H66" s="1"/>
      <c r="I66" s="12"/>
      <c r="J66" s="1"/>
      <c r="K66" s="1"/>
      <c r="L66" s="12"/>
      <c r="M66" s="1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2"/>
      <c r="AG66" s="1"/>
      <c r="AH66" s="12"/>
      <c r="AI66" s="1"/>
      <c r="AJ66" s="1"/>
      <c r="AK66" s="1"/>
      <c r="AL66" s="1"/>
      <c r="AM66" s="1"/>
      <c r="AN66" s="1"/>
    </row>
    <row r="67" spans="1:40" ht="15.75" customHeight="1" x14ac:dyDescent="0.25">
      <c r="A67" s="1"/>
      <c r="B67" s="1"/>
      <c r="C67" s="1"/>
      <c r="D67" s="1"/>
      <c r="E67" s="12"/>
      <c r="F67" s="1"/>
      <c r="G67" s="1"/>
      <c r="H67" s="1"/>
      <c r="I67" s="12"/>
      <c r="J67" s="1"/>
      <c r="K67" s="1"/>
      <c r="L67" s="12"/>
      <c r="M67" s="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2"/>
      <c r="AG67" s="1"/>
      <c r="AH67" s="12"/>
      <c r="AI67" s="1"/>
      <c r="AJ67" s="1"/>
      <c r="AK67" s="1"/>
      <c r="AL67" s="1"/>
      <c r="AM67" s="1"/>
      <c r="AN67" s="1"/>
    </row>
    <row r="68" spans="1:40" ht="15.75" customHeight="1" x14ac:dyDescent="0.25">
      <c r="A68" s="1"/>
      <c r="B68" s="1"/>
      <c r="C68" s="1"/>
      <c r="D68" s="1"/>
      <c r="E68" s="12"/>
      <c r="F68" s="1"/>
      <c r="G68" s="1"/>
      <c r="H68" s="1"/>
      <c r="I68" s="12"/>
      <c r="J68" s="1"/>
      <c r="K68" s="1"/>
      <c r="L68" s="12"/>
      <c r="M68" s="1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2"/>
      <c r="AG68" s="1"/>
      <c r="AH68" s="12"/>
      <c r="AI68" s="1"/>
      <c r="AJ68" s="1"/>
      <c r="AK68" s="1"/>
      <c r="AL68" s="1"/>
      <c r="AM68" s="1"/>
      <c r="AN68" s="1"/>
    </row>
    <row r="69" spans="1:40" ht="15.75" customHeight="1" x14ac:dyDescent="0.25">
      <c r="A69" s="1"/>
      <c r="B69" s="1"/>
      <c r="C69" s="1"/>
      <c r="D69" s="1"/>
      <c r="E69" s="12"/>
      <c r="F69" s="1"/>
      <c r="G69" s="1"/>
      <c r="H69" s="1"/>
      <c r="I69" s="12"/>
      <c r="J69" s="1"/>
      <c r="K69" s="1"/>
      <c r="L69" s="12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2"/>
      <c r="AG69" s="1"/>
      <c r="AH69" s="12"/>
      <c r="AI69" s="1"/>
      <c r="AJ69" s="1"/>
      <c r="AK69" s="1"/>
      <c r="AL69" s="1"/>
      <c r="AM69" s="1"/>
      <c r="AN69" s="1"/>
    </row>
    <row r="70" spans="1:40" ht="15.75" customHeight="1" x14ac:dyDescent="0.25">
      <c r="A70" s="1"/>
      <c r="B70" s="1"/>
      <c r="C70" s="1"/>
      <c r="D70" s="1"/>
      <c r="E70" s="12"/>
      <c r="F70" s="1"/>
      <c r="G70" s="1"/>
      <c r="H70" s="1"/>
      <c r="I70" s="12"/>
      <c r="J70" s="1"/>
      <c r="K70" s="1"/>
      <c r="L70" s="12"/>
      <c r="M70" s="1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2"/>
      <c r="AG70" s="1"/>
      <c r="AH70" s="12"/>
      <c r="AI70" s="1"/>
      <c r="AJ70" s="1"/>
      <c r="AK70" s="1"/>
      <c r="AL70" s="1"/>
      <c r="AM70" s="1"/>
      <c r="AN70" s="1"/>
    </row>
    <row r="71" spans="1:40" ht="15.75" customHeight="1" x14ac:dyDescent="0.25">
      <c r="A71" s="1"/>
      <c r="B71" s="1"/>
      <c r="C71" s="1"/>
      <c r="D71" s="1"/>
      <c r="E71" s="12"/>
      <c r="F71" s="1"/>
      <c r="G71" s="1"/>
      <c r="H71" s="1"/>
      <c r="I71" s="12"/>
      <c r="J71" s="1"/>
      <c r="K71" s="1"/>
      <c r="L71" s="12"/>
      <c r="M71" s="1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2"/>
      <c r="AG71" s="1"/>
      <c r="AH71" s="12"/>
      <c r="AI71" s="1"/>
      <c r="AJ71" s="1"/>
      <c r="AK71" s="1"/>
      <c r="AL71" s="1"/>
      <c r="AM71" s="1"/>
      <c r="AN71" s="1"/>
    </row>
    <row r="72" spans="1:40" ht="15.75" customHeight="1" x14ac:dyDescent="0.25">
      <c r="A72" s="1"/>
      <c r="B72" s="1"/>
      <c r="C72" s="1"/>
      <c r="D72" s="1"/>
      <c r="E72" s="12"/>
      <c r="F72" s="1"/>
      <c r="G72" s="1"/>
      <c r="H72" s="1"/>
      <c r="I72" s="12"/>
      <c r="J72" s="1"/>
      <c r="K72" s="1"/>
      <c r="L72" s="12"/>
      <c r="M72" s="1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2"/>
      <c r="AG72" s="1"/>
      <c r="AH72" s="12"/>
      <c r="AI72" s="1"/>
      <c r="AJ72" s="1"/>
      <c r="AK72" s="1"/>
      <c r="AL72" s="1"/>
      <c r="AM72" s="1"/>
      <c r="AN72" s="1"/>
    </row>
    <row r="73" spans="1:40" ht="15.75" customHeight="1" x14ac:dyDescent="0.25">
      <c r="A73" s="1"/>
      <c r="B73" s="1"/>
      <c r="C73" s="1"/>
      <c r="D73" s="1"/>
      <c r="E73" s="12"/>
      <c r="F73" s="1"/>
      <c r="G73" s="1"/>
      <c r="H73" s="1"/>
      <c r="I73" s="12"/>
      <c r="J73" s="1"/>
      <c r="K73" s="1"/>
      <c r="L73" s="12"/>
      <c r="M73" s="1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2"/>
      <c r="AG73" s="1"/>
      <c r="AH73" s="12"/>
      <c r="AI73" s="1"/>
      <c r="AJ73" s="1"/>
      <c r="AK73" s="1"/>
      <c r="AL73" s="1"/>
      <c r="AM73" s="1"/>
      <c r="AN73" s="1"/>
    </row>
    <row r="74" spans="1:40" ht="15.75" customHeight="1" x14ac:dyDescent="0.25">
      <c r="A74" s="1"/>
      <c r="B74" s="1"/>
      <c r="C74" s="1"/>
      <c r="D74" s="1"/>
      <c r="E74" s="12"/>
      <c r="F74" s="1"/>
      <c r="G74" s="1"/>
      <c r="H74" s="1"/>
      <c r="I74" s="12"/>
      <c r="J74" s="1"/>
      <c r="K74" s="1"/>
      <c r="L74" s="12"/>
      <c r="M74" s="1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2"/>
      <c r="AG74" s="1"/>
      <c r="AH74" s="12"/>
      <c r="AI74" s="1"/>
      <c r="AJ74" s="1"/>
      <c r="AK74" s="1"/>
      <c r="AL74" s="1"/>
      <c r="AM74" s="1"/>
      <c r="AN74" s="1"/>
    </row>
    <row r="75" spans="1:40" ht="15.75" customHeight="1" x14ac:dyDescent="0.25">
      <c r="A75" s="1"/>
      <c r="B75" s="1"/>
      <c r="C75" s="1"/>
      <c r="D75" s="1"/>
      <c r="E75" s="12"/>
      <c r="F75" s="1"/>
      <c r="G75" s="1"/>
      <c r="H75" s="1"/>
      <c r="I75" s="12"/>
      <c r="J75" s="1"/>
      <c r="K75" s="1"/>
      <c r="L75" s="12"/>
      <c r="M75" s="1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2"/>
      <c r="AG75" s="1"/>
      <c r="AH75" s="12"/>
      <c r="AI75" s="1"/>
      <c r="AJ75" s="1"/>
      <c r="AK75" s="1"/>
      <c r="AL75" s="1"/>
      <c r="AM75" s="1"/>
      <c r="AN75" s="1"/>
    </row>
    <row r="76" spans="1:40" ht="15.75" customHeight="1" x14ac:dyDescent="0.25">
      <c r="A76" s="1"/>
      <c r="B76" s="1"/>
      <c r="C76" s="1"/>
      <c r="D76" s="1"/>
      <c r="E76" s="12"/>
      <c r="F76" s="1"/>
      <c r="G76" s="1"/>
      <c r="H76" s="1"/>
      <c r="I76" s="12"/>
      <c r="J76" s="1"/>
      <c r="K76" s="1"/>
      <c r="L76" s="12"/>
      <c r="M76" s="1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2"/>
      <c r="AG76" s="1"/>
      <c r="AH76" s="12"/>
      <c r="AI76" s="1"/>
      <c r="AJ76" s="1"/>
      <c r="AK76" s="1"/>
      <c r="AL76" s="1"/>
      <c r="AM76" s="1"/>
      <c r="AN76" s="1"/>
    </row>
    <row r="77" spans="1:40" ht="15.75" customHeight="1" x14ac:dyDescent="0.25">
      <c r="A77" s="1"/>
      <c r="B77" s="1"/>
      <c r="C77" s="1"/>
      <c r="D77" s="1"/>
      <c r="E77" s="12"/>
      <c r="F77" s="1"/>
      <c r="G77" s="1"/>
      <c r="H77" s="1"/>
      <c r="I77" s="12"/>
      <c r="J77" s="1"/>
      <c r="K77" s="1"/>
      <c r="L77" s="12"/>
      <c r="M77" s="1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2"/>
      <c r="AG77" s="1"/>
      <c r="AH77" s="12"/>
      <c r="AI77" s="1"/>
      <c r="AJ77" s="1"/>
      <c r="AK77" s="1"/>
      <c r="AL77" s="1"/>
      <c r="AM77" s="1"/>
      <c r="AN77" s="1"/>
    </row>
    <row r="78" spans="1:40" ht="15.75" customHeight="1" x14ac:dyDescent="0.25">
      <c r="A78" s="1"/>
      <c r="B78" s="1"/>
      <c r="C78" s="1"/>
      <c r="D78" s="1"/>
      <c r="E78" s="12"/>
      <c r="F78" s="1"/>
      <c r="G78" s="1"/>
      <c r="H78" s="1"/>
      <c r="I78" s="12"/>
      <c r="J78" s="1"/>
      <c r="K78" s="1"/>
      <c r="L78" s="12"/>
      <c r="M78" s="1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2"/>
      <c r="AG78" s="1"/>
      <c r="AH78" s="12"/>
      <c r="AI78" s="1"/>
      <c r="AJ78" s="1"/>
      <c r="AK78" s="1"/>
      <c r="AL78" s="1"/>
      <c r="AM78" s="1"/>
      <c r="AN78" s="1"/>
    </row>
    <row r="79" spans="1:40" ht="15.75" customHeight="1" x14ac:dyDescent="0.25">
      <c r="A79" s="1"/>
      <c r="B79" s="1"/>
      <c r="C79" s="1"/>
      <c r="D79" s="1"/>
      <c r="E79" s="12"/>
      <c r="F79" s="1"/>
      <c r="G79" s="1"/>
      <c r="H79" s="1"/>
      <c r="I79" s="12"/>
      <c r="J79" s="1"/>
      <c r="K79" s="1"/>
      <c r="L79" s="12"/>
      <c r="M79" s="1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2"/>
      <c r="AG79" s="1"/>
      <c r="AH79" s="12"/>
      <c r="AI79" s="1"/>
      <c r="AJ79" s="1"/>
      <c r="AK79" s="1"/>
      <c r="AL79" s="1"/>
      <c r="AM79" s="1"/>
      <c r="AN79" s="1"/>
    </row>
    <row r="80" spans="1:40" ht="15.75" customHeight="1" x14ac:dyDescent="0.25">
      <c r="A80" s="1"/>
      <c r="B80" s="1"/>
      <c r="C80" s="1"/>
      <c r="D80" s="1"/>
      <c r="E80" s="12"/>
      <c r="F80" s="1"/>
      <c r="G80" s="1"/>
      <c r="H80" s="1"/>
      <c r="I80" s="12"/>
      <c r="J80" s="1"/>
      <c r="K80" s="1"/>
      <c r="L80" s="12"/>
      <c r="M80" s="1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2"/>
      <c r="AG80" s="1"/>
      <c r="AH80" s="12"/>
      <c r="AI80" s="1"/>
      <c r="AJ80" s="1"/>
      <c r="AK80" s="1"/>
      <c r="AL80" s="1"/>
      <c r="AM80" s="1"/>
      <c r="AN80" s="1"/>
    </row>
    <row r="81" spans="1:40" ht="15.75" customHeight="1" x14ac:dyDescent="0.25">
      <c r="A81" s="1"/>
      <c r="B81" s="1"/>
      <c r="C81" s="1"/>
      <c r="D81" s="1"/>
      <c r="E81" s="12"/>
      <c r="F81" s="1"/>
      <c r="G81" s="1"/>
      <c r="H81" s="1"/>
      <c r="I81" s="12"/>
      <c r="J81" s="1"/>
      <c r="K81" s="1"/>
      <c r="L81" s="12"/>
      <c r="M81" s="1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2"/>
      <c r="AG81" s="1"/>
      <c r="AH81" s="12"/>
      <c r="AI81" s="1"/>
      <c r="AJ81" s="1"/>
      <c r="AK81" s="1"/>
      <c r="AL81" s="1"/>
      <c r="AM81" s="1"/>
      <c r="AN81" s="1"/>
    </row>
    <row r="82" spans="1:40" ht="15.75" customHeight="1" x14ac:dyDescent="0.25">
      <c r="A82" s="1"/>
      <c r="B82" s="1"/>
      <c r="C82" s="1"/>
      <c r="D82" s="1"/>
      <c r="E82" s="12"/>
      <c r="F82" s="1"/>
      <c r="G82" s="1"/>
      <c r="H82" s="1"/>
      <c r="I82" s="12"/>
      <c r="J82" s="1"/>
      <c r="K82" s="1"/>
      <c r="L82" s="12"/>
      <c r="M82" s="1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2"/>
      <c r="AG82" s="1"/>
      <c r="AH82" s="12"/>
      <c r="AI82" s="1"/>
      <c r="AJ82" s="1"/>
      <c r="AK82" s="1"/>
      <c r="AL82" s="1"/>
      <c r="AM82" s="1"/>
      <c r="AN82" s="1"/>
    </row>
    <row r="83" spans="1:40" ht="15.75" customHeight="1" x14ac:dyDescent="0.25">
      <c r="A83" s="1"/>
      <c r="B83" s="1"/>
      <c r="C83" s="1"/>
      <c r="D83" s="1"/>
      <c r="E83" s="12"/>
      <c r="F83" s="1"/>
      <c r="G83" s="1"/>
      <c r="H83" s="1"/>
      <c r="I83" s="12"/>
      <c r="J83" s="1"/>
      <c r="K83" s="1"/>
      <c r="L83" s="12"/>
      <c r="M83" s="1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2"/>
      <c r="AG83" s="1"/>
      <c r="AH83" s="12"/>
      <c r="AI83" s="1"/>
      <c r="AJ83" s="1"/>
      <c r="AK83" s="1"/>
      <c r="AL83" s="1"/>
      <c r="AM83" s="1"/>
      <c r="AN83" s="1"/>
    </row>
    <row r="84" spans="1:40" ht="15.75" customHeight="1" x14ac:dyDescent="0.25">
      <c r="A84" s="1"/>
      <c r="B84" s="1"/>
      <c r="C84" s="1"/>
      <c r="D84" s="1"/>
      <c r="E84" s="12"/>
      <c r="F84" s="1"/>
      <c r="G84" s="1"/>
      <c r="H84" s="1"/>
      <c r="I84" s="12"/>
      <c r="J84" s="1"/>
      <c r="K84" s="1"/>
      <c r="L84" s="12"/>
      <c r="M84" s="1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2"/>
      <c r="AG84" s="1"/>
      <c r="AH84" s="12"/>
      <c r="AI84" s="1"/>
      <c r="AJ84" s="1"/>
      <c r="AK84" s="1"/>
      <c r="AL84" s="1"/>
      <c r="AM84" s="1"/>
      <c r="AN84" s="1"/>
    </row>
    <row r="85" spans="1:40" ht="15.75" customHeight="1" x14ac:dyDescent="0.25">
      <c r="A85" s="1"/>
      <c r="B85" s="1"/>
      <c r="C85" s="1"/>
      <c r="D85" s="1"/>
      <c r="E85" s="12"/>
      <c r="F85" s="1"/>
      <c r="G85" s="1"/>
      <c r="H85" s="1"/>
      <c r="I85" s="12"/>
      <c r="J85" s="1"/>
      <c r="K85" s="1"/>
      <c r="L85" s="12"/>
      <c r="M85" s="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2"/>
      <c r="AG85" s="1"/>
      <c r="AH85" s="12"/>
      <c r="AI85" s="1"/>
      <c r="AJ85" s="1"/>
      <c r="AK85" s="1"/>
      <c r="AL85" s="1"/>
      <c r="AM85" s="1"/>
      <c r="AN85" s="1"/>
    </row>
    <row r="86" spans="1:40" ht="15.75" customHeight="1" x14ac:dyDescent="0.25">
      <c r="A86" s="1"/>
      <c r="B86" s="1"/>
      <c r="C86" s="1"/>
      <c r="D86" s="1"/>
      <c r="E86" s="12"/>
      <c r="F86" s="1"/>
      <c r="G86" s="1"/>
      <c r="H86" s="1"/>
      <c r="I86" s="12"/>
      <c r="J86" s="1"/>
      <c r="K86" s="1"/>
      <c r="L86" s="12"/>
      <c r="M86" s="1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2"/>
      <c r="AG86" s="1"/>
      <c r="AH86" s="12"/>
      <c r="AI86" s="1"/>
      <c r="AJ86" s="1"/>
      <c r="AK86" s="1"/>
      <c r="AL86" s="1"/>
      <c r="AM86" s="1"/>
      <c r="AN86" s="1"/>
    </row>
    <row r="87" spans="1:40" ht="15.75" customHeight="1" x14ac:dyDescent="0.25">
      <c r="A87" s="1"/>
      <c r="B87" s="1"/>
      <c r="C87" s="1"/>
      <c r="D87" s="1"/>
      <c r="E87" s="12"/>
      <c r="F87" s="1"/>
      <c r="G87" s="1"/>
      <c r="H87" s="1"/>
      <c r="I87" s="12"/>
      <c r="J87" s="1"/>
      <c r="K87" s="1"/>
      <c r="L87" s="12"/>
      <c r="M87" s="1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2"/>
      <c r="AG87" s="1"/>
      <c r="AH87" s="12"/>
      <c r="AI87" s="1"/>
      <c r="AJ87" s="1"/>
      <c r="AK87" s="1"/>
      <c r="AL87" s="1"/>
      <c r="AM87" s="1"/>
      <c r="AN87" s="1"/>
    </row>
    <row r="88" spans="1:40" ht="15.75" customHeight="1" x14ac:dyDescent="0.25">
      <c r="A88" s="1"/>
      <c r="B88" s="1"/>
      <c r="C88" s="1"/>
      <c r="D88" s="1"/>
      <c r="E88" s="12"/>
      <c r="F88" s="1"/>
      <c r="G88" s="1"/>
      <c r="H88" s="1"/>
      <c r="I88" s="12"/>
      <c r="J88" s="1"/>
      <c r="K88" s="1"/>
      <c r="L88" s="12"/>
      <c r="M88" s="1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2"/>
      <c r="AG88" s="1"/>
      <c r="AH88" s="12"/>
      <c r="AI88" s="1"/>
      <c r="AJ88" s="1"/>
      <c r="AK88" s="1"/>
      <c r="AL88" s="1"/>
      <c r="AM88" s="1"/>
      <c r="AN88" s="1"/>
    </row>
    <row r="89" spans="1:40" ht="15.75" customHeight="1" x14ac:dyDescent="0.25">
      <c r="A89" s="1"/>
      <c r="B89" s="1"/>
      <c r="C89" s="1"/>
      <c r="D89" s="1"/>
      <c r="E89" s="12"/>
      <c r="F89" s="1"/>
      <c r="G89" s="1"/>
      <c r="H89" s="1"/>
      <c r="I89" s="12"/>
      <c r="J89" s="1"/>
      <c r="K89" s="1"/>
      <c r="L89" s="12"/>
      <c r="M89" s="1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2"/>
      <c r="AG89" s="1"/>
      <c r="AH89" s="12"/>
      <c r="AI89" s="1"/>
      <c r="AJ89" s="1"/>
      <c r="AK89" s="1"/>
      <c r="AL89" s="1"/>
      <c r="AM89" s="1"/>
      <c r="AN89" s="1"/>
    </row>
    <row r="90" spans="1:40" ht="15.75" customHeight="1" x14ac:dyDescent="0.25">
      <c r="A90" s="1"/>
      <c r="B90" s="1"/>
      <c r="C90" s="1"/>
      <c r="D90" s="1"/>
      <c r="E90" s="12"/>
      <c r="F90" s="1"/>
      <c r="G90" s="1"/>
      <c r="H90" s="1"/>
      <c r="I90" s="12"/>
      <c r="J90" s="1"/>
      <c r="K90" s="1"/>
      <c r="L90" s="12"/>
      <c r="M90" s="1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2"/>
      <c r="AG90" s="1"/>
      <c r="AH90" s="12"/>
      <c r="AI90" s="1"/>
      <c r="AJ90" s="1"/>
      <c r="AK90" s="1"/>
      <c r="AL90" s="1"/>
      <c r="AM90" s="1"/>
      <c r="AN90" s="1"/>
    </row>
    <row r="91" spans="1:40" ht="15.75" customHeight="1" x14ac:dyDescent="0.25">
      <c r="A91" s="1"/>
      <c r="B91" s="1"/>
      <c r="C91" s="1"/>
      <c r="D91" s="1"/>
      <c r="E91" s="12"/>
      <c r="F91" s="1"/>
      <c r="G91" s="1"/>
      <c r="H91" s="1"/>
      <c r="I91" s="12"/>
      <c r="J91" s="1"/>
      <c r="K91" s="1"/>
      <c r="L91" s="12"/>
      <c r="M91" s="1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2"/>
      <c r="AG91" s="1"/>
      <c r="AH91" s="12"/>
      <c r="AI91" s="1"/>
      <c r="AJ91" s="1"/>
      <c r="AK91" s="1"/>
      <c r="AL91" s="1"/>
      <c r="AM91" s="1"/>
      <c r="AN91" s="1"/>
    </row>
    <row r="92" spans="1:40" ht="15.75" customHeight="1" x14ac:dyDescent="0.25">
      <c r="A92" s="1"/>
      <c r="B92" s="1"/>
      <c r="C92" s="1"/>
      <c r="D92" s="1"/>
      <c r="E92" s="12"/>
      <c r="F92" s="1"/>
      <c r="G92" s="1"/>
      <c r="H92" s="1"/>
      <c r="I92" s="12"/>
      <c r="J92" s="1"/>
      <c r="K92" s="1"/>
      <c r="L92" s="12"/>
      <c r="M92" s="1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2"/>
      <c r="AG92" s="1"/>
      <c r="AH92" s="12"/>
      <c r="AI92" s="1"/>
      <c r="AJ92" s="1"/>
      <c r="AK92" s="1"/>
      <c r="AL92" s="1"/>
      <c r="AM92" s="1"/>
      <c r="AN92" s="1"/>
    </row>
    <row r="93" spans="1:40" ht="15.75" customHeight="1" x14ac:dyDescent="0.25">
      <c r="A93" s="1"/>
      <c r="B93" s="1"/>
      <c r="C93" s="1"/>
      <c r="D93" s="1"/>
      <c r="E93" s="12"/>
      <c r="F93" s="1"/>
      <c r="G93" s="1"/>
      <c r="H93" s="1"/>
      <c r="I93" s="12"/>
      <c r="J93" s="1"/>
      <c r="K93" s="1"/>
      <c r="L93" s="12"/>
      <c r="M93" s="1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2"/>
      <c r="AG93" s="1"/>
      <c r="AH93" s="12"/>
      <c r="AI93" s="1"/>
      <c r="AJ93" s="1"/>
      <c r="AK93" s="1"/>
      <c r="AL93" s="1"/>
      <c r="AM93" s="1"/>
      <c r="AN93" s="1"/>
    </row>
    <row r="94" spans="1:40" ht="15.75" customHeight="1" x14ac:dyDescent="0.25">
      <c r="A94" s="1"/>
      <c r="B94" s="1"/>
      <c r="C94" s="1"/>
      <c r="D94" s="1"/>
      <c r="E94" s="12"/>
      <c r="F94" s="1"/>
      <c r="G94" s="1"/>
      <c r="H94" s="1"/>
      <c r="I94" s="12"/>
      <c r="J94" s="1"/>
      <c r="K94" s="1"/>
      <c r="L94" s="12"/>
      <c r="M94" s="1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2"/>
      <c r="AG94" s="1"/>
      <c r="AH94" s="12"/>
      <c r="AI94" s="1"/>
      <c r="AJ94" s="1"/>
      <c r="AK94" s="1"/>
      <c r="AL94" s="1"/>
      <c r="AM94" s="1"/>
      <c r="AN94" s="1"/>
    </row>
    <row r="95" spans="1:40" ht="15.75" customHeight="1" x14ac:dyDescent="0.25">
      <c r="A95" s="1"/>
      <c r="B95" s="1"/>
      <c r="C95" s="1"/>
      <c r="D95" s="1"/>
      <c r="E95" s="12"/>
      <c r="F95" s="1"/>
      <c r="G95" s="1"/>
      <c r="H95" s="1"/>
      <c r="I95" s="12"/>
      <c r="J95" s="1"/>
      <c r="K95" s="1"/>
      <c r="L95" s="12"/>
      <c r="M95" s="1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2"/>
      <c r="AG95" s="1"/>
      <c r="AH95" s="12"/>
      <c r="AI95" s="1"/>
      <c r="AJ95" s="1"/>
      <c r="AK95" s="1"/>
      <c r="AL95" s="1"/>
      <c r="AM95" s="1"/>
      <c r="AN95" s="1"/>
    </row>
    <row r="96" spans="1:40" ht="15.75" customHeight="1" x14ac:dyDescent="0.25">
      <c r="A96" s="1"/>
      <c r="B96" s="1"/>
      <c r="C96" s="1"/>
      <c r="D96" s="1"/>
      <c r="E96" s="12"/>
      <c r="F96" s="1"/>
      <c r="G96" s="1"/>
      <c r="H96" s="1"/>
      <c r="I96" s="12"/>
      <c r="J96" s="1"/>
      <c r="K96" s="1"/>
      <c r="L96" s="12"/>
      <c r="M96" s="1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2"/>
      <c r="AG96" s="1"/>
      <c r="AH96" s="12"/>
      <c r="AI96" s="1"/>
      <c r="AJ96" s="1"/>
      <c r="AK96" s="1"/>
      <c r="AL96" s="1"/>
      <c r="AM96" s="1"/>
      <c r="AN96" s="1"/>
    </row>
    <row r="97" spans="1:40" ht="15.75" customHeight="1" x14ac:dyDescent="0.25">
      <c r="A97" s="1"/>
      <c r="B97" s="1"/>
      <c r="C97" s="1"/>
      <c r="D97" s="1"/>
      <c r="E97" s="12"/>
      <c r="F97" s="1"/>
      <c r="G97" s="1"/>
      <c r="H97" s="1"/>
      <c r="I97" s="12"/>
      <c r="J97" s="1"/>
      <c r="K97" s="1"/>
      <c r="L97" s="12"/>
      <c r="M97" s="1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2"/>
      <c r="AG97" s="1"/>
      <c r="AH97" s="12"/>
      <c r="AI97" s="1"/>
      <c r="AJ97" s="1"/>
      <c r="AK97" s="1"/>
      <c r="AL97" s="1"/>
      <c r="AM97" s="1"/>
      <c r="AN97" s="1"/>
    </row>
    <row r="98" spans="1:40" ht="15.75" customHeight="1" x14ac:dyDescent="0.25">
      <c r="A98" s="1"/>
      <c r="B98" s="1"/>
      <c r="C98" s="1"/>
      <c r="D98" s="1"/>
      <c r="E98" s="12"/>
      <c r="F98" s="1"/>
      <c r="G98" s="1"/>
      <c r="H98" s="1"/>
      <c r="I98" s="12"/>
      <c r="J98" s="1"/>
      <c r="K98" s="1"/>
      <c r="L98" s="12"/>
      <c r="M98" s="1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2"/>
      <c r="AG98" s="1"/>
      <c r="AH98" s="12"/>
      <c r="AI98" s="1"/>
      <c r="AJ98" s="1"/>
      <c r="AK98" s="1"/>
      <c r="AL98" s="1"/>
      <c r="AM98" s="1"/>
      <c r="AN98" s="1"/>
    </row>
    <row r="99" spans="1:40" ht="15.75" customHeight="1" x14ac:dyDescent="0.25">
      <c r="A99" s="1"/>
      <c r="B99" s="1"/>
      <c r="C99" s="1"/>
      <c r="D99" s="1"/>
      <c r="E99" s="12"/>
      <c r="F99" s="1"/>
      <c r="G99" s="1"/>
      <c r="H99" s="1"/>
      <c r="I99" s="12"/>
      <c r="J99" s="1"/>
      <c r="K99" s="1"/>
      <c r="L99" s="12"/>
      <c r="M99" s="1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2"/>
      <c r="AG99" s="1"/>
      <c r="AH99" s="12"/>
      <c r="AI99" s="1"/>
      <c r="AJ99" s="1"/>
      <c r="AK99" s="1"/>
      <c r="AL99" s="1"/>
      <c r="AM99" s="1"/>
      <c r="AN99" s="1"/>
    </row>
    <row r="100" spans="1:40" ht="15.75" customHeight="1" x14ac:dyDescent="0.25">
      <c r="A100" s="1"/>
      <c r="B100" s="1"/>
      <c r="C100" s="1"/>
      <c r="D100" s="1"/>
      <c r="E100" s="12"/>
      <c r="F100" s="1"/>
      <c r="G100" s="1"/>
      <c r="H100" s="1"/>
      <c r="I100" s="12"/>
      <c r="J100" s="1"/>
      <c r="K100" s="1"/>
      <c r="L100" s="12"/>
      <c r="M100" s="1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2"/>
      <c r="AG100" s="1"/>
      <c r="AH100" s="12"/>
      <c r="AI100" s="1"/>
      <c r="AJ100" s="1"/>
      <c r="AK100" s="1"/>
      <c r="AL100" s="1"/>
      <c r="AM100" s="1"/>
      <c r="AN100" s="1"/>
    </row>
    <row r="101" spans="1:40" ht="15.75" customHeight="1" x14ac:dyDescent="0.25">
      <c r="A101" s="1"/>
      <c r="B101" s="1"/>
      <c r="C101" s="1"/>
      <c r="D101" s="1"/>
      <c r="E101" s="12"/>
      <c r="F101" s="1"/>
      <c r="G101" s="1"/>
      <c r="H101" s="1"/>
      <c r="I101" s="12"/>
      <c r="J101" s="1"/>
      <c r="K101" s="1"/>
      <c r="L101" s="12"/>
      <c r="M101" s="1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2"/>
      <c r="AG101" s="1"/>
      <c r="AH101" s="12"/>
      <c r="AI101" s="1"/>
      <c r="AJ101" s="1"/>
      <c r="AK101" s="1"/>
      <c r="AL101" s="1"/>
      <c r="AM101" s="1"/>
      <c r="AN101" s="1"/>
    </row>
    <row r="102" spans="1:40" ht="15.75" customHeight="1" x14ac:dyDescent="0.25">
      <c r="A102" s="1"/>
      <c r="B102" s="1"/>
      <c r="C102" s="1"/>
      <c r="D102" s="1"/>
      <c r="E102" s="12"/>
      <c r="F102" s="1"/>
      <c r="G102" s="1"/>
      <c r="H102" s="1"/>
      <c r="I102" s="12"/>
      <c r="J102" s="1"/>
      <c r="K102" s="1"/>
      <c r="L102" s="12"/>
      <c r="M102" s="1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2"/>
      <c r="AG102" s="1"/>
      <c r="AH102" s="12"/>
      <c r="AI102" s="1"/>
      <c r="AJ102" s="1"/>
      <c r="AK102" s="1"/>
      <c r="AL102" s="1"/>
      <c r="AM102" s="1"/>
      <c r="AN102" s="1"/>
    </row>
    <row r="103" spans="1:40" ht="15.75" customHeight="1" x14ac:dyDescent="0.25">
      <c r="A103" s="1"/>
      <c r="B103" s="1"/>
      <c r="C103" s="1"/>
      <c r="D103" s="1"/>
      <c r="E103" s="12"/>
      <c r="F103" s="1"/>
      <c r="G103" s="1"/>
      <c r="H103" s="1"/>
      <c r="I103" s="12"/>
      <c r="J103" s="1"/>
      <c r="K103" s="1"/>
      <c r="L103" s="12"/>
      <c r="M103" s="1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2"/>
      <c r="AG103" s="1"/>
      <c r="AH103" s="12"/>
      <c r="AI103" s="1"/>
      <c r="AJ103" s="1"/>
      <c r="AK103" s="1"/>
      <c r="AL103" s="1"/>
      <c r="AM103" s="1"/>
      <c r="AN103" s="1"/>
    </row>
    <row r="104" spans="1:40" ht="15.75" customHeight="1" x14ac:dyDescent="0.25">
      <c r="A104" s="1"/>
      <c r="B104" s="1"/>
      <c r="C104" s="1"/>
      <c r="D104" s="1"/>
      <c r="E104" s="12"/>
      <c r="F104" s="1"/>
      <c r="G104" s="1"/>
      <c r="H104" s="1"/>
      <c r="I104" s="12"/>
      <c r="J104" s="1"/>
      <c r="K104" s="1"/>
      <c r="L104" s="12"/>
      <c r="M104" s="1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2"/>
      <c r="AG104" s="1"/>
      <c r="AH104" s="12"/>
      <c r="AI104" s="1"/>
      <c r="AJ104" s="1"/>
      <c r="AK104" s="1"/>
      <c r="AL104" s="1"/>
      <c r="AM104" s="1"/>
      <c r="AN104" s="1"/>
    </row>
    <row r="105" spans="1:40" ht="15.75" customHeight="1" x14ac:dyDescent="0.25">
      <c r="A105" s="1"/>
      <c r="B105" s="1"/>
      <c r="C105" s="1"/>
      <c r="D105" s="1"/>
      <c r="E105" s="12"/>
      <c r="F105" s="1"/>
      <c r="G105" s="1"/>
      <c r="H105" s="1"/>
      <c r="I105" s="12"/>
      <c r="J105" s="1"/>
      <c r="K105" s="1"/>
      <c r="L105" s="12"/>
      <c r="M105" s="1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2"/>
      <c r="AG105" s="1"/>
      <c r="AH105" s="12"/>
      <c r="AI105" s="1"/>
      <c r="AJ105" s="1"/>
      <c r="AK105" s="1"/>
      <c r="AL105" s="1"/>
      <c r="AM105" s="1"/>
      <c r="AN105" s="1"/>
    </row>
    <row r="106" spans="1:40" ht="15.75" customHeight="1" x14ac:dyDescent="0.25">
      <c r="A106" s="1"/>
      <c r="B106" s="1"/>
      <c r="C106" s="1"/>
      <c r="D106" s="1"/>
      <c r="E106" s="12"/>
      <c r="F106" s="1"/>
      <c r="G106" s="1"/>
      <c r="H106" s="1"/>
      <c r="I106" s="12"/>
      <c r="J106" s="1"/>
      <c r="K106" s="1"/>
      <c r="L106" s="12"/>
      <c r="M106" s="1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2"/>
      <c r="AG106" s="1"/>
      <c r="AH106" s="12"/>
      <c r="AI106" s="1"/>
      <c r="AJ106" s="1"/>
      <c r="AK106" s="1"/>
      <c r="AL106" s="1"/>
      <c r="AM106" s="1"/>
      <c r="AN106" s="1"/>
    </row>
    <row r="107" spans="1:40" ht="15.75" customHeight="1" x14ac:dyDescent="0.25">
      <c r="A107" s="1"/>
      <c r="B107" s="1"/>
      <c r="C107" s="1"/>
      <c r="D107" s="1"/>
      <c r="E107" s="12"/>
      <c r="F107" s="1"/>
      <c r="G107" s="1"/>
      <c r="H107" s="1"/>
      <c r="I107" s="12"/>
      <c r="J107" s="1"/>
      <c r="K107" s="1"/>
      <c r="L107" s="12"/>
      <c r="M107" s="1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2"/>
      <c r="AG107" s="1"/>
      <c r="AH107" s="12"/>
      <c r="AI107" s="1"/>
      <c r="AJ107" s="1"/>
      <c r="AK107" s="1"/>
      <c r="AL107" s="1"/>
      <c r="AM107" s="1"/>
      <c r="AN107" s="1"/>
    </row>
    <row r="108" spans="1:40" ht="15.75" customHeight="1" x14ac:dyDescent="0.25">
      <c r="A108" s="1"/>
      <c r="B108" s="1"/>
      <c r="C108" s="1"/>
      <c r="D108" s="1"/>
      <c r="E108" s="12"/>
      <c r="F108" s="1"/>
      <c r="G108" s="1"/>
      <c r="H108" s="1"/>
      <c r="I108" s="12"/>
      <c r="J108" s="1"/>
      <c r="K108" s="1"/>
      <c r="L108" s="12"/>
      <c r="M108" s="1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2"/>
      <c r="AG108" s="1"/>
      <c r="AH108" s="12"/>
      <c r="AI108" s="1"/>
      <c r="AJ108" s="1"/>
      <c r="AK108" s="1"/>
      <c r="AL108" s="1"/>
      <c r="AM108" s="1"/>
      <c r="AN108" s="1"/>
    </row>
    <row r="109" spans="1:40" ht="15.75" customHeight="1" x14ac:dyDescent="0.25">
      <c r="A109" s="1"/>
      <c r="B109" s="1"/>
      <c r="C109" s="1"/>
      <c r="D109" s="1"/>
      <c r="E109" s="12"/>
      <c r="F109" s="1"/>
      <c r="G109" s="1"/>
      <c r="H109" s="1"/>
      <c r="I109" s="12"/>
      <c r="J109" s="1"/>
      <c r="K109" s="1"/>
      <c r="L109" s="12"/>
      <c r="M109" s="1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2"/>
      <c r="AG109" s="1"/>
      <c r="AH109" s="12"/>
      <c r="AI109" s="1"/>
      <c r="AJ109" s="1"/>
      <c r="AK109" s="1"/>
      <c r="AL109" s="1"/>
      <c r="AM109" s="1"/>
      <c r="AN109" s="1"/>
    </row>
    <row r="110" spans="1:40" ht="15.75" customHeight="1" x14ac:dyDescent="0.25">
      <c r="A110" s="1"/>
      <c r="B110" s="1"/>
      <c r="C110" s="1"/>
      <c r="D110" s="1"/>
      <c r="E110" s="12"/>
      <c r="F110" s="1"/>
      <c r="G110" s="1"/>
      <c r="H110" s="1"/>
      <c r="I110" s="12"/>
      <c r="J110" s="1"/>
      <c r="K110" s="1"/>
      <c r="L110" s="12"/>
      <c r="M110" s="1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2"/>
      <c r="AG110" s="1"/>
      <c r="AH110" s="12"/>
      <c r="AI110" s="1"/>
      <c r="AJ110" s="1"/>
      <c r="AK110" s="1"/>
      <c r="AL110" s="1"/>
      <c r="AM110" s="1"/>
      <c r="AN110" s="1"/>
    </row>
    <row r="111" spans="1:40" ht="15.75" customHeight="1" x14ac:dyDescent="0.25">
      <c r="A111" s="1"/>
      <c r="B111" s="1"/>
      <c r="C111" s="1"/>
      <c r="D111" s="1"/>
      <c r="E111" s="12"/>
      <c r="F111" s="1"/>
      <c r="G111" s="1"/>
      <c r="H111" s="1"/>
      <c r="I111" s="12"/>
      <c r="J111" s="1"/>
      <c r="K111" s="1"/>
      <c r="L111" s="12"/>
      <c r="M111" s="1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2"/>
      <c r="AG111" s="1"/>
      <c r="AH111" s="12"/>
      <c r="AI111" s="1"/>
      <c r="AJ111" s="1"/>
      <c r="AK111" s="1"/>
      <c r="AL111" s="1"/>
      <c r="AM111" s="1"/>
      <c r="AN111" s="1"/>
    </row>
    <row r="112" spans="1:40" ht="15.75" customHeight="1" x14ac:dyDescent="0.25">
      <c r="A112" s="1"/>
      <c r="B112" s="1"/>
      <c r="C112" s="1"/>
      <c r="D112" s="1"/>
      <c r="E112" s="12"/>
      <c r="F112" s="1"/>
      <c r="G112" s="1"/>
      <c r="H112" s="1"/>
      <c r="I112" s="12"/>
      <c r="J112" s="1"/>
      <c r="K112" s="1"/>
      <c r="L112" s="12"/>
      <c r="M112" s="1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2"/>
      <c r="AG112" s="1"/>
      <c r="AH112" s="12"/>
      <c r="AI112" s="1"/>
      <c r="AJ112" s="1"/>
      <c r="AK112" s="1"/>
      <c r="AL112" s="1"/>
      <c r="AM112" s="1"/>
      <c r="AN112" s="1"/>
    </row>
    <row r="113" spans="1:40" ht="15.75" customHeight="1" x14ac:dyDescent="0.25">
      <c r="A113" s="1"/>
      <c r="B113" s="1"/>
      <c r="C113" s="1"/>
      <c r="D113" s="1"/>
      <c r="E113" s="12"/>
      <c r="F113" s="1"/>
      <c r="G113" s="1"/>
      <c r="H113" s="1"/>
      <c r="I113" s="12"/>
      <c r="J113" s="1"/>
      <c r="K113" s="1"/>
      <c r="L113" s="12"/>
      <c r="M113" s="1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2"/>
      <c r="AG113" s="1"/>
      <c r="AH113" s="12"/>
      <c r="AI113" s="1"/>
      <c r="AJ113" s="1"/>
      <c r="AK113" s="1"/>
      <c r="AL113" s="1"/>
      <c r="AM113" s="1"/>
      <c r="AN113" s="1"/>
    </row>
    <row r="114" spans="1:40" ht="15.75" customHeight="1" x14ac:dyDescent="0.25">
      <c r="A114" s="1"/>
      <c r="B114" s="1"/>
      <c r="C114" s="1"/>
      <c r="D114" s="1"/>
      <c r="E114" s="12"/>
      <c r="F114" s="1"/>
      <c r="G114" s="1"/>
      <c r="H114" s="1"/>
      <c r="I114" s="12"/>
      <c r="J114" s="1"/>
      <c r="K114" s="1"/>
      <c r="L114" s="12"/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2"/>
      <c r="AG114" s="1"/>
      <c r="AH114" s="12"/>
      <c r="AI114" s="1"/>
      <c r="AJ114" s="1"/>
      <c r="AK114" s="1"/>
      <c r="AL114" s="1"/>
      <c r="AM114" s="1"/>
      <c r="AN114" s="1"/>
    </row>
    <row r="115" spans="1:40" ht="15.75" customHeight="1" x14ac:dyDescent="0.25">
      <c r="A115" s="1"/>
      <c r="B115" s="1"/>
      <c r="C115" s="1"/>
      <c r="D115" s="1"/>
      <c r="E115" s="12"/>
      <c r="F115" s="1"/>
      <c r="G115" s="1"/>
      <c r="H115" s="1"/>
      <c r="I115" s="12"/>
      <c r="J115" s="1"/>
      <c r="K115" s="1"/>
      <c r="L115" s="12"/>
      <c r="M115" s="1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2"/>
      <c r="AG115" s="1"/>
      <c r="AH115" s="12"/>
      <c r="AI115" s="1"/>
      <c r="AJ115" s="1"/>
      <c r="AK115" s="1"/>
      <c r="AL115" s="1"/>
      <c r="AM115" s="1"/>
      <c r="AN115" s="1"/>
    </row>
    <row r="116" spans="1:40" ht="15.75" customHeight="1" x14ac:dyDescent="0.25">
      <c r="A116" s="1"/>
      <c r="B116" s="1"/>
      <c r="C116" s="1"/>
      <c r="D116" s="1"/>
      <c r="E116" s="12"/>
      <c r="F116" s="1"/>
      <c r="G116" s="1"/>
      <c r="H116" s="1"/>
      <c r="I116" s="12"/>
      <c r="J116" s="1"/>
      <c r="K116" s="1"/>
      <c r="L116" s="12"/>
      <c r="M116" s="1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2"/>
      <c r="AG116" s="1"/>
      <c r="AH116" s="12"/>
      <c r="AI116" s="1"/>
      <c r="AJ116" s="1"/>
      <c r="AK116" s="1"/>
      <c r="AL116" s="1"/>
      <c r="AM116" s="1"/>
      <c r="AN116" s="1"/>
    </row>
    <row r="117" spans="1:40" ht="15.75" customHeight="1" x14ac:dyDescent="0.25">
      <c r="A117" s="1"/>
      <c r="B117" s="1"/>
      <c r="C117" s="1"/>
      <c r="D117" s="1"/>
      <c r="E117" s="12"/>
      <c r="F117" s="1"/>
      <c r="G117" s="1"/>
      <c r="H117" s="1"/>
      <c r="I117" s="12"/>
      <c r="J117" s="1"/>
      <c r="K117" s="1"/>
      <c r="L117" s="12"/>
      <c r="M117" s="1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2"/>
      <c r="AG117" s="1"/>
      <c r="AH117" s="12"/>
      <c r="AI117" s="1"/>
      <c r="AJ117" s="1"/>
      <c r="AK117" s="1"/>
      <c r="AL117" s="1"/>
      <c r="AM117" s="1"/>
      <c r="AN117" s="1"/>
    </row>
    <row r="118" spans="1:40" ht="15.75" customHeight="1" x14ac:dyDescent="0.25">
      <c r="A118" s="1"/>
      <c r="B118" s="1"/>
      <c r="C118" s="1"/>
      <c r="D118" s="1"/>
      <c r="E118" s="12"/>
      <c r="F118" s="1"/>
      <c r="G118" s="1"/>
      <c r="H118" s="1"/>
      <c r="I118" s="12"/>
      <c r="J118" s="1"/>
      <c r="K118" s="1"/>
      <c r="L118" s="12"/>
      <c r="M118" s="1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2"/>
      <c r="AG118" s="1"/>
      <c r="AH118" s="12"/>
      <c r="AI118" s="1"/>
      <c r="AJ118" s="1"/>
      <c r="AK118" s="1"/>
      <c r="AL118" s="1"/>
      <c r="AM118" s="1"/>
      <c r="AN118" s="1"/>
    </row>
    <row r="119" spans="1:40" ht="15.75" customHeight="1" x14ac:dyDescent="0.25">
      <c r="A119" s="1"/>
      <c r="B119" s="1"/>
      <c r="C119" s="1"/>
      <c r="D119" s="1"/>
      <c r="E119" s="12"/>
      <c r="F119" s="1"/>
      <c r="G119" s="1"/>
      <c r="H119" s="1"/>
      <c r="I119" s="12"/>
      <c r="J119" s="1"/>
      <c r="K119" s="1"/>
      <c r="L119" s="12"/>
      <c r="M119" s="1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2"/>
      <c r="AG119" s="1"/>
      <c r="AH119" s="12"/>
      <c r="AI119" s="1"/>
      <c r="AJ119" s="1"/>
      <c r="AK119" s="1"/>
      <c r="AL119" s="1"/>
      <c r="AM119" s="1"/>
      <c r="AN119" s="1"/>
    </row>
    <row r="120" spans="1:40" ht="15.75" customHeight="1" x14ac:dyDescent="0.25">
      <c r="A120" s="1"/>
      <c r="B120" s="1"/>
      <c r="C120" s="1"/>
      <c r="D120" s="1"/>
      <c r="E120" s="12"/>
      <c r="F120" s="1"/>
      <c r="G120" s="1"/>
      <c r="H120" s="1"/>
      <c r="I120" s="12"/>
      <c r="J120" s="1"/>
      <c r="K120" s="1"/>
      <c r="L120" s="12"/>
      <c r="M120" s="1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2"/>
      <c r="AG120" s="1"/>
      <c r="AH120" s="12"/>
      <c r="AI120" s="1"/>
      <c r="AJ120" s="1"/>
      <c r="AK120" s="1"/>
      <c r="AL120" s="1"/>
      <c r="AM120" s="1"/>
      <c r="AN120" s="1"/>
    </row>
    <row r="121" spans="1:40" ht="15.75" customHeight="1" x14ac:dyDescent="0.25">
      <c r="A121" s="1"/>
      <c r="B121" s="1"/>
      <c r="C121" s="1"/>
      <c r="D121" s="1"/>
      <c r="E121" s="12"/>
      <c r="F121" s="1"/>
      <c r="G121" s="1"/>
      <c r="H121" s="1"/>
      <c r="I121" s="12"/>
      <c r="J121" s="1"/>
      <c r="K121" s="1"/>
      <c r="L121" s="12"/>
      <c r="M121" s="1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2"/>
      <c r="AG121" s="1"/>
      <c r="AH121" s="12"/>
      <c r="AI121" s="1"/>
      <c r="AJ121" s="1"/>
      <c r="AK121" s="1"/>
      <c r="AL121" s="1"/>
      <c r="AM121" s="1"/>
      <c r="AN121" s="1"/>
    </row>
    <row r="122" spans="1:40" ht="15.75" customHeight="1" x14ac:dyDescent="0.25">
      <c r="A122" s="1"/>
      <c r="B122" s="1"/>
      <c r="C122" s="1"/>
      <c r="D122" s="1"/>
      <c r="E122" s="12"/>
      <c r="F122" s="1"/>
      <c r="G122" s="1"/>
      <c r="H122" s="1"/>
      <c r="I122" s="12"/>
      <c r="J122" s="1"/>
      <c r="K122" s="1"/>
      <c r="L122" s="12"/>
      <c r="M122" s="1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2"/>
      <c r="AG122" s="1"/>
      <c r="AH122" s="12"/>
      <c r="AI122" s="1"/>
      <c r="AJ122" s="1"/>
      <c r="AK122" s="1"/>
      <c r="AL122" s="1"/>
      <c r="AM122" s="1"/>
      <c r="AN122" s="1"/>
    </row>
    <row r="123" spans="1:40" ht="15.75" customHeight="1" x14ac:dyDescent="0.25">
      <c r="A123" s="1"/>
      <c r="B123" s="1"/>
      <c r="C123" s="1"/>
      <c r="D123" s="1"/>
      <c r="E123" s="12"/>
      <c r="F123" s="1"/>
      <c r="G123" s="1"/>
      <c r="H123" s="1"/>
      <c r="I123" s="12"/>
      <c r="J123" s="1"/>
      <c r="K123" s="1"/>
      <c r="L123" s="12"/>
      <c r="M123" s="1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2"/>
      <c r="AG123" s="1"/>
      <c r="AH123" s="12"/>
      <c r="AI123" s="1"/>
      <c r="AJ123" s="1"/>
      <c r="AK123" s="1"/>
      <c r="AL123" s="1"/>
      <c r="AM123" s="1"/>
      <c r="AN123" s="1"/>
    </row>
    <row r="124" spans="1:40" ht="15.75" customHeight="1" x14ac:dyDescent="0.25">
      <c r="A124" s="1"/>
      <c r="B124" s="1"/>
      <c r="C124" s="1"/>
      <c r="D124" s="1"/>
      <c r="E124" s="12"/>
      <c r="F124" s="1"/>
      <c r="G124" s="1"/>
      <c r="H124" s="1"/>
      <c r="I124" s="12"/>
      <c r="J124" s="1"/>
      <c r="K124" s="1"/>
      <c r="L124" s="12"/>
      <c r="M124" s="1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2"/>
      <c r="AG124" s="1"/>
      <c r="AH124" s="12"/>
      <c r="AI124" s="1"/>
      <c r="AJ124" s="1"/>
      <c r="AK124" s="1"/>
      <c r="AL124" s="1"/>
      <c r="AM124" s="1"/>
      <c r="AN124" s="1"/>
    </row>
    <row r="125" spans="1:40" ht="15.75" customHeight="1" x14ac:dyDescent="0.25">
      <c r="A125" s="1"/>
      <c r="B125" s="1"/>
      <c r="C125" s="1"/>
      <c r="D125" s="1"/>
      <c r="E125" s="12"/>
      <c r="F125" s="1"/>
      <c r="G125" s="1"/>
      <c r="H125" s="1"/>
      <c r="I125" s="12"/>
      <c r="J125" s="1"/>
      <c r="K125" s="1"/>
      <c r="L125" s="12"/>
      <c r="M125" s="1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2"/>
      <c r="AG125" s="1"/>
      <c r="AH125" s="12"/>
      <c r="AI125" s="1"/>
      <c r="AJ125" s="1"/>
      <c r="AK125" s="1"/>
      <c r="AL125" s="1"/>
      <c r="AM125" s="1"/>
      <c r="AN125" s="1"/>
    </row>
    <row r="126" spans="1:40" ht="15.75" customHeight="1" x14ac:dyDescent="0.25">
      <c r="A126" s="1"/>
      <c r="B126" s="1"/>
      <c r="C126" s="1"/>
      <c r="D126" s="1"/>
      <c r="E126" s="12"/>
      <c r="F126" s="1"/>
      <c r="G126" s="1"/>
      <c r="H126" s="1"/>
      <c r="I126" s="12"/>
      <c r="J126" s="1"/>
      <c r="K126" s="1"/>
      <c r="L126" s="12"/>
      <c r="M126" s="1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2"/>
      <c r="AG126" s="1"/>
      <c r="AH126" s="12"/>
      <c r="AI126" s="1"/>
      <c r="AJ126" s="1"/>
      <c r="AK126" s="1"/>
      <c r="AL126" s="1"/>
      <c r="AM126" s="1"/>
      <c r="AN126" s="1"/>
    </row>
    <row r="127" spans="1:40" ht="15.75" customHeight="1" x14ac:dyDescent="0.25">
      <c r="A127" s="1"/>
      <c r="B127" s="1"/>
      <c r="C127" s="1"/>
      <c r="D127" s="1"/>
      <c r="E127" s="12"/>
      <c r="F127" s="1"/>
      <c r="G127" s="1"/>
      <c r="H127" s="1"/>
      <c r="I127" s="12"/>
      <c r="J127" s="1"/>
      <c r="K127" s="1"/>
      <c r="L127" s="12"/>
      <c r="M127" s="1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2"/>
      <c r="AG127" s="1"/>
      <c r="AH127" s="12"/>
      <c r="AI127" s="1"/>
      <c r="AJ127" s="1"/>
      <c r="AK127" s="1"/>
      <c r="AL127" s="1"/>
      <c r="AM127" s="1"/>
      <c r="AN127" s="1"/>
    </row>
    <row r="128" spans="1:40" ht="15.75" customHeight="1" x14ac:dyDescent="0.25">
      <c r="A128" s="1"/>
      <c r="B128" s="1"/>
      <c r="C128" s="1"/>
      <c r="D128" s="1"/>
      <c r="E128" s="12"/>
      <c r="F128" s="1"/>
      <c r="G128" s="1"/>
      <c r="H128" s="1"/>
      <c r="I128" s="12"/>
      <c r="J128" s="1"/>
      <c r="K128" s="1"/>
      <c r="L128" s="12"/>
      <c r="M128" s="1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2"/>
      <c r="AG128" s="1"/>
      <c r="AH128" s="12"/>
      <c r="AI128" s="1"/>
      <c r="AJ128" s="1"/>
      <c r="AK128" s="1"/>
      <c r="AL128" s="1"/>
      <c r="AM128" s="1"/>
      <c r="AN128" s="1"/>
    </row>
    <row r="129" spans="1:40" ht="15.75" customHeight="1" x14ac:dyDescent="0.25">
      <c r="A129" s="1"/>
      <c r="B129" s="1"/>
      <c r="C129" s="1"/>
      <c r="D129" s="1"/>
      <c r="E129" s="12"/>
      <c r="F129" s="1"/>
      <c r="G129" s="1"/>
      <c r="H129" s="1"/>
      <c r="I129" s="12"/>
      <c r="J129" s="1"/>
      <c r="K129" s="1"/>
      <c r="L129" s="12"/>
      <c r="M129" s="1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2"/>
      <c r="AG129" s="1"/>
      <c r="AH129" s="12"/>
      <c r="AI129" s="1"/>
      <c r="AJ129" s="1"/>
      <c r="AK129" s="1"/>
      <c r="AL129" s="1"/>
      <c r="AM129" s="1"/>
      <c r="AN129" s="1"/>
    </row>
    <row r="130" spans="1:40" ht="15.75" customHeight="1" x14ac:dyDescent="0.25">
      <c r="A130" s="1"/>
      <c r="B130" s="1"/>
      <c r="C130" s="1"/>
      <c r="D130" s="1"/>
      <c r="E130" s="12"/>
      <c r="F130" s="1"/>
      <c r="G130" s="1"/>
      <c r="H130" s="1"/>
      <c r="I130" s="12"/>
      <c r="J130" s="1"/>
      <c r="K130" s="1"/>
      <c r="L130" s="12"/>
      <c r="M130" s="1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2"/>
      <c r="AG130" s="1"/>
      <c r="AH130" s="12"/>
      <c r="AI130" s="1"/>
      <c r="AJ130" s="1"/>
      <c r="AK130" s="1"/>
      <c r="AL130" s="1"/>
      <c r="AM130" s="1"/>
      <c r="AN130" s="1"/>
    </row>
    <row r="131" spans="1:40" ht="15.75" customHeight="1" x14ac:dyDescent="0.25">
      <c r="A131" s="1"/>
      <c r="B131" s="1"/>
      <c r="C131" s="1"/>
      <c r="D131" s="1"/>
      <c r="E131" s="12"/>
      <c r="F131" s="1"/>
      <c r="G131" s="1"/>
      <c r="H131" s="1"/>
      <c r="I131" s="12"/>
      <c r="J131" s="1"/>
      <c r="K131" s="1"/>
      <c r="L131" s="12"/>
      <c r="M131" s="1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2"/>
      <c r="AG131" s="1"/>
      <c r="AH131" s="12"/>
      <c r="AI131" s="1"/>
      <c r="AJ131" s="1"/>
      <c r="AK131" s="1"/>
      <c r="AL131" s="1"/>
      <c r="AM131" s="1"/>
      <c r="AN131" s="1"/>
    </row>
    <row r="132" spans="1:40" ht="15.75" customHeight="1" x14ac:dyDescent="0.25">
      <c r="A132" s="1"/>
      <c r="B132" s="1"/>
      <c r="C132" s="1"/>
      <c r="D132" s="1"/>
      <c r="E132" s="12"/>
      <c r="F132" s="1"/>
      <c r="G132" s="1"/>
      <c r="H132" s="1"/>
      <c r="I132" s="12"/>
      <c r="J132" s="1"/>
      <c r="K132" s="1"/>
      <c r="L132" s="12"/>
      <c r="M132" s="1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2"/>
      <c r="AG132" s="1"/>
      <c r="AH132" s="12"/>
      <c r="AI132" s="1"/>
      <c r="AJ132" s="1"/>
      <c r="AK132" s="1"/>
      <c r="AL132" s="1"/>
      <c r="AM132" s="1"/>
      <c r="AN132" s="1"/>
    </row>
    <row r="133" spans="1:40" ht="15.75" customHeight="1" x14ac:dyDescent="0.25">
      <c r="A133" s="1"/>
      <c r="B133" s="1"/>
      <c r="C133" s="1"/>
      <c r="D133" s="1"/>
      <c r="E133" s="12"/>
      <c r="F133" s="1"/>
      <c r="G133" s="1"/>
      <c r="H133" s="1"/>
      <c r="I133" s="12"/>
      <c r="J133" s="1"/>
      <c r="K133" s="1"/>
      <c r="L133" s="12"/>
      <c r="M133" s="1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2"/>
      <c r="AG133" s="1"/>
      <c r="AH133" s="12"/>
      <c r="AI133" s="1"/>
      <c r="AJ133" s="1"/>
      <c r="AK133" s="1"/>
      <c r="AL133" s="1"/>
      <c r="AM133" s="1"/>
      <c r="AN133" s="1"/>
    </row>
    <row r="134" spans="1:40" ht="15.75" customHeight="1" x14ac:dyDescent="0.25">
      <c r="A134" s="1"/>
      <c r="B134" s="1"/>
      <c r="C134" s="1"/>
      <c r="D134" s="1"/>
      <c r="E134" s="12"/>
      <c r="F134" s="1"/>
      <c r="G134" s="1"/>
      <c r="H134" s="1"/>
      <c r="I134" s="12"/>
      <c r="J134" s="1"/>
      <c r="K134" s="1"/>
      <c r="L134" s="12"/>
      <c r="M134" s="1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2"/>
      <c r="AG134" s="1"/>
      <c r="AH134" s="12"/>
      <c r="AI134" s="1"/>
      <c r="AJ134" s="1"/>
      <c r="AK134" s="1"/>
      <c r="AL134" s="1"/>
      <c r="AM134" s="1"/>
      <c r="AN134" s="1"/>
    </row>
    <row r="135" spans="1:40" ht="15.75" customHeight="1" x14ac:dyDescent="0.25">
      <c r="A135" s="1"/>
      <c r="B135" s="1"/>
      <c r="C135" s="1"/>
      <c r="D135" s="1"/>
      <c r="E135" s="12"/>
      <c r="F135" s="1"/>
      <c r="G135" s="1"/>
      <c r="H135" s="1"/>
      <c r="I135" s="12"/>
      <c r="J135" s="1"/>
      <c r="K135" s="1"/>
      <c r="L135" s="12"/>
      <c r="M135" s="1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2"/>
      <c r="AG135" s="1"/>
      <c r="AH135" s="12"/>
      <c r="AI135" s="1"/>
      <c r="AJ135" s="1"/>
      <c r="AK135" s="1"/>
      <c r="AL135" s="1"/>
      <c r="AM135" s="1"/>
      <c r="AN135" s="1"/>
    </row>
    <row r="136" spans="1:40" ht="15.75" customHeight="1" x14ac:dyDescent="0.25">
      <c r="A136" s="1"/>
      <c r="B136" s="1"/>
      <c r="C136" s="1"/>
      <c r="D136" s="1"/>
      <c r="E136" s="12"/>
      <c r="F136" s="1"/>
      <c r="G136" s="1"/>
      <c r="H136" s="1"/>
      <c r="I136" s="12"/>
      <c r="J136" s="1"/>
      <c r="K136" s="1"/>
      <c r="L136" s="12"/>
      <c r="M136" s="1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2"/>
      <c r="AG136" s="1"/>
      <c r="AH136" s="12"/>
      <c r="AI136" s="1"/>
      <c r="AJ136" s="1"/>
      <c r="AK136" s="1"/>
      <c r="AL136" s="1"/>
      <c r="AM136" s="1"/>
      <c r="AN136" s="1"/>
    </row>
    <row r="137" spans="1:40" ht="15.75" customHeight="1" x14ac:dyDescent="0.25">
      <c r="A137" s="1"/>
      <c r="B137" s="1"/>
      <c r="C137" s="1"/>
      <c r="D137" s="1"/>
      <c r="E137" s="12"/>
      <c r="F137" s="1"/>
      <c r="G137" s="1"/>
      <c r="H137" s="1"/>
      <c r="I137" s="12"/>
      <c r="J137" s="1"/>
      <c r="K137" s="1"/>
      <c r="L137" s="12"/>
      <c r="M137" s="1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2"/>
      <c r="AG137" s="1"/>
      <c r="AH137" s="12"/>
      <c r="AI137" s="1"/>
      <c r="AJ137" s="1"/>
      <c r="AK137" s="1"/>
      <c r="AL137" s="1"/>
      <c r="AM137" s="1"/>
      <c r="AN137" s="1"/>
    </row>
    <row r="138" spans="1:40" ht="15.75" customHeight="1" x14ac:dyDescent="0.25">
      <c r="A138" s="1"/>
      <c r="B138" s="1"/>
      <c r="C138" s="1"/>
      <c r="D138" s="1"/>
      <c r="E138" s="12"/>
      <c r="F138" s="1"/>
      <c r="G138" s="1"/>
      <c r="H138" s="1"/>
      <c r="I138" s="12"/>
      <c r="J138" s="1"/>
      <c r="K138" s="1"/>
      <c r="L138" s="12"/>
      <c r="M138" s="1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2"/>
      <c r="AG138" s="1"/>
      <c r="AH138" s="12"/>
      <c r="AI138" s="1"/>
      <c r="AJ138" s="1"/>
      <c r="AK138" s="1"/>
      <c r="AL138" s="1"/>
      <c r="AM138" s="1"/>
      <c r="AN138" s="1"/>
    </row>
    <row r="139" spans="1:40" ht="15.75" customHeight="1" x14ac:dyDescent="0.25">
      <c r="A139" s="1"/>
      <c r="B139" s="1"/>
      <c r="C139" s="1"/>
      <c r="D139" s="1"/>
      <c r="E139" s="12"/>
      <c r="F139" s="1"/>
      <c r="G139" s="1"/>
      <c r="H139" s="1"/>
      <c r="I139" s="12"/>
      <c r="J139" s="1"/>
      <c r="K139" s="1"/>
      <c r="L139" s="12"/>
      <c r="M139" s="1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2"/>
      <c r="AG139" s="1"/>
      <c r="AH139" s="12"/>
      <c r="AI139" s="1"/>
      <c r="AJ139" s="1"/>
      <c r="AK139" s="1"/>
      <c r="AL139" s="1"/>
      <c r="AM139" s="1"/>
      <c r="AN139" s="1"/>
    </row>
    <row r="140" spans="1:40" ht="15.75" customHeight="1" x14ac:dyDescent="0.25">
      <c r="A140" s="1"/>
      <c r="B140" s="1"/>
      <c r="C140" s="1"/>
      <c r="D140" s="1"/>
      <c r="E140" s="12"/>
      <c r="F140" s="1"/>
      <c r="G140" s="1"/>
      <c r="H140" s="1"/>
      <c r="I140" s="12"/>
      <c r="J140" s="1"/>
      <c r="K140" s="1"/>
      <c r="L140" s="12"/>
      <c r="M140" s="1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2"/>
      <c r="AG140" s="1"/>
      <c r="AH140" s="12"/>
      <c r="AI140" s="1"/>
      <c r="AJ140" s="1"/>
      <c r="AK140" s="1"/>
      <c r="AL140" s="1"/>
      <c r="AM140" s="1"/>
      <c r="AN140" s="1"/>
    </row>
    <row r="141" spans="1:40" ht="15.75" customHeight="1" x14ac:dyDescent="0.25">
      <c r="A141" s="1"/>
      <c r="B141" s="1"/>
      <c r="C141" s="1"/>
      <c r="D141" s="1"/>
      <c r="E141" s="12"/>
      <c r="F141" s="1"/>
      <c r="G141" s="1"/>
      <c r="H141" s="1"/>
      <c r="I141" s="12"/>
      <c r="J141" s="1"/>
      <c r="K141" s="1"/>
      <c r="L141" s="12"/>
      <c r="M141" s="1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2"/>
      <c r="AG141" s="1"/>
      <c r="AH141" s="12"/>
      <c r="AI141" s="1"/>
      <c r="AJ141" s="1"/>
      <c r="AK141" s="1"/>
      <c r="AL141" s="1"/>
      <c r="AM141" s="1"/>
      <c r="AN141" s="1"/>
    </row>
    <row r="142" spans="1:40" ht="15.75" customHeight="1" x14ac:dyDescent="0.25">
      <c r="A142" s="1"/>
      <c r="B142" s="1"/>
      <c r="C142" s="1"/>
      <c r="D142" s="1"/>
      <c r="E142" s="12"/>
      <c r="F142" s="1"/>
      <c r="G142" s="1"/>
      <c r="H142" s="1"/>
      <c r="I142" s="12"/>
      <c r="J142" s="1"/>
      <c r="K142" s="1"/>
      <c r="L142" s="12"/>
      <c r="M142" s="1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2"/>
      <c r="AG142" s="1"/>
      <c r="AH142" s="12"/>
      <c r="AI142" s="1"/>
      <c r="AJ142" s="1"/>
      <c r="AK142" s="1"/>
      <c r="AL142" s="1"/>
      <c r="AM142" s="1"/>
      <c r="AN142" s="1"/>
    </row>
    <row r="143" spans="1:40" ht="15.75" customHeight="1" x14ac:dyDescent="0.25">
      <c r="A143" s="1"/>
      <c r="B143" s="1"/>
      <c r="C143" s="1"/>
      <c r="D143" s="1"/>
      <c r="E143" s="12"/>
      <c r="F143" s="1"/>
      <c r="G143" s="1"/>
      <c r="H143" s="1"/>
      <c r="I143" s="12"/>
      <c r="J143" s="1"/>
      <c r="K143" s="1"/>
      <c r="L143" s="12"/>
      <c r="M143" s="1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2"/>
      <c r="AG143" s="1"/>
      <c r="AH143" s="12"/>
      <c r="AI143" s="1"/>
      <c r="AJ143" s="1"/>
      <c r="AK143" s="1"/>
      <c r="AL143" s="1"/>
      <c r="AM143" s="1"/>
      <c r="AN143" s="1"/>
    </row>
    <row r="144" spans="1:40" ht="15.75" customHeight="1" x14ac:dyDescent="0.25">
      <c r="A144" s="1"/>
      <c r="B144" s="1"/>
      <c r="C144" s="1"/>
      <c r="D144" s="1"/>
      <c r="E144" s="12"/>
      <c r="F144" s="1"/>
      <c r="G144" s="1"/>
      <c r="H144" s="1"/>
      <c r="I144" s="12"/>
      <c r="J144" s="1"/>
      <c r="K144" s="1"/>
      <c r="L144" s="12"/>
      <c r="M144" s="1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2"/>
      <c r="AG144" s="1"/>
      <c r="AH144" s="12"/>
      <c r="AI144" s="1"/>
      <c r="AJ144" s="1"/>
      <c r="AK144" s="1"/>
      <c r="AL144" s="1"/>
      <c r="AM144" s="1"/>
      <c r="AN144" s="1"/>
    </row>
    <row r="145" spans="1:40" ht="15.75" customHeight="1" x14ac:dyDescent="0.25">
      <c r="A145" s="1"/>
      <c r="B145" s="1"/>
      <c r="C145" s="1"/>
      <c r="D145" s="1"/>
      <c r="E145" s="12"/>
      <c r="F145" s="1"/>
      <c r="G145" s="1"/>
      <c r="H145" s="1"/>
      <c r="I145" s="12"/>
      <c r="J145" s="1"/>
      <c r="K145" s="1"/>
      <c r="L145" s="12"/>
      <c r="M145" s="1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2"/>
      <c r="AG145" s="1"/>
      <c r="AH145" s="12"/>
      <c r="AI145" s="1"/>
      <c r="AJ145" s="1"/>
      <c r="AK145" s="1"/>
      <c r="AL145" s="1"/>
      <c r="AM145" s="1"/>
      <c r="AN145" s="1"/>
    </row>
    <row r="146" spans="1:40" ht="15.75" customHeight="1" x14ac:dyDescent="0.25">
      <c r="A146" s="1"/>
      <c r="B146" s="1"/>
      <c r="C146" s="1"/>
      <c r="D146" s="1"/>
      <c r="E146" s="12"/>
      <c r="F146" s="1"/>
      <c r="G146" s="1"/>
      <c r="H146" s="1"/>
      <c r="I146" s="12"/>
      <c r="J146" s="1"/>
      <c r="K146" s="1"/>
      <c r="L146" s="12"/>
      <c r="M146" s="1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2"/>
      <c r="AG146" s="1"/>
      <c r="AH146" s="12"/>
      <c r="AI146" s="1"/>
      <c r="AJ146" s="1"/>
      <c r="AK146" s="1"/>
      <c r="AL146" s="1"/>
      <c r="AM146" s="1"/>
      <c r="AN146" s="1"/>
    </row>
    <row r="147" spans="1:40" ht="15.75" customHeight="1" x14ac:dyDescent="0.25">
      <c r="A147" s="1"/>
      <c r="B147" s="1"/>
      <c r="C147" s="1"/>
      <c r="D147" s="1"/>
      <c r="E147" s="12"/>
      <c r="F147" s="1"/>
      <c r="G147" s="1"/>
      <c r="H147" s="1"/>
      <c r="I147" s="12"/>
      <c r="J147" s="1"/>
      <c r="K147" s="1"/>
      <c r="L147" s="12"/>
      <c r="M147" s="1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2"/>
      <c r="AG147" s="1"/>
      <c r="AH147" s="12"/>
      <c r="AI147" s="1"/>
      <c r="AJ147" s="1"/>
      <c r="AK147" s="1"/>
      <c r="AL147" s="1"/>
      <c r="AM147" s="1"/>
      <c r="AN147" s="1"/>
    </row>
    <row r="148" spans="1:40" ht="15.75" customHeight="1" x14ac:dyDescent="0.25">
      <c r="A148" s="1"/>
      <c r="B148" s="1"/>
      <c r="C148" s="1"/>
      <c r="D148" s="1"/>
      <c r="E148" s="12"/>
      <c r="F148" s="1"/>
      <c r="G148" s="1"/>
      <c r="H148" s="1"/>
      <c r="I148" s="12"/>
      <c r="J148" s="1"/>
      <c r="K148" s="1"/>
      <c r="L148" s="12"/>
      <c r="M148" s="1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2"/>
      <c r="AG148" s="1"/>
      <c r="AH148" s="12"/>
      <c r="AI148" s="1"/>
      <c r="AJ148" s="1"/>
      <c r="AK148" s="1"/>
      <c r="AL148" s="1"/>
      <c r="AM148" s="1"/>
      <c r="AN148" s="1"/>
    </row>
    <row r="149" spans="1:40" ht="15.75" customHeight="1" x14ac:dyDescent="0.25">
      <c r="A149" s="1"/>
      <c r="B149" s="1"/>
      <c r="C149" s="1"/>
      <c r="D149" s="1"/>
      <c r="E149" s="12"/>
      <c r="F149" s="1"/>
      <c r="G149" s="1"/>
      <c r="H149" s="1"/>
      <c r="I149" s="12"/>
      <c r="J149" s="1"/>
      <c r="K149" s="1"/>
      <c r="L149" s="12"/>
      <c r="M149" s="1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2"/>
      <c r="AG149" s="1"/>
      <c r="AH149" s="12"/>
      <c r="AI149" s="1"/>
      <c r="AJ149" s="1"/>
      <c r="AK149" s="1"/>
      <c r="AL149" s="1"/>
      <c r="AM149" s="1"/>
      <c r="AN149" s="1"/>
    </row>
    <row r="150" spans="1:40" ht="15.75" customHeight="1" x14ac:dyDescent="0.25">
      <c r="A150" s="1"/>
      <c r="B150" s="1"/>
      <c r="C150" s="1"/>
      <c r="D150" s="1"/>
      <c r="E150" s="12"/>
      <c r="F150" s="1"/>
      <c r="G150" s="1"/>
      <c r="H150" s="1"/>
      <c r="I150" s="12"/>
      <c r="J150" s="1"/>
      <c r="K150" s="1"/>
      <c r="L150" s="12"/>
      <c r="M150" s="1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2"/>
      <c r="AG150" s="1"/>
      <c r="AH150" s="12"/>
      <c r="AI150" s="1"/>
      <c r="AJ150" s="1"/>
      <c r="AK150" s="1"/>
      <c r="AL150" s="1"/>
      <c r="AM150" s="1"/>
      <c r="AN150" s="1"/>
    </row>
    <row r="151" spans="1:40" ht="15.75" customHeight="1" x14ac:dyDescent="0.25">
      <c r="A151" s="1"/>
      <c r="B151" s="1"/>
      <c r="C151" s="1"/>
      <c r="D151" s="1"/>
      <c r="E151" s="12"/>
      <c r="F151" s="1"/>
      <c r="G151" s="1"/>
      <c r="H151" s="1"/>
      <c r="I151" s="12"/>
      <c r="J151" s="1"/>
      <c r="K151" s="1"/>
      <c r="L151" s="12"/>
      <c r="M151" s="1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2"/>
      <c r="AG151" s="1"/>
      <c r="AH151" s="12"/>
      <c r="AI151" s="1"/>
      <c r="AJ151" s="1"/>
      <c r="AK151" s="1"/>
      <c r="AL151" s="1"/>
      <c r="AM151" s="1"/>
      <c r="AN151" s="1"/>
    </row>
    <row r="152" spans="1:40" ht="15.75" customHeight="1" x14ac:dyDescent="0.25">
      <c r="A152" s="1"/>
      <c r="B152" s="1"/>
      <c r="C152" s="1"/>
      <c r="D152" s="1"/>
      <c r="E152" s="12"/>
      <c r="F152" s="1"/>
      <c r="G152" s="1"/>
      <c r="H152" s="1"/>
      <c r="I152" s="12"/>
      <c r="J152" s="1"/>
      <c r="K152" s="1"/>
      <c r="L152" s="12"/>
      <c r="M152" s="1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2"/>
      <c r="AG152" s="1"/>
      <c r="AH152" s="12"/>
      <c r="AI152" s="1"/>
      <c r="AJ152" s="1"/>
      <c r="AK152" s="1"/>
      <c r="AL152" s="1"/>
      <c r="AM152" s="1"/>
      <c r="AN152" s="1"/>
    </row>
    <row r="153" spans="1:40" ht="15.75" customHeight="1" x14ac:dyDescent="0.25">
      <c r="A153" s="1"/>
      <c r="B153" s="1"/>
      <c r="C153" s="1"/>
      <c r="D153" s="1"/>
      <c r="E153" s="12"/>
      <c r="F153" s="1"/>
      <c r="G153" s="1"/>
      <c r="H153" s="1"/>
      <c r="I153" s="12"/>
      <c r="J153" s="1"/>
      <c r="K153" s="1"/>
      <c r="L153" s="12"/>
      <c r="M153" s="1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2"/>
      <c r="AG153" s="1"/>
      <c r="AH153" s="12"/>
      <c r="AI153" s="1"/>
      <c r="AJ153" s="1"/>
      <c r="AK153" s="1"/>
      <c r="AL153" s="1"/>
      <c r="AM153" s="1"/>
      <c r="AN153" s="1"/>
    </row>
    <row r="154" spans="1:40" ht="15.75" customHeight="1" x14ac:dyDescent="0.25">
      <c r="A154" s="1"/>
      <c r="B154" s="1"/>
      <c r="C154" s="1"/>
      <c r="D154" s="1"/>
      <c r="E154" s="12"/>
      <c r="F154" s="1"/>
      <c r="G154" s="1"/>
      <c r="H154" s="1"/>
      <c r="I154" s="12"/>
      <c r="J154" s="1"/>
      <c r="K154" s="1"/>
      <c r="L154" s="12"/>
      <c r="M154" s="1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2"/>
      <c r="AG154" s="1"/>
      <c r="AH154" s="12"/>
      <c r="AI154" s="1"/>
      <c r="AJ154" s="1"/>
      <c r="AK154" s="1"/>
      <c r="AL154" s="1"/>
      <c r="AM154" s="1"/>
      <c r="AN154" s="1"/>
    </row>
    <row r="155" spans="1:40" ht="15.75" customHeight="1" x14ac:dyDescent="0.25">
      <c r="A155" s="1"/>
      <c r="B155" s="1"/>
      <c r="C155" s="1"/>
      <c r="D155" s="1"/>
      <c r="E155" s="12"/>
      <c r="F155" s="1"/>
      <c r="G155" s="1"/>
      <c r="H155" s="1"/>
      <c r="I155" s="12"/>
      <c r="J155" s="1"/>
      <c r="K155" s="1"/>
      <c r="L155" s="12"/>
      <c r="M155" s="1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2"/>
      <c r="AG155" s="1"/>
      <c r="AH155" s="12"/>
      <c r="AI155" s="1"/>
      <c r="AJ155" s="1"/>
      <c r="AK155" s="1"/>
      <c r="AL155" s="1"/>
      <c r="AM155" s="1"/>
      <c r="AN155" s="1"/>
    </row>
    <row r="156" spans="1:40" ht="15.75" customHeight="1" x14ac:dyDescent="0.25">
      <c r="A156" s="1"/>
      <c r="B156" s="1"/>
      <c r="C156" s="1"/>
      <c r="D156" s="1"/>
      <c r="E156" s="12"/>
      <c r="F156" s="1"/>
      <c r="G156" s="1"/>
      <c r="H156" s="1"/>
      <c r="I156" s="12"/>
      <c r="J156" s="1"/>
      <c r="K156" s="1"/>
      <c r="L156" s="12"/>
      <c r="M156" s="1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2"/>
      <c r="AG156" s="1"/>
      <c r="AH156" s="12"/>
      <c r="AI156" s="1"/>
      <c r="AJ156" s="1"/>
      <c r="AK156" s="1"/>
      <c r="AL156" s="1"/>
      <c r="AM156" s="1"/>
      <c r="AN156" s="1"/>
    </row>
    <row r="157" spans="1:40" ht="15.75" customHeight="1" x14ac:dyDescent="0.25">
      <c r="A157" s="1"/>
      <c r="B157" s="1"/>
      <c r="C157" s="1"/>
      <c r="D157" s="1"/>
      <c r="E157" s="12"/>
      <c r="F157" s="1"/>
      <c r="G157" s="1"/>
      <c r="H157" s="1"/>
      <c r="I157" s="12"/>
      <c r="J157" s="1"/>
      <c r="K157" s="1"/>
      <c r="L157" s="12"/>
      <c r="M157" s="1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2"/>
      <c r="AG157" s="1"/>
      <c r="AH157" s="12"/>
      <c r="AI157" s="1"/>
      <c r="AJ157" s="1"/>
      <c r="AK157" s="1"/>
      <c r="AL157" s="1"/>
      <c r="AM157" s="1"/>
      <c r="AN157" s="1"/>
    </row>
    <row r="158" spans="1:40" ht="15.75" customHeight="1" x14ac:dyDescent="0.25">
      <c r="A158" s="1"/>
      <c r="B158" s="1"/>
      <c r="C158" s="1"/>
      <c r="D158" s="1"/>
      <c r="E158" s="12"/>
      <c r="F158" s="1"/>
      <c r="G158" s="1"/>
      <c r="H158" s="1"/>
      <c r="I158" s="12"/>
      <c r="J158" s="1"/>
      <c r="K158" s="1"/>
      <c r="L158" s="12"/>
      <c r="M158" s="1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2"/>
      <c r="AG158" s="1"/>
      <c r="AH158" s="12"/>
      <c r="AI158" s="1"/>
      <c r="AJ158" s="1"/>
      <c r="AK158" s="1"/>
      <c r="AL158" s="1"/>
      <c r="AM158" s="1"/>
      <c r="AN158" s="1"/>
    </row>
    <row r="159" spans="1:40" ht="15.75" customHeight="1" x14ac:dyDescent="0.25">
      <c r="A159" s="1"/>
      <c r="B159" s="1"/>
      <c r="C159" s="1"/>
      <c r="D159" s="1"/>
      <c r="E159" s="12"/>
      <c r="F159" s="1"/>
      <c r="G159" s="1"/>
      <c r="H159" s="1"/>
      <c r="I159" s="12"/>
      <c r="J159" s="1"/>
      <c r="K159" s="1"/>
      <c r="L159" s="12"/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2"/>
      <c r="AG159" s="1"/>
      <c r="AH159" s="12"/>
      <c r="AI159" s="1"/>
      <c r="AJ159" s="1"/>
      <c r="AK159" s="1"/>
      <c r="AL159" s="1"/>
      <c r="AM159" s="1"/>
      <c r="AN159" s="1"/>
    </row>
    <row r="160" spans="1:40" ht="15.75" customHeight="1" x14ac:dyDescent="0.25">
      <c r="A160" s="1"/>
      <c r="B160" s="1"/>
      <c r="C160" s="1"/>
      <c r="D160" s="1"/>
      <c r="E160" s="12"/>
      <c r="F160" s="1"/>
      <c r="G160" s="1"/>
      <c r="H160" s="1"/>
      <c r="I160" s="12"/>
      <c r="J160" s="1"/>
      <c r="K160" s="1"/>
      <c r="L160" s="12"/>
      <c r="M160" s="1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2"/>
      <c r="AG160" s="1"/>
      <c r="AH160" s="12"/>
      <c r="AI160" s="1"/>
      <c r="AJ160" s="1"/>
      <c r="AK160" s="1"/>
      <c r="AL160" s="1"/>
      <c r="AM160" s="1"/>
      <c r="AN160" s="1"/>
    </row>
    <row r="161" spans="1:40" ht="15.75" customHeight="1" x14ac:dyDescent="0.25">
      <c r="A161" s="1"/>
      <c r="B161" s="1"/>
      <c r="C161" s="1"/>
      <c r="D161" s="1"/>
      <c r="E161" s="12"/>
      <c r="F161" s="1"/>
      <c r="G161" s="1"/>
      <c r="H161" s="1"/>
      <c r="I161" s="12"/>
      <c r="J161" s="1"/>
      <c r="K161" s="1"/>
      <c r="L161" s="12"/>
      <c r="M161" s="1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2"/>
      <c r="AG161" s="1"/>
      <c r="AH161" s="12"/>
      <c r="AI161" s="1"/>
      <c r="AJ161" s="1"/>
      <c r="AK161" s="1"/>
      <c r="AL161" s="1"/>
      <c r="AM161" s="1"/>
      <c r="AN161" s="1"/>
    </row>
    <row r="162" spans="1:40" ht="15.75" customHeight="1" x14ac:dyDescent="0.25">
      <c r="A162" s="1"/>
      <c r="B162" s="1"/>
      <c r="C162" s="1"/>
      <c r="D162" s="1"/>
      <c r="E162" s="12"/>
      <c r="F162" s="1"/>
      <c r="G162" s="1"/>
      <c r="H162" s="1"/>
      <c r="I162" s="12"/>
      <c r="J162" s="1"/>
      <c r="K162" s="1"/>
      <c r="L162" s="12"/>
      <c r="M162" s="1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2"/>
      <c r="AG162" s="1"/>
      <c r="AH162" s="12"/>
      <c r="AI162" s="1"/>
      <c r="AJ162" s="1"/>
      <c r="AK162" s="1"/>
      <c r="AL162" s="1"/>
      <c r="AM162" s="1"/>
      <c r="AN162" s="1"/>
    </row>
    <row r="163" spans="1:40" ht="15.75" customHeight="1" x14ac:dyDescent="0.25">
      <c r="A163" s="1"/>
      <c r="B163" s="1"/>
      <c r="C163" s="1"/>
      <c r="D163" s="1"/>
      <c r="E163" s="12"/>
      <c r="F163" s="1"/>
      <c r="G163" s="1"/>
      <c r="H163" s="1"/>
      <c r="I163" s="12"/>
      <c r="J163" s="1"/>
      <c r="K163" s="1"/>
      <c r="L163" s="12"/>
      <c r="M163" s="1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2"/>
      <c r="AG163" s="1"/>
      <c r="AH163" s="12"/>
      <c r="AI163" s="1"/>
      <c r="AJ163" s="1"/>
      <c r="AK163" s="1"/>
      <c r="AL163" s="1"/>
      <c r="AM163" s="1"/>
      <c r="AN163" s="1"/>
    </row>
    <row r="164" spans="1:40" ht="15.75" customHeight="1" x14ac:dyDescent="0.25">
      <c r="A164" s="1"/>
      <c r="B164" s="1"/>
      <c r="C164" s="1"/>
      <c r="D164" s="1"/>
      <c r="E164" s="12"/>
      <c r="F164" s="1"/>
      <c r="G164" s="1"/>
      <c r="H164" s="1"/>
      <c r="I164" s="12"/>
      <c r="J164" s="1"/>
      <c r="K164" s="1"/>
      <c r="L164" s="12"/>
      <c r="M164" s="1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2"/>
      <c r="AG164" s="1"/>
      <c r="AH164" s="12"/>
      <c r="AI164" s="1"/>
      <c r="AJ164" s="1"/>
      <c r="AK164" s="1"/>
      <c r="AL164" s="1"/>
      <c r="AM164" s="1"/>
      <c r="AN164" s="1"/>
    </row>
    <row r="165" spans="1:40" ht="15.75" customHeight="1" x14ac:dyDescent="0.25">
      <c r="A165" s="1"/>
      <c r="B165" s="1"/>
      <c r="C165" s="1"/>
      <c r="D165" s="1"/>
      <c r="E165" s="12"/>
      <c r="F165" s="1"/>
      <c r="G165" s="1"/>
      <c r="H165" s="1"/>
      <c r="I165" s="12"/>
      <c r="J165" s="1"/>
      <c r="K165" s="1"/>
      <c r="L165" s="12"/>
      <c r="M165" s="1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2"/>
      <c r="AG165" s="1"/>
      <c r="AH165" s="12"/>
      <c r="AI165" s="1"/>
      <c r="AJ165" s="1"/>
      <c r="AK165" s="1"/>
      <c r="AL165" s="1"/>
      <c r="AM165" s="1"/>
      <c r="AN165" s="1"/>
    </row>
    <row r="166" spans="1:40" ht="15.75" customHeight="1" x14ac:dyDescent="0.25">
      <c r="A166" s="1"/>
      <c r="B166" s="1"/>
      <c r="C166" s="1"/>
      <c r="D166" s="1"/>
      <c r="E166" s="12"/>
      <c r="F166" s="1"/>
      <c r="G166" s="1"/>
      <c r="H166" s="1"/>
      <c r="I166" s="12"/>
      <c r="J166" s="1"/>
      <c r="K166" s="1"/>
      <c r="L166" s="12"/>
      <c r="M166" s="1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2"/>
      <c r="AG166" s="1"/>
      <c r="AH166" s="12"/>
      <c r="AI166" s="1"/>
      <c r="AJ166" s="1"/>
      <c r="AK166" s="1"/>
      <c r="AL166" s="1"/>
      <c r="AM166" s="1"/>
      <c r="AN166" s="1"/>
    </row>
    <row r="167" spans="1:40" ht="15.75" customHeight="1" x14ac:dyDescent="0.25">
      <c r="A167" s="1"/>
      <c r="B167" s="1"/>
      <c r="C167" s="1"/>
      <c r="D167" s="1"/>
      <c r="E167" s="12"/>
      <c r="F167" s="1"/>
      <c r="G167" s="1"/>
      <c r="H167" s="1"/>
      <c r="I167" s="12"/>
      <c r="J167" s="1"/>
      <c r="K167" s="1"/>
      <c r="L167" s="12"/>
      <c r="M167" s="1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2"/>
      <c r="AG167" s="1"/>
      <c r="AH167" s="12"/>
      <c r="AI167" s="1"/>
      <c r="AJ167" s="1"/>
      <c r="AK167" s="1"/>
      <c r="AL167" s="1"/>
      <c r="AM167" s="1"/>
      <c r="AN167" s="1"/>
    </row>
    <row r="168" spans="1:40" ht="15.75" customHeight="1" x14ac:dyDescent="0.25">
      <c r="A168" s="1"/>
      <c r="B168" s="1"/>
      <c r="C168" s="1"/>
      <c r="D168" s="1"/>
      <c r="E168" s="12"/>
      <c r="F168" s="1"/>
      <c r="G168" s="1"/>
      <c r="H168" s="1"/>
      <c r="I168" s="12"/>
      <c r="J168" s="1"/>
      <c r="K168" s="1"/>
      <c r="L168" s="12"/>
      <c r="M168" s="1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2"/>
      <c r="AG168" s="1"/>
      <c r="AH168" s="12"/>
      <c r="AI168" s="1"/>
      <c r="AJ168" s="1"/>
      <c r="AK168" s="1"/>
      <c r="AL168" s="1"/>
      <c r="AM168" s="1"/>
      <c r="AN168" s="1"/>
    </row>
    <row r="169" spans="1:40" ht="15.75" customHeight="1" x14ac:dyDescent="0.25">
      <c r="A169" s="1"/>
      <c r="B169" s="1"/>
      <c r="C169" s="1"/>
      <c r="D169" s="1"/>
      <c r="E169" s="12"/>
      <c r="F169" s="1"/>
      <c r="G169" s="1"/>
      <c r="H169" s="1"/>
      <c r="I169" s="12"/>
      <c r="J169" s="1"/>
      <c r="K169" s="1"/>
      <c r="L169" s="12"/>
      <c r="M169" s="1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2"/>
      <c r="AG169" s="1"/>
      <c r="AH169" s="12"/>
      <c r="AI169" s="1"/>
      <c r="AJ169" s="1"/>
      <c r="AK169" s="1"/>
      <c r="AL169" s="1"/>
      <c r="AM169" s="1"/>
      <c r="AN169" s="1"/>
    </row>
    <row r="170" spans="1:40" ht="15.75" customHeight="1" x14ac:dyDescent="0.25">
      <c r="A170" s="1"/>
      <c r="B170" s="1"/>
      <c r="C170" s="1"/>
      <c r="D170" s="1"/>
      <c r="E170" s="12"/>
      <c r="F170" s="1"/>
      <c r="G170" s="1"/>
      <c r="H170" s="1"/>
      <c r="I170" s="12"/>
      <c r="J170" s="1"/>
      <c r="K170" s="1"/>
      <c r="L170" s="12"/>
      <c r="M170" s="1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2"/>
      <c r="AG170" s="1"/>
      <c r="AH170" s="12"/>
      <c r="AI170" s="1"/>
      <c r="AJ170" s="1"/>
      <c r="AK170" s="1"/>
      <c r="AL170" s="1"/>
      <c r="AM170" s="1"/>
      <c r="AN170" s="1"/>
    </row>
    <row r="171" spans="1:40" ht="15.75" customHeight="1" x14ac:dyDescent="0.25">
      <c r="A171" s="1"/>
      <c r="B171" s="1"/>
      <c r="C171" s="1"/>
      <c r="D171" s="1"/>
      <c r="E171" s="12"/>
      <c r="F171" s="1"/>
      <c r="G171" s="1"/>
      <c r="H171" s="1"/>
      <c r="I171" s="12"/>
      <c r="J171" s="1"/>
      <c r="K171" s="1"/>
      <c r="L171" s="12"/>
      <c r="M171" s="1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2"/>
      <c r="AG171" s="1"/>
      <c r="AH171" s="12"/>
      <c r="AI171" s="1"/>
      <c r="AJ171" s="1"/>
      <c r="AK171" s="1"/>
      <c r="AL171" s="1"/>
      <c r="AM171" s="1"/>
      <c r="AN171" s="1"/>
    </row>
    <row r="172" spans="1:40" ht="15.75" customHeight="1" x14ac:dyDescent="0.25">
      <c r="A172" s="1"/>
      <c r="B172" s="1"/>
      <c r="C172" s="1"/>
      <c r="D172" s="1"/>
      <c r="E172" s="12"/>
      <c r="F172" s="1"/>
      <c r="G172" s="1"/>
      <c r="H172" s="1"/>
      <c r="I172" s="12"/>
      <c r="J172" s="1"/>
      <c r="K172" s="1"/>
      <c r="L172" s="12"/>
      <c r="M172" s="1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2"/>
      <c r="AG172" s="1"/>
      <c r="AH172" s="12"/>
      <c r="AI172" s="1"/>
      <c r="AJ172" s="1"/>
      <c r="AK172" s="1"/>
      <c r="AL172" s="1"/>
      <c r="AM172" s="1"/>
      <c r="AN172" s="1"/>
    </row>
    <row r="173" spans="1:40" ht="15.75" customHeight="1" x14ac:dyDescent="0.25">
      <c r="A173" s="1"/>
      <c r="B173" s="1"/>
      <c r="C173" s="1"/>
      <c r="D173" s="1"/>
      <c r="E173" s="12"/>
      <c r="F173" s="1"/>
      <c r="G173" s="1"/>
      <c r="H173" s="1"/>
      <c r="I173" s="12"/>
      <c r="J173" s="1"/>
      <c r="K173" s="1"/>
      <c r="L173" s="12"/>
      <c r="M173" s="1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2"/>
      <c r="AG173" s="1"/>
      <c r="AH173" s="12"/>
      <c r="AI173" s="1"/>
      <c r="AJ173" s="1"/>
      <c r="AK173" s="1"/>
      <c r="AL173" s="1"/>
      <c r="AM173" s="1"/>
      <c r="AN173" s="1"/>
    </row>
    <row r="174" spans="1:40" ht="15.75" customHeight="1" x14ac:dyDescent="0.25">
      <c r="A174" s="1"/>
      <c r="B174" s="1"/>
      <c r="C174" s="1"/>
      <c r="D174" s="1"/>
      <c r="E174" s="12"/>
      <c r="F174" s="1"/>
      <c r="G174" s="1"/>
      <c r="H174" s="1"/>
      <c r="I174" s="12"/>
      <c r="J174" s="1"/>
      <c r="K174" s="1"/>
      <c r="L174" s="12"/>
      <c r="M174" s="1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2"/>
      <c r="AG174" s="1"/>
      <c r="AH174" s="12"/>
      <c r="AI174" s="1"/>
      <c r="AJ174" s="1"/>
      <c r="AK174" s="1"/>
      <c r="AL174" s="1"/>
      <c r="AM174" s="1"/>
      <c r="AN174" s="1"/>
    </row>
    <row r="175" spans="1:40" ht="15.75" customHeight="1" x14ac:dyDescent="0.25">
      <c r="A175" s="1"/>
      <c r="B175" s="1"/>
      <c r="C175" s="1"/>
      <c r="D175" s="1"/>
      <c r="E175" s="12"/>
      <c r="F175" s="1"/>
      <c r="G175" s="1"/>
      <c r="H175" s="1"/>
      <c r="I175" s="12"/>
      <c r="J175" s="1"/>
      <c r="K175" s="1"/>
      <c r="L175" s="12"/>
      <c r="M175" s="1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2"/>
      <c r="AG175" s="1"/>
      <c r="AH175" s="12"/>
      <c r="AI175" s="1"/>
      <c r="AJ175" s="1"/>
      <c r="AK175" s="1"/>
      <c r="AL175" s="1"/>
      <c r="AM175" s="1"/>
      <c r="AN175" s="1"/>
    </row>
    <row r="176" spans="1:40" ht="15.75" customHeight="1" x14ac:dyDescent="0.25">
      <c r="A176" s="1"/>
      <c r="B176" s="1"/>
      <c r="C176" s="1"/>
      <c r="D176" s="1"/>
      <c r="E176" s="12"/>
      <c r="F176" s="1"/>
      <c r="G176" s="1"/>
      <c r="H176" s="1"/>
      <c r="I176" s="12"/>
      <c r="J176" s="1"/>
      <c r="K176" s="1"/>
      <c r="L176" s="12"/>
      <c r="M176" s="1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2"/>
      <c r="AG176" s="1"/>
      <c r="AH176" s="12"/>
      <c r="AI176" s="1"/>
      <c r="AJ176" s="1"/>
      <c r="AK176" s="1"/>
      <c r="AL176" s="1"/>
      <c r="AM176" s="1"/>
      <c r="AN176" s="1"/>
    </row>
    <row r="177" spans="1:40" ht="15.75" customHeight="1" x14ac:dyDescent="0.25">
      <c r="A177" s="1"/>
      <c r="B177" s="1"/>
      <c r="C177" s="1"/>
      <c r="D177" s="1"/>
      <c r="E177" s="12"/>
      <c r="F177" s="1"/>
      <c r="G177" s="1"/>
      <c r="H177" s="1"/>
      <c r="I177" s="12"/>
      <c r="J177" s="1"/>
      <c r="K177" s="1"/>
      <c r="L177" s="12"/>
      <c r="M177" s="1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2"/>
      <c r="AG177" s="1"/>
      <c r="AH177" s="12"/>
      <c r="AI177" s="1"/>
      <c r="AJ177" s="1"/>
      <c r="AK177" s="1"/>
      <c r="AL177" s="1"/>
      <c r="AM177" s="1"/>
      <c r="AN177" s="1"/>
    </row>
    <row r="178" spans="1:40" ht="15.75" customHeight="1" x14ac:dyDescent="0.25">
      <c r="A178" s="1"/>
      <c r="B178" s="1"/>
      <c r="C178" s="1"/>
      <c r="D178" s="1"/>
      <c r="E178" s="12"/>
      <c r="F178" s="1"/>
      <c r="G178" s="1"/>
      <c r="H178" s="1"/>
      <c r="I178" s="12"/>
      <c r="J178" s="1"/>
      <c r="K178" s="1"/>
      <c r="L178" s="12"/>
      <c r="M178" s="1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2"/>
      <c r="AG178" s="1"/>
      <c r="AH178" s="12"/>
      <c r="AI178" s="1"/>
      <c r="AJ178" s="1"/>
      <c r="AK178" s="1"/>
      <c r="AL178" s="1"/>
      <c r="AM178" s="1"/>
      <c r="AN178" s="1"/>
    </row>
    <row r="179" spans="1:40" ht="15.75" customHeight="1" x14ac:dyDescent="0.25">
      <c r="A179" s="1"/>
      <c r="B179" s="1"/>
      <c r="C179" s="1"/>
      <c r="D179" s="1"/>
      <c r="E179" s="12"/>
      <c r="F179" s="1"/>
      <c r="G179" s="1"/>
      <c r="H179" s="1"/>
      <c r="I179" s="12"/>
      <c r="J179" s="1"/>
      <c r="K179" s="1"/>
      <c r="L179" s="12"/>
      <c r="M179" s="1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2"/>
      <c r="AG179" s="1"/>
      <c r="AH179" s="12"/>
      <c r="AI179" s="1"/>
      <c r="AJ179" s="1"/>
      <c r="AK179" s="1"/>
      <c r="AL179" s="1"/>
      <c r="AM179" s="1"/>
      <c r="AN179" s="1"/>
    </row>
    <row r="180" spans="1:40" ht="15.75" customHeight="1" x14ac:dyDescent="0.25">
      <c r="A180" s="1"/>
      <c r="B180" s="1"/>
      <c r="C180" s="1"/>
      <c r="D180" s="1"/>
      <c r="E180" s="12"/>
      <c r="F180" s="1"/>
      <c r="G180" s="1"/>
      <c r="H180" s="1"/>
      <c r="I180" s="12"/>
      <c r="J180" s="1"/>
      <c r="K180" s="1"/>
      <c r="L180" s="12"/>
      <c r="M180" s="1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2"/>
      <c r="AG180" s="1"/>
      <c r="AH180" s="12"/>
      <c r="AI180" s="1"/>
      <c r="AJ180" s="1"/>
      <c r="AK180" s="1"/>
      <c r="AL180" s="1"/>
      <c r="AM180" s="1"/>
      <c r="AN180" s="1"/>
    </row>
    <row r="181" spans="1:40" ht="15.75" customHeight="1" x14ac:dyDescent="0.25">
      <c r="A181" s="1"/>
      <c r="B181" s="1"/>
      <c r="C181" s="1"/>
      <c r="D181" s="1"/>
      <c r="E181" s="12"/>
      <c r="F181" s="1"/>
      <c r="G181" s="1"/>
      <c r="H181" s="1"/>
      <c r="I181" s="12"/>
      <c r="J181" s="1"/>
      <c r="K181" s="1"/>
      <c r="L181" s="12"/>
      <c r="M181" s="1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2"/>
      <c r="AG181" s="1"/>
      <c r="AH181" s="12"/>
      <c r="AI181" s="1"/>
      <c r="AJ181" s="1"/>
      <c r="AK181" s="1"/>
      <c r="AL181" s="1"/>
      <c r="AM181" s="1"/>
      <c r="AN181" s="1"/>
    </row>
    <row r="182" spans="1:40" ht="15.75" customHeight="1" x14ac:dyDescent="0.25">
      <c r="A182" s="1"/>
      <c r="B182" s="1"/>
      <c r="C182" s="1"/>
      <c r="D182" s="1"/>
      <c r="E182" s="12"/>
      <c r="F182" s="1"/>
      <c r="G182" s="1"/>
      <c r="H182" s="1"/>
      <c r="I182" s="12"/>
      <c r="J182" s="1"/>
      <c r="K182" s="1"/>
      <c r="L182" s="12"/>
      <c r="M182" s="1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2"/>
      <c r="AG182" s="1"/>
      <c r="AH182" s="12"/>
      <c r="AI182" s="1"/>
      <c r="AJ182" s="1"/>
      <c r="AK182" s="1"/>
      <c r="AL182" s="1"/>
      <c r="AM182" s="1"/>
      <c r="AN182" s="1"/>
    </row>
    <row r="183" spans="1:40" ht="15.75" customHeight="1" x14ac:dyDescent="0.25">
      <c r="A183" s="1"/>
      <c r="B183" s="1"/>
      <c r="C183" s="1"/>
      <c r="D183" s="1"/>
      <c r="E183" s="12"/>
      <c r="F183" s="1"/>
      <c r="G183" s="1"/>
      <c r="H183" s="1"/>
      <c r="I183" s="12"/>
      <c r="J183" s="1"/>
      <c r="K183" s="1"/>
      <c r="L183" s="12"/>
      <c r="M183" s="1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2"/>
      <c r="AG183" s="1"/>
      <c r="AH183" s="12"/>
      <c r="AI183" s="1"/>
      <c r="AJ183" s="1"/>
      <c r="AK183" s="1"/>
      <c r="AL183" s="1"/>
      <c r="AM183" s="1"/>
      <c r="AN183" s="1"/>
    </row>
    <row r="184" spans="1:40" ht="15.75" customHeight="1" x14ac:dyDescent="0.25">
      <c r="A184" s="1"/>
      <c r="B184" s="1"/>
      <c r="C184" s="1"/>
      <c r="D184" s="1"/>
      <c r="E184" s="12"/>
      <c r="F184" s="1"/>
      <c r="G184" s="1"/>
      <c r="H184" s="1"/>
      <c r="I184" s="12"/>
      <c r="J184" s="1"/>
      <c r="K184" s="1"/>
      <c r="L184" s="12"/>
      <c r="M184" s="1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2"/>
      <c r="AG184" s="1"/>
      <c r="AH184" s="12"/>
      <c r="AI184" s="1"/>
      <c r="AJ184" s="1"/>
      <c r="AK184" s="1"/>
      <c r="AL184" s="1"/>
      <c r="AM184" s="1"/>
      <c r="AN184" s="1"/>
    </row>
    <row r="185" spans="1:40" ht="15.75" customHeight="1" x14ac:dyDescent="0.25">
      <c r="A185" s="1"/>
      <c r="B185" s="1"/>
      <c r="C185" s="1"/>
      <c r="D185" s="1"/>
      <c r="E185" s="12"/>
      <c r="F185" s="1"/>
      <c r="G185" s="1"/>
      <c r="H185" s="1"/>
      <c r="I185" s="12"/>
      <c r="J185" s="1"/>
      <c r="K185" s="1"/>
      <c r="L185" s="12"/>
      <c r="M185" s="1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2"/>
      <c r="AG185" s="1"/>
      <c r="AH185" s="12"/>
      <c r="AI185" s="1"/>
      <c r="AJ185" s="1"/>
      <c r="AK185" s="1"/>
      <c r="AL185" s="1"/>
      <c r="AM185" s="1"/>
      <c r="AN185" s="1"/>
    </row>
    <row r="186" spans="1:40" ht="15.75" customHeight="1" x14ac:dyDescent="0.25">
      <c r="A186" s="1"/>
      <c r="B186" s="1"/>
      <c r="C186" s="1"/>
      <c r="D186" s="1"/>
      <c r="E186" s="12"/>
      <c r="F186" s="1"/>
      <c r="G186" s="1"/>
      <c r="H186" s="1"/>
      <c r="I186" s="12"/>
      <c r="J186" s="1"/>
      <c r="K186" s="1"/>
      <c r="L186" s="12"/>
      <c r="M186" s="1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2"/>
      <c r="AG186" s="1"/>
      <c r="AH186" s="12"/>
      <c r="AI186" s="1"/>
      <c r="AJ186" s="1"/>
      <c r="AK186" s="1"/>
      <c r="AL186" s="1"/>
      <c r="AM186" s="1"/>
      <c r="AN186" s="1"/>
    </row>
    <row r="187" spans="1:40" ht="15.75" customHeight="1" x14ac:dyDescent="0.25">
      <c r="A187" s="1"/>
      <c r="B187" s="1"/>
      <c r="C187" s="1"/>
      <c r="D187" s="1"/>
      <c r="E187" s="12"/>
      <c r="F187" s="1"/>
      <c r="G187" s="1"/>
      <c r="H187" s="1"/>
      <c r="I187" s="12"/>
      <c r="J187" s="1"/>
      <c r="K187" s="1"/>
      <c r="L187" s="12"/>
      <c r="M187" s="1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2"/>
      <c r="AG187" s="1"/>
      <c r="AH187" s="12"/>
      <c r="AI187" s="1"/>
      <c r="AJ187" s="1"/>
      <c r="AK187" s="1"/>
      <c r="AL187" s="1"/>
      <c r="AM187" s="1"/>
      <c r="AN187" s="1"/>
    </row>
    <row r="188" spans="1:40" ht="15.75" customHeight="1" x14ac:dyDescent="0.25">
      <c r="A188" s="1"/>
      <c r="B188" s="1"/>
      <c r="C188" s="1"/>
      <c r="D188" s="1"/>
      <c r="E188" s="12"/>
      <c r="F188" s="1"/>
      <c r="G188" s="1"/>
      <c r="H188" s="1"/>
      <c r="I188" s="12"/>
      <c r="J188" s="1"/>
      <c r="K188" s="1"/>
      <c r="L188" s="12"/>
      <c r="M188" s="1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2"/>
      <c r="AG188" s="1"/>
      <c r="AH188" s="12"/>
      <c r="AI188" s="1"/>
      <c r="AJ188" s="1"/>
      <c r="AK188" s="1"/>
      <c r="AL188" s="1"/>
      <c r="AM188" s="1"/>
      <c r="AN188" s="1"/>
    </row>
    <row r="189" spans="1:40" ht="15.75" customHeight="1" x14ac:dyDescent="0.25">
      <c r="A189" s="1"/>
      <c r="B189" s="1"/>
      <c r="C189" s="1"/>
      <c r="D189" s="1"/>
      <c r="E189" s="12"/>
      <c r="F189" s="1"/>
      <c r="G189" s="1"/>
      <c r="H189" s="1"/>
      <c r="I189" s="12"/>
      <c r="J189" s="1"/>
      <c r="K189" s="1"/>
      <c r="L189" s="12"/>
      <c r="M189" s="1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2"/>
      <c r="AG189" s="1"/>
      <c r="AH189" s="12"/>
      <c r="AI189" s="1"/>
      <c r="AJ189" s="1"/>
      <c r="AK189" s="1"/>
      <c r="AL189" s="1"/>
      <c r="AM189" s="1"/>
      <c r="AN189" s="1"/>
    </row>
    <row r="190" spans="1:40" ht="15.75" customHeight="1" x14ac:dyDescent="0.25">
      <c r="A190" s="1"/>
      <c r="B190" s="1"/>
      <c r="C190" s="1"/>
      <c r="D190" s="1"/>
      <c r="E190" s="12"/>
      <c r="F190" s="1"/>
      <c r="G190" s="1"/>
      <c r="H190" s="1"/>
      <c r="I190" s="12"/>
      <c r="J190" s="1"/>
      <c r="K190" s="1"/>
      <c r="L190" s="12"/>
      <c r="M190" s="1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2"/>
      <c r="AG190" s="1"/>
      <c r="AH190" s="12"/>
      <c r="AI190" s="1"/>
      <c r="AJ190" s="1"/>
      <c r="AK190" s="1"/>
      <c r="AL190" s="1"/>
      <c r="AM190" s="1"/>
      <c r="AN190" s="1"/>
    </row>
    <row r="191" spans="1:40" ht="15.75" customHeight="1" x14ac:dyDescent="0.25">
      <c r="A191" s="1"/>
      <c r="B191" s="1"/>
      <c r="C191" s="1"/>
      <c r="D191" s="1"/>
      <c r="E191" s="12"/>
      <c r="F191" s="1"/>
      <c r="G191" s="1"/>
      <c r="H191" s="1"/>
      <c r="I191" s="12"/>
      <c r="J191" s="1"/>
      <c r="K191" s="1"/>
      <c r="L191" s="12"/>
      <c r="M191" s="1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2"/>
      <c r="AG191" s="1"/>
      <c r="AH191" s="12"/>
      <c r="AI191" s="1"/>
      <c r="AJ191" s="1"/>
      <c r="AK191" s="1"/>
      <c r="AL191" s="1"/>
      <c r="AM191" s="1"/>
      <c r="AN191" s="1"/>
    </row>
    <row r="192" spans="1:40" ht="15.75" customHeight="1" x14ac:dyDescent="0.25">
      <c r="A192" s="1"/>
      <c r="B192" s="1"/>
      <c r="C192" s="1"/>
      <c r="D192" s="1"/>
      <c r="E192" s="12"/>
      <c r="F192" s="1"/>
      <c r="G192" s="1"/>
      <c r="H192" s="1"/>
      <c r="I192" s="12"/>
      <c r="J192" s="1"/>
      <c r="K192" s="1"/>
      <c r="L192" s="12"/>
      <c r="M192" s="1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2"/>
      <c r="AG192" s="1"/>
      <c r="AH192" s="12"/>
      <c r="AI192" s="1"/>
      <c r="AJ192" s="1"/>
      <c r="AK192" s="1"/>
      <c r="AL192" s="1"/>
      <c r="AM192" s="1"/>
      <c r="AN192" s="1"/>
    </row>
    <row r="193" spans="1:40" ht="15.75" customHeight="1" x14ac:dyDescent="0.25">
      <c r="A193" s="1"/>
      <c r="B193" s="1"/>
      <c r="C193" s="1"/>
      <c r="D193" s="1"/>
      <c r="E193" s="12"/>
      <c r="F193" s="1"/>
      <c r="G193" s="1"/>
      <c r="H193" s="1"/>
      <c r="I193" s="12"/>
      <c r="J193" s="1"/>
      <c r="K193" s="1"/>
      <c r="L193" s="12"/>
      <c r="M193" s="1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2"/>
      <c r="AG193" s="1"/>
      <c r="AH193" s="12"/>
      <c r="AI193" s="1"/>
      <c r="AJ193" s="1"/>
      <c r="AK193" s="1"/>
      <c r="AL193" s="1"/>
      <c r="AM193" s="1"/>
      <c r="AN193" s="1"/>
    </row>
    <row r="194" spans="1:40" ht="15.75" customHeight="1" x14ac:dyDescent="0.25">
      <c r="A194" s="1"/>
      <c r="B194" s="1"/>
      <c r="C194" s="1"/>
      <c r="D194" s="1"/>
      <c r="E194" s="12"/>
      <c r="F194" s="1"/>
      <c r="G194" s="1"/>
      <c r="H194" s="1"/>
      <c r="I194" s="12"/>
      <c r="J194" s="1"/>
      <c r="K194" s="1"/>
      <c r="L194" s="12"/>
      <c r="M194" s="1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2"/>
      <c r="AG194" s="1"/>
      <c r="AH194" s="12"/>
      <c r="AI194" s="1"/>
      <c r="AJ194" s="1"/>
      <c r="AK194" s="1"/>
      <c r="AL194" s="1"/>
      <c r="AM194" s="1"/>
      <c r="AN194" s="1"/>
    </row>
    <row r="195" spans="1:40" ht="15.75" customHeight="1" x14ac:dyDescent="0.25">
      <c r="A195" s="1"/>
      <c r="B195" s="1"/>
      <c r="C195" s="1"/>
      <c r="D195" s="1"/>
      <c r="E195" s="12"/>
      <c r="F195" s="1"/>
      <c r="G195" s="1"/>
      <c r="H195" s="1"/>
      <c r="I195" s="12"/>
      <c r="J195" s="1"/>
      <c r="K195" s="1"/>
      <c r="L195" s="12"/>
      <c r="M195" s="1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2"/>
      <c r="AG195" s="1"/>
      <c r="AH195" s="12"/>
      <c r="AI195" s="1"/>
      <c r="AJ195" s="1"/>
      <c r="AK195" s="1"/>
      <c r="AL195" s="1"/>
      <c r="AM195" s="1"/>
      <c r="AN195" s="1"/>
    </row>
    <row r="196" spans="1:40" ht="15.75" customHeight="1" x14ac:dyDescent="0.25">
      <c r="A196" s="1"/>
      <c r="B196" s="1"/>
      <c r="C196" s="1"/>
      <c r="D196" s="1"/>
      <c r="E196" s="12"/>
      <c r="F196" s="1"/>
      <c r="G196" s="1"/>
      <c r="H196" s="1"/>
      <c r="I196" s="12"/>
      <c r="J196" s="1"/>
      <c r="K196" s="1"/>
      <c r="L196" s="12"/>
      <c r="M196" s="1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2"/>
      <c r="AG196" s="1"/>
      <c r="AH196" s="12"/>
      <c r="AI196" s="1"/>
      <c r="AJ196" s="1"/>
      <c r="AK196" s="1"/>
      <c r="AL196" s="1"/>
      <c r="AM196" s="1"/>
      <c r="AN196" s="1"/>
    </row>
    <row r="197" spans="1:40" ht="15.75" customHeight="1" x14ac:dyDescent="0.25">
      <c r="A197" s="1"/>
      <c r="B197" s="1"/>
      <c r="C197" s="1"/>
      <c r="D197" s="1"/>
      <c r="E197" s="12"/>
      <c r="F197" s="1"/>
      <c r="G197" s="1"/>
      <c r="H197" s="1"/>
      <c r="I197" s="12"/>
      <c r="J197" s="1"/>
      <c r="K197" s="1"/>
      <c r="L197" s="12"/>
      <c r="M197" s="1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2"/>
      <c r="AG197" s="1"/>
      <c r="AH197" s="12"/>
      <c r="AI197" s="1"/>
      <c r="AJ197" s="1"/>
      <c r="AK197" s="1"/>
      <c r="AL197" s="1"/>
      <c r="AM197" s="1"/>
      <c r="AN197" s="1"/>
    </row>
    <row r="198" spans="1:40" ht="15.75" customHeight="1" x14ac:dyDescent="0.25">
      <c r="A198" s="1"/>
      <c r="B198" s="1"/>
      <c r="C198" s="1"/>
      <c r="D198" s="1"/>
      <c r="E198" s="12"/>
      <c r="F198" s="1"/>
      <c r="G198" s="1"/>
      <c r="H198" s="1"/>
      <c r="I198" s="12"/>
      <c r="J198" s="1"/>
      <c r="K198" s="1"/>
      <c r="L198" s="12"/>
      <c r="M198" s="1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2"/>
      <c r="AG198" s="1"/>
      <c r="AH198" s="12"/>
      <c r="AI198" s="1"/>
      <c r="AJ198" s="1"/>
      <c r="AK198" s="1"/>
      <c r="AL198" s="1"/>
      <c r="AM198" s="1"/>
      <c r="AN198" s="1"/>
    </row>
    <row r="199" spans="1:40" ht="15.75" customHeight="1" x14ac:dyDescent="0.25">
      <c r="A199" s="1"/>
      <c r="B199" s="1"/>
      <c r="C199" s="1"/>
      <c r="D199" s="1"/>
      <c r="E199" s="12"/>
      <c r="F199" s="1"/>
      <c r="G199" s="1"/>
      <c r="H199" s="1"/>
      <c r="I199" s="12"/>
      <c r="J199" s="1"/>
      <c r="K199" s="1"/>
      <c r="L199" s="12"/>
      <c r="M199" s="1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2"/>
      <c r="AG199" s="1"/>
      <c r="AH199" s="12"/>
      <c r="AI199" s="1"/>
      <c r="AJ199" s="1"/>
      <c r="AK199" s="1"/>
      <c r="AL199" s="1"/>
      <c r="AM199" s="1"/>
      <c r="AN199" s="1"/>
    </row>
    <row r="200" spans="1:40" ht="15.75" customHeight="1" x14ac:dyDescent="0.25">
      <c r="A200" s="1"/>
      <c r="B200" s="1"/>
      <c r="C200" s="1"/>
      <c r="D200" s="1"/>
      <c r="E200" s="12"/>
      <c r="F200" s="1"/>
      <c r="G200" s="1"/>
      <c r="H200" s="1"/>
      <c r="I200" s="12"/>
      <c r="J200" s="1"/>
      <c r="K200" s="1"/>
      <c r="L200" s="12"/>
      <c r="M200" s="1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2"/>
      <c r="AG200" s="1"/>
      <c r="AH200" s="12"/>
      <c r="AI200" s="1"/>
      <c r="AJ200" s="1"/>
      <c r="AK200" s="1"/>
      <c r="AL200" s="1"/>
      <c r="AM200" s="1"/>
      <c r="AN200" s="1"/>
    </row>
    <row r="201" spans="1:40" ht="15.75" customHeight="1" x14ac:dyDescent="0.25">
      <c r="A201" s="1"/>
      <c r="B201" s="1"/>
      <c r="C201" s="1"/>
      <c r="D201" s="1"/>
      <c r="E201" s="12"/>
      <c r="F201" s="1"/>
      <c r="G201" s="1"/>
      <c r="H201" s="1"/>
      <c r="I201" s="12"/>
      <c r="J201" s="1"/>
      <c r="K201" s="1"/>
      <c r="L201" s="12"/>
      <c r="M201" s="1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2"/>
      <c r="AG201" s="1"/>
      <c r="AH201" s="12"/>
      <c r="AI201" s="1"/>
      <c r="AJ201" s="1"/>
      <c r="AK201" s="1"/>
      <c r="AL201" s="1"/>
      <c r="AM201" s="1"/>
      <c r="AN201" s="1"/>
    </row>
    <row r="202" spans="1:40" ht="15.75" customHeight="1" x14ac:dyDescent="0.25">
      <c r="A202" s="1"/>
      <c r="B202" s="1"/>
      <c r="C202" s="1"/>
      <c r="D202" s="1"/>
      <c r="E202" s="12"/>
      <c r="F202" s="1"/>
      <c r="G202" s="1"/>
      <c r="H202" s="1"/>
      <c r="I202" s="12"/>
      <c r="J202" s="1"/>
      <c r="K202" s="1"/>
      <c r="L202" s="12"/>
      <c r="M202" s="1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2"/>
      <c r="AG202" s="1"/>
      <c r="AH202" s="12"/>
      <c r="AI202" s="1"/>
      <c r="AJ202" s="1"/>
      <c r="AK202" s="1"/>
      <c r="AL202" s="1"/>
      <c r="AM202" s="1"/>
      <c r="AN202" s="1"/>
    </row>
    <row r="203" spans="1:40" ht="15.75" customHeight="1" x14ac:dyDescent="0.25">
      <c r="A203" s="1"/>
      <c r="B203" s="1"/>
      <c r="C203" s="1"/>
      <c r="D203" s="1"/>
      <c r="E203" s="12"/>
      <c r="F203" s="1"/>
      <c r="G203" s="1"/>
      <c r="H203" s="1"/>
      <c r="I203" s="12"/>
      <c r="J203" s="1"/>
      <c r="K203" s="1"/>
      <c r="L203" s="12"/>
      <c r="M203" s="1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2"/>
      <c r="AG203" s="1"/>
      <c r="AH203" s="12"/>
      <c r="AI203" s="1"/>
      <c r="AJ203" s="1"/>
      <c r="AK203" s="1"/>
      <c r="AL203" s="1"/>
      <c r="AM203" s="1"/>
      <c r="AN203" s="1"/>
    </row>
    <row r="204" spans="1:40" ht="15.75" customHeight="1" x14ac:dyDescent="0.25">
      <c r="A204" s="1"/>
      <c r="B204" s="1"/>
      <c r="C204" s="1"/>
      <c r="D204" s="1"/>
      <c r="E204" s="12"/>
      <c r="F204" s="1"/>
      <c r="G204" s="1"/>
      <c r="H204" s="1"/>
      <c r="I204" s="12"/>
      <c r="J204" s="1"/>
      <c r="K204" s="1"/>
      <c r="L204" s="12"/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2"/>
      <c r="AG204" s="1"/>
      <c r="AH204" s="12"/>
      <c r="AI204" s="1"/>
      <c r="AJ204" s="1"/>
      <c r="AK204" s="1"/>
      <c r="AL204" s="1"/>
      <c r="AM204" s="1"/>
      <c r="AN204" s="1"/>
    </row>
    <row r="205" spans="1:40" ht="15.75" customHeight="1" x14ac:dyDescent="0.25">
      <c r="A205" s="1"/>
      <c r="B205" s="1"/>
      <c r="C205" s="1"/>
      <c r="D205" s="1"/>
      <c r="E205" s="12"/>
      <c r="F205" s="1"/>
      <c r="G205" s="1"/>
      <c r="H205" s="1"/>
      <c r="I205" s="12"/>
      <c r="J205" s="1"/>
      <c r="K205" s="1"/>
      <c r="L205" s="12"/>
      <c r="M205" s="1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2"/>
      <c r="AG205" s="1"/>
      <c r="AH205" s="12"/>
      <c r="AI205" s="1"/>
      <c r="AJ205" s="1"/>
      <c r="AK205" s="1"/>
      <c r="AL205" s="1"/>
      <c r="AM205" s="1"/>
      <c r="AN205" s="1"/>
    </row>
    <row r="206" spans="1:40" ht="15.75" customHeight="1" x14ac:dyDescent="0.25">
      <c r="A206" s="1"/>
      <c r="B206" s="1"/>
      <c r="C206" s="1"/>
      <c r="D206" s="1"/>
      <c r="E206" s="12"/>
      <c r="F206" s="1"/>
      <c r="G206" s="1"/>
      <c r="H206" s="1"/>
      <c r="I206" s="12"/>
      <c r="J206" s="1"/>
      <c r="K206" s="1"/>
      <c r="L206" s="12"/>
      <c r="M206" s="1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2"/>
      <c r="AG206" s="1"/>
      <c r="AH206" s="12"/>
      <c r="AI206" s="1"/>
      <c r="AJ206" s="1"/>
      <c r="AK206" s="1"/>
      <c r="AL206" s="1"/>
      <c r="AM206" s="1"/>
      <c r="AN206" s="1"/>
    </row>
    <row r="207" spans="1:40" ht="15.75" customHeight="1" x14ac:dyDescent="0.25">
      <c r="A207" s="1"/>
      <c r="B207" s="1"/>
      <c r="C207" s="1"/>
      <c r="D207" s="1"/>
      <c r="E207" s="12"/>
      <c r="F207" s="1"/>
      <c r="G207" s="1"/>
      <c r="H207" s="1"/>
      <c r="I207" s="12"/>
      <c r="J207" s="1"/>
      <c r="K207" s="1"/>
      <c r="L207" s="12"/>
      <c r="M207" s="1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2"/>
      <c r="AG207" s="1"/>
      <c r="AH207" s="12"/>
      <c r="AI207" s="1"/>
      <c r="AJ207" s="1"/>
      <c r="AK207" s="1"/>
      <c r="AL207" s="1"/>
      <c r="AM207" s="1"/>
      <c r="AN207" s="1"/>
    </row>
    <row r="208" spans="1:40" ht="15.75" customHeight="1" x14ac:dyDescent="0.25">
      <c r="A208" s="1"/>
      <c r="B208" s="1"/>
      <c r="C208" s="1"/>
      <c r="D208" s="1"/>
      <c r="E208" s="12"/>
      <c r="F208" s="1"/>
      <c r="G208" s="1"/>
      <c r="H208" s="1"/>
      <c r="I208" s="12"/>
      <c r="J208" s="1"/>
      <c r="K208" s="1"/>
      <c r="L208" s="12"/>
      <c r="M208" s="1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2"/>
      <c r="AG208" s="1"/>
      <c r="AH208" s="12"/>
      <c r="AI208" s="1"/>
      <c r="AJ208" s="1"/>
      <c r="AK208" s="1"/>
      <c r="AL208" s="1"/>
      <c r="AM208" s="1"/>
      <c r="AN208" s="1"/>
    </row>
    <row r="209" spans="1:40" ht="15.75" customHeight="1" x14ac:dyDescent="0.25">
      <c r="A209" s="1"/>
      <c r="B209" s="1"/>
      <c r="C209" s="1"/>
      <c r="D209" s="1"/>
      <c r="E209" s="12"/>
      <c r="F209" s="1"/>
      <c r="G209" s="1"/>
      <c r="H209" s="1"/>
      <c r="I209" s="12"/>
      <c r="J209" s="1"/>
      <c r="K209" s="1"/>
      <c r="L209" s="12"/>
      <c r="M209" s="1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2"/>
      <c r="AG209" s="1"/>
      <c r="AH209" s="12"/>
      <c r="AI209" s="1"/>
      <c r="AJ209" s="1"/>
      <c r="AK209" s="1"/>
      <c r="AL209" s="1"/>
      <c r="AM209" s="1"/>
      <c r="AN209" s="1"/>
    </row>
    <row r="210" spans="1:40" ht="15.75" customHeight="1" x14ac:dyDescent="0.25">
      <c r="A210" s="1"/>
      <c r="B210" s="1"/>
      <c r="C210" s="1"/>
      <c r="D210" s="1"/>
      <c r="E210" s="12"/>
      <c r="F210" s="1"/>
      <c r="G210" s="1"/>
      <c r="H210" s="1"/>
      <c r="I210" s="12"/>
      <c r="J210" s="1"/>
      <c r="K210" s="1"/>
      <c r="L210" s="12"/>
      <c r="M210" s="1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2"/>
      <c r="AG210" s="1"/>
      <c r="AH210" s="12"/>
      <c r="AI210" s="1"/>
      <c r="AJ210" s="1"/>
      <c r="AK210" s="1"/>
      <c r="AL210" s="1"/>
      <c r="AM210" s="1"/>
      <c r="AN210" s="1"/>
    </row>
    <row r="211" spans="1:40" ht="15.75" customHeight="1" x14ac:dyDescent="0.25">
      <c r="A211" s="1"/>
      <c r="B211" s="1"/>
      <c r="C211" s="1"/>
      <c r="D211" s="1"/>
      <c r="E211" s="12"/>
      <c r="F211" s="1"/>
      <c r="G211" s="1"/>
      <c r="H211" s="1"/>
      <c r="I211" s="12"/>
      <c r="J211" s="1"/>
      <c r="K211" s="1"/>
      <c r="L211" s="12"/>
      <c r="M211" s="1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2"/>
      <c r="AG211" s="1"/>
      <c r="AH211" s="12"/>
      <c r="AI211" s="1"/>
      <c r="AJ211" s="1"/>
      <c r="AK211" s="1"/>
      <c r="AL211" s="1"/>
      <c r="AM211" s="1"/>
      <c r="AN211" s="1"/>
    </row>
    <row r="212" spans="1:40" ht="15.75" customHeight="1" x14ac:dyDescent="0.25">
      <c r="A212" s="1"/>
      <c r="B212" s="1"/>
      <c r="C212" s="1"/>
      <c r="D212" s="1"/>
      <c r="E212" s="12"/>
      <c r="F212" s="1"/>
      <c r="G212" s="1"/>
      <c r="H212" s="1"/>
      <c r="I212" s="12"/>
      <c r="J212" s="1"/>
      <c r="K212" s="1"/>
      <c r="L212" s="12"/>
      <c r="M212" s="1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2"/>
      <c r="AG212" s="1"/>
      <c r="AH212" s="12"/>
      <c r="AI212" s="1"/>
      <c r="AJ212" s="1"/>
      <c r="AK212" s="1"/>
      <c r="AL212" s="1"/>
      <c r="AM212" s="1"/>
      <c r="AN212" s="1"/>
    </row>
    <row r="213" spans="1:40" ht="15.75" customHeight="1" x14ac:dyDescent="0.25">
      <c r="A213" s="1"/>
      <c r="B213" s="1"/>
      <c r="C213" s="1"/>
      <c r="D213" s="1"/>
      <c r="E213" s="12"/>
      <c r="F213" s="1"/>
      <c r="G213" s="1"/>
      <c r="H213" s="1"/>
      <c r="I213" s="12"/>
      <c r="J213" s="1"/>
      <c r="K213" s="1"/>
      <c r="L213" s="12"/>
      <c r="M213" s="1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2"/>
      <c r="AG213" s="1"/>
      <c r="AH213" s="12"/>
      <c r="AI213" s="1"/>
      <c r="AJ213" s="1"/>
      <c r="AK213" s="1"/>
      <c r="AL213" s="1"/>
      <c r="AM213" s="1"/>
      <c r="AN213" s="1"/>
    </row>
    <row r="214" spans="1:40" ht="15.75" customHeight="1" x14ac:dyDescent="0.25">
      <c r="A214" s="1"/>
      <c r="B214" s="1"/>
      <c r="C214" s="1"/>
      <c r="D214" s="1"/>
      <c r="E214" s="12"/>
      <c r="F214" s="1"/>
      <c r="G214" s="1"/>
      <c r="H214" s="1"/>
      <c r="I214" s="12"/>
      <c r="J214" s="1"/>
      <c r="K214" s="1"/>
      <c r="L214" s="12"/>
      <c r="M214" s="1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2"/>
      <c r="AG214" s="1"/>
      <c r="AH214" s="12"/>
      <c r="AI214" s="1"/>
      <c r="AJ214" s="1"/>
      <c r="AK214" s="1"/>
      <c r="AL214" s="1"/>
      <c r="AM214" s="1"/>
      <c r="AN214" s="1"/>
    </row>
    <row r="215" spans="1:40" ht="15.75" customHeight="1" x14ac:dyDescent="0.25">
      <c r="A215" s="1"/>
      <c r="B215" s="1"/>
      <c r="C215" s="1"/>
      <c r="D215" s="1"/>
      <c r="E215" s="12"/>
      <c r="F215" s="1"/>
      <c r="G215" s="1"/>
      <c r="H215" s="1"/>
      <c r="I215" s="12"/>
      <c r="J215" s="1"/>
      <c r="K215" s="1"/>
      <c r="L215" s="12"/>
      <c r="M215" s="1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2"/>
      <c r="AG215" s="1"/>
      <c r="AH215" s="12"/>
      <c r="AI215" s="1"/>
      <c r="AJ215" s="1"/>
      <c r="AK215" s="1"/>
      <c r="AL215" s="1"/>
      <c r="AM215" s="1"/>
      <c r="AN215" s="1"/>
    </row>
    <row r="216" spans="1:40" ht="15.75" customHeight="1" x14ac:dyDescent="0.25">
      <c r="A216" s="1"/>
      <c r="B216" s="1"/>
      <c r="C216" s="1"/>
      <c r="D216" s="1"/>
      <c r="E216" s="12"/>
      <c r="F216" s="1"/>
      <c r="G216" s="1"/>
      <c r="H216" s="1"/>
      <c r="I216" s="12"/>
      <c r="J216" s="1"/>
      <c r="K216" s="1"/>
      <c r="L216" s="12"/>
      <c r="M216" s="1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2"/>
      <c r="AG216" s="1"/>
      <c r="AH216" s="12"/>
      <c r="AI216" s="1"/>
      <c r="AJ216" s="1"/>
      <c r="AK216" s="1"/>
      <c r="AL216" s="1"/>
      <c r="AM216" s="1"/>
      <c r="AN216" s="1"/>
    </row>
    <row r="217" spans="1:40" ht="15.75" customHeight="1" x14ac:dyDescent="0.25">
      <c r="A217" s="1"/>
      <c r="B217" s="1"/>
      <c r="C217" s="1"/>
      <c r="D217" s="1"/>
      <c r="E217" s="12"/>
      <c r="F217" s="1"/>
      <c r="G217" s="1"/>
      <c r="H217" s="1"/>
      <c r="I217" s="12"/>
      <c r="J217" s="1"/>
      <c r="K217" s="1"/>
      <c r="L217" s="12"/>
      <c r="M217" s="1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2"/>
      <c r="AG217" s="1"/>
      <c r="AH217" s="12"/>
      <c r="AI217" s="1"/>
      <c r="AJ217" s="1"/>
      <c r="AK217" s="1"/>
      <c r="AL217" s="1"/>
      <c r="AM217" s="1"/>
      <c r="AN217" s="1"/>
    </row>
    <row r="218" spans="1:40" ht="15.75" customHeight="1" x14ac:dyDescent="0.25">
      <c r="A218" s="1"/>
      <c r="B218" s="1"/>
      <c r="C218" s="1"/>
      <c r="D218" s="1"/>
      <c r="E218" s="12"/>
      <c r="F218" s="1"/>
      <c r="G218" s="1"/>
      <c r="H218" s="1"/>
      <c r="I218" s="12"/>
      <c r="J218" s="1"/>
      <c r="K218" s="1"/>
      <c r="L218" s="12"/>
      <c r="M218" s="1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2"/>
      <c r="AG218" s="1"/>
      <c r="AH218" s="12"/>
      <c r="AI218" s="1"/>
      <c r="AJ218" s="1"/>
      <c r="AK218" s="1"/>
      <c r="AL218" s="1"/>
      <c r="AM218" s="1"/>
      <c r="AN218" s="1"/>
    </row>
    <row r="219" spans="1:40" ht="15.75" customHeight="1" x14ac:dyDescent="0.25">
      <c r="A219" s="1"/>
      <c r="B219" s="1"/>
      <c r="C219" s="1"/>
      <c r="D219" s="1"/>
      <c r="E219" s="12"/>
      <c r="F219" s="1"/>
      <c r="G219" s="1"/>
      <c r="H219" s="1"/>
      <c r="I219" s="12"/>
      <c r="J219" s="1"/>
      <c r="K219" s="1"/>
      <c r="L219" s="12"/>
      <c r="M219" s="1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2"/>
      <c r="AG219" s="1"/>
      <c r="AH219" s="12"/>
      <c r="AI219" s="1"/>
      <c r="AJ219" s="1"/>
      <c r="AK219" s="1"/>
      <c r="AL219" s="1"/>
      <c r="AM219" s="1"/>
      <c r="AN219" s="1"/>
    </row>
    <row r="220" spans="1:40" ht="15.75" customHeight="1" x14ac:dyDescent="0.25">
      <c r="A220" s="1"/>
      <c r="B220" s="1"/>
      <c r="C220" s="1"/>
      <c r="D220" s="1"/>
      <c r="E220" s="12"/>
      <c r="F220" s="1"/>
      <c r="G220" s="1"/>
      <c r="H220" s="1"/>
      <c r="I220" s="12"/>
      <c r="J220" s="1"/>
      <c r="K220" s="1"/>
      <c r="L220" s="12"/>
      <c r="M220" s="1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2"/>
      <c r="AG220" s="1"/>
      <c r="AH220" s="12"/>
      <c r="AI220" s="1"/>
      <c r="AJ220" s="1"/>
      <c r="AK220" s="1"/>
      <c r="AL220" s="1"/>
      <c r="AM220" s="1"/>
      <c r="AN220" s="1"/>
    </row>
    <row r="221" spans="1:40" ht="15.75" customHeight="1" x14ac:dyDescent="0.25">
      <c r="A221" s="1"/>
      <c r="B221" s="1"/>
      <c r="C221" s="1"/>
      <c r="D221" s="1"/>
      <c r="E221" s="12"/>
      <c r="F221" s="1"/>
      <c r="G221" s="1"/>
      <c r="H221" s="1"/>
      <c r="I221" s="12"/>
      <c r="J221" s="1"/>
      <c r="K221" s="1"/>
      <c r="L221" s="12"/>
      <c r="M221" s="1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2"/>
      <c r="AG221" s="1"/>
      <c r="AH221" s="12"/>
      <c r="AI221" s="1"/>
      <c r="AJ221" s="1"/>
      <c r="AK221" s="1"/>
      <c r="AL221" s="1"/>
      <c r="AM221" s="1"/>
      <c r="AN221" s="1"/>
    </row>
    <row r="222" spans="1:40" ht="15.75" customHeight="1" x14ac:dyDescent="0.25">
      <c r="A222" s="1"/>
      <c r="B222" s="1"/>
      <c r="C222" s="1"/>
      <c r="D222" s="1"/>
      <c r="E222" s="12"/>
      <c r="F222" s="1"/>
      <c r="G222" s="1"/>
      <c r="H222" s="1"/>
      <c r="I222" s="12"/>
      <c r="J222" s="1"/>
      <c r="K222" s="1"/>
      <c r="L222" s="12"/>
      <c r="M222" s="1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2"/>
      <c r="AG222" s="1"/>
      <c r="AH222" s="12"/>
      <c r="AI222" s="1"/>
      <c r="AJ222" s="1"/>
      <c r="AK222" s="1"/>
      <c r="AL222" s="1"/>
      <c r="AM222" s="1"/>
      <c r="AN222" s="1"/>
    </row>
    <row r="223" spans="1:40" ht="15.75" customHeight="1" x14ac:dyDescent="0.25">
      <c r="A223" s="1"/>
      <c r="B223" s="1"/>
      <c r="C223" s="1"/>
      <c r="D223" s="1"/>
      <c r="E223" s="12"/>
      <c r="F223" s="1"/>
      <c r="G223" s="1"/>
      <c r="H223" s="1"/>
      <c r="I223" s="12"/>
      <c r="J223" s="1"/>
      <c r="K223" s="1"/>
      <c r="L223" s="12"/>
      <c r="M223" s="1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2"/>
      <c r="AG223" s="1"/>
      <c r="AH223" s="12"/>
      <c r="AI223" s="1"/>
      <c r="AJ223" s="1"/>
      <c r="AK223" s="1"/>
      <c r="AL223" s="1"/>
      <c r="AM223" s="1"/>
      <c r="AN223" s="1"/>
    </row>
    <row r="224" spans="1:40" ht="15.75" customHeight="1" x14ac:dyDescent="0.25">
      <c r="A224" s="1"/>
      <c r="B224" s="1"/>
      <c r="C224" s="1"/>
      <c r="D224" s="1"/>
      <c r="E224" s="12"/>
      <c r="F224" s="1"/>
      <c r="G224" s="1"/>
      <c r="H224" s="1"/>
      <c r="I224" s="12"/>
      <c r="J224" s="1"/>
      <c r="K224" s="1"/>
      <c r="L224" s="12"/>
      <c r="M224" s="1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2"/>
      <c r="AG224" s="1"/>
      <c r="AH224" s="12"/>
      <c r="AI224" s="1"/>
      <c r="AJ224" s="1"/>
      <c r="AK224" s="1"/>
      <c r="AL224" s="1"/>
      <c r="AM224" s="1"/>
      <c r="AN224" s="1"/>
    </row>
    <row r="225" spans="1:40" ht="15.75" customHeight="1" x14ac:dyDescent="0.25">
      <c r="A225" s="1"/>
      <c r="B225" s="1"/>
      <c r="C225" s="1"/>
      <c r="D225" s="1"/>
      <c r="E225" s="12"/>
      <c r="F225" s="1"/>
      <c r="G225" s="1"/>
      <c r="H225" s="1"/>
      <c r="I225" s="12"/>
      <c r="J225" s="1"/>
      <c r="K225" s="1"/>
      <c r="L225" s="12"/>
      <c r="M225" s="1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2"/>
      <c r="AG225" s="1"/>
      <c r="AH225" s="12"/>
      <c r="AI225" s="1"/>
      <c r="AJ225" s="1"/>
      <c r="AK225" s="1"/>
      <c r="AL225" s="1"/>
      <c r="AM225" s="1"/>
      <c r="AN225" s="1"/>
    </row>
    <row r="226" spans="1:40" ht="15.75" customHeight="1" x14ac:dyDescent="0.25">
      <c r="A226" s="1"/>
      <c r="B226" s="1"/>
      <c r="C226" s="1"/>
      <c r="D226" s="1"/>
      <c r="E226" s="12"/>
      <c r="F226" s="1"/>
      <c r="G226" s="1"/>
      <c r="H226" s="1"/>
      <c r="I226" s="12"/>
      <c r="J226" s="1"/>
      <c r="K226" s="1"/>
      <c r="L226" s="12"/>
      <c r="M226" s="1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2"/>
      <c r="AG226" s="1"/>
      <c r="AH226" s="12"/>
      <c r="AI226" s="1"/>
      <c r="AJ226" s="1"/>
      <c r="AK226" s="1"/>
      <c r="AL226" s="1"/>
      <c r="AM226" s="1"/>
      <c r="AN226" s="1"/>
    </row>
    <row r="227" spans="1:40" ht="15.75" customHeight="1" x14ac:dyDescent="0.25">
      <c r="A227" s="1"/>
      <c r="B227" s="1"/>
      <c r="C227" s="1"/>
      <c r="D227" s="1"/>
      <c r="E227" s="12"/>
      <c r="F227" s="1"/>
      <c r="G227" s="1"/>
      <c r="H227" s="1"/>
      <c r="I227" s="12"/>
      <c r="J227" s="1"/>
      <c r="K227" s="1"/>
      <c r="L227" s="12"/>
      <c r="M227" s="1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2"/>
      <c r="AG227" s="1"/>
      <c r="AH227" s="12"/>
      <c r="AI227" s="1"/>
      <c r="AJ227" s="1"/>
      <c r="AK227" s="1"/>
      <c r="AL227" s="1"/>
      <c r="AM227" s="1"/>
      <c r="AN227" s="1"/>
    </row>
    <row r="228" spans="1:40" ht="15.75" customHeight="1" x14ac:dyDescent="0.25">
      <c r="A228" s="1"/>
      <c r="B228" s="1"/>
      <c r="C228" s="1"/>
      <c r="D228" s="1"/>
      <c r="E228" s="12"/>
      <c r="F228" s="1"/>
      <c r="G228" s="1"/>
      <c r="H228" s="1"/>
      <c r="I228" s="12"/>
      <c r="J228" s="1"/>
      <c r="K228" s="1"/>
      <c r="L228" s="12"/>
      <c r="M228" s="1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2"/>
      <c r="AG228" s="1"/>
      <c r="AH228" s="12"/>
      <c r="AI228" s="1"/>
      <c r="AJ228" s="1"/>
      <c r="AK228" s="1"/>
      <c r="AL228" s="1"/>
      <c r="AM228" s="1"/>
      <c r="AN228" s="1"/>
    </row>
    <row r="229" spans="1:40" ht="15.75" customHeight="1" x14ac:dyDescent="0.25">
      <c r="A229" s="1"/>
      <c r="B229" s="1"/>
      <c r="C229" s="1"/>
      <c r="D229" s="1"/>
      <c r="E229" s="12"/>
      <c r="F229" s="1"/>
      <c r="G229" s="1"/>
      <c r="H229" s="1"/>
      <c r="I229" s="12"/>
      <c r="J229" s="1"/>
      <c r="K229" s="1"/>
      <c r="L229" s="12"/>
      <c r="M229" s="1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2"/>
      <c r="AG229" s="1"/>
      <c r="AH229" s="12"/>
      <c r="AI229" s="1"/>
      <c r="AJ229" s="1"/>
      <c r="AK229" s="1"/>
      <c r="AL229" s="1"/>
      <c r="AM229" s="1"/>
      <c r="AN229" s="1"/>
    </row>
    <row r="230" spans="1:40" ht="15.75" customHeight="1" x14ac:dyDescent="0.25">
      <c r="A230" s="1"/>
      <c r="B230" s="1"/>
      <c r="C230" s="1"/>
      <c r="D230" s="1"/>
      <c r="E230" s="12"/>
      <c r="F230" s="1"/>
      <c r="G230" s="1"/>
      <c r="H230" s="1"/>
      <c r="I230" s="12"/>
      <c r="J230" s="1"/>
      <c r="K230" s="1"/>
      <c r="L230" s="12"/>
      <c r="M230" s="1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2"/>
      <c r="AG230" s="1"/>
      <c r="AH230" s="12"/>
      <c r="AI230" s="1"/>
      <c r="AJ230" s="1"/>
      <c r="AK230" s="1"/>
      <c r="AL230" s="1"/>
      <c r="AM230" s="1"/>
      <c r="AN230" s="1"/>
    </row>
    <row r="231" spans="1:40" ht="15.75" customHeight="1" x14ac:dyDescent="0.25">
      <c r="A231" s="1"/>
      <c r="B231" s="1"/>
      <c r="C231" s="1"/>
      <c r="D231" s="1"/>
      <c r="E231" s="12"/>
      <c r="F231" s="1"/>
      <c r="G231" s="1"/>
      <c r="H231" s="1"/>
      <c r="I231" s="12"/>
      <c r="J231" s="1"/>
      <c r="K231" s="1"/>
      <c r="L231" s="12"/>
      <c r="M231" s="1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2"/>
      <c r="AG231" s="1"/>
      <c r="AH231" s="12"/>
      <c r="AI231" s="1"/>
      <c r="AJ231" s="1"/>
      <c r="AK231" s="1"/>
      <c r="AL231" s="1"/>
      <c r="AM231" s="1"/>
      <c r="AN231" s="1"/>
    </row>
    <row r="232" spans="1:40" ht="15.75" customHeight="1" x14ac:dyDescent="0.25">
      <c r="A232" s="1"/>
      <c r="B232" s="1"/>
      <c r="C232" s="1"/>
      <c r="D232" s="1"/>
      <c r="E232" s="12"/>
      <c r="F232" s="1"/>
      <c r="G232" s="1"/>
      <c r="H232" s="1"/>
      <c r="I232" s="12"/>
      <c r="J232" s="1"/>
      <c r="K232" s="1"/>
      <c r="L232" s="12"/>
      <c r="M232" s="1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2"/>
      <c r="AG232" s="1"/>
      <c r="AH232" s="12"/>
      <c r="AI232" s="1"/>
      <c r="AJ232" s="1"/>
      <c r="AK232" s="1"/>
      <c r="AL232" s="1"/>
      <c r="AM232" s="1"/>
      <c r="AN232" s="1"/>
    </row>
    <row r="233" spans="1:40" ht="15.75" customHeight="1" x14ac:dyDescent="0.25">
      <c r="A233" s="1"/>
      <c r="B233" s="1"/>
      <c r="C233" s="1"/>
      <c r="D233" s="1"/>
      <c r="E233" s="12"/>
      <c r="F233" s="1"/>
      <c r="G233" s="1"/>
      <c r="H233" s="1"/>
      <c r="I233" s="12"/>
      <c r="J233" s="1"/>
      <c r="K233" s="1"/>
      <c r="L233" s="12"/>
      <c r="M233" s="1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2"/>
      <c r="AG233" s="1"/>
      <c r="AH233" s="12"/>
      <c r="AI233" s="1"/>
      <c r="AJ233" s="1"/>
      <c r="AK233" s="1"/>
      <c r="AL233" s="1"/>
      <c r="AM233" s="1"/>
      <c r="AN233" s="1"/>
    </row>
    <row r="234" spans="1:40" ht="15.75" customHeight="1" x14ac:dyDescent="0.25">
      <c r="A234" s="1"/>
      <c r="B234" s="1"/>
      <c r="C234" s="1"/>
      <c r="D234" s="1"/>
      <c r="E234" s="12"/>
      <c r="F234" s="1"/>
      <c r="G234" s="1"/>
      <c r="H234" s="1"/>
      <c r="I234" s="12"/>
      <c r="J234" s="1"/>
      <c r="K234" s="1"/>
      <c r="L234" s="12"/>
      <c r="M234" s="1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2"/>
      <c r="AG234" s="1"/>
      <c r="AH234" s="12"/>
      <c r="AI234" s="1"/>
      <c r="AJ234" s="1"/>
      <c r="AK234" s="1"/>
      <c r="AL234" s="1"/>
      <c r="AM234" s="1"/>
      <c r="AN234" s="1"/>
    </row>
    <row r="235" spans="1:40" ht="15.75" customHeight="1" x14ac:dyDescent="0.25">
      <c r="A235" s="1"/>
      <c r="B235" s="1"/>
      <c r="C235" s="1"/>
      <c r="D235" s="1"/>
      <c r="E235" s="12"/>
      <c r="F235" s="1"/>
      <c r="G235" s="1"/>
      <c r="H235" s="1"/>
      <c r="I235" s="12"/>
      <c r="J235" s="1"/>
      <c r="K235" s="1"/>
      <c r="L235" s="12"/>
      <c r="M235" s="1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2"/>
      <c r="AG235" s="1"/>
      <c r="AH235" s="12"/>
      <c r="AI235" s="1"/>
      <c r="AJ235" s="1"/>
      <c r="AK235" s="1"/>
      <c r="AL235" s="1"/>
      <c r="AM235" s="1"/>
      <c r="AN235" s="1"/>
    </row>
    <row r="236" spans="1:40" ht="15.75" customHeight="1" x14ac:dyDescent="0.25">
      <c r="A236" s="1"/>
      <c r="B236" s="1"/>
      <c r="C236" s="1"/>
      <c r="D236" s="1"/>
      <c r="E236" s="12"/>
      <c r="F236" s="1"/>
      <c r="G236" s="1"/>
      <c r="H236" s="1"/>
      <c r="I236" s="12"/>
      <c r="J236" s="1"/>
      <c r="K236" s="1"/>
      <c r="L236" s="12"/>
      <c r="M236" s="1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2"/>
      <c r="AG236" s="1"/>
      <c r="AH236" s="12"/>
      <c r="AI236" s="1"/>
      <c r="AJ236" s="1"/>
      <c r="AK236" s="1"/>
      <c r="AL236" s="1"/>
      <c r="AM236" s="1"/>
      <c r="AN236" s="1"/>
    </row>
    <row r="237" spans="1:40" ht="15.75" customHeight="1" x14ac:dyDescent="0.25">
      <c r="A237" s="1"/>
      <c r="B237" s="1"/>
      <c r="C237" s="1"/>
      <c r="D237" s="1"/>
      <c r="E237" s="12"/>
      <c r="F237" s="1"/>
      <c r="G237" s="1"/>
      <c r="H237" s="1"/>
      <c r="I237" s="12"/>
      <c r="J237" s="1"/>
      <c r="K237" s="1"/>
      <c r="L237" s="12"/>
      <c r="M237" s="1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2"/>
      <c r="AG237" s="1"/>
      <c r="AH237" s="12"/>
      <c r="AI237" s="1"/>
      <c r="AJ237" s="1"/>
      <c r="AK237" s="1"/>
      <c r="AL237" s="1"/>
      <c r="AM237" s="1"/>
      <c r="AN237" s="1"/>
    </row>
    <row r="238" spans="1:40" ht="15.75" customHeight="1" x14ac:dyDescent="0.25">
      <c r="A238" s="1"/>
      <c r="B238" s="1"/>
      <c r="C238" s="1"/>
      <c r="D238" s="1"/>
      <c r="E238" s="12"/>
      <c r="F238" s="1"/>
      <c r="G238" s="1"/>
      <c r="H238" s="1"/>
      <c r="I238" s="12"/>
      <c r="J238" s="1"/>
      <c r="K238" s="1"/>
      <c r="L238" s="12"/>
      <c r="M238" s="1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2"/>
      <c r="AG238" s="1"/>
      <c r="AH238" s="12"/>
      <c r="AI238" s="1"/>
      <c r="AJ238" s="1"/>
      <c r="AK238" s="1"/>
      <c r="AL238" s="1"/>
      <c r="AM238" s="1"/>
      <c r="AN238" s="1"/>
    </row>
    <row r="239" spans="1:40" ht="15.75" customHeight="1" x14ac:dyDescent="0.25">
      <c r="A239" s="1"/>
      <c r="B239" s="1"/>
      <c r="C239" s="1"/>
      <c r="D239" s="1"/>
      <c r="E239" s="12"/>
      <c r="F239" s="1"/>
      <c r="G239" s="1"/>
      <c r="H239" s="1"/>
      <c r="I239" s="12"/>
      <c r="J239" s="1"/>
      <c r="K239" s="1"/>
      <c r="L239" s="12"/>
      <c r="M239" s="1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2"/>
      <c r="AG239" s="1"/>
      <c r="AH239" s="12"/>
      <c r="AI239" s="1"/>
      <c r="AJ239" s="1"/>
      <c r="AK239" s="1"/>
      <c r="AL239" s="1"/>
      <c r="AM239" s="1"/>
      <c r="AN239" s="1"/>
    </row>
    <row r="240" spans="1:40" ht="15.75" customHeight="1" x14ac:dyDescent="0.25">
      <c r="A240" s="1"/>
      <c r="B240" s="1"/>
      <c r="C240" s="1"/>
      <c r="D240" s="1"/>
      <c r="E240" s="12"/>
      <c r="F240" s="1"/>
      <c r="G240" s="1"/>
      <c r="H240" s="1"/>
      <c r="I240" s="12"/>
      <c r="J240" s="1"/>
      <c r="K240" s="1"/>
      <c r="L240" s="12"/>
      <c r="M240" s="1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2"/>
      <c r="AG240" s="1"/>
      <c r="AH240" s="12"/>
      <c r="AI240" s="1"/>
      <c r="AJ240" s="1"/>
      <c r="AK240" s="1"/>
      <c r="AL240" s="1"/>
      <c r="AM240" s="1"/>
      <c r="AN240" s="1"/>
    </row>
    <row r="241" spans="1:40" ht="15.75" customHeight="1" x14ac:dyDescent="0.25">
      <c r="A241" s="1"/>
      <c r="B241" s="1"/>
      <c r="C241" s="1"/>
      <c r="D241" s="1"/>
      <c r="E241" s="12"/>
      <c r="F241" s="1"/>
      <c r="G241" s="1"/>
      <c r="H241" s="1"/>
      <c r="I241" s="12"/>
      <c r="J241" s="1"/>
      <c r="K241" s="1"/>
      <c r="L241" s="12"/>
      <c r="M241" s="1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2"/>
      <c r="AG241" s="1"/>
      <c r="AH241" s="12"/>
      <c r="AI241" s="1"/>
      <c r="AJ241" s="1"/>
      <c r="AK241" s="1"/>
      <c r="AL241" s="1"/>
      <c r="AM241" s="1"/>
      <c r="AN241" s="1"/>
    </row>
    <row r="242" spans="1:40" ht="15.75" customHeight="1" x14ac:dyDescent="0.25">
      <c r="A242" s="1"/>
      <c r="B242" s="1"/>
      <c r="C242" s="1"/>
      <c r="D242" s="1"/>
      <c r="E242" s="12"/>
      <c r="F242" s="1"/>
      <c r="G242" s="1"/>
      <c r="H242" s="1"/>
      <c r="I242" s="12"/>
      <c r="J242" s="1"/>
      <c r="K242" s="1"/>
      <c r="L242" s="12"/>
      <c r="M242" s="1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2"/>
      <c r="AG242" s="1"/>
      <c r="AH242" s="12"/>
      <c r="AI242" s="1"/>
      <c r="AJ242" s="1"/>
      <c r="AK242" s="1"/>
      <c r="AL242" s="1"/>
      <c r="AM242" s="1"/>
      <c r="AN242" s="1"/>
    </row>
    <row r="243" spans="1:40" ht="15.75" customHeight="1" x14ac:dyDescent="0.25">
      <c r="A243" s="1"/>
      <c r="B243" s="1"/>
      <c r="C243" s="1"/>
      <c r="D243" s="1"/>
      <c r="E243" s="12"/>
      <c r="F243" s="1"/>
      <c r="G243" s="1"/>
      <c r="H243" s="1"/>
      <c r="I243" s="12"/>
      <c r="J243" s="1"/>
      <c r="K243" s="1"/>
      <c r="L243" s="12"/>
      <c r="M243" s="1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2"/>
      <c r="AG243" s="1"/>
      <c r="AH243" s="12"/>
      <c r="AI243" s="1"/>
      <c r="AJ243" s="1"/>
      <c r="AK243" s="1"/>
      <c r="AL243" s="1"/>
      <c r="AM243" s="1"/>
      <c r="AN243" s="1"/>
    </row>
    <row r="244" spans="1:40" ht="15.75" customHeight="1" x14ac:dyDescent="0.25">
      <c r="A244" s="1"/>
      <c r="B244" s="1"/>
      <c r="C244" s="1"/>
      <c r="D244" s="1"/>
      <c r="E244" s="12"/>
      <c r="F244" s="1"/>
      <c r="G244" s="1"/>
      <c r="H244" s="1"/>
      <c r="I244" s="12"/>
      <c r="J244" s="1"/>
      <c r="K244" s="1"/>
      <c r="L244" s="12"/>
      <c r="M244" s="1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2"/>
      <c r="AG244" s="1"/>
      <c r="AH244" s="12"/>
      <c r="AI244" s="1"/>
      <c r="AJ244" s="1"/>
      <c r="AK244" s="1"/>
      <c r="AL244" s="1"/>
      <c r="AM244" s="1"/>
      <c r="AN244" s="1"/>
    </row>
    <row r="245" spans="1:40" ht="15.75" customHeight="1" x14ac:dyDescent="0.25">
      <c r="A245" s="1"/>
      <c r="B245" s="1"/>
      <c r="C245" s="1"/>
      <c r="D245" s="1"/>
      <c r="E245" s="12"/>
      <c r="F245" s="1"/>
      <c r="G245" s="1"/>
      <c r="H245" s="1"/>
      <c r="I245" s="12"/>
      <c r="J245" s="1"/>
      <c r="K245" s="1"/>
      <c r="L245" s="12"/>
      <c r="M245" s="1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2"/>
      <c r="AG245" s="1"/>
      <c r="AH245" s="12"/>
      <c r="AI245" s="1"/>
      <c r="AJ245" s="1"/>
      <c r="AK245" s="1"/>
      <c r="AL245" s="1"/>
      <c r="AM245" s="1"/>
      <c r="AN245" s="1"/>
    </row>
    <row r="246" spans="1:40" ht="15.75" customHeight="1" x14ac:dyDescent="0.25">
      <c r="A246" s="1"/>
      <c r="B246" s="1"/>
      <c r="C246" s="1"/>
      <c r="D246" s="1"/>
      <c r="E246" s="12"/>
      <c r="F246" s="1"/>
      <c r="G246" s="1"/>
      <c r="H246" s="1"/>
      <c r="I246" s="12"/>
      <c r="J246" s="1"/>
      <c r="K246" s="1"/>
      <c r="L246" s="12"/>
      <c r="M246" s="1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2"/>
      <c r="AG246" s="1"/>
      <c r="AH246" s="12"/>
      <c r="AI246" s="1"/>
      <c r="AJ246" s="1"/>
      <c r="AK246" s="1"/>
      <c r="AL246" s="1"/>
      <c r="AM246" s="1"/>
      <c r="AN246" s="1"/>
    </row>
    <row r="247" spans="1:40" ht="15.75" customHeight="1" x14ac:dyDescent="0.25">
      <c r="A247" s="1"/>
      <c r="B247" s="1"/>
      <c r="C247" s="1"/>
      <c r="D247" s="1"/>
      <c r="E247" s="12"/>
      <c r="F247" s="1"/>
      <c r="G247" s="1"/>
      <c r="H247" s="1"/>
      <c r="I247" s="12"/>
      <c r="J247" s="1"/>
      <c r="K247" s="1"/>
      <c r="L247" s="12"/>
      <c r="M247" s="1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2"/>
      <c r="AG247" s="1"/>
      <c r="AH247" s="12"/>
      <c r="AI247" s="1"/>
      <c r="AJ247" s="1"/>
      <c r="AK247" s="1"/>
      <c r="AL247" s="1"/>
      <c r="AM247" s="1"/>
      <c r="AN247" s="1"/>
    </row>
    <row r="248" spans="1:40" ht="15.75" customHeight="1" x14ac:dyDescent="0.25">
      <c r="A248" s="1"/>
      <c r="B248" s="1"/>
      <c r="C248" s="1"/>
      <c r="D248" s="1"/>
      <c r="E248" s="12"/>
      <c r="F248" s="1"/>
      <c r="G248" s="1"/>
      <c r="H248" s="1"/>
      <c r="I248" s="12"/>
      <c r="J248" s="1"/>
      <c r="K248" s="1"/>
      <c r="L248" s="12"/>
      <c r="M248" s="1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2"/>
      <c r="AG248" s="1"/>
      <c r="AH248" s="12"/>
      <c r="AI248" s="1"/>
      <c r="AJ248" s="1"/>
      <c r="AK248" s="1"/>
      <c r="AL248" s="1"/>
      <c r="AM248" s="1"/>
      <c r="AN248" s="1"/>
    </row>
    <row r="249" spans="1:40" ht="15.75" customHeight="1" x14ac:dyDescent="0.25">
      <c r="A249" s="1"/>
      <c r="B249" s="1"/>
      <c r="C249" s="1"/>
      <c r="D249" s="1"/>
      <c r="E249" s="12"/>
      <c r="F249" s="1"/>
      <c r="G249" s="1"/>
      <c r="H249" s="1"/>
      <c r="I249" s="12"/>
      <c r="J249" s="1"/>
      <c r="K249" s="1"/>
      <c r="L249" s="12"/>
      <c r="M249" s="1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2"/>
      <c r="AG249" s="1"/>
      <c r="AH249" s="12"/>
      <c r="AI249" s="1"/>
      <c r="AJ249" s="1"/>
      <c r="AK249" s="1"/>
      <c r="AL249" s="1"/>
      <c r="AM249" s="1"/>
      <c r="AN249" s="1"/>
    </row>
    <row r="250" spans="1:40" ht="15.75" customHeight="1" x14ac:dyDescent="0.25">
      <c r="A250" s="1"/>
      <c r="B250" s="1"/>
      <c r="C250" s="1"/>
      <c r="D250" s="1"/>
      <c r="E250" s="12"/>
      <c r="F250" s="1"/>
      <c r="G250" s="1"/>
      <c r="H250" s="1"/>
      <c r="I250" s="12"/>
      <c r="J250" s="1"/>
      <c r="K250" s="1"/>
      <c r="L250" s="12"/>
      <c r="M250" s="1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2"/>
      <c r="AG250" s="1"/>
      <c r="AH250" s="12"/>
      <c r="AI250" s="1"/>
      <c r="AJ250" s="1"/>
      <c r="AK250" s="1"/>
      <c r="AL250" s="1"/>
      <c r="AM250" s="1"/>
      <c r="AN250" s="1"/>
    </row>
    <row r="251" spans="1:40" ht="15.75" customHeight="1" x14ac:dyDescent="0.25">
      <c r="A251" s="1"/>
      <c r="B251" s="1"/>
      <c r="C251" s="1"/>
      <c r="D251" s="1"/>
      <c r="E251" s="12"/>
      <c r="F251" s="1"/>
      <c r="G251" s="1"/>
      <c r="H251" s="1"/>
      <c r="I251" s="12"/>
      <c r="J251" s="1"/>
      <c r="K251" s="1"/>
      <c r="L251" s="12"/>
      <c r="M251" s="1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2"/>
      <c r="AG251" s="1"/>
      <c r="AH251" s="12"/>
      <c r="AI251" s="1"/>
      <c r="AJ251" s="1"/>
      <c r="AK251" s="1"/>
      <c r="AL251" s="1"/>
      <c r="AM251" s="1"/>
      <c r="AN251" s="1"/>
    </row>
    <row r="252" spans="1:40" ht="15.75" customHeight="1" x14ac:dyDescent="0.25">
      <c r="A252" s="1"/>
      <c r="B252" s="1"/>
      <c r="C252" s="1"/>
      <c r="D252" s="1"/>
      <c r="E252" s="12"/>
      <c r="F252" s="1"/>
      <c r="G252" s="1"/>
      <c r="H252" s="1"/>
      <c r="I252" s="12"/>
      <c r="J252" s="1"/>
      <c r="K252" s="1"/>
      <c r="L252" s="12"/>
      <c r="M252" s="1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2"/>
      <c r="AG252" s="1"/>
      <c r="AH252" s="12"/>
      <c r="AI252" s="1"/>
      <c r="AJ252" s="1"/>
      <c r="AK252" s="1"/>
      <c r="AL252" s="1"/>
      <c r="AM252" s="1"/>
      <c r="AN252" s="1"/>
    </row>
    <row r="253" spans="1:40" ht="15.75" customHeight="1" x14ac:dyDescent="0.25">
      <c r="A253" s="1"/>
      <c r="B253" s="1"/>
      <c r="C253" s="1"/>
      <c r="D253" s="1"/>
      <c r="E253" s="12"/>
      <c r="F253" s="1"/>
      <c r="G253" s="1"/>
      <c r="H253" s="1"/>
      <c r="I253" s="12"/>
      <c r="J253" s="1"/>
      <c r="K253" s="1"/>
      <c r="L253" s="12"/>
      <c r="M253" s="1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2"/>
      <c r="AG253" s="1"/>
      <c r="AH253" s="12"/>
      <c r="AI253" s="1"/>
      <c r="AJ253" s="1"/>
      <c r="AK253" s="1"/>
      <c r="AL253" s="1"/>
      <c r="AM253" s="1"/>
      <c r="AN253" s="1"/>
    </row>
    <row r="254" spans="1:40" ht="15.75" customHeight="1" x14ac:dyDescent="0.25">
      <c r="A254" s="1"/>
      <c r="B254" s="1"/>
      <c r="C254" s="1"/>
      <c r="D254" s="1"/>
      <c r="E254" s="12"/>
      <c r="F254" s="1"/>
      <c r="G254" s="1"/>
      <c r="H254" s="1"/>
      <c r="I254" s="12"/>
      <c r="J254" s="1"/>
      <c r="K254" s="1"/>
      <c r="L254" s="12"/>
      <c r="M254" s="1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2"/>
      <c r="AG254" s="1"/>
      <c r="AH254" s="12"/>
      <c r="AI254" s="1"/>
      <c r="AJ254" s="1"/>
      <c r="AK254" s="1"/>
      <c r="AL254" s="1"/>
      <c r="AM254" s="1"/>
      <c r="AN254" s="1"/>
    </row>
    <row r="255" spans="1:40" ht="15.75" customHeight="1" x14ac:dyDescent="0.25">
      <c r="A255" s="1"/>
      <c r="B255" s="1"/>
      <c r="C255" s="1"/>
      <c r="D255" s="1"/>
      <c r="E255" s="12"/>
      <c r="F255" s="1"/>
      <c r="G255" s="1"/>
      <c r="H255" s="1"/>
      <c r="I255" s="12"/>
      <c r="J255" s="1"/>
      <c r="K255" s="1"/>
      <c r="L255" s="12"/>
      <c r="M255" s="1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2"/>
      <c r="AG255" s="1"/>
      <c r="AH255" s="12"/>
      <c r="AI255" s="1"/>
      <c r="AJ255" s="1"/>
      <c r="AK255" s="1"/>
      <c r="AL255" s="1"/>
      <c r="AM255" s="1"/>
      <c r="AN255" s="1"/>
    </row>
    <row r="256" spans="1:40" ht="15.75" customHeight="1" x14ac:dyDescent="0.25">
      <c r="A256" s="1"/>
      <c r="B256" s="1"/>
      <c r="C256" s="1"/>
      <c r="D256" s="1"/>
      <c r="E256" s="12"/>
      <c r="F256" s="1"/>
      <c r="G256" s="1"/>
      <c r="H256" s="1"/>
      <c r="I256" s="12"/>
      <c r="J256" s="1"/>
      <c r="K256" s="1"/>
      <c r="L256" s="12"/>
      <c r="M256" s="1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2"/>
      <c r="AG256" s="1"/>
      <c r="AH256" s="12"/>
      <c r="AI256" s="1"/>
      <c r="AJ256" s="1"/>
      <c r="AK256" s="1"/>
      <c r="AL256" s="1"/>
      <c r="AM256" s="1"/>
      <c r="AN256" s="1"/>
    </row>
    <row r="257" spans="1:40" ht="15.75" customHeight="1" x14ac:dyDescent="0.25">
      <c r="A257" s="1"/>
      <c r="B257" s="1"/>
      <c r="C257" s="1"/>
      <c r="D257" s="1"/>
      <c r="E257" s="12"/>
      <c r="F257" s="1"/>
      <c r="G257" s="1"/>
      <c r="H257" s="1"/>
      <c r="I257" s="12"/>
      <c r="J257" s="1"/>
      <c r="K257" s="1"/>
      <c r="L257" s="12"/>
      <c r="M257" s="1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2"/>
      <c r="AG257" s="1"/>
      <c r="AH257" s="12"/>
      <c r="AI257" s="1"/>
      <c r="AJ257" s="1"/>
      <c r="AK257" s="1"/>
      <c r="AL257" s="1"/>
      <c r="AM257" s="1"/>
      <c r="AN257" s="1"/>
    </row>
    <row r="258" spans="1:40" ht="15.75" customHeight="1" x14ac:dyDescent="0.25">
      <c r="A258" s="1"/>
      <c r="B258" s="1"/>
      <c r="C258" s="1"/>
      <c r="D258" s="1"/>
      <c r="E258" s="12"/>
      <c r="F258" s="1"/>
      <c r="G258" s="1"/>
      <c r="H258" s="1"/>
      <c r="I258" s="12"/>
      <c r="J258" s="1"/>
      <c r="K258" s="1"/>
      <c r="L258" s="12"/>
      <c r="M258" s="1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2"/>
      <c r="AG258" s="1"/>
      <c r="AH258" s="12"/>
      <c r="AI258" s="1"/>
      <c r="AJ258" s="1"/>
      <c r="AK258" s="1"/>
      <c r="AL258" s="1"/>
      <c r="AM258" s="1"/>
      <c r="AN258" s="1"/>
    </row>
    <row r="259" spans="1:40" ht="15.75" customHeight="1" x14ac:dyDescent="0.25">
      <c r="A259" s="1"/>
      <c r="B259" s="1"/>
      <c r="C259" s="1"/>
      <c r="D259" s="1"/>
      <c r="E259" s="12"/>
      <c r="F259" s="1"/>
      <c r="G259" s="1"/>
      <c r="H259" s="1"/>
      <c r="I259" s="12"/>
      <c r="J259" s="1"/>
      <c r="K259" s="1"/>
      <c r="L259" s="12"/>
      <c r="M259" s="1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2"/>
      <c r="AG259" s="1"/>
      <c r="AH259" s="12"/>
      <c r="AI259" s="1"/>
      <c r="AJ259" s="1"/>
      <c r="AK259" s="1"/>
      <c r="AL259" s="1"/>
      <c r="AM259" s="1"/>
      <c r="AN259" s="1"/>
    </row>
    <row r="260" spans="1:40" ht="15.75" customHeight="1" x14ac:dyDescent="0.25">
      <c r="A260" s="1"/>
      <c r="B260" s="1"/>
      <c r="C260" s="1"/>
      <c r="D260" s="1"/>
      <c r="E260" s="12"/>
      <c r="F260" s="1"/>
      <c r="G260" s="1"/>
      <c r="H260" s="1"/>
      <c r="I260" s="12"/>
      <c r="J260" s="1"/>
      <c r="K260" s="1"/>
      <c r="L260" s="12"/>
      <c r="M260" s="1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2"/>
      <c r="AG260" s="1"/>
      <c r="AH260" s="12"/>
      <c r="AI260" s="1"/>
      <c r="AJ260" s="1"/>
      <c r="AK260" s="1"/>
      <c r="AL260" s="1"/>
      <c r="AM260" s="1"/>
      <c r="AN260" s="1"/>
    </row>
    <row r="261" spans="1:40" ht="15.75" customHeight="1" x14ac:dyDescent="0.25">
      <c r="A261" s="1"/>
      <c r="B261" s="1"/>
      <c r="C261" s="1"/>
      <c r="D261" s="1"/>
      <c r="E261" s="12"/>
      <c r="F261" s="1"/>
      <c r="G261" s="1"/>
      <c r="H261" s="1"/>
      <c r="I261" s="12"/>
      <c r="J261" s="1"/>
      <c r="K261" s="1"/>
      <c r="L261" s="12"/>
      <c r="M261" s="1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2"/>
      <c r="AG261" s="1"/>
      <c r="AH261" s="12"/>
      <c r="AI261" s="1"/>
      <c r="AJ261" s="1"/>
      <c r="AK261" s="1"/>
      <c r="AL261" s="1"/>
      <c r="AM261" s="1"/>
      <c r="AN261" s="1"/>
    </row>
    <row r="262" spans="1:40" ht="15.75" customHeight="1" x14ac:dyDescent="0.25">
      <c r="A262" s="1"/>
      <c r="B262" s="1"/>
      <c r="C262" s="1"/>
      <c r="D262" s="1"/>
      <c r="E262" s="12"/>
      <c r="F262" s="1"/>
      <c r="G262" s="1"/>
      <c r="H262" s="1"/>
      <c r="I262" s="12"/>
      <c r="J262" s="1"/>
      <c r="K262" s="1"/>
      <c r="L262" s="12"/>
      <c r="M262" s="1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2"/>
      <c r="AG262" s="1"/>
      <c r="AH262" s="12"/>
      <c r="AI262" s="1"/>
      <c r="AJ262" s="1"/>
      <c r="AK262" s="1"/>
      <c r="AL262" s="1"/>
      <c r="AM262" s="1"/>
      <c r="AN262" s="1"/>
    </row>
    <row r="263" spans="1:40" ht="15.75" customHeight="1" x14ac:dyDescent="0.25">
      <c r="A263" s="1"/>
      <c r="B263" s="1"/>
      <c r="C263" s="1"/>
      <c r="D263" s="1"/>
      <c r="E263" s="12"/>
      <c r="F263" s="1"/>
      <c r="G263" s="1"/>
      <c r="H263" s="1"/>
      <c r="I263" s="12"/>
      <c r="J263" s="1"/>
      <c r="K263" s="1"/>
      <c r="L263" s="12"/>
      <c r="M263" s="1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2"/>
      <c r="AG263" s="1"/>
      <c r="AH263" s="12"/>
      <c r="AI263" s="1"/>
      <c r="AJ263" s="1"/>
      <c r="AK263" s="1"/>
      <c r="AL263" s="1"/>
      <c r="AM263" s="1"/>
      <c r="AN263" s="1"/>
    </row>
    <row r="264" spans="1:40" ht="15.75" customHeight="1" x14ac:dyDescent="0.25">
      <c r="A264" s="1"/>
      <c r="B264" s="1"/>
      <c r="C264" s="1"/>
      <c r="D264" s="1"/>
      <c r="E264" s="12"/>
      <c r="F264" s="1"/>
      <c r="G264" s="1"/>
      <c r="H264" s="1"/>
      <c r="I264" s="12"/>
      <c r="J264" s="1"/>
      <c r="K264" s="1"/>
      <c r="L264" s="12"/>
      <c r="M264" s="1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2"/>
      <c r="AG264" s="1"/>
      <c r="AH264" s="12"/>
      <c r="AI264" s="1"/>
      <c r="AJ264" s="1"/>
      <c r="AK264" s="1"/>
      <c r="AL264" s="1"/>
      <c r="AM264" s="1"/>
      <c r="AN264" s="1"/>
    </row>
    <row r="265" spans="1:40" ht="15.75" customHeight="1" x14ac:dyDescent="0.25">
      <c r="A265" s="1"/>
      <c r="B265" s="1"/>
      <c r="C265" s="1"/>
      <c r="D265" s="1"/>
      <c r="E265" s="12"/>
      <c r="F265" s="1"/>
      <c r="G265" s="1"/>
      <c r="H265" s="1"/>
      <c r="I265" s="12"/>
      <c r="J265" s="1"/>
      <c r="K265" s="1"/>
      <c r="L265" s="12"/>
      <c r="M265" s="1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2"/>
      <c r="AG265" s="1"/>
      <c r="AH265" s="12"/>
      <c r="AI265" s="1"/>
      <c r="AJ265" s="1"/>
      <c r="AK265" s="1"/>
      <c r="AL265" s="1"/>
      <c r="AM265" s="1"/>
      <c r="AN265" s="1"/>
    </row>
    <row r="266" spans="1:40" ht="15.75" customHeight="1" x14ac:dyDescent="0.25">
      <c r="A266" s="1"/>
      <c r="B266" s="1"/>
      <c r="C266" s="1"/>
      <c r="D266" s="1"/>
      <c r="E266" s="12"/>
      <c r="F266" s="1"/>
      <c r="G266" s="1"/>
      <c r="H266" s="1"/>
      <c r="I266" s="12"/>
      <c r="J266" s="1"/>
      <c r="K266" s="1"/>
      <c r="L266" s="12"/>
      <c r="M266" s="1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2"/>
      <c r="AG266" s="1"/>
      <c r="AH266" s="12"/>
      <c r="AI266" s="1"/>
      <c r="AJ266" s="1"/>
      <c r="AK266" s="1"/>
      <c r="AL266" s="1"/>
      <c r="AM266" s="1"/>
      <c r="AN266" s="1"/>
    </row>
    <row r="267" spans="1:40" ht="15.75" customHeight="1" x14ac:dyDescent="0.25">
      <c r="A267" s="1"/>
      <c r="B267" s="1"/>
      <c r="C267" s="1"/>
      <c r="D267" s="1"/>
      <c r="E267" s="12"/>
      <c r="F267" s="1"/>
      <c r="G267" s="1"/>
      <c r="H267" s="1"/>
      <c r="I267" s="12"/>
      <c r="J267" s="1"/>
      <c r="K267" s="1"/>
      <c r="L267" s="12"/>
      <c r="M267" s="1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2"/>
      <c r="AG267" s="1"/>
      <c r="AH267" s="12"/>
      <c r="AI267" s="1"/>
      <c r="AJ267" s="1"/>
      <c r="AK267" s="1"/>
      <c r="AL267" s="1"/>
      <c r="AM267" s="1"/>
      <c r="AN267" s="1"/>
    </row>
    <row r="268" spans="1:40" ht="15.75" customHeight="1" x14ac:dyDescent="0.25">
      <c r="A268" s="1"/>
      <c r="B268" s="1"/>
      <c r="C268" s="1"/>
      <c r="D268" s="1"/>
      <c r="E268" s="12"/>
      <c r="F268" s="1"/>
      <c r="G268" s="1"/>
      <c r="H268" s="1"/>
      <c r="I268" s="12"/>
      <c r="J268" s="1"/>
      <c r="K268" s="1"/>
      <c r="L268" s="12"/>
      <c r="M268" s="1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2"/>
      <c r="AG268" s="1"/>
      <c r="AH268" s="12"/>
      <c r="AI268" s="1"/>
      <c r="AJ268" s="1"/>
      <c r="AK268" s="1"/>
      <c r="AL268" s="1"/>
      <c r="AM268" s="1"/>
      <c r="AN268" s="1"/>
    </row>
    <row r="269" spans="1:40" ht="15.75" customHeight="1" x14ac:dyDescent="0.25">
      <c r="A269" s="1"/>
      <c r="B269" s="1"/>
      <c r="C269" s="1"/>
      <c r="D269" s="1"/>
      <c r="E269" s="12"/>
      <c r="F269" s="1"/>
      <c r="G269" s="1"/>
      <c r="H269" s="1"/>
      <c r="I269" s="12"/>
      <c r="J269" s="1"/>
      <c r="K269" s="1"/>
      <c r="L269" s="12"/>
      <c r="M269" s="1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2"/>
      <c r="AG269" s="1"/>
      <c r="AH269" s="12"/>
      <c r="AI269" s="1"/>
      <c r="AJ269" s="1"/>
      <c r="AK269" s="1"/>
      <c r="AL269" s="1"/>
      <c r="AM269" s="1"/>
      <c r="AN269" s="1"/>
    </row>
    <row r="270" spans="1:40" ht="15.75" customHeight="1" x14ac:dyDescent="0.25">
      <c r="A270" s="1"/>
      <c r="B270" s="1"/>
      <c r="C270" s="1"/>
      <c r="D270" s="1"/>
      <c r="E270" s="12"/>
      <c r="F270" s="1"/>
      <c r="G270" s="1"/>
      <c r="H270" s="1"/>
      <c r="I270" s="12"/>
      <c r="J270" s="1"/>
      <c r="K270" s="1"/>
      <c r="L270" s="12"/>
      <c r="M270" s="1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2"/>
      <c r="AG270" s="1"/>
      <c r="AH270" s="12"/>
      <c r="AI270" s="1"/>
      <c r="AJ270" s="1"/>
      <c r="AK270" s="1"/>
      <c r="AL270" s="1"/>
      <c r="AM270" s="1"/>
      <c r="AN270" s="1"/>
    </row>
    <row r="271" spans="1:40" ht="15.75" customHeight="1" x14ac:dyDescent="0.25">
      <c r="A271" s="1"/>
      <c r="B271" s="1"/>
      <c r="C271" s="1"/>
      <c r="D271" s="1"/>
      <c r="E271" s="12"/>
      <c r="F271" s="1"/>
      <c r="G271" s="1"/>
      <c r="H271" s="1"/>
      <c r="I271" s="12"/>
      <c r="J271" s="1"/>
      <c r="K271" s="1"/>
      <c r="L271" s="12"/>
      <c r="M271" s="1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2"/>
      <c r="AG271" s="1"/>
      <c r="AH271" s="12"/>
      <c r="AI271" s="1"/>
      <c r="AJ271" s="1"/>
      <c r="AK271" s="1"/>
      <c r="AL271" s="1"/>
      <c r="AM271" s="1"/>
      <c r="AN271" s="1"/>
    </row>
    <row r="272" spans="1:40" ht="15.75" customHeight="1" x14ac:dyDescent="0.25">
      <c r="A272" s="1"/>
      <c r="B272" s="1"/>
      <c r="C272" s="1"/>
      <c r="D272" s="1"/>
      <c r="E272" s="12"/>
      <c r="F272" s="1"/>
      <c r="G272" s="1"/>
      <c r="H272" s="1"/>
      <c r="I272" s="12"/>
      <c r="J272" s="1"/>
      <c r="K272" s="1"/>
      <c r="L272" s="12"/>
      <c r="M272" s="1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2"/>
      <c r="AG272" s="1"/>
      <c r="AH272" s="12"/>
      <c r="AI272" s="1"/>
      <c r="AJ272" s="1"/>
      <c r="AK272" s="1"/>
      <c r="AL272" s="1"/>
      <c r="AM272" s="1"/>
      <c r="AN272" s="1"/>
    </row>
    <row r="273" spans="1:40" ht="15.75" customHeight="1" x14ac:dyDescent="0.25">
      <c r="A273" s="1"/>
      <c r="B273" s="1"/>
      <c r="C273" s="1"/>
      <c r="D273" s="1"/>
      <c r="E273" s="12"/>
      <c r="F273" s="1"/>
      <c r="G273" s="1"/>
      <c r="H273" s="1"/>
      <c r="I273" s="12"/>
      <c r="J273" s="1"/>
      <c r="K273" s="1"/>
      <c r="L273" s="12"/>
      <c r="M273" s="1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2"/>
      <c r="AG273" s="1"/>
      <c r="AH273" s="12"/>
      <c r="AI273" s="1"/>
      <c r="AJ273" s="1"/>
      <c r="AK273" s="1"/>
      <c r="AL273" s="1"/>
      <c r="AM273" s="1"/>
      <c r="AN273" s="1"/>
    </row>
    <row r="274" spans="1:40" ht="15.75" customHeight="1" x14ac:dyDescent="0.25">
      <c r="A274" s="1"/>
      <c r="B274" s="1"/>
      <c r="C274" s="1"/>
      <c r="D274" s="1"/>
      <c r="E274" s="12"/>
      <c r="F274" s="1"/>
      <c r="G274" s="1"/>
      <c r="H274" s="1"/>
      <c r="I274" s="12"/>
      <c r="J274" s="1"/>
      <c r="K274" s="1"/>
      <c r="L274" s="12"/>
      <c r="M274" s="1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2"/>
      <c r="AG274" s="1"/>
      <c r="AH274" s="12"/>
      <c r="AI274" s="1"/>
      <c r="AJ274" s="1"/>
      <c r="AK274" s="1"/>
      <c r="AL274" s="1"/>
      <c r="AM274" s="1"/>
      <c r="AN274" s="1"/>
    </row>
    <row r="275" spans="1:40" ht="15.75" customHeight="1" x14ac:dyDescent="0.25">
      <c r="A275" s="1"/>
      <c r="B275" s="1"/>
      <c r="C275" s="1"/>
      <c r="D275" s="1"/>
      <c r="E275" s="12"/>
      <c r="F275" s="1"/>
      <c r="G275" s="1"/>
      <c r="H275" s="1"/>
      <c r="I275" s="12"/>
      <c r="J275" s="1"/>
      <c r="K275" s="1"/>
      <c r="L275" s="12"/>
      <c r="M275" s="1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2"/>
      <c r="AG275" s="1"/>
      <c r="AH275" s="12"/>
      <c r="AI275" s="1"/>
      <c r="AJ275" s="1"/>
      <c r="AK275" s="1"/>
      <c r="AL275" s="1"/>
      <c r="AM275" s="1"/>
      <c r="AN275" s="1"/>
    </row>
    <row r="276" spans="1:40" ht="15.75" customHeight="1" x14ac:dyDescent="0.25">
      <c r="A276" s="1"/>
      <c r="B276" s="1"/>
      <c r="C276" s="1"/>
      <c r="D276" s="1"/>
      <c r="E276" s="12"/>
      <c r="F276" s="1"/>
      <c r="G276" s="1"/>
      <c r="H276" s="1"/>
      <c r="I276" s="12"/>
      <c r="J276" s="1"/>
      <c r="K276" s="1"/>
      <c r="L276" s="12"/>
      <c r="M276" s="1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2"/>
      <c r="AG276" s="1"/>
      <c r="AH276" s="12"/>
      <c r="AI276" s="1"/>
      <c r="AJ276" s="1"/>
      <c r="AK276" s="1"/>
      <c r="AL276" s="1"/>
      <c r="AM276" s="1"/>
      <c r="AN276" s="1"/>
    </row>
    <row r="277" spans="1:40" ht="15.75" customHeight="1" x14ac:dyDescent="0.25">
      <c r="A277" s="1"/>
      <c r="B277" s="1"/>
      <c r="C277" s="1"/>
      <c r="D277" s="1"/>
      <c r="E277" s="12"/>
      <c r="F277" s="1"/>
      <c r="G277" s="1"/>
      <c r="H277" s="1"/>
      <c r="I277" s="12"/>
      <c r="J277" s="1"/>
      <c r="K277" s="1"/>
      <c r="L277" s="12"/>
      <c r="M277" s="1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2"/>
      <c r="AG277" s="1"/>
      <c r="AH277" s="12"/>
      <c r="AI277" s="1"/>
      <c r="AJ277" s="1"/>
      <c r="AK277" s="1"/>
      <c r="AL277" s="1"/>
      <c r="AM277" s="1"/>
      <c r="AN277" s="1"/>
    </row>
    <row r="278" spans="1:40" ht="15.75" customHeight="1" x14ac:dyDescent="0.25">
      <c r="A278" s="1"/>
      <c r="B278" s="1"/>
      <c r="C278" s="1"/>
      <c r="D278" s="1"/>
      <c r="E278" s="12"/>
      <c r="F278" s="1"/>
      <c r="G278" s="1"/>
      <c r="H278" s="1"/>
      <c r="I278" s="12"/>
      <c r="J278" s="1"/>
      <c r="K278" s="1"/>
      <c r="L278" s="12"/>
      <c r="M278" s="1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2"/>
      <c r="AG278" s="1"/>
      <c r="AH278" s="12"/>
      <c r="AI278" s="1"/>
      <c r="AJ278" s="1"/>
      <c r="AK278" s="1"/>
      <c r="AL278" s="1"/>
      <c r="AM278" s="1"/>
      <c r="AN278" s="1"/>
    </row>
    <row r="279" spans="1:40" ht="15.75" customHeight="1" x14ac:dyDescent="0.25">
      <c r="A279" s="1"/>
      <c r="B279" s="1"/>
      <c r="C279" s="1"/>
      <c r="D279" s="1"/>
      <c r="E279" s="12"/>
      <c r="F279" s="1"/>
      <c r="G279" s="1"/>
      <c r="H279" s="1"/>
      <c r="I279" s="12"/>
      <c r="J279" s="1"/>
      <c r="K279" s="1"/>
      <c r="L279" s="12"/>
      <c r="M279" s="1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2"/>
      <c r="AG279" s="1"/>
      <c r="AH279" s="12"/>
      <c r="AI279" s="1"/>
      <c r="AJ279" s="1"/>
      <c r="AK279" s="1"/>
      <c r="AL279" s="1"/>
      <c r="AM279" s="1"/>
      <c r="AN279" s="1"/>
    </row>
    <row r="280" spans="1:40" ht="15.75" customHeight="1" x14ac:dyDescent="0.25">
      <c r="A280" s="1"/>
      <c r="B280" s="1"/>
      <c r="C280" s="1"/>
      <c r="D280" s="1"/>
      <c r="E280" s="12"/>
      <c r="F280" s="1"/>
      <c r="G280" s="1"/>
      <c r="H280" s="1"/>
      <c r="I280" s="12"/>
      <c r="J280" s="1"/>
      <c r="K280" s="1"/>
      <c r="L280" s="12"/>
      <c r="M280" s="1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2"/>
      <c r="AG280" s="1"/>
      <c r="AH280" s="12"/>
      <c r="AI280" s="1"/>
      <c r="AJ280" s="1"/>
      <c r="AK280" s="1"/>
      <c r="AL280" s="1"/>
      <c r="AM280" s="1"/>
      <c r="AN280" s="1"/>
    </row>
    <row r="281" spans="1:40" ht="15.75" customHeight="1" x14ac:dyDescent="0.25">
      <c r="A281" s="1"/>
      <c r="B281" s="1"/>
      <c r="C281" s="1"/>
      <c r="D281" s="1"/>
      <c r="E281" s="12"/>
      <c r="F281" s="1"/>
      <c r="G281" s="1"/>
      <c r="H281" s="1"/>
      <c r="I281" s="12"/>
      <c r="J281" s="1"/>
      <c r="K281" s="1"/>
      <c r="L281" s="12"/>
      <c r="M281" s="1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2"/>
      <c r="AG281" s="1"/>
      <c r="AH281" s="12"/>
      <c r="AI281" s="1"/>
      <c r="AJ281" s="1"/>
      <c r="AK281" s="1"/>
      <c r="AL281" s="1"/>
      <c r="AM281" s="1"/>
      <c r="AN281" s="1"/>
    </row>
    <row r="282" spans="1:40" ht="15.75" customHeight="1" x14ac:dyDescent="0.25">
      <c r="A282" s="1"/>
      <c r="B282" s="1"/>
      <c r="C282" s="1"/>
      <c r="D282" s="1"/>
      <c r="E282" s="12"/>
      <c r="F282" s="1"/>
      <c r="G282" s="1"/>
      <c r="H282" s="1"/>
      <c r="I282" s="12"/>
      <c r="J282" s="1"/>
      <c r="K282" s="1"/>
      <c r="L282" s="12"/>
      <c r="M282" s="1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2"/>
      <c r="AG282" s="1"/>
      <c r="AH282" s="12"/>
      <c r="AI282" s="1"/>
      <c r="AJ282" s="1"/>
      <c r="AK282" s="1"/>
      <c r="AL282" s="1"/>
      <c r="AM282" s="1"/>
      <c r="AN282" s="1"/>
    </row>
    <row r="283" spans="1:40" ht="15.75" customHeight="1" x14ac:dyDescent="0.25">
      <c r="A283" s="1"/>
      <c r="B283" s="1"/>
      <c r="C283" s="1"/>
      <c r="D283" s="1"/>
      <c r="E283" s="12"/>
      <c r="F283" s="1"/>
      <c r="G283" s="1"/>
      <c r="H283" s="1"/>
      <c r="I283" s="12"/>
      <c r="J283" s="1"/>
      <c r="K283" s="1"/>
      <c r="L283" s="12"/>
      <c r="M283" s="1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2"/>
      <c r="AG283" s="1"/>
      <c r="AH283" s="12"/>
      <c r="AI283" s="1"/>
      <c r="AJ283" s="1"/>
      <c r="AK283" s="1"/>
      <c r="AL283" s="1"/>
      <c r="AM283" s="1"/>
      <c r="AN283" s="1"/>
    </row>
    <row r="284" spans="1:40" ht="15.75" customHeight="1" x14ac:dyDescent="0.25">
      <c r="A284" s="1"/>
      <c r="B284" s="1"/>
      <c r="C284" s="1"/>
      <c r="D284" s="1"/>
      <c r="E284" s="12"/>
      <c r="F284" s="1"/>
      <c r="G284" s="1"/>
      <c r="H284" s="1"/>
      <c r="I284" s="12"/>
      <c r="J284" s="1"/>
      <c r="K284" s="1"/>
      <c r="L284" s="12"/>
      <c r="M284" s="1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2"/>
      <c r="AG284" s="1"/>
      <c r="AH284" s="12"/>
      <c r="AI284" s="1"/>
      <c r="AJ284" s="1"/>
      <c r="AK284" s="1"/>
      <c r="AL284" s="1"/>
      <c r="AM284" s="1"/>
      <c r="AN284" s="1"/>
    </row>
    <row r="285" spans="1:40" ht="15.75" customHeight="1" x14ac:dyDescent="0.25">
      <c r="A285" s="1"/>
      <c r="B285" s="1"/>
      <c r="C285" s="1"/>
      <c r="D285" s="1"/>
      <c r="E285" s="12"/>
      <c r="F285" s="1"/>
      <c r="G285" s="1"/>
      <c r="H285" s="1"/>
      <c r="I285" s="12"/>
      <c r="J285" s="1"/>
      <c r="K285" s="1"/>
      <c r="L285" s="12"/>
      <c r="M285" s="1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2"/>
      <c r="AG285" s="1"/>
      <c r="AH285" s="12"/>
      <c r="AI285" s="1"/>
      <c r="AJ285" s="1"/>
      <c r="AK285" s="1"/>
      <c r="AL285" s="1"/>
      <c r="AM285" s="1"/>
      <c r="AN285" s="1"/>
    </row>
  </sheetData>
  <mergeCells count="16">
    <mergeCell ref="F5:I5"/>
    <mergeCell ref="F6:I6"/>
    <mergeCell ref="J5:M5"/>
    <mergeCell ref="J6:M6"/>
    <mergeCell ref="N5:P5"/>
    <mergeCell ref="N6:P6"/>
    <mergeCell ref="AI22:AL22"/>
    <mergeCell ref="Z22:AC22"/>
    <mergeCell ref="A1:Q1"/>
    <mergeCell ref="X1:Z1"/>
    <mergeCell ref="A5:A7"/>
    <mergeCell ref="A2:Q2"/>
    <mergeCell ref="A3:Q3"/>
    <mergeCell ref="Q5:Q7"/>
    <mergeCell ref="B5:E5"/>
    <mergeCell ref="B6:E6"/>
  </mergeCells>
  <pageMargins left="0.7" right="0.7" top="0.75" bottom="0.75" header="0" footer="0"/>
  <pageSetup paperSize="9" scale="60" orientation="landscape" horizontalDpi="4294967295" verticalDpi="4294967295" r:id="rId1"/>
  <rowBreaks count="1" manualBreakCount="1">
    <brk id="40" max="2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</vt:lpstr>
      <vt:lpstr>'18.2'!Print_Area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2021-06-20T04:26:24Z</cp:lastPrinted>
  <dcterms:created xsi:type="dcterms:W3CDTF">2019-02-21T04:10:17Z</dcterms:created>
  <dcterms:modified xsi:type="dcterms:W3CDTF">2021-06-20T04:31:00Z</dcterms:modified>
</cp:coreProperties>
</file>