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8. Pension and Social Protection\"/>
    </mc:Choice>
  </mc:AlternateContent>
  <bookViews>
    <workbookView xWindow="0" yWindow="0" windowWidth="28800" windowHeight="12435" tabRatio="841"/>
  </bookViews>
  <sheets>
    <sheet name="18.24" sheetId="23" r:id="rId1"/>
  </sheets>
  <externalReferences>
    <externalReference r:id="rId2"/>
  </externalReferences>
  <definedNames>
    <definedName name="_xlnm.Print_Area" localSheetId="0">'18.24'!$A$1:$I$51</definedName>
  </definedNames>
  <calcPr calcId="162913"/>
</workbook>
</file>

<file path=xl/calcChain.xml><?xml version="1.0" encoding="utf-8"?>
<calcChain xmlns="http://schemas.openxmlformats.org/spreadsheetml/2006/main">
  <c r="W38" i="23" l="1"/>
  <c r="W39" i="23"/>
  <c r="W40" i="23"/>
  <c r="W41" i="23"/>
  <c r="W42" i="23"/>
  <c r="W43" i="23"/>
  <c r="W44" i="23"/>
  <c r="W45" i="23"/>
  <c r="W46" i="23"/>
  <c r="W47" i="23"/>
  <c r="W48" i="23"/>
  <c r="W49" i="23"/>
  <c r="W50" i="23"/>
  <c r="W51" i="23"/>
  <c r="W52" i="23"/>
  <c r="W53" i="23"/>
  <c r="W54" i="23"/>
  <c r="W55" i="23"/>
  <c r="W56" i="23"/>
  <c r="W57" i="23"/>
  <c r="V38" i="23"/>
  <c r="V39" i="23"/>
  <c r="V40" i="23"/>
  <c r="V41" i="23"/>
  <c r="V42" i="23"/>
  <c r="V43" i="23"/>
  <c r="V44" i="23"/>
  <c r="V45" i="23"/>
  <c r="V46" i="23"/>
  <c r="V47" i="23"/>
  <c r="V48" i="23"/>
  <c r="V49" i="23"/>
  <c r="V50" i="23"/>
  <c r="V51" i="23"/>
  <c r="V52" i="23"/>
  <c r="V53" i="23"/>
  <c r="V54" i="23"/>
  <c r="V55" i="23"/>
  <c r="V56" i="23"/>
  <c r="V57" i="23"/>
  <c r="H8" i="23"/>
  <c r="H6" i="23" s="1"/>
  <c r="G8" i="23"/>
  <c r="G6" i="23" s="1"/>
  <c r="U38" i="23" l="1"/>
  <c r="U39" i="23"/>
  <c r="U40" i="23"/>
  <c r="U41" i="23"/>
  <c r="U42" i="23"/>
  <c r="U43" i="23"/>
  <c r="U44" i="23"/>
  <c r="U45" i="23"/>
  <c r="U46" i="23"/>
  <c r="U47" i="23"/>
  <c r="U48" i="23"/>
  <c r="U49" i="23"/>
  <c r="U50" i="23"/>
  <c r="U51" i="23"/>
  <c r="U52" i="23"/>
  <c r="U53" i="23"/>
  <c r="U54" i="23"/>
  <c r="U55" i="23"/>
  <c r="U56" i="23"/>
  <c r="U57" i="23"/>
  <c r="F8" i="23" l="1"/>
  <c r="F6" i="23" s="1"/>
  <c r="E8" i="23"/>
  <c r="E6" i="23" s="1"/>
  <c r="D8" i="23"/>
  <c r="D6" i="23" s="1"/>
  <c r="C8" i="23"/>
  <c r="C6" i="23" s="1"/>
  <c r="B8" i="23"/>
  <c r="B6" i="23" s="1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<sst xmlns="http://schemas.openxmlformats.org/spreadsheetml/2006/main" count="77" uniqueCount="77">
  <si>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</si>
  <si>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</si>
  <si>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</si>
  <si>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</si>
  <si>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</si>
  <si>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</si>
  <si>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</si>
  <si>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</si>
  <si>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</si>
  <si>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</si>
  <si>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</si>
  <si>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</si>
  <si>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</si>
  <si>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</si>
  <si>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</si>
  <si>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</si>
  <si>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</si>
  <si>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</si>
  <si>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</si>
  <si>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</si>
  <si>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</si>
  <si>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</si>
  <si>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</si>
  <si>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</si>
  <si>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</si>
  <si>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</si>
  <si>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</si>
  <si>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</si>
  <si>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</si>
  <si>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</si>
  <si>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</si>
  <si>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</si>
  <si>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</si>
  <si>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</si>
  <si>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</si>
  <si>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</si>
  <si>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</si>
  <si>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</si>
  <si>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</si>
  <si>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</si>
  <si>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</si>
  <si>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</si>
  <si>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</si>
  <si>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</si>
  <si>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</si>
  <si>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</si>
  <si>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</si>
  <si>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</si>
  <si>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</si>
  <si>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</si>
  <si>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</si>
  <si>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</si>
  <si>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</si>
  <si>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</si>
  <si>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</si>
  <si>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</si>
  <si>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</si>
  <si>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</si>
  <si>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</si>
  <si>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</si>
  <si>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</si>
  <si>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</si>
  <si>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</si>
  <si>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</si>
  <si>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</si>
  <si>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</si>
  <si>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</si>
  <si>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</si>
  <si>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</si>
  <si>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</si>
  <si>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 xml:space="preserve">މަޢުލޫމާތު ދެއްވީ:  އާސަންދަ ޕްރައިވެޓް ލިމިޓެޑް </t>
  </si>
  <si>
    <t>Male'</t>
  </si>
  <si>
    <t>Overseas expenditure</t>
  </si>
  <si>
    <t xml:space="preserve">ރާއްޖެއިން ބޭރު ހޮސްޕިޓަލް </t>
  </si>
  <si>
    <t>Table 18.24 :  EXPENDITURE UNDER HEALTH INSURANCE SCHEMES BY ATOLLS,  2014  - 2020</t>
  </si>
  <si>
    <t xml:space="preserve">ތާވަލް 18.24: އާސަންދައިގެ ދަށުން އަތޮޅުތަކުން ހިނގި ޚަރަދު، 2014 - 2020  </t>
  </si>
  <si>
    <t>In mvr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</si>
</sst>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6" formatCode="General_)"/>
    <numFmt numFmtId="168" formatCode="_-* #,##0_-;\-* #,##0_-;_-* &quot;-&quot;??_-;_-@_-"/>
  </numFmts>
  <fonts count="3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0.5"/>
      <color rgb="FFFF0000"/>
      <name val="Calibri"/>
      <family val="2"/>
      <charset val="1"/>
      <scheme val="minor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"/>
      <color theme="1"/>
      <name val="Calibri Light"/>
      <family val="1"/>
      <scheme val="maj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7">
    <xf numFmtId="0" fontId="0" fillId="0" borderId="0"/>
    <xf numFmtId="0" fontId="3" fillId="0" borderId="1"/>
    <xf numFmtId="164" fontId="11" fillId="0" borderId="1"/>
    <xf numFmtId="0" fontId="1" fillId="0" borderId="1"/>
    <xf numFmtId="0" fontId="11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28" fillId="0" borderId="1"/>
    <xf numFmtId="0" fontId="29" fillId="0" borderId="1" applyFill="0" applyProtection="0"/>
    <xf numFmtId="0" fontId="30" fillId="0" borderId="1"/>
    <xf numFmtId="0" fontId="30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45">
    <xf numFmtId="0" fontId="0" fillId="0" borderId="0" xfId="0" applyFont="1" applyAlignment="1"/>
    <xf numFmtId="3" fontId="5" fillId="2" borderId="1" xfId="1" applyNumberFormat="1" applyFont="1" applyFill="1"/>
    <xf numFmtId="166" fontId="12" fillId="2" borderId="1" xfId="0" applyNumberFormat="1" applyFont="1" applyFill="1" applyBorder="1"/>
    <xf numFmtId="166" fontId="0" fillId="2" borderId="0" xfId="0" applyNumberFormat="1" applyFill="1"/>
    <xf numFmtId="3" fontId="14" fillId="2" borderId="1" xfId="1" applyNumberFormat="1" applyFont="1" applyFill="1"/>
    <xf numFmtId="3" fontId="6" fillId="2" borderId="1" xfId="1" applyNumberFormat="1" applyFont="1" applyFill="1"/>
    <xf numFmtId="3" fontId="14" fillId="2" borderId="1" xfId="1" applyNumberFormat="1" applyFont="1" applyFill="1" applyBorder="1"/>
    <xf numFmtId="3" fontId="14" fillId="2" borderId="2" xfId="1" applyNumberFormat="1" applyFont="1" applyFill="1" applyBorder="1"/>
    <xf numFmtId="166" fontId="16" fillId="2" borderId="1" xfId="2" applyNumberFormat="1" applyFont="1" applyFill="1" applyBorder="1" applyAlignment="1" applyProtection="1">
      <alignment horizontal="left" vertical="center"/>
    </xf>
    <xf numFmtId="166" fontId="17" fillId="2" borderId="1" xfId="4" applyNumberFormat="1" applyFont="1" applyFill="1" applyAlignment="1">
      <alignment horizontal="right" vertical="center"/>
    </xf>
    <xf numFmtId="166" fontId="18" fillId="2" borderId="0" xfId="0" applyNumberFormat="1" applyFont="1" applyFill="1"/>
    <xf numFmtId="3" fontId="15" fillId="2" borderId="1" xfId="1" applyNumberFormat="1" applyFont="1" applyFill="1" applyBorder="1" applyAlignment="1">
      <alignment vertical="center"/>
    </xf>
    <xf numFmtId="166" fontId="10" fillId="2" borderId="1" xfId="4" applyNumberFormat="1" applyFont="1" applyFill="1" applyAlignment="1">
      <alignment horizontal="right" vertical="center"/>
    </xf>
    <xf numFmtId="0" fontId="19" fillId="2" borderId="0" xfId="0" applyFont="1" applyFill="1"/>
    <xf numFmtId="166" fontId="12" fillId="2" borderId="0" xfId="0" applyNumberFormat="1" applyFont="1" applyFill="1"/>
    <xf numFmtId="166" fontId="20" fillId="2" borderId="1" xfId="2" applyNumberFormat="1" applyFont="1" applyFill="1" applyBorder="1" applyAlignment="1" applyProtection="1">
      <alignment horizontal="left" vertical="center"/>
    </xf>
    <xf numFmtId="164" fontId="20" fillId="2" borderId="1" xfId="6" applyNumberFormat="1" applyFont="1" applyFill="1" applyBorder="1" applyAlignment="1" applyProtection="1">
      <alignment horizontal="right" vertical="center"/>
    </xf>
    <xf numFmtId="3" fontId="21" fillId="2" borderId="1" xfId="1" applyNumberFormat="1" applyFont="1" applyFill="1" applyBorder="1" applyAlignment="1" applyProtection="1">
      <alignment horizontal="right" vertical="center" indent="2"/>
    </xf>
    <xf numFmtId="166" fontId="22" fillId="2" borderId="0" xfId="0" applyNumberFormat="1" applyFont="1" applyFill="1"/>
    <xf numFmtId="0" fontId="22" fillId="2" borderId="1" xfId="0" applyFont="1" applyFill="1" applyBorder="1"/>
    <xf numFmtId="43" fontId="22" fillId="2" borderId="1" xfId="6" applyFont="1" applyFill="1" applyBorder="1"/>
    <xf numFmtId="166" fontId="22" fillId="2" borderId="1" xfId="0" applyNumberFormat="1" applyFont="1" applyFill="1" applyBorder="1"/>
    <xf numFmtId="4" fontId="22" fillId="2" borderId="1" xfId="6" applyNumberFormat="1" applyFont="1" applyFill="1" applyBorder="1" applyAlignment="1">
      <alignment horizontal="center" vertical="center"/>
    </xf>
    <xf numFmtId="3" fontId="23" fillId="2" borderId="1" xfId="1" applyNumberFormat="1" applyFont="1" applyFill="1" applyBorder="1"/>
    <xf numFmtId="168" fontId="24" fillId="2" borderId="1" xfId="6" applyNumberFormat="1" applyFont="1" applyFill="1"/>
    <xf numFmtId="3" fontId="25" fillId="2" borderId="1" xfId="1" applyNumberFormat="1" applyFont="1" applyFill="1" applyBorder="1" applyAlignment="1" applyProtection="1">
      <alignment horizontal="right" vertical="center" indent="2"/>
    </xf>
    <xf numFmtId="4" fontId="26" fillId="2" borderId="1" xfId="6" applyNumberFormat="1" applyFont="1" applyFill="1" applyBorder="1" applyAlignment="1">
      <alignment horizontal="center" vertical="center"/>
    </xf>
    <xf numFmtId="43" fontId="26" fillId="2" borderId="1" xfId="6" applyFont="1" applyFill="1" applyBorder="1"/>
    <xf numFmtId="166" fontId="26" fillId="2" borderId="1" xfId="0" applyNumberFormat="1" applyFont="1" applyFill="1" applyBorder="1"/>
    <xf numFmtId="0" fontId="26" fillId="2" borderId="1" xfId="0" applyFont="1" applyFill="1" applyBorder="1"/>
    <xf numFmtId="3" fontId="23" fillId="2" borderId="2" xfId="1" applyNumberFormat="1" applyFont="1" applyFill="1" applyBorder="1"/>
    <xf numFmtId="164" fontId="24" fillId="2" borderId="2" xfId="6" applyNumberFormat="1" applyFont="1" applyFill="1" applyBorder="1" applyAlignment="1">
      <alignment horizontal="right" vertical="center"/>
    </xf>
    <xf numFmtId="3" fontId="27" fillId="2" borderId="2" xfId="1" applyNumberFormat="1" applyFont="1" applyFill="1" applyBorder="1" applyAlignment="1" applyProtection="1">
      <alignment horizontal="right" vertical="center" indent="2"/>
    </xf>
    <xf numFmtId="166" fontId="0" fillId="2" borderId="0" xfId="0" applyNumberFormat="1" applyFill="1" applyAlignment="1">
      <alignment horizontal="right"/>
    </xf>
    <xf numFmtId="43" fontId="0" fillId="2" borderId="1" xfId="6" applyFont="1" applyFill="1"/>
    <xf numFmtId="166" fontId="12" fillId="2" borderId="1" xfId="2" applyNumberFormat="1" applyFont="1" applyFill="1" applyBorder="1"/>
    <xf numFmtId="3" fontId="4" fillId="2" borderId="1" xfId="1" applyNumberFormat="1" applyFont="1" applyFill="1" applyAlignment="1">
      <alignment horizontal="center" vertical="center" readingOrder="2"/>
    </xf>
    <xf numFmtId="3" fontId="7" fillId="2" borderId="1" xfId="1" applyNumberFormat="1" applyFont="1" applyFill="1" applyBorder="1" applyAlignment="1">
      <alignment horizontal="left" vertical="center"/>
    </xf>
    <xf numFmtId="3" fontId="7" fillId="2" borderId="2" xfId="1" applyNumberFormat="1" applyFont="1" applyFill="1" applyBorder="1" applyAlignment="1">
      <alignment horizontal="left" vertical="center"/>
    </xf>
    <xf numFmtId="3" fontId="6" fillId="2" borderId="2" xfId="1" applyNumberFormat="1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166" fontId="13" fillId="2" borderId="1" xfId="2" applyNumberFormat="1" applyFont="1" applyFill="1" applyBorder="1" applyAlignment="1">
      <alignment horizontal="right" vertical="center" wrapText="1"/>
    </xf>
    <xf numFmtId="166" fontId="13" fillId="2" borderId="2" xfId="2" applyNumberFormat="1" applyFont="1" applyFill="1" applyBorder="1" applyAlignment="1">
      <alignment horizontal="right" vertical="center" wrapText="1"/>
    </xf>
    <xf numFmtId="3" fontId="9" fillId="2" borderId="1" xfId="1" applyNumberFormat="1" applyFont="1" applyFill="1" applyBorder="1" applyAlignment="1">
      <alignment horizontal="right" vertical="center" wrapText="1" indent="2"/>
    </xf>
    <xf numFmtId="3" fontId="9" fillId="2" borderId="2" xfId="1" applyNumberFormat="1" applyFont="1" applyFill="1" applyBorder="1" applyAlignment="1">
      <alignment horizontal="right" vertical="center" wrapText="1" indent="2"/>
    </xf>
  </cellXfs>
  <cellStyles count="17">
    <cellStyle name="Comma 23" xfId="7"/>
    <cellStyle name="Comma 3" xfId="6"/>
    <cellStyle name="Normal" xfId="0" builtinId="0"/>
    <cellStyle name="Normal 10" xfId="12"/>
    <cellStyle name="Normal 12" xfId="5"/>
    <cellStyle name="Normal 2" xfId="2"/>
    <cellStyle name="Normal 25" xfId="16"/>
    <cellStyle name="Normal 3" xfId="9"/>
    <cellStyle name="Normal 3 2" xfId="3"/>
    <cellStyle name="Normal 30" xfId="11"/>
    <cellStyle name="Normal 4" xfId="10"/>
    <cellStyle name="Normal 54" xfId="13"/>
    <cellStyle name="Normal 58" xfId="15"/>
    <cellStyle name="Normal 59" xfId="14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B2EDEC"/>
      <color rgb="FF249390"/>
      <color rgb="FF33CCCC"/>
      <color rgb="FFFFBC79"/>
      <color rgb="FFBFF0EF"/>
      <color rgb="FFEAFAFA"/>
      <color rgb="FFFF9900"/>
      <color rgb="FF196563"/>
      <color rgb="FFFFDAA3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2018 - 2020</a:t>
            </a:r>
            <a:endParaRPr lang="en-US" sz="105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'18.24'!$U$37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'18.24'!$T$38:$T$57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'18.24'!$U$38:$U$57</c:f>
              <c:numCache>
                <c:formatCode>General_)</c:formatCode>
                <c:ptCount val="20"/>
                <c:pt idx="0">
                  <c:v>37849375.519999996</c:v>
                </c:pt>
                <c:pt idx="1">
                  <c:v>73741273.559999987</c:v>
                </c:pt>
                <c:pt idx="2">
                  <c:v>24133600.373999998</c:v>
                </c:pt>
                <c:pt idx="3">
                  <c:v>18665154.07</c:v>
                </c:pt>
                <c:pt idx="4">
                  <c:v>49456949.840000004</c:v>
                </c:pt>
                <c:pt idx="5">
                  <c:v>33634879.120000005</c:v>
                </c:pt>
                <c:pt idx="6">
                  <c:v>35692529.049999997</c:v>
                </c:pt>
                <c:pt idx="7">
                  <c:v>15019880.84</c:v>
                </c:pt>
                <c:pt idx="8">
                  <c:v>10990868.449999999</c:v>
                </c:pt>
                <c:pt idx="9">
                  <c:v>25909086.93</c:v>
                </c:pt>
                <c:pt idx="10">
                  <c:v>2433263.37</c:v>
                </c:pt>
                <c:pt idx="11">
                  <c:v>11312990.07</c:v>
                </c:pt>
                <c:pt idx="12">
                  <c:v>13465688.68</c:v>
                </c:pt>
                <c:pt idx="13">
                  <c:v>15100490.25</c:v>
                </c:pt>
                <c:pt idx="14">
                  <c:v>21574058.689999998</c:v>
                </c:pt>
                <c:pt idx="15">
                  <c:v>34810489.399999999</c:v>
                </c:pt>
                <c:pt idx="16">
                  <c:v>27993704.789999999</c:v>
                </c:pt>
                <c:pt idx="17">
                  <c:v>46107004.269999996</c:v>
                </c:pt>
                <c:pt idx="18">
                  <c:v>23428238.91</c:v>
                </c:pt>
                <c:pt idx="19">
                  <c:v>121178364.9189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D-4D34-9068-A330A3C88CEB}"/>
            </c:ext>
          </c:extLst>
        </c:ser>
        <c:ser>
          <c:idx val="2"/>
          <c:order val="1"/>
          <c:tx>
            <c:strRef>
              <c:f>'18.24'!$V$37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'18.24'!$T$38:$T$57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'18.24'!$V$38:$V$57</c:f>
              <c:numCache>
                <c:formatCode>General_)</c:formatCode>
                <c:ptCount val="20"/>
                <c:pt idx="0">
                  <c:v>40448262.304399997</c:v>
                </c:pt>
                <c:pt idx="1">
                  <c:v>78971036.104199991</c:v>
                </c:pt>
                <c:pt idx="2">
                  <c:v>25952832.935399998</c:v>
                </c:pt>
                <c:pt idx="3">
                  <c:v>21571553.8116</c:v>
                </c:pt>
                <c:pt idx="4">
                  <c:v>53008180.737800002</c:v>
                </c:pt>
                <c:pt idx="5">
                  <c:v>27044367.550599996</c:v>
                </c:pt>
                <c:pt idx="6">
                  <c:v>32568445.948899999</c:v>
                </c:pt>
                <c:pt idx="7">
                  <c:v>17197161.118400004</c:v>
                </c:pt>
                <c:pt idx="8">
                  <c:v>11972620.461000001</c:v>
                </c:pt>
                <c:pt idx="9">
                  <c:v>27622860.336999997</c:v>
                </c:pt>
                <c:pt idx="10">
                  <c:v>2757929.4720000001</c:v>
                </c:pt>
                <c:pt idx="11">
                  <c:v>10031071.428399999</c:v>
                </c:pt>
                <c:pt idx="12">
                  <c:v>13925732.6666</c:v>
                </c:pt>
                <c:pt idx="13">
                  <c:v>17043507.483999997</c:v>
                </c:pt>
                <c:pt idx="14">
                  <c:v>23421048.300000004</c:v>
                </c:pt>
                <c:pt idx="15">
                  <c:v>42832104.030000001</c:v>
                </c:pt>
                <c:pt idx="16">
                  <c:v>31369978.870000001</c:v>
                </c:pt>
                <c:pt idx="17">
                  <c:v>52074088.550000012</c:v>
                </c:pt>
                <c:pt idx="18">
                  <c:v>26813330.047800001</c:v>
                </c:pt>
                <c:pt idx="19">
                  <c:v>117270900.5696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D-4D34-9068-A330A3C88CEB}"/>
            </c:ext>
          </c:extLst>
        </c:ser>
        <c:ser>
          <c:idx val="3"/>
          <c:order val="2"/>
          <c:tx>
            <c:strRef>
              <c:f>'18.24'!$W$37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B2EDEC"/>
            </a:solidFill>
          </c:spPr>
          <c:invertIfNegative val="0"/>
          <c:cat>
            <c:strRef>
              <c:f>'18.24'!$T$38:$T$57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'18.24'!$W$38:$W$57</c:f>
              <c:numCache>
                <c:formatCode>General_)</c:formatCode>
                <c:ptCount val="20"/>
                <c:pt idx="0">
                  <c:v>42511028.648000002</c:v>
                </c:pt>
                <c:pt idx="1">
                  <c:v>87106108.945999995</c:v>
                </c:pt>
                <c:pt idx="2">
                  <c:v>27517456.108000003</c:v>
                </c:pt>
                <c:pt idx="3">
                  <c:v>23643840.842</c:v>
                </c:pt>
                <c:pt idx="4">
                  <c:v>59567614.17400001</c:v>
                </c:pt>
                <c:pt idx="5">
                  <c:v>25655929.811999999</c:v>
                </c:pt>
                <c:pt idx="6">
                  <c:v>27942400.420000002</c:v>
                </c:pt>
                <c:pt idx="7">
                  <c:v>20342689.015000001</c:v>
                </c:pt>
                <c:pt idx="8">
                  <c:v>12008159.68</c:v>
                </c:pt>
                <c:pt idx="9">
                  <c:v>29868861.675999999</c:v>
                </c:pt>
                <c:pt idx="10">
                  <c:v>3448993.7300000004</c:v>
                </c:pt>
                <c:pt idx="11">
                  <c:v>10855208.769999998</c:v>
                </c:pt>
                <c:pt idx="12">
                  <c:v>14387088.829999998</c:v>
                </c:pt>
                <c:pt idx="13">
                  <c:v>16428599.425000001</c:v>
                </c:pt>
                <c:pt idx="14">
                  <c:v>23808645.879999999</c:v>
                </c:pt>
                <c:pt idx="15">
                  <c:v>50794534.460000008</c:v>
                </c:pt>
                <c:pt idx="16">
                  <c:v>29440804.519999996</c:v>
                </c:pt>
                <c:pt idx="17">
                  <c:v>52286749.170000002</c:v>
                </c:pt>
                <c:pt idx="18">
                  <c:v>30205366.392999999</c:v>
                </c:pt>
                <c:pt idx="19">
                  <c:v>137699477.97600001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D-4D34-9068-A330A3C8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77576"/>
        <c:axId val="402978752"/>
      </c:barChart>
      <c:catAx>
        <c:axId val="4029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02978752"/>
        <c:crosses val="autoZero"/>
        <c:auto val="1"/>
        <c:lblAlgn val="ctr"/>
        <c:lblOffset val="100"/>
        <c:tickLblSkip val="1"/>
        <c:noMultiLvlLbl val="0"/>
      </c:catAx>
      <c:valAx>
        <c:axId val="402978752"/>
        <c:scaling>
          <c:orientation val="minMax"/>
          <c:max val="140000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0297757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3394103484616104"/>
          <c:y val="0.21996076390504921"/>
          <c:w val="0.18598910718314723"/>
          <c:h val="8.624466004081571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1095375</xdr:colOff>
      <xdr:row>31</xdr:row>
      <xdr:rowOff>71120</xdr:rowOff>
    </xdr:from>
    <xdr:to>
      <xdr:col>8</xdr:col>
      <xdr:colOff>590550</xdr:colOff>
      <xdr:row>49</xdr:row>
      <xdr:rowOff>130175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1164428500.4760997</v>
          </cell>
        </row>
        <row r="8">
          <cell r="A8" t="str">
            <v>Atolls</v>
          </cell>
          <cell r="B8">
            <v>725519558.47500014</v>
          </cell>
        </row>
        <row r="9">
          <cell r="A9" t="str">
            <v>Overseas</v>
          </cell>
          <cell r="B9">
            <v>124721731.0976</v>
          </cell>
        </row>
        <row r="11">
          <cell r="Q11">
            <v>2016</v>
          </cell>
          <cell r="R11">
            <v>2017</v>
          </cell>
          <cell r="S11">
            <v>2018</v>
          </cell>
          <cell r="T11">
            <v>2019</v>
          </cell>
          <cell r="U11">
            <v>2020</v>
          </cell>
        </row>
        <row r="12">
          <cell r="N12" t="str">
            <v>Republic</v>
          </cell>
          <cell r="Q12">
            <v>1675199187.0308001</v>
          </cell>
          <cell r="R12">
            <v>1797290685.4405</v>
          </cell>
          <cell r="S12">
            <v>2164672441.0613999</v>
          </cell>
          <cell r="T12">
            <v>2433716952.1484995</v>
          </cell>
          <cell r="U12">
            <v>2014669790.0487001</v>
          </cell>
        </row>
        <row r="13">
          <cell r="N13" t="str">
            <v xml:space="preserve">Male' </v>
          </cell>
          <cell r="Q13">
            <v>899761456.92000008</v>
          </cell>
          <cell r="R13">
            <v>1040187042.5204999</v>
          </cell>
          <cell r="S13">
            <v>1255240833.9584999</v>
          </cell>
          <cell r="T13">
            <v>1488868041.2019994</v>
          </cell>
          <cell r="U13">
            <v>1164428500.4760997</v>
          </cell>
        </row>
        <row r="14">
          <cell r="N14" t="str">
            <v>Atolls</v>
          </cell>
          <cell r="Q14">
            <v>552084045.86000001</v>
          </cell>
          <cell r="R14">
            <v>582040521.91999996</v>
          </cell>
          <cell r="S14">
            <v>642497891.10289991</v>
          </cell>
          <cell r="T14">
            <v>665276794.77769983</v>
          </cell>
          <cell r="U14">
            <v>725519558.47500014</v>
          </cell>
        </row>
        <row r="15">
          <cell r="N15" t="str">
            <v>Overseas</v>
          </cell>
          <cell r="Q15">
            <v>223353684.25080001</v>
          </cell>
          <cell r="R15">
            <v>175063121</v>
          </cell>
          <cell r="S15">
            <v>266933716</v>
          </cell>
          <cell r="T15">
            <v>279572116.1688</v>
          </cell>
          <cell r="U15">
            <v>124721731.0976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57"/>
  <sheetViews>
    <sheetView tabSelected="1" zoomScaleNormal="100" workbookViewId="0">
      <selection activeCell="B3" sqref="B3:H3"/>
    </sheetView>
  </sheetViews>
  <sheetFormatPr defaultColWidth="9.140625" defaultRowHeight="15" x14ac:dyDescent="0.25"/>
  <cols>
    <col min="1" max="1" width="25" style="3" customWidth="1"/>
    <col min="2" max="8" width="14.85546875" style="33" customWidth="1"/>
    <col min="9" max="9" width="30.5703125" style="3" customWidth="1"/>
    <col min="10" max="18" width="28.7109375" style="34" customWidth="1"/>
    <col min="19" max="19" width="27.140625" style="34" customWidth="1"/>
    <col min="20" max="20" width="11.28515625" style="3" customWidth="1"/>
    <col min="21" max="23" width="14.42578125" style="3" customWidth="1"/>
    <col min="24" max="16384" width="9.140625" style="3"/>
  </cols>
  <sheetData>
    <row r="1" spans="1:19" s="1" customFormat="1" ht="21" x14ac:dyDescent="0.2">
      <c r="A1" s="36" t="s">
        <v>75</v>
      </c>
      <c r="B1" s="36"/>
      <c r="C1" s="36"/>
      <c r="D1" s="36"/>
      <c r="E1" s="36"/>
      <c r="F1" s="36"/>
      <c r="G1" s="36"/>
      <c r="H1" s="36"/>
      <c r="I1" s="36"/>
    </row>
    <row r="2" spans="1:19" s="1" customFormat="1" x14ac:dyDescent="0.2">
      <c r="A2" s="39" t="s">
        <v>74</v>
      </c>
      <c r="B2" s="39"/>
      <c r="C2" s="39"/>
      <c r="D2" s="39"/>
      <c r="E2" s="39"/>
      <c r="F2" s="39"/>
      <c r="G2" s="39"/>
      <c r="H2" s="39"/>
      <c r="I2" s="39"/>
    </row>
    <row r="3" spans="1:19" s="13" customFormat="1" ht="21" x14ac:dyDescent="0.55000000000000004">
      <c r="A3" s="37" t="s">
        <v>1</v>
      </c>
      <c r="B3" s="40" t="s">
        <v>76</v>
      </c>
      <c r="C3" s="40"/>
      <c r="D3" s="40"/>
      <c r="E3" s="40"/>
      <c r="F3" s="40"/>
      <c r="G3" s="40"/>
      <c r="H3" s="40"/>
      <c r="I3" s="43" t="s">
        <v>0</v>
      </c>
    </row>
    <row r="4" spans="1:19" s="14" customFormat="1" ht="12" customHeight="1" x14ac:dyDescent="0.15">
      <c r="A4" s="37"/>
      <c r="B4" s="41">
        <v>2014</v>
      </c>
      <c r="C4" s="41">
        <v>2015</v>
      </c>
      <c r="D4" s="41">
        <v>2016</v>
      </c>
      <c r="E4" s="41">
        <v>2017</v>
      </c>
      <c r="F4" s="41">
        <v>2018</v>
      </c>
      <c r="G4" s="41">
        <v>2019</v>
      </c>
      <c r="H4" s="41">
        <v>2020</v>
      </c>
      <c r="I4" s="43"/>
    </row>
    <row r="5" spans="1:19" s="2" customFormat="1" ht="12" customHeight="1" x14ac:dyDescent="0.15">
      <c r="A5" s="38"/>
      <c r="B5" s="42"/>
      <c r="C5" s="42"/>
      <c r="D5" s="42"/>
      <c r="E5" s="42"/>
      <c r="F5" s="42"/>
      <c r="G5" s="42"/>
      <c r="H5" s="42"/>
      <c r="I5" s="44"/>
    </row>
    <row r="6" spans="1:19" s="18" customFormat="1" ht="19.5" x14ac:dyDescent="0.25">
      <c r="A6" s="15" t="s">
        <v>2</v>
      </c>
      <c r="B6" s="16">
        <f t="shared" ref="B6:E6" si="0">B7+B8+B29</f>
        <v>1063054680.1289002</v>
      </c>
      <c r="C6" s="16">
        <f t="shared" si="0"/>
        <v>1400609841.9116001</v>
      </c>
      <c r="D6" s="16">
        <f t="shared" si="0"/>
        <v>1675199186.7772999</v>
      </c>
      <c r="E6" s="16">
        <f t="shared" si="0"/>
        <v>1797290685.4303999</v>
      </c>
      <c r="F6" s="16">
        <f>F7+F8+F29</f>
        <v>2164672440.9014001</v>
      </c>
      <c r="G6" s="16">
        <f>G7+G8+G29</f>
        <v>2433716952.1485</v>
      </c>
      <c r="H6" s="16">
        <f>H7+H8+H29</f>
        <v>2014669790.0486999</v>
      </c>
      <c r="I6" s="17" t="s">
        <v>3</v>
      </c>
      <c r="J6" s="10"/>
      <c r="K6" s="10"/>
      <c r="L6" s="10"/>
      <c r="M6" s="10"/>
      <c r="N6" s="10"/>
      <c r="O6" s="10"/>
      <c r="P6" s="10"/>
      <c r="Q6" s="10"/>
      <c r="R6" s="10"/>
    </row>
    <row r="7" spans="1:19" s="21" customFormat="1" ht="19.5" x14ac:dyDescent="0.25">
      <c r="A7" s="15" t="s">
        <v>71</v>
      </c>
      <c r="B7" s="16">
        <v>529844339.34140003</v>
      </c>
      <c r="C7" s="16">
        <v>694778647.79130006</v>
      </c>
      <c r="D7" s="16">
        <v>899761456.66649997</v>
      </c>
      <c r="E7" s="16">
        <v>1040187042.5204</v>
      </c>
      <c r="F7" s="16">
        <v>1255240833.7985001</v>
      </c>
      <c r="G7" s="16">
        <v>1480247823.2519999</v>
      </c>
      <c r="H7" s="16">
        <v>1164428500.4761</v>
      </c>
      <c r="I7" s="17" t="s">
        <v>4</v>
      </c>
      <c r="J7" s="19"/>
      <c r="K7" s="19"/>
      <c r="L7" s="19"/>
      <c r="M7" s="19"/>
      <c r="N7" s="19"/>
      <c r="O7" s="19"/>
      <c r="P7" s="19"/>
      <c r="Q7" s="19"/>
      <c r="R7" s="19"/>
      <c r="S7" s="20"/>
    </row>
    <row r="8" spans="1:19" s="21" customFormat="1" ht="19.5" x14ac:dyDescent="0.25">
      <c r="A8" s="15" t="s">
        <v>5</v>
      </c>
      <c r="B8" s="16">
        <f>SUM(B9:B28)</f>
        <v>364203693.46630007</v>
      </c>
      <c r="C8" s="16">
        <f t="shared" ref="C8:F8" si="1">SUM(C9:C28)</f>
        <v>483525096.47309995</v>
      </c>
      <c r="D8" s="16">
        <f t="shared" si="1"/>
        <v>552084045.86000001</v>
      </c>
      <c r="E8" s="16">
        <f t="shared" si="1"/>
        <v>582040521.90999997</v>
      </c>
      <c r="F8" s="16">
        <f t="shared" si="1"/>
        <v>642497891.10289991</v>
      </c>
      <c r="G8" s="16">
        <f t="shared" ref="G8:H8" si="2">SUM(G9:G28)</f>
        <v>673897012.7277</v>
      </c>
      <c r="H8" s="16">
        <f t="shared" si="2"/>
        <v>725519558.4749999</v>
      </c>
      <c r="I8" s="17" t="s">
        <v>6</v>
      </c>
      <c r="J8" s="19"/>
      <c r="K8" s="19"/>
      <c r="L8" s="19"/>
      <c r="M8" s="19"/>
      <c r="N8" s="19"/>
      <c r="O8" s="19"/>
      <c r="P8" s="19"/>
      <c r="Q8" s="19"/>
      <c r="R8" s="19"/>
      <c r="S8" s="22"/>
    </row>
    <row r="9" spans="1:19" s="28" customFormat="1" ht="17.25" x14ac:dyDescent="0.25">
      <c r="A9" s="23" t="s">
        <v>7</v>
      </c>
      <c r="B9" s="24">
        <v>21476572.449999999</v>
      </c>
      <c r="C9" s="24">
        <v>28247167.650000002</v>
      </c>
      <c r="D9" s="24">
        <v>30277717.990000002</v>
      </c>
      <c r="E9" s="24">
        <v>34032071.780000001</v>
      </c>
      <c r="F9" s="24">
        <v>37849375.519999996</v>
      </c>
      <c r="G9" s="24">
        <v>40448262.304399997</v>
      </c>
      <c r="H9" s="24">
        <v>42511028.648000002</v>
      </c>
      <c r="I9" s="25" t="s">
        <v>8</v>
      </c>
      <c r="J9" s="26"/>
      <c r="K9" s="26"/>
      <c r="L9" s="26"/>
      <c r="M9" s="26"/>
      <c r="N9" s="26"/>
      <c r="O9" s="26"/>
      <c r="P9" s="26"/>
      <c r="Q9" s="26"/>
      <c r="R9" s="26"/>
      <c r="S9" s="27"/>
    </row>
    <row r="10" spans="1:19" s="28" customFormat="1" ht="17.25" x14ac:dyDescent="0.25">
      <c r="A10" s="23" t="s">
        <v>9</v>
      </c>
      <c r="B10" s="24">
        <v>47757008.690000005</v>
      </c>
      <c r="C10" s="24">
        <v>55532820.670000002</v>
      </c>
      <c r="D10" s="24">
        <v>60034554.979999997</v>
      </c>
      <c r="E10" s="24">
        <v>69991758.379999995</v>
      </c>
      <c r="F10" s="24">
        <v>73741273.559999987</v>
      </c>
      <c r="G10" s="24">
        <v>78971036.104199991</v>
      </c>
      <c r="H10" s="24">
        <v>87106108.945999995</v>
      </c>
      <c r="I10" s="25" t="s">
        <v>10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 spans="1:19" s="28" customFormat="1" ht="17.25" x14ac:dyDescent="0.25">
      <c r="A11" s="23" t="s">
        <v>11</v>
      </c>
      <c r="B11" s="24">
        <v>18573633.770000003</v>
      </c>
      <c r="C11" s="24">
        <v>22929493.010000002</v>
      </c>
      <c r="D11" s="24">
        <v>21043099.035</v>
      </c>
      <c r="E11" s="24">
        <v>22385644.167000003</v>
      </c>
      <c r="F11" s="24">
        <v>24133600.373999998</v>
      </c>
      <c r="G11" s="24">
        <v>25952832.935399998</v>
      </c>
      <c r="H11" s="24">
        <v>27517456.108000003</v>
      </c>
      <c r="I11" s="25" t="s">
        <v>12</v>
      </c>
      <c r="J11" s="29"/>
      <c r="K11" s="29"/>
      <c r="L11" s="29"/>
      <c r="M11" s="29"/>
      <c r="N11" s="29"/>
      <c r="O11" s="29"/>
      <c r="P11" s="29"/>
      <c r="Q11" s="29"/>
      <c r="R11" s="29"/>
      <c r="S11" s="27"/>
    </row>
    <row r="12" spans="1:19" s="28" customFormat="1" ht="17.25" x14ac:dyDescent="0.25">
      <c r="A12" s="23" t="s">
        <v>13</v>
      </c>
      <c r="B12" s="24">
        <v>11788026.339999998</v>
      </c>
      <c r="C12" s="24">
        <v>16282824.6</v>
      </c>
      <c r="D12" s="24">
        <v>16255000.77</v>
      </c>
      <c r="E12" s="24">
        <v>17119918.760000002</v>
      </c>
      <c r="F12" s="24">
        <v>18665154.07</v>
      </c>
      <c r="G12" s="24">
        <v>21571553.8116</v>
      </c>
      <c r="H12" s="24">
        <v>23643840.842</v>
      </c>
      <c r="I12" s="25" t="s">
        <v>14</v>
      </c>
      <c r="J12" s="29"/>
      <c r="K12" s="29"/>
      <c r="L12" s="29"/>
      <c r="M12" s="29"/>
      <c r="N12" s="29"/>
      <c r="O12" s="29"/>
      <c r="P12" s="29"/>
      <c r="Q12" s="29"/>
      <c r="R12" s="29"/>
      <c r="S12" s="27"/>
    </row>
    <row r="13" spans="1:19" s="28" customFormat="1" ht="17.25" x14ac:dyDescent="0.25">
      <c r="A13" s="23" t="s">
        <v>15</v>
      </c>
      <c r="B13" s="24">
        <v>29304498.352999996</v>
      </c>
      <c r="C13" s="24">
        <v>40394300.450999998</v>
      </c>
      <c r="D13" s="24">
        <v>43959957.414999999</v>
      </c>
      <c r="E13" s="24">
        <v>47021244.049999997</v>
      </c>
      <c r="F13" s="24">
        <v>49456949.840000004</v>
      </c>
      <c r="G13" s="24">
        <v>53008180.737800002</v>
      </c>
      <c r="H13" s="24">
        <v>59567614.17400001</v>
      </c>
      <c r="I13" s="25" t="s">
        <v>16</v>
      </c>
      <c r="J13" s="29"/>
      <c r="K13" s="29"/>
      <c r="L13" s="29"/>
      <c r="M13" s="29"/>
      <c r="N13" s="29"/>
      <c r="O13" s="29"/>
      <c r="P13" s="29"/>
      <c r="Q13" s="29"/>
      <c r="R13" s="29"/>
      <c r="S13" s="27"/>
    </row>
    <row r="14" spans="1:19" s="28" customFormat="1" ht="17.25" x14ac:dyDescent="0.25">
      <c r="A14" s="23" t="s">
        <v>17</v>
      </c>
      <c r="B14" s="24">
        <v>15482386.66</v>
      </c>
      <c r="C14" s="24">
        <v>21675172.101000004</v>
      </c>
      <c r="D14" s="24">
        <v>26651220.369999997</v>
      </c>
      <c r="E14" s="24">
        <v>30149104.175999999</v>
      </c>
      <c r="F14" s="24">
        <v>33634879.120000005</v>
      </c>
      <c r="G14" s="24">
        <v>27044367.550599996</v>
      </c>
      <c r="H14" s="24">
        <v>25655929.811999999</v>
      </c>
      <c r="I14" s="25" t="s">
        <v>18</v>
      </c>
      <c r="J14" s="29"/>
      <c r="K14" s="29"/>
      <c r="L14" s="29"/>
      <c r="M14" s="29"/>
      <c r="N14" s="29"/>
      <c r="O14" s="29"/>
      <c r="P14" s="29"/>
      <c r="Q14" s="29"/>
      <c r="R14" s="29"/>
      <c r="S14" s="27"/>
    </row>
    <row r="15" spans="1:19" s="28" customFormat="1" ht="17.25" x14ac:dyDescent="0.25">
      <c r="A15" s="23" t="s">
        <v>19</v>
      </c>
      <c r="B15" s="24">
        <v>23688972.940000001</v>
      </c>
      <c r="C15" s="24">
        <v>27147750.810000002</v>
      </c>
      <c r="D15" s="24">
        <v>31816789.559999999</v>
      </c>
      <c r="E15" s="24">
        <v>38642931.219999999</v>
      </c>
      <c r="F15" s="24">
        <v>35692529.049999997</v>
      </c>
      <c r="G15" s="24">
        <v>32568445.948899999</v>
      </c>
      <c r="H15" s="24">
        <v>27942400.420000002</v>
      </c>
      <c r="I15" s="25" t="s">
        <v>20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19" s="28" customFormat="1" ht="17.25" x14ac:dyDescent="0.25">
      <c r="A16" s="23" t="s">
        <v>21</v>
      </c>
      <c r="B16" s="24">
        <v>7724957.6299999999</v>
      </c>
      <c r="C16" s="24">
        <v>12281541.290000001</v>
      </c>
      <c r="D16" s="24">
        <v>14543865.745000001</v>
      </c>
      <c r="E16" s="24">
        <v>15450866.840299999</v>
      </c>
      <c r="F16" s="24">
        <v>15019880.84</v>
      </c>
      <c r="G16" s="24">
        <v>17197161.118400004</v>
      </c>
      <c r="H16" s="24">
        <v>20342689.015000001</v>
      </c>
      <c r="I16" s="25" t="s">
        <v>22</v>
      </c>
      <c r="J16" s="29"/>
      <c r="K16" s="29"/>
      <c r="L16" s="29"/>
      <c r="M16" s="29"/>
      <c r="N16" s="29"/>
      <c r="O16" s="29"/>
      <c r="P16" s="29"/>
      <c r="Q16" s="29"/>
      <c r="R16" s="29"/>
      <c r="S16" s="27"/>
    </row>
    <row r="17" spans="1:20" s="28" customFormat="1" ht="17.25" x14ac:dyDescent="0.25">
      <c r="A17" s="23" t="s">
        <v>23</v>
      </c>
      <c r="B17" s="24">
        <v>3540685.44</v>
      </c>
      <c r="C17" s="24">
        <v>7471919.1500000004</v>
      </c>
      <c r="D17" s="24">
        <v>8698613.1500000004</v>
      </c>
      <c r="E17" s="24">
        <v>5947100.96</v>
      </c>
      <c r="F17" s="24">
        <v>10990868.449999999</v>
      </c>
      <c r="G17" s="24">
        <v>11972620.461000001</v>
      </c>
      <c r="H17" s="24">
        <v>12008159.68</v>
      </c>
      <c r="I17" s="25" t="s">
        <v>24</v>
      </c>
      <c r="J17" s="29"/>
      <c r="K17" s="29"/>
      <c r="L17" s="29"/>
      <c r="M17" s="29"/>
      <c r="N17" s="29"/>
      <c r="O17" s="29"/>
      <c r="P17" s="29"/>
      <c r="Q17" s="29"/>
      <c r="R17" s="29"/>
      <c r="S17" s="27"/>
    </row>
    <row r="18" spans="1:20" s="28" customFormat="1" ht="17.25" x14ac:dyDescent="0.25">
      <c r="A18" s="23" t="s">
        <v>25</v>
      </c>
      <c r="B18" s="24">
        <v>13156080.83</v>
      </c>
      <c r="C18" s="24">
        <v>17498120.029999997</v>
      </c>
      <c r="D18" s="24">
        <v>21983644.324999999</v>
      </c>
      <c r="E18" s="24">
        <v>9181590.7400000021</v>
      </c>
      <c r="F18" s="24">
        <v>25909086.93</v>
      </c>
      <c r="G18" s="24">
        <v>27622860.336999997</v>
      </c>
      <c r="H18" s="24">
        <v>29868861.675999999</v>
      </c>
      <c r="I18" s="25" t="s">
        <v>26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1:20" s="28" customFormat="1" ht="17.25" x14ac:dyDescent="0.25">
      <c r="A19" s="23" t="s">
        <v>27</v>
      </c>
      <c r="B19" s="24">
        <v>563786.18999999994</v>
      </c>
      <c r="C19" s="24">
        <v>1773766.73</v>
      </c>
      <c r="D19" s="24">
        <v>2451686.34</v>
      </c>
      <c r="E19" s="24">
        <v>2580520.0900000003</v>
      </c>
      <c r="F19" s="24">
        <v>2433263.37</v>
      </c>
      <c r="G19" s="24">
        <v>2757929.4720000001</v>
      </c>
      <c r="H19" s="24">
        <v>3448993.7300000004</v>
      </c>
      <c r="I19" s="25" t="s">
        <v>28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spans="1:20" s="28" customFormat="1" ht="17.25" x14ac:dyDescent="0.25">
      <c r="A20" s="23" t="s">
        <v>29</v>
      </c>
      <c r="B20" s="24">
        <v>9125266.5999999996</v>
      </c>
      <c r="C20" s="24">
        <v>12610137.149999999</v>
      </c>
      <c r="D20" s="24">
        <v>11946502.880000001</v>
      </c>
      <c r="E20" s="24">
        <v>7909169.9100000001</v>
      </c>
      <c r="F20" s="24">
        <v>11312990.07</v>
      </c>
      <c r="G20" s="24">
        <v>10031071.428399999</v>
      </c>
      <c r="H20" s="24">
        <v>10855208.769999998</v>
      </c>
      <c r="I20" s="25" t="s">
        <v>30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20" s="28" customFormat="1" ht="17.25" x14ac:dyDescent="0.25">
      <c r="A21" s="23" t="s">
        <v>31</v>
      </c>
      <c r="B21" s="24">
        <v>6589192.25</v>
      </c>
      <c r="C21" s="24">
        <v>9723321.2799999993</v>
      </c>
      <c r="D21" s="24">
        <v>10153645.829999998</v>
      </c>
      <c r="E21" s="24">
        <v>6358160.0700000003</v>
      </c>
      <c r="F21" s="24">
        <v>13465688.68</v>
      </c>
      <c r="G21" s="24">
        <v>13925732.6666</v>
      </c>
      <c r="H21" s="24">
        <v>14387088.829999998</v>
      </c>
      <c r="I21" s="25" t="s">
        <v>32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 spans="1:20" s="28" customFormat="1" ht="17.25" x14ac:dyDescent="0.25">
      <c r="A22" s="23" t="s">
        <v>33</v>
      </c>
      <c r="B22" s="24">
        <v>9874084.1600000001</v>
      </c>
      <c r="C22" s="24">
        <v>12434694.649999999</v>
      </c>
      <c r="D22" s="24">
        <v>11807838.66</v>
      </c>
      <c r="E22" s="24">
        <v>13061458.859999999</v>
      </c>
      <c r="F22" s="24">
        <v>15100490.25</v>
      </c>
      <c r="G22" s="24">
        <v>17043507.483999997</v>
      </c>
      <c r="H22" s="24">
        <v>16428599.425000001</v>
      </c>
      <c r="I22" s="25" t="s">
        <v>34</v>
      </c>
      <c r="J22" s="29"/>
      <c r="K22" s="29"/>
      <c r="L22" s="29"/>
      <c r="M22" s="29"/>
      <c r="N22" s="29"/>
      <c r="O22" s="29"/>
      <c r="P22" s="29"/>
      <c r="Q22" s="29"/>
      <c r="R22" s="29"/>
      <c r="S22" s="27"/>
    </row>
    <row r="23" spans="1:20" s="28" customFormat="1" ht="17.25" x14ac:dyDescent="0.25">
      <c r="A23" s="23" t="s">
        <v>35</v>
      </c>
      <c r="B23" s="24">
        <v>15424283.250000004</v>
      </c>
      <c r="C23" s="24">
        <v>20505081.599999994</v>
      </c>
      <c r="D23" s="24">
        <v>22462983.789999999</v>
      </c>
      <c r="E23" s="24">
        <v>23683245.52</v>
      </c>
      <c r="F23" s="24">
        <v>21574058.689999998</v>
      </c>
      <c r="G23" s="24">
        <v>23421048.300000004</v>
      </c>
      <c r="H23" s="24">
        <v>23808645.879999999</v>
      </c>
      <c r="I23" s="25" t="s">
        <v>36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spans="1:20" s="28" customFormat="1" ht="17.25" x14ac:dyDescent="0.25">
      <c r="A24" s="23" t="s">
        <v>37</v>
      </c>
      <c r="B24" s="24">
        <v>19121149.300000001</v>
      </c>
      <c r="C24" s="24">
        <v>27347316.960000001</v>
      </c>
      <c r="D24" s="24">
        <v>30750547.939999998</v>
      </c>
      <c r="E24" s="24">
        <v>32945144.069999997</v>
      </c>
      <c r="F24" s="24">
        <v>34810489.399999999</v>
      </c>
      <c r="G24" s="24">
        <v>42832104.030000001</v>
      </c>
      <c r="H24" s="24">
        <v>50794534.460000008</v>
      </c>
      <c r="I24" s="25" t="s">
        <v>38</v>
      </c>
      <c r="J24" s="29"/>
      <c r="K24" s="29"/>
      <c r="L24" s="29"/>
      <c r="M24" s="29"/>
      <c r="N24" s="29"/>
      <c r="O24" s="29"/>
      <c r="P24" s="29"/>
      <c r="Q24" s="29"/>
      <c r="R24" s="29"/>
      <c r="S24" s="27"/>
    </row>
    <row r="25" spans="1:20" s="28" customFormat="1" ht="17.25" x14ac:dyDescent="0.25">
      <c r="A25" s="23" t="s">
        <v>39</v>
      </c>
      <c r="B25" s="24">
        <v>14483951.450000001</v>
      </c>
      <c r="C25" s="24">
        <v>21910210.289999999</v>
      </c>
      <c r="D25" s="24">
        <v>25050862.829999998</v>
      </c>
      <c r="E25" s="24">
        <v>28968304</v>
      </c>
      <c r="F25" s="24">
        <v>27993704.789999999</v>
      </c>
      <c r="G25" s="24">
        <v>31369978.870000001</v>
      </c>
      <c r="H25" s="24">
        <v>29440804.519999996</v>
      </c>
      <c r="I25" s="25" t="s">
        <v>40</v>
      </c>
      <c r="J25" s="29"/>
      <c r="K25" s="29"/>
      <c r="L25" s="29"/>
      <c r="M25" s="29"/>
      <c r="N25" s="29"/>
      <c r="O25" s="29"/>
      <c r="P25" s="29"/>
      <c r="Q25" s="29"/>
      <c r="R25" s="29"/>
      <c r="S25" s="27"/>
    </row>
    <row r="26" spans="1:20" s="28" customFormat="1" ht="17.25" x14ac:dyDescent="0.25">
      <c r="A26" s="23" t="s">
        <v>41</v>
      </c>
      <c r="B26" s="24">
        <v>27642128.069999993</v>
      </c>
      <c r="C26" s="24">
        <v>34260241.729999997</v>
      </c>
      <c r="D26" s="24">
        <v>39536598.640000008</v>
      </c>
      <c r="E26" s="24">
        <v>44492550.350000001</v>
      </c>
      <c r="F26" s="24">
        <v>46107004.269999996</v>
      </c>
      <c r="G26" s="24">
        <v>52074088.550000012</v>
      </c>
      <c r="H26" s="24">
        <v>52286749.170000002</v>
      </c>
      <c r="I26" s="25" t="s">
        <v>42</v>
      </c>
      <c r="J26" s="29"/>
      <c r="K26" s="29"/>
      <c r="L26" s="29"/>
      <c r="M26" s="29"/>
      <c r="N26" s="29"/>
      <c r="O26" s="29"/>
      <c r="P26" s="29"/>
      <c r="Q26" s="29"/>
      <c r="R26" s="29"/>
      <c r="S26" s="27"/>
    </row>
    <row r="27" spans="1:20" s="28" customFormat="1" ht="17.25" x14ac:dyDescent="0.25">
      <c r="A27" s="23" t="s">
        <v>43</v>
      </c>
      <c r="B27" s="24">
        <v>12905259.859999999</v>
      </c>
      <c r="C27" s="24">
        <v>19379941.390000001</v>
      </c>
      <c r="D27" s="24">
        <v>20312685.899999999</v>
      </c>
      <c r="E27" s="24">
        <v>15456736.35</v>
      </c>
      <c r="F27" s="24">
        <v>23428238.91</v>
      </c>
      <c r="G27" s="24">
        <v>26813330.047800001</v>
      </c>
      <c r="H27" s="24">
        <v>30205366.392999999</v>
      </c>
      <c r="I27" s="25" t="s">
        <v>44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20" s="28" customFormat="1" ht="17.25" x14ac:dyDescent="0.25">
      <c r="A28" s="23" t="s">
        <v>45</v>
      </c>
      <c r="B28" s="24">
        <v>55981769.233300008</v>
      </c>
      <c r="C28" s="24">
        <v>74119274.931099996</v>
      </c>
      <c r="D28" s="24">
        <v>102346229.71000001</v>
      </c>
      <c r="E28" s="24">
        <v>116663001.61669999</v>
      </c>
      <c r="F28" s="24">
        <v>121178364.9189</v>
      </c>
      <c r="G28" s="24">
        <v>117270900.5696</v>
      </c>
      <c r="H28" s="24">
        <v>137699477.97600001</v>
      </c>
      <c r="I28" s="25" t="s">
        <v>46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spans="1:20" s="28" customFormat="1" ht="19.5" x14ac:dyDescent="0.25">
      <c r="A29" s="30" t="s">
        <v>72</v>
      </c>
      <c r="B29" s="31">
        <v>169006647.32120001</v>
      </c>
      <c r="C29" s="31">
        <v>222306097.64719999</v>
      </c>
      <c r="D29" s="31">
        <v>223353684.25080001</v>
      </c>
      <c r="E29" s="31">
        <v>175063121</v>
      </c>
      <c r="F29" s="31">
        <v>266933716</v>
      </c>
      <c r="G29" s="31">
        <v>279572116.1688</v>
      </c>
      <c r="H29" s="31">
        <v>124721731.0976</v>
      </c>
      <c r="I29" s="32" t="s">
        <v>73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 spans="1:20" ht="17.25" x14ac:dyDescent="0.25">
      <c r="A30" s="11" t="s">
        <v>67</v>
      </c>
      <c r="I30" s="12" t="s">
        <v>68</v>
      </c>
    </row>
    <row r="31" spans="1:20" ht="17.25" x14ac:dyDescent="0.25">
      <c r="A31" s="8" t="s">
        <v>69</v>
      </c>
      <c r="I31" s="9" t="s">
        <v>70</v>
      </c>
    </row>
    <row r="32" spans="1:20" ht="17.25" x14ac:dyDescent="0.25">
      <c r="A32" s="8"/>
      <c r="I32" s="9"/>
    </row>
    <row r="33" spans="1:23" ht="17.25" x14ac:dyDescent="0.25">
      <c r="A33" s="35"/>
      <c r="I33" s="9"/>
    </row>
    <row r="35" spans="1:23" x14ac:dyDescent="0.25">
      <c r="B35" s="3"/>
      <c r="C35" s="3"/>
      <c r="D35" s="3"/>
      <c r="E35" s="3"/>
      <c r="F35" s="3"/>
      <c r="G35" s="3"/>
      <c r="H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23" x14ac:dyDescent="0.25">
      <c r="B36" s="3"/>
      <c r="C36" s="3"/>
      <c r="D36" s="3"/>
      <c r="E36" s="3"/>
      <c r="F36" s="3"/>
      <c r="G36" s="3"/>
      <c r="H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5"/>
    </row>
    <row r="37" spans="1:23" x14ac:dyDescent="0.25">
      <c r="B37" s="3"/>
      <c r="C37" s="3"/>
      <c r="D37" s="3"/>
      <c r="E37" s="3"/>
      <c r="F37" s="3"/>
      <c r="G37" s="3"/>
      <c r="H37" s="3"/>
      <c r="J37" s="3"/>
      <c r="K37" s="3"/>
      <c r="L37" s="3"/>
      <c r="M37" s="3"/>
      <c r="N37" s="3"/>
      <c r="O37" s="3"/>
      <c r="P37" s="3"/>
      <c r="Q37" s="3"/>
      <c r="R37" s="3"/>
      <c r="S37" s="3"/>
      <c r="U37" s="3">
        <v>2018</v>
      </c>
      <c r="V37" s="3">
        <v>2019</v>
      </c>
      <c r="W37" s="3">
        <v>2020</v>
      </c>
    </row>
    <row r="38" spans="1:23" x14ac:dyDescent="0.25">
      <c r="B38" s="3"/>
      <c r="C38" s="3"/>
      <c r="D38" s="3"/>
      <c r="E38" s="3"/>
      <c r="F38" s="3"/>
      <c r="G38" s="3"/>
      <c r="H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4" t="s">
        <v>47</v>
      </c>
      <c r="U38" s="3">
        <f>F9</f>
        <v>37849375.519999996</v>
      </c>
      <c r="V38" s="3">
        <f>G9</f>
        <v>40448262.304399997</v>
      </c>
      <c r="W38" s="3">
        <f>H9</f>
        <v>42511028.648000002</v>
      </c>
    </row>
    <row r="39" spans="1:23" x14ac:dyDescent="0.25">
      <c r="B39" s="3"/>
      <c r="C39" s="3"/>
      <c r="D39" s="3"/>
      <c r="E39" s="3"/>
      <c r="F39" s="3"/>
      <c r="G39" s="3"/>
      <c r="H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" t="s">
        <v>48</v>
      </c>
      <c r="U39" s="3">
        <f>F10</f>
        <v>73741273.559999987</v>
      </c>
      <c r="V39" s="3">
        <f>G10</f>
        <v>78971036.104199991</v>
      </c>
      <c r="W39" s="3">
        <f>H10</f>
        <v>87106108.945999995</v>
      </c>
    </row>
    <row r="40" spans="1:23" x14ac:dyDescent="0.25">
      <c r="B40" s="3"/>
      <c r="C40" s="3"/>
      <c r="D40" s="3"/>
      <c r="E40" s="3"/>
      <c r="F40" s="3"/>
      <c r="G40" s="3"/>
      <c r="H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4" t="s">
        <v>49</v>
      </c>
      <c r="U40" s="3">
        <f>F11</f>
        <v>24133600.373999998</v>
      </c>
      <c r="V40" s="3">
        <f>G11</f>
        <v>25952832.935399998</v>
      </c>
      <c r="W40" s="3">
        <f>H11</f>
        <v>27517456.108000003</v>
      </c>
    </row>
    <row r="41" spans="1:23" x14ac:dyDescent="0.25">
      <c r="B41" s="3"/>
      <c r="C41" s="3"/>
      <c r="D41" s="3"/>
      <c r="E41" s="3"/>
      <c r="F41" s="3"/>
      <c r="G41" s="3"/>
      <c r="H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4" t="s">
        <v>50</v>
      </c>
      <c r="U41" s="3">
        <f>F12</f>
        <v>18665154.07</v>
      </c>
      <c r="V41" s="3">
        <f>G12</f>
        <v>21571553.8116</v>
      </c>
      <c r="W41" s="3">
        <f>H12</f>
        <v>23643840.842</v>
      </c>
    </row>
    <row r="42" spans="1:23" x14ac:dyDescent="0.25">
      <c r="B42" s="3"/>
      <c r="C42" s="3"/>
      <c r="D42" s="3"/>
      <c r="E42" s="3"/>
      <c r="F42" s="3"/>
      <c r="G42" s="3"/>
      <c r="H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4" t="s">
        <v>51</v>
      </c>
      <c r="U42" s="3">
        <f>F13</f>
        <v>49456949.840000004</v>
      </c>
      <c r="V42" s="3">
        <f>G13</f>
        <v>53008180.737800002</v>
      </c>
      <c r="W42" s="3">
        <f>H13</f>
        <v>59567614.17400001</v>
      </c>
    </row>
    <row r="43" spans="1:23" x14ac:dyDescent="0.25">
      <c r="B43" s="3"/>
      <c r="C43" s="3"/>
      <c r="D43" s="3"/>
      <c r="E43" s="3"/>
      <c r="F43" s="3"/>
      <c r="G43" s="3"/>
      <c r="H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4" t="s">
        <v>52</v>
      </c>
      <c r="U43" s="3">
        <f>F14</f>
        <v>33634879.120000005</v>
      </c>
      <c r="V43" s="3">
        <f>G14</f>
        <v>27044367.550599996</v>
      </c>
      <c r="W43" s="3">
        <f>H14</f>
        <v>25655929.811999999</v>
      </c>
    </row>
    <row r="44" spans="1:23" x14ac:dyDescent="0.25">
      <c r="B44" s="3"/>
      <c r="C44" s="3"/>
      <c r="D44" s="3"/>
      <c r="E44" s="3"/>
      <c r="F44" s="3"/>
      <c r="G44" s="3"/>
      <c r="H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4" t="s">
        <v>53</v>
      </c>
      <c r="U44" s="3">
        <f>F15</f>
        <v>35692529.049999997</v>
      </c>
      <c r="V44" s="3">
        <f>G15</f>
        <v>32568445.948899999</v>
      </c>
      <c r="W44" s="3">
        <f>H15</f>
        <v>27942400.420000002</v>
      </c>
    </row>
    <row r="45" spans="1:23" x14ac:dyDescent="0.25">
      <c r="B45" s="3"/>
      <c r="C45" s="3"/>
      <c r="D45" s="3"/>
      <c r="E45" s="3"/>
      <c r="F45" s="3"/>
      <c r="G45" s="3"/>
      <c r="H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4" t="s">
        <v>54</v>
      </c>
      <c r="U45" s="3">
        <f>F16</f>
        <v>15019880.84</v>
      </c>
      <c r="V45" s="3">
        <f>G16</f>
        <v>17197161.118400004</v>
      </c>
      <c r="W45" s="3">
        <f>H16</f>
        <v>20342689.015000001</v>
      </c>
    </row>
    <row r="46" spans="1:23" x14ac:dyDescent="0.25">
      <c r="B46" s="3"/>
      <c r="C46" s="3"/>
      <c r="D46" s="3"/>
      <c r="E46" s="3"/>
      <c r="F46" s="3"/>
      <c r="G46" s="3"/>
      <c r="H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4" t="s">
        <v>55</v>
      </c>
      <c r="U46" s="3">
        <f>F17</f>
        <v>10990868.449999999</v>
      </c>
      <c r="V46" s="3">
        <f>G17</f>
        <v>11972620.461000001</v>
      </c>
      <c r="W46" s="3">
        <f>H17</f>
        <v>12008159.68</v>
      </c>
    </row>
    <row r="47" spans="1:23" x14ac:dyDescent="0.25">
      <c r="B47" s="3"/>
      <c r="C47" s="3"/>
      <c r="D47" s="3"/>
      <c r="E47" s="3"/>
      <c r="F47" s="3"/>
      <c r="G47" s="3"/>
      <c r="H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4" t="s">
        <v>56</v>
      </c>
      <c r="U47" s="3">
        <f>F18</f>
        <v>25909086.93</v>
      </c>
      <c r="V47" s="3">
        <f>G18</f>
        <v>27622860.336999997</v>
      </c>
      <c r="W47" s="3">
        <f>H18</f>
        <v>29868861.675999999</v>
      </c>
    </row>
    <row r="48" spans="1:23" x14ac:dyDescent="0.25">
      <c r="B48" s="3"/>
      <c r="C48" s="3"/>
      <c r="D48" s="3"/>
      <c r="E48" s="3"/>
      <c r="F48" s="3"/>
      <c r="G48" s="3"/>
      <c r="H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4" t="s">
        <v>57</v>
      </c>
      <c r="U48" s="3">
        <f>F19</f>
        <v>2433263.37</v>
      </c>
      <c r="V48" s="3">
        <f>G19</f>
        <v>2757929.4720000001</v>
      </c>
      <c r="W48" s="3">
        <f>H19</f>
        <v>3448993.7300000004</v>
      </c>
    </row>
    <row r="49" spans="2:23" x14ac:dyDescent="0.25">
      <c r="B49" s="3"/>
      <c r="C49" s="3"/>
      <c r="D49" s="3"/>
      <c r="E49" s="3"/>
      <c r="F49" s="3"/>
      <c r="G49" s="3"/>
      <c r="H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 t="s">
        <v>58</v>
      </c>
      <c r="U49" s="3">
        <f>F20</f>
        <v>11312990.07</v>
      </c>
      <c r="V49" s="3">
        <f>G20</f>
        <v>10031071.428399999</v>
      </c>
      <c r="W49" s="3">
        <f>H20</f>
        <v>10855208.769999998</v>
      </c>
    </row>
    <row r="50" spans="2:23" x14ac:dyDescent="0.25">
      <c r="B50" s="3"/>
      <c r="C50" s="3"/>
      <c r="D50" s="3"/>
      <c r="E50" s="3"/>
      <c r="F50" s="3"/>
      <c r="G50" s="3"/>
      <c r="H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 t="s">
        <v>59</v>
      </c>
      <c r="U50" s="3">
        <f>F21</f>
        <v>13465688.68</v>
      </c>
      <c r="V50" s="3">
        <f>G21</f>
        <v>13925732.6666</v>
      </c>
      <c r="W50" s="3">
        <f>H21</f>
        <v>14387088.829999998</v>
      </c>
    </row>
    <row r="51" spans="2:23" x14ac:dyDescent="0.25">
      <c r="B51" s="3"/>
      <c r="C51" s="3"/>
      <c r="D51" s="3"/>
      <c r="E51" s="3"/>
      <c r="F51" s="3"/>
      <c r="G51" s="3"/>
      <c r="H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4" t="s">
        <v>60</v>
      </c>
      <c r="U51" s="3">
        <f>F22</f>
        <v>15100490.25</v>
      </c>
      <c r="V51" s="3">
        <f>G22</f>
        <v>17043507.483999997</v>
      </c>
      <c r="W51" s="3">
        <f>H22</f>
        <v>16428599.425000001</v>
      </c>
    </row>
    <row r="52" spans="2:23" x14ac:dyDescent="0.25">
      <c r="B52" s="3"/>
      <c r="C52" s="3"/>
      <c r="D52" s="3"/>
      <c r="E52" s="3"/>
      <c r="F52" s="3"/>
      <c r="G52" s="3"/>
      <c r="H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4" t="s">
        <v>61</v>
      </c>
      <c r="U52" s="3">
        <f>F23</f>
        <v>21574058.689999998</v>
      </c>
      <c r="V52" s="3">
        <f>G23</f>
        <v>23421048.300000004</v>
      </c>
      <c r="W52" s="3">
        <f>H23</f>
        <v>23808645.879999999</v>
      </c>
    </row>
    <row r="53" spans="2:23" x14ac:dyDescent="0.25">
      <c r="B53" s="3"/>
      <c r="C53" s="3"/>
      <c r="D53" s="3"/>
      <c r="E53" s="3"/>
      <c r="F53" s="3"/>
      <c r="G53" s="3"/>
      <c r="H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6" t="s">
        <v>62</v>
      </c>
      <c r="U53" s="3">
        <f>F24</f>
        <v>34810489.399999999</v>
      </c>
      <c r="V53" s="3">
        <f>G24</f>
        <v>42832104.030000001</v>
      </c>
      <c r="W53" s="3">
        <f>H24</f>
        <v>50794534.460000008</v>
      </c>
    </row>
    <row r="54" spans="2:23" x14ac:dyDescent="0.25">
      <c r="B54" s="3"/>
      <c r="C54" s="3"/>
      <c r="D54" s="3"/>
      <c r="E54" s="3"/>
      <c r="F54" s="3"/>
      <c r="G54" s="3"/>
      <c r="H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4" t="s">
        <v>63</v>
      </c>
      <c r="U54" s="3">
        <f>F25</f>
        <v>27993704.789999999</v>
      </c>
      <c r="V54" s="3">
        <f>G25</f>
        <v>31369978.870000001</v>
      </c>
      <c r="W54" s="3">
        <f>H25</f>
        <v>29440804.519999996</v>
      </c>
    </row>
    <row r="55" spans="2:23" x14ac:dyDescent="0.25">
      <c r="B55" s="3"/>
      <c r="C55" s="3"/>
      <c r="D55" s="3"/>
      <c r="E55" s="3"/>
      <c r="F55" s="3"/>
      <c r="G55" s="3"/>
      <c r="H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4" t="s">
        <v>64</v>
      </c>
      <c r="U55" s="3">
        <f>F26</f>
        <v>46107004.269999996</v>
      </c>
      <c r="V55" s="3">
        <f>G26</f>
        <v>52074088.550000012</v>
      </c>
      <c r="W55" s="3">
        <f>H26</f>
        <v>52286749.170000002</v>
      </c>
    </row>
    <row r="56" spans="2:23" x14ac:dyDescent="0.25">
      <c r="B56" s="3"/>
      <c r="C56" s="3"/>
      <c r="D56" s="3"/>
      <c r="E56" s="3"/>
      <c r="F56" s="3"/>
      <c r="G56" s="3"/>
      <c r="H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4" t="s">
        <v>65</v>
      </c>
      <c r="U56" s="3">
        <f>F27</f>
        <v>23428238.91</v>
      </c>
      <c r="V56" s="3">
        <f>G27</f>
        <v>26813330.047800001</v>
      </c>
      <c r="W56" s="3">
        <f>H27</f>
        <v>30205366.392999999</v>
      </c>
    </row>
    <row r="57" spans="2:23" x14ac:dyDescent="0.25">
      <c r="B57" s="3"/>
      <c r="C57" s="3"/>
      <c r="D57" s="3"/>
      <c r="E57" s="3"/>
      <c r="F57" s="3"/>
      <c r="G57" s="3"/>
      <c r="H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7" t="s">
        <v>66</v>
      </c>
      <c r="U57" s="3">
        <f>F28</f>
        <v>121178364.9189</v>
      </c>
      <c r="V57" s="3">
        <f>G28</f>
        <v>117270900.5696</v>
      </c>
      <c r="W57" s="3">
        <f>H28</f>
        <v>137699477.97600001</v>
      </c>
    </row>
  </sheetData>
  <mergeCells count="12">
    <mergeCell ref="A2:I2"/>
    <mergeCell ref="A1:I1"/>
    <mergeCell ref="B3:H3"/>
    <mergeCell ref="G4:G5"/>
    <mergeCell ref="H4:H5"/>
    <mergeCell ref="E4:E5"/>
    <mergeCell ref="F4:F5"/>
    <mergeCell ref="A3:A5"/>
    <mergeCell ref="I3:I5"/>
    <mergeCell ref="B4:B5"/>
    <mergeCell ref="C4:C5"/>
    <mergeCell ref="D4:D5"/>
  </mergeCells>
  <pageMargins left="0.7" right="0.7" top="0.75" bottom="0.75" header="0.3" footer="0.3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18.24</vt:lpstr>
      <vt:lpstr>'18.24'!Print_Area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2021-09-23T05:53:10Z</cp:lastPrinted>
  <dcterms:created xsi:type="dcterms:W3CDTF">2019-02-21T04:10:17Z</dcterms:created>
  <dcterms:modified xsi:type="dcterms:W3CDTF">2021-09-23T05:53:19Z</dcterms:modified>
</cp:coreProperties>
</file>