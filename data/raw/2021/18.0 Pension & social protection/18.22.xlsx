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841"/>
  </bookViews>
  <sheets>
    <sheet name="18.22" sheetId="21" r:id="rId1"/>
  </sheets>
  <externalReferences>
    <externalReference r:id="rId2"/>
  </externalReferences>
  <definedNames>
    <definedName name="_xlnm.Print_Area" localSheetId="0">'18.22'!$A$1:$K$49</definedName>
  </definedNames>
  <calcPr calcId="162913"/>
</workbook>
</file>

<file path=xl/calcChain.xml><?xml version="1.0" encoding="utf-8"?>
<calcChain xmlns="http://schemas.openxmlformats.org/spreadsheetml/2006/main">
  <c r="I8" i="21" l="1"/>
  <c r="I6" i="21" s="1"/>
  <c r="H6" i="21"/>
  <c r="F8" i="21"/>
  <c r="F6" i="21" s="1"/>
  <c r="E8" i="21"/>
  <c r="E6" i="21" s="1"/>
  <c r="D8" i="21"/>
  <c r="D6" i="21" s="1"/>
  <c r="C8" i="21"/>
  <c r="C6" i="21" s="1"/>
  <c r="B8" i="21"/>
  <c r="B7" i="21"/>
  <c r="G6" i="21"/>
  <c r="B6" i="21" l="1"/>
</calcChain>
</file>

<file path=xl/sharedStrings.xml><?xml version="1.0" encoding="utf-8"?>
<sst xmlns="http://schemas.openxmlformats.org/spreadsheetml/2006/main" count="77" uniqueCount="72">
  <si>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</si>
  <si>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</si>
  <si>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</si>
  <si>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</si>
  <si>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</si>
  <si>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</si>
  <si>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</si>
  <si>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</si>
  <si>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</si>
  <si>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</si>
  <si>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</si>
  <si>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</si>
  <si>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</si>
  <si>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Maalhosmadulu (B)</t>
  </si>
  <si>
    <t>Faadhippolhu (Lh)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</si>
  <si>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</si>
  <si>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</si>
  <si>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</si>
  <si>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</si>
  <si>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</si>
  <si>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</si>
  <si>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</si>
  <si>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</si>
  <si>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</si>
  <si>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</si>
  <si>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</si>
  <si>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</si>
  <si>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N</t>
  </si>
  <si>
    <t>L</t>
  </si>
  <si>
    <t>S</t>
  </si>
  <si>
    <t>Total Expenditure (MVR)</t>
  </si>
  <si>
    <t>Hospitals</t>
  </si>
  <si>
    <t>Opticals</t>
  </si>
  <si>
    <t>Clinics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</si>
  <si>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</si>
  <si>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</si>
  <si>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</si>
  <si>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</si>
  <si>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</si>
  <si>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</si>
  <si>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</si>
  <si>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</si>
  <si>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</si>
  <si>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Emergency Evacuation - Sea2_/</t>
  </si>
  <si>
    <t xml:space="preserve">      ah </t>
  </si>
  <si>
    <t>dh</t>
  </si>
  <si>
    <t>n</t>
  </si>
  <si>
    <t>r</t>
  </si>
  <si>
    <t>b</t>
  </si>
  <si>
    <t>Male Atoll (K)</t>
  </si>
  <si>
    <t>k</t>
  </si>
  <si>
    <t>އa</t>
  </si>
  <si>
    <t>da</t>
  </si>
  <si>
    <t>v</t>
  </si>
  <si>
    <t>m</t>
  </si>
  <si>
    <t>f</t>
  </si>
  <si>
    <t>d</t>
  </si>
  <si>
    <t>t</t>
  </si>
  <si>
    <t>l</t>
  </si>
  <si>
    <t>ag</t>
  </si>
  <si>
    <t xml:space="preserve"> dg</t>
  </si>
  <si>
    <t>s</t>
  </si>
  <si>
    <t>Overseas hospitals</t>
  </si>
  <si>
    <t>ރާއްޖޭން ބޭރު ހޮސްޕިޓަލުތައް</t>
  </si>
  <si>
    <r>
      <rPr>
        <i/>
        <vertAlign val="superscript"/>
        <sz val="9"/>
        <color theme="1"/>
        <rFont val="Calibri"/>
        <family val="2"/>
        <scheme val="minor"/>
      </rPr>
      <t>1.</t>
    </r>
    <r>
      <rPr>
        <i/>
        <sz val="9"/>
        <color theme="1"/>
        <rFont val="Calibri"/>
        <family val="2"/>
        <scheme val="minor"/>
      </rPr>
      <t xml:space="preserve"> Type 'Airfare Tickets' is designated for the ticket expenditure on cases referred abroad</t>
    </r>
  </si>
  <si>
    <r>
      <rPr>
        <i/>
        <vertAlign val="superscript"/>
        <sz val="10"/>
        <color theme="1"/>
        <rFont val="Calibri"/>
        <family val="2"/>
        <scheme val="minor"/>
      </rPr>
      <t>2.</t>
    </r>
    <r>
      <rPr>
        <i/>
        <sz val="10"/>
        <color theme="1"/>
        <rFont val="Calibri"/>
        <family val="2"/>
        <scheme val="minor"/>
      </rPr>
      <t>Expenditure aggregated based on Service Provider's geograpical location as specified above</t>
    </r>
  </si>
  <si>
    <r>
      <t xml:space="preserve">Airfare Tickets 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</si>
  <si>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Emergency Evacuation - Air_/</t>
  </si>
  <si>
    <t>Table 18.22 :  EXPENDITURE ON AASANDHA SERVICES BY TYPE OF INSTITUTION AND ATOLL ,  2020</t>
  </si>
  <si>
    <t>ތާވަލް 18.22: އިޖްތިމާއީ ރައްކާތެރިކަމުގެ ދަށުން އަތޮޅުތަކުން ދެވޭ ޙިދުމަތްތައް ފޯރުކޮށްދޭ ތަންތަނަށް ކުރެވިފައިވާ ޚަރަދު، 2020</t>
  </si>
  <si>
    <t xml:space="preserve">Airfare Tickets </t>
  </si>
  <si>
    <t>Emergency Evacuation -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</si>
</sst>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6" formatCode="General_)"/>
    <numFmt numFmtId="167" formatCode="_-* #,##0.00_-;\-* #,##0.00_-;_-* &quot;-&quot;??_-;_-@_-"/>
    <numFmt numFmtId="168" formatCode="_-* #,##0_-;\-* #,##0_-;_-* &quot;-&quot;??_-;_-@_-"/>
  </numFmts>
  <fonts count="3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8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 tint="0.14999847407452621"/>
      <name val="Faruma"/>
    </font>
    <font>
      <b/>
      <sz val="10"/>
      <name val="A_Randhoo"/>
    </font>
    <font>
      <sz val="10"/>
      <color theme="1" tint="0.14999847407452621"/>
      <name val="A_Funa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6">
    <xf numFmtId="0" fontId="0" fillId="0" borderId="0"/>
    <xf numFmtId="0" fontId="4" fillId="0" borderId="1"/>
    <xf numFmtId="164" fontId="9" fillId="0" borderId="1"/>
    <xf numFmtId="0" fontId="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32" fillId="0" borderId="1"/>
    <xf numFmtId="0" fontId="33" fillId="0" borderId="1" applyFill="0" applyProtection="0"/>
    <xf numFmtId="0" fontId="34" fillId="0" borderId="1"/>
    <xf numFmtId="0" fontId="34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52">
    <xf numFmtId="0" fontId="0" fillId="0" borderId="0" xfId="0" applyFont="1" applyAlignment="1"/>
    <xf numFmtId="0" fontId="0" fillId="2" borderId="0" xfId="0" applyFill="1"/>
    <xf numFmtId="0" fontId="0" fillId="2" borderId="1" xfId="0" applyFill="1" applyBorder="1"/>
    <xf numFmtId="0" fontId="12" fillId="2" borderId="0" xfId="0" applyFont="1" applyFill="1"/>
    <xf numFmtId="167" fontId="3" fillId="2" borderId="4" xfId="5" applyNumberFormat="1" applyFont="1" applyFill="1" applyBorder="1" applyAlignment="1">
      <alignment horizontal="right" vertical="center" wrapText="1"/>
    </xf>
    <xf numFmtId="166" fontId="17" fillId="2" borderId="4" xfId="2" applyNumberFormat="1" applyFont="1" applyFill="1" applyBorder="1" applyAlignment="1">
      <alignment horizontal="right" vertical="center" wrapText="1"/>
    </xf>
    <xf numFmtId="167" fontId="3" fillId="2" borderId="4" xfId="5" applyNumberFormat="1" applyFont="1" applyFill="1" applyBorder="1" applyAlignment="1">
      <alignment horizontal="right" vertical="center"/>
    </xf>
    <xf numFmtId="167" fontId="13" fillId="2" borderId="4" xfId="5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6" fontId="11" fillId="2" borderId="2" xfId="2" applyNumberFormat="1" applyFont="1" applyFill="1" applyBorder="1" applyAlignment="1">
      <alignment horizontal="right" vertical="center" wrapText="1"/>
    </xf>
    <xf numFmtId="166" fontId="24" fillId="2" borderId="2" xfId="2" applyNumberFormat="1" applyFont="1" applyFill="1" applyBorder="1" applyAlignment="1">
      <alignment horizontal="right" vertical="center" wrapText="1"/>
    </xf>
    <xf numFmtId="168" fontId="20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8" fontId="13" fillId="2" borderId="1" xfId="5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 indent="3"/>
    </xf>
    <xf numFmtId="168" fontId="12" fillId="2" borderId="0" xfId="0" applyNumberFormat="1" applyFont="1" applyFill="1" applyAlignment="1">
      <alignment horizontal="center" vertical="center"/>
    </xf>
    <xf numFmtId="168" fontId="14" fillId="2" borderId="1" xfId="5" applyNumberFormat="1" applyFont="1" applyFill="1" applyBorder="1" applyAlignment="1"/>
    <xf numFmtId="168" fontId="16" fillId="2" borderId="1" xfId="5" applyNumberFormat="1" applyFont="1" applyFill="1" applyBorder="1" applyAlignment="1"/>
    <xf numFmtId="3" fontId="25" fillId="2" borderId="1" xfId="1" applyNumberFormat="1" applyFont="1" applyFill="1" applyBorder="1" applyAlignment="1" applyProtection="1">
      <alignment horizontal="right" vertical="center" indent="3"/>
    </xf>
    <xf numFmtId="167" fontId="3" fillId="2" borderId="1" xfId="0" applyNumberFormat="1" applyFont="1" applyFill="1" applyBorder="1" applyAlignment="1">
      <alignment horizontal="right"/>
    </xf>
    <xf numFmtId="0" fontId="26" fillId="2" borderId="1" xfId="0" applyFont="1" applyFill="1" applyBorder="1"/>
    <xf numFmtId="168" fontId="19" fillId="2" borderId="1" xfId="5" applyNumberFormat="1" applyFont="1" applyFill="1" applyBorder="1" applyAlignment="1"/>
    <xf numFmtId="167" fontId="27" fillId="2" borderId="1" xfId="5" applyNumberFormat="1" applyFont="1" applyFill="1" applyBorder="1" applyAlignment="1">
      <alignment horizontal="right" vertical="center" wrapText="1"/>
    </xf>
    <xf numFmtId="167" fontId="27" fillId="2" borderId="1" xfId="5" applyNumberFormat="1" applyFont="1" applyFill="1" applyBorder="1" applyAlignment="1">
      <alignment horizontal="right" vertical="center"/>
    </xf>
    <xf numFmtId="168" fontId="27" fillId="2" borderId="1" xfId="5" applyNumberFormat="1" applyFont="1" applyFill="1" applyBorder="1" applyAlignment="1">
      <alignment horizontal="center" vertical="center"/>
    </xf>
    <xf numFmtId="168" fontId="27" fillId="2" borderId="1" xfId="5" applyNumberFormat="1" applyFont="1" applyFill="1" applyBorder="1" applyAlignment="1">
      <alignment horizontal="right" vertical="center"/>
    </xf>
    <xf numFmtId="168" fontId="26" fillId="2" borderId="1" xfId="5" applyNumberFormat="1" applyFont="1" applyFill="1" applyBorder="1"/>
    <xf numFmtId="168" fontId="0" fillId="2" borderId="1" xfId="0" applyNumberFormat="1" applyFill="1" applyBorder="1"/>
    <xf numFmtId="168" fontId="16" fillId="2" borderId="2" xfId="5" applyNumberFormat="1" applyFont="1" applyFill="1" applyBorder="1" applyAlignment="1">
      <alignment vertical="center"/>
    </xf>
    <xf numFmtId="3" fontId="23" fillId="2" borderId="2" xfId="1" applyNumberFormat="1" applyFont="1" applyFill="1" applyBorder="1" applyAlignment="1" applyProtection="1">
      <alignment horizontal="right" vertical="center"/>
    </xf>
    <xf numFmtId="0" fontId="18" fillId="2" borderId="0" xfId="0" applyNumberFormat="1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1" fillId="2" borderId="1" xfId="0" applyFont="1" applyFill="1" applyBorder="1" applyAlignment="1">
      <alignment vertical="center"/>
    </xf>
    <xf numFmtId="0" fontId="29" fillId="2" borderId="0" xfId="0" applyNumberFormat="1" applyFont="1" applyFill="1" applyAlignment="1">
      <alignment vertical="center"/>
    </xf>
    <xf numFmtId="167" fontId="0" fillId="2" borderId="1" xfId="5" applyNumberFormat="1" applyFont="1" applyFill="1"/>
    <xf numFmtId="167" fontId="0" fillId="2" borderId="1" xfId="5" applyNumberFormat="1" applyFont="1" applyFill="1" applyAlignment="1">
      <alignment horizontal="right"/>
    </xf>
    <xf numFmtId="167" fontId="3" fillId="2" borderId="1" xfId="5" applyNumberFormat="1" applyFont="1" applyFill="1"/>
    <xf numFmtId="164" fontId="15" fillId="2" borderId="1" xfId="5" applyNumberFormat="1" applyFont="1" applyFill="1" applyAlignment="1">
      <alignment horizontal="right" vertical="center"/>
    </xf>
    <xf numFmtId="164" fontId="15" fillId="2" borderId="2" xfId="5" applyNumberFormat="1" applyFont="1" applyFill="1" applyBorder="1" applyAlignment="1">
      <alignment horizontal="right" vertical="center"/>
    </xf>
    <xf numFmtId="168" fontId="0" fillId="2" borderId="0" xfId="0" applyNumberFormat="1" applyFill="1"/>
    <xf numFmtId="166" fontId="10" fillId="2" borderId="1" xfId="2" applyNumberFormat="1" applyFont="1" applyFill="1" applyBorder="1" applyAlignment="1">
      <alignment horizontal="right" vertical="center" wrapText="1"/>
    </xf>
    <xf numFmtId="3" fontId="6" fillId="2" borderId="1" xfId="1" applyNumberFormat="1" applyFont="1" applyFill="1" applyBorder="1" applyAlignment="1" applyProtection="1">
      <alignment horizontal="center" vertical="top" wrapText="1"/>
    </xf>
    <xf numFmtId="168" fontId="20" fillId="2" borderId="1" xfId="5" applyNumberFormat="1" applyFont="1" applyFill="1" applyAlignment="1">
      <alignment vertical="center"/>
    </xf>
    <xf numFmtId="168" fontId="15" fillId="2" borderId="1" xfId="5" applyNumberFormat="1" applyFont="1" applyFill="1" applyAlignment="1">
      <alignment vertical="center"/>
    </xf>
    <xf numFmtId="166" fontId="17" fillId="2" borderId="3" xfId="2" applyNumberFormat="1" applyFont="1" applyFill="1" applyBorder="1" applyAlignment="1">
      <alignment horizontal="left" vertical="center" wrapText="1"/>
    </xf>
    <xf numFmtId="166" fontId="17" fillId="2" borderId="2" xfId="2" applyNumberFormat="1" applyFont="1" applyFill="1" applyBorder="1" applyAlignment="1">
      <alignment horizontal="left" vertical="center" wrapText="1"/>
    </xf>
    <xf numFmtId="3" fontId="5" fillId="2" borderId="1" xfId="1" applyNumberFormat="1" applyFont="1" applyFill="1" applyAlignment="1">
      <alignment horizontal="center" wrapText="1" readingOrder="2"/>
    </xf>
    <xf numFmtId="3" fontId="6" fillId="2" borderId="1" xfId="1" applyNumberFormat="1" applyFont="1" applyFill="1" applyBorder="1" applyAlignment="1" applyProtection="1">
      <alignment horizontal="center" vertical="top" wrapText="1"/>
    </xf>
    <xf numFmtId="0" fontId="22" fillId="2" borderId="3" xfId="0" applyFont="1" applyFill="1" applyBorder="1" applyAlignment="1">
      <alignment horizontal="right" vertical="center" indent="2"/>
    </xf>
    <xf numFmtId="0" fontId="22" fillId="2" borderId="2" xfId="0" applyFont="1" applyFill="1" applyBorder="1" applyAlignment="1">
      <alignment horizontal="right" vertical="center" indent="2"/>
    </xf>
  </cellXfs>
  <cellStyles count="16">
    <cellStyle name="Comma 23" xfId="6"/>
    <cellStyle name="Comma 3" xfId="5"/>
    <cellStyle name="Normal" xfId="0" builtinId="0"/>
    <cellStyle name="Normal 10" xfId="11"/>
    <cellStyle name="Normal 12" xfId="4"/>
    <cellStyle name="Normal 2" xfId="2"/>
    <cellStyle name="Normal 25" xfId="15"/>
    <cellStyle name="Normal 3" xfId="8"/>
    <cellStyle name="Normal 3 2" xfId="3"/>
    <cellStyle name="Normal 30" xfId="10"/>
    <cellStyle name="Normal 4" xfId="9"/>
    <cellStyle name="Normal 54" xfId="12"/>
    <cellStyle name="Normal 58" xfId="14"/>
    <cellStyle name="Normal 59" xfId="13"/>
    <cellStyle name="Normal 8" xfId="7"/>
    <cellStyle name="Normal_II-15(Population) 2" xfId="1"/>
  </cellStyles>
  <dxfs count="0"/>
  <tableStyles count="0" defaultTableStyle="TableStyleMedium2" defaultPivotStyle="PivotStyleLight16"/>
  <colors>
    <mruColors>
      <color rgb="FFB2EDEC"/>
      <color rgb="FF249390"/>
      <color rgb="FF33CCCC"/>
      <color rgb="FFFFBC79"/>
      <color rgb="FFBFF0EF"/>
      <color rgb="FFEAFAFA"/>
      <color rgb="FFFF9900"/>
      <color rgb="FF196563"/>
      <color rgb="FFFFDAA3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18.24: Percentage share of expenditure on Aasandha by Institution, 2020</a:t>
            </a:r>
          </a:p>
        </c:rich>
      </c:tx>
      <c:layout>
        <c:manualLayout>
          <c:xMode val="edge"/>
          <c:yMode val="edge"/>
          <c:x val="8.8488577237868293E-2"/>
          <c:y val="4.49367092593210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9020019671666"/>
          <c:y val="0.21420093676913035"/>
          <c:w val="0.32249083637528503"/>
          <c:h val="0.81840157908845013"/>
        </c:manualLayout>
      </c:layout>
      <c:doughnutChart>
        <c:varyColors val="1"/>
        <c:ser>
          <c:idx val="0"/>
          <c:order val="0"/>
          <c:spPr>
            <a:effectLst/>
          </c:spPr>
          <c:explosion val="1"/>
          <c:dPt>
            <c:idx val="0"/>
            <c:bubble3D val="0"/>
            <c:explosion val="3"/>
            <c:spPr>
              <a:solidFill>
                <a:srgbClr val="B2ED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5B-4195-A78E-31672C61A9DC}"/>
              </c:ext>
            </c:extLst>
          </c:dPt>
          <c:dPt>
            <c:idx val="1"/>
            <c:bubble3D val="0"/>
            <c:explosion val="3"/>
            <c:spPr>
              <a:solidFill>
                <a:srgbClr val="24939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5B-4195-A78E-31672C61A9DC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5B-4195-A78E-31672C61A9DC}"/>
              </c:ext>
            </c:extLst>
          </c:dPt>
          <c:dPt>
            <c:idx val="3"/>
            <c:bubble3D val="0"/>
            <c:explosion val="3"/>
            <c:spPr>
              <a:solidFill>
                <a:srgbClr val="33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5B-4195-A78E-31672C61A9DC}"/>
              </c:ext>
            </c:extLst>
          </c:dPt>
          <c:dPt>
            <c:idx val="4"/>
            <c:bubble3D val="0"/>
            <c:explosion val="5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5B-4195-A78E-31672C61A9DC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5B-4195-A78E-31672C61A9DC}"/>
              </c:ext>
            </c:extLst>
          </c:dPt>
          <c:dLbls>
            <c:dLbl>
              <c:idx val="0"/>
              <c:layout>
                <c:manualLayout>
                  <c:x val="-6.431013058586268E-3"/>
                  <c:y val="-1.9801913384824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25B-4195-A78E-31672C61A9DC}"/>
                </c:ext>
              </c:extLst>
            </c:dLbl>
            <c:dLbl>
              <c:idx val="1"/>
              <c:layout>
                <c:manualLayout>
                  <c:x val="-1.4961257450445476E-2"/>
                  <c:y val="-2.94829130853362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25B-4195-A78E-31672C61A9DC}"/>
                </c:ext>
              </c:extLst>
            </c:dLbl>
            <c:dLbl>
              <c:idx val="2"/>
              <c:layout>
                <c:manualLayout>
                  <c:x val="7.9523026083839807E-2"/>
                  <c:y val="-2.169296441627081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25B-4195-A78E-31672C61A9DC}"/>
                </c:ext>
              </c:extLst>
            </c:dLbl>
            <c:dLbl>
              <c:idx val="3"/>
              <c:layout>
                <c:manualLayout>
                  <c:x val="1.4169255205843818E-2"/>
                  <c:y val="7.70062963642838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666431552023507E-2"/>
                      <c:h val="9.85001601191746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25B-4195-A78E-31672C61A9DC}"/>
                </c:ext>
              </c:extLst>
            </c:dLbl>
            <c:dLbl>
              <c:idx val="4"/>
              <c:layout>
                <c:manualLayout>
                  <c:x val="8.7848080503369536E-2"/>
                  <c:y val="4.59720631642964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A25B-4195-A78E-31672C61A9DC}"/>
                </c:ext>
              </c:extLst>
            </c:dLbl>
            <c:dLbl>
              <c:idx val="5"/>
              <c:layout>
                <c:manualLayout>
                  <c:x val="0.12238856227648831"/>
                  <c:y val="0.138805464365795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A25B-4195-A78E-31672C61A9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7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'[1]18.20'!$P$38:$U$38</c:f>
              <c:strCache>
                <c:ptCount val="6"/>
                <c:pt idx="0">
                  <c:v>Hospitals</c:v>
                </c:pt>
                <c:pt idx="1">
                  <c:v>Pharmacies</c:v>
                </c:pt>
                <c:pt idx="2">
                  <c:v>Opticals</c:v>
                </c:pt>
                <c:pt idx="3">
                  <c:v>Clinics</c:v>
                </c:pt>
                <c:pt idx="4">
                  <c:v>Airfare Tickets</c:v>
                </c:pt>
                <c:pt idx="5">
                  <c:v>Emergency Evacuation - Sea</c:v>
                </c:pt>
              </c:strCache>
            </c:strRef>
          </c:cat>
          <c:val>
            <c:numRef>
              <c:f>'[1]18.20'!$P$39:$U$39</c:f>
              <c:numCache>
                <c:formatCode>General</c:formatCode>
                <c:ptCount val="6"/>
                <c:pt idx="0">
                  <c:v>1083950632.6737001</c:v>
                </c:pt>
                <c:pt idx="1">
                  <c:v>752713889.11500001</c:v>
                </c:pt>
                <c:pt idx="2">
                  <c:v>27752269.409999996</c:v>
                </c:pt>
                <c:pt idx="3">
                  <c:v>75774147.599999994</c:v>
                </c:pt>
                <c:pt idx="4">
                  <c:v>15723963.66</c:v>
                </c:pt>
                <c:pt idx="5">
                  <c:v>20773359.949999999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5B-4195-A78E-31672C61A9D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15"/>
        <c:holeSize val="50"/>
      </c:doughnut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1724325</xdr:colOff>
      <xdr:row>31</xdr:row>
      <xdr:rowOff>166075</xdr:rowOff>
    </xdr:from>
    <xdr:to>
      <xdr:col>7</xdr:col>
      <xdr:colOff>263640</xdr:colOff>
      <xdr:row>47</xdr:row>
      <xdr:rowOff>110357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1164428500.4760997</v>
          </cell>
        </row>
        <row r="8">
          <cell r="A8" t="str">
            <v>Atolls</v>
          </cell>
          <cell r="B8">
            <v>725519558.47500014</v>
          </cell>
        </row>
        <row r="9">
          <cell r="A9" t="str">
            <v>Overseas</v>
          </cell>
          <cell r="B9">
            <v>124721731.0976</v>
          </cell>
        </row>
        <row r="11">
          <cell r="Q11">
            <v>2016</v>
          </cell>
          <cell r="R11">
            <v>2017</v>
          </cell>
          <cell r="S11">
            <v>2018</v>
          </cell>
          <cell r="T11">
            <v>2019</v>
          </cell>
          <cell r="U11">
            <v>2020</v>
          </cell>
        </row>
        <row r="12">
          <cell r="N12" t="str">
            <v>Republic</v>
          </cell>
          <cell r="Q12">
            <v>1675199187.0308001</v>
          </cell>
          <cell r="R12">
            <v>1797290685.4405</v>
          </cell>
          <cell r="S12">
            <v>2164672441.0613999</v>
          </cell>
          <cell r="T12">
            <v>2433716952.1484995</v>
          </cell>
          <cell r="U12">
            <v>2014669790.0487001</v>
          </cell>
        </row>
        <row r="13">
          <cell r="N13" t="str">
            <v xml:space="preserve">Male' </v>
          </cell>
          <cell r="Q13">
            <v>899761456.92000008</v>
          </cell>
          <cell r="R13">
            <v>1040187042.5204999</v>
          </cell>
          <cell r="S13">
            <v>1255240833.9584999</v>
          </cell>
          <cell r="T13">
            <v>1488868041.2019994</v>
          </cell>
          <cell r="U13">
            <v>1164428500.4760997</v>
          </cell>
        </row>
        <row r="14">
          <cell r="N14" t="str">
            <v>Atolls</v>
          </cell>
          <cell r="Q14">
            <v>552084045.86000001</v>
          </cell>
          <cell r="R14">
            <v>582040521.91999996</v>
          </cell>
          <cell r="S14">
            <v>642497891.10289991</v>
          </cell>
          <cell r="T14">
            <v>665276794.77769983</v>
          </cell>
          <cell r="U14">
            <v>725519558.47500014</v>
          </cell>
        </row>
        <row r="15">
          <cell r="N15" t="str">
            <v>Overseas</v>
          </cell>
          <cell r="Q15">
            <v>223353684.25080001</v>
          </cell>
          <cell r="R15">
            <v>175063121</v>
          </cell>
          <cell r="S15">
            <v>266933716</v>
          </cell>
          <cell r="T15">
            <v>279572116.1688</v>
          </cell>
          <cell r="U15">
            <v>124721731.0976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52"/>
  <sheetViews>
    <sheetView tabSelected="1" zoomScale="95" zoomScaleNormal="95" workbookViewId="0">
      <selection activeCell="J37" sqref="J37"/>
    </sheetView>
  </sheetViews>
  <sheetFormatPr defaultColWidth="9.140625" defaultRowHeight="15" x14ac:dyDescent="0.25"/>
  <cols>
    <col min="1" max="1" width="28.7109375" style="1" customWidth="1"/>
    <col min="2" max="2" width="18.28515625" style="1" customWidth="1"/>
    <col min="3" max="3" width="16.7109375" style="1" bestFit="1" customWidth="1"/>
    <col min="4" max="6" width="15.7109375" style="1" customWidth="1"/>
    <col min="7" max="9" width="18.28515625" style="1" customWidth="1"/>
    <col min="10" max="10" width="22" style="1" bestFit="1" customWidth="1"/>
    <col min="11" max="11" width="3.42578125" style="1" customWidth="1"/>
    <col min="12" max="12" width="14.28515625" style="1" bestFit="1" customWidth="1"/>
    <col min="13" max="21" width="14.28515625" style="1" customWidth="1"/>
    <col min="22" max="22" width="9.140625" style="1"/>
    <col min="23" max="23" width="10.7109375" style="1" customWidth="1"/>
    <col min="24" max="24" width="9.85546875" style="1" customWidth="1"/>
    <col min="25" max="25" width="15.28515625" style="1" customWidth="1"/>
    <col min="26" max="31" width="16.140625" style="1" customWidth="1"/>
    <col min="32" max="16384" width="9.140625" style="1"/>
  </cols>
  <sheetData>
    <row r="1" spans="1:29" ht="21" x14ac:dyDescent="0.55000000000000004">
      <c r="A1" s="48" t="s">
        <v>69</v>
      </c>
      <c r="B1" s="48"/>
      <c r="C1" s="48"/>
      <c r="D1" s="48"/>
      <c r="E1" s="48"/>
      <c r="F1" s="48"/>
      <c r="G1" s="48"/>
      <c r="H1" s="48"/>
      <c r="I1" s="48"/>
      <c r="J1" s="48"/>
    </row>
    <row r="2" spans="1:29" s="13" customFormat="1" x14ac:dyDescent="0.25">
      <c r="A2" s="49" t="s">
        <v>68</v>
      </c>
      <c r="B2" s="49"/>
      <c r="C2" s="49"/>
      <c r="D2" s="49"/>
      <c r="E2" s="49"/>
      <c r="F2" s="49"/>
      <c r="G2" s="49"/>
      <c r="H2" s="49"/>
      <c r="I2" s="49"/>
      <c r="J2" s="49"/>
    </row>
    <row r="3" spans="1:29" s="8" customForma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29" s="8" customFormat="1" ht="30" x14ac:dyDescent="0.25">
      <c r="A4" s="46" t="s">
        <v>2</v>
      </c>
      <c r="B4" s="4" t="s">
        <v>30</v>
      </c>
      <c r="C4" s="5" t="s">
        <v>31</v>
      </c>
      <c r="D4" s="5" t="s">
        <v>0</v>
      </c>
      <c r="E4" s="5" t="s">
        <v>32</v>
      </c>
      <c r="F4" s="5" t="s">
        <v>33</v>
      </c>
      <c r="G4" s="6" t="s">
        <v>66</v>
      </c>
      <c r="H4" s="7" t="s">
        <v>67</v>
      </c>
      <c r="I4" s="7" t="s">
        <v>43</v>
      </c>
      <c r="J4" s="50" t="s">
        <v>1</v>
      </c>
    </row>
    <row r="5" spans="1:29" s="8" customFormat="1" ht="18.75" x14ac:dyDescent="0.25">
      <c r="A5" s="47"/>
      <c r="B5" s="9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9" t="s">
        <v>40</v>
      </c>
      <c r="H5" s="9" t="s">
        <v>41</v>
      </c>
      <c r="I5" s="9" t="s">
        <v>41</v>
      </c>
      <c r="J5" s="51"/>
    </row>
    <row r="6" spans="1:29" s="12" customFormat="1" ht="18.75" x14ac:dyDescent="0.25">
      <c r="A6" s="11" t="s">
        <v>3</v>
      </c>
      <c r="B6" s="14">
        <f>SUM(C6:I6)</f>
        <v>2014669790.0487003</v>
      </c>
      <c r="C6" s="14">
        <f>SUM(C7:C8)+C29</f>
        <v>1083950632.6737001</v>
      </c>
      <c r="D6" s="14">
        <f>SUM(D7:D8)+D29</f>
        <v>752713889.11500001</v>
      </c>
      <c r="E6" s="14">
        <f>SUM(E7:E8)</f>
        <v>27752269.409999996</v>
      </c>
      <c r="F6" s="14">
        <f>SUM(F7:F8)</f>
        <v>75774147.599999994</v>
      </c>
      <c r="G6" s="14">
        <f>SUM(G7:G8)</f>
        <v>15723963.66</v>
      </c>
      <c r="H6" s="14">
        <f>SUM(H7:H8)</f>
        <v>37981527.640000001</v>
      </c>
      <c r="I6" s="14">
        <f>SUM(I7:I8)</f>
        <v>20773359.949999999</v>
      </c>
      <c r="J6" s="15" t="s">
        <v>42</v>
      </c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9" s="3" customFormat="1" ht="18.75" x14ac:dyDescent="0.25">
      <c r="A7" s="17" t="s">
        <v>4</v>
      </c>
      <c r="B7" s="44">
        <f>SUM(C7:I7)</f>
        <v>1164428500.4761</v>
      </c>
      <c r="C7" s="45">
        <v>620558359.37609994</v>
      </c>
      <c r="D7" s="45">
        <v>402975457.81000006</v>
      </c>
      <c r="E7" s="45">
        <v>23499504.559999999</v>
      </c>
      <c r="F7" s="45">
        <v>46040963.600000001</v>
      </c>
      <c r="G7" s="45">
        <v>15723963.66</v>
      </c>
      <c r="H7" s="45">
        <v>37981527.640000001</v>
      </c>
      <c r="I7" s="45">
        <v>17648723.829999998</v>
      </c>
      <c r="J7" s="15" t="s">
        <v>5</v>
      </c>
    </row>
    <row r="8" spans="1:29" s="3" customFormat="1" ht="18.75" x14ac:dyDescent="0.25">
      <c r="A8" s="17" t="s">
        <v>6</v>
      </c>
      <c r="B8" s="44">
        <f t="shared" ref="B8:I8" si="0">SUM(B9:B28)</f>
        <v>725544848.88499999</v>
      </c>
      <c r="C8" s="44">
        <f t="shared" si="0"/>
        <v>338670542.20000005</v>
      </c>
      <c r="D8" s="44">
        <f t="shared" si="0"/>
        <v>349738431.30500001</v>
      </c>
      <c r="E8" s="44">
        <f t="shared" si="0"/>
        <v>4252764.8499999996</v>
      </c>
      <c r="F8" s="44">
        <f t="shared" si="0"/>
        <v>29733184</v>
      </c>
      <c r="G8" s="39">
        <v>0</v>
      </c>
      <c r="H8" s="39">
        <v>0</v>
      </c>
      <c r="I8" s="44">
        <f t="shared" si="0"/>
        <v>3124636.12</v>
      </c>
      <c r="J8" s="15" t="s">
        <v>7</v>
      </c>
    </row>
    <row r="9" spans="1:29" ht="16.5" x14ac:dyDescent="0.25">
      <c r="A9" s="18" t="s">
        <v>8</v>
      </c>
      <c r="B9" s="45">
        <v>42511028.648000009</v>
      </c>
      <c r="C9" s="45">
        <v>19723557.800000001</v>
      </c>
      <c r="D9" s="45">
        <v>22704861.848000009</v>
      </c>
      <c r="E9" s="39">
        <v>0</v>
      </c>
      <c r="F9" s="39">
        <v>0</v>
      </c>
      <c r="G9" s="39">
        <v>0</v>
      </c>
      <c r="H9" s="39">
        <v>0</v>
      </c>
      <c r="I9" s="45">
        <v>82609</v>
      </c>
      <c r="J9" s="19" t="s">
        <v>44</v>
      </c>
    </row>
    <row r="10" spans="1:29" ht="16.5" x14ac:dyDescent="0.25">
      <c r="A10" s="18" t="s">
        <v>9</v>
      </c>
      <c r="B10" s="45">
        <v>87106108.945999995</v>
      </c>
      <c r="C10" s="45">
        <v>47818240</v>
      </c>
      <c r="D10" s="45">
        <v>36302245.945999995</v>
      </c>
      <c r="E10" s="45">
        <v>2219448</v>
      </c>
      <c r="F10" s="45">
        <v>657275</v>
      </c>
      <c r="G10" s="39">
        <v>0</v>
      </c>
      <c r="H10" s="39">
        <v>0</v>
      </c>
      <c r="I10" s="45">
        <v>108900</v>
      </c>
      <c r="J10" s="19" t="s">
        <v>45</v>
      </c>
    </row>
    <row r="11" spans="1:29" ht="16.5" x14ac:dyDescent="0.25">
      <c r="A11" s="18" t="s">
        <v>10</v>
      </c>
      <c r="B11" s="45">
        <v>27517456.108000003</v>
      </c>
      <c r="C11" s="45">
        <v>13053897</v>
      </c>
      <c r="D11" s="45">
        <v>14145759.108000001</v>
      </c>
      <c r="E11" s="39">
        <v>0</v>
      </c>
      <c r="F11" s="39">
        <v>0</v>
      </c>
      <c r="G11" s="39">
        <v>0</v>
      </c>
      <c r="H11" s="39">
        <v>0</v>
      </c>
      <c r="I11" s="45">
        <v>317800</v>
      </c>
      <c r="J11" s="19" t="s">
        <v>29</v>
      </c>
      <c r="K11" s="20"/>
    </row>
    <row r="12" spans="1:29" ht="16.5" x14ac:dyDescent="0.25">
      <c r="A12" s="18" t="s">
        <v>11</v>
      </c>
      <c r="B12" s="45">
        <v>23643760.322000001</v>
      </c>
      <c r="C12" s="45">
        <v>10217561</v>
      </c>
      <c r="D12" s="45">
        <v>12603529.842</v>
      </c>
      <c r="E12" s="39">
        <v>0</v>
      </c>
      <c r="F12" s="39">
        <v>0</v>
      </c>
      <c r="G12" s="39">
        <v>0</v>
      </c>
      <c r="H12" s="39">
        <v>0</v>
      </c>
      <c r="I12" s="45">
        <v>822750</v>
      </c>
      <c r="J12" s="19" t="s">
        <v>46</v>
      </c>
    </row>
    <row r="13" spans="1:29" ht="16.5" x14ac:dyDescent="0.25">
      <c r="A13" s="18" t="s">
        <v>12</v>
      </c>
      <c r="B13" s="45">
        <v>59582725.583999999</v>
      </c>
      <c r="C13" s="45">
        <v>28194809</v>
      </c>
      <c r="D13" s="45">
        <v>31120215.173999999</v>
      </c>
      <c r="E13" s="39">
        <v>0</v>
      </c>
      <c r="F13" s="39">
        <v>0</v>
      </c>
      <c r="G13" s="39">
        <v>0</v>
      </c>
      <c r="H13" s="39">
        <v>0</v>
      </c>
      <c r="I13" s="45">
        <v>252590</v>
      </c>
      <c r="J13" s="19" t="s">
        <v>47</v>
      </c>
    </row>
    <row r="14" spans="1:29" ht="16.5" x14ac:dyDescent="0.25">
      <c r="A14" s="18" t="s">
        <v>13</v>
      </c>
      <c r="B14" s="45">
        <v>25655929.811999999</v>
      </c>
      <c r="C14" s="45">
        <v>12089409</v>
      </c>
      <c r="D14" s="45">
        <v>13310080.811999999</v>
      </c>
      <c r="E14" s="39">
        <v>0</v>
      </c>
      <c r="F14" s="39">
        <v>0</v>
      </c>
      <c r="G14" s="39">
        <v>0</v>
      </c>
      <c r="H14" s="39">
        <v>0</v>
      </c>
      <c r="I14" s="45">
        <v>256440</v>
      </c>
      <c r="J14" s="19" t="s">
        <v>48</v>
      </c>
      <c r="V14" s="2"/>
      <c r="W14" s="2"/>
      <c r="X14" s="2"/>
      <c r="Y14" s="2"/>
      <c r="Z14" s="2"/>
      <c r="AA14" s="2"/>
      <c r="AB14" s="2"/>
      <c r="AC14" s="2"/>
    </row>
    <row r="15" spans="1:29" ht="16.5" x14ac:dyDescent="0.25">
      <c r="A15" s="18" t="s">
        <v>14</v>
      </c>
      <c r="B15" s="45">
        <v>27943700.420000002</v>
      </c>
      <c r="C15" s="45">
        <v>11893216</v>
      </c>
      <c r="D15" s="45">
        <v>15950834.42</v>
      </c>
      <c r="E15" s="39">
        <v>0</v>
      </c>
      <c r="F15" s="39">
        <v>0</v>
      </c>
      <c r="G15" s="39">
        <v>0</v>
      </c>
      <c r="H15" s="39">
        <v>0</v>
      </c>
      <c r="I15" s="45">
        <v>98350</v>
      </c>
      <c r="J15" s="19" t="s">
        <v>28</v>
      </c>
      <c r="V15" s="2"/>
      <c r="W15" s="2"/>
      <c r="X15" s="2"/>
      <c r="Y15" s="2"/>
      <c r="Z15" s="2"/>
      <c r="AA15" s="2"/>
      <c r="AB15" s="2"/>
      <c r="AC15" s="2"/>
    </row>
    <row r="16" spans="1:29" ht="16.5" x14ac:dyDescent="0.25">
      <c r="A16" s="18" t="s">
        <v>49</v>
      </c>
      <c r="B16" s="45">
        <v>20342689.014999948</v>
      </c>
      <c r="C16" s="45">
        <v>9275541</v>
      </c>
      <c r="D16" s="45">
        <v>11037748.015000001</v>
      </c>
      <c r="E16" s="39">
        <v>0</v>
      </c>
      <c r="F16" s="45">
        <v>3900</v>
      </c>
      <c r="G16" s="39">
        <v>0</v>
      </c>
      <c r="H16" s="39">
        <v>0</v>
      </c>
      <c r="I16" s="45">
        <v>25500</v>
      </c>
      <c r="J16" s="19" t="s">
        <v>50</v>
      </c>
      <c r="V16" s="2"/>
      <c r="W16" s="21"/>
      <c r="X16" s="21"/>
      <c r="Y16" s="21"/>
      <c r="Z16" s="21"/>
      <c r="AA16" s="21"/>
      <c r="AB16" s="21"/>
      <c r="AC16" s="2"/>
    </row>
    <row r="17" spans="1:29" ht="16.5" x14ac:dyDescent="0.25">
      <c r="A17" s="22" t="s">
        <v>15</v>
      </c>
      <c r="B17" s="45">
        <v>12008159.68</v>
      </c>
      <c r="C17" s="45">
        <v>6237025</v>
      </c>
      <c r="D17" s="45">
        <v>5583493.6800000006</v>
      </c>
      <c r="E17" s="39">
        <v>0</v>
      </c>
      <c r="F17" s="39">
        <v>0</v>
      </c>
      <c r="G17" s="39">
        <v>0</v>
      </c>
      <c r="H17" s="39">
        <v>0</v>
      </c>
      <c r="I17" s="45">
        <v>187641</v>
      </c>
      <c r="J17" s="19" t="s">
        <v>51</v>
      </c>
      <c r="V17" s="2"/>
      <c r="W17" s="23"/>
      <c r="X17" s="42"/>
      <c r="Y17" s="42"/>
      <c r="Z17" s="42"/>
      <c r="AA17" s="42"/>
      <c r="AB17" s="24"/>
      <c r="AC17" s="24"/>
    </row>
    <row r="18" spans="1:29" ht="16.5" x14ac:dyDescent="0.25">
      <c r="A18" s="18" t="s">
        <v>16</v>
      </c>
      <c r="B18" s="45">
        <v>29868861.675999999</v>
      </c>
      <c r="C18" s="45">
        <v>11649730</v>
      </c>
      <c r="D18" s="45">
        <v>14460400.676000001</v>
      </c>
      <c r="E18" s="39">
        <v>0</v>
      </c>
      <c r="F18" s="45">
        <v>3358631</v>
      </c>
      <c r="G18" s="39">
        <v>0</v>
      </c>
      <c r="H18" s="39">
        <v>0</v>
      </c>
      <c r="I18" s="45">
        <v>400100</v>
      </c>
      <c r="J18" s="19" t="s">
        <v>52</v>
      </c>
      <c r="V18" s="2"/>
      <c r="W18" s="25"/>
      <c r="X18" s="25"/>
      <c r="Y18" s="25"/>
      <c r="Z18" s="25"/>
      <c r="AA18" s="26"/>
      <c r="AB18" s="27"/>
      <c r="AC18" s="28"/>
    </row>
    <row r="19" spans="1:29" ht="16.5" x14ac:dyDescent="0.25">
      <c r="A19" s="18" t="s">
        <v>17</v>
      </c>
      <c r="B19" s="45">
        <v>3448993.73</v>
      </c>
      <c r="C19" s="45">
        <v>1514834</v>
      </c>
      <c r="D19" s="45">
        <v>1934159.73</v>
      </c>
      <c r="E19" s="39">
        <v>0</v>
      </c>
      <c r="F19" s="39">
        <v>0</v>
      </c>
      <c r="G19" s="39">
        <v>0</v>
      </c>
      <c r="H19" s="39">
        <v>0</v>
      </c>
      <c r="I19" s="45">
        <v>0</v>
      </c>
      <c r="J19" s="19" t="s">
        <v>53</v>
      </c>
      <c r="V19" s="2"/>
      <c r="W19" s="21"/>
      <c r="X19" s="21"/>
      <c r="Y19" s="21"/>
      <c r="Z19" s="21"/>
      <c r="AA19" s="21"/>
      <c r="AB19" s="21"/>
      <c r="AC19" s="2"/>
    </row>
    <row r="20" spans="1:29" ht="16.5" x14ac:dyDescent="0.25">
      <c r="A20" s="18" t="s">
        <v>18</v>
      </c>
      <c r="B20" s="45">
        <v>10855208.770000001</v>
      </c>
      <c r="C20" s="45">
        <v>5565294.4000000004</v>
      </c>
      <c r="D20" s="45">
        <v>5282414.370000001</v>
      </c>
      <c r="E20" s="39">
        <v>0</v>
      </c>
      <c r="F20" s="39">
        <v>0</v>
      </c>
      <c r="G20" s="39">
        <v>0</v>
      </c>
      <c r="H20" s="39">
        <v>0</v>
      </c>
      <c r="I20" s="45">
        <v>7500</v>
      </c>
      <c r="J20" s="19" t="s">
        <v>54</v>
      </c>
      <c r="V20" s="2"/>
      <c r="W20" s="2"/>
      <c r="X20" s="2"/>
      <c r="Y20" s="2"/>
      <c r="Z20" s="2"/>
      <c r="AA20" s="2"/>
      <c r="AB20" s="2"/>
      <c r="AC20" s="2"/>
    </row>
    <row r="21" spans="1:29" ht="16.5" x14ac:dyDescent="0.25">
      <c r="A21" s="18" t="s">
        <v>19</v>
      </c>
      <c r="B21" s="45">
        <v>14390976.83</v>
      </c>
      <c r="C21" s="45">
        <v>7762030</v>
      </c>
      <c r="D21" s="45">
        <v>6516058.8300000001</v>
      </c>
      <c r="E21" s="39">
        <v>0</v>
      </c>
      <c r="F21" s="39">
        <v>0</v>
      </c>
      <c r="G21" s="39">
        <v>0</v>
      </c>
      <c r="H21" s="39">
        <v>0</v>
      </c>
      <c r="I21" s="45">
        <v>109000</v>
      </c>
      <c r="J21" s="19" t="s">
        <v>55</v>
      </c>
      <c r="V21" s="2"/>
      <c r="W21" s="2"/>
      <c r="X21" s="2"/>
      <c r="Y21" s="2"/>
      <c r="Z21" s="2"/>
      <c r="AA21" s="2"/>
      <c r="AB21" s="2"/>
      <c r="AC21" s="2"/>
    </row>
    <row r="22" spans="1:29" ht="16.5" x14ac:dyDescent="0.25">
      <c r="A22" s="18" t="s">
        <v>20</v>
      </c>
      <c r="B22" s="45">
        <v>16428599.425000001</v>
      </c>
      <c r="C22" s="45">
        <v>8217360</v>
      </c>
      <c r="D22" s="45">
        <v>8160359.4250000007</v>
      </c>
      <c r="E22" s="39">
        <v>0</v>
      </c>
      <c r="F22" s="39">
        <v>0</v>
      </c>
      <c r="G22" s="39">
        <v>0</v>
      </c>
      <c r="H22" s="39">
        <v>0</v>
      </c>
      <c r="I22" s="45">
        <v>50880</v>
      </c>
      <c r="J22" s="19" t="s">
        <v>56</v>
      </c>
      <c r="V22" s="2"/>
      <c r="W22" s="2"/>
      <c r="X22" s="2"/>
      <c r="Y22" s="2"/>
      <c r="Z22" s="2"/>
      <c r="AA22" s="2"/>
      <c r="AB22" s="2"/>
      <c r="AC22" s="2"/>
    </row>
    <row r="23" spans="1:29" ht="16.5" x14ac:dyDescent="0.25">
      <c r="A23" s="18" t="s">
        <v>21</v>
      </c>
      <c r="B23" s="45">
        <v>23808645.879999999</v>
      </c>
      <c r="C23" s="45">
        <v>12577094</v>
      </c>
      <c r="D23" s="45">
        <v>11056811.879999999</v>
      </c>
      <c r="E23" s="39">
        <v>0</v>
      </c>
      <c r="F23" s="39">
        <v>0</v>
      </c>
      <c r="G23" s="39">
        <v>0</v>
      </c>
      <c r="H23" s="39">
        <v>0</v>
      </c>
      <c r="I23" s="45">
        <v>174740</v>
      </c>
      <c r="J23" s="19" t="s">
        <v>57</v>
      </c>
      <c r="V23" s="2"/>
      <c r="W23" s="2"/>
      <c r="X23" s="2"/>
      <c r="Y23" s="2"/>
      <c r="Z23" s="2"/>
      <c r="AA23" s="2"/>
      <c r="AB23" s="2"/>
      <c r="AC23" s="2"/>
    </row>
    <row r="24" spans="1:29" ht="16.5" x14ac:dyDescent="0.25">
      <c r="A24" s="18" t="s">
        <v>22</v>
      </c>
      <c r="B24" s="45">
        <v>50794534.460000001</v>
      </c>
      <c r="C24" s="45">
        <v>27806675</v>
      </c>
      <c r="D24" s="45">
        <v>22984859.460000001</v>
      </c>
      <c r="E24" s="39">
        <v>0</v>
      </c>
      <c r="F24" s="39">
        <v>0</v>
      </c>
      <c r="G24" s="39">
        <v>0</v>
      </c>
      <c r="H24" s="39">
        <v>0</v>
      </c>
      <c r="I24" s="45">
        <v>3000</v>
      </c>
      <c r="J24" s="19" t="s">
        <v>58</v>
      </c>
      <c r="V24" s="2"/>
      <c r="W24" s="2"/>
      <c r="X24" s="2"/>
      <c r="Y24" s="2"/>
      <c r="Z24" s="2"/>
      <c r="AA24" s="2"/>
      <c r="AB24" s="2"/>
      <c r="AC24" s="2"/>
    </row>
    <row r="25" spans="1:29" ht="16.5" x14ac:dyDescent="0.25">
      <c r="A25" s="18" t="s">
        <v>23</v>
      </c>
      <c r="B25" s="45">
        <v>29440804.520000003</v>
      </c>
      <c r="C25" s="45">
        <v>12376254</v>
      </c>
      <c r="D25" s="45">
        <v>16853039.400000002</v>
      </c>
      <c r="E25" s="39">
        <v>0</v>
      </c>
      <c r="F25" s="45">
        <v>41575</v>
      </c>
      <c r="G25" s="39">
        <v>0</v>
      </c>
      <c r="H25" s="39">
        <v>0</v>
      </c>
      <c r="I25" s="45">
        <v>169936.12</v>
      </c>
      <c r="J25" s="19" t="s">
        <v>59</v>
      </c>
      <c r="V25" s="2"/>
      <c r="W25" s="2"/>
      <c r="X25" s="2"/>
      <c r="Y25" s="2"/>
      <c r="Z25" s="2"/>
      <c r="AA25" s="2"/>
      <c r="AB25" s="2"/>
      <c r="AC25" s="2"/>
    </row>
    <row r="26" spans="1:29" ht="16.5" x14ac:dyDescent="0.25">
      <c r="A26" s="18" t="s">
        <v>24</v>
      </c>
      <c r="B26" s="45">
        <v>52286749.169999994</v>
      </c>
      <c r="C26" s="45">
        <v>25864433</v>
      </c>
      <c r="D26" s="45">
        <v>25914149.369999997</v>
      </c>
      <c r="E26" s="45">
        <v>358916.8</v>
      </c>
      <c r="F26" s="45">
        <v>92350</v>
      </c>
      <c r="G26" s="39">
        <v>0</v>
      </c>
      <c r="H26" s="39">
        <v>0</v>
      </c>
      <c r="I26" s="45">
        <v>56900</v>
      </c>
      <c r="J26" s="19" t="s">
        <v>60</v>
      </c>
      <c r="V26" s="2"/>
      <c r="W26" s="2"/>
      <c r="X26" s="2"/>
      <c r="Y26" s="2"/>
      <c r="Z26" s="2"/>
      <c r="AA26" s="2"/>
      <c r="AB26" s="2"/>
      <c r="AC26" s="2"/>
    </row>
    <row r="27" spans="1:29" ht="16.5" x14ac:dyDescent="0.25">
      <c r="A27" s="18" t="s">
        <v>25</v>
      </c>
      <c r="B27" s="45">
        <v>30205416.392999999</v>
      </c>
      <c r="C27" s="45">
        <v>11577687</v>
      </c>
      <c r="D27" s="45">
        <v>14291462.463</v>
      </c>
      <c r="E27" s="45">
        <v>529936.93000000005</v>
      </c>
      <c r="F27" s="45">
        <v>3806280</v>
      </c>
      <c r="G27" s="39">
        <v>0</v>
      </c>
      <c r="H27" s="39">
        <v>0</v>
      </c>
      <c r="I27" s="45">
        <v>0</v>
      </c>
      <c r="J27" s="19" t="s">
        <v>27</v>
      </c>
      <c r="V27" s="2"/>
      <c r="W27" s="2"/>
      <c r="X27" s="2"/>
      <c r="Y27" s="2"/>
      <c r="Z27" s="2"/>
      <c r="AA27" s="2"/>
      <c r="AB27" s="2"/>
      <c r="AC27" s="2"/>
    </row>
    <row r="28" spans="1:29" ht="16.5" x14ac:dyDescent="0.25">
      <c r="A28" s="18" t="s">
        <v>26</v>
      </c>
      <c r="B28" s="45">
        <v>137704499.49599999</v>
      </c>
      <c r="C28" s="45">
        <v>55255895</v>
      </c>
      <c r="D28" s="45">
        <v>59525946.855999991</v>
      </c>
      <c r="E28" s="45">
        <v>1144463.1200000001</v>
      </c>
      <c r="F28" s="45">
        <v>21773173</v>
      </c>
      <c r="G28" s="39">
        <v>0</v>
      </c>
      <c r="H28" s="39">
        <v>0</v>
      </c>
      <c r="I28" s="45">
        <v>0</v>
      </c>
      <c r="J28" s="19" t="s">
        <v>61</v>
      </c>
      <c r="V28" s="2"/>
      <c r="W28" s="2"/>
      <c r="X28" s="2"/>
      <c r="Y28" s="2"/>
      <c r="Z28" s="2"/>
      <c r="AA28" s="2"/>
      <c r="AB28" s="2"/>
      <c r="AC28" s="2"/>
    </row>
    <row r="29" spans="1:29" ht="18.75" x14ac:dyDescent="0.25">
      <c r="A29" s="29" t="s">
        <v>62</v>
      </c>
      <c r="B29" s="40">
        <v>124501697.6156</v>
      </c>
      <c r="C29" s="40">
        <v>124721731.0976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30" t="s">
        <v>63</v>
      </c>
      <c r="V29" s="2"/>
      <c r="W29" s="2"/>
      <c r="X29" s="2"/>
      <c r="Y29" s="2"/>
      <c r="Z29" s="2"/>
      <c r="AA29" s="2"/>
      <c r="AB29" s="2"/>
      <c r="AC29" s="2"/>
    </row>
    <row r="30" spans="1:29" s="32" customFormat="1" ht="17.25" x14ac:dyDescent="0.25">
      <c r="A30" s="31" t="s">
        <v>64</v>
      </c>
      <c r="J30" s="33"/>
      <c r="V30" s="34"/>
      <c r="W30" s="34"/>
      <c r="X30" s="34"/>
      <c r="Y30" s="34"/>
      <c r="Z30" s="34"/>
      <c r="AA30" s="34"/>
      <c r="AB30" s="34"/>
      <c r="AC30" s="34"/>
    </row>
    <row r="31" spans="1:29" s="32" customFormat="1" ht="17.25" x14ac:dyDescent="0.25">
      <c r="A31" s="35" t="s">
        <v>65</v>
      </c>
      <c r="J31" s="33"/>
      <c r="V31" s="34"/>
      <c r="W31" s="34"/>
      <c r="X31" s="34"/>
      <c r="Y31" s="34"/>
      <c r="Z31" s="34"/>
      <c r="AA31" s="34"/>
      <c r="AB31" s="34"/>
      <c r="AC31" s="34"/>
    </row>
    <row r="32" spans="1:29" s="32" customFormat="1" ht="17.25" x14ac:dyDescent="0.25">
      <c r="A32" s="31"/>
      <c r="J32" s="33"/>
      <c r="V32" s="34"/>
      <c r="W32" s="34"/>
      <c r="X32" s="34"/>
      <c r="Y32" s="34"/>
      <c r="Z32" s="34"/>
      <c r="AA32" s="34"/>
      <c r="AB32" s="34"/>
      <c r="AC32" s="34"/>
    </row>
    <row r="33" spans="1:31" s="32" customFormat="1" ht="17.25" x14ac:dyDescent="0.25">
      <c r="A33" s="31"/>
      <c r="J33" s="33"/>
      <c r="V33" s="34"/>
      <c r="W33" s="34"/>
      <c r="X33" s="34"/>
      <c r="Y33" s="34"/>
      <c r="Z33" s="34"/>
      <c r="AA33" s="34"/>
      <c r="AB33" s="34"/>
      <c r="AC33" s="34"/>
    </row>
    <row r="34" spans="1:31" ht="17.25" x14ac:dyDescent="0.25">
      <c r="A34" s="31"/>
      <c r="B34" s="32"/>
      <c r="C34" s="32"/>
      <c r="D34" s="32"/>
      <c r="E34" s="32"/>
      <c r="F34" s="32"/>
      <c r="G34" s="32"/>
      <c r="H34" s="32"/>
      <c r="I34" s="32"/>
      <c r="J34" s="33"/>
    </row>
    <row r="38" spans="1:31" ht="25.5" x14ac:dyDescent="0.25">
      <c r="Y38" s="5" t="s">
        <v>31</v>
      </c>
      <c r="Z38" s="5" t="s">
        <v>0</v>
      </c>
      <c r="AA38" s="5" t="s">
        <v>32</v>
      </c>
      <c r="AB38" s="5" t="s">
        <v>33</v>
      </c>
      <c r="AC38" s="6" t="s">
        <v>70</v>
      </c>
      <c r="AD38" s="7" t="s">
        <v>71</v>
      </c>
      <c r="AE38" s="7" t="s">
        <v>34</v>
      </c>
    </row>
    <row r="39" spans="1:31" x14ac:dyDescent="0.25">
      <c r="Y39" s="41">
        <v>1083950632.6737001</v>
      </c>
      <c r="Z39" s="41">
        <v>752713889.11500001</v>
      </c>
      <c r="AA39" s="41">
        <v>27752269.409999996</v>
      </c>
      <c r="AB39" s="41">
        <v>75774147.599999994</v>
      </c>
      <c r="AC39" s="41">
        <v>15723963.66</v>
      </c>
      <c r="AD39" s="41">
        <v>37981527.640000001</v>
      </c>
      <c r="AE39" s="1">
        <v>20773359.949999999</v>
      </c>
    </row>
    <row r="42" spans="1:31" x14ac:dyDescent="0.25">
      <c r="A42" s="36"/>
      <c r="C42" s="37"/>
      <c r="D42" s="37"/>
      <c r="E42" s="37"/>
      <c r="F42" s="37"/>
      <c r="G42" s="37"/>
      <c r="H42" s="37"/>
      <c r="I42" s="37"/>
    </row>
    <row r="43" spans="1:31" x14ac:dyDescent="0.25">
      <c r="A43" s="36"/>
      <c r="B43" s="38"/>
      <c r="C43" s="37"/>
      <c r="D43" s="37"/>
      <c r="E43" s="37"/>
      <c r="F43" s="37"/>
      <c r="G43" s="37"/>
      <c r="H43" s="37"/>
      <c r="I43" s="37"/>
    </row>
    <row r="45" spans="1:31" x14ac:dyDescent="0.25">
      <c r="A45" s="36"/>
      <c r="B45" s="38"/>
      <c r="C45" s="37"/>
      <c r="D45" s="37"/>
      <c r="E45" s="37"/>
      <c r="F45" s="37"/>
      <c r="G45" s="37"/>
      <c r="H45" s="37"/>
      <c r="I45" s="37"/>
    </row>
    <row r="46" spans="1:31" x14ac:dyDescent="0.25">
      <c r="G46" s="37"/>
      <c r="H46" s="37"/>
      <c r="I46" s="37"/>
    </row>
    <row r="47" spans="1:31" x14ac:dyDescent="0.25">
      <c r="G47" s="37"/>
      <c r="H47" s="37"/>
      <c r="I47" s="37"/>
    </row>
    <row r="48" spans="1:31" x14ac:dyDescent="0.25">
      <c r="G48" s="37"/>
      <c r="H48" s="37"/>
      <c r="I48" s="37"/>
    </row>
    <row r="49" spans="7:9" x14ac:dyDescent="0.25">
      <c r="G49" s="37"/>
      <c r="H49" s="37"/>
      <c r="I49" s="37"/>
    </row>
    <row r="50" spans="7:9" x14ac:dyDescent="0.25">
      <c r="G50" s="37"/>
      <c r="H50" s="37"/>
      <c r="I50" s="37"/>
    </row>
    <row r="51" spans="7:9" x14ac:dyDescent="0.25">
      <c r="G51" s="37"/>
      <c r="H51" s="37"/>
      <c r="I51" s="37"/>
    </row>
    <row r="52" spans="7:9" x14ac:dyDescent="0.25">
      <c r="G52" s="37"/>
      <c r="H52" s="37"/>
      <c r="I52" s="37"/>
    </row>
  </sheetData>
  <mergeCells count="4">
    <mergeCell ref="A4:A5"/>
    <mergeCell ref="A1:J1"/>
    <mergeCell ref="A2:J2"/>
    <mergeCell ref="J4:J5"/>
  </mergeCell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2021-09-23T05:49:40Z</cp:lastPrinted>
  <dcterms:created xsi:type="dcterms:W3CDTF">2019-02-21T04:10:17Z</dcterms:created>
  <dcterms:modified xsi:type="dcterms:W3CDTF">2021-09-23T05:53:26Z</dcterms:modified>
</cp:coreProperties>
</file>