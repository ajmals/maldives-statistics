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622"/>
  </bookViews>
  <sheets>
    <sheet name="18.12" sheetId="11" r:id="rId1"/>
  </sheets>
  <definedNames>
    <definedName name="_xlnm.Print_Area" localSheetId="0">'18.12'!$A$1:$N$65</definedName>
  </definedNames>
  <calcPr calcId="162913"/>
</workbook>
</file>

<file path=xl/calcChain.xml><?xml version="1.0" encoding="utf-8"?>
<calcChain xmlns="http://schemas.openxmlformats.org/spreadsheetml/2006/main">
  <c r="J17" i="11" l="1"/>
  <c r="I17" i="11"/>
  <c r="J16" i="11"/>
  <c r="I16" i="11"/>
  <c r="H16" i="11"/>
  <c r="H17" i="11"/>
  <c r="BI24" i="11" l="1"/>
  <c r="BI23" i="11"/>
  <c r="BI25" i="11" s="1"/>
  <c r="BH23" i="11"/>
  <c r="E17" i="11" l="1"/>
  <c r="BG23" i="11" l="1"/>
  <c r="BF23" i="11"/>
  <c r="BJ23" i="11"/>
  <c r="BK23" i="11"/>
  <c r="B17" i="11"/>
  <c r="BK24" i="11" l="1"/>
  <c r="BP23" i="11" s="1"/>
  <c r="BG24" i="11"/>
  <c r="BG25" i="11" s="1"/>
  <c r="BG27" i="11" s="1"/>
  <c r="BK25" i="11" l="1"/>
  <c r="E16" i="11"/>
  <c r="B16" i="11"/>
  <c r="BQ23" i="11" l="1"/>
  <c r="BG28" i="11" l="1"/>
  <c r="J15" i="11"/>
  <c r="I15" i="11"/>
  <c r="E15" i="11"/>
  <c r="B15" i="11"/>
  <c r="J14" i="11"/>
  <c r="I14" i="11"/>
  <c r="E14" i="11"/>
  <c r="B14" i="11"/>
  <c r="J13" i="11"/>
  <c r="I13" i="11"/>
  <c r="E13" i="11"/>
  <c r="B13" i="11"/>
  <c r="J12" i="11"/>
  <c r="I12" i="11"/>
  <c r="E12" i="11"/>
  <c r="B12" i="11"/>
  <c r="J11" i="11"/>
  <c r="I11" i="11"/>
  <c r="E11" i="11"/>
  <c r="B11" i="11"/>
  <c r="J10" i="11"/>
  <c r="I10" i="11"/>
  <c r="E10" i="11"/>
  <c r="B10" i="11"/>
  <c r="J9" i="11"/>
  <c r="I9" i="11"/>
  <c r="E9" i="11"/>
  <c r="B9" i="11"/>
  <c r="J8" i="11"/>
  <c r="I8" i="11"/>
  <c r="E8" i="11"/>
  <c r="B8" i="11"/>
  <c r="J7" i="11"/>
  <c r="I7" i="11"/>
  <c r="E7" i="11"/>
  <c r="B7" i="11"/>
  <c r="H7" i="11" l="1"/>
  <c r="H8" i="11"/>
  <c r="H9" i="11"/>
  <c r="H10" i="11"/>
  <c r="H11" i="11"/>
  <c r="H12" i="11"/>
  <c r="H13" i="11"/>
  <c r="H14" i="11"/>
  <c r="H15" i="11"/>
  <c r="BG29" i="11" l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<sst xmlns="http://schemas.openxmlformats.org/spreadsheetml/2006/main" count="43" uniqueCount="19">
  <si>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</si>
  <si>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</si>
  <si>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</si>
  <si>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</si>
  <si>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</si>
  <si>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</si>
  <si>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</si>
  <si>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</si>
  <si>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</si>
  <si>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</si>
  <si>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</si>
  <si>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</si>
  <si>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</si>
  <si>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</si>
  <si>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</si>
  <si>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</si>
  <si>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</si>
  <si>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ތާވަލު  18.12 :ރިޓާޔަމަންޓް ޕެންޝަން ސްކީމްއަށް ޕަބްލިކް އަދި ޕްރައިވެޓް ސެކްޓަރއިން ފައިސާދެއްކި މީހުންގެ ޢަދަދު ، 2010 - 2020</t>
  </si>
  <si>
    <t>TABLE   18.12:  NUMBER OF MEMBERS CONTRIBUTING TO RETIREMENT PENSION SCHEME BY SECTOR AND SEX,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</si>
</sst>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9">
    <xf numFmtId="0" fontId="0" fillId="0" borderId="0"/>
    <xf numFmtId="164" fontId="8" fillId="0" borderId="18"/>
    <xf numFmtId="0" fontId="1" fillId="0" borderId="18"/>
    <xf numFmtId="0" fontId="1" fillId="0" borderId="18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0" fontId="7" fillId="0" borderId="18"/>
    <xf numFmtId="0" fontId="9" fillId="0" borderId="18"/>
    <xf numFmtId="0" fontId="10" fillId="0" borderId="18" applyFill="0" applyProtection="0"/>
  </cellStyleXfs>
  <cellXfs count="4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13" xfId="0" applyFont="1" applyFill="1" applyBorder="1" applyAlignment="1">
      <alignment horizontal="right" vertical="center"/>
    </xf>
    <xf numFmtId="0" fontId="2" fillId="2" borderId="2" xfId="0" applyFont="1" applyFill="1" applyBorder="1"/>
    <xf numFmtId="164" fontId="0" fillId="2" borderId="2" xfId="0" applyNumberFormat="1" applyFont="1" applyFill="1" applyBorder="1" applyAlignment="1">
      <alignment horizontal="center" vertical="center"/>
    </xf>
    <xf numFmtId="164" fontId="0" fillId="2" borderId="2" xfId="0" applyNumberFormat="1" applyFont="1" applyFill="1" applyBorder="1"/>
    <xf numFmtId="0" fontId="0" fillId="2" borderId="18" xfId="0" applyFont="1" applyFill="1" applyBorder="1"/>
    <xf numFmtId="0" fontId="5" fillId="2" borderId="2" xfId="0" applyFont="1" applyFill="1" applyBorder="1"/>
    <xf numFmtId="0" fontId="6" fillId="2" borderId="2" xfId="0" applyFont="1" applyFill="1" applyBorder="1" applyAlignment="1"/>
    <xf numFmtId="165" fontId="0" fillId="2" borderId="2" xfId="0" applyNumberFormat="1" applyFont="1" applyFill="1" applyBorder="1"/>
    <xf numFmtId="164" fontId="0" fillId="2" borderId="18" xfId="0" applyNumberFormat="1" applyFont="1" applyFill="1" applyBorder="1"/>
    <xf numFmtId="0" fontId="4" fillId="2" borderId="6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right" vertical="center"/>
    </xf>
    <xf numFmtId="165" fontId="0" fillId="3" borderId="0" xfId="0" applyNumberFormat="1" applyFont="1" applyFill="1" applyAlignment="1"/>
    <xf numFmtId="0" fontId="0" fillId="2" borderId="24" xfId="0" applyFont="1" applyFill="1" applyBorder="1" applyAlignment="1">
      <alignment horizontal="center" vertical="center"/>
    </xf>
    <xf numFmtId="164" fontId="0" fillId="2" borderId="11" xfId="0" applyNumberFormat="1" applyFont="1" applyFill="1" applyBorder="1" applyAlignment="1">
      <alignment horizontal="center" vertical="center"/>
    </xf>
    <xf numFmtId="164" fontId="0" fillId="4" borderId="24" xfId="0" applyNumberFormat="1" applyFont="1" applyFill="1" applyBorder="1" applyAlignment="1">
      <alignment horizontal="center" vertical="center"/>
    </xf>
    <xf numFmtId="164" fontId="0" fillId="4" borderId="26" xfId="0" applyNumberFormat="1" applyFont="1" applyFill="1" applyBorder="1" applyAlignment="1">
      <alignment horizontal="center" vertical="center"/>
    </xf>
    <xf numFmtId="164" fontId="0" fillId="2" borderId="25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22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164" fontId="0" fillId="2" borderId="15" xfId="0" applyNumberFormat="1" applyFont="1" applyFill="1" applyBorder="1" applyAlignment="1">
      <alignment horizontal="center" vertical="center"/>
    </xf>
    <xf numFmtId="164" fontId="0" fillId="2" borderId="23" xfId="0" applyNumberFormat="1" applyFont="1" applyFill="1" applyBorder="1" applyAlignment="1">
      <alignment horizontal="center" vertical="center"/>
    </xf>
    <xf numFmtId="164" fontId="0" fillId="2" borderId="9" xfId="0" applyNumberFormat="1" applyFont="1" applyFill="1" applyBorder="1" applyAlignment="1">
      <alignment horizontal="center" vertical="center"/>
    </xf>
    <xf numFmtId="164" fontId="0" fillId="2" borderId="24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166" fontId="0" fillId="2" borderId="2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4" fillId="2" borderId="2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3" borderId="16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3" fillId="3" borderId="12" xfId="0" applyFont="1" applyFill="1" applyBorder="1"/>
    <xf numFmtId="0" fontId="3" fillId="3" borderId="8" xfId="0" applyFont="1" applyFill="1" applyBorder="1"/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391590093696766"/>
          <c:y val="0.24586898665638823"/>
          <c:w val="0.35073036820066789"/>
          <c:h val="0.68886294807554649"/>
        </c:manualLayout>
      </c:layout>
      <c:doughnutChart>
        <c:varyColors val="1"/>
        <c:ser>
          <c:idx val="0"/>
          <c:order val="0"/>
          <c:tx>
            <c:strRef>
              <c:f>'18.12'!$BG$26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3A64-4900-A67D-F934B295FBE8}"/>
              </c:ext>
            </c:extLst>
          </c:dPt>
          <c:dPt>
            <c:idx val="1"/>
            <c:bubble3D val="0"/>
            <c:spPr>
              <a:solidFill>
                <a:srgbClr val="FFBC79"/>
              </a:solidFill>
            </c:spPr>
            <c:extLst>
              <c:ext xmlns:c16="http://schemas.microsoft.com/office/drawing/2014/chart" uri="{C3380CC4-5D6E-409C-BE32-E72D297353CC}">
                <c16:uniqueId val="{00000003-3A64-4900-A67D-F934B295FBE8}"/>
              </c:ext>
            </c:extLst>
          </c:dPt>
          <c:dLbls>
            <c:dLbl>
              <c:idx val="0"/>
              <c:layout>
                <c:manualLayout>
                  <c:x val="0.10736944851146901"/>
                  <c:y val="-0.142222222222222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A64-4900-A67D-F934B295FBE8}"/>
                </c:ext>
              </c:extLst>
            </c:dLbl>
            <c:dLbl>
              <c:idx val="1"/>
              <c:layout>
                <c:manualLayout>
                  <c:x val="-8.7847730600292828E-2"/>
                  <c:y val="-0.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A64-4900-A67D-F934B295FB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'18.12'!$BF$27:$BF$28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'18.12'!$BG$27:$BG$28</c:f>
              <c:numCache>
                <c:formatCode>0.0</c:formatCode>
                <c:ptCount val="2"/>
                <c:pt idx="0">
                  <c:v>50.506512301013032</c:v>
                </c:pt>
                <c:pt idx="1">
                  <c:v>23.536737235367372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4-4900-A67D-F934B295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836408278877156"/>
          <c:y val="0.18631313942899996"/>
          <c:w val="0.34981858206140648"/>
          <c:h val="0.8114839216526506"/>
        </c:manualLayout>
      </c:layout>
      <c:doughnutChart>
        <c:varyColors val="1"/>
        <c:ser>
          <c:idx val="0"/>
          <c:order val="0"/>
          <c:spPr>
            <a:solidFill>
              <a:srgbClr val="FFBC79"/>
            </a:solidFill>
          </c:spPr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1C33-40FD-9986-41E8551054B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87B8-45F1-82F6-908975E01683}"/>
              </c:ext>
            </c:extLst>
          </c:dPt>
          <c:dLbls>
            <c:dLbl>
              <c:idx val="0"/>
              <c:layout>
                <c:manualLayout>
                  <c:x val="0"/>
                  <c:y val="-3.02049622437972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33-40FD-9986-41E855105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'18.12'!$BP$22:$BQ$22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'18.12'!$BP$23:$BQ$23</c:f>
              <c:numCache>
                <c:formatCode>0.0</c:formatCode>
                <c:ptCount val="2"/>
                <c:pt idx="0">
                  <c:v>64.625547862542092</c:v>
                </c:pt>
                <c:pt idx="1">
                  <c:v>35.374452137457915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3-40FD-9986-41E855105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FBC79"/>
            </a:solidFill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0D5-4BDB-8661-3B4F1A4CF09E}"/>
              </c:ext>
            </c:extLst>
          </c:dPt>
          <c:dPt>
            <c:idx val="1"/>
            <c:invertIfNegative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2-D0D5-4BDB-8661-3B4F1A4CF09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0D5-4BDB-8661-3B4F1A4CF09E}"/>
              </c:ext>
            </c:extLst>
          </c:dPt>
          <c:dPt>
            <c:idx val="3"/>
            <c:invertIfNegative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5-D0D5-4BDB-8661-3B4F1A4CF09E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D0D5-4BDB-8661-3B4F1A4CF09E}"/>
              </c:ext>
            </c:extLst>
          </c:dPt>
          <c:dPt>
            <c:idx val="5"/>
            <c:invertIfNegative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8-D0D5-4BDB-8661-3B4F1A4CF09E}"/>
              </c:ext>
            </c:extLst>
          </c:dPt>
          <c:cat>
            <c:multiLvlStrRef>
              <c:f>'18.12'!$BF$21:$BK$22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'18.12'!$BF$23:$BK$23</c:f>
              <c:numCache>
                <c:formatCode>_(* #,##0_);_(* \(#,##0\);_(* "-"??_);_(@_)</c:formatCode>
                <c:ptCount val="6"/>
                <c:pt idx="0">
                  <c:v>20520</c:v>
                </c:pt>
                <c:pt idx="1">
                  <c:v>20940</c:v>
                </c:pt>
                <c:pt idx="2">
                  <c:v>40524</c:v>
                </c:pt>
                <c:pt idx="3">
                  <c:v>12474</c:v>
                </c:pt>
                <c:pt idx="4">
                  <c:v>61044</c:v>
                </c:pt>
                <c:pt idx="5">
                  <c:v>33414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D0D5-4BDB-8661-3B4F1A4C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452960624"/>
        <c:axId val="452964936"/>
      </c:barChart>
      <c:catAx>
        <c:axId val="452960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452964936"/>
        <c:crosses val="autoZero"/>
        <c:auto val="1"/>
        <c:lblAlgn val="ctr"/>
        <c:lblOffset val="100"/>
        <c:tickLblSkip val="1"/>
        <c:noMultiLvlLbl val="0"/>
      </c:catAx>
      <c:valAx>
        <c:axId val="452964936"/>
        <c:scaling>
          <c:orientation val="minMax"/>
        </c:scaling>
        <c:delete val="0"/>
        <c:axPos val="l"/>
        <c:majorGridlines>
          <c:spPr>
            <a:ln>
              <a:solidFill>
                <a:srgbClr val="B2EDEC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5296062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34</xdr:row>
      <xdr:rowOff>95250</xdr:rowOff>
    </xdr:from>
    <xdr:ext cx="6505575" cy="2857500"/>
    <xdr:graphicFrame macro=""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504825</xdr:colOff>
      <xdr:row>49</xdr:row>
      <xdr:rowOff>152400</xdr:rowOff>
    </xdr:from>
    <xdr:ext cx="6496050" cy="2943225"/>
    <xdr:graphicFrame macro=""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685800</xdr:colOff>
      <xdr:row>35</xdr:row>
      <xdr:rowOff>152400</xdr:rowOff>
    </xdr:from>
    <xdr:ext cx="6229350" cy="266700"/>
    <xdr:sp macro="" textlink="">
      <xdr:nvSpPr>
        <xdr:cNvPr id="18" name="Shape 18"/>
        <xdr:cNvSpPr txBox="1"/>
      </xdr:nvSpPr>
      <xdr:spPr>
        <a:xfrm>
          <a:off x="685800" y="8039100"/>
          <a:ext cx="62293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18.13: Percentage share of females contributing to retirement pension scheme by sector, 2020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647700</xdr:colOff>
      <xdr:row>50</xdr:row>
      <xdr:rowOff>76200</xdr:rowOff>
    </xdr:from>
    <xdr:ext cx="6362700" cy="285750"/>
    <xdr:sp macro="" textlink="">
      <xdr:nvSpPr>
        <xdr:cNvPr id="19" name="Shape 19"/>
        <xdr:cNvSpPr txBox="1"/>
      </xdr:nvSpPr>
      <xdr:spPr>
        <a:xfrm>
          <a:off x="2169413" y="3641888"/>
          <a:ext cx="63531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18.14: Percentage share of  employees  contributing to the retirement pension scheme by sex, </a:t>
          </a:r>
          <a:r>
            <a:rPr lang="dv-MV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2020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371475</xdr:colOff>
      <xdr:row>18</xdr:row>
      <xdr:rowOff>142875</xdr:rowOff>
    </xdr:from>
    <xdr:to>
      <xdr:col>9</xdr:col>
      <xdr:colOff>266700</xdr:colOff>
      <xdr:row>32</xdr:row>
      <xdr:rowOff>104775</xdr:rowOff>
    </xdr:to>
    <xdr:graphicFrame macro="">
      <xdr:nvGraphicFramePr>
        <xdr:cNvPr id="16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2020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R65"/>
  <sheetViews>
    <sheetView tabSelected="1" zoomScale="91" zoomScaleNormal="91" workbookViewId="0">
      <selection activeCell="AB13" sqref="AB13"/>
    </sheetView>
  </sheetViews>
  <sheetFormatPr defaultColWidth="14.42578125" defaultRowHeight="15" customHeight="1" x14ac:dyDescent="0.25"/>
  <cols>
    <col min="1" max="1" width="10.42578125" style="2" customWidth="1"/>
    <col min="2" max="10" width="11" style="2" customWidth="1"/>
    <col min="11" max="11" width="6.7109375" style="2" hidden="1" customWidth="1"/>
    <col min="12" max="13" width="8" style="2" hidden="1" customWidth="1"/>
    <col min="14" max="14" width="1.140625" style="2" customWidth="1"/>
    <col min="15" max="62" width="8" style="2" customWidth="1"/>
    <col min="63" max="63" width="9.42578125" style="2" customWidth="1"/>
    <col min="64" max="69" width="8" style="2" customWidth="1"/>
    <col min="70" max="16384" width="14.42578125" style="2"/>
  </cols>
  <sheetData>
    <row r="1" spans="1:69" ht="21" customHeight="1" x14ac:dyDescent="0.55000000000000004">
      <c r="A1" s="35" t="s">
        <v>17</v>
      </c>
      <c r="B1" s="36"/>
      <c r="C1" s="36"/>
      <c r="D1" s="36"/>
      <c r="E1" s="36"/>
      <c r="F1" s="36"/>
      <c r="G1" s="36"/>
      <c r="H1" s="36"/>
      <c r="I1" s="36"/>
      <c r="J1" s="37"/>
      <c r="K1" s="1"/>
      <c r="L1" s="1"/>
      <c r="M1" s="4"/>
      <c r="N1" s="1"/>
      <c r="O1" s="1"/>
      <c r="P1" s="1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5">
      <c r="A2" s="43" t="s">
        <v>18</v>
      </c>
      <c r="B2" s="36"/>
      <c r="C2" s="36"/>
      <c r="D2" s="36"/>
      <c r="E2" s="36"/>
      <c r="F2" s="36"/>
      <c r="G2" s="36"/>
      <c r="H2" s="36"/>
      <c r="I2" s="36"/>
      <c r="J2" s="37"/>
      <c r="K2" s="1"/>
      <c r="L2" s="1"/>
      <c r="M2" s="1"/>
      <c r="N2" s="1"/>
      <c r="O2" s="1"/>
      <c r="P2" s="1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44" t="s">
        <v>8</v>
      </c>
      <c r="B4" s="21"/>
      <c r="C4" s="12" t="s">
        <v>9</v>
      </c>
      <c r="D4" s="22"/>
      <c r="E4" s="40" t="s">
        <v>10</v>
      </c>
      <c r="F4" s="47"/>
      <c r="G4" s="39"/>
      <c r="H4" s="23"/>
      <c r="I4" s="24" t="s">
        <v>2</v>
      </c>
      <c r="J4" s="24"/>
      <c r="K4" s="1"/>
      <c r="L4" s="1"/>
      <c r="M4" s="1"/>
      <c r="N4" s="1"/>
      <c r="O4" s="1"/>
      <c r="P4" s="1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x14ac:dyDescent="0.25">
      <c r="A5" s="45"/>
      <c r="B5" s="14" t="s">
        <v>7</v>
      </c>
      <c r="C5" s="14" t="s">
        <v>3</v>
      </c>
      <c r="D5" s="25" t="s">
        <v>4</v>
      </c>
      <c r="E5" s="14" t="s">
        <v>7</v>
      </c>
      <c r="F5" s="14" t="s">
        <v>3</v>
      </c>
      <c r="G5" s="25" t="s">
        <v>4</v>
      </c>
      <c r="H5" s="14" t="s">
        <v>7</v>
      </c>
      <c r="I5" s="14" t="s">
        <v>3</v>
      </c>
      <c r="J5" s="14" t="s">
        <v>4</v>
      </c>
      <c r="K5" s="1"/>
      <c r="L5" s="1"/>
      <c r="M5" s="1"/>
      <c r="N5" s="1"/>
      <c r="O5" s="1"/>
      <c r="P5" s="1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 x14ac:dyDescent="0.55000000000000004">
      <c r="A6" s="46"/>
      <c r="B6" s="3" t="s">
        <v>0</v>
      </c>
      <c r="C6" s="3" t="s">
        <v>1</v>
      </c>
      <c r="D6" s="26" t="s">
        <v>11</v>
      </c>
      <c r="E6" s="3" t="s">
        <v>0</v>
      </c>
      <c r="F6" s="3" t="s">
        <v>1</v>
      </c>
      <c r="G6" s="26" t="s">
        <v>11</v>
      </c>
      <c r="H6" s="3" t="s">
        <v>0</v>
      </c>
      <c r="I6" s="3" t="s">
        <v>1</v>
      </c>
      <c r="J6" s="27" t="s">
        <v>11</v>
      </c>
      <c r="K6" s="1"/>
      <c r="L6" s="1"/>
      <c r="M6" s="1"/>
      <c r="N6" s="1"/>
      <c r="O6" s="1"/>
      <c r="P6" s="1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ht="26.25" customHeight="1" x14ac:dyDescent="0.25">
      <c r="A7" s="13">
        <v>2010</v>
      </c>
      <c r="B7" s="5">
        <f t="shared" ref="B7:B16" si="0">SUM(C7:D7)</f>
        <v>30269</v>
      </c>
      <c r="C7" s="5">
        <v>19298</v>
      </c>
      <c r="D7" s="28">
        <v>10971</v>
      </c>
      <c r="E7" s="29">
        <f t="shared" ref="E7:E17" si="1">SUM(F7:G7)</f>
        <v>252</v>
      </c>
      <c r="F7" s="5">
        <v>119</v>
      </c>
      <c r="G7" s="28">
        <v>133</v>
      </c>
      <c r="H7" s="29">
        <f t="shared" ref="H7:J7" si="2">B7+E7</f>
        <v>30521</v>
      </c>
      <c r="I7" s="5">
        <f t="shared" si="2"/>
        <v>19417</v>
      </c>
      <c r="J7" s="30">
        <f t="shared" si="2"/>
        <v>11104</v>
      </c>
      <c r="K7" s="1"/>
      <c r="L7" s="1"/>
      <c r="M7" s="1"/>
      <c r="N7" s="1"/>
      <c r="O7" s="1"/>
      <c r="P7" s="1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ht="26.25" customHeight="1" x14ac:dyDescent="0.25">
      <c r="A8" s="13">
        <v>2011</v>
      </c>
      <c r="B8" s="5">
        <f t="shared" si="0"/>
        <v>21053</v>
      </c>
      <c r="C8" s="5">
        <v>13667</v>
      </c>
      <c r="D8" s="28">
        <v>7386</v>
      </c>
      <c r="E8" s="17">
        <f t="shared" si="1"/>
        <v>37950</v>
      </c>
      <c r="F8" s="5">
        <v>29781</v>
      </c>
      <c r="G8" s="28">
        <v>8169</v>
      </c>
      <c r="H8" s="17">
        <f t="shared" ref="H8:J8" si="3">B8+E8</f>
        <v>59003</v>
      </c>
      <c r="I8" s="5">
        <f t="shared" si="3"/>
        <v>43448</v>
      </c>
      <c r="J8" s="5">
        <f t="shared" si="3"/>
        <v>15555</v>
      </c>
      <c r="K8" s="1"/>
      <c r="L8" s="1"/>
      <c r="M8" s="1"/>
      <c r="N8" s="1"/>
      <c r="O8" s="1"/>
      <c r="P8" s="1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ht="26.25" customHeight="1" x14ac:dyDescent="0.25">
      <c r="A9" s="13">
        <v>2012</v>
      </c>
      <c r="B9" s="5">
        <f t="shared" si="0"/>
        <v>31653</v>
      </c>
      <c r="C9" s="5">
        <v>18242</v>
      </c>
      <c r="D9" s="28">
        <v>13411</v>
      </c>
      <c r="E9" s="17">
        <f t="shared" si="1"/>
        <v>37152</v>
      </c>
      <c r="F9" s="5">
        <v>30036</v>
      </c>
      <c r="G9" s="28">
        <v>7116</v>
      </c>
      <c r="H9" s="17">
        <f t="shared" ref="H9:J9" si="4">B9+E9</f>
        <v>68805</v>
      </c>
      <c r="I9" s="5">
        <f t="shared" si="4"/>
        <v>48278</v>
      </c>
      <c r="J9" s="5">
        <f t="shared" si="4"/>
        <v>20527</v>
      </c>
      <c r="K9" s="1"/>
      <c r="L9" s="1"/>
      <c r="M9" s="1"/>
      <c r="N9" s="1"/>
      <c r="O9" s="1"/>
      <c r="P9" s="1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ht="26.25" customHeight="1" x14ac:dyDescent="0.25">
      <c r="A10" s="13">
        <v>2013</v>
      </c>
      <c r="B10" s="5">
        <f t="shared" si="0"/>
        <v>30162</v>
      </c>
      <c r="C10" s="5">
        <v>17816</v>
      </c>
      <c r="D10" s="28">
        <v>12346</v>
      </c>
      <c r="E10" s="17">
        <f t="shared" si="1"/>
        <v>39299</v>
      </c>
      <c r="F10" s="5">
        <v>31644</v>
      </c>
      <c r="G10" s="28">
        <v>7655</v>
      </c>
      <c r="H10" s="17">
        <f t="shared" ref="H10:J10" si="5">B10+E10</f>
        <v>69461</v>
      </c>
      <c r="I10" s="5">
        <f t="shared" si="5"/>
        <v>49460</v>
      </c>
      <c r="J10" s="5">
        <f t="shared" si="5"/>
        <v>20001</v>
      </c>
      <c r="K10" s="1"/>
      <c r="L10" s="1"/>
      <c r="M10" s="1"/>
      <c r="N10" s="1"/>
      <c r="O10" s="1"/>
      <c r="P10" s="1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ht="26.25" customHeight="1" x14ac:dyDescent="0.25">
      <c r="A11" s="13">
        <v>2014</v>
      </c>
      <c r="B11" s="5">
        <f t="shared" si="0"/>
        <v>32279</v>
      </c>
      <c r="C11" s="5">
        <v>18475</v>
      </c>
      <c r="D11" s="28">
        <v>13804</v>
      </c>
      <c r="E11" s="17">
        <f t="shared" si="1"/>
        <v>42570</v>
      </c>
      <c r="F11" s="5">
        <v>34087</v>
      </c>
      <c r="G11" s="28">
        <v>8483</v>
      </c>
      <c r="H11" s="17">
        <f t="shared" ref="H11:J11" si="6">B11+E11</f>
        <v>74849</v>
      </c>
      <c r="I11" s="5">
        <f t="shared" si="6"/>
        <v>52562</v>
      </c>
      <c r="J11" s="5">
        <f t="shared" si="6"/>
        <v>22287</v>
      </c>
      <c r="K11" s="1"/>
      <c r="L11" s="1"/>
      <c r="M11" s="1"/>
      <c r="N11" s="1"/>
      <c r="O11" s="1"/>
      <c r="P11" s="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ht="26.25" customHeight="1" x14ac:dyDescent="0.25">
      <c r="A12" s="13">
        <v>2015</v>
      </c>
      <c r="B12" s="5">
        <f t="shared" si="0"/>
        <v>35813</v>
      </c>
      <c r="C12" s="5">
        <v>19810</v>
      </c>
      <c r="D12" s="28">
        <v>16003</v>
      </c>
      <c r="E12" s="17">
        <f t="shared" si="1"/>
        <v>46109</v>
      </c>
      <c r="F12" s="5">
        <v>36441</v>
      </c>
      <c r="G12" s="28">
        <v>9668</v>
      </c>
      <c r="H12" s="17">
        <f t="shared" ref="H12:J12" si="7">B12+E12</f>
        <v>81922</v>
      </c>
      <c r="I12" s="5">
        <f t="shared" si="7"/>
        <v>56251</v>
      </c>
      <c r="J12" s="5">
        <f t="shared" si="7"/>
        <v>25671</v>
      </c>
      <c r="K12" s="1"/>
      <c r="L12" s="1"/>
      <c r="M12" s="1"/>
      <c r="N12" s="1"/>
      <c r="O12" s="1"/>
      <c r="P12" s="1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ht="26.25" customHeight="1" x14ac:dyDescent="0.25">
      <c r="A13" s="13">
        <v>2016</v>
      </c>
      <c r="B13" s="5">
        <f t="shared" si="0"/>
        <v>31447</v>
      </c>
      <c r="C13" s="5">
        <v>16984</v>
      </c>
      <c r="D13" s="28">
        <v>14463</v>
      </c>
      <c r="E13" s="17">
        <f t="shared" si="1"/>
        <v>48282</v>
      </c>
      <c r="F13" s="5">
        <v>37995</v>
      </c>
      <c r="G13" s="28">
        <v>10287</v>
      </c>
      <c r="H13" s="17">
        <f t="shared" ref="H13:J13" si="8">B13+E13</f>
        <v>79729</v>
      </c>
      <c r="I13" s="5">
        <f t="shared" si="8"/>
        <v>54979</v>
      </c>
      <c r="J13" s="5">
        <f t="shared" si="8"/>
        <v>24750</v>
      </c>
      <c r="K13" s="1"/>
      <c r="L13" s="1"/>
      <c r="M13" s="1"/>
      <c r="N13" s="1"/>
      <c r="O13" s="1"/>
      <c r="P13" s="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ht="26.25" customHeight="1" x14ac:dyDescent="0.25">
      <c r="A14" s="13">
        <v>2017</v>
      </c>
      <c r="B14" s="5">
        <f t="shared" si="0"/>
        <v>36625</v>
      </c>
      <c r="C14" s="5">
        <v>19661</v>
      </c>
      <c r="D14" s="28">
        <v>16964</v>
      </c>
      <c r="E14" s="17">
        <f t="shared" si="1"/>
        <v>52091</v>
      </c>
      <c r="F14" s="5">
        <v>40679</v>
      </c>
      <c r="G14" s="28">
        <v>11412</v>
      </c>
      <c r="H14" s="17">
        <f t="shared" ref="H14:J14" si="9">B14+E14</f>
        <v>88716</v>
      </c>
      <c r="I14" s="5">
        <f t="shared" si="9"/>
        <v>60340</v>
      </c>
      <c r="J14" s="5">
        <f t="shared" si="9"/>
        <v>28376</v>
      </c>
      <c r="K14" s="1"/>
      <c r="L14" s="1"/>
      <c r="M14" s="1"/>
      <c r="N14" s="1"/>
      <c r="O14" s="1"/>
      <c r="P14" s="1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ht="26.25" customHeight="1" x14ac:dyDescent="0.25">
      <c r="A15" s="13">
        <v>2018</v>
      </c>
      <c r="B15" s="5">
        <f t="shared" si="0"/>
        <v>40066</v>
      </c>
      <c r="C15" s="5">
        <v>20879</v>
      </c>
      <c r="D15" s="28">
        <v>19187</v>
      </c>
      <c r="E15" s="17">
        <f t="shared" si="1"/>
        <v>55021</v>
      </c>
      <c r="F15" s="5">
        <v>42475</v>
      </c>
      <c r="G15" s="28">
        <v>12546</v>
      </c>
      <c r="H15" s="17">
        <f t="shared" ref="H15:J17" si="10">B15+E15</f>
        <v>95087</v>
      </c>
      <c r="I15" s="5">
        <f t="shared" si="10"/>
        <v>63354</v>
      </c>
      <c r="J15" s="5">
        <f t="shared" si="10"/>
        <v>31733</v>
      </c>
      <c r="K15" s="1"/>
      <c r="L15" s="1"/>
      <c r="M15" s="1"/>
      <c r="N15" s="1"/>
      <c r="O15" s="1"/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ht="26.25" customHeight="1" x14ac:dyDescent="0.25">
      <c r="A16" s="13">
        <v>2019</v>
      </c>
      <c r="B16" s="5">
        <f t="shared" si="0"/>
        <v>42650</v>
      </c>
      <c r="C16" s="5">
        <v>21530</v>
      </c>
      <c r="D16" s="28">
        <v>21120</v>
      </c>
      <c r="E16" s="17">
        <f t="shared" si="1"/>
        <v>57575</v>
      </c>
      <c r="F16" s="5">
        <v>44183</v>
      </c>
      <c r="G16" s="28">
        <v>13392</v>
      </c>
      <c r="H16" s="17">
        <f>B16+E16</f>
        <v>100225</v>
      </c>
      <c r="I16" s="5">
        <f>C16+F16</f>
        <v>65713</v>
      </c>
      <c r="J16" s="5">
        <f>D16+G16</f>
        <v>34512</v>
      </c>
      <c r="K16" s="1"/>
      <c r="L16" s="1"/>
      <c r="M16" s="1"/>
      <c r="N16" s="1"/>
      <c r="O16" s="1"/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70" ht="26.25" customHeight="1" x14ac:dyDescent="0.25">
      <c r="A17" s="16">
        <v>2020</v>
      </c>
      <c r="B17" s="31">
        <f t="shared" ref="B17" si="11">SUM(C17:D17)</f>
        <v>41460</v>
      </c>
      <c r="C17" s="18">
        <v>20520</v>
      </c>
      <c r="D17" s="19">
        <v>20940</v>
      </c>
      <c r="E17" s="20">
        <f t="shared" si="1"/>
        <v>52998</v>
      </c>
      <c r="F17" s="18">
        <v>40524</v>
      </c>
      <c r="G17" s="19">
        <v>12474</v>
      </c>
      <c r="H17" s="20">
        <f>B17+E17</f>
        <v>94458</v>
      </c>
      <c r="I17" s="31">
        <f>C17+F17</f>
        <v>61044</v>
      </c>
      <c r="J17" s="31">
        <f>D17+G17</f>
        <v>33414</v>
      </c>
      <c r="K17" s="7"/>
      <c r="L17" s="7"/>
      <c r="M17" s="7"/>
      <c r="N17" s="7"/>
      <c r="O17" s="1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spans="1:70" ht="18" customHeight="1" x14ac:dyDescent="0.45">
      <c r="A18" s="8" t="s">
        <v>5</v>
      </c>
      <c r="B18" s="8"/>
      <c r="C18" s="1"/>
      <c r="D18" s="1"/>
      <c r="E18" s="1"/>
      <c r="F18" s="1"/>
      <c r="G18" s="1"/>
      <c r="H18" s="1"/>
      <c r="I18" s="1"/>
      <c r="J18" s="9" t="s">
        <v>6</v>
      </c>
      <c r="K18" s="1"/>
      <c r="L18" s="1"/>
      <c r="M18" s="1"/>
      <c r="N18" s="1"/>
      <c r="O18" s="1"/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70" x14ac:dyDescent="0.25">
      <c r="A19" s="1"/>
      <c r="B19" s="1"/>
      <c r="C19" s="1"/>
      <c r="D19" s="6"/>
      <c r="E19" s="6"/>
      <c r="F19" s="1"/>
      <c r="G19" s="6"/>
      <c r="H19" s="6"/>
      <c r="I19" s="1"/>
      <c r="J19" s="6"/>
      <c r="K19" s="1"/>
      <c r="L19" s="1"/>
      <c r="M19" s="1"/>
      <c r="N19" s="1"/>
      <c r="O19" s="1"/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70" x14ac:dyDescent="0.25">
      <c r="A20" s="1"/>
      <c r="B20" s="1"/>
      <c r="C20" s="1"/>
      <c r="D20" s="10"/>
      <c r="E20" s="10"/>
      <c r="F20" s="1"/>
      <c r="G20" s="10"/>
      <c r="H20" s="10"/>
      <c r="I20" s="1"/>
      <c r="J20" s="10"/>
      <c r="K20" s="1"/>
      <c r="L20" s="1"/>
      <c r="M20" s="1"/>
      <c r="N20" s="1"/>
      <c r="O20" s="1"/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1"/>
      <c r="BA20" s="1"/>
      <c r="BB20" s="1"/>
      <c r="BC20" s="1"/>
      <c r="BD20" s="1"/>
      <c r="BE20" s="1"/>
      <c r="BF20" s="1">
        <v>2020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7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1"/>
      <c r="BA21" s="1"/>
      <c r="BB21" s="1"/>
      <c r="BC21" s="1"/>
      <c r="BD21" s="1"/>
      <c r="BE21" s="1"/>
      <c r="BF21" s="38" t="s">
        <v>9</v>
      </c>
      <c r="BG21" s="39"/>
      <c r="BH21" s="40" t="s">
        <v>10</v>
      </c>
      <c r="BI21" s="39"/>
      <c r="BJ21" s="41" t="s">
        <v>2</v>
      </c>
      <c r="BK21" s="42"/>
      <c r="BL21" s="1"/>
      <c r="BM21" s="1"/>
      <c r="BN21" s="1"/>
      <c r="BO21" s="1"/>
      <c r="BP21" s="1"/>
      <c r="BQ21" s="1"/>
    </row>
    <row r="22" spans="1:7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1"/>
      <c r="BA22" s="1"/>
      <c r="BB22" s="1"/>
      <c r="BC22" s="1"/>
      <c r="BD22" s="1"/>
      <c r="BE22" s="1"/>
      <c r="BF22" s="14" t="s">
        <v>12</v>
      </c>
      <c r="BG22" s="32" t="s">
        <v>13</v>
      </c>
      <c r="BH22" s="14" t="s">
        <v>12</v>
      </c>
      <c r="BI22" s="32" t="s">
        <v>13</v>
      </c>
      <c r="BJ22" s="14" t="s">
        <v>12</v>
      </c>
      <c r="BK22" s="33" t="s">
        <v>13</v>
      </c>
      <c r="BL22" s="1"/>
      <c r="BM22" s="1"/>
      <c r="BN22" s="1"/>
      <c r="BO22" s="1"/>
      <c r="BP22" s="1" t="s">
        <v>3</v>
      </c>
      <c r="BQ22" s="1" t="s">
        <v>4</v>
      </c>
    </row>
    <row r="23" spans="1:7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1"/>
      <c r="BA23" s="1"/>
      <c r="BB23" s="1"/>
      <c r="BC23" s="1"/>
      <c r="BD23" s="1"/>
      <c r="BE23" s="1"/>
      <c r="BF23" s="6">
        <f>C17</f>
        <v>20520</v>
      </c>
      <c r="BG23" s="6">
        <f>D17</f>
        <v>20940</v>
      </c>
      <c r="BH23" s="6">
        <f>F17</f>
        <v>40524</v>
      </c>
      <c r="BI23" s="6">
        <f>G17</f>
        <v>12474</v>
      </c>
      <c r="BJ23" s="6">
        <f>I17</f>
        <v>61044</v>
      </c>
      <c r="BK23" s="6">
        <f>J17</f>
        <v>33414</v>
      </c>
      <c r="BL23" s="1"/>
      <c r="BM23" s="1"/>
      <c r="BN23" s="1"/>
      <c r="BO23" s="1"/>
      <c r="BP23" s="10">
        <f>BJ23/BK24*100</f>
        <v>64.625547862542092</v>
      </c>
      <c r="BQ23" s="10">
        <f>BK23/BK24*100</f>
        <v>35.374452137457915</v>
      </c>
      <c r="BR23" s="15"/>
    </row>
    <row r="24" spans="1:7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1"/>
      <c r="BA24" s="1"/>
      <c r="BB24" s="1"/>
      <c r="BC24" s="1"/>
      <c r="BD24" s="1"/>
      <c r="BE24" s="1"/>
      <c r="BF24" s="1" t="s">
        <v>14</v>
      </c>
      <c r="BG24" s="6">
        <f>SUM(BF23:BG23)</f>
        <v>41460</v>
      </c>
      <c r="BH24" s="1"/>
      <c r="BI24" s="6">
        <f>SUM(BH23:BI23)</f>
        <v>52998</v>
      </c>
      <c r="BJ24" s="1"/>
      <c r="BK24" s="6">
        <f>SUM(BJ23:BK23)</f>
        <v>94458</v>
      </c>
      <c r="BL24" s="1"/>
      <c r="BM24" s="1"/>
      <c r="BN24" s="1"/>
      <c r="BO24" s="1"/>
      <c r="BP24" s="1"/>
      <c r="BQ24" s="1"/>
    </row>
    <row r="25" spans="1:7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1"/>
      <c r="BA25" s="1"/>
      <c r="BB25" s="1"/>
      <c r="BC25" s="1"/>
      <c r="BD25" s="1"/>
      <c r="BE25" s="1"/>
      <c r="BF25" s="1" t="s">
        <v>15</v>
      </c>
      <c r="BG25" s="34">
        <f>BG23/BG24*100</f>
        <v>50.506512301013032</v>
      </c>
      <c r="BH25" s="34"/>
      <c r="BI25" s="34">
        <f>BI23/BI24*100</f>
        <v>23.536737235367372</v>
      </c>
      <c r="BJ25" s="34"/>
      <c r="BK25" s="34">
        <f>BK23/BK24*100</f>
        <v>35.374452137457915</v>
      </c>
      <c r="BL25" s="1"/>
      <c r="BM25" s="1"/>
      <c r="BN25" s="1"/>
      <c r="BO25" s="1"/>
      <c r="BP25" s="1"/>
      <c r="BQ25" s="1"/>
    </row>
    <row r="26" spans="1:7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1"/>
      <c r="BA26" s="1"/>
      <c r="BB26" s="1"/>
      <c r="BC26" s="1"/>
      <c r="BD26" s="1"/>
      <c r="BE26" s="1"/>
      <c r="BF26" s="1"/>
      <c r="BG26" s="1" t="s">
        <v>16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7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1"/>
      <c r="BA27" s="1"/>
      <c r="BB27" s="1"/>
      <c r="BC27" s="1"/>
      <c r="BD27" s="1"/>
      <c r="BE27" s="1"/>
      <c r="BF27" s="1" t="s">
        <v>9</v>
      </c>
      <c r="BG27" s="10">
        <f>BG25</f>
        <v>50.506512301013032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7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1"/>
      <c r="BA28" s="1"/>
      <c r="BB28" s="1"/>
      <c r="BC28" s="1"/>
      <c r="BD28" s="1"/>
      <c r="BE28" s="1"/>
      <c r="BF28" s="1" t="s">
        <v>10</v>
      </c>
      <c r="BG28" s="10">
        <f>BI25</f>
        <v>23.536737235367372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7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1"/>
      <c r="BA29" s="1"/>
      <c r="BB29" s="1"/>
      <c r="BC29" s="1"/>
      <c r="BD29" s="1"/>
      <c r="BE29" s="1"/>
      <c r="BF29" s="1" t="s">
        <v>2</v>
      </c>
      <c r="BG29" s="34">
        <f>BK25</f>
        <v>35.374452137457915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7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7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7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</sheetData>
  <mergeCells count="7">
    <mergeCell ref="A1:J1"/>
    <mergeCell ref="BF21:BG21"/>
    <mergeCell ref="BH21:BI21"/>
    <mergeCell ref="BJ21:BK21"/>
    <mergeCell ref="A2:J2"/>
    <mergeCell ref="A4:A6"/>
    <mergeCell ref="E4:G4"/>
  </mergeCells>
  <pageMargins left="0.7" right="0.7" top="0.75" bottom="0.75" header="0" footer="0"/>
  <pageSetup paperSize="9" scale="76" orientation="landscape" horizontalDpi="4294967295" verticalDpi="4294967295" r:id="rId1"/>
  <rowBreaks count="1" manualBreakCount="1">
    <brk id="34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2021-09-22T03:20:36Z</cp:lastPrinted>
  <dcterms:created xsi:type="dcterms:W3CDTF">2019-02-21T04:10:17Z</dcterms:created>
  <dcterms:modified xsi:type="dcterms:W3CDTF">2021-09-22T03:21:06Z</dcterms:modified>
</cp:coreProperties>
</file>