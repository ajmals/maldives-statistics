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8. Pension and Social Protection\"/>
    </mc:Choice>
  </mc:AlternateContent>
  <bookViews>
    <workbookView xWindow="0" yWindow="0" windowWidth="28800" windowHeight="12435" tabRatio="842"/>
  </bookViews>
  <sheets>
    <sheet name="18.5" sheetId="5" r:id="rId1"/>
  </sheets>
  <definedNames>
    <definedName name="_xlnm.Print_Area" localSheetId="0">'18.5'!$A$1:$AB$39</definedName>
  </definedNames>
  <calcPr calcId="152511"/>
</workbook>
</file>

<file path=xl/calcChain.xml><?xml version="1.0" encoding="utf-8"?>
<calcChain xmlns="http://schemas.openxmlformats.org/spreadsheetml/2006/main">
  <c r="AW27" i="5" l="1"/>
  <c r="AX27" i="5"/>
  <c r="AY27" i="5"/>
  <c r="AV27" i="5"/>
  <c r="V19" i="5" l="1"/>
  <c r="V18" i="5"/>
  <c r="V17" i="5"/>
  <c r="V16" i="5"/>
  <c r="V15" i="5"/>
  <c r="V14" i="5"/>
  <c r="V13" i="5"/>
  <c r="V12" i="5"/>
  <c r="V11" i="5"/>
  <c r="V10" i="5"/>
  <c r="V9" i="5"/>
  <c r="V8" i="5"/>
  <c r="Q19" i="5" l="1"/>
  <c r="Q9" i="5"/>
  <c r="Q10" i="5"/>
  <c r="Q11" i="5"/>
  <c r="Q12" i="5"/>
  <c r="Q13" i="5"/>
  <c r="Q14" i="5"/>
  <c r="Q15" i="5"/>
  <c r="Q16" i="5"/>
  <c r="Q17" i="5"/>
  <c r="Q18" i="5"/>
  <c r="Q8" i="5"/>
  <c r="AY26" i="5"/>
  <c r="AU27" i="5" l="1"/>
  <c r="AY28" i="5" s="1"/>
  <c r="AW28" i="5" l="1"/>
  <c r="AX28" i="5"/>
  <c r="AV28" i="5"/>
  <c r="L19" i="5" l="1"/>
  <c r="G19" i="5"/>
  <c r="B19" i="5"/>
  <c r="L18" i="5"/>
  <c r="G18" i="5"/>
  <c r="B18" i="5"/>
  <c r="L17" i="5"/>
  <c r="G17" i="5"/>
  <c r="B17" i="5"/>
  <c r="L16" i="5"/>
  <c r="G16" i="5"/>
  <c r="B16" i="5"/>
  <c r="L15" i="5"/>
  <c r="G15" i="5"/>
  <c r="B15" i="5"/>
  <c r="L14" i="5"/>
  <c r="G14" i="5"/>
  <c r="B14" i="5"/>
  <c r="L13" i="5"/>
  <c r="G13" i="5"/>
  <c r="B13" i="5"/>
  <c r="L12" i="5"/>
  <c r="G12" i="5"/>
  <c r="B12" i="5"/>
  <c r="L11" i="5"/>
  <c r="G11" i="5"/>
  <c r="B11" i="5"/>
  <c r="L10" i="5"/>
  <c r="G10" i="5"/>
  <c r="B10" i="5"/>
  <c r="L9" i="5"/>
  <c r="G9" i="5"/>
  <c r="B9" i="5"/>
  <c r="L8" i="5"/>
  <c r="G8" i="5"/>
  <c r="B8" i="5"/>
</calcChain>
</file>

<file path=xl/comments1.xml><?xml version="1.0" encoding="utf-8"?>
<comments xmlns="http://schemas.openxmlformats.org/spreadsheetml/2006/main">
  <authors>
    <author>Fathimath Shifaza</author>
  </authors>
  <commentList>
    <comment ref="B6" authorId="0" shapeId="0">
      <text>
        <r>
          <rPr>
            <b/>
            <sz val="9"/>
            <color indexed="81"/>
            <rFont val="Tahoma"/>
            <family val="2"/>
          </rPr>
          <t>Fathimath Shifaza:</t>
        </r>
        <r>
          <rPr>
            <sz val="9"/>
            <color indexed="81"/>
            <rFont val="Tahoma"/>
            <family val="2"/>
          </rPr>
          <t xml:space="preserve">
Note:  Payment for some MRPS pensioners was processed for two months in November which accounts for the decrease in MRPS pensioners processed in    December 2016.  </t>
        </r>
      </text>
    </comment>
  </commentList>
</comments>
</file>

<file path=xl/sharedStrings.xml><?xml version="1.0" encoding="utf-8"?>
<sst xmlns="http://schemas.openxmlformats.org/spreadsheetml/2006/main" count="59" uniqueCount="39">
  <si>
    <t>Month</t>
  </si>
  <si>
    <t>މަސް</t>
  </si>
  <si>
    <t>Total</t>
  </si>
  <si>
    <t>Jan</t>
  </si>
  <si>
    <t>ޖެނުއަރީ</t>
  </si>
  <si>
    <t>Feb</t>
  </si>
  <si>
    <t>ފެބްރުއަރީ</t>
  </si>
  <si>
    <t>Mar</t>
  </si>
  <si>
    <t>މާޗް</t>
  </si>
  <si>
    <t>Apr</t>
  </si>
  <si>
    <t>އޭޕްރީލް</t>
  </si>
  <si>
    <t>May</t>
  </si>
  <si>
    <t>މެއި</t>
  </si>
  <si>
    <t>Jun</t>
  </si>
  <si>
    <t>ޖޫން</t>
  </si>
  <si>
    <t>Jul</t>
  </si>
  <si>
    <t>ޖުލައި</t>
  </si>
  <si>
    <t>Aug</t>
  </si>
  <si>
    <t>އޮގަސްޓް</t>
  </si>
  <si>
    <t>Sep</t>
  </si>
  <si>
    <t>ސެޕްޓެމްބަރ</t>
  </si>
  <si>
    <t>Oct</t>
  </si>
  <si>
    <t>އޮކްޓޫބަރ</t>
  </si>
  <si>
    <t>Nov</t>
  </si>
  <si>
    <t>ނޮވެމްބަރ</t>
  </si>
  <si>
    <t>Dec</t>
  </si>
  <si>
    <t>ޑިސެމްބަރ</t>
  </si>
  <si>
    <t>Source: Maldives Pension Administration</t>
  </si>
  <si>
    <t>މަޢުލޫމާތު ދެއްވި ފަރާތް: މޯލްޑިވްސް ޕެންޝަން އެޑްމިނިސްޓްރޭޝަން</t>
  </si>
  <si>
    <t>65-69</t>
  </si>
  <si>
    <t>70-74</t>
  </si>
  <si>
    <t>65-69 yrs</t>
  </si>
  <si>
    <r>
      <t xml:space="preserve">Age Groups </t>
    </r>
    <r>
      <rPr>
        <b/>
        <sz val="11"/>
        <color rgb="FF000000"/>
        <rFont val="Faruma"/>
      </rPr>
      <t xml:space="preserve">  ޢުމުރުފުރާ   </t>
    </r>
  </si>
  <si>
    <t>&lt; 65</t>
  </si>
  <si>
    <t>75+</t>
  </si>
  <si>
    <t>&lt; 65  yrs</t>
  </si>
  <si>
    <t>70-74 yrs</t>
  </si>
  <si>
    <t>TABLE   18.5: NUMBER OF BENEFICIARIES OF RETIREMENT PENSION SCHEME BY AGE, 2019 - 2020</t>
  </si>
  <si>
    <t>ތާވަލު  18.5 :ރިޓާޔަމަންޓް ޕެންޝަން ލިބޭ މީހުންގެ އަދަދު އަދި ޢުމުރުފުރާތައް، 2019 - 2020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</si>
</sst>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_(* #,##0_);_(* \(#,##0\);_(* &quot;-&quot;??_);_(@_)"/>
    <numFmt numFmtId="166" formatCode="0.0"/>
  </numFmts>
  <fonts count="17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Faruma"/>
    </font>
    <font>
      <sz val="11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Calibri"/>
      <family val="2"/>
    </font>
    <font>
      <sz val="11"/>
      <color rgb="FF000000"/>
      <name val="Faruma"/>
    </font>
    <font>
      <i/>
      <sz val="9"/>
      <color rgb="FF000000"/>
      <name val="Calibri"/>
      <family val="2"/>
    </font>
    <font>
      <sz val="9"/>
      <color rgb="FF000000"/>
      <name val="Faruma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0"/>
      <name val="Courier"/>
      <family val="3"/>
    </font>
    <font>
      <sz val="11"/>
      <color theme="1"/>
      <name val="Arial"/>
      <family val="2"/>
    </font>
    <font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6E3BC"/>
      </patternFill>
    </fill>
    <fill>
      <patternFill patternType="solid">
        <fgColor theme="0"/>
        <bgColor rgb="FFE2EFD9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hair">
        <color rgb="FF000000"/>
      </left>
      <right/>
      <top/>
      <bottom style="thin">
        <color indexed="64"/>
      </bottom>
      <diagonal/>
    </border>
  </borders>
  <cellStyleXfs count="9">
    <xf numFmtId="0" fontId="0" fillId="0" borderId="0"/>
    <xf numFmtId="165" fontId="14" fillId="0" borderId="17"/>
    <xf numFmtId="0" fontId="1" fillId="0" borderId="17"/>
    <xf numFmtId="0" fontId="1" fillId="0" borderId="17"/>
    <xf numFmtId="164" fontId="12" fillId="0" borderId="17" applyFont="0" applyFill="0" applyBorder="0" applyAlignment="0" applyProtection="0"/>
    <xf numFmtId="164" fontId="12" fillId="0" borderId="17" applyFont="0" applyFill="0" applyBorder="0" applyAlignment="0" applyProtection="0"/>
    <xf numFmtId="0" fontId="12" fillId="0" borderId="17"/>
    <xf numFmtId="0" fontId="15" fillId="0" borderId="17"/>
    <xf numFmtId="0" fontId="16" fillId="0" borderId="17" applyFill="0" applyProtection="0"/>
  </cellStyleXfs>
  <cellXfs count="56">
    <xf numFmtId="0" fontId="0" fillId="0" borderId="0" xfId="0" applyFont="1" applyAlignment="1"/>
    <xf numFmtId="0" fontId="0" fillId="2" borderId="2" xfId="0" applyFont="1" applyFill="1" applyBorder="1"/>
    <xf numFmtId="0" fontId="0" fillId="3" borderId="0" xfId="0" applyFont="1" applyFill="1" applyAlignment="1"/>
    <xf numFmtId="0" fontId="0" fillId="2" borderId="17" xfId="0" applyFont="1" applyFill="1" applyBorder="1"/>
    <xf numFmtId="0" fontId="7" fillId="2" borderId="2" xfId="0" applyFont="1" applyFill="1" applyBorder="1" applyAlignment="1">
      <alignment horizontal="right" vertical="center"/>
    </xf>
    <xf numFmtId="0" fontId="7" fillId="2" borderId="2" xfId="0" applyFont="1" applyFill="1" applyBorder="1" applyAlignment="1">
      <alignment horizontal="right"/>
    </xf>
    <xf numFmtId="0" fontId="7" fillId="2" borderId="11" xfId="0" applyFont="1" applyFill="1" applyBorder="1" applyAlignment="1">
      <alignment horizontal="right" vertical="center"/>
    </xf>
    <xf numFmtId="0" fontId="6" fillId="2" borderId="2" xfId="0" applyFont="1" applyFill="1" applyBorder="1"/>
    <xf numFmtId="0" fontId="8" fillId="2" borderId="2" xfId="0" applyFont="1" applyFill="1" applyBorder="1"/>
    <xf numFmtId="0" fontId="9" fillId="2" borderId="2" xfId="0" applyFont="1" applyFill="1" applyBorder="1" applyAlignment="1"/>
    <xf numFmtId="14" fontId="0" fillId="2" borderId="2" xfId="0" applyNumberFormat="1" applyFont="1" applyFill="1" applyBorder="1"/>
    <xf numFmtId="166" fontId="0" fillId="2" borderId="2" xfId="0" applyNumberFormat="1" applyFont="1" applyFill="1" applyBorder="1"/>
    <xf numFmtId="0" fontId="5" fillId="2" borderId="11" xfId="0" applyFont="1" applyFill="1" applyBorder="1" applyAlignment="1">
      <alignment horizontal="right" vertical="center" wrapText="1"/>
    </xf>
    <xf numFmtId="165" fontId="0" fillId="2" borderId="11" xfId="0" applyNumberFormat="1" applyFont="1" applyFill="1" applyBorder="1" applyAlignment="1">
      <alignment vertical="center" wrapText="1"/>
    </xf>
    <xf numFmtId="0" fontId="0" fillId="2" borderId="2" xfId="0" applyFont="1" applyFill="1" applyBorder="1" applyAlignment="1">
      <alignment wrapText="1"/>
    </xf>
    <xf numFmtId="0" fontId="0" fillId="2" borderId="2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right" vertical="center" wrapText="1"/>
    </xf>
    <xf numFmtId="3" fontId="0" fillId="2" borderId="2" xfId="0" applyNumberFormat="1" applyFont="1" applyFill="1" applyBorder="1" applyAlignment="1">
      <alignment vertical="center" wrapText="1"/>
    </xf>
    <xf numFmtId="165" fontId="0" fillId="2" borderId="2" xfId="0" applyNumberFormat="1" applyFont="1" applyFill="1" applyBorder="1" applyAlignment="1">
      <alignment vertical="center" wrapText="1"/>
    </xf>
    <xf numFmtId="3" fontId="0" fillId="2" borderId="13" xfId="0" applyNumberFormat="1" applyFont="1" applyFill="1" applyBorder="1" applyAlignment="1">
      <alignment vertical="center" wrapText="1"/>
    </xf>
    <xf numFmtId="3" fontId="0" fillId="2" borderId="11" xfId="0" applyNumberFormat="1" applyFont="1" applyFill="1" applyBorder="1" applyAlignment="1">
      <alignment vertical="center" wrapText="1"/>
    </xf>
    <xf numFmtId="165" fontId="6" fillId="2" borderId="2" xfId="0" applyNumberFormat="1" applyFont="1" applyFill="1" applyBorder="1"/>
    <xf numFmtId="0" fontId="6" fillId="2" borderId="2" xfId="0" applyFont="1" applyFill="1" applyBorder="1" applyAlignment="1">
      <alignment wrapText="1"/>
    </xf>
    <xf numFmtId="2" fontId="0" fillId="2" borderId="2" xfId="0" applyNumberFormat="1" applyFont="1" applyFill="1" applyBorder="1" applyAlignment="1">
      <alignment wrapText="1"/>
    </xf>
    <xf numFmtId="0" fontId="5" fillId="2" borderId="18" xfId="0" applyFont="1" applyFill="1" applyBorder="1" applyAlignment="1">
      <alignment horizontal="right" vertical="center" wrapText="1"/>
    </xf>
    <xf numFmtId="165" fontId="0" fillId="2" borderId="17" xfId="0" applyNumberFormat="1" applyFont="1" applyFill="1" applyBorder="1" applyAlignment="1">
      <alignment vertical="center" wrapText="1"/>
    </xf>
    <xf numFmtId="165" fontId="0" fillId="2" borderId="18" xfId="0" applyNumberFormat="1" applyFont="1" applyFill="1" applyBorder="1" applyAlignment="1">
      <alignment vertical="center" wrapText="1"/>
    </xf>
    <xf numFmtId="3" fontId="0" fillId="2" borderId="17" xfId="0" applyNumberFormat="1" applyFont="1" applyFill="1" applyBorder="1" applyAlignment="1">
      <alignment vertical="center" wrapText="1"/>
    </xf>
    <xf numFmtId="3" fontId="0" fillId="2" borderId="18" xfId="0" applyNumberFormat="1" applyFont="1" applyFill="1" applyBorder="1" applyAlignment="1">
      <alignment vertical="center" wrapText="1"/>
    </xf>
    <xf numFmtId="0" fontId="0" fillId="2" borderId="2" xfId="0" applyFont="1" applyFill="1" applyBorder="1" applyAlignment="1">
      <alignment horizontal="left" vertical="center" indent="1"/>
    </xf>
    <xf numFmtId="0" fontId="0" fillId="2" borderId="11" xfId="0" applyFont="1" applyFill="1" applyBorder="1" applyAlignment="1">
      <alignment horizontal="left" vertical="center" indent="1"/>
    </xf>
    <xf numFmtId="165" fontId="0" fillId="4" borderId="18" xfId="0" applyNumberFormat="1" applyFont="1" applyFill="1" applyBorder="1" applyAlignment="1">
      <alignment vertical="center" wrapText="1"/>
    </xf>
    <xf numFmtId="165" fontId="0" fillId="4" borderId="17" xfId="0" applyNumberFormat="1" applyFont="1" applyFill="1" applyBorder="1" applyAlignment="1">
      <alignment vertical="center" wrapText="1"/>
    </xf>
    <xf numFmtId="0" fontId="5" fillId="2" borderId="15" xfId="0" applyFont="1" applyFill="1" applyBorder="1" applyAlignment="1">
      <alignment horizontal="center" wrapText="1"/>
    </xf>
    <xf numFmtId="165" fontId="0" fillId="5" borderId="17" xfId="0" applyNumberFormat="1" applyFont="1" applyFill="1" applyBorder="1" applyAlignment="1">
      <alignment vertical="center" wrapText="1"/>
    </xf>
    <xf numFmtId="165" fontId="0" fillId="5" borderId="18" xfId="0" applyNumberFormat="1" applyFont="1" applyFill="1" applyBorder="1" applyAlignment="1">
      <alignment vertical="center" wrapText="1"/>
    </xf>
    <xf numFmtId="0" fontId="0" fillId="2" borderId="17" xfId="0" applyFont="1" applyFill="1" applyBorder="1" applyAlignment="1">
      <alignment horizontal="center"/>
    </xf>
    <xf numFmtId="14" fontId="0" fillId="2" borderId="17" xfId="0" applyNumberFormat="1" applyFont="1" applyFill="1" applyBorder="1"/>
    <xf numFmtId="3" fontId="0" fillId="2" borderId="20" xfId="0" applyNumberFormat="1" applyFont="1" applyFill="1" applyBorder="1" applyAlignment="1">
      <alignment vertical="center" wrapText="1"/>
    </xf>
    <xf numFmtId="3" fontId="0" fillId="2" borderId="19" xfId="0" applyNumberFormat="1" applyFont="1" applyFill="1" applyBorder="1" applyAlignment="1">
      <alignment vertical="center" wrapText="1"/>
    </xf>
    <xf numFmtId="0" fontId="3" fillId="3" borderId="3" xfId="0" applyFont="1" applyFill="1" applyBorder="1"/>
    <xf numFmtId="0" fontId="3" fillId="3" borderId="17" xfId="0" applyFont="1" applyFill="1" applyBorder="1"/>
    <xf numFmtId="0" fontId="3" fillId="3" borderId="4" xfId="0" applyFont="1" applyFill="1" applyBorder="1"/>
    <xf numFmtId="0" fontId="3" fillId="3" borderId="8" xfId="0" applyFont="1" applyFill="1" applyBorder="1"/>
    <xf numFmtId="0" fontId="2" fillId="2" borderId="5" xfId="0" applyFont="1" applyFill="1" applyBorder="1" applyAlignment="1">
      <alignment horizontal="right" vertical="center"/>
    </xf>
    <xf numFmtId="0" fontId="3" fillId="3" borderId="6" xfId="0" applyFont="1" applyFill="1" applyBorder="1"/>
    <xf numFmtId="0" fontId="3" fillId="3" borderId="10" xfId="0" applyFont="1" applyFill="1" applyBorder="1"/>
    <xf numFmtId="0" fontId="3" fillId="3" borderId="9" xfId="0" applyFont="1" applyFill="1" applyBorder="1"/>
    <xf numFmtId="0" fontId="5" fillId="2" borderId="5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wrapText="1"/>
    </xf>
    <xf numFmtId="0" fontId="5" fillId="2" borderId="16" xfId="0" applyFont="1" applyFill="1" applyBorder="1" applyAlignment="1">
      <alignment horizontal="center" wrapText="1"/>
    </xf>
  </cellXfs>
  <cellStyles count="9">
    <cellStyle name="Comma 23" xfId="5"/>
    <cellStyle name="Comma 3" xfId="4"/>
    <cellStyle name="Normal" xfId="0" builtinId="0"/>
    <cellStyle name="Normal 12" xfId="3"/>
    <cellStyle name="Normal 2" xfId="1"/>
    <cellStyle name="Normal 3" xfId="7"/>
    <cellStyle name="Normal 3 2" xfId="2"/>
    <cellStyle name="Normal 4" xfId="8"/>
    <cellStyle name="Normal 8" xfId="6"/>
  </cellStyles>
  <dxfs count="0"/>
  <tableStyles count="0" defaultTableStyle="TableStyleMedium2" defaultPivotStyle="PivotStyleLight16"/>
  <colors>
    <mruColors>
      <color rgb="FFFF9900"/>
      <color rgb="FFFFBC79"/>
      <color rgb="FF33CCCC"/>
      <color rgb="FFB2EDEC"/>
      <color rgb="FFEAFAFA"/>
      <color rgb="FF249390"/>
      <color rgb="FF196563"/>
      <color rgb="FFFFDAA3"/>
      <color rgb="FFBFF0EF"/>
      <color rgb="FFE5C9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0.28170167886122355"/>
          <c:y val="0.19600135466937602"/>
          <c:w val="0.37867997808685128"/>
          <c:h val="0.78423401913470481"/>
        </c:manualLayout>
      </c:layout>
      <c:doughnutChart>
        <c:varyColors val="1"/>
        <c:ser>
          <c:idx val="0"/>
          <c:order val="0"/>
          <c:explosion val="2"/>
          <c:dPt>
            <c:idx val="0"/>
            <c:bubble3D val="0"/>
            <c:spPr>
              <a:solidFill>
                <a:srgbClr val="FF9900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857-41B7-9248-D71814878C62}"/>
              </c:ext>
            </c:extLst>
          </c:dPt>
          <c:dPt>
            <c:idx val="1"/>
            <c:bubble3D val="0"/>
            <c:spPr>
              <a:solidFill>
                <a:srgbClr val="249390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5C4C-4710-82E0-16F7FCB9FCFF}"/>
              </c:ext>
            </c:extLst>
          </c:dPt>
          <c:dPt>
            <c:idx val="2"/>
            <c:bubble3D val="0"/>
            <c:spPr>
              <a:solidFill>
                <a:srgbClr val="33CCCC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5C4C-4710-82E0-16F7FCB9FCFF}"/>
              </c:ext>
            </c:extLst>
          </c:dPt>
          <c:dPt>
            <c:idx val="3"/>
            <c:bubble3D val="0"/>
            <c:spPr>
              <a:solidFill>
                <a:srgbClr val="FFBC79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18F8-4317-8610-6A0D28DBD21F}"/>
              </c:ext>
            </c:extLst>
          </c:dPt>
          <c:dLbls>
            <c:dLbl>
              <c:idx val="0"/>
              <c:layout>
                <c:manualLayout>
                  <c:x val="2.8181417877586965E-2"/>
                  <c:y val="-9.406952965235175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A857-41B7-9248-D71814878C62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8.1021576398062595E-2"/>
                  <c:y val="6.134969325153374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5C4C-4710-82E0-16F7FCB9FCFF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3.5226772346983706E-3"/>
                  <c:y val="8.179959100204461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5C4C-4710-82E0-16F7FCB9FCFF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'18.5'!$AV$26:$AY$26</c:f>
              <c:strCache>
                <c:ptCount val="4"/>
                <c:pt idx="0">
                  <c:v>&lt; 65  yrs</c:v>
                </c:pt>
                <c:pt idx="1">
                  <c:v>65-69 yrs</c:v>
                </c:pt>
                <c:pt idx="2">
                  <c:v>70-74 yrs</c:v>
                </c:pt>
                <c:pt idx="3">
                  <c:v>75+</c:v>
                </c:pt>
              </c:strCache>
            </c:strRef>
          </c:cat>
          <c:val>
            <c:numRef>
              <c:f>'18.5'!$AV$28:$AY$28</c:f>
              <c:numCache>
                <c:formatCode>0.0</c:formatCode>
                <c:ptCount val="4"/>
                <c:pt idx="0">
                  <c:v>0.97891566265060248</c:v>
                </c:pt>
                <c:pt idx="1">
                  <c:v>71.611445783132538</c:v>
                </c:pt>
                <c:pt idx="2">
                  <c:v>21.536144578313255</c:v>
                </c:pt>
                <c:pt idx="3">
                  <c:v>5.8734939759036147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857-41B7-9248-D71814878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solidFill>
          <a:srgbClr val="FFFFFF"/>
        </a:solidFill>
      </c:spPr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20</xdr:row>
      <xdr:rowOff>85725</xdr:rowOff>
    </xdr:from>
    <xdr:ext cx="7210425" cy="3371849"/>
    <xdr:graphicFrame macro=""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0.0229</cdr:x>
      <cdr:y>0</cdr:y>
    </cdr:from>
    <cdr:to>
      <cdr:x>1</cdr:x>
      <cdr:y>0.14806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65100" y="0"/>
          <a:ext cx="7045325" cy="49923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/>
          <a:r>
            <a:rPr lang="en-US" sz="105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18.7: Percentage share of beneficiaries of retirement pension scheme by </a:t>
          </a:r>
          <a:r>
            <a:rPr lang="en-US" sz="1100" b="1" i="0">
              <a:effectLst/>
              <a:latin typeface="+mn-lt"/>
              <a:ea typeface="+mn-ea"/>
              <a:cs typeface="+mn-cs"/>
            </a:rPr>
            <a:t>age group</a:t>
          </a:r>
          <a:r>
            <a:rPr lang="en-US" sz="105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, 2020</a:t>
          </a:r>
          <a:endParaRPr lang="en-US" sz="1050">
            <a:effectLst/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AY39"/>
  <sheetViews>
    <sheetView tabSelected="1" zoomScaleNormal="100" workbookViewId="0">
      <selection activeCell="X17" sqref="X17"/>
    </sheetView>
  </sheetViews>
  <sheetFormatPr defaultColWidth="14.42578125" defaultRowHeight="15" customHeight="1" x14ac:dyDescent="0.25"/>
  <cols>
    <col min="1" max="1" width="9.85546875" style="2" customWidth="1"/>
    <col min="2" max="5" width="10.85546875" style="2" hidden="1" customWidth="1"/>
    <col min="6" max="6" width="0.7109375" style="2" hidden="1" customWidth="1"/>
    <col min="7" max="10" width="10.85546875" style="2" hidden="1" customWidth="1"/>
    <col min="11" max="11" width="4.85546875" style="2" hidden="1" customWidth="1"/>
    <col min="12" max="16" width="10.85546875" style="2" hidden="1" customWidth="1"/>
    <col min="17" max="26" width="10.85546875" style="2" customWidth="1"/>
    <col min="27" max="27" width="13.42578125" style="2" customWidth="1"/>
    <col min="28" max="28" width="3.7109375" style="2" customWidth="1"/>
    <col min="29" max="41" width="8" style="2" customWidth="1"/>
    <col min="42" max="42" width="11.85546875" style="2" customWidth="1"/>
    <col min="43" max="50" width="8" style="2" customWidth="1"/>
    <col min="51" max="16384" width="14.42578125" style="2"/>
  </cols>
  <sheetData>
    <row r="1" spans="1:50" ht="4.5" customHeight="1" x14ac:dyDescent="0.25">
      <c r="A1" s="1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"/>
      <c r="AB1" s="1"/>
      <c r="AC1" s="1"/>
      <c r="AD1" s="3"/>
      <c r="AE1" s="3"/>
      <c r="AF1" s="3"/>
      <c r="AG1" s="3"/>
      <c r="AH1" s="3"/>
      <c r="AI1" s="3"/>
      <c r="AJ1" s="3"/>
      <c r="AK1" s="3"/>
      <c r="AL1" s="3"/>
      <c r="AM1" s="3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21" customHeight="1" x14ac:dyDescent="0.55000000000000004">
      <c r="A2" s="49" t="s">
        <v>38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1"/>
      <c r="R2" s="41"/>
      <c r="S2" s="41"/>
      <c r="T2" s="41"/>
      <c r="U2" s="41"/>
      <c r="V2" s="41"/>
      <c r="W2" s="41"/>
      <c r="X2" s="41"/>
      <c r="Y2" s="41"/>
      <c r="Z2" s="41"/>
      <c r="AA2" s="42"/>
      <c r="AB2" s="15"/>
      <c r="AC2" s="15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</row>
    <row r="3" spans="1:50" ht="15.75" customHeight="1" x14ac:dyDescent="0.25">
      <c r="A3" s="50" t="s">
        <v>37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1"/>
      <c r="R3" s="41"/>
      <c r="S3" s="41"/>
      <c r="T3" s="41"/>
      <c r="U3" s="41"/>
      <c r="V3" s="41"/>
      <c r="W3" s="41"/>
      <c r="X3" s="41"/>
      <c r="Y3" s="41"/>
      <c r="Z3" s="41"/>
      <c r="AA3" s="42"/>
      <c r="AB3" s="1"/>
      <c r="AC3" s="1"/>
      <c r="AD3" s="3"/>
      <c r="AE3" s="3"/>
      <c r="AF3" s="3"/>
      <c r="AG3" s="3"/>
      <c r="AH3" s="3"/>
      <c r="AI3" s="3"/>
      <c r="AJ3" s="3"/>
      <c r="AK3" s="3"/>
      <c r="AL3" s="3"/>
      <c r="AM3" s="3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ht="9" customHeight="1" x14ac:dyDescent="0.25">
      <c r="A4" s="1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"/>
      <c r="AB4" s="1"/>
      <c r="AC4" s="1"/>
      <c r="AD4" s="3"/>
      <c r="AE4" s="3"/>
      <c r="AF4" s="3"/>
      <c r="AG4" s="3"/>
      <c r="AH4" s="3"/>
      <c r="AI4" s="3"/>
      <c r="AJ4" s="3"/>
      <c r="AK4" s="3"/>
      <c r="AL4" s="3"/>
      <c r="AM4" s="3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ht="18" customHeight="1" x14ac:dyDescent="0.55000000000000004">
      <c r="A5" s="48" t="s">
        <v>0</v>
      </c>
      <c r="B5" s="51" t="s">
        <v>32</v>
      </c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44" t="s">
        <v>1</v>
      </c>
      <c r="AB5" s="1"/>
      <c r="AC5" s="1"/>
      <c r="AD5" s="3"/>
      <c r="AE5" s="3"/>
      <c r="AF5" s="3"/>
      <c r="AG5" s="3"/>
      <c r="AH5" s="3"/>
      <c r="AI5" s="3"/>
      <c r="AJ5" s="3"/>
      <c r="AK5" s="3"/>
      <c r="AL5" s="3"/>
      <c r="AM5" s="3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ht="15" customHeight="1" x14ac:dyDescent="0.25">
      <c r="A6" s="45"/>
      <c r="B6" s="52">
        <v>2016</v>
      </c>
      <c r="C6" s="43"/>
      <c r="D6" s="43"/>
      <c r="E6" s="47"/>
      <c r="F6" s="33"/>
      <c r="G6" s="53">
        <v>2017</v>
      </c>
      <c r="H6" s="53"/>
      <c r="I6" s="53"/>
      <c r="J6" s="53"/>
      <c r="K6" s="53"/>
      <c r="L6" s="54">
        <v>2018</v>
      </c>
      <c r="M6" s="54"/>
      <c r="N6" s="54"/>
      <c r="O6" s="54"/>
      <c r="P6" s="54"/>
      <c r="Q6" s="54">
        <v>2019</v>
      </c>
      <c r="R6" s="54"/>
      <c r="S6" s="54"/>
      <c r="T6" s="54"/>
      <c r="U6" s="54"/>
      <c r="V6" s="55">
        <v>2020</v>
      </c>
      <c r="W6" s="54"/>
      <c r="X6" s="54"/>
      <c r="Y6" s="54"/>
      <c r="Z6" s="54"/>
      <c r="AA6" s="45"/>
      <c r="AB6" s="1"/>
      <c r="AC6" s="1"/>
      <c r="AD6" s="3"/>
      <c r="AE6" s="3"/>
      <c r="AF6" s="3"/>
      <c r="AG6" s="3"/>
      <c r="AH6" s="3"/>
      <c r="AI6" s="3"/>
      <c r="AJ6" s="3"/>
      <c r="AK6" s="3"/>
      <c r="AL6" s="3"/>
      <c r="AM6" s="3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ht="15" customHeight="1" x14ac:dyDescent="0.25">
      <c r="A7" s="46"/>
      <c r="B7" s="12" t="s">
        <v>2</v>
      </c>
      <c r="C7" s="12" t="s">
        <v>33</v>
      </c>
      <c r="D7" s="12" t="s">
        <v>29</v>
      </c>
      <c r="E7" s="12" t="s">
        <v>30</v>
      </c>
      <c r="F7" s="24" t="s">
        <v>34</v>
      </c>
      <c r="G7" s="24" t="s">
        <v>2</v>
      </c>
      <c r="H7" s="24" t="s">
        <v>33</v>
      </c>
      <c r="I7" s="24" t="s">
        <v>29</v>
      </c>
      <c r="J7" s="24" t="s">
        <v>30</v>
      </c>
      <c r="K7" s="24" t="s">
        <v>34</v>
      </c>
      <c r="L7" s="24" t="s">
        <v>2</v>
      </c>
      <c r="M7" s="24" t="s">
        <v>33</v>
      </c>
      <c r="N7" s="24" t="s">
        <v>29</v>
      </c>
      <c r="O7" s="24" t="s">
        <v>30</v>
      </c>
      <c r="P7" s="24" t="s">
        <v>34</v>
      </c>
      <c r="Q7" s="24" t="s">
        <v>2</v>
      </c>
      <c r="R7" s="12" t="s">
        <v>33</v>
      </c>
      <c r="S7" s="12" t="s">
        <v>29</v>
      </c>
      <c r="T7" s="12" t="s">
        <v>30</v>
      </c>
      <c r="U7" s="12" t="s">
        <v>34</v>
      </c>
      <c r="V7" s="16" t="s">
        <v>2</v>
      </c>
      <c r="W7" s="12" t="s">
        <v>33</v>
      </c>
      <c r="X7" s="12" t="s">
        <v>29</v>
      </c>
      <c r="Y7" s="12" t="s">
        <v>30</v>
      </c>
      <c r="Z7" s="12" t="s">
        <v>34</v>
      </c>
      <c r="AA7" s="46"/>
      <c r="AB7" s="1"/>
      <c r="AC7" s="10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ht="21" customHeight="1" x14ac:dyDescent="0.25">
      <c r="A8" s="29" t="s">
        <v>3</v>
      </c>
      <c r="B8" s="17">
        <f t="shared" ref="B8:B19" si="0">SUM(C8:E8)</f>
        <v>990</v>
      </c>
      <c r="C8" s="18">
        <v>39</v>
      </c>
      <c r="D8" s="18">
        <v>781</v>
      </c>
      <c r="E8" s="18">
        <v>170</v>
      </c>
      <c r="F8" s="25">
        <v>0</v>
      </c>
      <c r="G8" s="27">
        <f t="shared" ref="G8:G19" si="1">SUM(H8:J8)</f>
        <v>1052</v>
      </c>
      <c r="H8" s="25">
        <v>37</v>
      </c>
      <c r="I8" s="25">
        <v>798</v>
      </c>
      <c r="J8" s="25">
        <v>217</v>
      </c>
      <c r="K8" s="25">
        <v>0</v>
      </c>
      <c r="L8" s="27">
        <f t="shared" ref="L8:L19" si="2">SUM(M8:O8)</f>
        <v>1207</v>
      </c>
      <c r="M8" s="32">
        <v>52</v>
      </c>
      <c r="N8" s="32">
        <v>891</v>
      </c>
      <c r="O8" s="32">
        <v>264</v>
      </c>
      <c r="P8" s="25">
        <v>0</v>
      </c>
      <c r="Q8" s="27">
        <f>SUM(R8:U8)</f>
        <v>1343</v>
      </c>
      <c r="R8" s="34">
        <v>19</v>
      </c>
      <c r="S8" s="34">
        <v>985</v>
      </c>
      <c r="T8" s="34">
        <v>335</v>
      </c>
      <c r="U8" s="34">
        <v>4</v>
      </c>
      <c r="V8" s="19">
        <f>SUM(W8:Z8)</f>
        <v>1369</v>
      </c>
      <c r="W8" s="34">
        <v>12</v>
      </c>
      <c r="X8" s="34">
        <v>1000</v>
      </c>
      <c r="Y8" s="34">
        <v>313</v>
      </c>
      <c r="Z8" s="34">
        <v>44</v>
      </c>
      <c r="AA8" s="4" t="s">
        <v>4</v>
      </c>
      <c r="AB8" s="1"/>
      <c r="AC8" s="10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ht="21" customHeight="1" x14ac:dyDescent="0.25">
      <c r="A9" s="29" t="s">
        <v>5</v>
      </c>
      <c r="B9" s="17">
        <f t="shared" si="0"/>
        <v>992</v>
      </c>
      <c r="C9" s="18">
        <v>38</v>
      </c>
      <c r="D9" s="18">
        <v>787</v>
      </c>
      <c r="E9" s="18">
        <v>167</v>
      </c>
      <c r="F9" s="25">
        <v>0</v>
      </c>
      <c r="G9" s="27">
        <f t="shared" si="1"/>
        <v>1019</v>
      </c>
      <c r="H9" s="25">
        <v>0</v>
      </c>
      <c r="I9" s="25">
        <v>802</v>
      </c>
      <c r="J9" s="25">
        <v>217</v>
      </c>
      <c r="K9" s="25">
        <v>0</v>
      </c>
      <c r="L9" s="27">
        <f t="shared" si="2"/>
        <v>1244</v>
      </c>
      <c r="M9" s="32">
        <v>69</v>
      </c>
      <c r="N9" s="32">
        <v>908</v>
      </c>
      <c r="O9" s="32">
        <v>267</v>
      </c>
      <c r="P9" s="25">
        <v>0</v>
      </c>
      <c r="Q9" s="27">
        <f t="shared" ref="Q9:Q18" si="3">SUM(R9:U9)</f>
        <v>1356</v>
      </c>
      <c r="R9" s="34">
        <v>23</v>
      </c>
      <c r="S9" s="34">
        <v>991</v>
      </c>
      <c r="T9" s="34">
        <v>337</v>
      </c>
      <c r="U9" s="34">
        <v>5</v>
      </c>
      <c r="V9" s="19">
        <f t="shared" ref="V9:V18" si="4">SUM(W9:Z9)</f>
        <v>1367</v>
      </c>
      <c r="W9" s="34">
        <v>16</v>
      </c>
      <c r="X9" s="34">
        <v>998</v>
      </c>
      <c r="Y9" s="34">
        <v>304</v>
      </c>
      <c r="Z9" s="34">
        <v>49</v>
      </c>
      <c r="AA9" s="4" t="s">
        <v>6</v>
      </c>
      <c r="AB9" s="1"/>
      <c r="AC9" s="10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ht="21" customHeight="1" x14ac:dyDescent="0.25">
      <c r="A10" s="29" t="s">
        <v>7</v>
      </c>
      <c r="B10" s="17">
        <f t="shared" si="0"/>
        <v>996</v>
      </c>
      <c r="C10" s="18">
        <v>24</v>
      </c>
      <c r="D10" s="18">
        <v>803</v>
      </c>
      <c r="E10" s="18">
        <v>169</v>
      </c>
      <c r="F10" s="25">
        <v>0</v>
      </c>
      <c r="G10" s="27">
        <f t="shared" si="1"/>
        <v>1086</v>
      </c>
      <c r="H10" s="25">
        <v>33</v>
      </c>
      <c r="I10" s="25">
        <v>833</v>
      </c>
      <c r="J10" s="25">
        <v>220</v>
      </c>
      <c r="K10" s="25">
        <v>0</v>
      </c>
      <c r="L10" s="27">
        <f t="shared" si="2"/>
        <v>1223</v>
      </c>
      <c r="M10" s="32">
        <v>38</v>
      </c>
      <c r="N10" s="32">
        <v>919</v>
      </c>
      <c r="O10" s="32">
        <v>266</v>
      </c>
      <c r="P10" s="25">
        <v>0</v>
      </c>
      <c r="Q10" s="27">
        <f t="shared" si="3"/>
        <v>1376</v>
      </c>
      <c r="R10" s="34">
        <v>10</v>
      </c>
      <c r="S10" s="34">
        <v>1024</v>
      </c>
      <c r="T10" s="34">
        <v>337</v>
      </c>
      <c r="U10" s="34">
        <v>5</v>
      </c>
      <c r="V10" s="19">
        <f t="shared" si="4"/>
        <v>1412</v>
      </c>
      <c r="W10" s="34">
        <v>13</v>
      </c>
      <c r="X10" s="34">
        <v>1044</v>
      </c>
      <c r="Y10" s="34">
        <v>306</v>
      </c>
      <c r="Z10" s="34">
        <v>49</v>
      </c>
      <c r="AA10" s="4" t="s">
        <v>8</v>
      </c>
      <c r="AB10" s="1"/>
      <c r="AC10" s="10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ht="21" customHeight="1" x14ac:dyDescent="0.25">
      <c r="A11" s="29" t="s">
        <v>9</v>
      </c>
      <c r="B11" s="17">
        <f t="shared" si="0"/>
        <v>1012</v>
      </c>
      <c r="C11" s="18">
        <v>30</v>
      </c>
      <c r="D11" s="18">
        <v>808</v>
      </c>
      <c r="E11" s="18">
        <v>174</v>
      </c>
      <c r="F11" s="25">
        <v>0</v>
      </c>
      <c r="G11" s="27">
        <f t="shared" si="1"/>
        <v>1091</v>
      </c>
      <c r="H11" s="25">
        <v>17</v>
      </c>
      <c r="I11" s="25">
        <v>853</v>
      </c>
      <c r="J11" s="25">
        <v>221</v>
      </c>
      <c r="K11" s="25">
        <v>0</v>
      </c>
      <c r="L11" s="27">
        <f t="shared" si="2"/>
        <v>1213</v>
      </c>
      <c r="M11" s="32">
        <v>7</v>
      </c>
      <c r="N11" s="32">
        <v>932</v>
      </c>
      <c r="O11" s="32">
        <v>274</v>
      </c>
      <c r="P11" s="25">
        <v>0</v>
      </c>
      <c r="Q11" s="27">
        <f t="shared" si="3"/>
        <v>1381</v>
      </c>
      <c r="R11" s="34">
        <v>26</v>
      </c>
      <c r="S11" s="34">
        <v>1007</v>
      </c>
      <c r="T11" s="34">
        <v>341</v>
      </c>
      <c r="U11" s="34">
        <v>7</v>
      </c>
      <c r="V11" s="19">
        <f t="shared" si="4"/>
        <v>1387</v>
      </c>
      <c r="W11" s="34">
        <v>9</v>
      </c>
      <c r="X11" s="34">
        <v>1017</v>
      </c>
      <c r="Y11" s="34">
        <v>308</v>
      </c>
      <c r="Z11" s="34">
        <v>53</v>
      </c>
      <c r="AA11" s="4" t="s">
        <v>10</v>
      </c>
      <c r="AB11" s="1"/>
      <c r="AC11" s="10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ht="21" customHeight="1" x14ac:dyDescent="0.25">
      <c r="A12" s="29" t="s">
        <v>11</v>
      </c>
      <c r="B12" s="17">
        <f t="shared" si="0"/>
        <v>976</v>
      </c>
      <c r="C12" s="18">
        <v>9</v>
      </c>
      <c r="D12" s="18">
        <v>793</v>
      </c>
      <c r="E12" s="18">
        <v>174</v>
      </c>
      <c r="F12" s="25">
        <v>0</v>
      </c>
      <c r="G12" s="27">
        <f t="shared" si="1"/>
        <v>1096</v>
      </c>
      <c r="H12" s="25">
        <v>14</v>
      </c>
      <c r="I12" s="25">
        <v>859</v>
      </c>
      <c r="J12" s="25">
        <v>223</v>
      </c>
      <c r="K12" s="25">
        <v>0</v>
      </c>
      <c r="L12" s="27">
        <f t="shared" si="2"/>
        <v>1221</v>
      </c>
      <c r="M12" s="32">
        <v>16</v>
      </c>
      <c r="N12" s="32">
        <v>937</v>
      </c>
      <c r="O12" s="32">
        <v>268</v>
      </c>
      <c r="P12" s="25">
        <v>0</v>
      </c>
      <c r="Q12" s="27">
        <f t="shared" si="3"/>
        <v>1346</v>
      </c>
      <c r="R12" s="34">
        <v>16</v>
      </c>
      <c r="S12" s="34">
        <v>993</v>
      </c>
      <c r="T12" s="34">
        <v>329</v>
      </c>
      <c r="U12" s="34">
        <v>8</v>
      </c>
      <c r="V12" s="19">
        <f t="shared" si="4"/>
        <v>1367</v>
      </c>
      <c r="W12" s="34">
        <v>5</v>
      </c>
      <c r="X12" s="34">
        <v>1004</v>
      </c>
      <c r="Y12" s="34">
        <v>305</v>
      </c>
      <c r="Z12" s="34">
        <v>53</v>
      </c>
      <c r="AA12" s="4" t="s">
        <v>12</v>
      </c>
      <c r="AB12" s="1"/>
      <c r="AC12" s="10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ht="21" customHeight="1" x14ac:dyDescent="0.25">
      <c r="A13" s="29" t="s">
        <v>13</v>
      </c>
      <c r="B13" s="17">
        <f t="shared" si="0"/>
        <v>1002</v>
      </c>
      <c r="C13" s="18">
        <v>29</v>
      </c>
      <c r="D13" s="18">
        <v>797</v>
      </c>
      <c r="E13" s="18">
        <v>176</v>
      </c>
      <c r="F13" s="25">
        <v>0</v>
      </c>
      <c r="G13" s="27">
        <f t="shared" si="1"/>
        <v>1110</v>
      </c>
      <c r="H13" s="25">
        <v>23</v>
      </c>
      <c r="I13" s="25">
        <v>865</v>
      </c>
      <c r="J13" s="25">
        <v>222</v>
      </c>
      <c r="K13" s="25">
        <v>0</v>
      </c>
      <c r="L13" s="27">
        <f t="shared" si="2"/>
        <v>1223</v>
      </c>
      <c r="M13" s="32">
        <v>10</v>
      </c>
      <c r="N13" s="32">
        <v>933</v>
      </c>
      <c r="O13" s="32">
        <v>280</v>
      </c>
      <c r="P13" s="25">
        <v>0</v>
      </c>
      <c r="Q13" s="27">
        <f t="shared" si="3"/>
        <v>1360</v>
      </c>
      <c r="R13" s="34">
        <v>21</v>
      </c>
      <c r="S13" s="34">
        <v>1006</v>
      </c>
      <c r="T13" s="34">
        <v>323</v>
      </c>
      <c r="U13" s="34">
        <v>10</v>
      </c>
      <c r="V13" s="19">
        <f t="shared" si="4"/>
        <v>1409</v>
      </c>
      <c r="W13" s="34">
        <v>5</v>
      </c>
      <c r="X13" s="34">
        <v>1040</v>
      </c>
      <c r="Y13" s="34">
        <v>306</v>
      </c>
      <c r="Z13" s="34">
        <v>58</v>
      </c>
      <c r="AA13" s="4" t="s">
        <v>14</v>
      </c>
      <c r="AB13" s="1"/>
      <c r="AC13" s="10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ht="21" customHeight="1" x14ac:dyDescent="0.25">
      <c r="A14" s="29" t="s">
        <v>15</v>
      </c>
      <c r="B14" s="17">
        <f t="shared" si="0"/>
        <v>962</v>
      </c>
      <c r="C14" s="18">
        <v>5</v>
      </c>
      <c r="D14" s="18">
        <v>780</v>
      </c>
      <c r="E14" s="18">
        <v>177</v>
      </c>
      <c r="F14" s="25">
        <v>0</v>
      </c>
      <c r="G14" s="27">
        <f t="shared" si="1"/>
        <v>1107</v>
      </c>
      <c r="H14" s="25">
        <v>15</v>
      </c>
      <c r="I14" s="25">
        <v>868</v>
      </c>
      <c r="J14" s="25">
        <v>224</v>
      </c>
      <c r="K14" s="25">
        <v>0</v>
      </c>
      <c r="L14" s="27">
        <f t="shared" si="2"/>
        <v>1238</v>
      </c>
      <c r="M14" s="32">
        <v>13</v>
      </c>
      <c r="N14" s="32">
        <v>947</v>
      </c>
      <c r="O14" s="32">
        <v>278</v>
      </c>
      <c r="P14" s="25">
        <v>0</v>
      </c>
      <c r="Q14" s="27">
        <f t="shared" si="3"/>
        <v>1328</v>
      </c>
      <c r="R14" s="34">
        <v>14</v>
      </c>
      <c r="S14" s="34">
        <v>988</v>
      </c>
      <c r="T14" s="34">
        <v>313</v>
      </c>
      <c r="U14" s="34">
        <v>13</v>
      </c>
      <c r="V14" s="19">
        <f t="shared" si="4"/>
        <v>1376</v>
      </c>
      <c r="W14" s="34">
        <v>11</v>
      </c>
      <c r="X14" s="34">
        <v>1014</v>
      </c>
      <c r="Y14" s="34">
        <v>295</v>
      </c>
      <c r="Z14" s="34">
        <v>56</v>
      </c>
      <c r="AA14" s="4" t="s">
        <v>16</v>
      </c>
      <c r="AB14" s="1"/>
      <c r="AC14" s="10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ht="21" customHeight="1" x14ac:dyDescent="0.25">
      <c r="A15" s="29" t="s">
        <v>17</v>
      </c>
      <c r="B15" s="17">
        <f t="shared" si="0"/>
        <v>972</v>
      </c>
      <c r="C15" s="18">
        <v>6</v>
      </c>
      <c r="D15" s="18">
        <v>768</v>
      </c>
      <c r="E15" s="18">
        <v>198</v>
      </c>
      <c r="F15" s="25">
        <v>0</v>
      </c>
      <c r="G15" s="27">
        <f t="shared" si="1"/>
        <v>1124</v>
      </c>
      <c r="H15" s="25">
        <v>18</v>
      </c>
      <c r="I15" s="25">
        <v>853</v>
      </c>
      <c r="J15" s="25">
        <v>253</v>
      </c>
      <c r="K15" s="25">
        <v>0</v>
      </c>
      <c r="L15" s="27">
        <f t="shared" si="2"/>
        <v>1238</v>
      </c>
      <c r="M15" s="32">
        <v>2</v>
      </c>
      <c r="N15" s="32">
        <v>956</v>
      </c>
      <c r="O15" s="32">
        <v>280</v>
      </c>
      <c r="P15" s="25">
        <v>0</v>
      </c>
      <c r="Q15" s="27">
        <f t="shared" si="3"/>
        <v>1310</v>
      </c>
      <c r="R15" s="34">
        <v>7</v>
      </c>
      <c r="S15" s="34">
        <v>981</v>
      </c>
      <c r="T15" s="34">
        <v>306</v>
      </c>
      <c r="U15" s="34">
        <v>16</v>
      </c>
      <c r="V15" s="19">
        <f t="shared" si="4"/>
        <v>1369</v>
      </c>
      <c r="W15" s="34">
        <v>10</v>
      </c>
      <c r="X15" s="34">
        <v>985</v>
      </c>
      <c r="Y15" s="34">
        <v>315</v>
      </c>
      <c r="Z15" s="34">
        <v>59</v>
      </c>
      <c r="AA15" s="4" t="s">
        <v>18</v>
      </c>
      <c r="AB15" s="1"/>
      <c r="AC15" s="10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ht="21" customHeight="1" x14ac:dyDescent="0.25">
      <c r="A16" s="29" t="s">
        <v>19</v>
      </c>
      <c r="B16" s="17">
        <f t="shared" si="0"/>
        <v>1003</v>
      </c>
      <c r="C16" s="18">
        <v>41</v>
      </c>
      <c r="D16" s="18">
        <v>765</v>
      </c>
      <c r="E16" s="18">
        <v>197</v>
      </c>
      <c r="F16" s="25">
        <v>0</v>
      </c>
      <c r="G16" s="27">
        <f t="shared" si="1"/>
        <v>1130</v>
      </c>
      <c r="H16" s="25">
        <v>21</v>
      </c>
      <c r="I16" s="25">
        <v>855</v>
      </c>
      <c r="J16" s="25">
        <v>254</v>
      </c>
      <c r="K16" s="25">
        <v>0</v>
      </c>
      <c r="L16" s="27">
        <f t="shared" si="2"/>
        <v>1243</v>
      </c>
      <c r="M16" s="32">
        <v>6</v>
      </c>
      <c r="N16" s="32">
        <v>921</v>
      </c>
      <c r="O16" s="32">
        <v>316</v>
      </c>
      <c r="P16" s="25">
        <v>0</v>
      </c>
      <c r="Q16" s="27">
        <f t="shared" si="3"/>
        <v>1295</v>
      </c>
      <c r="R16" s="34">
        <v>12</v>
      </c>
      <c r="S16" s="34">
        <v>933</v>
      </c>
      <c r="T16" s="34">
        <v>320</v>
      </c>
      <c r="U16" s="34">
        <v>30</v>
      </c>
      <c r="V16" s="19">
        <f t="shared" si="4"/>
        <v>1372</v>
      </c>
      <c r="W16" s="34">
        <v>16</v>
      </c>
      <c r="X16" s="34">
        <v>985</v>
      </c>
      <c r="Y16" s="34">
        <v>295</v>
      </c>
      <c r="Z16" s="34">
        <v>76</v>
      </c>
      <c r="AA16" s="4" t="s">
        <v>20</v>
      </c>
      <c r="AB16" s="1"/>
      <c r="AC16" s="10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1" ht="21" customHeight="1" x14ac:dyDescent="0.25">
      <c r="A17" s="29" t="s">
        <v>21</v>
      </c>
      <c r="B17" s="17">
        <f t="shared" si="0"/>
        <v>1008</v>
      </c>
      <c r="C17" s="18">
        <v>23</v>
      </c>
      <c r="D17" s="18">
        <v>783</v>
      </c>
      <c r="E17" s="18">
        <v>202</v>
      </c>
      <c r="F17" s="25">
        <v>1</v>
      </c>
      <c r="G17" s="27">
        <f t="shared" si="1"/>
        <v>1127</v>
      </c>
      <c r="H17" s="25">
        <v>21</v>
      </c>
      <c r="I17" s="25">
        <v>854</v>
      </c>
      <c r="J17" s="25">
        <v>252</v>
      </c>
      <c r="K17" s="25">
        <v>0</v>
      </c>
      <c r="L17" s="27">
        <f t="shared" si="2"/>
        <v>1244</v>
      </c>
      <c r="M17" s="32">
        <v>3</v>
      </c>
      <c r="N17" s="32">
        <v>924</v>
      </c>
      <c r="O17" s="32">
        <v>317</v>
      </c>
      <c r="P17" s="25">
        <v>0</v>
      </c>
      <c r="Q17" s="27">
        <f t="shared" si="3"/>
        <v>1288</v>
      </c>
      <c r="R17" s="34">
        <v>17</v>
      </c>
      <c r="S17" s="34">
        <v>918</v>
      </c>
      <c r="T17" s="34">
        <v>316</v>
      </c>
      <c r="U17" s="34">
        <v>37</v>
      </c>
      <c r="V17" s="19">
        <f t="shared" si="4"/>
        <v>1353</v>
      </c>
      <c r="W17" s="34">
        <v>8</v>
      </c>
      <c r="X17" s="34">
        <v>977</v>
      </c>
      <c r="Y17" s="34">
        <v>290</v>
      </c>
      <c r="Z17" s="34">
        <v>78</v>
      </c>
      <c r="AA17" s="4" t="s">
        <v>22</v>
      </c>
      <c r="AB17" s="1"/>
      <c r="AC17" s="10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1" ht="21" customHeight="1" x14ac:dyDescent="0.55000000000000004">
      <c r="A18" s="29" t="s">
        <v>23</v>
      </c>
      <c r="B18" s="17">
        <f t="shared" si="0"/>
        <v>1003</v>
      </c>
      <c r="C18" s="18">
        <v>31</v>
      </c>
      <c r="D18" s="18">
        <v>765</v>
      </c>
      <c r="E18" s="18">
        <v>207</v>
      </c>
      <c r="F18" s="25">
        <v>0</v>
      </c>
      <c r="G18" s="27">
        <f t="shared" si="1"/>
        <v>1122</v>
      </c>
      <c r="H18" s="25">
        <v>19</v>
      </c>
      <c r="I18" s="25">
        <v>845</v>
      </c>
      <c r="J18" s="25">
        <v>258</v>
      </c>
      <c r="K18" s="25">
        <v>0</v>
      </c>
      <c r="L18" s="27">
        <f t="shared" si="2"/>
        <v>1256</v>
      </c>
      <c r="M18" s="32">
        <v>18</v>
      </c>
      <c r="N18" s="32">
        <v>911</v>
      </c>
      <c r="O18" s="32">
        <v>327</v>
      </c>
      <c r="P18" s="25">
        <v>0</v>
      </c>
      <c r="Q18" s="27">
        <f t="shared" si="3"/>
        <v>1286</v>
      </c>
      <c r="R18" s="34">
        <v>17</v>
      </c>
      <c r="S18" s="34">
        <v>916</v>
      </c>
      <c r="T18" s="34">
        <v>312</v>
      </c>
      <c r="U18" s="34">
        <v>41</v>
      </c>
      <c r="V18" s="19">
        <f t="shared" si="4"/>
        <v>1363</v>
      </c>
      <c r="W18" s="34">
        <v>21</v>
      </c>
      <c r="X18" s="34">
        <v>972</v>
      </c>
      <c r="Y18" s="34">
        <v>291</v>
      </c>
      <c r="Z18" s="34">
        <v>79</v>
      </c>
      <c r="AA18" s="5" t="s">
        <v>24</v>
      </c>
      <c r="AB18" s="1"/>
      <c r="AC18" s="10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1"/>
      <c r="AO18" s="1"/>
      <c r="AP18" s="1"/>
      <c r="AQ18" s="1"/>
      <c r="AR18" s="1"/>
      <c r="AS18" s="1"/>
    </row>
    <row r="19" spans="1:51" ht="21" customHeight="1" x14ac:dyDescent="0.25">
      <c r="A19" s="30" t="s">
        <v>25</v>
      </c>
      <c r="B19" s="20">
        <f t="shared" si="0"/>
        <v>72</v>
      </c>
      <c r="C19" s="13">
        <v>36</v>
      </c>
      <c r="D19" s="13">
        <v>34</v>
      </c>
      <c r="E19" s="13">
        <v>2</v>
      </c>
      <c r="F19" s="26">
        <v>0</v>
      </c>
      <c r="G19" s="28">
        <f t="shared" si="1"/>
        <v>1105</v>
      </c>
      <c r="H19" s="26">
        <v>5</v>
      </c>
      <c r="I19" s="26">
        <v>839</v>
      </c>
      <c r="J19" s="26">
        <v>261</v>
      </c>
      <c r="K19" s="26">
        <v>0</v>
      </c>
      <c r="L19" s="28">
        <f t="shared" si="2"/>
        <v>1246</v>
      </c>
      <c r="M19" s="31">
        <v>18</v>
      </c>
      <c r="N19" s="31">
        <v>901</v>
      </c>
      <c r="O19" s="31">
        <v>327</v>
      </c>
      <c r="P19" s="31">
        <v>3</v>
      </c>
      <c r="Q19" s="39">
        <f>SUM(R19:U19)</f>
        <v>1258</v>
      </c>
      <c r="R19" s="35">
        <v>9</v>
      </c>
      <c r="S19" s="35">
        <v>896</v>
      </c>
      <c r="T19" s="35">
        <v>310</v>
      </c>
      <c r="U19" s="35">
        <v>43</v>
      </c>
      <c r="V19" s="38">
        <f>SUM(W19:Z19)</f>
        <v>1328</v>
      </c>
      <c r="W19" s="35">
        <v>13</v>
      </c>
      <c r="X19" s="35">
        <v>951</v>
      </c>
      <c r="Y19" s="35">
        <v>286</v>
      </c>
      <c r="Z19" s="35">
        <v>78</v>
      </c>
      <c r="AA19" s="6" t="s">
        <v>26</v>
      </c>
      <c r="AB19" s="1"/>
      <c r="AC19" s="1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1"/>
      <c r="AO19" s="1"/>
      <c r="AP19" s="1"/>
      <c r="AQ19" s="1"/>
      <c r="AR19" s="1"/>
      <c r="AS19" s="1"/>
    </row>
    <row r="20" spans="1:51" ht="15.75" customHeight="1" x14ac:dyDescent="0.45">
      <c r="A20" s="8" t="s">
        <v>27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9" t="s">
        <v>28</v>
      </c>
      <c r="AB20" s="1"/>
      <c r="AC20" s="1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1"/>
      <c r="AO20" s="1"/>
      <c r="AP20" s="1"/>
      <c r="AQ20" s="1"/>
      <c r="AR20" s="1"/>
      <c r="AS20" s="1"/>
    </row>
    <row r="21" spans="1:51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1"/>
      <c r="AO21" s="1"/>
      <c r="AP21" s="1"/>
      <c r="AQ21" s="1"/>
      <c r="AR21" s="1"/>
      <c r="AS21" s="1"/>
    </row>
    <row r="22" spans="1:51" ht="15.75" customHeight="1" x14ac:dyDescent="0.25">
      <c r="A22" s="1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"/>
      <c r="AB22" s="1"/>
      <c r="AC22" s="1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1" ht="15.75" customHeight="1" x14ac:dyDescent="0.25">
      <c r="A23" s="1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"/>
      <c r="AB23" s="1"/>
      <c r="AC23" s="1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1" ht="15.75" customHeight="1" x14ac:dyDescent="0.25">
      <c r="A24" s="1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"/>
      <c r="AB24" s="1"/>
      <c r="AC24" s="1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1" ht="15.75" customHeight="1" x14ac:dyDescent="0.25">
      <c r="A25" s="1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"/>
      <c r="AB25" s="1"/>
      <c r="AC25" s="1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1" ht="15.75" customHeight="1" x14ac:dyDescent="0.25">
      <c r="A26" s="1"/>
      <c r="B26" s="14"/>
      <c r="C26" s="23"/>
      <c r="D26" s="14"/>
      <c r="E26" s="14"/>
      <c r="F26" s="14"/>
      <c r="G26" s="14"/>
      <c r="H26" s="23"/>
      <c r="I26" s="14"/>
      <c r="J26" s="14"/>
      <c r="K26" s="14"/>
      <c r="L26" s="14"/>
      <c r="M26" s="23"/>
      <c r="N26" s="14"/>
      <c r="O26" s="14"/>
      <c r="P26" s="14"/>
      <c r="Q26" s="14"/>
      <c r="R26" s="23"/>
      <c r="S26" s="14"/>
      <c r="T26" s="14"/>
      <c r="U26" s="14"/>
      <c r="V26" s="14"/>
      <c r="W26" s="23"/>
      <c r="X26" s="14"/>
      <c r="Y26" s="14"/>
      <c r="Z26" s="14"/>
      <c r="AA26" s="1"/>
      <c r="AB26" s="1"/>
      <c r="AC26" s="1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1"/>
      <c r="AO26" s="1"/>
      <c r="AP26" s="1"/>
      <c r="AQ26" s="1"/>
      <c r="AR26" s="1"/>
      <c r="AS26" s="1"/>
      <c r="AT26" s="1"/>
      <c r="AU26" s="1"/>
      <c r="AV26" s="12" t="s">
        <v>35</v>
      </c>
      <c r="AW26" s="12" t="s">
        <v>31</v>
      </c>
      <c r="AX26" s="12" t="s">
        <v>36</v>
      </c>
      <c r="AY26" s="2" t="str">
        <f>U7</f>
        <v>75+</v>
      </c>
    </row>
    <row r="27" spans="1:51" ht="15.75" customHeight="1" x14ac:dyDescent="0.25">
      <c r="A27" s="1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"/>
      <c r="AB27" s="1"/>
      <c r="AC27" s="1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1"/>
      <c r="AO27" s="1"/>
      <c r="AP27" s="1"/>
      <c r="AQ27" s="1"/>
      <c r="AR27" s="1"/>
      <c r="AS27" s="1"/>
      <c r="AT27" s="7"/>
      <c r="AU27" s="21">
        <f>SUM(AV27:AY27)</f>
        <v>1328</v>
      </c>
      <c r="AV27" s="13">
        <f>W19</f>
        <v>13</v>
      </c>
      <c r="AW27" s="13">
        <f t="shared" ref="AW27:AY27" si="5">X19</f>
        <v>951</v>
      </c>
      <c r="AX27" s="13">
        <f t="shared" si="5"/>
        <v>286</v>
      </c>
      <c r="AY27" s="13">
        <f t="shared" si="5"/>
        <v>78</v>
      </c>
    </row>
    <row r="28" spans="1:51" ht="15.75" customHeight="1" x14ac:dyDescent="0.25">
      <c r="A28" s="1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"/>
      <c r="AB28" s="1"/>
      <c r="AC28" s="1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1"/>
      <c r="AO28" s="1"/>
      <c r="AP28" s="1"/>
      <c r="AQ28" s="1"/>
      <c r="AR28" s="1"/>
      <c r="AS28" s="1"/>
      <c r="AT28" s="1"/>
      <c r="AU28" s="1"/>
      <c r="AV28" s="11">
        <f>AV27/AU27*100</f>
        <v>0.97891566265060248</v>
      </c>
      <c r="AW28" s="11">
        <f>AW27/AU27*100</f>
        <v>71.611445783132538</v>
      </c>
      <c r="AX28" s="11">
        <f>AX27/AU27*100</f>
        <v>21.536144578313255</v>
      </c>
      <c r="AY28" s="11">
        <f>AY27/AU27*100</f>
        <v>5.8734939759036147</v>
      </c>
    </row>
    <row r="29" spans="1:51" ht="15.75" customHeight="1" x14ac:dyDescent="0.25">
      <c r="A29" s="1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"/>
      <c r="AB29" s="1"/>
      <c r="AC29" s="1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1" ht="15.75" customHeight="1" x14ac:dyDescent="0.25">
      <c r="A30" s="1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"/>
      <c r="AB30" s="1"/>
      <c r="AC30" s="1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1" ht="15.75" customHeight="1" x14ac:dyDescent="0.25">
      <c r="A31" s="1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"/>
      <c r="AB31" s="1"/>
      <c r="AC31" s="1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1" ht="15.75" customHeight="1" x14ac:dyDescent="0.25">
      <c r="A32" s="1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"/>
      <c r="AB32" s="1"/>
      <c r="AC32" s="1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ht="15.75" customHeight="1" x14ac:dyDescent="0.25">
      <c r="A33" s="1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"/>
      <c r="AB33" s="1"/>
      <c r="AC33" s="1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ht="15.75" customHeight="1" x14ac:dyDescent="0.25">
      <c r="A34" s="1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"/>
      <c r="AB34" s="1"/>
      <c r="AC34" s="1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ht="15.75" customHeight="1" x14ac:dyDescent="0.25">
      <c r="A35" s="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"/>
      <c r="AB35" s="1"/>
      <c r="AC35" s="1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ht="15.75" customHeight="1" x14ac:dyDescent="0.25">
      <c r="A36" s="1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"/>
      <c r="AB36" s="1"/>
      <c r="AC36" s="1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ht="15.75" customHeight="1" x14ac:dyDescent="0.25">
      <c r="A37" s="1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"/>
      <c r="AB37" s="1"/>
      <c r="AC37" s="1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ht="15.75" customHeight="1" x14ac:dyDescent="0.25">
      <c r="A38" s="1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"/>
      <c r="AB38" s="1"/>
      <c r="AC38" s="1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ht="15.75" customHeight="1" x14ac:dyDescent="0.25">
      <c r="A39" s="1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"/>
      <c r="AB39" s="1"/>
      <c r="AC39" s="1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</sheetData>
  <mergeCells count="10">
    <mergeCell ref="A2:AA2"/>
    <mergeCell ref="A3:AA3"/>
    <mergeCell ref="AA5:AA7"/>
    <mergeCell ref="B6:E6"/>
    <mergeCell ref="A5:A7"/>
    <mergeCell ref="G6:K6"/>
    <mergeCell ref="L6:P6"/>
    <mergeCell ref="Q6:U6"/>
    <mergeCell ref="V6:Z6"/>
    <mergeCell ref="B5:Z5"/>
  </mergeCells>
  <pageMargins left="0.7" right="0.7" top="0.75" bottom="0.75" header="0" footer="0"/>
  <pageSetup paperSize="9" scale="75" orientation="landscape" horizontalDpi="4294967295" verticalDpi="4294967295" r:id="rId1"/>
  <ignoredErrors>
    <ignoredError sqref="G8:G19 L8:L19" formulaRange="1"/>
  </ignoredError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18.5</vt:lpstr>
      <vt:lpstr>'18.5'!Print_Area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2021-06-20T04:32:03Z</cp:lastPrinted>
  <dcterms:created xsi:type="dcterms:W3CDTF">2019-02-21T04:10:17Z</dcterms:created>
  <dcterms:modified xsi:type="dcterms:W3CDTF">2021-06-20T04:33:10Z</dcterms:modified>
</cp:coreProperties>
</file>