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1 " sheetId="25" r:id="rId1"/>
  </sheets>
  <definedNames>
    <definedName name="_xlnm.Print_Area" localSheetId="0">'18.11 '!$A$1:$O$65</definedName>
  </definedNames>
  <calcPr calcId="152511"/>
</workbook>
</file>

<file path=xl/calcChain.xml><?xml version="1.0" encoding="utf-8"?>
<calcChain xmlns="http://schemas.openxmlformats.org/spreadsheetml/2006/main">
  <c r="D6" i="25" l="1"/>
  <c r="E6" i="25"/>
  <c r="F6" i="25"/>
  <c r="G6" i="25"/>
  <c r="H6" i="25"/>
  <c r="I6" i="25"/>
  <c r="J6" i="25"/>
  <c r="K6" i="25"/>
  <c r="L6" i="25"/>
  <c r="M6" i="25"/>
  <c r="N6" i="25"/>
  <c r="C6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7" i="25"/>
  <c r="B6" i="25" l="1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D37" i="25"/>
  <c r="E37" i="25"/>
  <c r="F37" i="25"/>
  <c r="G37" i="25"/>
  <c r="H37" i="25"/>
  <c r="I37" i="25"/>
  <c r="J37" i="25"/>
  <c r="K37" i="25"/>
  <c r="L37" i="25"/>
  <c r="M37" i="25"/>
  <c r="N37" i="25"/>
  <c r="C37" i="25"/>
  <c r="B37" i="25" l="1"/>
</calcChain>
</file>

<file path=xl/sharedStrings.xml><?xml version="1.0" encoding="utf-8"?>
<sst xmlns="http://schemas.openxmlformats.org/spreadsheetml/2006/main" count="142" uniqueCount="71">
  <si>
    <t>ޖުމްލަ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</si>
  <si>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</si>
  <si>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</si>
  <si>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</si>
  <si>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</si>
  <si>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</si>
  <si>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</si>
  <si>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</si>
  <si>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</si>
  <si>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</si>
  <si>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</si>
  <si>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</si>
  <si>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</si>
  <si>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</si>
  <si>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</si>
  <si>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</si>
  <si>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</si>
  <si>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</si>
  <si>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</si>
  <si>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</si>
  <si>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</si>
  <si>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</si>
  <si>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</si>
  <si>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</si>
  <si>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</si>
  <si>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</si>
  <si>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</si>
  <si>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</si>
  <si>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</si>
  <si>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</si>
  <si>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</si>
  <si>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</si>
  <si>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</si>
  <si>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</si>
  <si>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</si>
  <si>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</si>
  <si>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</si>
  <si>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</si>
  <si>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</si>
  <si>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</si>
  <si>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</si>
  <si>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</si>
  <si>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</si>
  <si>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</si>
  <si>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</si>
  <si>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</si>
  <si>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</si>
  <si>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</si>
  <si>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</si>
  <si>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</si>
  <si>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</si>
  <si>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</si>
  <si>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</si>
  <si>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</si>
  <si>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</si>
  <si>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</si>
  <si>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</si>
  <si>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</si>
  <si>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</si>
  <si>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</si>
  <si>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</si>
  <si>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</si>
  <si>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</si>
  <si>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</si>
  <si>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</si>
  <si>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</si>
  <si>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Passenger Ferries</t>
  </si>
  <si>
    <t>ފެރީގެ ޙިދުމަތް</t>
  </si>
  <si>
    <t>Housing Development</t>
  </si>
  <si>
    <t xml:space="preserve">TABLE   18.11:   AMOUNT OF CONTRIBUTION TO RETIREMENT PENSION SCHEME BY SECTOR BY MONTH,  2020 </t>
  </si>
  <si>
    <t>ތާވަލު 18.11 :މަސްމަހުގެ ގޮތުން ރިޓާޔަމަންޓް ޕެންޝަން ސްކީމްއަށް ޕަބްލިކް އަދި ޕްރައިވެޓް ސެކްޓަރއިން ފައިސާދެއްކި މިންވަރު،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</si>
</sst>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1"/>
      <name val="Arial"/>
      <family val="2"/>
    </font>
    <font>
      <i/>
      <sz val="9"/>
      <color theme="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9">
    <xf numFmtId="0" fontId="0" fillId="0" borderId="0"/>
    <xf numFmtId="165" fontId="11" fillId="0" borderId="4"/>
    <xf numFmtId="0" fontId="1" fillId="0" borderId="4"/>
    <xf numFmtId="0" fontId="1" fillId="0" borderId="4"/>
    <xf numFmtId="164" fontId="8" fillId="0" borderId="4" applyFont="0" applyFill="0" applyBorder="0" applyAlignment="0" applyProtection="0"/>
    <xf numFmtId="164" fontId="8" fillId="0" borderId="4" applyFont="0" applyFill="0" applyBorder="0" applyAlignment="0" applyProtection="0"/>
    <xf numFmtId="0" fontId="8" fillId="0" borderId="4"/>
    <xf numFmtId="0" fontId="13" fillId="0" borderId="4"/>
    <xf numFmtId="0" fontId="17" fillId="0" borderId="4" applyFill="0" applyProtection="0"/>
  </cellStyleXfs>
  <cellXfs count="36">
    <xf numFmtId="0" fontId="0" fillId="0" borderId="0" xfId="0" applyFont="1" applyAlignment="1"/>
    <xf numFmtId="0" fontId="0" fillId="3" borderId="0" xfId="0" applyFont="1" applyFill="1" applyAlignment="1"/>
    <xf numFmtId="0" fontId="6" fillId="2" borderId="2" xfId="0" applyFont="1" applyFill="1" applyBorder="1" applyAlignment="1"/>
    <xf numFmtId="3" fontId="0" fillId="2" borderId="4" xfId="0" applyNumberFormat="1" applyFont="1" applyFill="1" applyBorder="1" applyAlignment="1">
      <alignment horizontal="right" vertical="center"/>
    </xf>
    <xf numFmtId="0" fontId="0" fillId="3" borderId="6" xfId="0" applyFont="1" applyFill="1" applyBorder="1" applyAlignment="1"/>
    <xf numFmtId="3" fontId="0" fillId="2" borderId="6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/>
    <xf numFmtId="0" fontId="4" fillId="4" borderId="4" xfId="0" applyFont="1" applyFill="1" applyBorder="1" applyAlignment="1">
      <alignment horizontal="right" vertical="center" wrapText="1"/>
    </xf>
    <xf numFmtId="0" fontId="9" fillId="4" borderId="4" xfId="7" applyFont="1" applyFill="1" applyBorder="1"/>
    <xf numFmtId="3" fontId="9" fillId="4" borderId="4" xfId="7" applyNumberFormat="1" applyFont="1" applyFill="1" applyBorder="1" applyAlignment="1">
      <alignment horizontal="right" vertical="center"/>
    </xf>
    <xf numFmtId="3" fontId="12" fillId="4" borderId="5" xfId="7" applyNumberFormat="1" applyFont="1" applyFill="1" applyBorder="1" applyAlignment="1">
      <alignment horizontal="right" vertical="center"/>
    </xf>
    <xf numFmtId="0" fontId="12" fillId="4" borderId="4" xfId="7" applyFont="1" applyFill="1" applyBorder="1" applyAlignment="1">
      <alignment vertical="center"/>
    </xf>
    <xf numFmtId="3" fontId="12" fillId="4" borderId="4" xfId="7" applyNumberFormat="1" applyFont="1" applyFill="1" applyBorder="1" applyAlignment="1">
      <alignment horizontal="right" vertical="center"/>
    </xf>
    <xf numFmtId="0" fontId="5" fillId="4" borderId="4" xfId="7" applyFont="1" applyFill="1" applyBorder="1"/>
    <xf numFmtId="165" fontId="9" fillId="4" borderId="4" xfId="7" applyNumberFormat="1" applyFont="1" applyFill="1" applyBorder="1" applyAlignment="1">
      <alignment horizontal="center" vertical="center"/>
    </xf>
    <xf numFmtId="0" fontId="16" fillId="4" borderId="4" xfId="7" applyFont="1" applyFill="1" applyBorder="1"/>
    <xf numFmtId="0" fontId="9" fillId="4" borderId="4" xfId="7" applyFont="1" applyFill="1" applyBorder="1" applyAlignment="1">
      <alignment horizontal="left" vertical="center" indent="1"/>
    </xf>
    <xf numFmtId="0" fontId="7" fillId="4" borderId="4" xfId="7" applyFont="1" applyFill="1" applyBorder="1" applyAlignment="1">
      <alignment horizontal="left" vertical="center" wrapText="1" indent="1"/>
    </xf>
    <xf numFmtId="0" fontId="9" fillId="4" borderId="6" xfId="7" applyFont="1" applyFill="1" applyBorder="1" applyAlignment="1">
      <alignment horizontal="left" vertical="center" indent="1"/>
    </xf>
    <xf numFmtId="0" fontId="4" fillId="4" borderId="6" xfId="0" applyFont="1" applyFill="1" applyBorder="1" applyAlignment="1"/>
    <xf numFmtId="0" fontId="4" fillId="4" borderId="4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2" fillId="3" borderId="0" xfId="0" applyFont="1" applyFill="1" applyAlignment="1"/>
    <xf numFmtId="3" fontId="9" fillId="4" borderId="6" xfId="7" applyNumberFormat="1" applyFont="1" applyFill="1" applyBorder="1" applyAlignment="1">
      <alignment horizontal="right" vertical="center"/>
    </xf>
    <xf numFmtId="3" fontId="9" fillId="4" borderId="4" xfId="7" applyNumberFormat="1" applyFont="1" applyFill="1" applyBorder="1"/>
    <xf numFmtId="3" fontId="3" fillId="3" borderId="6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3" fillId="4" borderId="4" xfId="7" applyFont="1" applyFill="1" applyBorder="1" applyAlignment="1">
      <alignment horizontal="center" vertical="center"/>
    </xf>
    <xf numFmtId="0" fontId="12" fillId="4" borderId="3" xfId="7" applyFont="1" applyFill="1" applyBorder="1" applyAlignment="1">
      <alignment horizontal="left" vertical="center"/>
    </xf>
    <xf numFmtId="0" fontId="15" fillId="3" borderId="5" xfId="7" applyFont="1" applyFill="1" applyBorder="1"/>
    <xf numFmtId="0" fontId="14" fillId="4" borderId="8" xfId="7" applyFont="1" applyFill="1" applyBorder="1" applyAlignment="1">
      <alignment horizontal="center" vertical="center"/>
    </xf>
    <xf numFmtId="0" fontId="15" fillId="3" borderId="8" xfId="7" applyFont="1" applyFill="1" applyBorder="1"/>
    <xf numFmtId="0" fontId="14" fillId="4" borderId="9" xfId="7" applyFont="1" applyFill="1" applyBorder="1" applyAlignment="1">
      <alignment horizontal="center" vertical="center"/>
    </xf>
    <xf numFmtId="0" fontId="15" fillId="3" borderId="9" xfId="7" applyFont="1" applyFill="1" applyBorder="1"/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65"/>
  <sheetViews>
    <sheetView tabSelected="1" zoomScaleNormal="100" zoomScaleSheetLayoutView="84" workbookViewId="0">
      <selection activeCell="O32" sqref="A32:O32"/>
    </sheetView>
  </sheetViews>
  <sheetFormatPr defaultRowHeight="15" x14ac:dyDescent="0.25"/>
  <cols>
    <col min="1" max="1" width="43.7109375" style="1" customWidth="1"/>
    <col min="2" max="2" width="14.28515625" style="1" customWidth="1"/>
    <col min="3" max="14" width="11.28515625" style="1" customWidth="1"/>
    <col min="15" max="15" width="39.140625" style="1" customWidth="1"/>
    <col min="16" max="16384" width="9.140625" style="1"/>
  </cols>
  <sheetData>
    <row r="1" spans="1:15" ht="27" customHeight="1" x14ac:dyDescent="0.55000000000000004">
      <c r="A1" s="26" t="s">
        <v>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27" customHeight="1" x14ac:dyDescent="0.25">
      <c r="A2" s="29" t="s">
        <v>69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B3" s="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5" ht="15.75" x14ac:dyDescent="0.25">
      <c r="A4" s="30" t="s">
        <v>16</v>
      </c>
      <c r="B4" s="34">
        <v>2020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27"/>
    </row>
    <row r="5" spans="1:15" x14ac:dyDescent="0.25">
      <c r="A5" s="31"/>
      <c r="B5" s="10" t="s">
        <v>15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  <c r="L5" s="10" t="s">
        <v>10</v>
      </c>
      <c r="M5" s="10" t="s">
        <v>11</v>
      </c>
      <c r="N5" s="10" t="s">
        <v>12</v>
      </c>
      <c r="O5" s="28"/>
    </row>
    <row r="6" spans="1:15" ht="21" x14ac:dyDescent="0.55000000000000004">
      <c r="A6" s="11" t="s">
        <v>15</v>
      </c>
      <c r="B6" s="12">
        <f>SUM(C6:N6)</f>
        <v>1121582718.1599998</v>
      </c>
      <c r="C6" s="12">
        <f>SUM(C7:C32)</f>
        <v>96612483.919999987</v>
      </c>
      <c r="D6" s="12">
        <f t="shared" ref="D6:N6" si="0">SUM(D7:D32)</f>
        <v>101467861.15000001</v>
      </c>
      <c r="E6" s="12">
        <f t="shared" si="0"/>
        <v>101831069.59999999</v>
      </c>
      <c r="F6" s="12">
        <f t="shared" si="0"/>
        <v>77803683.300000012</v>
      </c>
      <c r="G6" s="12">
        <f t="shared" si="0"/>
        <v>81559988.38000001</v>
      </c>
      <c r="H6" s="12">
        <f t="shared" si="0"/>
        <v>104978828.86</v>
      </c>
      <c r="I6" s="12">
        <f t="shared" si="0"/>
        <v>85525944.840000004</v>
      </c>
      <c r="J6" s="12">
        <f t="shared" si="0"/>
        <v>99017001.289999992</v>
      </c>
      <c r="K6" s="12">
        <f t="shared" si="0"/>
        <v>90540263.629999995</v>
      </c>
      <c r="L6" s="12">
        <f t="shared" si="0"/>
        <v>89360205.549999982</v>
      </c>
      <c r="M6" s="12">
        <f t="shared" si="0"/>
        <v>91201695.989999995</v>
      </c>
      <c r="N6" s="12">
        <f t="shared" si="0"/>
        <v>101683691.64999998</v>
      </c>
      <c r="O6" s="22" t="s">
        <v>0</v>
      </c>
    </row>
    <row r="7" spans="1:15" ht="20.25" customHeight="1" x14ac:dyDescent="0.55000000000000004">
      <c r="A7" s="16" t="s">
        <v>17</v>
      </c>
      <c r="B7" s="9">
        <f>SUM(C7:N7)</f>
        <v>1746216.2099999997</v>
      </c>
      <c r="C7" s="9">
        <v>136995.62</v>
      </c>
      <c r="D7" s="9">
        <v>229285.06</v>
      </c>
      <c r="E7" s="9">
        <v>175870.24</v>
      </c>
      <c r="F7" s="9">
        <v>110252.52</v>
      </c>
      <c r="G7" s="9">
        <v>91254.94</v>
      </c>
      <c r="H7" s="9">
        <v>218226.7</v>
      </c>
      <c r="I7" s="9">
        <v>163664.62</v>
      </c>
      <c r="J7" s="9">
        <v>112107.08</v>
      </c>
      <c r="K7" s="9">
        <v>127172.89</v>
      </c>
      <c r="L7" s="9">
        <v>131786.06</v>
      </c>
      <c r="M7" s="9">
        <v>123448.08</v>
      </c>
      <c r="N7" s="9">
        <v>126152.4</v>
      </c>
      <c r="O7" s="6" t="s">
        <v>18</v>
      </c>
    </row>
    <row r="8" spans="1:15" ht="20.25" customHeight="1" x14ac:dyDescent="0.55000000000000004">
      <c r="A8" s="16" t="s">
        <v>19</v>
      </c>
      <c r="B8" s="9">
        <f t="shared" ref="B8:B32" si="1">SUM(C8:N8)</f>
        <v>56859970.739999995</v>
      </c>
      <c r="C8" s="9">
        <v>5035796.0199999996</v>
      </c>
      <c r="D8" s="9">
        <v>5089493.34</v>
      </c>
      <c r="E8" s="9">
        <v>4714479.38</v>
      </c>
      <c r="F8" s="9">
        <v>3753973.08</v>
      </c>
      <c r="G8" s="9">
        <v>3607524.54</v>
      </c>
      <c r="H8" s="9">
        <v>6287941.3799999999</v>
      </c>
      <c r="I8" s="9">
        <v>4559252</v>
      </c>
      <c r="J8" s="9">
        <v>4954622.68</v>
      </c>
      <c r="K8" s="9">
        <v>4585443.12</v>
      </c>
      <c r="L8" s="9">
        <v>4560158.12</v>
      </c>
      <c r="M8" s="9">
        <v>4663563.0999999996</v>
      </c>
      <c r="N8" s="9">
        <v>5047723.9800000004</v>
      </c>
      <c r="O8" s="6" t="s">
        <v>20</v>
      </c>
    </row>
    <row r="9" spans="1:15" ht="20.25" customHeight="1" x14ac:dyDescent="0.55000000000000004">
      <c r="A9" s="16" t="s">
        <v>21</v>
      </c>
      <c r="B9" s="9">
        <f t="shared" si="1"/>
        <v>129124.15999999999</v>
      </c>
      <c r="C9" s="9">
        <v>19770.8</v>
      </c>
      <c r="D9" s="9">
        <v>18510.8</v>
      </c>
      <c r="E9" s="9">
        <v>18109.84</v>
      </c>
      <c r="F9" s="9">
        <v>0</v>
      </c>
      <c r="G9" s="9">
        <v>0</v>
      </c>
      <c r="H9" s="9">
        <v>32912.720000000001</v>
      </c>
      <c r="I9" s="9">
        <v>7511.12</v>
      </c>
      <c r="J9" s="9">
        <v>6251.12</v>
      </c>
      <c r="K9" s="9">
        <v>6251.12</v>
      </c>
      <c r="L9" s="9">
        <v>6251.12</v>
      </c>
      <c r="M9" s="9">
        <v>5376.5</v>
      </c>
      <c r="N9" s="9">
        <v>8179.02</v>
      </c>
      <c r="O9" s="6" t="s">
        <v>22</v>
      </c>
    </row>
    <row r="10" spans="1:15" ht="20.25" customHeight="1" x14ac:dyDescent="0.55000000000000004">
      <c r="A10" s="16" t="s">
        <v>23</v>
      </c>
      <c r="B10" s="9">
        <f t="shared" si="1"/>
        <v>307025.12</v>
      </c>
      <c r="C10" s="9">
        <v>19580.82</v>
      </c>
      <c r="D10" s="9">
        <v>22132.400000000001</v>
      </c>
      <c r="E10" s="9">
        <v>34715.06</v>
      </c>
      <c r="F10" s="9">
        <v>8502.1</v>
      </c>
      <c r="G10" s="9">
        <v>22152.400000000001</v>
      </c>
      <c r="H10" s="9">
        <v>22083.26</v>
      </c>
      <c r="I10" s="9">
        <v>21439.7</v>
      </c>
      <c r="J10" s="9">
        <v>24598.74</v>
      </c>
      <c r="K10" s="9">
        <v>26432.98</v>
      </c>
      <c r="L10" s="9">
        <v>24505.26</v>
      </c>
      <c r="M10" s="9">
        <v>37493.78</v>
      </c>
      <c r="N10" s="9">
        <v>43388.62</v>
      </c>
      <c r="O10" s="6" t="s">
        <v>24</v>
      </c>
    </row>
    <row r="11" spans="1:15" ht="20.25" customHeight="1" x14ac:dyDescent="0.55000000000000004">
      <c r="A11" s="16" t="s">
        <v>25</v>
      </c>
      <c r="B11" s="9">
        <f t="shared" si="1"/>
        <v>25015707.82</v>
      </c>
      <c r="C11" s="9">
        <v>2478664.2599999998</v>
      </c>
      <c r="D11" s="9">
        <v>2466115.5</v>
      </c>
      <c r="E11" s="9">
        <v>2516825.58</v>
      </c>
      <c r="F11" s="9">
        <v>667529</v>
      </c>
      <c r="G11" s="9">
        <v>1730127.72</v>
      </c>
      <c r="H11" s="9">
        <v>2336104.2799999998</v>
      </c>
      <c r="I11" s="9">
        <v>2485376.08</v>
      </c>
      <c r="J11" s="9">
        <v>2202657.34</v>
      </c>
      <c r="K11" s="9">
        <v>1595680.76</v>
      </c>
      <c r="L11" s="9">
        <v>2002470.84</v>
      </c>
      <c r="M11" s="9">
        <v>2022162.54</v>
      </c>
      <c r="N11" s="9">
        <v>2511993.92</v>
      </c>
      <c r="O11" s="6" t="s">
        <v>26</v>
      </c>
    </row>
    <row r="12" spans="1:15" ht="20.25" customHeight="1" x14ac:dyDescent="0.55000000000000004">
      <c r="A12" s="16" t="s">
        <v>27</v>
      </c>
      <c r="B12" s="9">
        <f t="shared" si="1"/>
        <v>3294943.0999999996</v>
      </c>
      <c r="C12" s="9">
        <v>305413.58</v>
      </c>
      <c r="D12" s="9">
        <v>308655.48</v>
      </c>
      <c r="E12" s="9">
        <v>277863.52</v>
      </c>
      <c r="F12" s="9">
        <v>246198.92</v>
      </c>
      <c r="G12" s="9">
        <v>238116</v>
      </c>
      <c r="H12" s="9">
        <v>282907.62</v>
      </c>
      <c r="I12" s="9">
        <v>224190.68</v>
      </c>
      <c r="J12" s="9">
        <v>287170.74</v>
      </c>
      <c r="K12" s="9">
        <v>275661.88</v>
      </c>
      <c r="L12" s="9">
        <v>236746.88</v>
      </c>
      <c r="M12" s="9">
        <v>245621.54</v>
      </c>
      <c r="N12" s="9">
        <v>366396.26</v>
      </c>
      <c r="O12" s="6" t="s">
        <v>28</v>
      </c>
    </row>
    <row r="13" spans="1:15" ht="44.25" customHeight="1" x14ac:dyDescent="0.25">
      <c r="A13" s="17" t="s">
        <v>29</v>
      </c>
      <c r="B13" s="9">
        <f t="shared" si="1"/>
        <v>86445875.789999992</v>
      </c>
      <c r="C13" s="9">
        <v>5262657.58</v>
      </c>
      <c r="D13" s="9">
        <v>7247096.8300000001</v>
      </c>
      <c r="E13" s="9">
        <v>7272277.1699999999</v>
      </c>
      <c r="F13" s="9">
        <v>7010668.0899999999</v>
      </c>
      <c r="G13" s="9">
        <v>7040831.4299999997</v>
      </c>
      <c r="H13" s="9">
        <v>7291514.5300000003</v>
      </c>
      <c r="I13" s="9">
        <v>7127385.21</v>
      </c>
      <c r="J13" s="9">
        <v>7532307.8099999996</v>
      </c>
      <c r="K13" s="9">
        <v>6929070.6900000004</v>
      </c>
      <c r="L13" s="9">
        <v>7052185.1500000004</v>
      </c>
      <c r="M13" s="9">
        <v>7225980.9699999997</v>
      </c>
      <c r="N13" s="9">
        <v>9453900.3300000001</v>
      </c>
      <c r="O13" s="7" t="s">
        <v>30</v>
      </c>
    </row>
    <row r="14" spans="1:15" ht="20.25" customHeight="1" x14ac:dyDescent="0.55000000000000004">
      <c r="A14" s="16" t="s">
        <v>31</v>
      </c>
      <c r="B14" s="9">
        <f t="shared" si="1"/>
        <v>11130037.27</v>
      </c>
      <c r="C14" s="9">
        <v>953366.54</v>
      </c>
      <c r="D14" s="9">
        <v>969965.83</v>
      </c>
      <c r="E14" s="9">
        <v>928561.14</v>
      </c>
      <c r="F14" s="9">
        <v>822423.32</v>
      </c>
      <c r="G14" s="9">
        <v>816576.8</v>
      </c>
      <c r="H14" s="9">
        <v>1112327.0900000001</v>
      </c>
      <c r="I14" s="9">
        <v>879266.36</v>
      </c>
      <c r="J14" s="9">
        <v>923918.44</v>
      </c>
      <c r="K14" s="9">
        <v>929892.23</v>
      </c>
      <c r="L14" s="9">
        <v>909492.04</v>
      </c>
      <c r="M14" s="9">
        <v>909228.6</v>
      </c>
      <c r="N14" s="9">
        <v>975018.88</v>
      </c>
      <c r="O14" s="6" t="s">
        <v>32</v>
      </c>
    </row>
    <row r="15" spans="1:15" ht="20.25" customHeight="1" x14ac:dyDescent="0.55000000000000004">
      <c r="A15" s="16" t="s">
        <v>33</v>
      </c>
      <c r="B15" s="9">
        <f t="shared" si="1"/>
        <v>2152798.2999999998</v>
      </c>
      <c r="C15" s="9">
        <v>183913.04</v>
      </c>
      <c r="D15" s="9">
        <v>179140.18</v>
      </c>
      <c r="E15" s="9">
        <v>182908.98</v>
      </c>
      <c r="F15" s="9">
        <v>126025.98</v>
      </c>
      <c r="G15" s="9">
        <v>178909.56</v>
      </c>
      <c r="H15" s="9">
        <v>197473.98</v>
      </c>
      <c r="I15" s="9">
        <v>252030.38</v>
      </c>
      <c r="J15" s="9">
        <v>144749.46</v>
      </c>
      <c r="K15" s="9">
        <v>158753.94</v>
      </c>
      <c r="L15" s="9">
        <v>195928.38</v>
      </c>
      <c r="M15" s="9">
        <v>175290.04</v>
      </c>
      <c r="N15" s="9">
        <v>177674.38</v>
      </c>
      <c r="O15" s="6" t="s">
        <v>34</v>
      </c>
    </row>
    <row r="16" spans="1:15" ht="20.25" customHeight="1" x14ac:dyDescent="0.55000000000000004">
      <c r="A16" s="16" t="s">
        <v>35</v>
      </c>
      <c r="B16" s="9">
        <f t="shared" si="1"/>
        <v>480010068.67999995</v>
      </c>
      <c r="C16" s="9">
        <v>36488344.109999999</v>
      </c>
      <c r="D16" s="9">
        <v>37116410.530000001</v>
      </c>
      <c r="E16" s="9">
        <v>40960726.479999997</v>
      </c>
      <c r="F16" s="9">
        <v>37574003.509999998</v>
      </c>
      <c r="G16" s="9">
        <v>37646221.789999999</v>
      </c>
      <c r="H16" s="9">
        <v>43061847.979999997</v>
      </c>
      <c r="I16" s="9">
        <v>40231125.240000002</v>
      </c>
      <c r="J16" s="9">
        <v>41318358.159999996</v>
      </c>
      <c r="K16" s="9">
        <v>41525125.920000002</v>
      </c>
      <c r="L16" s="9">
        <v>40306564.460000001</v>
      </c>
      <c r="M16" s="9">
        <v>40823772.719999999</v>
      </c>
      <c r="N16" s="9">
        <v>42957567.780000001</v>
      </c>
      <c r="O16" s="6" t="s">
        <v>36</v>
      </c>
    </row>
    <row r="17" spans="1:15" ht="20.25" customHeight="1" x14ac:dyDescent="0.55000000000000004">
      <c r="A17" s="16" t="s">
        <v>37</v>
      </c>
      <c r="B17" s="9">
        <f t="shared" si="1"/>
        <v>12954588.569999998</v>
      </c>
      <c r="C17" s="9">
        <v>1059659.98</v>
      </c>
      <c r="D17" s="9">
        <v>1098421.69</v>
      </c>
      <c r="E17" s="9">
        <v>1066138.76</v>
      </c>
      <c r="F17" s="9">
        <v>504956.12</v>
      </c>
      <c r="G17" s="9">
        <v>1240316.68</v>
      </c>
      <c r="H17" s="9">
        <v>1368683.78</v>
      </c>
      <c r="I17" s="9">
        <v>1083230.29</v>
      </c>
      <c r="J17" s="9">
        <v>1002288.91</v>
      </c>
      <c r="K17" s="9">
        <v>1086582.53</v>
      </c>
      <c r="L17" s="9">
        <v>1055975.53</v>
      </c>
      <c r="M17" s="9">
        <v>1110773.8799999999</v>
      </c>
      <c r="N17" s="9">
        <v>1277560.42</v>
      </c>
      <c r="O17" s="6" t="s">
        <v>38</v>
      </c>
    </row>
    <row r="18" spans="1:15" ht="20.25" customHeight="1" x14ac:dyDescent="0.55000000000000004">
      <c r="A18" s="16" t="s">
        <v>39</v>
      </c>
      <c r="B18" s="9">
        <f t="shared" si="1"/>
        <v>213254684.15000001</v>
      </c>
      <c r="C18" s="9">
        <v>24206481.02</v>
      </c>
      <c r="D18" s="9">
        <v>25993830</v>
      </c>
      <c r="E18" s="9">
        <v>23110674.579999998</v>
      </c>
      <c r="F18" s="9">
        <v>14259522.550000001</v>
      </c>
      <c r="G18" s="9">
        <v>14651067.439999999</v>
      </c>
      <c r="H18" s="9">
        <v>22936044.949999999</v>
      </c>
      <c r="I18" s="9">
        <v>13594705.949999999</v>
      </c>
      <c r="J18" s="9">
        <v>14653562.140000001</v>
      </c>
      <c r="K18" s="9">
        <v>12951464.220000001</v>
      </c>
      <c r="L18" s="9">
        <v>13923074.5</v>
      </c>
      <c r="M18" s="9">
        <v>14584544.710000001</v>
      </c>
      <c r="N18" s="9">
        <v>18389712.09</v>
      </c>
      <c r="O18" s="6" t="s">
        <v>40</v>
      </c>
    </row>
    <row r="19" spans="1:15" ht="20.25" customHeight="1" x14ac:dyDescent="0.55000000000000004">
      <c r="A19" s="16" t="s">
        <v>68</v>
      </c>
      <c r="B19" s="9">
        <f t="shared" si="1"/>
        <v>1365963.2000000002</v>
      </c>
      <c r="C19" s="9">
        <v>104539.66</v>
      </c>
      <c r="D19" s="9">
        <v>133701.88</v>
      </c>
      <c r="E19" s="9">
        <v>167954.2</v>
      </c>
      <c r="F19" s="9">
        <v>44208.04</v>
      </c>
      <c r="G19" s="9">
        <v>30376.959999999999</v>
      </c>
      <c r="H19" s="9">
        <v>248760.56</v>
      </c>
      <c r="I19" s="9">
        <v>106215.92</v>
      </c>
      <c r="J19" s="9">
        <v>111689.44</v>
      </c>
      <c r="K19" s="9">
        <v>104621.58</v>
      </c>
      <c r="L19" s="9">
        <v>103738.22</v>
      </c>
      <c r="M19" s="9">
        <v>105298.24000000001</v>
      </c>
      <c r="N19" s="9">
        <v>104858.5</v>
      </c>
      <c r="O19" s="6" t="s">
        <v>41</v>
      </c>
    </row>
    <row r="20" spans="1:15" ht="20.25" customHeight="1" x14ac:dyDescent="0.55000000000000004">
      <c r="A20" s="16" t="s">
        <v>42</v>
      </c>
      <c r="B20" s="9">
        <f t="shared" si="1"/>
        <v>7565468.3400000008</v>
      </c>
      <c r="C20" s="9">
        <v>634750.1</v>
      </c>
      <c r="D20" s="9">
        <v>635699.24</v>
      </c>
      <c r="E20" s="9">
        <v>632191.9</v>
      </c>
      <c r="F20" s="9">
        <v>609886.28</v>
      </c>
      <c r="G20" s="9">
        <v>7849.3</v>
      </c>
      <c r="H20" s="9">
        <v>1249036.1000000001</v>
      </c>
      <c r="I20" s="9">
        <v>638630.14</v>
      </c>
      <c r="J20" s="9">
        <v>629911.02</v>
      </c>
      <c r="K20" s="9">
        <v>633103.06000000006</v>
      </c>
      <c r="L20" s="9">
        <v>630428.31999999995</v>
      </c>
      <c r="M20" s="9">
        <v>631218.16</v>
      </c>
      <c r="N20" s="9">
        <v>632764.72</v>
      </c>
      <c r="O20" s="6" t="s">
        <v>43</v>
      </c>
    </row>
    <row r="21" spans="1:15" ht="20.25" customHeight="1" x14ac:dyDescent="0.55000000000000004">
      <c r="A21" s="16" t="s">
        <v>44</v>
      </c>
      <c r="B21" s="9">
        <f t="shared" si="1"/>
        <v>18434</v>
      </c>
      <c r="C21" s="9">
        <v>560</v>
      </c>
      <c r="D21" s="9">
        <v>0</v>
      </c>
      <c r="E21" s="9">
        <v>560.74</v>
      </c>
      <c r="F21" s="9">
        <v>0</v>
      </c>
      <c r="G21" s="9">
        <v>1688.52</v>
      </c>
      <c r="H21" s="9">
        <v>0</v>
      </c>
      <c r="I21" s="9">
        <v>2744.74</v>
      </c>
      <c r="J21" s="9">
        <v>2184</v>
      </c>
      <c r="K21" s="9">
        <v>2184</v>
      </c>
      <c r="L21" s="9">
        <v>0</v>
      </c>
      <c r="M21" s="9">
        <v>5348</v>
      </c>
      <c r="N21" s="9">
        <v>3164</v>
      </c>
      <c r="O21" s="6" t="s">
        <v>45</v>
      </c>
    </row>
    <row r="22" spans="1:15" ht="20.25" customHeight="1" x14ac:dyDescent="0.55000000000000004">
      <c r="A22" s="16" t="s">
        <v>66</v>
      </c>
      <c r="B22" s="9">
        <f t="shared" si="1"/>
        <v>66646472.210000001</v>
      </c>
      <c r="C22" s="9">
        <v>6067151.6399999997</v>
      </c>
      <c r="D22" s="9">
        <v>6313239.5300000003</v>
      </c>
      <c r="E22" s="9">
        <v>6034033.9900000002</v>
      </c>
      <c r="F22" s="9">
        <v>1899959.05</v>
      </c>
      <c r="G22" s="9">
        <v>2853671.18</v>
      </c>
      <c r="H22" s="9">
        <v>4203901.9400000004</v>
      </c>
      <c r="I22" s="9">
        <v>2186334.63</v>
      </c>
      <c r="J22" s="9">
        <v>12705321.390000001</v>
      </c>
      <c r="K22" s="9">
        <v>6656720.21</v>
      </c>
      <c r="L22" s="9">
        <v>5674248.25</v>
      </c>
      <c r="M22" s="9">
        <v>5502705.0499999998</v>
      </c>
      <c r="N22" s="9">
        <v>6549185.3499999996</v>
      </c>
      <c r="O22" s="6" t="s">
        <v>67</v>
      </c>
    </row>
    <row r="23" spans="1:15" ht="20.25" customHeight="1" x14ac:dyDescent="0.55000000000000004">
      <c r="A23" s="16" t="s">
        <v>46</v>
      </c>
      <c r="B23" s="9">
        <f t="shared" si="1"/>
        <v>19345.68</v>
      </c>
      <c r="C23" s="9">
        <v>2382.2399999999998</v>
      </c>
      <c r="D23" s="9">
        <v>1540.56</v>
      </c>
      <c r="E23" s="9">
        <v>0</v>
      </c>
      <c r="F23" s="9">
        <v>0</v>
      </c>
      <c r="G23" s="9">
        <v>2109.6999999999998</v>
      </c>
      <c r="H23" s="9">
        <v>3373.18</v>
      </c>
      <c r="I23" s="9">
        <v>2240</v>
      </c>
      <c r="J23" s="9">
        <v>1540</v>
      </c>
      <c r="K23" s="9">
        <v>1540</v>
      </c>
      <c r="L23" s="9">
        <v>1540</v>
      </c>
      <c r="M23" s="9">
        <v>1540</v>
      </c>
      <c r="N23" s="9">
        <v>1540</v>
      </c>
      <c r="O23" s="6" t="s">
        <v>47</v>
      </c>
    </row>
    <row r="24" spans="1:15" ht="20.25" customHeight="1" x14ac:dyDescent="0.55000000000000004">
      <c r="A24" s="16" t="s">
        <v>48</v>
      </c>
      <c r="B24" s="9">
        <f t="shared" si="1"/>
        <v>517019.98</v>
      </c>
      <c r="C24" s="9">
        <v>41092.019999999997</v>
      </c>
      <c r="D24" s="9">
        <v>41617.519999999997</v>
      </c>
      <c r="E24" s="9">
        <v>43157.08</v>
      </c>
      <c r="F24" s="9">
        <v>42373.02</v>
      </c>
      <c r="G24" s="9">
        <v>37409.22</v>
      </c>
      <c r="H24" s="9">
        <v>46037.18</v>
      </c>
      <c r="I24" s="9">
        <v>37689.800000000003</v>
      </c>
      <c r="J24" s="9">
        <v>43087.38</v>
      </c>
      <c r="K24" s="9">
        <v>41051.279999999999</v>
      </c>
      <c r="L24" s="9">
        <v>39993.24</v>
      </c>
      <c r="M24" s="9">
        <v>53310.42</v>
      </c>
      <c r="N24" s="9">
        <v>50201.82</v>
      </c>
      <c r="O24" s="6" t="s">
        <v>49</v>
      </c>
    </row>
    <row r="25" spans="1:15" ht="20.25" customHeight="1" x14ac:dyDescent="0.55000000000000004">
      <c r="A25" s="16" t="s">
        <v>50</v>
      </c>
      <c r="B25" s="9">
        <f t="shared" si="1"/>
        <v>1334808.48</v>
      </c>
      <c r="C25" s="9">
        <v>145674.12</v>
      </c>
      <c r="D25" s="9">
        <v>205000.2</v>
      </c>
      <c r="E25" s="9">
        <v>167699.72</v>
      </c>
      <c r="F25" s="9">
        <v>65174.48</v>
      </c>
      <c r="G25" s="9">
        <v>49991.76</v>
      </c>
      <c r="H25" s="9">
        <v>100403.86</v>
      </c>
      <c r="I25" s="9">
        <v>93992.960000000006</v>
      </c>
      <c r="J25" s="9">
        <v>154531.34</v>
      </c>
      <c r="K25" s="9">
        <v>116187.08</v>
      </c>
      <c r="L25" s="9">
        <v>55026.48</v>
      </c>
      <c r="M25" s="9">
        <v>115624.42</v>
      </c>
      <c r="N25" s="9">
        <v>65502.06</v>
      </c>
      <c r="O25" s="6" t="s">
        <v>51</v>
      </c>
    </row>
    <row r="26" spans="1:15" ht="20.25" customHeight="1" x14ac:dyDescent="0.55000000000000004">
      <c r="A26" s="16" t="s">
        <v>52</v>
      </c>
      <c r="B26" s="9">
        <f t="shared" si="1"/>
        <v>443382.04</v>
      </c>
      <c r="C26" s="9">
        <v>42248.480000000003</v>
      </c>
      <c r="D26" s="9">
        <v>41996.34</v>
      </c>
      <c r="E26" s="9">
        <v>40980.080000000002</v>
      </c>
      <c r="F26" s="9">
        <v>25859.22</v>
      </c>
      <c r="G26" s="9">
        <v>33189</v>
      </c>
      <c r="H26" s="9">
        <v>45365.82</v>
      </c>
      <c r="I26" s="9">
        <v>26113.040000000001</v>
      </c>
      <c r="J26" s="9">
        <v>32733.3</v>
      </c>
      <c r="K26" s="9">
        <v>37453.42</v>
      </c>
      <c r="L26" s="9">
        <v>39155.68</v>
      </c>
      <c r="M26" s="9">
        <v>38885.72</v>
      </c>
      <c r="N26" s="9">
        <v>39401.94</v>
      </c>
      <c r="O26" s="6" t="s">
        <v>53</v>
      </c>
    </row>
    <row r="27" spans="1:15" ht="20.25" customHeight="1" x14ac:dyDescent="0.55000000000000004">
      <c r="A27" s="16" t="s">
        <v>54</v>
      </c>
      <c r="B27" s="9">
        <f t="shared" si="1"/>
        <v>19556065.559999999</v>
      </c>
      <c r="C27" s="9">
        <v>1571147.92</v>
      </c>
      <c r="D27" s="9">
        <v>2066981.12</v>
      </c>
      <c r="E27" s="9">
        <v>1784611.76</v>
      </c>
      <c r="F27" s="9">
        <v>1434027.48</v>
      </c>
      <c r="G27" s="9">
        <v>1153454.6200000001</v>
      </c>
      <c r="H27" s="9">
        <v>2275120.14</v>
      </c>
      <c r="I27" s="9">
        <v>1526496.2</v>
      </c>
      <c r="J27" s="9">
        <v>1446272.48</v>
      </c>
      <c r="K27" s="9">
        <v>1649179.64</v>
      </c>
      <c r="L27" s="9">
        <v>1478857.88</v>
      </c>
      <c r="M27" s="9">
        <v>1512297.8</v>
      </c>
      <c r="N27" s="9">
        <v>1657618.52</v>
      </c>
      <c r="O27" s="6" t="s">
        <v>55</v>
      </c>
    </row>
    <row r="28" spans="1:15" ht="20.25" customHeight="1" x14ac:dyDescent="0.55000000000000004">
      <c r="A28" s="16" t="s">
        <v>56</v>
      </c>
      <c r="B28" s="9">
        <f t="shared" si="1"/>
        <v>33432870.139999997</v>
      </c>
      <c r="C28" s="9">
        <v>2939947.36</v>
      </c>
      <c r="D28" s="9">
        <v>3039251.06</v>
      </c>
      <c r="E28" s="9">
        <v>2830075.9</v>
      </c>
      <c r="F28" s="9">
        <v>1958214.08</v>
      </c>
      <c r="G28" s="9">
        <v>3515403.5</v>
      </c>
      <c r="H28" s="9">
        <v>2814256.72</v>
      </c>
      <c r="I28" s="9">
        <v>2556016.42</v>
      </c>
      <c r="J28" s="9">
        <v>1852543.84</v>
      </c>
      <c r="K28" s="9">
        <v>3363535.42</v>
      </c>
      <c r="L28" s="9">
        <v>2634757.1</v>
      </c>
      <c r="M28" s="9">
        <v>3034909.22</v>
      </c>
      <c r="N28" s="9">
        <v>2893959.52</v>
      </c>
      <c r="O28" s="6" t="s">
        <v>57</v>
      </c>
    </row>
    <row r="29" spans="1:15" ht="20.25" customHeight="1" x14ac:dyDescent="0.55000000000000004">
      <c r="A29" s="16" t="s">
        <v>58</v>
      </c>
      <c r="B29" s="9">
        <f t="shared" si="1"/>
        <v>32549137.969999999</v>
      </c>
      <c r="C29" s="9">
        <v>3330144</v>
      </c>
      <c r="D29" s="9">
        <v>2973472.12</v>
      </c>
      <c r="E29" s="9">
        <v>3292942.17</v>
      </c>
      <c r="F29" s="9">
        <v>1883564.98</v>
      </c>
      <c r="G29" s="9">
        <v>1569118.17</v>
      </c>
      <c r="H29" s="9">
        <v>3069663.98</v>
      </c>
      <c r="I29" s="9">
        <v>2461002.23</v>
      </c>
      <c r="J29" s="9">
        <v>3389845.64</v>
      </c>
      <c r="K29" s="9">
        <v>2333597.94</v>
      </c>
      <c r="L29" s="9">
        <v>2765776.7</v>
      </c>
      <c r="M29" s="9">
        <v>2623473.9500000002</v>
      </c>
      <c r="N29" s="9">
        <v>2856536.09</v>
      </c>
      <c r="O29" s="6" t="s">
        <v>59</v>
      </c>
    </row>
    <row r="30" spans="1:15" ht="20.25" customHeight="1" x14ac:dyDescent="0.55000000000000004">
      <c r="A30" s="16" t="s">
        <v>60</v>
      </c>
      <c r="B30" s="9">
        <f t="shared" si="1"/>
        <v>33479738.230000004</v>
      </c>
      <c r="C30" s="9">
        <v>2905940.31</v>
      </c>
      <c r="D30" s="9">
        <v>2726402.4</v>
      </c>
      <c r="E30" s="9">
        <v>2770050.47</v>
      </c>
      <c r="F30" s="9">
        <v>2581388.42</v>
      </c>
      <c r="G30" s="9">
        <v>2875972.55</v>
      </c>
      <c r="H30" s="9">
        <v>2675843.56</v>
      </c>
      <c r="I30" s="9">
        <v>2751160.79</v>
      </c>
      <c r="J30" s="9">
        <v>2846099.89</v>
      </c>
      <c r="K30" s="9">
        <v>2848975.74</v>
      </c>
      <c r="L30" s="9">
        <v>2783591</v>
      </c>
      <c r="M30" s="9">
        <v>2967086.35</v>
      </c>
      <c r="N30" s="9">
        <v>2747226.75</v>
      </c>
      <c r="O30" s="6" t="s">
        <v>61</v>
      </c>
    </row>
    <row r="31" spans="1:15" ht="20.25" customHeight="1" x14ac:dyDescent="0.55000000000000004">
      <c r="A31" s="16" t="s">
        <v>62</v>
      </c>
      <c r="B31" s="9">
        <f t="shared" si="1"/>
        <v>278567.40000000002</v>
      </c>
      <c r="C31" s="9">
        <v>22654.86</v>
      </c>
      <c r="D31" s="9">
        <v>22774.66</v>
      </c>
      <c r="E31" s="9">
        <v>22725.1</v>
      </c>
      <c r="F31" s="9">
        <v>20267.38</v>
      </c>
      <c r="G31" s="9">
        <v>10204.4</v>
      </c>
      <c r="H31" s="9">
        <v>22785</v>
      </c>
      <c r="I31" s="9">
        <v>15169.42</v>
      </c>
      <c r="J31" s="9">
        <v>21276.14</v>
      </c>
      <c r="K31" s="9">
        <v>48752.18</v>
      </c>
      <c r="L31" s="9">
        <v>23956.82</v>
      </c>
      <c r="M31" s="9">
        <v>24000.94</v>
      </c>
      <c r="N31" s="9">
        <v>24000.5</v>
      </c>
      <c r="O31" s="6" t="s">
        <v>63</v>
      </c>
    </row>
    <row r="32" spans="1:15" ht="20.25" customHeight="1" x14ac:dyDescent="0.55000000000000004">
      <c r="A32" s="18" t="s">
        <v>64</v>
      </c>
      <c r="B32" s="23">
        <f t="shared" si="1"/>
        <v>31074405.02</v>
      </c>
      <c r="C32" s="23">
        <v>2653607.84</v>
      </c>
      <c r="D32" s="23">
        <v>2527126.88</v>
      </c>
      <c r="E32" s="23">
        <v>2784935.76</v>
      </c>
      <c r="F32" s="23">
        <v>2154705.6800000002</v>
      </c>
      <c r="G32" s="23">
        <v>2156450.2000000002</v>
      </c>
      <c r="H32" s="23">
        <v>3076212.55</v>
      </c>
      <c r="I32" s="23">
        <v>2492960.92</v>
      </c>
      <c r="J32" s="23">
        <v>2617372.81</v>
      </c>
      <c r="K32" s="23">
        <v>2505829.7999999998</v>
      </c>
      <c r="L32" s="23">
        <v>2723997.52</v>
      </c>
      <c r="M32" s="23">
        <v>2658741.2599999998</v>
      </c>
      <c r="N32" s="23">
        <v>2722463.8</v>
      </c>
      <c r="O32" s="19" t="s">
        <v>65</v>
      </c>
    </row>
    <row r="33" spans="1:15" ht="20.25" customHeight="1" x14ac:dyDescent="0.45">
      <c r="A33" s="13" t="s">
        <v>13</v>
      </c>
      <c r="B33" s="1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" t="s">
        <v>14</v>
      </c>
    </row>
    <row r="34" spans="1:15" ht="27" customHeight="1" x14ac:dyDescent="0.25"/>
    <row r="35" spans="1:15" ht="15.75" x14ac:dyDescent="0.25">
      <c r="A35" s="30" t="s">
        <v>16</v>
      </c>
      <c r="B35" s="32">
        <v>2019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27"/>
    </row>
    <row r="36" spans="1:15" x14ac:dyDescent="0.25">
      <c r="A36" s="31"/>
      <c r="B36" s="10" t="s">
        <v>15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5</v>
      </c>
      <c r="H36" s="10" t="s">
        <v>6</v>
      </c>
      <c r="I36" s="10" t="s">
        <v>7</v>
      </c>
      <c r="J36" s="10" t="s">
        <v>8</v>
      </c>
      <c r="K36" s="10" t="s">
        <v>9</v>
      </c>
      <c r="L36" s="10" t="s">
        <v>10</v>
      </c>
      <c r="M36" s="10" t="s">
        <v>11</v>
      </c>
      <c r="N36" s="10" t="s">
        <v>12</v>
      </c>
      <c r="O36" s="28"/>
    </row>
    <row r="37" spans="1:15" ht="21" x14ac:dyDescent="0.55000000000000004">
      <c r="A37" s="11" t="s">
        <v>15</v>
      </c>
      <c r="B37" s="12">
        <f>SUM(C37:N37)</f>
        <v>1183825816.3599999</v>
      </c>
      <c r="C37" s="12">
        <f>SUM(C38:C63)</f>
        <v>93543409.389999986</v>
      </c>
      <c r="D37" s="12">
        <f t="shared" ref="D37:N37" si="2">SUM(D38:D63)</f>
        <v>91035008.760000005</v>
      </c>
      <c r="E37" s="12">
        <f t="shared" si="2"/>
        <v>97667865.590000004</v>
      </c>
      <c r="F37" s="12">
        <f t="shared" si="2"/>
        <v>96011876.210000008</v>
      </c>
      <c r="G37" s="12">
        <f t="shared" si="2"/>
        <v>96082067.529999971</v>
      </c>
      <c r="H37" s="12">
        <f t="shared" si="2"/>
        <v>98268597.449999988</v>
      </c>
      <c r="I37" s="12">
        <f t="shared" si="2"/>
        <v>100022119.13</v>
      </c>
      <c r="J37" s="12">
        <f t="shared" si="2"/>
        <v>99605893.939999983</v>
      </c>
      <c r="K37" s="12">
        <f t="shared" si="2"/>
        <v>97942015.669999987</v>
      </c>
      <c r="L37" s="12">
        <f t="shared" si="2"/>
        <v>104868440.77999999</v>
      </c>
      <c r="M37" s="12">
        <f t="shared" si="2"/>
        <v>100321329.73999999</v>
      </c>
      <c r="N37" s="12">
        <f t="shared" si="2"/>
        <v>108457192.17000002</v>
      </c>
      <c r="O37" s="22" t="s">
        <v>0</v>
      </c>
    </row>
    <row r="38" spans="1:15" ht="19.5" customHeight="1" x14ac:dyDescent="0.25">
      <c r="A38" s="16" t="s">
        <v>17</v>
      </c>
      <c r="B38" s="9">
        <f t="shared" ref="B38:B63" si="3">SUM(C38:N38)</f>
        <v>2278293.98</v>
      </c>
      <c r="C38" s="3">
        <v>197842.36</v>
      </c>
      <c r="D38" s="3">
        <v>153991.06</v>
      </c>
      <c r="E38" s="3">
        <v>165373.07999999999</v>
      </c>
      <c r="F38" s="3">
        <v>217119.44</v>
      </c>
      <c r="G38" s="3">
        <v>161390.12</v>
      </c>
      <c r="H38" s="3">
        <v>206807.62</v>
      </c>
      <c r="I38" s="3">
        <v>193278.56</v>
      </c>
      <c r="J38" s="3">
        <v>231306.96</v>
      </c>
      <c r="K38" s="3">
        <v>159563.24</v>
      </c>
      <c r="L38" s="3">
        <v>235847.22</v>
      </c>
      <c r="M38" s="3">
        <v>155354.42000000001</v>
      </c>
      <c r="N38" s="3">
        <v>200419.9</v>
      </c>
      <c r="O38" s="20" t="s">
        <v>18</v>
      </c>
    </row>
    <row r="39" spans="1:15" ht="19.5" customHeight="1" x14ac:dyDescent="0.25">
      <c r="A39" s="16" t="s">
        <v>19</v>
      </c>
      <c r="B39" s="9">
        <f t="shared" si="3"/>
        <v>56263748.720000006</v>
      </c>
      <c r="C39" s="3">
        <v>4559587.24</v>
      </c>
      <c r="D39" s="3">
        <v>4557005.96</v>
      </c>
      <c r="E39" s="3">
        <v>4579804.8</v>
      </c>
      <c r="F39" s="3">
        <v>4580588.82</v>
      </c>
      <c r="G39" s="3">
        <v>4554511.92</v>
      </c>
      <c r="H39" s="3">
        <v>4696810.22</v>
      </c>
      <c r="I39" s="3">
        <v>4704284.4000000004</v>
      </c>
      <c r="J39" s="3">
        <v>4731677.3600000003</v>
      </c>
      <c r="K39" s="3">
        <v>4642544.2</v>
      </c>
      <c r="L39" s="3">
        <v>4763298.2</v>
      </c>
      <c r="M39" s="3">
        <v>4935864.34</v>
      </c>
      <c r="N39" s="3">
        <v>4957771.26</v>
      </c>
      <c r="O39" s="20" t="s">
        <v>20</v>
      </c>
    </row>
    <row r="40" spans="1:15" ht="19.5" customHeight="1" x14ac:dyDescent="0.25">
      <c r="A40" s="16" t="s">
        <v>21</v>
      </c>
      <c r="B40" s="9">
        <f t="shared" si="3"/>
        <v>247448.87999999998</v>
      </c>
      <c r="C40" s="3">
        <v>21338.799999999999</v>
      </c>
      <c r="D40" s="3">
        <v>20498.8</v>
      </c>
      <c r="E40" s="3">
        <v>20498.8</v>
      </c>
      <c r="F40" s="3">
        <v>20498.8</v>
      </c>
      <c r="G40" s="3">
        <v>20953.8</v>
      </c>
      <c r="H40" s="3">
        <v>21128.799999999999</v>
      </c>
      <c r="I40" s="3">
        <v>21128.799999999999</v>
      </c>
      <c r="J40" s="3">
        <v>22528.799999999999</v>
      </c>
      <c r="K40" s="3">
        <v>19700.8</v>
      </c>
      <c r="L40" s="3">
        <v>19700.8</v>
      </c>
      <c r="M40" s="3">
        <v>19701</v>
      </c>
      <c r="N40" s="3">
        <v>19770.88</v>
      </c>
      <c r="O40" s="20" t="s">
        <v>22</v>
      </c>
    </row>
    <row r="41" spans="1:15" ht="19.5" customHeight="1" x14ac:dyDescent="0.25">
      <c r="A41" s="16" t="s">
        <v>23</v>
      </c>
      <c r="B41" s="9">
        <f t="shared" si="3"/>
        <v>335066.82</v>
      </c>
      <c r="C41" s="3">
        <v>36531.019999999997</v>
      </c>
      <c r="D41" s="3">
        <v>25474.02</v>
      </c>
      <c r="E41" s="3">
        <v>36764.239999999998</v>
      </c>
      <c r="F41" s="3">
        <v>24750.76</v>
      </c>
      <c r="G41" s="3">
        <v>29625.5</v>
      </c>
      <c r="H41" s="3">
        <v>29747.9</v>
      </c>
      <c r="I41" s="3">
        <v>19974.36</v>
      </c>
      <c r="J41" s="3">
        <v>31159.54</v>
      </c>
      <c r="K41" s="3">
        <v>18644.759999999998</v>
      </c>
      <c r="L41" s="3">
        <v>30169.72</v>
      </c>
      <c r="M41" s="3">
        <v>20356.32</v>
      </c>
      <c r="N41" s="3">
        <v>31868.68</v>
      </c>
      <c r="O41" s="20" t="s">
        <v>24</v>
      </c>
    </row>
    <row r="42" spans="1:15" ht="19.5" customHeight="1" x14ac:dyDescent="0.25">
      <c r="A42" s="16" t="s">
        <v>25</v>
      </c>
      <c r="B42" s="9">
        <f t="shared" si="3"/>
        <v>29842003.300000004</v>
      </c>
      <c r="C42" s="3">
        <v>2392215.66</v>
      </c>
      <c r="D42" s="3">
        <v>2544600.86</v>
      </c>
      <c r="E42" s="3">
        <v>2616744.1</v>
      </c>
      <c r="F42" s="3">
        <v>2351315.66</v>
      </c>
      <c r="G42" s="3">
        <v>2395435.6800000002</v>
      </c>
      <c r="H42" s="3">
        <v>2510939.16</v>
      </c>
      <c r="I42" s="3">
        <v>2445880.4</v>
      </c>
      <c r="J42" s="3">
        <v>2698969.76</v>
      </c>
      <c r="K42" s="3">
        <v>2404775.16</v>
      </c>
      <c r="L42" s="3">
        <v>2553940.62</v>
      </c>
      <c r="M42" s="3">
        <v>2412310.92</v>
      </c>
      <c r="N42" s="3">
        <v>2514875.3199999998</v>
      </c>
      <c r="O42" s="20" t="s">
        <v>26</v>
      </c>
    </row>
    <row r="43" spans="1:15" ht="19.5" customHeight="1" x14ac:dyDescent="0.25">
      <c r="A43" s="16" t="s">
        <v>27</v>
      </c>
      <c r="B43" s="9">
        <f t="shared" si="3"/>
        <v>3880708.9599999995</v>
      </c>
      <c r="C43" s="3">
        <v>307379.84000000003</v>
      </c>
      <c r="D43" s="3">
        <v>313154.90000000002</v>
      </c>
      <c r="E43" s="3">
        <v>318759.71999999997</v>
      </c>
      <c r="F43" s="3">
        <v>317410.98</v>
      </c>
      <c r="G43" s="3">
        <v>299616.52</v>
      </c>
      <c r="H43" s="3">
        <v>266573.86</v>
      </c>
      <c r="I43" s="3">
        <v>375526.48</v>
      </c>
      <c r="J43" s="3">
        <v>358103.32</v>
      </c>
      <c r="K43" s="3">
        <v>333433.40000000002</v>
      </c>
      <c r="L43" s="3">
        <v>329985.90000000002</v>
      </c>
      <c r="M43" s="3">
        <v>325163.65999999997</v>
      </c>
      <c r="N43" s="3">
        <v>335600.38</v>
      </c>
      <c r="O43" s="20" t="s">
        <v>28</v>
      </c>
    </row>
    <row r="44" spans="1:15" ht="32.25" customHeight="1" x14ac:dyDescent="0.25">
      <c r="A44" s="17" t="s">
        <v>29</v>
      </c>
      <c r="B44" s="9">
        <f t="shared" si="3"/>
        <v>85313438.109999999</v>
      </c>
      <c r="C44" s="3">
        <v>6699711.4900000002</v>
      </c>
      <c r="D44" s="3">
        <v>6955455.6200000001</v>
      </c>
      <c r="E44" s="3">
        <v>7143504.2599999998</v>
      </c>
      <c r="F44" s="3">
        <v>8436041.7100000009</v>
      </c>
      <c r="G44" s="3">
        <v>5326343.16</v>
      </c>
      <c r="H44" s="3">
        <v>6806526.9299999997</v>
      </c>
      <c r="I44" s="3">
        <v>6977241.7000000002</v>
      </c>
      <c r="J44" s="3">
        <v>8831114.2200000007</v>
      </c>
      <c r="K44" s="3">
        <v>5217084.5599999996</v>
      </c>
      <c r="L44" s="3">
        <v>8636826.9399999995</v>
      </c>
      <c r="M44" s="3">
        <v>5301471.8</v>
      </c>
      <c r="N44" s="3">
        <v>8982115.7200000007</v>
      </c>
      <c r="O44" s="7" t="s">
        <v>30</v>
      </c>
    </row>
    <row r="45" spans="1:15" ht="19.5" customHeight="1" x14ac:dyDescent="0.25">
      <c r="A45" s="16" t="s">
        <v>31</v>
      </c>
      <c r="B45" s="9">
        <f t="shared" si="3"/>
        <v>10853201.289999999</v>
      </c>
      <c r="C45" s="3">
        <v>859928.96</v>
      </c>
      <c r="D45" s="3">
        <v>872111.34</v>
      </c>
      <c r="E45" s="3">
        <v>868924.54</v>
      </c>
      <c r="F45" s="3">
        <v>875122.36</v>
      </c>
      <c r="G45" s="3">
        <v>887413.56</v>
      </c>
      <c r="H45" s="3">
        <v>902558.5</v>
      </c>
      <c r="I45" s="3">
        <v>908240.79</v>
      </c>
      <c r="J45" s="3">
        <v>918089</v>
      </c>
      <c r="K45" s="3">
        <v>938154.6</v>
      </c>
      <c r="L45" s="3">
        <v>940255</v>
      </c>
      <c r="M45" s="3">
        <v>936132.58</v>
      </c>
      <c r="N45" s="3">
        <v>946270.06</v>
      </c>
      <c r="O45" s="20" t="s">
        <v>32</v>
      </c>
    </row>
    <row r="46" spans="1:15" ht="19.5" customHeight="1" x14ac:dyDescent="0.25">
      <c r="A46" s="16" t="s">
        <v>33</v>
      </c>
      <c r="B46" s="9">
        <f t="shared" si="3"/>
        <v>1937604.58</v>
      </c>
      <c r="C46" s="3">
        <v>173364.96</v>
      </c>
      <c r="D46" s="3">
        <v>103263.58</v>
      </c>
      <c r="E46" s="3">
        <v>103888.54</v>
      </c>
      <c r="F46" s="3">
        <v>121017.34</v>
      </c>
      <c r="G46" s="3">
        <v>192988.28</v>
      </c>
      <c r="H46" s="3">
        <v>135814.04</v>
      </c>
      <c r="I46" s="3">
        <v>160201.07999999999</v>
      </c>
      <c r="J46" s="3">
        <v>140760.42000000001</v>
      </c>
      <c r="K46" s="3">
        <v>189910.1</v>
      </c>
      <c r="L46" s="3">
        <v>225340.7</v>
      </c>
      <c r="M46" s="3">
        <v>170258.76</v>
      </c>
      <c r="N46" s="3">
        <v>220796.78</v>
      </c>
      <c r="O46" s="20" t="s">
        <v>34</v>
      </c>
    </row>
    <row r="47" spans="1:15" ht="19.5" customHeight="1" x14ac:dyDescent="0.25">
      <c r="A47" s="16" t="s">
        <v>35</v>
      </c>
      <c r="B47" s="9">
        <f t="shared" si="3"/>
        <v>459752677.73999989</v>
      </c>
      <c r="C47" s="3">
        <v>35162018.289999999</v>
      </c>
      <c r="D47" s="3">
        <v>33680356.490000002</v>
      </c>
      <c r="E47" s="3">
        <v>37107754.130000003</v>
      </c>
      <c r="F47" s="3">
        <v>37202331.090000004</v>
      </c>
      <c r="G47" s="3">
        <v>37755951.340000004</v>
      </c>
      <c r="H47" s="3">
        <v>37975813.920000002</v>
      </c>
      <c r="I47" s="3">
        <v>40744825.969999999</v>
      </c>
      <c r="J47" s="3">
        <v>36801718.969999999</v>
      </c>
      <c r="K47" s="3">
        <v>40312118.960000001</v>
      </c>
      <c r="L47" s="3">
        <v>40599679.780000001</v>
      </c>
      <c r="M47" s="3">
        <v>39177727.710000001</v>
      </c>
      <c r="N47" s="3">
        <v>43232381.090000004</v>
      </c>
      <c r="O47" s="20" t="s">
        <v>36</v>
      </c>
    </row>
    <row r="48" spans="1:15" ht="19.5" customHeight="1" x14ac:dyDescent="0.25">
      <c r="A48" s="16" t="s">
        <v>37</v>
      </c>
      <c r="B48" s="9">
        <f t="shared" si="3"/>
        <v>12534088.67</v>
      </c>
      <c r="C48" s="3">
        <v>956853.04</v>
      </c>
      <c r="D48" s="3">
        <v>938233.96</v>
      </c>
      <c r="E48" s="3">
        <v>1071684.1100000001</v>
      </c>
      <c r="F48" s="3">
        <v>1022273.7</v>
      </c>
      <c r="G48" s="3">
        <v>1030991.13</v>
      </c>
      <c r="H48" s="3">
        <v>1033739.16</v>
      </c>
      <c r="I48" s="3">
        <v>1076836.99</v>
      </c>
      <c r="J48" s="3">
        <v>1113962.93</v>
      </c>
      <c r="K48" s="3">
        <v>1062301.7</v>
      </c>
      <c r="L48" s="3">
        <v>1053375.52</v>
      </c>
      <c r="M48" s="3">
        <v>1058410.1100000001</v>
      </c>
      <c r="N48" s="3">
        <v>1115426.32</v>
      </c>
      <c r="O48" s="20" t="s">
        <v>38</v>
      </c>
    </row>
    <row r="49" spans="1:15" ht="19.5" customHeight="1" x14ac:dyDescent="0.25">
      <c r="A49" s="16" t="s">
        <v>39</v>
      </c>
      <c r="B49" s="9">
        <f t="shared" si="3"/>
        <v>283647358.32999992</v>
      </c>
      <c r="C49" s="3">
        <v>22658630.719999999</v>
      </c>
      <c r="D49" s="3">
        <v>22493873.359999999</v>
      </c>
      <c r="E49" s="3">
        <v>24206691.280000001</v>
      </c>
      <c r="F49" s="3">
        <v>22696950.420000002</v>
      </c>
      <c r="G49" s="3">
        <v>23331168.690000001</v>
      </c>
      <c r="H49" s="3">
        <v>24270572.199999999</v>
      </c>
      <c r="I49" s="3">
        <v>22591996.579999998</v>
      </c>
      <c r="J49" s="3">
        <v>23885550.199999999</v>
      </c>
      <c r="K49" s="3">
        <v>24005876.640000001</v>
      </c>
      <c r="L49" s="3">
        <v>23852983.699999999</v>
      </c>
      <c r="M49" s="3">
        <v>24089558.890000001</v>
      </c>
      <c r="N49" s="3">
        <v>25563505.649999999</v>
      </c>
      <c r="O49" s="20" t="s">
        <v>40</v>
      </c>
    </row>
    <row r="50" spans="1:15" ht="19.5" customHeight="1" x14ac:dyDescent="0.25">
      <c r="A50" s="16" t="s">
        <v>68</v>
      </c>
      <c r="B50" s="9">
        <f t="shared" si="3"/>
        <v>1044559.7</v>
      </c>
      <c r="C50" s="3">
        <v>61670</v>
      </c>
      <c r="D50" s="3">
        <v>62650</v>
      </c>
      <c r="E50" s="3">
        <v>61880</v>
      </c>
      <c r="F50" s="3">
        <v>72335</v>
      </c>
      <c r="G50" s="3">
        <v>76804</v>
      </c>
      <c r="H50" s="3">
        <v>76370</v>
      </c>
      <c r="I50" s="3">
        <v>82677.36</v>
      </c>
      <c r="J50" s="3">
        <v>79730</v>
      </c>
      <c r="K50" s="3">
        <v>129037.46</v>
      </c>
      <c r="L50" s="3">
        <v>109843.78</v>
      </c>
      <c r="M50" s="3">
        <v>118615.26</v>
      </c>
      <c r="N50" s="3">
        <v>112946.84</v>
      </c>
      <c r="O50" s="20" t="s">
        <v>41</v>
      </c>
    </row>
    <row r="51" spans="1:15" ht="19.5" customHeight="1" x14ac:dyDescent="0.25">
      <c r="A51" s="16" t="s">
        <v>42</v>
      </c>
      <c r="B51" s="9">
        <f t="shared" si="3"/>
        <v>6949879.7200000007</v>
      </c>
      <c r="C51" s="3">
        <v>576352.78</v>
      </c>
      <c r="D51" s="3">
        <v>591314.38</v>
      </c>
      <c r="E51" s="3">
        <v>569922.06000000006</v>
      </c>
      <c r="F51" s="3">
        <v>562051.88</v>
      </c>
      <c r="G51" s="3">
        <v>574132.57999999996</v>
      </c>
      <c r="H51" s="3">
        <v>562720.36</v>
      </c>
      <c r="I51" s="3">
        <v>552547.30000000005</v>
      </c>
      <c r="J51" s="3">
        <v>560846.24</v>
      </c>
      <c r="K51" s="3">
        <v>6534.5</v>
      </c>
      <c r="L51" s="3">
        <v>1166605.6599999999</v>
      </c>
      <c r="M51" s="3">
        <v>612819.96</v>
      </c>
      <c r="N51" s="3">
        <v>614032.02</v>
      </c>
      <c r="O51" s="20" t="s">
        <v>43</v>
      </c>
    </row>
    <row r="52" spans="1:15" ht="19.5" customHeight="1" x14ac:dyDescent="0.25">
      <c r="A52" s="16" t="s">
        <v>44</v>
      </c>
      <c r="B52" s="9">
        <f t="shared" si="3"/>
        <v>7980</v>
      </c>
      <c r="C52" s="3">
        <v>560</v>
      </c>
      <c r="D52" s="3">
        <v>560</v>
      </c>
      <c r="E52" s="3">
        <v>560</v>
      </c>
      <c r="F52" s="3">
        <v>560</v>
      </c>
      <c r="G52" s="3">
        <v>560</v>
      </c>
      <c r="H52" s="3">
        <v>0</v>
      </c>
      <c r="I52" s="3">
        <v>1540</v>
      </c>
      <c r="J52" s="3">
        <v>980</v>
      </c>
      <c r="K52" s="3">
        <v>980</v>
      </c>
      <c r="L52" s="3">
        <v>560</v>
      </c>
      <c r="M52" s="3">
        <v>560</v>
      </c>
      <c r="N52" s="3">
        <v>560</v>
      </c>
      <c r="O52" s="20" t="s">
        <v>45</v>
      </c>
    </row>
    <row r="53" spans="1:15" ht="19.5" customHeight="1" x14ac:dyDescent="0.25">
      <c r="A53" s="16" t="s">
        <v>66</v>
      </c>
      <c r="B53" s="9">
        <f t="shared" si="3"/>
        <v>12601.420000000002</v>
      </c>
      <c r="C53" s="3">
        <v>700</v>
      </c>
      <c r="D53" s="3">
        <v>0</v>
      </c>
      <c r="E53" s="3">
        <v>700</v>
      </c>
      <c r="F53" s="3">
        <v>1400.94</v>
      </c>
      <c r="G53" s="3">
        <v>700</v>
      </c>
      <c r="H53" s="3">
        <v>700</v>
      </c>
      <c r="I53" s="3">
        <v>1540</v>
      </c>
      <c r="J53" s="3">
        <v>840</v>
      </c>
      <c r="K53" s="3">
        <v>2240.36</v>
      </c>
      <c r="L53" s="3">
        <v>1540</v>
      </c>
      <c r="M53" s="3">
        <v>1540.12</v>
      </c>
      <c r="N53" s="3">
        <v>700</v>
      </c>
      <c r="O53" s="20" t="s">
        <v>67</v>
      </c>
    </row>
    <row r="54" spans="1:15" ht="19.5" customHeight="1" x14ac:dyDescent="0.25">
      <c r="A54" s="16" t="s">
        <v>46</v>
      </c>
      <c r="B54" s="9">
        <f t="shared" si="3"/>
        <v>530107.31999999995</v>
      </c>
      <c r="C54" s="3">
        <v>42975.58</v>
      </c>
      <c r="D54" s="3">
        <v>43889.16</v>
      </c>
      <c r="E54" s="3">
        <v>47769.26</v>
      </c>
      <c r="F54" s="3">
        <v>48930.16</v>
      </c>
      <c r="G54" s="3">
        <v>19895.259999999998</v>
      </c>
      <c r="H54" s="3">
        <v>70121.240000000005</v>
      </c>
      <c r="I54" s="3">
        <v>43263.22</v>
      </c>
      <c r="J54" s="3">
        <v>43241.919999999998</v>
      </c>
      <c r="K54" s="3">
        <v>41678.68</v>
      </c>
      <c r="L54" s="3">
        <v>42115.38</v>
      </c>
      <c r="M54" s="3">
        <v>44271.98</v>
      </c>
      <c r="N54" s="3">
        <v>41955.48</v>
      </c>
      <c r="O54" s="20" t="s">
        <v>47</v>
      </c>
    </row>
    <row r="55" spans="1:15" ht="19.5" customHeight="1" x14ac:dyDescent="0.25">
      <c r="A55" s="16" t="s">
        <v>48</v>
      </c>
      <c r="B55" s="9">
        <f t="shared" si="3"/>
        <v>1784708.21</v>
      </c>
      <c r="C55" s="3">
        <v>136144.75</v>
      </c>
      <c r="D55" s="3">
        <v>154400.24</v>
      </c>
      <c r="E55" s="3">
        <v>150917.79999999999</v>
      </c>
      <c r="F55" s="3">
        <v>137194.78</v>
      </c>
      <c r="G55" s="3">
        <v>141255.82</v>
      </c>
      <c r="H55" s="3">
        <v>154376.06</v>
      </c>
      <c r="I55" s="3">
        <v>146616.94</v>
      </c>
      <c r="J55" s="3">
        <v>142849.64000000001</v>
      </c>
      <c r="K55" s="3">
        <v>143227.32</v>
      </c>
      <c r="L55" s="3">
        <v>140080.38</v>
      </c>
      <c r="M55" s="3">
        <v>184467.1</v>
      </c>
      <c r="N55" s="3">
        <v>153177.38</v>
      </c>
      <c r="O55" s="20" t="s">
        <v>49</v>
      </c>
    </row>
    <row r="56" spans="1:15" ht="19.5" customHeight="1" x14ac:dyDescent="0.25">
      <c r="A56" s="16" t="s">
        <v>50</v>
      </c>
      <c r="B56" s="9">
        <f t="shared" si="3"/>
        <v>550206.12</v>
      </c>
      <c r="C56" s="3">
        <v>62845</v>
      </c>
      <c r="D56" s="3">
        <v>44367.54</v>
      </c>
      <c r="E56" s="3">
        <v>45113.1</v>
      </c>
      <c r="F56" s="3">
        <v>45342.86</v>
      </c>
      <c r="G56" s="3">
        <v>45023.3</v>
      </c>
      <c r="H56" s="3">
        <v>44425.06</v>
      </c>
      <c r="I56" s="3">
        <v>44902.42</v>
      </c>
      <c r="J56" s="3">
        <v>45798.52</v>
      </c>
      <c r="K56" s="3">
        <v>43663.9</v>
      </c>
      <c r="L56" s="3">
        <v>44421.3</v>
      </c>
      <c r="M56" s="3">
        <v>42728.58</v>
      </c>
      <c r="N56" s="3">
        <v>41574.54</v>
      </c>
      <c r="O56" s="20" t="s">
        <v>51</v>
      </c>
    </row>
    <row r="57" spans="1:15" ht="19.5" customHeight="1" x14ac:dyDescent="0.25">
      <c r="A57" s="16" t="s">
        <v>52</v>
      </c>
      <c r="B57" s="9">
        <f t="shared" si="3"/>
        <v>19593132.039999999</v>
      </c>
      <c r="C57" s="3">
        <v>1441175.5</v>
      </c>
      <c r="D57" s="3">
        <v>1576011.12</v>
      </c>
      <c r="E57" s="3">
        <v>1522650.6</v>
      </c>
      <c r="F57" s="3">
        <v>1739194.3</v>
      </c>
      <c r="G57" s="3">
        <v>1554171.36</v>
      </c>
      <c r="H57" s="3">
        <v>1598761.46</v>
      </c>
      <c r="I57" s="3">
        <v>1727052.76</v>
      </c>
      <c r="J57" s="3">
        <v>1525841.5</v>
      </c>
      <c r="K57" s="3">
        <v>1712710.8</v>
      </c>
      <c r="L57" s="3">
        <v>1676790.46</v>
      </c>
      <c r="M57" s="3">
        <v>1791307.32</v>
      </c>
      <c r="N57" s="3">
        <v>1727464.86</v>
      </c>
      <c r="O57" s="20" t="s">
        <v>53</v>
      </c>
    </row>
    <row r="58" spans="1:15" ht="19.5" customHeight="1" x14ac:dyDescent="0.25">
      <c r="A58" s="16" t="s">
        <v>54</v>
      </c>
      <c r="B58" s="9">
        <f t="shared" si="3"/>
        <v>34424224.200000003</v>
      </c>
      <c r="C58" s="3">
        <v>2801514.52</v>
      </c>
      <c r="D58" s="3">
        <v>2636560.94</v>
      </c>
      <c r="E58" s="3">
        <v>2695253.34</v>
      </c>
      <c r="F58" s="3">
        <v>2874272.14</v>
      </c>
      <c r="G58" s="3">
        <v>2742380.24</v>
      </c>
      <c r="H58" s="3">
        <v>2981433.16</v>
      </c>
      <c r="I58" s="3">
        <v>2963547.2</v>
      </c>
      <c r="J58" s="3">
        <v>2908712.14</v>
      </c>
      <c r="K58" s="3">
        <v>2927546.6</v>
      </c>
      <c r="L58" s="3">
        <v>2867511.48</v>
      </c>
      <c r="M58" s="3">
        <v>3748108.72</v>
      </c>
      <c r="N58" s="3">
        <v>2277383.7200000002</v>
      </c>
      <c r="O58" s="20" t="s">
        <v>55</v>
      </c>
    </row>
    <row r="59" spans="1:15" ht="19.5" customHeight="1" x14ac:dyDescent="0.25">
      <c r="A59" s="16" t="s">
        <v>56</v>
      </c>
      <c r="B59" s="9">
        <f t="shared" si="3"/>
        <v>38989570.129999995</v>
      </c>
      <c r="C59" s="3">
        <v>3387375.28</v>
      </c>
      <c r="D59" s="3">
        <v>3162342.04</v>
      </c>
      <c r="E59" s="3">
        <v>3237528.18</v>
      </c>
      <c r="F59" s="3">
        <v>3184764.3</v>
      </c>
      <c r="G59" s="3">
        <v>3474696.58</v>
      </c>
      <c r="H59" s="3">
        <v>2997347.17</v>
      </c>
      <c r="I59" s="3">
        <v>3346711.07</v>
      </c>
      <c r="J59" s="3">
        <v>3073267.7</v>
      </c>
      <c r="K59" s="3">
        <v>3207636.12</v>
      </c>
      <c r="L59" s="3">
        <v>3253764.74</v>
      </c>
      <c r="M59" s="3">
        <v>3412483.59</v>
      </c>
      <c r="N59" s="3">
        <v>3251653.36</v>
      </c>
      <c r="O59" s="20" t="s">
        <v>57</v>
      </c>
    </row>
    <row r="60" spans="1:15" ht="19.5" customHeight="1" x14ac:dyDescent="0.25">
      <c r="A60" s="16" t="s">
        <v>58</v>
      </c>
      <c r="B60" s="9">
        <f t="shared" si="3"/>
        <v>34994529.420000002</v>
      </c>
      <c r="C60" s="3">
        <v>2879400.1</v>
      </c>
      <c r="D60" s="3">
        <v>2932036.85</v>
      </c>
      <c r="E60" s="3">
        <v>2895961.79</v>
      </c>
      <c r="F60" s="3">
        <v>2896602.51</v>
      </c>
      <c r="G60" s="3">
        <v>2871172.7</v>
      </c>
      <c r="H60" s="3">
        <v>2986955.82</v>
      </c>
      <c r="I60" s="3">
        <v>2847153.99</v>
      </c>
      <c r="J60" s="3">
        <v>2983938.24</v>
      </c>
      <c r="K60" s="3">
        <v>2903812.85</v>
      </c>
      <c r="L60" s="3">
        <v>2970401.01</v>
      </c>
      <c r="M60" s="3">
        <v>2884672.16</v>
      </c>
      <c r="N60" s="3">
        <v>2942421.4</v>
      </c>
      <c r="O60" s="20" t="s">
        <v>59</v>
      </c>
    </row>
    <row r="61" spans="1:15" ht="19.5" customHeight="1" x14ac:dyDescent="0.25">
      <c r="A61" s="16" t="s">
        <v>60</v>
      </c>
      <c r="B61" s="9">
        <f t="shared" si="3"/>
        <v>278812.94</v>
      </c>
      <c r="C61" s="3">
        <v>24183.48</v>
      </c>
      <c r="D61" s="3">
        <v>24195.279999999999</v>
      </c>
      <c r="E61" s="3">
        <v>21592.28</v>
      </c>
      <c r="F61" s="3">
        <v>25785.279999999999</v>
      </c>
      <c r="G61" s="3">
        <v>22821.46</v>
      </c>
      <c r="H61" s="3">
        <v>22827.360000000001</v>
      </c>
      <c r="I61" s="3">
        <v>22140.42</v>
      </c>
      <c r="J61" s="3">
        <v>22220.82</v>
      </c>
      <c r="K61" s="3">
        <v>19463.14</v>
      </c>
      <c r="L61" s="3">
        <v>26251.42</v>
      </c>
      <c r="M61" s="3">
        <v>23685.52</v>
      </c>
      <c r="N61" s="3">
        <v>23646.48</v>
      </c>
      <c r="O61" s="20" t="s">
        <v>61</v>
      </c>
    </row>
    <row r="62" spans="1:15" ht="19.5" customHeight="1" x14ac:dyDescent="0.25">
      <c r="A62" s="16" t="s">
        <v>62</v>
      </c>
      <c r="B62" s="9">
        <f t="shared" si="3"/>
        <v>31567861</v>
      </c>
      <c r="C62" s="3">
        <v>2677179.8199999998</v>
      </c>
      <c r="D62" s="3">
        <v>2527080.06</v>
      </c>
      <c r="E62" s="3">
        <v>2602661.58</v>
      </c>
      <c r="F62" s="3">
        <v>1317638.2</v>
      </c>
      <c r="G62" s="3">
        <v>3770261.46</v>
      </c>
      <c r="H62" s="3">
        <v>2670199.7000000002</v>
      </c>
      <c r="I62" s="3">
        <v>2662810.4500000002</v>
      </c>
      <c r="J62" s="3">
        <v>2554805.2799999998</v>
      </c>
      <c r="K62" s="3">
        <v>2645869.41</v>
      </c>
      <c r="L62" s="3">
        <v>2663603.7799999998</v>
      </c>
      <c r="M62" s="3">
        <v>2649966.34</v>
      </c>
      <c r="N62" s="3">
        <v>2825784.92</v>
      </c>
      <c r="O62" s="20" t="s">
        <v>63</v>
      </c>
    </row>
    <row r="63" spans="1:15" ht="19.5" customHeight="1" x14ac:dyDescent="0.25">
      <c r="A63" s="18" t="s">
        <v>64</v>
      </c>
      <c r="B63" s="23">
        <f t="shared" si="3"/>
        <v>66212004.760000005</v>
      </c>
      <c r="C63" s="5">
        <v>5425930.2000000002</v>
      </c>
      <c r="D63" s="5">
        <v>4621581.2</v>
      </c>
      <c r="E63" s="5">
        <v>5574964</v>
      </c>
      <c r="F63" s="5">
        <v>5240382.78</v>
      </c>
      <c r="G63" s="5">
        <v>4801803.07</v>
      </c>
      <c r="H63" s="5">
        <v>5245327.75</v>
      </c>
      <c r="I63" s="5">
        <v>5360199.8899999997</v>
      </c>
      <c r="J63" s="5">
        <v>5897880.46</v>
      </c>
      <c r="K63" s="5">
        <v>4853506.41</v>
      </c>
      <c r="L63" s="5">
        <v>6663547.29</v>
      </c>
      <c r="M63" s="5">
        <v>6203792.5800000001</v>
      </c>
      <c r="N63" s="5">
        <v>6323089.1299999999</v>
      </c>
      <c r="O63" s="21" t="s">
        <v>65</v>
      </c>
    </row>
    <row r="64" spans="1:15" ht="15" customHeight="1" x14ac:dyDescent="0.45">
      <c r="A64" s="13" t="s">
        <v>13</v>
      </c>
      <c r="B64" s="14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2" t="s">
        <v>14</v>
      </c>
    </row>
    <row r="65" spans="1:14" ht="15" customHeight="1" x14ac:dyDescent="0.25">
      <c r="A65" s="1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</sheetData>
  <mergeCells count="8">
    <mergeCell ref="A1:O1"/>
    <mergeCell ref="O4:O5"/>
    <mergeCell ref="O35:O36"/>
    <mergeCell ref="A2:O2"/>
    <mergeCell ref="A35:A36"/>
    <mergeCell ref="B35:N35"/>
    <mergeCell ref="A4:A5"/>
    <mergeCell ref="B4:N4"/>
  </mergeCells>
  <pageMargins left="0.7" right="0.7" top="0.75" bottom="0.75" header="0.3" footer="0.3"/>
  <pageSetup paperSize="9" scale="56" orientation="landscape" r:id="rId1"/>
  <rowBreaks count="1" manualBreakCount="1">
    <brk id="33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 </vt:lpstr>
      <vt:lpstr>'18.11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2021-06-20T05:09:36Z</cp:lastPrinted>
  <dcterms:created xsi:type="dcterms:W3CDTF">2019-02-21T04:10:17Z</dcterms:created>
  <dcterms:modified xsi:type="dcterms:W3CDTF">2021-06-20T05:10:22Z</dcterms:modified>
</cp:coreProperties>
</file>