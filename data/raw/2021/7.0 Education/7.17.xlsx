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882"/>
  </bookViews>
  <sheets>
    <sheet name="7.16 &amp; 7.17" sheetId="20" r:id="rId1"/>
  </sheets>
  <definedNames>
    <definedName name="_xlnm.Print_Area" localSheetId="0">'7.16 &amp; 7.17'!$A$1:$L$49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0" l="1"/>
  <c r="AT8" i="20" s="1"/>
  <c r="J6" i="20" l="1"/>
  <c r="I6" i="20"/>
  <c r="H6" i="20"/>
  <c r="G6" i="20"/>
</calcChain>
</file>

<file path=xl/sharedStrings.xml><?xml version="1.0" encoding="utf-8"?>
<sst xmlns="http://schemas.openxmlformats.org/spreadsheetml/2006/main" count="14" uniqueCount="14">
  <si>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</si>
  <si>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</si>
  <si>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</si>
  <si>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</si>
  <si>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</si>
  <si>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</si>
  <si>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</si>
  <si>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</si>
  <si>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</si>
  <si>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Secondary Exam</t>
  </si>
  <si>
    <t>Higher Secondary Exam</t>
  </si>
  <si>
    <t>TABLE 7.17: NUMBER OF CANDIDATES SAT IN HIGHER SECONDARY EXAM,  2010 - 2019</t>
  </si>
  <si>
    <t>ތާވަލް 7.17: މަތީ ޘާނަވީ އިމްތިހާނުގައި ސްކޫލްތަކުން ދަރިވަރުން ބައިވެރިކުރި އަދަދު 2010 - 2019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</si>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</sst>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12"/>
      <color theme="1"/>
      <name val="Times New Roman"/>
      <family val="1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3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33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2" borderId="5" xfId="0" applyNumberFormat="1" applyFill="1" applyBorder="1"/>
    <xf numFmtId="0" fontId="0" fillId="2" borderId="9" xfId="0" applyNumberFormat="1" applyFill="1" applyBorder="1"/>
    <xf numFmtId="0" fontId="8" fillId="2" borderId="11" xfId="0" applyNumberFormat="1" applyFont="1" applyFill="1" applyBorder="1" applyAlignment="1">
      <alignment horizontal="left" vertical="center" wrapText="1"/>
    </xf>
    <xf numFmtId="0" fontId="8" fillId="2" borderId="12" xfId="0" applyNumberFormat="1" applyFont="1" applyFill="1" applyBorder="1" applyAlignment="1">
      <alignment horizontal="right" vertical="center"/>
    </xf>
    <xf numFmtId="0" fontId="3" fillId="2" borderId="7" xfId="0" applyNumberFormat="1" applyFont="1" applyFill="1" applyBorder="1" applyAlignment="1">
      <alignment horizontal="left" indent="1"/>
    </xf>
    <xf numFmtId="0" fontId="12" fillId="2" borderId="10" xfId="0" applyNumberFormat="1" applyFont="1" applyFill="1" applyBorder="1"/>
    <xf numFmtId="0" fontId="5" fillId="2" borderId="2" xfId="0" applyNumberFormat="1" applyFont="1" applyFill="1" applyBorder="1" applyAlignment="1">
      <alignment horizontal="left" indent="2"/>
    </xf>
    <xf numFmtId="0" fontId="11" fillId="2" borderId="4" xfId="0" applyNumberFormat="1" applyFont="1" applyFill="1" applyBorder="1" applyAlignment="1">
      <alignment horizontal="right"/>
    </xf>
    <xf numFmtId="0" fontId="5" fillId="2" borderId="8" xfId="0" applyNumberFormat="1" applyFont="1" applyFill="1" applyBorder="1" applyAlignment="1">
      <alignment horizontal="left" indent="2"/>
    </xf>
    <xf numFmtId="0" fontId="11" fillId="2" borderId="13" xfId="0" applyNumberFormat="1" applyFont="1" applyFill="1" applyBorder="1" applyAlignment="1">
      <alignment horizontal="right"/>
    </xf>
    <xf numFmtId="164" fontId="10" fillId="2" borderId="0" xfId="2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0" fillId="2" borderId="0" xfId="0" applyNumberFormat="1" applyFill="1" applyBorder="1"/>
    <xf numFmtId="0" fontId="11" fillId="2" borderId="5" xfId="0" applyNumberFormat="1" applyFont="1" applyFill="1" applyBorder="1"/>
    <xf numFmtId="0" fontId="1" fillId="2" borderId="12" xfId="0" applyNumberFormat="1" applyFont="1" applyFill="1" applyBorder="1" applyAlignment="1">
      <alignment vertical="center"/>
    </xf>
    <xf numFmtId="0" fontId="12" fillId="2" borderId="11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/>
    </xf>
    <xf numFmtId="3" fontId="9" fillId="2" borderId="0" xfId="0" applyNumberFormat="1" applyFont="1" applyFill="1" applyBorder="1" applyAlignment="1">
      <alignment horizontal="right" vertical="center"/>
    </xf>
    <xf numFmtId="3" fontId="9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164" fontId="15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0" fontId="6" fillId="2" borderId="5" xfId="0" applyNumberFormat="1" applyFont="1" applyFill="1" applyBorder="1" applyAlignment="1">
      <alignment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50" b="1"/>
              <a:t>Figure 7.21: Number of candidates sat in secondary and higher secondary exams, 2010 - 2019</a:t>
            </a:r>
          </a:p>
        </c:rich>
      </c:tx>
      <c:layout>
        <c:manualLayout>
          <c:xMode val="edge"/>
          <c:yMode val="edge"/>
          <c:x val="0.15197324541650423"/>
          <c:y val="3.095855532174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50140410919333E-2"/>
          <c:y val="0.11056032786679738"/>
          <c:w val="0.90846160762680883"/>
          <c:h val="0.78858195613662641"/>
        </c:manualLayout>
      </c:layout>
      <c:lineChart>
        <c:grouping val="standard"/>
        <c:varyColors val="0"/>
        <c:ser>
          <c:idx val="0"/>
          <c:order val="0"/>
          <c:tx>
            <c:strRef>
              <c:f>'7.16 &amp; 7.17'!$AJ$7</c:f>
              <c:strCache>
                <c:ptCount val="1"/>
                <c:pt idx="0">
                  <c:v>Secondary Exam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F2E5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numRef>
              <c:f>'7.16 &amp; 7.17'!$AK$6:$AT$6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7.17'!$AK$7:$AT$7</c:f>
              <c:numCache>
                <c:formatCode>General</c:formatCode>
                <c:ptCount val="10"/>
                <c:pt idx="0">
                  <c:v>6920</c:v>
                </c:pt>
                <c:pt idx="1">
                  <c:v>6432</c:v>
                </c:pt>
                <c:pt idx="2">
                  <c:v>6346</c:v>
                </c:pt>
                <c:pt idx="3">
                  <c:v>6231</c:v>
                </c:pt>
                <c:pt idx="4">
                  <c:v>5404</c:v>
                </c:pt>
                <c:pt idx="5">
                  <c:v>5272</c:v>
                </c:pt>
                <c:pt idx="6">
                  <c:v>5498</c:v>
                </c:pt>
                <c:pt idx="7">
                  <c:v>5220</c:v>
                </c:pt>
                <c:pt idx="8">
                  <c:v>5280</c:v>
                </c:pt>
                <c:pt idx="9">
                  <c:v>5125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F7-47D2-A82F-581FD5780566}"/>
            </c:ext>
          </c:extLst>
        </c:ser>
        <c:ser>
          <c:idx val="1"/>
          <c:order val="1"/>
          <c:tx>
            <c:strRef>
              <c:f>'7.16 &amp; 7.17'!$AJ$8</c:f>
              <c:strCache>
                <c:ptCount val="1"/>
                <c:pt idx="0">
                  <c:v>Higher Secondary Exam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C8F4F2"/>
              </a:solidFill>
              <a:ln w="9525">
                <a:solidFill>
                  <a:srgbClr val="249390"/>
                </a:solidFill>
              </a:ln>
              <a:effectLst/>
            </c:spPr>
          </c:marker>
          <c:cat>
            <c:numRef>
              <c:f>'7.16 &amp; 7.17'!$AK$6:$AT$6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7.17'!$AK$8:$AT$8</c:f>
              <c:numCache>
                <c:formatCode>General</c:formatCode>
                <c:ptCount val="10"/>
                <c:pt idx="0">
                  <c:v>1338</c:v>
                </c:pt>
                <c:pt idx="1">
                  <c:v>1515</c:v>
                </c:pt>
                <c:pt idx="2">
                  <c:v>1604</c:v>
                </c:pt>
                <c:pt idx="3">
                  <c:v>1725</c:v>
                </c:pt>
                <c:pt idx="4">
                  <c:v>1815</c:v>
                </c:pt>
                <c:pt idx="5">
                  <c:v>2120</c:v>
                </c:pt>
                <c:pt idx="6">
                  <c:v>2000</c:v>
                </c:pt>
                <c:pt idx="7">
                  <c:v>1708</c:v>
                </c:pt>
                <c:pt idx="8">
                  <c:v>1720</c:v>
                </c:pt>
                <c:pt idx="9" formatCode="#,##0">
                  <c:v>1677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F7-47D2-A82F-581FD5780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794384"/>
        <c:axId val="455795952"/>
      </c:lineChart>
      <c:catAx>
        <c:axId val="4557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5952"/>
        <c:crosses val="autoZero"/>
        <c:auto val="1"/>
        <c:lblAlgn val="ctr"/>
        <c:lblOffset val="100"/>
        <c:noMultiLvlLbl val="0"/>
      </c:catAx>
      <c:valAx>
        <c:axId val="4557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4384"/>
        <c:crosses val="autoZero"/>
        <c:crossBetween val="between"/>
      </c:valAx>
      <c:spPr>
        <a:solidFill>
          <a:srgbClr val="EBFBFA"/>
        </a:solidFill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45068917337810099"/>
          <c:y val="0.21612692720290147"/>
          <c:w val="0.5160687985287139"/>
          <c:h val="7.3962434308935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Figure 7.20: Number </a:t>
            </a:r>
            <a:r>
              <a:rPr lang="en-US" sz="1100" b="1"/>
              <a:t>of candidates sat in higher secondary exam</a:t>
            </a:r>
            <a:r>
              <a:rPr lang="en-US" sz="1100" b="1" baseline="0"/>
              <a:t> by Male' and Atolls, 2010 - 2019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079737076108E-2"/>
          <c:y val="0.14353041622458662"/>
          <c:w val="0.89888356768469679"/>
          <c:h val="0.7400919729638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'7.16 &amp; 7.17'!$A$7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'7.16 &amp; 7.17'!$B$5:$K$5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7.17'!$B$7:$K$7</c:f>
              <c:numCache>
                <c:formatCode>#,##0</c:formatCode>
                <c:ptCount val="10"/>
                <c:pt idx="0">
                  <c:v>847</c:v>
                </c:pt>
                <c:pt idx="1">
                  <c:v>816</c:v>
                </c:pt>
                <c:pt idx="2">
                  <c:v>719</c:v>
                </c:pt>
                <c:pt idx="3">
                  <c:v>882</c:v>
                </c:pt>
                <c:pt idx="4">
                  <c:v>1135</c:v>
                </c:pt>
                <c:pt idx="5">
                  <c:v>1313</c:v>
                </c:pt>
                <c:pt idx="6">
                  <c:v>1111</c:v>
                </c:pt>
                <c:pt idx="7">
                  <c:v>1073</c:v>
                </c:pt>
                <c:pt idx="8">
                  <c:v>1066</c:v>
                </c:pt>
                <c:pt idx="9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D-4AD9-A78E-1F9DA545457F}"/>
            </c:ext>
          </c:extLst>
        </c:ser>
        <c:ser>
          <c:idx val="1"/>
          <c:order val="1"/>
          <c:tx>
            <c:strRef>
              <c:f>'7.16 &amp; 7.17'!$A$8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'7.16 &amp; 7.17'!$B$5:$K$5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7.17'!$B$8:$K$8</c:f>
              <c:numCache>
                <c:formatCode>#,##0</c:formatCode>
                <c:ptCount val="10"/>
                <c:pt idx="0">
                  <c:v>491</c:v>
                </c:pt>
                <c:pt idx="1">
                  <c:v>699</c:v>
                </c:pt>
                <c:pt idx="2">
                  <c:v>885</c:v>
                </c:pt>
                <c:pt idx="3">
                  <c:v>843</c:v>
                </c:pt>
                <c:pt idx="4">
                  <c:v>680</c:v>
                </c:pt>
                <c:pt idx="5">
                  <c:v>807</c:v>
                </c:pt>
                <c:pt idx="6">
                  <c:v>889</c:v>
                </c:pt>
                <c:pt idx="7">
                  <c:v>635</c:v>
                </c:pt>
                <c:pt idx="8">
                  <c:v>654</c:v>
                </c:pt>
                <c:pt idx="9">
                  <c:v>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D-4AD9-A78E-1F9DA545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55651272"/>
        <c:axId val="455652056"/>
      </c:barChart>
      <c:catAx>
        <c:axId val="45565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2056"/>
        <c:crosses val="autoZero"/>
        <c:auto val="1"/>
        <c:lblAlgn val="ctr"/>
        <c:lblOffset val="100"/>
        <c:noMultiLvlLbl val="0"/>
      </c:catAx>
      <c:valAx>
        <c:axId val="45565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1272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15428325336475621"/>
          <c:y val="0.16847896633406809"/>
          <c:w val="0.17813109496958487"/>
          <c:h val="7.2333030860183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161820</xdr:rowOff>
    </xdr:from>
    <xdr:to>
      <xdr:col>11</xdr:col>
      <xdr:colOff>31401</xdr:colOff>
      <xdr:row>47</xdr:row>
      <xdr:rowOff>83738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10467</xdr:colOff>
      <xdr:row>10</xdr:row>
      <xdr:rowOff>177939</xdr:rowOff>
    </xdr:from>
    <xdr:to>
      <xdr:col>11</xdr:col>
      <xdr:colOff>20935</xdr:colOff>
      <xdr:row>28</xdr:row>
      <xdr:rowOff>68454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T10"/>
  <sheetViews>
    <sheetView tabSelected="1" zoomScaleNormal="100" zoomScaleSheetLayoutView="91" workbookViewId="0">
      <selection activeCell="Q34" sqref="Q34"/>
    </sheetView>
  </sheetViews>
  <sheetFormatPr defaultColWidth="9.140625" defaultRowHeight="15" x14ac:dyDescent="0.25"/>
  <cols>
    <col min="1" max="1" width="14" style="2" customWidth="1"/>
    <col min="2" max="11" width="11.42578125" style="2" customWidth="1"/>
    <col min="12" max="12" width="13.7109375" style="2" customWidth="1"/>
    <col min="13" max="16384" width="9.140625" style="2"/>
  </cols>
  <sheetData>
    <row r="1" spans="1:4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46" ht="15.75" x14ac:dyDescent="0.25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1"/>
    </row>
    <row r="3" spans="1:46" ht="21" x14ac:dyDescent="0.25">
      <c r="A3" s="27" t="s">
        <v>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9"/>
      <c r="M3" s="1"/>
    </row>
    <row r="4" spans="1:46" ht="5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"/>
      <c r="M4" s="1"/>
    </row>
    <row r="5" spans="1:46" ht="21" x14ac:dyDescent="0.25">
      <c r="A5" s="5" t="s">
        <v>5</v>
      </c>
      <c r="B5" s="17">
        <v>2010</v>
      </c>
      <c r="C5" s="17">
        <v>2011</v>
      </c>
      <c r="D5" s="17">
        <v>2012</v>
      </c>
      <c r="E5" s="17">
        <v>2013</v>
      </c>
      <c r="F5" s="17">
        <v>2014</v>
      </c>
      <c r="G5" s="17">
        <v>2015</v>
      </c>
      <c r="H5" s="17">
        <v>2016</v>
      </c>
      <c r="I5" s="17">
        <v>2017</v>
      </c>
      <c r="J5" s="17">
        <v>2018</v>
      </c>
      <c r="K5" s="17">
        <v>2019</v>
      </c>
      <c r="L5" s="18"/>
      <c r="M5" s="1"/>
    </row>
    <row r="6" spans="1:46" ht="21" x14ac:dyDescent="0.55000000000000004">
      <c r="A6" s="7" t="s">
        <v>0</v>
      </c>
      <c r="B6" s="25">
        <v>1338</v>
      </c>
      <c r="C6" s="25">
        <v>1515</v>
      </c>
      <c r="D6" s="25">
        <v>1604</v>
      </c>
      <c r="E6" s="25">
        <v>1725</v>
      </c>
      <c r="F6" s="25">
        <v>1815</v>
      </c>
      <c r="G6" s="25">
        <f>SUM(G7:G8)</f>
        <v>2120</v>
      </c>
      <c r="H6" s="25">
        <f>SUM(H7:H8)</f>
        <v>2000</v>
      </c>
      <c r="I6" s="25">
        <f>SUM(I7:I8)</f>
        <v>1708</v>
      </c>
      <c r="J6" s="25">
        <f>SUM(J7:J8)</f>
        <v>1720</v>
      </c>
      <c r="K6" s="25">
        <f>SUM(K7:K8)</f>
        <v>1677</v>
      </c>
      <c r="L6" s="8" t="s">
        <v>8</v>
      </c>
      <c r="M6" s="1"/>
      <c r="N6" s="19"/>
      <c r="O6" s="19"/>
      <c r="AK6" s="6">
        <v>2010</v>
      </c>
      <c r="AL6" s="6">
        <v>2011</v>
      </c>
      <c r="AM6" s="6">
        <v>2012</v>
      </c>
      <c r="AN6" s="6">
        <v>2013</v>
      </c>
      <c r="AO6" s="6">
        <v>2014</v>
      </c>
      <c r="AP6" s="6">
        <v>2015</v>
      </c>
      <c r="AQ6" s="6">
        <v>2016</v>
      </c>
      <c r="AR6" s="6">
        <v>2017</v>
      </c>
      <c r="AS6" s="6">
        <v>2018</v>
      </c>
      <c r="AT6" s="6">
        <v>2019</v>
      </c>
    </row>
    <row r="7" spans="1:46" ht="21" x14ac:dyDescent="0.55000000000000004">
      <c r="A7" s="9" t="s">
        <v>1</v>
      </c>
      <c r="B7" s="21">
        <v>847</v>
      </c>
      <c r="C7" s="21">
        <v>816</v>
      </c>
      <c r="D7" s="21">
        <v>719</v>
      </c>
      <c r="E7" s="21">
        <v>882</v>
      </c>
      <c r="F7" s="21">
        <v>1135</v>
      </c>
      <c r="G7" s="21">
        <v>1313</v>
      </c>
      <c r="H7" s="21">
        <v>1111</v>
      </c>
      <c r="I7" s="21">
        <v>1073</v>
      </c>
      <c r="J7" s="21">
        <v>1066</v>
      </c>
      <c r="K7" s="21">
        <v>1004</v>
      </c>
      <c r="L7" s="10" t="s">
        <v>6</v>
      </c>
      <c r="M7" s="1"/>
      <c r="N7" s="19"/>
      <c r="AJ7" s="2" t="s">
        <v>9</v>
      </c>
      <c r="AK7" s="2">
        <v>6920</v>
      </c>
      <c r="AL7" s="2">
        <v>6432</v>
      </c>
      <c r="AM7" s="2">
        <v>6346</v>
      </c>
      <c r="AN7" s="2">
        <v>6231</v>
      </c>
      <c r="AO7" s="2">
        <v>5404</v>
      </c>
      <c r="AP7" s="2">
        <v>5272</v>
      </c>
      <c r="AQ7" s="2">
        <v>5498</v>
      </c>
      <c r="AR7" s="2">
        <v>5220</v>
      </c>
      <c r="AS7" s="2">
        <v>5280</v>
      </c>
      <c r="AT7" s="2">
        <v>5125</v>
      </c>
    </row>
    <row r="8" spans="1:46" ht="21" x14ac:dyDescent="0.55000000000000004">
      <c r="A8" s="11" t="s">
        <v>2</v>
      </c>
      <c r="B8" s="22">
        <v>491</v>
      </c>
      <c r="C8" s="22">
        <v>699</v>
      </c>
      <c r="D8" s="22">
        <v>885</v>
      </c>
      <c r="E8" s="22">
        <v>843</v>
      </c>
      <c r="F8" s="22">
        <v>680</v>
      </c>
      <c r="G8" s="22">
        <v>807</v>
      </c>
      <c r="H8" s="22">
        <v>889</v>
      </c>
      <c r="I8" s="22">
        <v>635</v>
      </c>
      <c r="J8" s="22">
        <v>654</v>
      </c>
      <c r="K8" s="22">
        <v>673</v>
      </c>
      <c r="L8" s="12" t="s">
        <v>7</v>
      </c>
      <c r="M8" s="1"/>
      <c r="N8" s="20"/>
      <c r="AJ8" s="2" t="s">
        <v>10</v>
      </c>
      <c r="AK8" s="2">
        <v>1338</v>
      </c>
      <c r="AL8" s="2">
        <v>1515</v>
      </c>
      <c r="AM8" s="2">
        <v>1604</v>
      </c>
      <c r="AN8" s="2">
        <v>1725</v>
      </c>
      <c r="AO8" s="2">
        <v>1815</v>
      </c>
      <c r="AP8" s="2">
        <v>2120</v>
      </c>
      <c r="AQ8" s="2">
        <v>2000</v>
      </c>
      <c r="AR8" s="2">
        <v>1708</v>
      </c>
      <c r="AS8" s="2">
        <v>1720</v>
      </c>
      <c r="AT8" s="23">
        <f>K6</f>
        <v>1677</v>
      </c>
    </row>
    <row r="9" spans="1:46" ht="21" x14ac:dyDescent="0.55000000000000004">
      <c r="A9" s="13" t="s">
        <v>3</v>
      </c>
      <c r="B9" s="14"/>
      <c r="C9" s="14"/>
      <c r="D9" s="14"/>
      <c r="E9" s="14"/>
      <c r="F9" s="14"/>
      <c r="G9" s="15"/>
      <c r="H9" s="15"/>
      <c r="I9" s="15"/>
      <c r="J9" s="15"/>
      <c r="K9" s="15"/>
      <c r="L9" s="24" t="s">
        <v>4</v>
      </c>
      <c r="M9" s="16"/>
    </row>
    <row r="10" spans="1:46" x14ac:dyDescent="0.25">
      <c r="A10" s="26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mergeCells count="2">
    <mergeCell ref="A2:L2"/>
    <mergeCell ref="A3:L3"/>
  </mergeCells>
  <pageMargins left="0.7" right="0.7" top="0.75" bottom="0.75" header="0.3" footer="0.3"/>
  <pageSetup scale="63" orientation="portrait" horizontalDpi="4294967295" verticalDpi="4294967295" r:id="rId1"/>
  <colBreaks count="1" manualBreakCount="1">
    <brk id="12" max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&amp; 7.17</vt:lpstr>
      <vt:lpstr>'7.16 &amp; 7.17'!Print_Area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2021-07-12T04:16:03Z</cp:lastPrinted>
  <dcterms:created xsi:type="dcterms:W3CDTF">2019-02-28T08:20:57Z</dcterms:created>
  <dcterms:modified xsi:type="dcterms:W3CDTF">2021-07-12T04:16:47Z</dcterms:modified>
</cp:coreProperties>
</file>