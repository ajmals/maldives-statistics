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1000"/>
  </bookViews>
  <sheets>
    <sheet name="7.11" sheetId="11" r:id="rId1"/>
  </sheets>
  <definedNames>
    <definedName name="_xlnm.Print_Area" localSheetId="0">'7.11'!$A$1:$T$27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1" l="1"/>
  <c r="D7" i="11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G6" i="11"/>
  <c r="F6" i="11"/>
  <c r="I6" i="11"/>
  <c r="J6" i="11"/>
  <c r="L6" i="11"/>
  <c r="M6" i="11"/>
  <c r="O6" i="11"/>
  <c r="P6" i="11"/>
  <c r="R6" i="11"/>
  <c r="S6" i="11"/>
  <c r="E7" i="11"/>
  <c r="H7" i="11"/>
  <c r="K7" i="11"/>
  <c r="N7" i="11"/>
  <c r="Q7" i="11"/>
  <c r="E8" i="11"/>
  <c r="H8" i="11"/>
  <c r="K8" i="11"/>
  <c r="N8" i="11"/>
  <c r="Q8" i="11"/>
  <c r="E9" i="11"/>
  <c r="H9" i="11"/>
  <c r="K9" i="11"/>
  <c r="N9" i="11"/>
  <c r="Q9" i="11"/>
  <c r="E10" i="11"/>
  <c r="H10" i="11"/>
  <c r="K10" i="11"/>
  <c r="N10" i="11"/>
  <c r="Q10" i="11"/>
  <c r="E11" i="11"/>
  <c r="H11" i="11"/>
  <c r="K11" i="11"/>
  <c r="N11" i="11"/>
  <c r="Q11" i="11"/>
  <c r="E12" i="11"/>
  <c r="H12" i="11"/>
  <c r="K12" i="11"/>
  <c r="N12" i="11"/>
  <c r="Q12" i="11"/>
  <c r="E13" i="11"/>
  <c r="H13" i="11"/>
  <c r="K13" i="11"/>
  <c r="N13" i="11"/>
  <c r="Q13" i="11"/>
  <c r="E14" i="11"/>
  <c r="H14" i="11"/>
  <c r="K14" i="11"/>
  <c r="N14" i="11"/>
  <c r="Q14" i="11"/>
  <c r="E15" i="11"/>
  <c r="H15" i="11"/>
  <c r="K15" i="11"/>
  <c r="N15" i="11"/>
  <c r="Q15" i="11"/>
  <c r="E16" i="11"/>
  <c r="H16" i="11"/>
  <c r="K16" i="11"/>
  <c r="N16" i="11"/>
  <c r="Q16" i="11"/>
  <c r="E17" i="11"/>
  <c r="H17" i="11"/>
  <c r="K17" i="11"/>
  <c r="N17" i="11"/>
  <c r="Q17" i="11"/>
  <c r="E18" i="11"/>
  <c r="H18" i="11"/>
  <c r="K18" i="11"/>
  <c r="N18" i="11"/>
  <c r="Q18" i="11"/>
  <c r="E19" i="11"/>
  <c r="H19" i="11"/>
  <c r="K19" i="11"/>
  <c r="N19" i="11"/>
  <c r="Q19" i="11"/>
  <c r="E20" i="11"/>
  <c r="H20" i="11"/>
  <c r="K20" i="11"/>
  <c r="N20" i="11"/>
  <c r="Q20" i="11"/>
  <c r="E21" i="11"/>
  <c r="H21" i="11"/>
  <c r="K21" i="11"/>
  <c r="N21" i="11"/>
  <c r="Q21" i="11"/>
  <c r="E22" i="11"/>
  <c r="H22" i="11"/>
  <c r="K22" i="11"/>
  <c r="N22" i="11"/>
  <c r="Q22" i="11"/>
  <c r="E23" i="11"/>
  <c r="H23" i="11"/>
  <c r="K23" i="11"/>
  <c r="N23" i="11"/>
  <c r="Q23" i="11"/>
  <c r="E24" i="11"/>
  <c r="H24" i="11"/>
  <c r="K24" i="11"/>
  <c r="N24" i="11"/>
  <c r="Q24" i="11"/>
  <c r="E25" i="11"/>
  <c r="H25" i="11"/>
  <c r="K25" i="11"/>
  <c r="N25" i="11"/>
  <c r="Q25" i="11"/>
  <c r="E26" i="11"/>
  <c r="H26" i="11"/>
  <c r="K26" i="11"/>
  <c r="N26" i="11"/>
  <c r="Q26" i="11"/>
  <c r="B24" i="11" l="1"/>
  <c r="B16" i="11"/>
  <c r="B22" i="11"/>
  <c r="B8" i="11"/>
  <c r="B19" i="11"/>
  <c r="B11" i="11"/>
  <c r="B14" i="11"/>
  <c r="B21" i="11"/>
  <c r="B20" i="11"/>
  <c r="B13" i="11"/>
  <c r="B12" i="11"/>
  <c r="D6" i="11"/>
  <c r="B23" i="11"/>
  <c r="B15" i="11"/>
  <c r="B7" i="11"/>
  <c r="B26" i="11"/>
  <c r="B18" i="11"/>
  <c r="B10" i="11"/>
  <c r="C6" i="11"/>
  <c r="B25" i="11"/>
  <c r="B17" i="11"/>
  <c r="B9" i="11"/>
  <c r="K6" i="11"/>
  <c r="Q6" i="11"/>
  <c r="N6" i="11"/>
  <c r="H6" i="11"/>
  <c r="E6" i="11"/>
  <c r="B6" i="11" l="1"/>
</calcChain>
</file>

<file path=xl/sharedStrings.xml><?xml version="1.0" encoding="utf-8"?>
<sst xmlns="http://schemas.openxmlformats.org/spreadsheetml/2006/main" count="50" uniqueCount="35">
  <si>
    <t>Total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</si>
  <si>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</si>
  <si>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</si>
  <si>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</si>
  <si>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</si>
  <si>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</si>
  <si>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</si>
  <si>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</si>
  <si>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</si>
  <si>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</si>
  <si>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</si>
  <si>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</si>
  <si>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</si>
  <si>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</si>
  <si>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</si>
  <si>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</si>
  <si>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</si>
  <si>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</si>
  <si>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</si>
  <si>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</si>
  <si>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</si>
  <si>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</si>
  <si>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</si>
  <si>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</si>
  <si>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Both Sexes</t>
  </si>
  <si>
    <t>Male</t>
  </si>
  <si>
    <t>Female</t>
  </si>
  <si>
    <t>Locality</t>
  </si>
  <si>
    <t>Lower Secondary Level</t>
  </si>
  <si>
    <t>Higher Secondary Level</t>
  </si>
  <si>
    <t>Pre-Primary</t>
  </si>
  <si>
    <t>Primary Level</t>
  </si>
  <si>
    <t>Special Classes</t>
  </si>
  <si>
    <t xml:space="preserve"> ތާވަލް 7.11: އަތޮޅުތަކުގައި ހުރި ސަރުކާރު މަދަރުސާގައި އެކިފެންވަރަށް ކިޔަވާކުދިންގެ އަދަދު، ޖިންސު ވަކިން، 2020</t>
  </si>
  <si>
    <t>Table  7.11 : STUDENT ENROLMENT IN GOVERNMENT SCHOOLS OF ATOLLS, BY EDUCATIONAL LEVEL AND SEX 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</si>
</sst>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name val="Faruma"/>
    </font>
    <font>
      <u/>
      <sz val="9"/>
      <name val="Courier"/>
      <family val="3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6" fillId="0" borderId="0"/>
    <xf numFmtId="167" fontId="6" fillId="0" borderId="0"/>
    <xf numFmtId="0" fontId="2" fillId="0" borderId="0"/>
    <xf numFmtId="0" fontId="2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18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</cellStyleXfs>
  <cellXfs count="45">
    <xf numFmtId="0" fontId="0" fillId="0" borderId="0" xfId="0"/>
    <xf numFmtId="164" fontId="2" fillId="2" borderId="0" xfId="0" applyNumberFormat="1" applyFont="1" applyFill="1"/>
    <xf numFmtId="164" fontId="8" fillId="2" borderId="0" xfId="0" applyNumberFormat="1" applyFont="1" applyFill="1"/>
    <xf numFmtId="164" fontId="11" fillId="2" borderId="0" xfId="0" applyNumberFormat="1" applyFont="1" applyFill="1" applyAlignment="1" applyProtection="1">
      <alignment horizontal="left" vertical="center"/>
    </xf>
    <xf numFmtId="164" fontId="7" fillId="2" borderId="0" xfId="0" applyNumberFormat="1" applyFont="1" applyFill="1"/>
    <xf numFmtId="164" fontId="13" fillId="2" borderId="0" xfId="0" applyNumberFormat="1" applyFont="1" applyFill="1" applyAlignment="1" applyProtection="1">
      <alignment horizontal="left" vertical="center" indent="1"/>
    </xf>
    <xf numFmtId="164" fontId="13" fillId="2" borderId="1" xfId="0" applyNumberFormat="1" applyFont="1" applyFill="1" applyBorder="1" applyAlignment="1" applyProtection="1">
      <alignment horizontal="left" vertical="center" indent="1"/>
    </xf>
    <xf numFmtId="164" fontId="2" fillId="2" borderId="0" xfId="0" applyNumberFormat="1" applyFont="1" applyFill="1" applyAlignment="1">
      <alignment vertical="center"/>
    </xf>
    <xf numFmtId="0" fontId="0" fillId="2" borderId="0" xfId="0" applyFill="1"/>
    <xf numFmtId="164" fontId="15" fillId="2" borderId="0" xfId="0" applyNumberFormat="1" applyFont="1" applyFill="1"/>
    <xf numFmtId="164" fontId="13" fillId="2" borderId="0" xfId="0" applyNumberFormat="1" applyFont="1" applyFill="1"/>
    <xf numFmtId="164" fontId="5" fillId="2" borderId="0" xfId="0" applyNumberFormat="1" applyFont="1" applyFill="1" applyAlignment="1" applyProtection="1">
      <alignment horizontal="center" vertical="center"/>
    </xf>
    <xf numFmtId="164" fontId="4" fillId="2" borderId="0" xfId="0" applyNumberFormat="1" applyFont="1" applyFill="1" applyAlignment="1">
      <alignment vertical="center"/>
    </xf>
    <xf numFmtId="164" fontId="3" fillId="2" borderId="8" xfId="0" applyNumberFormat="1" applyFont="1" applyFill="1" applyBorder="1" applyAlignment="1" applyProtection="1">
      <alignment horizontal="right" vertical="center" wrapText="1"/>
    </xf>
    <xf numFmtId="164" fontId="3" fillId="2" borderId="8" xfId="0" applyNumberFormat="1" applyFont="1" applyFill="1" applyBorder="1" applyAlignment="1" applyProtection="1">
      <alignment horizontal="right" vertical="center"/>
    </xf>
    <xf numFmtId="164" fontId="3" fillId="2" borderId="6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 applyProtection="1">
      <alignment horizontal="right" vertical="center"/>
    </xf>
    <xf numFmtId="164" fontId="3" fillId="2" borderId="4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 applyProtection="1">
      <alignment horizontal="right" vertical="center" wrapText="1"/>
    </xf>
    <xf numFmtId="164" fontId="3" fillId="2" borderId="0" xfId="0" applyNumberFormat="1" applyFont="1" applyFill="1" applyAlignment="1" applyProtection="1">
      <alignment horizontal="left" vertical="center"/>
    </xf>
    <xf numFmtId="3" fontId="3" fillId="2" borderId="0" xfId="0" applyNumberFormat="1" applyFont="1" applyFill="1" applyBorder="1" applyAlignment="1" applyProtection="1">
      <alignment vertical="center"/>
    </xf>
    <xf numFmtId="3" fontId="3" fillId="2" borderId="7" xfId="0" applyNumberFormat="1" applyFont="1" applyFill="1" applyBorder="1" applyAlignment="1" applyProtection="1">
      <alignment vertical="center"/>
    </xf>
    <xf numFmtId="3" fontId="3" fillId="2" borderId="3" xfId="0" applyNumberFormat="1" applyFont="1" applyFill="1" applyBorder="1" applyAlignment="1" applyProtection="1">
      <alignment vertical="center"/>
    </xf>
    <xf numFmtId="3" fontId="13" fillId="2" borderId="0" xfId="0" applyNumberFormat="1" applyFont="1" applyFill="1" applyBorder="1" applyAlignment="1" applyProtection="1">
      <alignment vertical="center"/>
    </xf>
    <xf numFmtId="3" fontId="3" fillId="2" borderId="5" xfId="0" applyNumberFormat="1" applyFont="1" applyFill="1" applyBorder="1" applyAlignment="1" applyProtection="1">
      <alignment vertical="center"/>
    </xf>
    <xf numFmtId="3" fontId="13" fillId="2" borderId="1" xfId="0" applyNumberFormat="1" applyFont="1" applyFill="1" applyBorder="1" applyAlignment="1" applyProtection="1">
      <alignment vertical="center"/>
    </xf>
    <xf numFmtId="3" fontId="3" fillId="2" borderId="6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 applyAlignment="1" applyProtection="1">
      <alignment horizontal="left"/>
    </xf>
    <xf numFmtId="164" fontId="7" fillId="2" borderId="0" xfId="0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164" fontId="17" fillId="2" borderId="0" xfId="2" applyNumberFormat="1" applyFont="1" applyFill="1" applyAlignment="1" applyProtection="1"/>
    <xf numFmtId="3" fontId="13" fillId="2" borderId="3" xfId="0" applyNumberFormat="1" applyFont="1" applyFill="1" applyBorder="1" applyAlignment="1" applyProtection="1">
      <alignment vertical="center"/>
    </xf>
    <xf numFmtId="3" fontId="13" fillId="2" borderId="4" xfId="0" applyNumberFormat="1" applyFont="1" applyFill="1" applyBorder="1" applyAlignment="1" applyProtection="1">
      <alignment vertical="center"/>
    </xf>
    <xf numFmtId="164" fontId="19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3" fillId="2" borderId="10" xfId="0" applyNumberFormat="1" applyFont="1" applyFill="1" applyBorder="1" applyAlignment="1" applyProtection="1">
      <alignment horizontal="right" vertical="center" wrapText="1"/>
    </xf>
    <xf numFmtId="3" fontId="3" fillId="2" borderId="2" xfId="0" applyNumberFormat="1" applyFont="1" applyFill="1" applyBorder="1" applyAlignment="1" applyProtection="1">
      <alignment vertical="center"/>
    </xf>
    <xf numFmtId="3" fontId="3" fillId="2" borderId="1" xfId="0" applyNumberFormat="1" applyFont="1" applyFill="1" applyBorder="1" applyAlignment="1" applyProtection="1">
      <alignment vertical="center"/>
    </xf>
    <xf numFmtId="164" fontId="16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164" fontId="3" fillId="2" borderId="8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4" fontId="3" fillId="2" borderId="9" xfId="0" applyNumberFormat="1" applyFont="1" applyFill="1" applyBorder="1" applyAlignment="1" applyProtection="1">
      <alignment horizontal="center" vertical="center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" name="Text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" name="Text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8" name="Text 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9" name="Text 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" name="Text 5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" name="Text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" name="Text 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4" name="Text 7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5" name="Text 8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" name="Text 9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7" name="Text 10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" name="Text 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" name="Text 5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0" name="Text 5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1" name="Text Box 30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2" name="Text 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3" name="Text 4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4" name="Text 7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5" name="Text 8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6" name="Text 9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7" name="Text 10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8" name="Text 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9" name="Text 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0" name="Text 5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31" name="Text Box 1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2" name="Text 3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3" name="Text 4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34" name="Text 7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5" name="Text 8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6" name="Text 9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37" name="Text 10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8" name="Text 5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9" name="Text 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0" name="Text 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41" name="Text Box 30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2" name="Text 3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3" name="Text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4" name="Text 7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5" name="Text 8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6" name="Text 9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47" name="Text 10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8" name="Text 5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9" name="Text 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0" name="Text 5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51" name="Text Box 1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3" name="Text 4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54" name="Text 7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5" name="Text 8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6" name="Text 9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57" name="Text 10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8" name="Text 5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9" name="Text 5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0" name="Text 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61" name="Text Box 300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3" name="Text 4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64" name="Text 7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5" name="Text 8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6" name="Text 9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67" name="Text 10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8" name="Text 5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9" name="Text 5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0" name="Text 5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71" name="Text Box 1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2" name="Text 3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3" name="Text 4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74" name="Text 7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5" name="Text 8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6" name="Text 9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77" name="Text 10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8" name="Text 5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28</xdr:row>
      <xdr:rowOff>19050</xdr:rowOff>
    </xdr:from>
    <xdr:to>
      <xdr:col>2</xdr:col>
      <xdr:colOff>438150</xdr:colOff>
      <xdr:row>28</xdr:row>
      <xdr:rowOff>19050</xdr:rowOff>
    </xdr:to>
    <xdr:sp macro="" textlink="">
      <xdr:nvSpPr>
        <xdr:cNvPr id="79" name="Text 5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143000" y="70770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80" name="Text Box 300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16" name="Text 5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17" name="Text 5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18" name="Text 3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19" name="Text 4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20" name="Text 7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1" name="Text 8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2" name="Text 9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23" name="Text 10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4" name="Text 5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5" name="Text 5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6" name="Text 5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27" name="Text Box 10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8" name="Text 3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9" name="Text 4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30" name="Text 7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1" name="Text 8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2" name="Text 9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33" name="Text 10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4" name="Text 5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5" name="Text 5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6" name="Text 5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37" name="Text Box 300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8" name="Text 3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9" name="Text 4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40" name="Text 7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1" name="Text 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2" name="Text 9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43" name="Text 10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4" name="Text 5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5" name="Text 5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6" name="Text 5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47" name="Text Box 10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8" name="Text 3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9" name="Text 4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50" name="Text 7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51" name="Text 8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2" name="Text 9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53" name="Text 10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4" name="Text 5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5" name="Text 5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6" name="Text 5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57" name="Text Box 300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58" name="Text 3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59" name="Text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60" name="Text 7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1" name="Text 8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2" name="Text 9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63" name="Text 10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4" name="Text 5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5" name="Text 5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6" name="Text 5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67" name="Text Box 10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8" name="Text 3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9" name="Text 4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70" name="Text 7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1" name="Text 8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2" name="Text 9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73" name="Text 10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4" name="Text 5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5" name="Text 5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6" name="Text 5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77" name="Text Box 300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8" name="Text 3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9" name="Text 4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80" name="Text 7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1" name="Text 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2" name="Text 9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83" name="Text 10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4" name="Text 5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5" name="Text 5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6" name="Text 5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87" name="Text Box 10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8" name="Text 3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9" name="Text 4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90" name="Text 7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91" name="Text 8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2" name="Text 9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93" name="Text 10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4" name="Text 5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28</xdr:row>
      <xdr:rowOff>19050</xdr:rowOff>
    </xdr:from>
    <xdr:to>
      <xdr:col>2</xdr:col>
      <xdr:colOff>438150</xdr:colOff>
      <xdr:row>28</xdr:row>
      <xdr:rowOff>19050</xdr:rowOff>
    </xdr:to>
    <xdr:sp macro="" textlink="">
      <xdr:nvSpPr>
        <xdr:cNvPr id="195" name="Text 5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143000" y="70770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96" name="Text Box 300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232" name="Text 5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233" name="Text 5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U32"/>
  <sheetViews>
    <sheetView tabSelected="1" topLeftCell="B1" zoomScaleNormal="100" zoomScaleSheetLayoutView="86" workbookViewId="0">
      <selection activeCell="Z24" sqref="Z24"/>
    </sheetView>
  </sheetViews>
  <sheetFormatPr defaultColWidth="11.140625" defaultRowHeight="19.5" customHeight="1" x14ac:dyDescent="0.2"/>
  <cols>
    <col min="1" max="1" width="9.7109375" style="1" customWidth="1"/>
    <col min="2" max="8" width="9.85546875" style="1" customWidth="1"/>
    <col min="9" max="9" width="10.42578125" style="1" customWidth="1"/>
    <col min="10" max="10" width="10.7109375" style="1" customWidth="1"/>
    <col min="11" max="11" width="10.28515625" style="1" customWidth="1"/>
    <col min="12" max="12" width="10.85546875" style="1" customWidth="1"/>
    <col min="13" max="13" width="10.140625" style="1" customWidth="1"/>
    <col min="14" max="14" width="9.42578125" style="1" customWidth="1"/>
    <col min="15" max="16" width="11.140625" style="1"/>
    <col min="17" max="17" width="9.28515625" style="1" customWidth="1"/>
    <col min="18" max="16384" width="11.140625" style="1"/>
  </cols>
  <sheetData>
    <row r="1" spans="1:21" ht="19.5" customHeight="1" x14ac:dyDescent="0.25">
      <c r="A1" s="38" t="s">
        <v>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8"/>
      <c r="U1" s="9"/>
    </row>
    <row r="2" spans="1:21" s="10" customFormat="1" ht="19.5" customHeight="1" x14ac:dyDescent="0.25">
      <c r="A2" s="39" t="s">
        <v>34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21" s="10" customFormat="1" ht="19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"/>
    </row>
    <row r="4" spans="1:21" s="12" customFormat="1" ht="19.5" customHeight="1" x14ac:dyDescent="0.25">
      <c r="A4" s="40" t="s">
        <v>27</v>
      </c>
      <c r="B4" s="42" t="s">
        <v>0</v>
      </c>
      <c r="C4" s="42"/>
      <c r="D4" s="43"/>
      <c r="E4" s="44" t="s">
        <v>30</v>
      </c>
      <c r="F4" s="42"/>
      <c r="G4" s="43"/>
      <c r="H4" s="44" t="s">
        <v>31</v>
      </c>
      <c r="I4" s="42"/>
      <c r="J4" s="43"/>
      <c r="K4" s="44" t="s">
        <v>28</v>
      </c>
      <c r="L4" s="42"/>
      <c r="M4" s="43"/>
      <c r="N4" s="44" t="s">
        <v>29</v>
      </c>
      <c r="O4" s="42"/>
      <c r="P4" s="43"/>
      <c r="Q4" s="44" t="s">
        <v>32</v>
      </c>
      <c r="R4" s="42"/>
      <c r="S4" s="42"/>
    </row>
    <row r="5" spans="1:21" s="12" customFormat="1" ht="29.25" customHeight="1" x14ac:dyDescent="0.25">
      <c r="A5" s="41"/>
      <c r="B5" s="13" t="s">
        <v>24</v>
      </c>
      <c r="C5" s="14" t="s">
        <v>25</v>
      </c>
      <c r="D5" s="35" t="s">
        <v>26</v>
      </c>
      <c r="E5" s="15" t="s">
        <v>24</v>
      </c>
      <c r="F5" s="16" t="s">
        <v>25</v>
      </c>
      <c r="G5" s="17" t="s">
        <v>26</v>
      </c>
      <c r="H5" s="18" t="s">
        <v>24</v>
      </c>
      <c r="I5" s="16" t="s">
        <v>25</v>
      </c>
      <c r="J5" s="18" t="s">
        <v>26</v>
      </c>
      <c r="K5" s="15" t="s">
        <v>24</v>
      </c>
      <c r="L5" s="16" t="s">
        <v>25</v>
      </c>
      <c r="M5" s="17" t="s">
        <v>26</v>
      </c>
      <c r="N5" s="15" t="s">
        <v>24</v>
      </c>
      <c r="O5" s="16" t="s">
        <v>25</v>
      </c>
      <c r="P5" s="17" t="s">
        <v>26</v>
      </c>
      <c r="Q5" s="18" t="s">
        <v>24</v>
      </c>
      <c r="R5" s="16" t="s">
        <v>25</v>
      </c>
      <c r="S5" s="18" t="s">
        <v>26</v>
      </c>
    </row>
    <row r="6" spans="1:21" s="12" customFormat="1" ht="19.5" customHeight="1" x14ac:dyDescent="0.25">
      <c r="A6" s="19" t="s">
        <v>1</v>
      </c>
      <c r="B6" s="36">
        <f>E6+H6+K6+N6+Q6</f>
        <v>54838</v>
      </c>
      <c r="C6" s="20">
        <f>F6+I6+L6+O6+R6</f>
        <v>28225</v>
      </c>
      <c r="D6" s="22">
        <f>G6+J6+M6+P6+S6</f>
        <v>26613</v>
      </c>
      <c r="E6" s="21">
        <f>SUM(F6:G6)</f>
        <v>9958</v>
      </c>
      <c r="F6" s="20">
        <f>SUM(F7:F26)</f>
        <v>5041</v>
      </c>
      <c r="G6" s="22">
        <f>SUM(G7:G26)</f>
        <v>4917</v>
      </c>
      <c r="H6" s="21">
        <f>SUM(I6:J6)</f>
        <v>32678</v>
      </c>
      <c r="I6" s="20">
        <f>SUM(I7:I26)</f>
        <v>17047</v>
      </c>
      <c r="J6" s="20">
        <f>SUM(J7:J26)</f>
        <v>15631</v>
      </c>
      <c r="K6" s="21">
        <f>SUM(L6:M6)</f>
        <v>10838</v>
      </c>
      <c r="L6" s="20">
        <f>SUM(L7:L26)</f>
        <v>5527</v>
      </c>
      <c r="M6" s="22">
        <f>SUM(M7:M26)</f>
        <v>5311</v>
      </c>
      <c r="N6" s="21">
        <f>SUM(O6:P6)</f>
        <v>1282</v>
      </c>
      <c r="O6" s="20">
        <f>SUM(O7:O26)</f>
        <v>563</v>
      </c>
      <c r="P6" s="22">
        <f>SUM(P7:P26)</f>
        <v>719</v>
      </c>
      <c r="Q6" s="21">
        <f>SUM(R6:S6)</f>
        <v>82</v>
      </c>
      <c r="R6" s="20">
        <f>SUM(R7:R26)</f>
        <v>47</v>
      </c>
      <c r="S6" s="20">
        <f>SUM(S7:S26)</f>
        <v>35</v>
      </c>
    </row>
    <row r="7" spans="1:21" s="12" customFormat="1" ht="19.5" customHeight="1" x14ac:dyDescent="0.25">
      <c r="A7" s="5" t="s">
        <v>2</v>
      </c>
      <c r="B7" s="20">
        <f t="shared" ref="B7:B26" si="0">E7+H7+K7+N7+Q7</f>
        <v>3693</v>
      </c>
      <c r="C7" s="23">
        <f t="shared" ref="C7:C26" si="1">F7+I7+L7+O7+R7</f>
        <v>1914</v>
      </c>
      <c r="D7" s="31">
        <f t="shared" ref="D7:D26" si="2">G7+J7+M7+P7+S7</f>
        <v>1779</v>
      </c>
      <c r="E7" s="24">
        <f t="shared" ref="E7:E26" si="3">SUM(F7:G7)</f>
        <v>734</v>
      </c>
      <c r="F7" s="23">
        <v>351</v>
      </c>
      <c r="G7" s="31">
        <v>383</v>
      </c>
      <c r="H7" s="24">
        <f t="shared" ref="H7:H26" si="4">SUM(I7:J7)</f>
        <v>2225</v>
      </c>
      <c r="I7" s="23">
        <v>1181</v>
      </c>
      <c r="J7" s="23">
        <v>1044</v>
      </c>
      <c r="K7" s="24">
        <f t="shared" ref="K7:K26" si="5">SUM(L7:M7)</f>
        <v>674</v>
      </c>
      <c r="L7" s="23">
        <v>352</v>
      </c>
      <c r="M7" s="31">
        <v>322</v>
      </c>
      <c r="N7" s="24">
        <f t="shared" ref="N7:N26" si="6">SUM(O7:P7)</f>
        <v>54</v>
      </c>
      <c r="O7" s="23">
        <v>25</v>
      </c>
      <c r="P7" s="31">
        <v>29</v>
      </c>
      <c r="Q7" s="24">
        <f t="shared" ref="Q7:Q26" si="7">SUM(R7:S7)</f>
        <v>6</v>
      </c>
      <c r="R7" s="23">
        <v>5</v>
      </c>
      <c r="S7" s="23">
        <v>1</v>
      </c>
    </row>
    <row r="8" spans="1:21" s="12" customFormat="1" ht="19.5" customHeight="1" x14ac:dyDescent="0.25">
      <c r="A8" s="5" t="s">
        <v>3</v>
      </c>
      <c r="B8" s="20">
        <f t="shared" si="0"/>
        <v>5741</v>
      </c>
      <c r="C8" s="23">
        <f t="shared" si="1"/>
        <v>2986</v>
      </c>
      <c r="D8" s="31">
        <f t="shared" si="2"/>
        <v>2755</v>
      </c>
      <c r="E8" s="24">
        <f t="shared" si="3"/>
        <v>1100</v>
      </c>
      <c r="F8" s="23">
        <v>566</v>
      </c>
      <c r="G8" s="31">
        <v>534</v>
      </c>
      <c r="H8" s="24">
        <f t="shared" si="4"/>
        <v>3463</v>
      </c>
      <c r="I8" s="23">
        <v>1809</v>
      </c>
      <c r="J8" s="23">
        <v>1654</v>
      </c>
      <c r="K8" s="24">
        <f t="shared" si="5"/>
        <v>1042</v>
      </c>
      <c r="L8" s="23">
        <v>551</v>
      </c>
      <c r="M8" s="31">
        <v>491</v>
      </c>
      <c r="N8" s="24">
        <f t="shared" si="6"/>
        <v>105</v>
      </c>
      <c r="O8" s="23">
        <v>41</v>
      </c>
      <c r="P8" s="31">
        <v>64</v>
      </c>
      <c r="Q8" s="24">
        <f t="shared" si="7"/>
        <v>31</v>
      </c>
      <c r="R8" s="23">
        <v>19</v>
      </c>
      <c r="S8" s="23">
        <v>12</v>
      </c>
    </row>
    <row r="9" spans="1:21" s="12" customFormat="1" ht="19.5" customHeight="1" x14ac:dyDescent="0.25">
      <c r="A9" s="5" t="s">
        <v>4</v>
      </c>
      <c r="B9" s="20">
        <f t="shared" si="0"/>
        <v>3713</v>
      </c>
      <c r="C9" s="23">
        <f t="shared" si="1"/>
        <v>1896</v>
      </c>
      <c r="D9" s="31">
        <f t="shared" si="2"/>
        <v>1817</v>
      </c>
      <c r="E9" s="24">
        <f t="shared" si="3"/>
        <v>688</v>
      </c>
      <c r="F9" s="23">
        <v>348</v>
      </c>
      <c r="G9" s="31">
        <v>340</v>
      </c>
      <c r="H9" s="24">
        <f t="shared" si="4"/>
        <v>2174</v>
      </c>
      <c r="I9" s="23">
        <v>1145</v>
      </c>
      <c r="J9" s="23">
        <v>1029</v>
      </c>
      <c r="K9" s="24">
        <f t="shared" si="5"/>
        <v>745</v>
      </c>
      <c r="L9" s="23">
        <v>353</v>
      </c>
      <c r="M9" s="31">
        <v>392</v>
      </c>
      <c r="N9" s="24">
        <f t="shared" si="6"/>
        <v>103</v>
      </c>
      <c r="O9" s="23">
        <v>48</v>
      </c>
      <c r="P9" s="31">
        <v>55</v>
      </c>
      <c r="Q9" s="24">
        <f t="shared" si="7"/>
        <v>3</v>
      </c>
      <c r="R9" s="23">
        <v>2</v>
      </c>
      <c r="S9" s="23">
        <v>1</v>
      </c>
    </row>
    <row r="10" spans="1:21" s="12" customFormat="1" ht="19.5" customHeight="1" x14ac:dyDescent="0.25">
      <c r="A10" s="5" t="s">
        <v>6</v>
      </c>
      <c r="B10" s="20">
        <f t="shared" si="0"/>
        <v>3037</v>
      </c>
      <c r="C10" s="23">
        <f t="shared" si="1"/>
        <v>1544</v>
      </c>
      <c r="D10" s="31">
        <f t="shared" si="2"/>
        <v>1493</v>
      </c>
      <c r="E10" s="24">
        <f t="shared" si="3"/>
        <v>554</v>
      </c>
      <c r="F10" s="23">
        <v>282</v>
      </c>
      <c r="G10" s="31">
        <v>272</v>
      </c>
      <c r="H10" s="24">
        <f t="shared" si="4"/>
        <v>1880</v>
      </c>
      <c r="I10" s="23">
        <v>962</v>
      </c>
      <c r="J10" s="23">
        <v>918</v>
      </c>
      <c r="K10" s="24">
        <f t="shared" si="5"/>
        <v>550</v>
      </c>
      <c r="L10" s="23">
        <v>279</v>
      </c>
      <c r="M10" s="31">
        <v>271</v>
      </c>
      <c r="N10" s="24">
        <f t="shared" si="6"/>
        <v>53</v>
      </c>
      <c r="O10" s="23">
        <v>21</v>
      </c>
      <c r="P10" s="31">
        <v>32</v>
      </c>
      <c r="Q10" s="24">
        <f t="shared" si="7"/>
        <v>0</v>
      </c>
      <c r="R10" s="23">
        <v>0</v>
      </c>
      <c r="S10" s="23">
        <v>0</v>
      </c>
    </row>
    <row r="11" spans="1:21" s="12" customFormat="1" ht="19.5" customHeight="1" x14ac:dyDescent="0.25">
      <c r="A11" s="5" t="s">
        <v>7</v>
      </c>
      <c r="B11" s="20">
        <f t="shared" si="0"/>
        <v>4376</v>
      </c>
      <c r="C11" s="23">
        <f t="shared" si="1"/>
        <v>2236</v>
      </c>
      <c r="D11" s="31">
        <f t="shared" si="2"/>
        <v>2140</v>
      </c>
      <c r="E11" s="24">
        <f t="shared" si="3"/>
        <v>830</v>
      </c>
      <c r="F11" s="23">
        <v>416</v>
      </c>
      <c r="G11" s="31">
        <v>414</v>
      </c>
      <c r="H11" s="24">
        <f t="shared" si="4"/>
        <v>2602</v>
      </c>
      <c r="I11" s="23">
        <v>1335</v>
      </c>
      <c r="J11" s="23">
        <v>1267</v>
      </c>
      <c r="K11" s="24">
        <f t="shared" si="5"/>
        <v>852</v>
      </c>
      <c r="L11" s="23">
        <v>447</v>
      </c>
      <c r="M11" s="31">
        <v>405</v>
      </c>
      <c r="N11" s="24">
        <f t="shared" si="6"/>
        <v>88</v>
      </c>
      <c r="O11" s="23">
        <v>35</v>
      </c>
      <c r="P11" s="31">
        <v>53</v>
      </c>
      <c r="Q11" s="24">
        <f t="shared" si="7"/>
        <v>4</v>
      </c>
      <c r="R11" s="23">
        <v>3</v>
      </c>
      <c r="S11" s="23">
        <v>1</v>
      </c>
    </row>
    <row r="12" spans="1:21" s="12" customFormat="1" ht="19.5" customHeight="1" x14ac:dyDescent="0.25">
      <c r="A12" s="5" t="s">
        <v>8</v>
      </c>
      <c r="B12" s="20">
        <f t="shared" si="0"/>
        <v>2471</v>
      </c>
      <c r="C12" s="23">
        <f t="shared" si="1"/>
        <v>1259</v>
      </c>
      <c r="D12" s="31">
        <f t="shared" si="2"/>
        <v>1212</v>
      </c>
      <c r="E12" s="24">
        <f t="shared" si="3"/>
        <v>431</v>
      </c>
      <c r="F12" s="23">
        <v>207</v>
      </c>
      <c r="G12" s="31">
        <v>224</v>
      </c>
      <c r="H12" s="24">
        <f t="shared" si="4"/>
        <v>1454</v>
      </c>
      <c r="I12" s="23">
        <v>744</v>
      </c>
      <c r="J12" s="23">
        <v>710</v>
      </c>
      <c r="K12" s="24">
        <f t="shared" si="5"/>
        <v>522</v>
      </c>
      <c r="L12" s="23">
        <v>283</v>
      </c>
      <c r="M12" s="31">
        <v>239</v>
      </c>
      <c r="N12" s="24">
        <f t="shared" si="6"/>
        <v>64</v>
      </c>
      <c r="O12" s="23">
        <v>25</v>
      </c>
      <c r="P12" s="31">
        <v>39</v>
      </c>
      <c r="Q12" s="24">
        <f t="shared" si="7"/>
        <v>0</v>
      </c>
      <c r="R12" s="23">
        <v>0</v>
      </c>
      <c r="S12" s="23">
        <v>0</v>
      </c>
    </row>
    <row r="13" spans="1:21" s="12" customFormat="1" ht="19.5" customHeight="1" x14ac:dyDescent="0.25">
      <c r="A13" s="5" t="s">
        <v>9</v>
      </c>
      <c r="B13" s="20">
        <f t="shared" si="0"/>
        <v>2097</v>
      </c>
      <c r="C13" s="23">
        <f t="shared" si="1"/>
        <v>1048</v>
      </c>
      <c r="D13" s="31">
        <f t="shared" si="2"/>
        <v>1049</v>
      </c>
      <c r="E13" s="24">
        <f t="shared" si="3"/>
        <v>378</v>
      </c>
      <c r="F13" s="23">
        <v>191</v>
      </c>
      <c r="G13" s="31">
        <v>187</v>
      </c>
      <c r="H13" s="24">
        <f t="shared" si="4"/>
        <v>1223</v>
      </c>
      <c r="I13" s="23">
        <v>614</v>
      </c>
      <c r="J13" s="23">
        <v>609</v>
      </c>
      <c r="K13" s="24">
        <f t="shared" si="5"/>
        <v>446</v>
      </c>
      <c r="L13" s="23">
        <v>215</v>
      </c>
      <c r="M13" s="31">
        <v>231</v>
      </c>
      <c r="N13" s="24">
        <f t="shared" si="6"/>
        <v>44</v>
      </c>
      <c r="O13" s="23">
        <v>25</v>
      </c>
      <c r="P13" s="31">
        <v>19</v>
      </c>
      <c r="Q13" s="24">
        <f t="shared" si="7"/>
        <v>6</v>
      </c>
      <c r="R13" s="23">
        <v>3</v>
      </c>
      <c r="S13" s="23">
        <v>3</v>
      </c>
    </row>
    <row r="14" spans="1:21" s="12" customFormat="1" ht="19.5" customHeight="1" x14ac:dyDescent="0.25">
      <c r="A14" s="5" t="s">
        <v>11</v>
      </c>
      <c r="B14" s="20">
        <f t="shared" si="0"/>
        <v>2957</v>
      </c>
      <c r="C14" s="23">
        <f t="shared" si="1"/>
        <v>1546</v>
      </c>
      <c r="D14" s="31">
        <f t="shared" si="2"/>
        <v>1411</v>
      </c>
      <c r="E14" s="24">
        <f t="shared" si="3"/>
        <v>626</v>
      </c>
      <c r="F14" s="23">
        <v>324</v>
      </c>
      <c r="G14" s="31">
        <v>302</v>
      </c>
      <c r="H14" s="24">
        <f t="shared" si="4"/>
        <v>1768</v>
      </c>
      <c r="I14" s="23">
        <v>931</v>
      </c>
      <c r="J14" s="23">
        <v>837</v>
      </c>
      <c r="K14" s="24">
        <f t="shared" si="5"/>
        <v>563</v>
      </c>
      <c r="L14" s="23">
        <v>291</v>
      </c>
      <c r="M14" s="31">
        <v>272</v>
      </c>
      <c r="N14" s="24">
        <f t="shared" si="6"/>
        <v>0</v>
      </c>
      <c r="O14" s="23">
        <v>0</v>
      </c>
      <c r="P14" s="31">
        <v>0</v>
      </c>
      <c r="Q14" s="24">
        <f t="shared" si="7"/>
        <v>0</v>
      </c>
      <c r="R14" s="23">
        <v>0</v>
      </c>
      <c r="S14" s="23">
        <v>0</v>
      </c>
    </row>
    <row r="15" spans="1:21" s="12" customFormat="1" ht="19.5" customHeight="1" x14ac:dyDescent="0.25">
      <c r="A15" s="5" t="s">
        <v>12</v>
      </c>
      <c r="B15" s="20">
        <f t="shared" si="0"/>
        <v>1887</v>
      </c>
      <c r="C15" s="23">
        <f t="shared" si="1"/>
        <v>992</v>
      </c>
      <c r="D15" s="31">
        <f t="shared" si="2"/>
        <v>895</v>
      </c>
      <c r="E15" s="24">
        <f t="shared" si="3"/>
        <v>342</v>
      </c>
      <c r="F15" s="23">
        <v>175</v>
      </c>
      <c r="G15" s="31">
        <v>167</v>
      </c>
      <c r="H15" s="24">
        <f t="shared" si="4"/>
        <v>1167</v>
      </c>
      <c r="I15" s="23">
        <v>624</v>
      </c>
      <c r="J15" s="23">
        <v>543</v>
      </c>
      <c r="K15" s="24">
        <f t="shared" si="5"/>
        <v>359</v>
      </c>
      <c r="L15" s="23">
        <v>183</v>
      </c>
      <c r="M15" s="31">
        <v>176</v>
      </c>
      <c r="N15" s="24">
        <f t="shared" si="6"/>
        <v>19</v>
      </c>
      <c r="O15" s="23">
        <v>10</v>
      </c>
      <c r="P15" s="31">
        <v>9</v>
      </c>
      <c r="Q15" s="24">
        <f t="shared" si="7"/>
        <v>0</v>
      </c>
      <c r="R15" s="23">
        <v>0</v>
      </c>
      <c r="S15" s="23">
        <v>0</v>
      </c>
    </row>
    <row r="16" spans="1:21" s="12" customFormat="1" ht="19.5" customHeight="1" x14ac:dyDescent="0.25">
      <c r="A16" s="5" t="s">
        <v>13</v>
      </c>
      <c r="B16" s="20">
        <f t="shared" si="0"/>
        <v>2308</v>
      </c>
      <c r="C16" s="23">
        <f t="shared" si="1"/>
        <v>1209</v>
      </c>
      <c r="D16" s="31">
        <f t="shared" si="2"/>
        <v>1099</v>
      </c>
      <c r="E16" s="24">
        <f t="shared" si="3"/>
        <v>518</v>
      </c>
      <c r="F16" s="23">
        <v>264</v>
      </c>
      <c r="G16" s="31">
        <v>254</v>
      </c>
      <c r="H16" s="24">
        <f t="shared" si="4"/>
        <v>1373</v>
      </c>
      <c r="I16" s="23">
        <v>734</v>
      </c>
      <c r="J16" s="23">
        <v>639</v>
      </c>
      <c r="K16" s="24">
        <f t="shared" si="5"/>
        <v>410</v>
      </c>
      <c r="L16" s="23">
        <v>210</v>
      </c>
      <c r="M16" s="31">
        <v>200</v>
      </c>
      <c r="N16" s="24">
        <f t="shared" si="6"/>
        <v>0</v>
      </c>
      <c r="O16" s="23">
        <v>0</v>
      </c>
      <c r="P16" s="31">
        <v>0</v>
      </c>
      <c r="Q16" s="24">
        <f t="shared" si="7"/>
        <v>7</v>
      </c>
      <c r="R16" s="23">
        <v>1</v>
      </c>
      <c r="S16" s="23">
        <v>6</v>
      </c>
    </row>
    <row r="17" spans="1:19" s="12" customFormat="1" ht="19.5" customHeight="1" x14ac:dyDescent="0.25">
      <c r="A17" s="5" t="s">
        <v>14</v>
      </c>
      <c r="B17" s="20">
        <f t="shared" si="0"/>
        <v>383</v>
      </c>
      <c r="C17" s="23">
        <f t="shared" si="1"/>
        <v>199</v>
      </c>
      <c r="D17" s="31">
        <f t="shared" si="2"/>
        <v>184</v>
      </c>
      <c r="E17" s="24">
        <f t="shared" si="3"/>
        <v>86</v>
      </c>
      <c r="F17" s="23">
        <v>40</v>
      </c>
      <c r="G17" s="31">
        <v>46</v>
      </c>
      <c r="H17" s="24">
        <f t="shared" si="4"/>
        <v>230</v>
      </c>
      <c r="I17" s="23">
        <v>121</v>
      </c>
      <c r="J17" s="23">
        <v>109</v>
      </c>
      <c r="K17" s="24">
        <f t="shared" si="5"/>
        <v>67</v>
      </c>
      <c r="L17" s="23">
        <v>38</v>
      </c>
      <c r="M17" s="31">
        <v>29</v>
      </c>
      <c r="N17" s="24">
        <f t="shared" si="6"/>
        <v>0</v>
      </c>
      <c r="O17" s="23">
        <v>0</v>
      </c>
      <c r="P17" s="31">
        <v>0</v>
      </c>
      <c r="Q17" s="24">
        <f t="shared" si="7"/>
        <v>0</v>
      </c>
      <c r="R17" s="23">
        <v>0</v>
      </c>
      <c r="S17" s="23">
        <v>0</v>
      </c>
    </row>
    <row r="18" spans="1:19" s="7" customFormat="1" ht="19.5" customHeight="1" x14ac:dyDescent="0.25">
      <c r="A18" s="5" t="s">
        <v>15</v>
      </c>
      <c r="B18" s="20">
        <f t="shared" si="0"/>
        <v>1232</v>
      </c>
      <c r="C18" s="23">
        <f t="shared" si="1"/>
        <v>635</v>
      </c>
      <c r="D18" s="31">
        <f t="shared" si="2"/>
        <v>597</v>
      </c>
      <c r="E18" s="24">
        <f t="shared" si="3"/>
        <v>219</v>
      </c>
      <c r="F18" s="23">
        <v>116</v>
      </c>
      <c r="G18" s="31">
        <v>103</v>
      </c>
      <c r="H18" s="24">
        <f t="shared" si="4"/>
        <v>751</v>
      </c>
      <c r="I18" s="23">
        <v>396</v>
      </c>
      <c r="J18" s="23">
        <v>355</v>
      </c>
      <c r="K18" s="24">
        <f t="shared" si="5"/>
        <v>238</v>
      </c>
      <c r="L18" s="23">
        <v>110</v>
      </c>
      <c r="M18" s="31">
        <v>128</v>
      </c>
      <c r="N18" s="24">
        <f t="shared" si="6"/>
        <v>24</v>
      </c>
      <c r="O18" s="23">
        <v>13</v>
      </c>
      <c r="P18" s="31">
        <v>11</v>
      </c>
      <c r="Q18" s="24">
        <f t="shared" si="7"/>
        <v>0</v>
      </c>
      <c r="R18" s="23">
        <v>0</v>
      </c>
      <c r="S18" s="23">
        <v>0</v>
      </c>
    </row>
    <row r="19" spans="1:19" s="7" customFormat="1" ht="19.5" customHeight="1" x14ac:dyDescent="0.25">
      <c r="A19" s="5" t="s">
        <v>16</v>
      </c>
      <c r="B19" s="20">
        <f t="shared" si="0"/>
        <v>1437</v>
      </c>
      <c r="C19" s="23">
        <f t="shared" si="1"/>
        <v>749</v>
      </c>
      <c r="D19" s="31">
        <f t="shared" si="2"/>
        <v>688</v>
      </c>
      <c r="E19" s="24">
        <f t="shared" si="3"/>
        <v>307</v>
      </c>
      <c r="F19" s="23">
        <v>167</v>
      </c>
      <c r="G19" s="31">
        <v>140</v>
      </c>
      <c r="H19" s="24">
        <f t="shared" si="4"/>
        <v>798</v>
      </c>
      <c r="I19" s="23">
        <v>416</v>
      </c>
      <c r="J19" s="23">
        <v>382</v>
      </c>
      <c r="K19" s="24">
        <f t="shared" si="5"/>
        <v>272</v>
      </c>
      <c r="L19" s="23">
        <v>141</v>
      </c>
      <c r="M19" s="31">
        <v>131</v>
      </c>
      <c r="N19" s="24">
        <f t="shared" si="6"/>
        <v>60</v>
      </c>
      <c r="O19" s="23">
        <v>25</v>
      </c>
      <c r="P19" s="31">
        <v>35</v>
      </c>
      <c r="Q19" s="24">
        <f t="shared" si="7"/>
        <v>0</v>
      </c>
      <c r="R19" s="23">
        <v>0</v>
      </c>
      <c r="S19" s="23">
        <v>0</v>
      </c>
    </row>
    <row r="20" spans="1:19" s="7" customFormat="1" ht="19.5" customHeight="1" x14ac:dyDescent="0.25">
      <c r="A20" s="5" t="s">
        <v>17</v>
      </c>
      <c r="B20" s="20">
        <f t="shared" si="0"/>
        <v>1615</v>
      </c>
      <c r="C20" s="23">
        <f t="shared" si="1"/>
        <v>795</v>
      </c>
      <c r="D20" s="31">
        <f t="shared" si="2"/>
        <v>820</v>
      </c>
      <c r="E20" s="24">
        <f t="shared" si="3"/>
        <v>297</v>
      </c>
      <c r="F20" s="23">
        <v>143</v>
      </c>
      <c r="G20" s="31">
        <v>154</v>
      </c>
      <c r="H20" s="24">
        <f t="shared" si="4"/>
        <v>967</v>
      </c>
      <c r="I20" s="23">
        <v>485</v>
      </c>
      <c r="J20" s="23">
        <v>482</v>
      </c>
      <c r="K20" s="24">
        <f t="shared" si="5"/>
        <v>312</v>
      </c>
      <c r="L20" s="23">
        <v>151</v>
      </c>
      <c r="M20" s="31">
        <v>161</v>
      </c>
      <c r="N20" s="24">
        <f t="shared" si="6"/>
        <v>39</v>
      </c>
      <c r="O20" s="23">
        <v>16</v>
      </c>
      <c r="P20" s="31">
        <v>23</v>
      </c>
      <c r="Q20" s="24">
        <f t="shared" si="7"/>
        <v>0</v>
      </c>
      <c r="R20" s="23">
        <v>0</v>
      </c>
      <c r="S20" s="23">
        <v>0</v>
      </c>
    </row>
    <row r="21" spans="1:19" s="7" customFormat="1" ht="19.5" customHeight="1" x14ac:dyDescent="0.25">
      <c r="A21" s="5" t="s">
        <v>18</v>
      </c>
      <c r="B21" s="20">
        <f t="shared" si="0"/>
        <v>2604</v>
      </c>
      <c r="C21" s="23">
        <f t="shared" si="1"/>
        <v>1323</v>
      </c>
      <c r="D21" s="31">
        <f t="shared" si="2"/>
        <v>1281</v>
      </c>
      <c r="E21" s="24">
        <f t="shared" si="3"/>
        <v>462</v>
      </c>
      <c r="F21" s="23">
        <v>228</v>
      </c>
      <c r="G21" s="31">
        <v>234</v>
      </c>
      <c r="H21" s="24">
        <f t="shared" si="4"/>
        <v>1631</v>
      </c>
      <c r="I21" s="23">
        <v>837</v>
      </c>
      <c r="J21" s="23">
        <v>794</v>
      </c>
      <c r="K21" s="24">
        <f t="shared" si="5"/>
        <v>462</v>
      </c>
      <c r="L21" s="23">
        <v>229</v>
      </c>
      <c r="M21" s="31">
        <v>233</v>
      </c>
      <c r="N21" s="24">
        <f t="shared" si="6"/>
        <v>49</v>
      </c>
      <c r="O21" s="23">
        <v>29</v>
      </c>
      <c r="P21" s="31">
        <v>20</v>
      </c>
      <c r="Q21" s="24">
        <f t="shared" si="7"/>
        <v>0</v>
      </c>
      <c r="R21" s="23">
        <v>0</v>
      </c>
      <c r="S21" s="23">
        <v>0</v>
      </c>
    </row>
    <row r="22" spans="1:19" s="7" customFormat="1" ht="19.5" customHeight="1" x14ac:dyDescent="0.25">
      <c r="A22" s="5" t="s">
        <v>10</v>
      </c>
      <c r="B22" s="20">
        <f t="shared" si="0"/>
        <v>3549</v>
      </c>
      <c r="C22" s="23">
        <f t="shared" si="1"/>
        <v>1875</v>
      </c>
      <c r="D22" s="31">
        <f t="shared" si="2"/>
        <v>1674</v>
      </c>
      <c r="E22" s="24">
        <f t="shared" si="3"/>
        <v>704</v>
      </c>
      <c r="F22" s="23">
        <v>364</v>
      </c>
      <c r="G22" s="31">
        <v>340</v>
      </c>
      <c r="H22" s="24">
        <f t="shared" si="4"/>
        <v>2087</v>
      </c>
      <c r="I22" s="23">
        <v>1122</v>
      </c>
      <c r="J22" s="23">
        <v>965</v>
      </c>
      <c r="K22" s="24">
        <f t="shared" si="5"/>
        <v>692</v>
      </c>
      <c r="L22" s="23">
        <v>362</v>
      </c>
      <c r="M22" s="31">
        <v>330</v>
      </c>
      <c r="N22" s="24">
        <f t="shared" si="6"/>
        <v>62</v>
      </c>
      <c r="O22" s="23">
        <v>27</v>
      </c>
      <c r="P22" s="31">
        <v>35</v>
      </c>
      <c r="Q22" s="24">
        <f t="shared" si="7"/>
        <v>4</v>
      </c>
      <c r="R22" s="23">
        <v>0</v>
      </c>
      <c r="S22" s="23">
        <v>4</v>
      </c>
    </row>
    <row r="23" spans="1:19" s="7" customFormat="1" ht="19.5" customHeight="1" x14ac:dyDescent="0.25">
      <c r="A23" s="5" t="s">
        <v>19</v>
      </c>
      <c r="B23" s="20">
        <f t="shared" si="0"/>
        <v>2053</v>
      </c>
      <c r="C23" s="23">
        <f t="shared" si="1"/>
        <v>1060</v>
      </c>
      <c r="D23" s="31">
        <f t="shared" si="2"/>
        <v>993</v>
      </c>
      <c r="E23" s="24">
        <f t="shared" si="3"/>
        <v>353</v>
      </c>
      <c r="F23" s="23">
        <v>179</v>
      </c>
      <c r="G23" s="31">
        <v>174</v>
      </c>
      <c r="H23" s="24">
        <f t="shared" si="4"/>
        <v>1208</v>
      </c>
      <c r="I23" s="23">
        <v>637</v>
      </c>
      <c r="J23" s="23">
        <v>571</v>
      </c>
      <c r="K23" s="24">
        <f t="shared" si="5"/>
        <v>471</v>
      </c>
      <c r="L23" s="23">
        <v>237</v>
      </c>
      <c r="M23" s="31">
        <v>234</v>
      </c>
      <c r="N23" s="24">
        <f t="shared" si="6"/>
        <v>21</v>
      </c>
      <c r="O23" s="23">
        <v>7</v>
      </c>
      <c r="P23" s="31">
        <v>14</v>
      </c>
      <c r="Q23" s="24">
        <f t="shared" si="7"/>
        <v>0</v>
      </c>
      <c r="R23" s="23">
        <v>0</v>
      </c>
      <c r="S23" s="23">
        <v>0</v>
      </c>
    </row>
    <row r="24" spans="1:19" s="7" customFormat="1" ht="19.5" customHeight="1" x14ac:dyDescent="0.25">
      <c r="A24" s="5" t="s">
        <v>20</v>
      </c>
      <c r="B24" s="20">
        <f t="shared" si="0"/>
        <v>3008</v>
      </c>
      <c r="C24" s="23">
        <f t="shared" si="1"/>
        <v>1618</v>
      </c>
      <c r="D24" s="31">
        <f t="shared" si="2"/>
        <v>1390</v>
      </c>
      <c r="E24" s="24">
        <f t="shared" si="3"/>
        <v>498</v>
      </c>
      <c r="F24" s="23">
        <v>271</v>
      </c>
      <c r="G24" s="31">
        <v>227</v>
      </c>
      <c r="H24" s="24">
        <f t="shared" si="4"/>
        <v>1789</v>
      </c>
      <c r="I24" s="23">
        <v>955</v>
      </c>
      <c r="J24" s="23">
        <v>834</v>
      </c>
      <c r="K24" s="24">
        <f t="shared" si="5"/>
        <v>665</v>
      </c>
      <c r="L24" s="23">
        <v>365</v>
      </c>
      <c r="M24" s="31">
        <v>300</v>
      </c>
      <c r="N24" s="24">
        <f t="shared" si="6"/>
        <v>51</v>
      </c>
      <c r="O24" s="23">
        <v>23</v>
      </c>
      <c r="P24" s="31">
        <v>28</v>
      </c>
      <c r="Q24" s="24">
        <f t="shared" si="7"/>
        <v>5</v>
      </c>
      <c r="R24" s="23">
        <v>4</v>
      </c>
      <c r="S24" s="23">
        <v>1</v>
      </c>
    </row>
    <row r="25" spans="1:19" s="7" customFormat="1" ht="19.5" customHeight="1" x14ac:dyDescent="0.25">
      <c r="A25" s="5" t="s">
        <v>21</v>
      </c>
      <c r="B25" s="20">
        <f t="shared" si="0"/>
        <v>2062</v>
      </c>
      <c r="C25" s="23">
        <f t="shared" si="1"/>
        <v>1026</v>
      </c>
      <c r="D25" s="31">
        <f t="shared" si="2"/>
        <v>1036</v>
      </c>
      <c r="E25" s="24">
        <f t="shared" si="3"/>
        <v>223</v>
      </c>
      <c r="F25" s="23">
        <v>106</v>
      </c>
      <c r="G25" s="31">
        <v>117</v>
      </c>
      <c r="H25" s="24">
        <f t="shared" si="4"/>
        <v>1302</v>
      </c>
      <c r="I25" s="23">
        <v>675</v>
      </c>
      <c r="J25" s="23">
        <v>627</v>
      </c>
      <c r="K25" s="24">
        <f t="shared" si="5"/>
        <v>448</v>
      </c>
      <c r="L25" s="23">
        <v>214</v>
      </c>
      <c r="M25" s="31">
        <v>234</v>
      </c>
      <c r="N25" s="24">
        <f t="shared" si="6"/>
        <v>75</v>
      </c>
      <c r="O25" s="23">
        <v>22</v>
      </c>
      <c r="P25" s="31">
        <v>53</v>
      </c>
      <c r="Q25" s="24">
        <f t="shared" si="7"/>
        <v>14</v>
      </c>
      <c r="R25" s="23">
        <v>9</v>
      </c>
      <c r="S25" s="23">
        <v>5</v>
      </c>
    </row>
    <row r="26" spans="1:19" s="7" customFormat="1" ht="19.5" customHeight="1" x14ac:dyDescent="0.25">
      <c r="A26" s="6" t="s">
        <v>5</v>
      </c>
      <c r="B26" s="37">
        <f t="shared" si="0"/>
        <v>4615</v>
      </c>
      <c r="C26" s="25">
        <f t="shared" si="1"/>
        <v>2315</v>
      </c>
      <c r="D26" s="32">
        <f t="shared" si="2"/>
        <v>2300</v>
      </c>
      <c r="E26" s="26">
        <f t="shared" si="3"/>
        <v>608</v>
      </c>
      <c r="F26" s="25">
        <v>303</v>
      </c>
      <c r="G26" s="32">
        <v>305</v>
      </c>
      <c r="H26" s="26">
        <f t="shared" si="4"/>
        <v>2586</v>
      </c>
      <c r="I26" s="25">
        <v>1324</v>
      </c>
      <c r="J26" s="25">
        <v>1262</v>
      </c>
      <c r="K26" s="26">
        <f t="shared" si="5"/>
        <v>1048</v>
      </c>
      <c r="L26" s="25">
        <v>516</v>
      </c>
      <c r="M26" s="32">
        <v>532</v>
      </c>
      <c r="N26" s="26">
        <f t="shared" si="6"/>
        <v>371</v>
      </c>
      <c r="O26" s="25">
        <v>171</v>
      </c>
      <c r="P26" s="32">
        <v>200</v>
      </c>
      <c r="Q26" s="26">
        <f t="shared" si="7"/>
        <v>2</v>
      </c>
      <c r="R26" s="25">
        <v>1</v>
      </c>
      <c r="S26" s="25">
        <v>1</v>
      </c>
    </row>
    <row r="27" spans="1:19" ht="19.5" customHeight="1" x14ac:dyDescent="0.25">
      <c r="A27" s="3" t="s">
        <v>22</v>
      </c>
      <c r="B27" s="27"/>
      <c r="C27" s="4"/>
      <c r="D27" s="4"/>
      <c r="E27" s="4"/>
      <c r="F27" s="4"/>
      <c r="G27" s="4"/>
      <c r="H27" s="27"/>
      <c r="I27" s="27"/>
      <c r="J27" s="4"/>
      <c r="K27" s="4"/>
      <c r="L27" s="4"/>
      <c r="M27" s="4"/>
      <c r="N27" s="28"/>
      <c r="O27" s="28"/>
      <c r="P27" s="29"/>
      <c r="Q27" s="8"/>
      <c r="R27" s="8"/>
      <c r="S27" s="33" t="s">
        <v>23</v>
      </c>
    </row>
    <row r="28" spans="1:19" s="2" customFormat="1" ht="19.5" customHeight="1" x14ac:dyDescent="0.2">
      <c r="L28" s="30"/>
    </row>
    <row r="32" spans="1:19" ht="19.5" customHeight="1" x14ac:dyDescent="0.2">
      <c r="Q32" s="34"/>
    </row>
  </sheetData>
  <mergeCells count="9">
    <mergeCell ref="A1:S1"/>
    <mergeCell ref="A2:S2"/>
    <mergeCell ref="A4:A5"/>
    <mergeCell ref="B4:D4"/>
    <mergeCell ref="E4:G4"/>
    <mergeCell ref="H4:J4"/>
    <mergeCell ref="K4:M4"/>
    <mergeCell ref="N4:P4"/>
    <mergeCell ref="Q4:S4"/>
  </mergeCells>
  <pageMargins left="0.7" right="0.7" top="0.75" bottom="0.75" header="0.3" footer="0.3"/>
  <pageSetup scale="4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7.11</vt:lpstr>
      <vt:lpstr>'7.11'!Print_Area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2021-07-12T03:18:02Z</cp:lastPrinted>
  <dcterms:created xsi:type="dcterms:W3CDTF">2019-02-28T08:20:57Z</dcterms:created>
  <dcterms:modified xsi:type="dcterms:W3CDTF">2021-07-12T03:18:24Z</dcterms:modified>
</cp:coreProperties>
</file>