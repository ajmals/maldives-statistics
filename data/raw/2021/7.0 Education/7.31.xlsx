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31" sheetId="32" r:id="rId1"/>
  </sheets>
  <externalReferences>
    <externalReference r:id="rId2"/>
  </externalReferences>
  <definedNames>
    <definedName name="_xlnm.Print_Area" localSheetId="0">'7.31'!$A$1:$P$20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32" l="1"/>
  <c r="K18" i="32"/>
  <c r="J18" i="32"/>
  <c r="I18" i="32"/>
  <c r="H18" i="32" s="1"/>
  <c r="G18" i="32"/>
  <c r="F18" i="32"/>
  <c r="D18" i="32"/>
  <c r="C18" i="32"/>
  <c r="N17" i="32"/>
  <c r="K17" i="32"/>
  <c r="H17" i="32"/>
  <c r="E17" i="32"/>
  <c r="B17" i="32"/>
  <c r="N16" i="32"/>
  <c r="K16" i="32"/>
  <c r="H16" i="32"/>
  <c r="E16" i="32"/>
  <c r="B16" i="32"/>
  <c r="N15" i="32"/>
  <c r="K15" i="32"/>
  <c r="H15" i="32"/>
  <c r="E15" i="32"/>
  <c r="B15" i="32"/>
  <c r="N14" i="32"/>
  <c r="K14" i="32"/>
  <c r="H14" i="32"/>
  <c r="E14" i="32"/>
  <c r="B14" i="32"/>
  <c r="N13" i="32"/>
  <c r="K13" i="32"/>
  <c r="H13" i="32"/>
  <c r="E13" i="32"/>
  <c r="B13" i="32"/>
  <c r="P12" i="32"/>
  <c r="O12" i="32"/>
  <c r="M12" i="32"/>
  <c r="L12" i="32"/>
  <c r="K12" i="32" s="1"/>
  <c r="J12" i="32"/>
  <c r="I12" i="32"/>
  <c r="G12" i="32"/>
  <c r="F12" i="32"/>
  <c r="B12" i="32"/>
  <c r="P11" i="32"/>
  <c r="O11" i="32"/>
  <c r="N11" i="32" s="1"/>
  <c r="M11" i="32"/>
  <c r="M7" i="32" s="1"/>
  <c r="L11" i="32"/>
  <c r="J11" i="32"/>
  <c r="I11" i="32"/>
  <c r="G11" i="32"/>
  <c r="F11" i="32"/>
  <c r="B11" i="32"/>
  <c r="P10" i="32"/>
  <c r="O10" i="32"/>
  <c r="L10" i="32"/>
  <c r="J10" i="32"/>
  <c r="I10" i="32"/>
  <c r="G10" i="32"/>
  <c r="F10" i="32"/>
  <c r="D10" i="32"/>
  <c r="C10" i="32"/>
  <c r="B10" i="32" s="1"/>
  <c r="N9" i="32"/>
  <c r="K9" i="32"/>
  <c r="H9" i="32"/>
  <c r="E9" i="32"/>
  <c r="B9" i="32"/>
  <c r="N8" i="32"/>
  <c r="K8" i="32"/>
  <c r="J8" i="32"/>
  <c r="I8" i="32"/>
  <c r="G8" i="32"/>
  <c r="F8" i="32"/>
  <c r="D8" i="32"/>
  <c r="C8" i="32"/>
  <c r="B8" i="32" l="1"/>
  <c r="B7" i="32" s="1"/>
  <c r="E12" i="32"/>
  <c r="D7" i="32"/>
  <c r="H10" i="32"/>
  <c r="H11" i="32"/>
  <c r="B18" i="32"/>
  <c r="E18" i="32"/>
  <c r="I7" i="32"/>
  <c r="J7" i="32"/>
  <c r="P7" i="32"/>
  <c r="E10" i="32"/>
  <c r="H12" i="32"/>
  <c r="L7" i="32"/>
  <c r="F7" i="32"/>
  <c r="H8" i="32"/>
  <c r="K10" i="32"/>
  <c r="G7" i="32"/>
  <c r="O7" i="32"/>
  <c r="E11" i="32"/>
  <c r="K11" i="32"/>
  <c r="N12" i="32"/>
  <c r="E8" i="32"/>
  <c r="N10" i="32"/>
  <c r="C7" i="32"/>
  <c r="N7" i="32" l="1"/>
  <c r="K7" i="32"/>
  <c r="H7" i="32"/>
  <c r="E7" i="32" l="1"/>
</calcChain>
</file>

<file path=xl/sharedStrings.xml><?xml version="1.0" encoding="utf-8"?>
<sst xmlns="http://schemas.openxmlformats.org/spreadsheetml/2006/main" count="24" uniqueCount="12">
  <si>
    <t>Total</t>
  </si>
  <si>
    <t>Male</t>
  </si>
  <si>
    <t>Female</t>
  </si>
  <si>
    <t>Both sexes</t>
  </si>
  <si>
    <t>Total Enrollment</t>
  </si>
  <si>
    <t>Graduate Output</t>
  </si>
  <si>
    <t xml:space="preserve">Dropout </t>
  </si>
  <si>
    <t>MNQF Level</t>
  </si>
  <si>
    <t>Repeat</t>
  </si>
  <si>
    <t>Other trainings</t>
  </si>
  <si>
    <t xml:space="preserve">Source: Ministry of Higher Education </t>
  </si>
  <si>
    <t>TABLE 7.31: HIGHER EDUCATION ENROLLMENT  BY LEVELS OF MALDIVES NATIONAL QUALIFICATIONS FRAMEWORK,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</si>
</sst>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2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0" fontId="5" fillId="2" borderId="0" xfId="12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3:P19"/>
  <sheetViews>
    <sheetView tabSelected="1" zoomScaleNormal="100" workbookViewId="0">
      <selection activeCell="T8" sqref="T8"/>
    </sheetView>
  </sheetViews>
  <sheetFormatPr defaultColWidth="9.140625" defaultRowHeight="15" x14ac:dyDescent="0.25"/>
  <cols>
    <col min="1" max="1" width="18" style="1" customWidth="1"/>
    <col min="2" max="16" width="11.28515625" style="4" customWidth="1"/>
    <col min="17" max="16384" width="9.140625" style="1"/>
  </cols>
  <sheetData>
    <row r="3" spans="1:16" x14ac:dyDescent="0.25">
      <c r="A3" s="19" t="s">
        <v>11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5" spans="1:16" ht="15" customHeight="1" x14ac:dyDescent="0.25">
      <c r="A5" s="20" t="s">
        <v>7</v>
      </c>
      <c r="B5" s="22">
        <v>2019</v>
      </c>
      <c r="C5" s="22"/>
      <c r="D5" s="22"/>
      <c r="E5" s="23" t="s">
        <v>4</v>
      </c>
      <c r="F5" s="22"/>
      <c r="G5" s="24"/>
      <c r="H5" s="22" t="s">
        <v>5</v>
      </c>
      <c r="I5" s="22"/>
      <c r="J5" s="22"/>
      <c r="K5" s="23" t="s">
        <v>8</v>
      </c>
      <c r="L5" s="22"/>
      <c r="M5" s="24"/>
      <c r="N5" s="22" t="s">
        <v>6</v>
      </c>
      <c r="O5" s="22"/>
      <c r="P5" s="22"/>
    </row>
    <row r="6" spans="1:16" x14ac:dyDescent="0.25">
      <c r="A6" s="21"/>
      <c r="B6" s="7" t="s">
        <v>3</v>
      </c>
      <c r="C6" s="2" t="s">
        <v>1</v>
      </c>
      <c r="D6" s="17" t="s">
        <v>2</v>
      </c>
      <c r="E6" s="7" t="s">
        <v>3</v>
      </c>
      <c r="F6" s="2" t="s">
        <v>1</v>
      </c>
      <c r="G6" s="17" t="s">
        <v>2</v>
      </c>
      <c r="H6" s="7" t="s">
        <v>3</v>
      </c>
      <c r="I6" s="2" t="s">
        <v>1</v>
      </c>
      <c r="J6" s="17" t="s">
        <v>2</v>
      </c>
      <c r="K6" s="7" t="s">
        <v>3</v>
      </c>
      <c r="L6" s="2" t="s">
        <v>1</v>
      </c>
      <c r="M6" s="17" t="s">
        <v>2</v>
      </c>
      <c r="N6" s="7" t="s">
        <v>3</v>
      </c>
      <c r="O6" s="2" t="s">
        <v>1</v>
      </c>
      <c r="P6" s="2" t="s">
        <v>2</v>
      </c>
    </row>
    <row r="7" spans="1:16" x14ac:dyDescent="0.25">
      <c r="A7" s="16" t="s">
        <v>0</v>
      </c>
      <c r="B7" s="13">
        <f>SUM(B8:B18)</f>
        <v>13999</v>
      </c>
      <c r="C7" s="13">
        <f>SUM(C8:C18)</f>
        <v>5803</v>
      </c>
      <c r="D7" s="13">
        <f>SUM(D8:D18)</f>
        <v>8196</v>
      </c>
      <c r="E7" s="14">
        <f>SUM(E8:E19)</f>
        <v>19969</v>
      </c>
      <c r="F7" s="13">
        <f>SUM(F8:F18)</f>
        <v>7257</v>
      </c>
      <c r="G7" s="15">
        <f>SUM(G8:G18)</f>
        <v>12712</v>
      </c>
      <c r="H7" s="13">
        <f>SUM(H8:H18)</f>
        <v>5340</v>
      </c>
      <c r="I7" s="13">
        <f>SUM(I8:I18)</f>
        <v>1990</v>
      </c>
      <c r="J7" s="13">
        <f>SUM(J8:J18)</f>
        <v>3350</v>
      </c>
      <c r="K7" s="14">
        <f>SUM(K8:K18)</f>
        <v>3039</v>
      </c>
      <c r="L7" s="13">
        <f>SUM(L8:L18)</f>
        <v>1112</v>
      </c>
      <c r="M7" s="15">
        <f>SUM(M8:M18)</f>
        <v>1927</v>
      </c>
      <c r="N7" s="13">
        <f>SUM(N8:N18)</f>
        <v>1433</v>
      </c>
      <c r="O7" s="13">
        <f>SUM(O8:O18)</f>
        <v>624</v>
      </c>
      <c r="P7" s="13">
        <f>SUM(P8:P18)</f>
        <v>809</v>
      </c>
    </row>
    <row r="8" spans="1:16" x14ac:dyDescent="0.25">
      <c r="A8" s="11">
        <v>1</v>
      </c>
      <c r="B8" s="6">
        <f t="shared" ref="B8:B18" si="0">SUM(C8:D8)</f>
        <v>334</v>
      </c>
      <c r="C8" s="6">
        <f>76-10</f>
        <v>66</v>
      </c>
      <c r="D8" s="6">
        <f>270-2</f>
        <v>268</v>
      </c>
      <c r="E8" s="8">
        <f t="shared" ref="E8:E18" si="1">SUM(F8:G8)</f>
        <v>333</v>
      </c>
      <c r="F8" s="6">
        <f>75-10</f>
        <v>65</v>
      </c>
      <c r="G8" s="9">
        <f>270-2</f>
        <v>268</v>
      </c>
      <c r="H8" s="6">
        <f t="shared" ref="H8:H18" si="2">SUM(I8:J8)</f>
        <v>115</v>
      </c>
      <c r="I8" s="6">
        <f>37-10</f>
        <v>27</v>
      </c>
      <c r="J8" s="6">
        <f>90-2</f>
        <v>88</v>
      </c>
      <c r="K8" s="8">
        <f t="shared" ref="K8:K18" si="3">SUM(L8:M8)</f>
        <v>0</v>
      </c>
      <c r="L8" s="6">
        <v>0</v>
      </c>
      <c r="M8" s="9">
        <v>0</v>
      </c>
      <c r="N8" s="6">
        <f t="shared" ref="N8:N18" si="4">SUM(O8:P8)</f>
        <v>14</v>
      </c>
      <c r="O8" s="6">
        <v>2</v>
      </c>
      <c r="P8" s="6">
        <v>12</v>
      </c>
    </row>
    <row r="9" spans="1:16" x14ac:dyDescent="0.25">
      <c r="A9" s="11">
        <v>2</v>
      </c>
      <c r="B9" s="6">
        <f t="shared" si="0"/>
        <v>83</v>
      </c>
      <c r="C9" s="6">
        <v>13</v>
      </c>
      <c r="D9" s="6">
        <v>70</v>
      </c>
      <c r="E9" s="8">
        <f t="shared" si="1"/>
        <v>83</v>
      </c>
      <c r="F9" s="6">
        <v>13</v>
      </c>
      <c r="G9" s="9">
        <v>70</v>
      </c>
      <c r="H9" s="6">
        <f t="shared" si="2"/>
        <v>48</v>
      </c>
      <c r="I9" s="6">
        <v>4</v>
      </c>
      <c r="J9" s="6">
        <v>44</v>
      </c>
      <c r="K9" s="8">
        <f t="shared" si="3"/>
        <v>0</v>
      </c>
      <c r="L9" s="6">
        <v>0</v>
      </c>
      <c r="M9" s="9">
        <v>0</v>
      </c>
      <c r="N9" s="6">
        <f t="shared" si="4"/>
        <v>8</v>
      </c>
      <c r="O9" s="6">
        <v>0</v>
      </c>
      <c r="P9" s="6">
        <v>8</v>
      </c>
    </row>
    <row r="10" spans="1:16" x14ac:dyDescent="0.25">
      <c r="A10" s="11">
        <v>3</v>
      </c>
      <c r="B10" s="6">
        <f t="shared" si="0"/>
        <v>1437</v>
      </c>
      <c r="C10" s="6">
        <f>800-80</f>
        <v>720</v>
      </c>
      <c r="D10" s="6">
        <f>804-87</f>
        <v>717</v>
      </c>
      <c r="E10" s="8">
        <f t="shared" si="1"/>
        <v>1319</v>
      </c>
      <c r="F10" s="6">
        <f>442-80+420</f>
        <v>782</v>
      </c>
      <c r="G10" s="9">
        <f>549-87+75</f>
        <v>537</v>
      </c>
      <c r="H10" s="6">
        <f t="shared" si="2"/>
        <v>567</v>
      </c>
      <c r="I10" s="6">
        <f>213-71+207</f>
        <v>349</v>
      </c>
      <c r="J10" s="6">
        <f>264-79+33</f>
        <v>218</v>
      </c>
      <c r="K10" s="8">
        <f t="shared" si="3"/>
        <v>82</v>
      </c>
      <c r="L10" s="6">
        <f>23+24</f>
        <v>47</v>
      </c>
      <c r="M10" s="9">
        <v>35</v>
      </c>
      <c r="N10" s="6">
        <f t="shared" si="4"/>
        <v>189</v>
      </c>
      <c r="O10" s="6">
        <f>40-9+101</f>
        <v>132</v>
      </c>
      <c r="P10" s="6">
        <f>51-8+14</f>
        <v>57</v>
      </c>
    </row>
    <row r="11" spans="1:16" x14ac:dyDescent="0.25">
      <c r="A11" s="11">
        <v>4</v>
      </c>
      <c r="B11" s="6">
        <f t="shared" si="0"/>
        <v>3567</v>
      </c>
      <c r="C11" s="6">
        <v>1571</v>
      </c>
      <c r="D11" s="6">
        <v>1996</v>
      </c>
      <c r="E11" s="8">
        <f t="shared" si="1"/>
        <v>4371</v>
      </c>
      <c r="F11" s="6">
        <f>1580+306</f>
        <v>1886</v>
      </c>
      <c r="G11" s="9">
        <f>2433+52</f>
        <v>2485</v>
      </c>
      <c r="H11" s="6">
        <f t="shared" si="2"/>
        <v>998</v>
      </c>
      <c r="I11" s="6">
        <f>355+42</f>
        <v>397</v>
      </c>
      <c r="J11" s="6">
        <f>594+7</f>
        <v>601</v>
      </c>
      <c r="K11" s="8">
        <f t="shared" si="3"/>
        <v>524</v>
      </c>
      <c r="L11" s="6">
        <f>162+71</f>
        <v>233</v>
      </c>
      <c r="M11" s="9">
        <f>282+9</f>
        <v>291</v>
      </c>
      <c r="N11" s="6">
        <f t="shared" si="4"/>
        <v>377</v>
      </c>
      <c r="O11" s="6">
        <f>111+76</f>
        <v>187</v>
      </c>
      <c r="P11" s="6">
        <f>169+21</f>
        <v>190</v>
      </c>
    </row>
    <row r="12" spans="1:16" x14ac:dyDescent="0.25">
      <c r="A12" s="11">
        <v>5</v>
      </c>
      <c r="B12" s="6">
        <f t="shared" si="0"/>
        <v>1378</v>
      </c>
      <c r="C12" s="6">
        <v>440</v>
      </c>
      <c r="D12" s="6">
        <v>938</v>
      </c>
      <c r="E12" s="8">
        <f t="shared" si="1"/>
        <v>2481</v>
      </c>
      <c r="F12" s="6">
        <f>598+116</f>
        <v>714</v>
      </c>
      <c r="G12" s="9">
        <f>1593+174</f>
        <v>1767</v>
      </c>
      <c r="H12" s="6">
        <f t="shared" si="2"/>
        <v>989</v>
      </c>
      <c r="I12" s="6">
        <f>281+14</f>
        <v>295</v>
      </c>
      <c r="J12" s="6">
        <f>689+5</f>
        <v>694</v>
      </c>
      <c r="K12" s="8">
        <f t="shared" si="3"/>
        <v>363</v>
      </c>
      <c r="L12" s="6">
        <f>88+9</f>
        <v>97</v>
      </c>
      <c r="M12" s="9">
        <f>259+7</f>
        <v>266</v>
      </c>
      <c r="N12" s="6">
        <f t="shared" si="4"/>
        <v>283</v>
      </c>
      <c r="O12" s="6">
        <f>66+31</f>
        <v>97</v>
      </c>
      <c r="P12" s="6">
        <f>108+78</f>
        <v>186</v>
      </c>
    </row>
    <row r="13" spans="1:16" x14ac:dyDescent="0.25">
      <c r="A13" s="11">
        <v>6</v>
      </c>
      <c r="B13" s="6">
        <f t="shared" si="0"/>
        <v>328</v>
      </c>
      <c r="C13" s="6">
        <v>110</v>
      </c>
      <c r="D13" s="6">
        <v>218</v>
      </c>
      <c r="E13" s="8">
        <f t="shared" si="1"/>
        <v>651</v>
      </c>
      <c r="F13" s="6">
        <v>182</v>
      </c>
      <c r="G13" s="9">
        <v>469</v>
      </c>
      <c r="H13" s="6">
        <f t="shared" si="2"/>
        <v>184</v>
      </c>
      <c r="I13" s="6">
        <v>57</v>
      </c>
      <c r="J13" s="6">
        <v>127</v>
      </c>
      <c r="K13" s="8">
        <f t="shared" si="3"/>
        <v>32</v>
      </c>
      <c r="L13" s="6">
        <v>14</v>
      </c>
      <c r="M13" s="9">
        <v>18</v>
      </c>
      <c r="N13" s="6">
        <f t="shared" si="4"/>
        <v>100</v>
      </c>
      <c r="O13" s="6">
        <v>29</v>
      </c>
      <c r="P13" s="6">
        <v>71</v>
      </c>
    </row>
    <row r="14" spans="1:16" x14ac:dyDescent="0.25">
      <c r="A14" s="11">
        <v>7</v>
      </c>
      <c r="B14" s="6">
        <f t="shared" si="0"/>
        <v>4462</v>
      </c>
      <c r="C14" s="6">
        <v>1905</v>
      </c>
      <c r="D14" s="6">
        <v>2557</v>
      </c>
      <c r="E14" s="8">
        <f t="shared" si="1"/>
        <v>7974</v>
      </c>
      <c r="F14" s="6">
        <v>2600</v>
      </c>
      <c r="G14" s="9">
        <v>5374</v>
      </c>
      <c r="H14" s="6">
        <f t="shared" si="2"/>
        <v>1521</v>
      </c>
      <c r="I14" s="6">
        <v>511</v>
      </c>
      <c r="J14" s="6">
        <v>1010</v>
      </c>
      <c r="K14" s="8">
        <f t="shared" si="3"/>
        <v>1671</v>
      </c>
      <c r="L14" s="6">
        <v>587</v>
      </c>
      <c r="M14" s="9">
        <v>1084</v>
      </c>
      <c r="N14" s="6">
        <f t="shared" si="4"/>
        <v>291</v>
      </c>
      <c r="O14" s="6">
        <v>112</v>
      </c>
      <c r="P14" s="6">
        <v>179</v>
      </c>
    </row>
    <row r="15" spans="1:16" x14ac:dyDescent="0.25">
      <c r="A15" s="11">
        <v>8</v>
      </c>
      <c r="B15" s="6">
        <f t="shared" si="0"/>
        <v>289</v>
      </c>
      <c r="C15" s="6">
        <v>108</v>
      </c>
      <c r="D15" s="6">
        <v>181</v>
      </c>
      <c r="E15" s="8">
        <f t="shared" si="1"/>
        <v>265</v>
      </c>
      <c r="F15" s="6">
        <v>69</v>
      </c>
      <c r="G15" s="9">
        <v>196</v>
      </c>
      <c r="H15" s="6">
        <f t="shared" si="2"/>
        <v>225</v>
      </c>
      <c r="I15" s="6">
        <v>77</v>
      </c>
      <c r="J15" s="6">
        <v>148</v>
      </c>
      <c r="K15" s="8">
        <f t="shared" si="3"/>
        <v>11</v>
      </c>
      <c r="L15" s="6">
        <v>7</v>
      </c>
      <c r="M15" s="9">
        <v>4</v>
      </c>
      <c r="N15" s="6">
        <f t="shared" si="4"/>
        <v>13</v>
      </c>
      <c r="O15" s="6">
        <v>7</v>
      </c>
      <c r="P15" s="6">
        <v>6</v>
      </c>
    </row>
    <row r="16" spans="1:16" x14ac:dyDescent="0.25">
      <c r="A16" s="11">
        <v>9</v>
      </c>
      <c r="B16" s="6">
        <f t="shared" si="0"/>
        <v>1447</v>
      </c>
      <c r="C16" s="6">
        <v>551</v>
      </c>
      <c r="D16" s="6">
        <v>896</v>
      </c>
      <c r="E16" s="8">
        <f t="shared" si="1"/>
        <v>1834</v>
      </c>
      <c r="F16" s="6">
        <v>638</v>
      </c>
      <c r="G16" s="9">
        <v>1196</v>
      </c>
      <c r="H16" s="6">
        <f t="shared" si="2"/>
        <v>633</v>
      </c>
      <c r="I16" s="6">
        <v>259</v>
      </c>
      <c r="J16" s="6">
        <v>374</v>
      </c>
      <c r="K16" s="8">
        <f t="shared" si="3"/>
        <v>140</v>
      </c>
      <c r="L16" s="6">
        <v>50</v>
      </c>
      <c r="M16" s="9">
        <v>90</v>
      </c>
      <c r="N16" s="6">
        <f t="shared" si="4"/>
        <v>136</v>
      </c>
      <c r="O16" s="6">
        <v>47</v>
      </c>
      <c r="P16" s="6">
        <v>89</v>
      </c>
    </row>
    <row r="17" spans="1:16" x14ac:dyDescent="0.25">
      <c r="A17" s="11">
        <v>10</v>
      </c>
      <c r="B17" s="6">
        <f t="shared" si="0"/>
        <v>20</v>
      </c>
      <c r="C17" s="6">
        <v>17</v>
      </c>
      <c r="D17" s="6">
        <v>3</v>
      </c>
      <c r="E17" s="8">
        <f t="shared" si="1"/>
        <v>26</v>
      </c>
      <c r="F17" s="6">
        <v>22</v>
      </c>
      <c r="G17" s="9">
        <v>4</v>
      </c>
      <c r="H17" s="6">
        <f t="shared" si="2"/>
        <v>0</v>
      </c>
      <c r="I17" s="6">
        <v>0</v>
      </c>
      <c r="J17" s="6">
        <v>0</v>
      </c>
      <c r="K17" s="8">
        <f t="shared" si="3"/>
        <v>0</v>
      </c>
      <c r="L17" s="6">
        <v>0</v>
      </c>
      <c r="M17" s="9">
        <v>0</v>
      </c>
      <c r="N17" s="6">
        <f t="shared" si="4"/>
        <v>0</v>
      </c>
      <c r="O17" s="6">
        <v>0</v>
      </c>
      <c r="P17" s="6">
        <v>0</v>
      </c>
    </row>
    <row r="18" spans="1:16" x14ac:dyDescent="0.25">
      <c r="A18" s="12" t="s">
        <v>9</v>
      </c>
      <c r="B18" s="3">
        <f t="shared" si="0"/>
        <v>654</v>
      </c>
      <c r="C18" s="3">
        <f>312-10</f>
        <v>302</v>
      </c>
      <c r="D18" s="3">
        <f>354-2</f>
        <v>352</v>
      </c>
      <c r="E18" s="10">
        <f t="shared" si="1"/>
        <v>632</v>
      </c>
      <c r="F18" s="3">
        <f>296-10</f>
        <v>286</v>
      </c>
      <c r="G18" s="5">
        <f>348-2</f>
        <v>346</v>
      </c>
      <c r="H18" s="3">
        <f t="shared" si="2"/>
        <v>60</v>
      </c>
      <c r="I18" s="3">
        <f>24-10</f>
        <v>14</v>
      </c>
      <c r="J18" s="3">
        <f>48-2</f>
        <v>46</v>
      </c>
      <c r="K18" s="10">
        <f t="shared" si="3"/>
        <v>216</v>
      </c>
      <c r="L18" s="3">
        <v>77</v>
      </c>
      <c r="M18" s="5">
        <v>139</v>
      </c>
      <c r="N18" s="3">
        <f t="shared" si="4"/>
        <v>22</v>
      </c>
      <c r="O18" s="3">
        <v>11</v>
      </c>
      <c r="P18" s="3">
        <v>11</v>
      </c>
    </row>
    <row r="19" spans="1:16" x14ac:dyDescent="0.25">
      <c r="A19" s="18" t="s">
        <v>10</v>
      </c>
      <c r="B19" s="18"/>
      <c r="C19" s="18"/>
      <c r="D19" s="18"/>
    </row>
  </sheetData>
  <mergeCells count="8">
    <mergeCell ref="A3:P3"/>
    <mergeCell ref="A19:D19"/>
    <mergeCell ref="A5:A6"/>
    <mergeCell ref="B5:D5"/>
    <mergeCell ref="E5:G5"/>
    <mergeCell ref="H5:J5"/>
    <mergeCell ref="K5:M5"/>
    <mergeCell ref="N5:P5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7.31</vt:lpstr>
      <vt:lpstr>'7.31'!Print_Area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2021-09-23T05:05:45Z</cp:lastPrinted>
  <dcterms:created xsi:type="dcterms:W3CDTF">2019-02-28T08:20:57Z</dcterms:created>
  <dcterms:modified xsi:type="dcterms:W3CDTF">2021-09-23T05:05:53Z</dcterms:modified>
</cp:coreProperties>
</file>