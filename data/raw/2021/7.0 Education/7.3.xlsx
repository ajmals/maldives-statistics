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3" sheetId="3" r:id="rId1"/>
  </sheets>
  <definedNames>
    <definedName name="_xlnm.Print_Area" localSheetId="0">'7.3'!$A$1:$S$33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C10" i="3" l="1"/>
  <c r="R30" i="3" l="1"/>
  <c r="N30" i="3"/>
  <c r="J30" i="3"/>
  <c r="B30" i="3"/>
  <c r="R29" i="3"/>
  <c r="N29" i="3"/>
  <c r="J29" i="3"/>
  <c r="B29" i="3"/>
  <c r="R28" i="3"/>
  <c r="N28" i="3"/>
  <c r="J28" i="3"/>
  <c r="B28" i="3"/>
  <c r="R27" i="3"/>
  <c r="N27" i="3"/>
  <c r="J27" i="3"/>
  <c r="B27" i="3"/>
  <c r="R26" i="3"/>
  <c r="N26" i="3"/>
  <c r="J26" i="3"/>
  <c r="B26" i="3"/>
  <c r="R25" i="3"/>
  <c r="N25" i="3"/>
  <c r="J25" i="3"/>
  <c r="B25" i="3"/>
  <c r="R24" i="3"/>
  <c r="N24" i="3"/>
  <c r="J24" i="3"/>
  <c r="B24" i="3"/>
  <c r="R23" i="3"/>
  <c r="N23" i="3"/>
  <c r="J23" i="3"/>
  <c r="B23" i="3"/>
  <c r="R22" i="3"/>
  <c r="N22" i="3"/>
  <c r="J22" i="3"/>
  <c r="B22" i="3"/>
  <c r="N21" i="3"/>
  <c r="J21" i="3"/>
  <c r="B21" i="3"/>
  <c r="N20" i="3"/>
  <c r="J20" i="3"/>
  <c r="B20" i="3"/>
  <c r="R19" i="3"/>
  <c r="N19" i="3"/>
  <c r="J19" i="3"/>
  <c r="B19" i="3"/>
  <c r="N18" i="3"/>
  <c r="J18" i="3"/>
  <c r="B18" i="3"/>
  <c r="R17" i="3"/>
  <c r="N17" i="3"/>
  <c r="J17" i="3"/>
  <c r="B17" i="3"/>
  <c r="R16" i="3"/>
  <c r="N16" i="3"/>
  <c r="J16" i="3"/>
  <c r="B16" i="3"/>
  <c r="R15" i="3"/>
  <c r="N15" i="3"/>
  <c r="J15" i="3"/>
  <c r="B15" i="3"/>
  <c r="R14" i="3"/>
  <c r="N14" i="3"/>
  <c r="J14" i="3"/>
  <c r="B14" i="3"/>
  <c r="R13" i="3"/>
  <c r="N13" i="3"/>
  <c r="J13" i="3"/>
  <c r="B13" i="3"/>
  <c r="R12" i="3"/>
  <c r="N12" i="3"/>
  <c r="J12" i="3"/>
  <c r="B12" i="3"/>
  <c r="R11" i="3"/>
  <c r="N11" i="3"/>
  <c r="J11" i="3"/>
  <c r="B11" i="3"/>
  <c r="Q10" i="3"/>
  <c r="P10" i="3"/>
  <c r="O10" i="3"/>
  <c r="O8" i="3" s="1"/>
  <c r="M10" i="3"/>
  <c r="M8" i="3" s="1"/>
  <c r="L10" i="3"/>
  <c r="K10" i="3"/>
  <c r="K8" i="3" s="1"/>
  <c r="I10" i="3"/>
  <c r="I8" i="3" s="1"/>
  <c r="H10" i="3"/>
  <c r="H8" i="3" s="1"/>
  <c r="G10" i="3"/>
  <c r="G8" i="3" s="1"/>
  <c r="E10" i="3"/>
  <c r="E8" i="3" s="1"/>
  <c r="D10" i="3"/>
  <c r="R9" i="3"/>
  <c r="N9" i="3"/>
  <c r="J9" i="3"/>
  <c r="F9" i="3"/>
  <c r="Q8" i="3"/>
  <c r="P8" i="3"/>
  <c r="F8" i="3" l="1"/>
  <c r="R8" i="3"/>
  <c r="N10" i="3"/>
  <c r="J10" i="3"/>
  <c r="J8" i="3"/>
  <c r="R10" i="3"/>
  <c r="B10" i="3"/>
  <c r="B8" i="3" s="1"/>
  <c r="L8" i="3"/>
  <c r="N8" i="3" s="1"/>
  <c r="D8" i="3"/>
  <c r="F10" i="3"/>
</calcChain>
</file>

<file path=xl/sharedStrings.xml><?xml version="1.0" encoding="utf-8"?>
<sst xmlns="http://schemas.openxmlformats.org/spreadsheetml/2006/main" count="97" uniqueCount="72">
  <si>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</si>
  <si>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</si>
  <si>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</si>
  <si>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</si>
  <si>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</si>
  <si>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</si>
  <si>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</si>
  <si>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</si>
  <si>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</si>
  <si>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</si>
  <si>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</si>
  <si>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</si>
  <si>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</si>
  <si>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</si>
  <si>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</si>
  <si>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</si>
  <si>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</si>
  <si>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</si>
  <si>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</si>
  <si>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</si>
  <si>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</si>
  <si>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</si>
  <si>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</si>
  <si>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</si>
  <si>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</si>
  <si>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</si>
  <si>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</si>
  <si>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</si>
  <si>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</si>
  <si>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</si>
  <si>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</si>
  <si>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</si>
  <si>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</si>
  <si>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</si>
  <si>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</si>
  <si>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</si>
  <si>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</si>
  <si>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</si>
  <si>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</si>
  <si>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</si>
  <si>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</si>
  <si>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</si>
  <si>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</si>
  <si>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cnwxEkuaiDea cfoa IrcTcsinim :ctWrwf ivcaed utWmUluAwm</t>
  </si>
  <si>
    <t>Both Sexes</t>
  </si>
  <si>
    <t>Pre - Primary</t>
  </si>
  <si>
    <t>Locality</t>
  </si>
  <si>
    <t>clUkcsIrcp</t>
  </si>
  <si>
    <t>umIluAwtWSwf</t>
  </si>
  <si>
    <t>umIluAwtIvwnWX</t>
  </si>
  <si>
    <t>umIluAwtIvwnWXItwm</t>
  </si>
  <si>
    <t xml:space="preserve"> Primary Level </t>
  </si>
  <si>
    <t>Lower Secondary Level</t>
  </si>
  <si>
    <t>Higher Secondary Level</t>
  </si>
  <si>
    <t>egcnidukWvwyik udwdwA</t>
  </si>
  <si>
    <t>udwdwa egclUkcs</t>
  </si>
  <si>
    <t>cscnijed</t>
  </si>
  <si>
    <t>ccnehcnwa</t>
  </si>
  <si>
    <t xml:space="preserve">cnehcnwa cnia wtcawscnia  </t>
  </si>
  <si>
    <t xml:space="preserve">cnehcnwa cniawtcawscnia  </t>
  </si>
  <si>
    <t>cnwt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</si>
  <si>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</si>
  <si>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 .of schools</t>
  </si>
  <si>
    <t>Females</t>
  </si>
  <si>
    <t>% of Females</t>
  </si>
  <si>
    <t xml:space="preserve">Both Sexes </t>
  </si>
  <si>
    <t>Note: Sum of schools in this table does not add up to total number of schools as schools overlap in levels</t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</si>
  <si>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</si>
  <si>
    <t xml:space="preserve">ޚާއްސަ އެހީއަށް ބޭނުންވާ ކްލާސްތަކުގައި ކިޔަވާ ކުދިން ނުހިމެނޭނެއެވެ. </t>
  </si>
  <si>
    <t>Source : Ministry of Education</t>
  </si>
  <si>
    <t xml:space="preserve">2020 ,cnikwwv cscnij udwdwA egcnidukWvwyik iawgunwtcnwtea iaWnwtcnwtEdWvwyiik cSwkwtitcnwfikea iruh iawgukwtuLotwa iaWaelWm :7.3 clwvWt </t>
  </si>
  <si>
    <t>Table 7.3: STUDENT ENROLMENT IN MALE' AND ATOLLS BY TYPE OF  LEVEL AND INSTITUTION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</si>
</sst>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_Randhoo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sz val="9"/>
      <color theme="1"/>
      <name val="Win Ahamedey PRB"/>
      <family val="2"/>
    </font>
    <font>
      <sz val="9"/>
      <color theme="1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9"/>
      <color theme="1"/>
      <name val="Courier"/>
      <family val="3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Faruma"/>
    </font>
    <font>
      <sz val="8"/>
      <color theme="1"/>
      <name val="A_Randhoo"/>
    </font>
    <font>
      <i/>
      <vertAlign val="superscript"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vertAlign val="superscript"/>
      <sz val="11"/>
      <color theme="1"/>
      <name val="Faruma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9"/>
      <color theme="1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167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2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94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>
      <alignment vertic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3" fontId="10" fillId="2" borderId="2" xfId="2" applyNumberFormat="1" applyFont="1" applyFill="1" applyBorder="1"/>
    <xf numFmtId="3" fontId="12" fillId="2" borderId="0" xfId="2" applyNumberFormat="1" applyFont="1" applyFill="1" applyBorder="1"/>
    <xf numFmtId="164" fontId="13" fillId="2" borderId="0" xfId="0" applyNumberFormat="1" applyFont="1" applyFill="1"/>
    <xf numFmtId="164" fontId="13" fillId="2" borderId="0" xfId="0" applyNumberFormat="1" applyFont="1" applyFill="1" applyAlignment="1">
      <alignment vertical="top"/>
    </xf>
    <xf numFmtId="3" fontId="9" fillId="2" borderId="1" xfId="2" applyNumberFormat="1" applyFont="1" applyFill="1" applyBorder="1" applyAlignment="1">
      <alignment horizontal="right" textRotation="90" wrapText="1"/>
    </xf>
    <xf numFmtId="3" fontId="9" fillId="2" borderId="10" xfId="2" applyNumberFormat="1" applyFont="1" applyFill="1" applyBorder="1" applyAlignment="1">
      <alignment horizontal="center" textRotation="90" wrapText="1"/>
    </xf>
    <xf numFmtId="3" fontId="9" fillId="2" borderId="6" xfId="2" applyNumberFormat="1" applyFont="1" applyFill="1" applyBorder="1" applyAlignment="1">
      <alignment horizontal="center" textRotation="90" wrapText="1"/>
    </xf>
    <xf numFmtId="164" fontId="15" fillId="2" borderId="0" xfId="0" applyNumberFormat="1" applyFont="1" applyFill="1" applyAlignment="1">
      <alignment wrapText="1"/>
    </xf>
    <xf numFmtId="3" fontId="9" fillId="2" borderId="0" xfId="2" applyNumberFormat="1" applyFont="1" applyFill="1"/>
    <xf numFmtId="38" fontId="9" fillId="2" borderId="8" xfId="1" applyNumberFormat="1" applyFont="1" applyFill="1" applyBorder="1" applyAlignment="1">
      <alignment horizontal="right"/>
    </xf>
    <xf numFmtId="38" fontId="9" fillId="2" borderId="9" xfId="1" applyNumberFormat="1" applyFont="1" applyFill="1" applyBorder="1" applyAlignment="1">
      <alignment horizontal="right"/>
    </xf>
    <xf numFmtId="38" fontId="9" fillId="2" borderId="2" xfId="1" applyNumberFormat="1" applyFont="1" applyFill="1" applyBorder="1" applyAlignment="1">
      <alignment horizontal="right"/>
    </xf>
    <xf numFmtId="164" fontId="16" fillId="2" borderId="0" xfId="0" applyNumberFormat="1" applyFont="1" applyFill="1"/>
    <xf numFmtId="3" fontId="9" fillId="2" borderId="0" xfId="2" applyNumberFormat="1" applyFont="1" applyFill="1" applyAlignment="1"/>
    <xf numFmtId="38" fontId="9" fillId="2" borderId="11" xfId="1" applyNumberFormat="1" applyFont="1" applyFill="1" applyBorder="1"/>
    <xf numFmtId="38" fontId="9" fillId="2" borderId="0" xfId="1" applyNumberFormat="1" applyFont="1" applyFill="1" applyBorder="1"/>
    <xf numFmtId="38" fontId="9" fillId="2" borderId="11" xfId="1" applyNumberFormat="1" applyFont="1" applyFill="1" applyBorder="1" applyAlignment="1">
      <alignment horizontal="right"/>
    </xf>
    <xf numFmtId="38" fontId="9" fillId="2" borderId="3" xfId="1" applyNumberFormat="1" applyFont="1" applyFill="1" applyBorder="1" applyAlignment="1">
      <alignment horizontal="right"/>
    </xf>
    <xf numFmtId="38" fontId="9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Alignment="1" applyProtection="1">
      <alignment horizontal="left" vertical="center" indent="1"/>
    </xf>
    <xf numFmtId="38" fontId="17" fillId="2" borderId="11" xfId="1" applyNumberFormat="1" applyFont="1" applyFill="1" applyBorder="1"/>
    <xf numFmtId="38" fontId="17" fillId="2" borderId="0" xfId="1" applyNumberFormat="1" applyFont="1" applyFill="1" applyBorder="1"/>
    <xf numFmtId="38" fontId="17" fillId="2" borderId="11" xfId="1" applyNumberFormat="1" applyFont="1" applyFill="1" applyBorder="1" applyAlignment="1">
      <alignment horizontal="right"/>
    </xf>
    <xf numFmtId="164" fontId="13" fillId="2" borderId="0" xfId="0" applyNumberFormat="1" applyFont="1" applyFill="1" applyBorder="1"/>
    <xf numFmtId="164" fontId="17" fillId="2" borderId="0" xfId="0" applyNumberFormat="1" applyFont="1" applyFill="1" applyBorder="1" applyAlignment="1" applyProtection="1">
      <alignment horizontal="left" vertical="center" indent="1"/>
    </xf>
    <xf numFmtId="164" fontId="17" fillId="2" borderId="1" xfId="0" applyNumberFormat="1" applyFont="1" applyFill="1" applyBorder="1" applyAlignment="1" applyProtection="1">
      <alignment horizontal="left" vertical="center" indent="1"/>
    </xf>
    <xf numFmtId="38" fontId="17" fillId="2" borderId="10" xfId="1" applyNumberFormat="1" applyFont="1" applyFill="1" applyBorder="1"/>
    <xf numFmtId="38" fontId="17" fillId="2" borderId="1" xfId="1" applyNumberFormat="1" applyFont="1" applyFill="1" applyBorder="1"/>
    <xf numFmtId="38" fontId="17" fillId="2" borderId="10" xfId="1" applyNumberFormat="1" applyFont="1" applyFill="1" applyBorder="1" applyAlignment="1">
      <alignment horizontal="right"/>
    </xf>
    <xf numFmtId="3" fontId="6" fillId="2" borderId="0" xfId="2" applyNumberFormat="1" applyFont="1" applyFill="1" applyBorder="1"/>
    <xf numFmtId="3" fontId="6" fillId="2" borderId="0" xfId="2" applyNumberFormat="1" applyFont="1" applyFill="1" applyBorder="1" applyAlignment="1">
      <alignment horizontal="center"/>
    </xf>
    <xf numFmtId="3" fontId="6" fillId="2" borderId="0" xfId="2" applyNumberFormat="1" applyFont="1" applyFill="1" applyBorder="1" applyAlignment="1"/>
    <xf numFmtId="3" fontId="6" fillId="2" borderId="0" xfId="2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right"/>
    </xf>
    <xf numFmtId="164" fontId="19" fillId="2" borderId="0" xfId="0" applyNumberFormat="1" applyFont="1" applyFill="1" applyAlignment="1">
      <alignment horizontal="right"/>
    </xf>
    <xf numFmtId="3" fontId="10" fillId="2" borderId="0" xfId="2" applyNumberFormat="1" applyFont="1" applyFill="1" applyBorder="1" applyAlignment="1">
      <alignment horizontal="right"/>
    </xf>
    <xf numFmtId="164" fontId="20" fillId="2" borderId="0" xfId="0" applyNumberFormat="1" applyFont="1" applyFill="1" applyBorder="1" applyAlignment="1">
      <alignment horizontal="right" vertical="center"/>
    </xf>
    <xf numFmtId="3" fontId="21" fillId="2" borderId="0" xfId="2" applyNumberFormat="1" applyFont="1" applyFill="1" applyBorder="1" applyAlignment="1">
      <alignment horizontal="left"/>
    </xf>
    <xf numFmtId="3" fontId="11" fillId="2" borderId="0" xfId="2" applyNumberFormat="1" applyFont="1" applyFill="1" applyBorder="1" applyAlignment="1">
      <alignment horizontal="center"/>
    </xf>
    <xf numFmtId="3" fontId="10" fillId="2" borderId="0" xfId="2" applyNumberFormat="1" applyFont="1" applyFill="1" applyBorder="1"/>
    <xf numFmtId="164" fontId="19" fillId="2" borderId="0" xfId="0" applyNumberFormat="1" applyFont="1" applyFill="1"/>
    <xf numFmtId="3" fontId="23" fillId="2" borderId="0" xfId="2" applyNumberFormat="1" applyFont="1" applyFill="1" applyBorder="1" applyAlignment="1"/>
    <xf numFmtId="164" fontId="18" fillId="2" borderId="0" xfId="0" applyNumberFormat="1" applyFont="1" applyFill="1" applyBorder="1" applyAlignment="1">
      <alignment wrapText="1" readingOrder="2"/>
    </xf>
    <xf numFmtId="49" fontId="24" fillId="2" borderId="0" xfId="3" applyNumberFormat="1" applyFont="1" applyFill="1" applyBorder="1" applyAlignment="1">
      <alignment horizontal="right" vertical="top"/>
    </xf>
    <xf numFmtId="3" fontId="5" fillId="2" borderId="0" xfId="2" applyNumberFormat="1" applyFont="1" applyFill="1" applyAlignment="1">
      <alignment vertical="center"/>
    </xf>
    <xf numFmtId="3" fontId="25" fillId="2" borderId="0" xfId="2" applyNumberFormat="1" applyFont="1" applyFill="1" applyBorder="1" applyAlignment="1">
      <alignment vertical="center"/>
    </xf>
    <xf numFmtId="3" fontId="25" fillId="2" borderId="0" xfId="2" applyNumberFormat="1" applyFont="1" applyFill="1" applyAlignment="1">
      <alignment horizontal="center" vertical="center"/>
    </xf>
    <xf numFmtId="3" fontId="25" fillId="2" borderId="0" xfId="2" applyNumberFormat="1" applyFont="1" applyFill="1"/>
    <xf numFmtId="3" fontId="25" fillId="2" borderId="0" xfId="2" applyNumberFormat="1" applyFont="1" applyFill="1" applyAlignment="1"/>
    <xf numFmtId="3" fontId="25" fillId="2" borderId="0" xfId="2" applyNumberFormat="1" applyFont="1" applyFill="1" applyAlignment="1">
      <alignment horizontal="right"/>
    </xf>
    <xf numFmtId="3" fontId="11" fillId="2" borderId="0" xfId="2" applyNumberFormat="1" applyFont="1" applyFill="1" applyBorder="1" applyAlignment="1">
      <alignment horizontal="right" textRotation="90"/>
    </xf>
    <xf numFmtId="3" fontId="26" fillId="2" borderId="0" xfId="2" applyNumberFormat="1" applyFont="1" applyFill="1" applyBorder="1" applyAlignment="1">
      <alignment horizontal="center" textRotation="90"/>
    </xf>
    <xf numFmtId="3" fontId="11" fillId="2" borderId="0" xfId="2" applyNumberFormat="1" applyFont="1" applyFill="1" applyBorder="1" applyAlignment="1">
      <alignment horizontal="center" textRotation="90"/>
    </xf>
    <xf numFmtId="3" fontId="23" fillId="2" borderId="0" xfId="2" applyNumberFormat="1" applyFont="1" applyFill="1" applyBorder="1" applyAlignment="1">
      <alignment horizontal="center" textRotation="90"/>
    </xf>
    <xf numFmtId="164" fontId="1" fillId="2" borderId="0" xfId="0" applyNumberFormat="1" applyFont="1" applyFill="1" applyBorder="1" applyAlignment="1"/>
    <xf numFmtId="164" fontId="1" fillId="2" borderId="0" xfId="0" applyNumberFormat="1" applyFont="1" applyFill="1" applyAlignment="1"/>
    <xf numFmtId="164" fontId="1" fillId="2" borderId="0" xfId="0" applyNumberFormat="1" applyFont="1" applyFill="1" applyAlignment="1">
      <alignment horizontal="right"/>
    </xf>
    <xf numFmtId="38" fontId="9" fillId="2" borderId="5" xfId="1" applyNumberFormat="1" applyFont="1" applyFill="1" applyBorder="1" applyAlignment="1">
      <alignment horizontal="right"/>
    </xf>
    <xf numFmtId="164" fontId="29" fillId="2" borderId="0" xfId="0" applyNumberFormat="1" applyFont="1" applyFill="1" applyAlignment="1">
      <alignment horizontal="right" vertical="center"/>
    </xf>
    <xf numFmtId="164" fontId="28" fillId="2" borderId="0" xfId="0" applyNumberFormat="1" applyFont="1" applyFill="1" applyAlignment="1">
      <alignment horizontal="right" vertical="center" indent="1"/>
    </xf>
    <xf numFmtId="164" fontId="28" fillId="2" borderId="0" xfId="0" applyNumberFormat="1" applyFont="1" applyFill="1" applyBorder="1" applyAlignment="1">
      <alignment horizontal="right" vertical="center" indent="1"/>
    </xf>
    <xf numFmtId="164" fontId="28" fillId="2" borderId="1" xfId="0" applyNumberFormat="1" applyFont="1" applyFill="1" applyBorder="1" applyAlignment="1">
      <alignment horizontal="right" vertical="center" indent="1"/>
    </xf>
    <xf numFmtId="3" fontId="30" fillId="2" borderId="0" xfId="2" applyNumberFormat="1" applyFont="1" applyFill="1" applyBorder="1" applyAlignment="1">
      <alignment horizontal="right" vertical="top" textRotation="90" wrapText="1"/>
    </xf>
    <xf numFmtId="3" fontId="30" fillId="2" borderId="9" xfId="2" applyNumberFormat="1" applyFont="1" applyFill="1" applyBorder="1" applyAlignment="1">
      <alignment horizontal="center" vertical="center" textRotation="90" wrapText="1"/>
    </xf>
    <xf numFmtId="3" fontId="30" fillId="2" borderId="9" xfId="2" applyNumberFormat="1" applyFont="1" applyFill="1" applyBorder="1" applyAlignment="1">
      <alignment horizontal="center" vertical="center" textRotation="90"/>
    </xf>
    <xf numFmtId="49" fontId="23" fillId="2" borderId="0" xfId="3" applyNumberFormat="1" applyFont="1" applyFill="1" applyBorder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center"/>
    </xf>
    <xf numFmtId="38" fontId="9" fillId="2" borderId="3" xfId="1" applyNumberFormat="1" applyFont="1" applyFill="1" applyBorder="1"/>
    <xf numFmtId="38" fontId="17" fillId="2" borderId="3" xfId="1" applyNumberFormat="1" applyFont="1" applyFill="1" applyBorder="1"/>
    <xf numFmtId="38" fontId="17" fillId="2" borderId="4" xfId="1" applyNumberFormat="1" applyFont="1" applyFill="1" applyBorder="1"/>
    <xf numFmtId="164" fontId="28" fillId="2" borderId="0" xfId="0" applyNumberFormat="1" applyFont="1" applyFill="1" applyBorder="1" applyAlignment="1">
      <alignment horizontal="right" wrapText="1" readingOrder="2"/>
    </xf>
    <xf numFmtId="49" fontId="23" fillId="2" borderId="0" xfId="3" applyNumberFormat="1" applyFont="1" applyFill="1" applyBorder="1" applyAlignment="1">
      <alignment horizontal="center" vertical="center"/>
    </xf>
    <xf numFmtId="3" fontId="31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center"/>
    </xf>
    <xf numFmtId="3" fontId="9" fillId="2" borderId="2" xfId="2" applyNumberFormat="1" applyFont="1" applyFill="1" applyBorder="1" applyAlignment="1">
      <alignment horizontal="left" vertical="center"/>
    </xf>
    <xf numFmtId="3" fontId="9" fillId="2" borderId="0" xfId="2" applyNumberFormat="1" applyFont="1" applyFill="1" applyBorder="1" applyAlignment="1">
      <alignment horizontal="left" vertical="center"/>
    </xf>
    <xf numFmtId="3" fontId="9" fillId="2" borderId="1" xfId="2" applyNumberFormat="1" applyFont="1" applyFill="1" applyBorder="1" applyAlignment="1">
      <alignment horizontal="left" vertical="center"/>
    </xf>
    <xf numFmtId="3" fontId="30" fillId="2" borderId="7" xfId="2" applyNumberFormat="1" applyFont="1" applyFill="1" applyBorder="1" applyAlignment="1">
      <alignment horizontal="center" readingOrder="2"/>
    </xf>
    <xf numFmtId="3" fontId="30" fillId="2" borderId="2" xfId="2" applyNumberFormat="1" applyFont="1" applyFill="1" applyBorder="1" applyAlignment="1">
      <alignment horizontal="center" readingOrder="2"/>
    </xf>
    <xf numFmtId="3" fontId="30" fillId="2" borderId="8" xfId="2" applyNumberFormat="1" applyFont="1" applyFill="1" applyBorder="1" applyAlignment="1">
      <alignment horizontal="center" readingOrder="2"/>
    </xf>
    <xf numFmtId="3" fontId="30" fillId="2" borderId="7" xfId="2" applyNumberFormat="1" applyFont="1" applyFill="1" applyBorder="1" applyAlignment="1">
      <alignment horizontal="center"/>
    </xf>
    <xf numFmtId="3" fontId="30" fillId="2" borderId="2" xfId="2" applyNumberFormat="1" applyFont="1" applyFill="1" applyBorder="1" applyAlignment="1">
      <alignment horizontal="center"/>
    </xf>
    <xf numFmtId="3" fontId="30" fillId="2" borderId="8" xfId="2" applyNumberFormat="1" applyFont="1" applyFill="1" applyBorder="1" applyAlignment="1">
      <alignment horizontal="center"/>
    </xf>
    <xf numFmtId="49" fontId="7" fillId="2" borderId="6" xfId="3" applyNumberFormat="1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center" vertical="center"/>
    </xf>
    <xf numFmtId="49" fontId="7" fillId="2" borderId="4" xfId="3" applyNumberFormat="1" applyFont="1" applyFill="1" applyBorder="1" applyAlignment="1">
      <alignment horizontal="center" vertical="center"/>
    </xf>
    <xf numFmtId="3" fontId="29" fillId="2" borderId="7" xfId="2" applyNumberFormat="1" applyFont="1" applyFill="1" applyBorder="1" applyAlignment="1">
      <alignment horizontal="right" vertical="center" wrapText="1" indent="1"/>
    </xf>
    <xf numFmtId="3" fontId="29" fillId="2" borderId="5" xfId="2" applyNumberFormat="1" applyFont="1" applyFill="1" applyBorder="1" applyAlignment="1">
      <alignment horizontal="right" vertical="center" wrapText="1" indent="1"/>
    </xf>
    <xf numFmtId="3" fontId="29" fillId="2" borderId="6" xfId="2" applyNumberFormat="1" applyFont="1" applyFill="1" applyBorder="1" applyAlignment="1">
      <alignment horizontal="right" vertical="center" wrapText="1" indent="1"/>
    </xf>
  </cellXfs>
  <cellStyles count="16">
    <cellStyle name="Comma" xfId="1" builtinId="3"/>
    <cellStyle name="Comma 2" xfId="12"/>
    <cellStyle name="Comma_II-15(Population)" xfId="3"/>
    <cellStyle name="Normal" xfId="0" builtinId="0"/>
    <cellStyle name="Normal 10" xfId="7"/>
    <cellStyle name="Normal 2 2 2" xfId="4"/>
    <cellStyle name="Normal 2 26" xfId="15"/>
    <cellStyle name="Normal 37" xfId="6"/>
    <cellStyle name="Normal 6" xfId="11"/>
    <cellStyle name="Normal 6 4" xfId="10"/>
    <cellStyle name="Normal 7" xfId="9"/>
    <cellStyle name="Normal 7 4" xfId="8"/>
    <cellStyle name="Normal 8" xfId="5"/>
    <cellStyle name="Normal 8 2" xfId="13"/>
    <cellStyle name="Normal 8 2 3" xfId="14"/>
    <cellStyle name="Normal_II-15(Population)" xfId="2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37"/>
  <sheetViews>
    <sheetView tabSelected="1" zoomScale="96" zoomScaleNormal="96" workbookViewId="0">
      <selection activeCell="Y12" sqref="Y12"/>
    </sheetView>
  </sheetViews>
  <sheetFormatPr defaultColWidth="9.140625" defaultRowHeight="15"/>
  <cols>
    <col min="1" max="1" width="12.85546875" style="3" customWidth="1"/>
    <col min="2" max="2" width="10.42578125" style="4" customWidth="1"/>
    <col min="3" max="3" width="7" style="3" customWidth="1"/>
    <col min="4" max="4" width="10" style="3" customWidth="1"/>
    <col min="5" max="5" width="8.5703125" style="3" hidden="1" customWidth="1"/>
    <col min="6" max="6" width="7.85546875" style="60" customWidth="1"/>
    <col min="7" max="7" width="9.140625" style="61" customWidth="1"/>
    <col min="8" max="8" width="9.5703125" style="61" customWidth="1"/>
    <col min="9" max="9" width="9.5703125" style="61" hidden="1" customWidth="1"/>
    <col min="10" max="10" width="7.5703125" style="61" customWidth="1"/>
    <col min="11" max="11" width="8.28515625" style="61" customWidth="1"/>
    <col min="12" max="12" width="9.5703125" style="61" customWidth="1"/>
    <col min="13" max="13" width="9" style="61" hidden="1" customWidth="1"/>
    <col min="14" max="14" width="8.28515625" style="61" customWidth="1"/>
    <col min="15" max="15" width="7.28515625" style="61" customWidth="1"/>
    <col min="16" max="16" width="8.5703125" style="61" customWidth="1"/>
    <col min="17" max="17" width="12.5703125" style="61" hidden="1" customWidth="1"/>
    <col min="18" max="18" width="7.28515625" style="61" customWidth="1"/>
    <col min="19" max="19" width="15.5703125" style="3" customWidth="1"/>
    <col min="20" max="20" width="14.85546875" style="3" bestFit="1" customWidth="1"/>
    <col min="21" max="16384" width="9.140625" style="3"/>
  </cols>
  <sheetData>
    <row r="1" spans="1:20" ht="18.75">
      <c r="A1" s="77" t="s">
        <v>70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1"/>
    </row>
    <row r="2" spans="1:20" s="4" customFormat="1" ht="15.75">
      <c r="A2" s="78" t="s">
        <v>71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spans="1:20" ht="15.7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20" ht="18">
      <c r="A4" s="79" t="s">
        <v>46</v>
      </c>
      <c r="B4" s="5"/>
      <c r="C4" s="82" t="s">
        <v>47</v>
      </c>
      <c r="D4" s="83"/>
      <c r="E4" s="83"/>
      <c r="F4" s="84"/>
      <c r="G4" s="85" t="s">
        <v>48</v>
      </c>
      <c r="H4" s="86"/>
      <c r="I4" s="86"/>
      <c r="J4" s="87"/>
      <c r="K4" s="85" t="s">
        <v>49</v>
      </c>
      <c r="L4" s="86"/>
      <c r="M4" s="86"/>
      <c r="N4" s="87"/>
      <c r="O4" s="85" t="s">
        <v>50</v>
      </c>
      <c r="P4" s="86"/>
      <c r="Q4" s="86"/>
      <c r="R4" s="87"/>
      <c r="S4" s="91" t="s">
        <v>60</v>
      </c>
      <c r="T4" s="1"/>
    </row>
    <row r="5" spans="1:20" s="7" customFormat="1">
      <c r="A5" s="80"/>
      <c r="B5" s="4"/>
      <c r="C5" s="88" t="s">
        <v>45</v>
      </c>
      <c r="D5" s="89"/>
      <c r="E5" s="89"/>
      <c r="F5" s="90"/>
      <c r="G5" s="88" t="s">
        <v>51</v>
      </c>
      <c r="H5" s="89"/>
      <c r="I5" s="89"/>
      <c r="J5" s="90"/>
      <c r="K5" s="88" t="s">
        <v>52</v>
      </c>
      <c r="L5" s="89"/>
      <c r="M5" s="89"/>
      <c r="N5" s="90"/>
      <c r="O5" s="88" t="s">
        <v>53</v>
      </c>
      <c r="P5" s="89"/>
      <c r="Q5" s="89"/>
      <c r="R5" s="90"/>
      <c r="S5" s="92"/>
    </row>
    <row r="6" spans="1:20" s="8" customFormat="1" ht="68.25" customHeight="1">
      <c r="A6" s="80"/>
      <c r="B6" s="67" t="s">
        <v>54</v>
      </c>
      <c r="C6" s="68" t="s">
        <v>55</v>
      </c>
      <c r="D6" s="69" t="s">
        <v>56</v>
      </c>
      <c r="E6" s="69" t="s">
        <v>57</v>
      </c>
      <c r="F6" s="68" t="s">
        <v>58</v>
      </c>
      <c r="G6" s="69" t="s">
        <v>55</v>
      </c>
      <c r="H6" s="69" t="s">
        <v>56</v>
      </c>
      <c r="I6" s="69" t="s">
        <v>57</v>
      </c>
      <c r="J6" s="68" t="s">
        <v>59</v>
      </c>
      <c r="K6" s="69" t="s">
        <v>55</v>
      </c>
      <c r="L6" s="69" t="s">
        <v>56</v>
      </c>
      <c r="M6" s="69" t="s">
        <v>57</v>
      </c>
      <c r="N6" s="68" t="s">
        <v>59</v>
      </c>
      <c r="O6" s="69" t="s">
        <v>55</v>
      </c>
      <c r="P6" s="69" t="s">
        <v>56</v>
      </c>
      <c r="Q6" s="69" t="s">
        <v>57</v>
      </c>
      <c r="R6" s="68" t="s">
        <v>59</v>
      </c>
      <c r="S6" s="92"/>
    </row>
    <row r="7" spans="1:20" s="12" customFormat="1" ht="51.75">
      <c r="A7" s="81"/>
      <c r="B7" s="9" t="s">
        <v>61</v>
      </c>
      <c r="C7" s="10" t="s">
        <v>62</v>
      </c>
      <c r="D7" s="10" t="s">
        <v>44</v>
      </c>
      <c r="E7" s="11" t="s">
        <v>63</v>
      </c>
      <c r="F7" s="10" t="s">
        <v>64</v>
      </c>
      <c r="G7" s="10" t="s">
        <v>62</v>
      </c>
      <c r="H7" s="10" t="s">
        <v>65</v>
      </c>
      <c r="I7" s="10" t="s">
        <v>63</v>
      </c>
      <c r="J7" s="10" t="s">
        <v>64</v>
      </c>
      <c r="K7" s="10" t="s">
        <v>62</v>
      </c>
      <c r="L7" s="10" t="s">
        <v>44</v>
      </c>
      <c r="M7" s="10" t="s">
        <v>63</v>
      </c>
      <c r="N7" s="10" t="s">
        <v>64</v>
      </c>
      <c r="O7" s="10" t="s">
        <v>62</v>
      </c>
      <c r="P7" s="10" t="s">
        <v>44</v>
      </c>
      <c r="Q7" s="10" t="s">
        <v>63</v>
      </c>
      <c r="R7" s="10" t="s">
        <v>64</v>
      </c>
      <c r="S7" s="93"/>
    </row>
    <row r="8" spans="1:20" s="17" customFormat="1" ht="15.75">
      <c r="A8" s="13" t="s">
        <v>0</v>
      </c>
      <c r="B8" s="16">
        <f>SUM(B9:B10)</f>
        <v>90483</v>
      </c>
      <c r="C8" s="15">
        <v>339</v>
      </c>
      <c r="D8" s="14">
        <f>SUM(D9:D10)</f>
        <v>18649</v>
      </c>
      <c r="E8" s="16">
        <f>SUM(E9:E10)</f>
        <v>9193</v>
      </c>
      <c r="F8" s="15">
        <f>E8/D8*100</f>
        <v>49.294868357552687</v>
      </c>
      <c r="G8" s="16">
        <f>SUM(G9:G10)</f>
        <v>222</v>
      </c>
      <c r="H8" s="15">
        <f>SUM(H9:H10)</f>
        <v>51238</v>
      </c>
      <c r="I8" s="15">
        <f>SUM(I9:I10)</f>
        <v>24625</v>
      </c>
      <c r="J8" s="15">
        <f>I8/H8*100</f>
        <v>48.060033568835628</v>
      </c>
      <c r="K8" s="15">
        <f>SUM(K9:K10)</f>
        <v>207</v>
      </c>
      <c r="L8" s="15">
        <f>SUM(L9:L10)</f>
        <v>17031</v>
      </c>
      <c r="M8" s="15">
        <f>SUM(M9:M10)</f>
        <v>8334</v>
      </c>
      <c r="N8" s="15">
        <f>M8/L8*100</f>
        <v>48.934296283248194</v>
      </c>
      <c r="O8" s="15">
        <f>SUM(O9:O10)</f>
        <v>46</v>
      </c>
      <c r="P8" s="15">
        <f>SUM(P9:P10)</f>
        <v>3565</v>
      </c>
      <c r="Q8" s="15">
        <f>SUM(Q9:Q10)</f>
        <v>2013</v>
      </c>
      <c r="R8" s="15">
        <f>Q8/P8*100</f>
        <v>56.465638148667594</v>
      </c>
      <c r="S8" s="63" t="s">
        <v>1</v>
      </c>
    </row>
    <row r="9" spans="1:20" s="17" customFormat="1" ht="15.75">
      <c r="A9" s="18" t="s">
        <v>2</v>
      </c>
      <c r="B9" s="20">
        <f>D9+H9+L9+P9</f>
        <v>33757</v>
      </c>
      <c r="C9" s="21">
        <v>22</v>
      </c>
      <c r="D9" s="72">
        <v>7309</v>
      </c>
      <c r="E9" s="20">
        <v>3602</v>
      </c>
      <c r="F9" s="19">
        <f t="shared" ref="F9:F30" si="0">E9/D9*100</f>
        <v>49.281707483923931</v>
      </c>
      <c r="G9" s="72">
        <v>21</v>
      </c>
      <c r="H9" s="19">
        <v>17999</v>
      </c>
      <c r="I9" s="20">
        <v>8745</v>
      </c>
      <c r="J9" s="21">
        <f>I9/H9*100</f>
        <v>48.586032557364298</v>
      </c>
      <c r="K9" s="19">
        <v>18</v>
      </c>
      <c r="L9" s="19">
        <v>6166</v>
      </c>
      <c r="M9" s="20">
        <v>3009</v>
      </c>
      <c r="N9" s="21">
        <f>M9/L9*100</f>
        <v>48.799870256243914</v>
      </c>
      <c r="O9" s="19">
        <v>6</v>
      </c>
      <c r="P9" s="19">
        <v>2283</v>
      </c>
      <c r="Q9" s="20">
        <v>1294</v>
      </c>
      <c r="R9" s="21">
        <f>Q9/P9*100</f>
        <v>56.679807271134472</v>
      </c>
      <c r="S9" s="63" t="s">
        <v>3</v>
      </c>
    </row>
    <row r="10" spans="1:20" s="17" customFormat="1" ht="15.75">
      <c r="A10" s="13" t="s">
        <v>4</v>
      </c>
      <c r="B10" s="23">
        <f>D10+H10+L10+P10</f>
        <v>56726</v>
      </c>
      <c r="C10" s="21">
        <f t="shared" ref="C10:Q10" si="1">SUM(C11:C30)</f>
        <v>229</v>
      </c>
      <c r="D10" s="22">
        <f t="shared" si="1"/>
        <v>11340</v>
      </c>
      <c r="E10" s="62">
        <f t="shared" si="1"/>
        <v>5591</v>
      </c>
      <c r="F10" s="21">
        <f t="shared" si="0"/>
        <v>49.303350970017632</v>
      </c>
      <c r="G10" s="23">
        <f t="shared" si="1"/>
        <v>201</v>
      </c>
      <c r="H10" s="21">
        <f t="shared" si="1"/>
        <v>33239</v>
      </c>
      <c r="I10" s="21">
        <f t="shared" si="1"/>
        <v>15880</v>
      </c>
      <c r="J10" s="21">
        <f t="shared" ref="J10:J30" si="2">I10/H10*100</f>
        <v>47.775203826829923</v>
      </c>
      <c r="K10" s="23">
        <f t="shared" si="1"/>
        <v>189</v>
      </c>
      <c r="L10" s="21">
        <f t="shared" si="1"/>
        <v>10865</v>
      </c>
      <c r="M10" s="21">
        <f t="shared" si="1"/>
        <v>5325</v>
      </c>
      <c r="N10" s="21">
        <f t="shared" ref="N10:N30" si="3">M10/L10*100</f>
        <v>49.010584445467096</v>
      </c>
      <c r="O10" s="23">
        <f t="shared" si="1"/>
        <v>40</v>
      </c>
      <c r="P10" s="21">
        <f t="shared" si="1"/>
        <v>1282</v>
      </c>
      <c r="Q10" s="21">
        <f t="shared" si="1"/>
        <v>719</v>
      </c>
      <c r="R10" s="21">
        <f t="shared" ref="R10:R19" si="4">Q10/P10*100</f>
        <v>56.084243369734786</v>
      </c>
      <c r="S10" s="63" t="s">
        <v>5</v>
      </c>
    </row>
    <row r="11" spans="1:20" s="7" customFormat="1" ht="15.75">
      <c r="A11" s="24" t="s">
        <v>6</v>
      </c>
      <c r="B11" s="26">
        <f>D11+H11+L11+P11</f>
        <v>3707</v>
      </c>
      <c r="C11" s="27">
        <v>16</v>
      </c>
      <c r="D11" s="73">
        <v>754</v>
      </c>
      <c r="E11" s="26">
        <v>392</v>
      </c>
      <c r="F11" s="25">
        <f t="shared" si="0"/>
        <v>51.989389920424401</v>
      </c>
      <c r="G11" s="73">
        <v>14</v>
      </c>
      <c r="H11" s="25">
        <v>2225</v>
      </c>
      <c r="I11" s="26">
        <v>1044</v>
      </c>
      <c r="J11" s="27">
        <f t="shared" si="2"/>
        <v>46.921348314606739</v>
      </c>
      <c r="K11" s="25">
        <v>14</v>
      </c>
      <c r="L11" s="25">
        <v>674</v>
      </c>
      <c r="M11" s="26">
        <v>322</v>
      </c>
      <c r="N11" s="27">
        <f t="shared" si="3"/>
        <v>47.774480712166174</v>
      </c>
      <c r="O11" s="25">
        <v>3</v>
      </c>
      <c r="P11" s="25">
        <v>54</v>
      </c>
      <c r="Q11" s="26">
        <v>29</v>
      </c>
      <c r="R11" s="27">
        <f t="shared" si="4"/>
        <v>53.703703703703709</v>
      </c>
      <c r="S11" s="64" t="s">
        <v>7</v>
      </c>
    </row>
    <row r="12" spans="1:20" s="28" customFormat="1" ht="15.75">
      <c r="A12" s="24" t="s">
        <v>8</v>
      </c>
      <c r="B12" s="26">
        <f t="shared" ref="B12:B30" si="5">D12+H12+L12+P12</f>
        <v>5723</v>
      </c>
      <c r="C12" s="27">
        <v>15</v>
      </c>
      <c r="D12" s="73">
        <v>1113</v>
      </c>
      <c r="E12" s="26">
        <v>538</v>
      </c>
      <c r="F12" s="25">
        <f t="shared" si="0"/>
        <v>48.337825696316258</v>
      </c>
      <c r="G12" s="73">
        <v>15</v>
      </c>
      <c r="H12" s="25">
        <v>3463</v>
      </c>
      <c r="I12" s="26">
        <v>1654</v>
      </c>
      <c r="J12" s="27">
        <f t="shared" si="2"/>
        <v>47.762056020791221</v>
      </c>
      <c r="K12" s="25">
        <v>15</v>
      </c>
      <c r="L12" s="25">
        <v>1042</v>
      </c>
      <c r="M12" s="26">
        <v>491</v>
      </c>
      <c r="N12" s="27">
        <f t="shared" si="3"/>
        <v>47.120921305182343</v>
      </c>
      <c r="O12" s="25">
        <v>2</v>
      </c>
      <c r="P12" s="25">
        <v>105</v>
      </c>
      <c r="Q12" s="26">
        <v>64</v>
      </c>
      <c r="R12" s="27">
        <f t="shared" si="4"/>
        <v>60.952380952380956</v>
      </c>
      <c r="S12" s="64" t="s">
        <v>9</v>
      </c>
    </row>
    <row r="13" spans="1:20" s="28" customFormat="1" ht="15.75">
      <c r="A13" s="24" t="s">
        <v>10</v>
      </c>
      <c r="B13" s="26">
        <f t="shared" si="5"/>
        <v>3711</v>
      </c>
      <c r="C13" s="27">
        <v>15</v>
      </c>
      <c r="D13" s="73">
        <v>689</v>
      </c>
      <c r="E13" s="26">
        <v>340</v>
      </c>
      <c r="F13" s="25">
        <f t="shared" si="0"/>
        <v>49.346879535558777</v>
      </c>
      <c r="G13" s="73">
        <v>14</v>
      </c>
      <c r="H13" s="25">
        <v>2174</v>
      </c>
      <c r="I13" s="26">
        <v>1029</v>
      </c>
      <c r="J13" s="27">
        <f>I13/H13*100</f>
        <v>47.332106715731371</v>
      </c>
      <c r="K13" s="25">
        <v>14</v>
      </c>
      <c r="L13" s="25">
        <v>745</v>
      </c>
      <c r="M13" s="26">
        <v>392</v>
      </c>
      <c r="N13" s="27">
        <f t="shared" si="3"/>
        <v>52.617449664429529</v>
      </c>
      <c r="O13" s="25">
        <v>4</v>
      </c>
      <c r="P13" s="25">
        <v>103</v>
      </c>
      <c r="Q13" s="26">
        <v>55</v>
      </c>
      <c r="R13" s="27">
        <f t="shared" si="4"/>
        <v>53.398058252427184</v>
      </c>
      <c r="S13" s="64" t="s">
        <v>11</v>
      </c>
    </row>
    <row r="14" spans="1:20" s="28" customFormat="1" ht="15.75">
      <c r="A14" s="24" t="s">
        <v>12</v>
      </c>
      <c r="B14" s="26">
        <f t="shared" si="5"/>
        <v>3085</v>
      </c>
      <c r="C14" s="27">
        <v>17</v>
      </c>
      <c r="D14" s="73">
        <v>602</v>
      </c>
      <c r="E14" s="26">
        <v>293</v>
      </c>
      <c r="F14" s="25">
        <f t="shared" si="0"/>
        <v>48.671096345514954</v>
      </c>
      <c r="G14" s="73">
        <v>13</v>
      </c>
      <c r="H14" s="25">
        <v>1880</v>
      </c>
      <c r="I14" s="26">
        <v>918</v>
      </c>
      <c r="J14" s="27">
        <f t="shared" si="2"/>
        <v>48.829787234042556</v>
      </c>
      <c r="K14" s="25">
        <v>13</v>
      </c>
      <c r="L14" s="25">
        <v>550</v>
      </c>
      <c r="M14" s="26">
        <v>271</v>
      </c>
      <c r="N14" s="27">
        <f t="shared" si="3"/>
        <v>49.272727272727273</v>
      </c>
      <c r="O14" s="25">
        <v>3</v>
      </c>
      <c r="P14" s="25">
        <v>53</v>
      </c>
      <c r="Q14" s="26">
        <v>32</v>
      </c>
      <c r="R14" s="27">
        <f t="shared" si="4"/>
        <v>60.377358490566039</v>
      </c>
      <c r="S14" s="64" t="s">
        <v>13</v>
      </c>
    </row>
    <row r="15" spans="1:20" s="7" customFormat="1" ht="15.75">
      <c r="A15" s="24" t="s">
        <v>14</v>
      </c>
      <c r="B15" s="26">
        <f t="shared" si="5"/>
        <v>4462</v>
      </c>
      <c r="C15" s="27">
        <v>19</v>
      </c>
      <c r="D15" s="73">
        <v>920</v>
      </c>
      <c r="E15" s="26">
        <v>451</v>
      </c>
      <c r="F15" s="25">
        <f t="shared" si="0"/>
        <v>49.021739130434781</v>
      </c>
      <c r="G15" s="73">
        <v>16</v>
      </c>
      <c r="H15" s="25">
        <v>2602</v>
      </c>
      <c r="I15" s="26">
        <v>1267</v>
      </c>
      <c r="J15" s="27">
        <f t="shared" si="2"/>
        <v>48.693312836279787</v>
      </c>
      <c r="K15" s="25">
        <v>15</v>
      </c>
      <c r="L15" s="25">
        <v>852</v>
      </c>
      <c r="M15" s="26">
        <v>405</v>
      </c>
      <c r="N15" s="27">
        <f t="shared" si="3"/>
        <v>47.535211267605632</v>
      </c>
      <c r="O15" s="25">
        <v>4</v>
      </c>
      <c r="P15" s="25">
        <v>88</v>
      </c>
      <c r="Q15" s="26">
        <v>53</v>
      </c>
      <c r="R15" s="27">
        <f t="shared" si="4"/>
        <v>60.227272727272727</v>
      </c>
      <c r="S15" s="64" t="s">
        <v>15</v>
      </c>
    </row>
    <row r="16" spans="1:20" s="7" customFormat="1" ht="15.75">
      <c r="A16" s="24" t="s">
        <v>16</v>
      </c>
      <c r="B16" s="26">
        <f t="shared" si="5"/>
        <v>2521</v>
      </c>
      <c r="C16" s="27">
        <v>15</v>
      </c>
      <c r="D16" s="73">
        <v>481</v>
      </c>
      <c r="E16" s="26">
        <v>251</v>
      </c>
      <c r="F16" s="25">
        <f t="shared" si="0"/>
        <v>52.182952182952178</v>
      </c>
      <c r="G16" s="73">
        <v>12</v>
      </c>
      <c r="H16" s="25">
        <v>1454</v>
      </c>
      <c r="I16" s="26">
        <v>710</v>
      </c>
      <c r="J16" s="27">
        <f t="shared" si="2"/>
        <v>48.830811554332875</v>
      </c>
      <c r="K16" s="25">
        <v>12</v>
      </c>
      <c r="L16" s="25">
        <v>522</v>
      </c>
      <c r="M16" s="26">
        <v>239</v>
      </c>
      <c r="N16" s="27">
        <f t="shared" si="3"/>
        <v>45.785440613026815</v>
      </c>
      <c r="O16" s="25">
        <v>2</v>
      </c>
      <c r="P16" s="25">
        <v>64</v>
      </c>
      <c r="Q16" s="26">
        <v>39</v>
      </c>
      <c r="R16" s="27">
        <f t="shared" si="4"/>
        <v>60.9375</v>
      </c>
      <c r="S16" s="64" t="s">
        <v>17</v>
      </c>
    </row>
    <row r="17" spans="1:24" s="7" customFormat="1" ht="15.75">
      <c r="A17" s="24" t="s">
        <v>18</v>
      </c>
      <c r="B17" s="26">
        <f t="shared" si="5"/>
        <v>2192</v>
      </c>
      <c r="C17" s="27">
        <v>6</v>
      </c>
      <c r="D17" s="73">
        <v>479</v>
      </c>
      <c r="E17" s="26">
        <v>239</v>
      </c>
      <c r="F17" s="25">
        <f t="shared" si="0"/>
        <v>49.895615866388312</v>
      </c>
      <c r="G17" s="73">
        <v>4</v>
      </c>
      <c r="H17" s="25">
        <v>1223</v>
      </c>
      <c r="I17" s="26">
        <v>609</v>
      </c>
      <c r="J17" s="27">
        <f t="shared" si="2"/>
        <v>49.795584627964026</v>
      </c>
      <c r="K17" s="25">
        <v>4</v>
      </c>
      <c r="L17" s="25">
        <v>446</v>
      </c>
      <c r="M17" s="26">
        <v>231</v>
      </c>
      <c r="N17" s="27">
        <f t="shared" si="3"/>
        <v>51.793721973094179</v>
      </c>
      <c r="O17" s="25">
        <v>3</v>
      </c>
      <c r="P17" s="25">
        <v>44</v>
      </c>
      <c r="Q17" s="26">
        <v>19</v>
      </c>
      <c r="R17" s="27">
        <f t="shared" si="4"/>
        <v>43.18181818181818</v>
      </c>
      <c r="S17" s="64" t="s">
        <v>19</v>
      </c>
    </row>
    <row r="18" spans="1:24" s="7" customFormat="1" ht="15.75">
      <c r="A18" s="24" t="s">
        <v>20</v>
      </c>
      <c r="B18" s="26">
        <f t="shared" si="5"/>
        <v>2983</v>
      </c>
      <c r="C18" s="27">
        <v>11</v>
      </c>
      <c r="D18" s="73">
        <v>652</v>
      </c>
      <c r="E18" s="26">
        <v>316</v>
      </c>
      <c r="F18" s="25">
        <f t="shared" si="0"/>
        <v>48.466257668711656</v>
      </c>
      <c r="G18" s="73">
        <v>9</v>
      </c>
      <c r="H18" s="25">
        <v>1768</v>
      </c>
      <c r="I18" s="26">
        <v>837</v>
      </c>
      <c r="J18" s="27">
        <f t="shared" si="2"/>
        <v>47.341628959276015</v>
      </c>
      <c r="K18" s="25">
        <v>9</v>
      </c>
      <c r="L18" s="25">
        <v>563</v>
      </c>
      <c r="M18" s="26">
        <v>272</v>
      </c>
      <c r="N18" s="27">
        <f t="shared" si="3"/>
        <v>48.312611012433393</v>
      </c>
      <c r="O18" s="25">
        <v>0</v>
      </c>
      <c r="P18" s="25">
        <v>0</v>
      </c>
      <c r="Q18" s="26">
        <v>0</v>
      </c>
      <c r="R18" s="27">
        <v>0</v>
      </c>
      <c r="S18" s="64" t="s">
        <v>21</v>
      </c>
    </row>
    <row r="19" spans="1:24" s="7" customFormat="1" ht="15.75">
      <c r="A19" s="24" t="s">
        <v>22</v>
      </c>
      <c r="B19" s="26">
        <f t="shared" si="5"/>
        <v>1914</v>
      </c>
      <c r="C19" s="27">
        <v>10</v>
      </c>
      <c r="D19" s="73">
        <v>369</v>
      </c>
      <c r="E19" s="26">
        <v>180</v>
      </c>
      <c r="F19" s="25">
        <f t="shared" si="0"/>
        <v>48.780487804878049</v>
      </c>
      <c r="G19" s="73">
        <v>8</v>
      </c>
      <c r="H19" s="25">
        <v>1167</v>
      </c>
      <c r="I19" s="26">
        <v>543</v>
      </c>
      <c r="J19" s="27">
        <f t="shared" si="2"/>
        <v>46.529562982005139</v>
      </c>
      <c r="K19" s="25">
        <v>8</v>
      </c>
      <c r="L19" s="25">
        <v>359</v>
      </c>
      <c r="M19" s="26">
        <v>176</v>
      </c>
      <c r="N19" s="27">
        <f t="shared" si="3"/>
        <v>49.025069637883007</v>
      </c>
      <c r="O19" s="25">
        <v>1</v>
      </c>
      <c r="P19" s="25">
        <v>19</v>
      </c>
      <c r="Q19" s="26">
        <v>9</v>
      </c>
      <c r="R19" s="27">
        <f t="shared" si="4"/>
        <v>47.368421052631575</v>
      </c>
      <c r="S19" s="64" t="s">
        <v>23</v>
      </c>
    </row>
    <row r="20" spans="1:24" s="7" customFormat="1" ht="15.75">
      <c r="A20" s="24" t="s">
        <v>24</v>
      </c>
      <c r="B20" s="26">
        <f t="shared" si="5"/>
        <v>2340</v>
      </c>
      <c r="C20" s="27">
        <v>13</v>
      </c>
      <c r="D20" s="73">
        <v>557</v>
      </c>
      <c r="E20" s="26">
        <v>269</v>
      </c>
      <c r="F20" s="25">
        <f t="shared" si="0"/>
        <v>48.29443447037702</v>
      </c>
      <c r="G20" s="73">
        <v>10</v>
      </c>
      <c r="H20" s="25">
        <v>1373</v>
      </c>
      <c r="I20" s="26">
        <v>639</v>
      </c>
      <c r="J20" s="27">
        <f t="shared" si="2"/>
        <v>46.540422432629278</v>
      </c>
      <c r="K20" s="25">
        <v>9</v>
      </c>
      <c r="L20" s="25">
        <v>410</v>
      </c>
      <c r="M20" s="26">
        <v>200</v>
      </c>
      <c r="N20" s="27">
        <f t="shared" si="3"/>
        <v>48.780487804878049</v>
      </c>
      <c r="O20" s="25">
        <v>0</v>
      </c>
      <c r="P20" s="25">
        <v>0</v>
      </c>
      <c r="Q20" s="26">
        <v>0</v>
      </c>
      <c r="R20" s="27">
        <v>0</v>
      </c>
      <c r="S20" s="64" t="s">
        <v>25</v>
      </c>
    </row>
    <row r="21" spans="1:24" s="7" customFormat="1" ht="15.75">
      <c r="A21" s="24" t="s">
        <v>26</v>
      </c>
      <c r="B21" s="26">
        <f t="shared" si="5"/>
        <v>383</v>
      </c>
      <c r="C21" s="27">
        <v>3</v>
      </c>
      <c r="D21" s="73">
        <v>86</v>
      </c>
      <c r="E21" s="26">
        <v>46</v>
      </c>
      <c r="F21" s="25">
        <f t="shared" si="0"/>
        <v>53.488372093023251</v>
      </c>
      <c r="G21" s="25">
        <v>3</v>
      </c>
      <c r="H21" s="25">
        <v>230</v>
      </c>
      <c r="I21" s="26">
        <v>109</v>
      </c>
      <c r="J21" s="27">
        <f t="shared" si="2"/>
        <v>47.391304347826086</v>
      </c>
      <c r="K21" s="25">
        <v>3</v>
      </c>
      <c r="L21" s="25">
        <v>67</v>
      </c>
      <c r="M21" s="26">
        <v>29</v>
      </c>
      <c r="N21" s="27">
        <f t="shared" si="3"/>
        <v>43.283582089552233</v>
      </c>
      <c r="O21" s="25">
        <v>0</v>
      </c>
      <c r="P21" s="25">
        <v>0</v>
      </c>
      <c r="Q21" s="26">
        <v>0</v>
      </c>
      <c r="R21" s="27">
        <v>0</v>
      </c>
      <c r="S21" s="64" t="s">
        <v>27</v>
      </c>
    </row>
    <row r="22" spans="1:24" s="7" customFormat="1" ht="15.75">
      <c r="A22" s="24" t="s">
        <v>28</v>
      </c>
      <c r="B22" s="26">
        <f t="shared" si="5"/>
        <v>1232</v>
      </c>
      <c r="C22" s="27">
        <v>8</v>
      </c>
      <c r="D22" s="73">
        <v>219</v>
      </c>
      <c r="E22" s="26">
        <v>103</v>
      </c>
      <c r="F22" s="25">
        <f t="shared" si="0"/>
        <v>47.031963470319631</v>
      </c>
      <c r="G22" s="25">
        <v>8</v>
      </c>
      <c r="H22" s="25">
        <v>751</v>
      </c>
      <c r="I22" s="26">
        <v>355</v>
      </c>
      <c r="J22" s="27">
        <f t="shared" si="2"/>
        <v>47.270306258322236</v>
      </c>
      <c r="K22" s="25">
        <v>5</v>
      </c>
      <c r="L22" s="25">
        <v>238</v>
      </c>
      <c r="M22" s="26">
        <v>128</v>
      </c>
      <c r="N22" s="27">
        <f t="shared" si="3"/>
        <v>53.781512605042018</v>
      </c>
      <c r="O22" s="25">
        <v>2</v>
      </c>
      <c r="P22" s="25">
        <v>24</v>
      </c>
      <c r="Q22" s="26">
        <v>11</v>
      </c>
      <c r="R22" s="27">
        <f t="shared" ref="R22:R30" si="6">Q22/P22*100</f>
        <v>45.833333333333329</v>
      </c>
      <c r="S22" s="64" t="s">
        <v>29</v>
      </c>
    </row>
    <row r="23" spans="1:24" s="7" customFormat="1" ht="15.75">
      <c r="A23" s="24" t="s">
        <v>30</v>
      </c>
      <c r="B23" s="26">
        <f t="shared" si="5"/>
        <v>1437</v>
      </c>
      <c r="C23" s="27">
        <v>5</v>
      </c>
      <c r="D23" s="73">
        <v>307</v>
      </c>
      <c r="E23" s="26">
        <v>140</v>
      </c>
      <c r="F23" s="25">
        <f t="shared" si="0"/>
        <v>45.602605863192181</v>
      </c>
      <c r="G23" s="25">
        <v>5</v>
      </c>
      <c r="H23" s="25">
        <v>798</v>
      </c>
      <c r="I23" s="26">
        <v>382</v>
      </c>
      <c r="J23" s="27">
        <f t="shared" si="2"/>
        <v>47.869674185463658</v>
      </c>
      <c r="K23" s="25">
        <v>5</v>
      </c>
      <c r="L23" s="25">
        <v>272</v>
      </c>
      <c r="M23" s="26">
        <v>131</v>
      </c>
      <c r="N23" s="27">
        <f t="shared" si="3"/>
        <v>48.161764705882355</v>
      </c>
      <c r="O23" s="25">
        <v>2</v>
      </c>
      <c r="P23" s="25">
        <v>60</v>
      </c>
      <c r="Q23" s="26">
        <v>35</v>
      </c>
      <c r="R23" s="27">
        <f t="shared" si="6"/>
        <v>58.333333333333336</v>
      </c>
      <c r="S23" s="64" t="s">
        <v>31</v>
      </c>
    </row>
    <row r="24" spans="1:24" s="7" customFormat="1" ht="15.75">
      <c r="A24" s="24" t="s">
        <v>32</v>
      </c>
      <c r="B24" s="26">
        <f t="shared" si="5"/>
        <v>1635</v>
      </c>
      <c r="C24" s="27">
        <v>8</v>
      </c>
      <c r="D24" s="73">
        <v>317</v>
      </c>
      <c r="E24" s="26">
        <v>166</v>
      </c>
      <c r="F24" s="25">
        <f t="shared" si="0"/>
        <v>52.365930599369079</v>
      </c>
      <c r="G24" s="25">
        <v>6</v>
      </c>
      <c r="H24" s="25">
        <v>967</v>
      </c>
      <c r="I24" s="26">
        <v>482</v>
      </c>
      <c r="J24" s="27">
        <f t="shared" si="2"/>
        <v>49.844881075491209</v>
      </c>
      <c r="K24" s="25">
        <v>6</v>
      </c>
      <c r="L24" s="25">
        <v>312</v>
      </c>
      <c r="M24" s="26">
        <v>161</v>
      </c>
      <c r="N24" s="27">
        <f t="shared" si="3"/>
        <v>51.602564102564109</v>
      </c>
      <c r="O24" s="25">
        <v>2</v>
      </c>
      <c r="P24" s="25">
        <v>39</v>
      </c>
      <c r="Q24" s="26">
        <v>23</v>
      </c>
      <c r="R24" s="27">
        <f t="shared" si="6"/>
        <v>58.974358974358978</v>
      </c>
      <c r="S24" s="64" t="s">
        <v>33</v>
      </c>
    </row>
    <row r="25" spans="1:24" s="7" customFormat="1" ht="15.75">
      <c r="A25" s="24" t="s">
        <v>34</v>
      </c>
      <c r="B25" s="26">
        <f t="shared" si="5"/>
        <v>2614</v>
      </c>
      <c r="C25" s="27">
        <v>14</v>
      </c>
      <c r="D25" s="73">
        <v>472</v>
      </c>
      <c r="E25" s="26">
        <v>240</v>
      </c>
      <c r="F25" s="25">
        <f t="shared" si="0"/>
        <v>50.847457627118644</v>
      </c>
      <c r="G25" s="25">
        <v>13</v>
      </c>
      <c r="H25" s="25">
        <v>1631</v>
      </c>
      <c r="I25" s="26">
        <v>794</v>
      </c>
      <c r="J25" s="27">
        <f t="shared" si="2"/>
        <v>48.681790312691604</v>
      </c>
      <c r="K25" s="25">
        <v>13</v>
      </c>
      <c r="L25" s="25">
        <v>462</v>
      </c>
      <c r="M25" s="26">
        <v>233</v>
      </c>
      <c r="N25" s="27">
        <f t="shared" si="3"/>
        <v>50.432900432900432</v>
      </c>
      <c r="O25" s="25">
        <v>3</v>
      </c>
      <c r="P25" s="25">
        <v>49</v>
      </c>
      <c r="Q25" s="26">
        <v>20</v>
      </c>
      <c r="R25" s="27">
        <f t="shared" si="6"/>
        <v>40.816326530612244</v>
      </c>
      <c r="S25" s="64" t="s">
        <v>35</v>
      </c>
    </row>
    <row r="26" spans="1:24" s="7" customFormat="1" ht="15.75">
      <c r="A26" s="24" t="s">
        <v>19</v>
      </c>
      <c r="B26" s="26">
        <f t="shared" si="5"/>
        <v>3555</v>
      </c>
      <c r="C26" s="27">
        <v>14</v>
      </c>
      <c r="D26" s="73">
        <v>714</v>
      </c>
      <c r="E26" s="26">
        <v>345</v>
      </c>
      <c r="F26" s="25">
        <f t="shared" si="0"/>
        <v>48.319327731092436</v>
      </c>
      <c r="G26" s="25">
        <v>13</v>
      </c>
      <c r="H26" s="25">
        <v>2087</v>
      </c>
      <c r="I26" s="26">
        <v>965</v>
      </c>
      <c r="J26" s="27">
        <f t="shared" si="2"/>
        <v>46.238620028749402</v>
      </c>
      <c r="K26" s="25">
        <v>12</v>
      </c>
      <c r="L26" s="25">
        <v>692</v>
      </c>
      <c r="M26" s="26">
        <v>330</v>
      </c>
      <c r="N26" s="27">
        <f t="shared" si="3"/>
        <v>47.687861271676304</v>
      </c>
      <c r="O26" s="25">
        <v>4</v>
      </c>
      <c r="P26" s="25">
        <v>62</v>
      </c>
      <c r="Q26" s="26">
        <v>35</v>
      </c>
      <c r="R26" s="27">
        <f t="shared" si="6"/>
        <v>56.451612903225815</v>
      </c>
      <c r="S26" s="64" t="s">
        <v>36</v>
      </c>
    </row>
    <row r="27" spans="1:24" s="7" customFormat="1" ht="15.75">
      <c r="A27" s="24" t="s">
        <v>37</v>
      </c>
      <c r="B27" s="26">
        <f t="shared" si="5"/>
        <v>2096</v>
      </c>
      <c r="C27" s="27">
        <v>11</v>
      </c>
      <c r="D27" s="73">
        <v>396</v>
      </c>
      <c r="E27" s="26">
        <v>193</v>
      </c>
      <c r="F27" s="25">
        <f t="shared" si="0"/>
        <v>48.737373737373737</v>
      </c>
      <c r="G27" s="25">
        <v>9</v>
      </c>
      <c r="H27" s="25">
        <v>1208</v>
      </c>
      <c r="I27" s="26">
        <v>571</v>
      </c>
      <c r="J27" s="27">
        <f t="shared" si="2"/>
        <v>47.268211920529801</v>
      </c>
      <c r="K27" s="25">
        <v>9</v>
      </c>
      <c r="L27" s="25">
        <v>471</v>
      </c>
      <c r="M27" s="26">
        <v>234</v>
      </c>
      <c r="N27" s="27">
        <f t="shared" si="3"/>
        <v>49.681528662420384</v>
      </c>
      <c r="O27" s="25">
        <v>1</v>
      </c>
      <c r="P27" s="25">
        <v>21</v>
      </c>
      <c r="Q27" s="26">
        <v>14</v>
      </c>
      <c r="R27" s="27">
        <f t="shared" si="6"/>
        <v>66.666666666666657</v>
      </c>
      <c r="S27" s="64" t="s">
        <v>38</v>
      </c>
    </row>
    <row r="28" spans="1:24" ht="15.75">
      <c r="A28" s="24" t="s">
        <v>39</v>
      </c>
      <c r="B28" s="26">
        <f t="shared" si="5"/>
        <v>3127</v>
      </c>
      <c r="C28" s="27">
        <v>12</v>
      </c>
      <c r="D28" s="73">
        <v>613</v>
      </c>
      <c r="E28" s="26">
        <v>291</v>
      </c>
      <c r="F28" s="25">
        <f t="shared" si="0"/>
        <v>47.471451876019579</v>
      </c>
      <c r="G28" s="25">
        <v>12</v>
      </c>
      <c r="H28" s="25">
        <v>1798</v>
      </c>
      <c r="I28" s="26">
        <v>836</v>
      </c>
      <c r="J28" s="27">
        <f t="shared" si="2"/>
        <v>46.496106785317018</v>
      </c>
      <c r="K28" s="25">
        <v>9</v>
      </c>
      <c r="L28" s="25">
        <v>665</v>
      </c>
      <c r="M28" s="26">
        <v>300</v>
      </c>
      <c r="N28" s="27">
        <f t="shared" si="3"/>
        <v>45.112781954887218</v>
      </c>
      <c r="O28" s="25">
        <v>1</v>
      </c>
      <c r="P28" s="25">
        <v>51</v>
      </c>
      <c r="Q28" s="26">
        <v>28</v>
      </c>
      <c r="R28" s="27">
        <f t="shared" si="6"/>
        <v>54.901960784313729</v>
      </c>
      <c r="S28" s="64" t="s">
        <v>40</v>
      </c>
    </row>
    <row r="29" spans="1:24" ht="15.75">
      <c r="A29" s="29" t="s">
        <v>41</v>
      </c>
      <c r="B29" s="26">
        <f t="shared" si="5"/>
        <v>2502</v>
      </c>
      <c r="C29" s="27">
        <v>6</v>
      </c>
      <c r="D29" s="73">
        <v>536</v>
      </c>
      <c r="E29" s="26">
        <v>260</v>
      </c>
      <c r="F29" s="25">
        <f t="shared" si="0"/>
        <v>48.507462686567166</v>
      </c>
      <c r="G29" s="25">
        <v>6</v>
      </c>
      <c r="H29" s="25">
        <v>1443</v>
      </c>
      <c r="I29" s="26">
        <v>692</v>
      </c>
      <c r="J29" s="27">
        <f t="shared" si="2"/>
        <v>47.955647955647954</v>
      </c>
      <c r="K29" s="25">
        <v>4</v>
      </c>
      <c r="L29" s="25">
        <v>448</v>
      </c>
      <c r="M29" s="26">
        <v>234</v>
      </c>
      <c r="N29" s="27">
        <f t="shared" si="3"/>
        <v>52.232142857142861</v>
      </c>
      <c r="O29" s="25">
        <v>1</v>
      </c>
      <c r="P29" s="25">
        <v>75</v>
      </c>
      <c r="Q29" s="26">
        <v>53</v>
      </c>
      <c r="R29" s="27">
        <f t="shared" si="6"/>
        <v>70.666666666666671</v>
      </c>
      <c r="S29" s="65" t="s">
        <v>12</v>
      </c>
    </row>
    <row r="30" spans="1:24" ht="15.75">
      <c r="A30" s="30" t="s">
        <v>11</v>
      </c>
      <c r="B30" s="32">
        <f t="shared" si="5"/>
        <v>5507</v>
      </c>
      <c r="C30" s="33">
        <v>11</v>
      </c>
      <c r="D30" s="74">
        <v>1064</v>
      </c>
      <c r="E30" s="32">
        <v>538</v>
      </c>
      <c r="F30" s="31">
        <f t="shared" si="0"/>
        <v>50.563909774436091</v>
      </c>
      <c r="G30" s="31">
        <v>11</v>
      </c>
      <c r="H30" s="31">
        <v>2997</v>
      </c>
      <c r="I30" s="32">
        <v>1444</v>
      </c>
      <c r="J30" s="33">
        <f t="shared" si="2"/>
        <v>48.181514848181514</v>
      </c>
      <c r="K30" s="31">
        <v>10</v>
      </c>
      <c r="L30" s="31">
        <v>1075</v>
      </c>
      <c r="M30" s="32">
        <v>546</v>
      </c>
      <c r="N30" s="33">
        <f t="shared" si="3"/>
        <v>50.790697674418603</v>
      </c>
      <c r="O30" s="31">
        <v>2</v>
      </c>
      <c r="P30" s="31">
        <v>371</v>
      </c>
      <c r="Q30" s="32">
        <v>200</v>
      </c>
      <c r="R30" s="33">
        <f t="shared" si="6"/>
        <v>53.908355795148246</v>
      </c>
      <c r="S30" s="66" t="s">
        <v>42</v>
      </c>
    </row>
    <row r="31" spans="1:24" s="45" customFormat="1" ht="18.75">
      <c r="A31" s="2" t="s">
        <v>66</v>
      </c>
      <c r="B31" s="34"/>
      <c r="C31" s="35"/>
      <c r="D31" s="34"/>
      <c r="E31" s="34"/>
      <c r="F31" s="36"/>
      <c r="G31" s="37"/>
      <c r="H31" s="38"/>
      <c r="I31" s="38"/>
      <c r="J31" s="37"/>
      <c r="K31" s="37"/>
      <c r="L31" s="39"/>
      <c r="M31" s="39"/>
      <c r="N31" s="40"/>
      <c r="O31" s="40"/>
      <c r="P31" s="39"/>
      <c r="Q31" s="39"/>
      <c r="R31" s="40"/>
      <c r="S31" s="41"/>
      <c r="T31" s="42"/>
      <c r="U31" s="43"/>
      <c r="V31" s="43"/>
      <c r="W31" s="43"/>
      <c r="X31" s="44"/>
    </row>
    <row r="32" spans="1:24" s="45" customFormat="1" ht="18.75" customHeight="1">
      <c r="A32" s="2" t="s">
        <v>67</v>
      </c>
      <c r="B32" s="34"/>
      <c r="C32" s="35"/>
      <c r="D32" s="34"/>
      <c r="E32" s="34"/>
      <c r="F32" s="46"/>
      <c r="G32" s="37"/>
      <c r="H32" s="38"/>
      <c r="I32" s="38"/>
      <c r="J32" s="37"/>
      <c r="K32" s="37"/>
      <c r="L32" s="47"/>
      <c r="M32" s="47"/>
      <c r="N32" s="47"/>
      <c r="O32" s="47"/>
      <c r="P32" s="47"/>
      <c r="Q32" s="47"/>
      <c r="R32" s="47"/>
      <c r="S32" s="41" t="s">
        <v>68</v>
      </c>
      <c r="T32" s="48"/>
      <c r="U32" s="70"/>
      <c r="V32" s="70"/>
      <c r="W32" s="70"/>
      <c r="X32" s="6"/>
    </row>
    <row r="33" spans="1:24" ht="17.25">
      <c r="A33" s="49" t="s">
        <v>69</v>
      </c>
      <c r="B33" s="50"/>
      <c r="C33" s="51"/>
      <c r="D33" s="52"/>
      <c r="E33" s="52"/>
      <c r="F33" s="53"/>
      <c r="G33" s="54"/>
      <c r="H33" s="38"/>
      <c r="I33" s="38"/>
      <c r="J33" s="54"/>
      <c r="K33" s="54"/>
      <c r="L33" s="75" t="s">
        <v>43</v>
      </c>
      <c r="M33" s="75"/>
      <c r="N33" s="75"/>
      <c r="O33" s="75"/>
      <c r="P33" s="75"/>
      <c r="Q33" s="75"/>
      <c r="R33" s="75"/>
      <c r="S33" s="75"/>
      <c r="T33" s="55"/>
      <c r="U33" s="56"/>
      <c r="V33" s="55"/>
      <c r="W33" s="56"/>
      <c r="X33" s="57"/>
    </row>
    <row r="34" spans="1:24">
      <c r="D34" s="58"/>
      <c r="E34" s="58"/>
      <c r="F34" s="59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0"/>
    </row>
    <row r="35" spans="1:24">
      <c r="B35" s="26"/>
      <c r="C35" s="26"/>
      <c r="D35" s="4"/>
      <c r="E35" s="4"/>
    </row>
    <row r="36" spans="1:24">
      <c r="B36" s="26"/>
      <c r="C36" s="26"/>
      <c r="D36" s="4"/>
      <c r="E36" s="4"/>
    </row>
    <row r="37" spans="1:24">
      <c r="B37" s="26"/>
      <c r="C37" s="26"/>
      <c r="D37" s="4"/>
      <c r="E37" s="4"/>
    </row>
  </sheetData>
  <mergeCells count="16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S4:S7"/>
    <mergeCell ref="O5:R5"/>
  </mergeCells>
  <pageMargins left="0.7" right="0.7" top="0.75" bottom="0.75" header="0.3" footer="0.3"/>
  <pageSetup paperSize="9" scale="62" orientation="portrait" horizontalDpi="4294967295" verticalDpi="4294967295" r:id="rId1"/>
  <ignoredErrors>
    <ignoredError sqref="F9:F10 J8:N8 J11 N11 J10:N10 J9 N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2021-07-05T07:02:00Z</cp:lastPrinted>
  <dcterms:created xsi:type="dcterms:W3CDTF">2019-02-28T08:20:57Z</dcterms:created>
  <dcterms:modified xsi:type="dcterms:W3CDTF">2021-07-05T07:02:29Z</dcterms:modified>
</cp:coreProperties>
</file>