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7. Education\"/>
    </mc:Choice>
  </mc:AlternateContent>
  <bookViews>
    <workbookView xWindow="-105" yWindow="-105" windowWidth="19425" windowHeight="10425" tabRatio="890"/>
  </bookViews>
  <sheets>
    <sheet name="7.12" sheetId="12" r:id="rId1"/>
  </sheets>
  <definedNames>
    <definedName name="_xlnm.Print_Area" localSheetId="0">'7.12'!$A$1:$W$97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8" i="12" l="1"/>
  <c r="U29" i="12" l="1"/>
  <c r="R29" i="12"/>
  <c r="N29" i="12"/>
  <c r="F29" i="12"/>
  <c r="U28" i="12"/>
  <c r="R28" i="12"/>
  <c r="N28" i="12"/>
  <c r="F28" i="12"/>
  <c r="U27" i="12"/>
  <c r="R27" i="12"/>
  <c r="N27" i="12"/>
  <c r="F27" i="12"/>
  <c r="U26" i="12"/>
  <c r="R26" i="12"/>
  <c r="N26" i="12"/>
  <c r="F26" i="12"/>
  <c r="U25" i="12"/>
  <c r="R25" i="12"/>
  <c r="N25" i="12"/>
  <c r="F25" i="12"/>
  <c r="U24" i="12"/>
  <c r="R24" i="12"/>
  <c r="N24" i="12"/>
  <c r="F24" i="12"/>
  <c r="U23" i="12"/>
  <c r="R23" i="12"/>
  <c r="N23" i="12"/>
  <c r="F23" i="12"/>
  <c r="U22" i="12"/>
  <c r="R22" i="12"/>
  <c r="N22" i="12"/>
  <c r="F22" i="12"/>
  <c r="U21" i="12"/>
  <c r="R21" i="12"/>
  <c r="N21" i="12"/>
  <c r="F21" i="12"/>
  <c r="U20" i="12"/>
  <c r="R20" i="12"/>
  <c r="N20" i="12"/>
  <c r="F20" i="12"/>
  <c r="U19" i="12"/>
  <c r="R19" i="12"/>
  <c r="N19" i="12"/>
  <c r="F19" i="12"/>
  <c r="U18" i="12"/>
  <c r="R18" i="12"/>
  <c r="N18" i="12"/>
  <c r="F18" i="12"/>
  <c r="U17" i="12"/>
  <c r="R17" i="12"/>
  <c r="N17" i="12"/>
  <c r="F17" i="12"/>
  <c r="U16" i="12"/>
  <c r="R16" i="12"/>
  <c r="N16" i="12"/>
  <c r="F16" i="12"/>
  <c r="U15" i="12"/>
  <c r="R15" i="12"/>
  <c r="N15" i="12"/>
  <c r="F15" i="12"/>
  <c r="U14" i="12"/>
  <c r="R14" i="12"/>
  <c r="N14" i="12"/>
  <c r="F14" i="12"/>
  <c r="U13" i="12"/>
  <c r="R13" i="12"/>
  <c r="N13" i="12"/>
  <c r="F13" i="12"/>
  <c r="U12" i="12"/>
  <c r="R12" i="12"/>
  <c r="N12" i="12"/>
  <c r="F12" i="12"/>
  <c r="U11" i="12"/>
  <c r="R11" i="12"/>
  <c r="N11" i="12"/>
  <c r="F11" i="12"/>
  <c r="U10" i="12"/>
  <c r="R10" i="12"/>
  <c r="N10" i="12"/>
  <c r="F10" i="12"/>
  <c r="V9" i="12"/>
  <c r="V7" i="12" s="1"/>
  <c r="T9" i="12"/>
  <c r="T7" i="12" s="1"/>
  <c r="S9" i="12"/>
  <c r="S7" i="12" s="1"/>
  <c r="Q9" i="12"/>
  <c r="Q7" i="12" s="1"/>
  <c r="P9" i="12"/>
  <c r="P7" i="12" s="1"/>
  <c r="O9" i="12"/>
  <c r="O7" i="12" s="1"/>
  <c r="M9" i="12"/>
  <c r="M7" i="12" s="1"/>
  <c r="L9" i="12"/>
  <c r="L7" i="12" s="1"/>
  <c r="K9" i="12"/>
  <c r="K7" i="12" s="1"/>
  <c r="J9" i="12"/>
  <c r="J7" i="12" s="1"/>
  <c r="I9" i="12"/>
  <c r="I7" i="12" s="1"/>
  <c r="H9" i="12"/>
  <c r="H7" i="12" s="1"/>
  <c r="G9" i="12"/>
  <c r="G7" i="12" s="1"/>
  <c r="E9" i="12"/>
  <c r="E7" i="12" s="1"/>
  <c r="D9" i="12"/>
  <c r="D7" i="12" s="1"/>
  <c r="C9" i="12"/>
  <c r="C7" i="12" s="1"/>
  <c r="AL65" i="12"/>
  <c r="R8" i="12"/>
  <c r="AL66" i="12" s="1"/>
  <c r="N8" i="12"/>
  <c r="AL67" i="12" s="1"/>
  <c r="F8" i="12"/>
  <c r="AL68" i="12" s="1"/>
  <c r="B17" i="12" l="1"/>
  <c r="B11" i="12"/>
  <c r="B18" i="12"/>
  <c r="B19" i="12"/>
  <c r="B20" i="12"/>
  <c r="B24" i="12"/>
  <c r="B25" i="12"/>
  <c r="R9" i="12"/>
  <c r="R7" i="12" s="1"/>
  <c r="AK66" i="12" s="1"/>
  <c r="B14" i="12"/>
  <c r="B26" i="12"/>
  <c r="B28" i="12"/>
  <c r="B22" i="12"/>
  <c r="N9" i="12"/>
  <c r="AM67" i="12" s="1"/>
  <c r="B13" i="12"/>
  <c r="B15" i="12"/>
  <c r="B21" i="12"/>
  <c r="B23" i="12"/>
  <c r="B27" i="12"/>
  <c r="U9" i="12"/>
  <c r="U7" i="12" s="1"/>
  <c r="AK65" i="12" s="1"/>
  <c r="B29" i="12"/>
  <c r="B10" i="12"/>
  <c r="B12" i="12"/>
  <c r="B16" i="12"/>
  <c r="B8" i="12"/>
  <c r="F9" i="12"/>
  <c r="AM68" i="12" s="1"/>
  <c r="AM66" i="12" l="1"/>
  <c r="N7" i="12"/>
  <c r="AK67" i="12" s="1"/>
  <c r="AM65" i="12"/>
  <c r="F7" i="12"/>
  <c r="B9" i="12"/>
  <c r="B7" i="12" l="1"/>
  <c r="AK68" i="12"/>
</calcChain>
</file>

<file path=xl/sharedStrings.xml><?xml version="1.0" encoding="utf-8"?>
<sst xmlns="http://schemas.openxmlformats.org/spreadsheetml/2006/main" count="78" uniqueCount="51">
  <si>
    <t>Total</t>
  </si>
  <si>
    <t>Republic</t>
  </si>
  <si>
    <t>Male'</t>
  </si>
  <si>
    <t>Atolls</t>
  </si>
  <si>
    <t>Source: Ministry of Education</t>
  </si>
  <si>
    <t>cnwxEkuaiDea cfoa IrcTcsinim :ctWrwf ivcaed utWmUluAwm</t>
  </si>
  <si>
    <t>Primary</t>
  </si>
  <si>
    <t>Higher Secondary</t>
  </si>
  <si>
    <t>Haa Alifu</t>
  </si>
  <si>
    <t>Haa Dhaalu</t>
  </si>
  <si>
    <t>Shaviyani</t>
  </si>
  <si>
    <t>Noonu</t>
  </si>
  <si>
    <t>Raa</t>
  </si>
  <si>
    <t>Baa</t>
  </si>
  <si>
    <t>Lhaviyani</t>
  </si>
  <si>
    <t>Kaafu</t>
  </si>
  <si>
    <t>Alifu Alifu</t>
  </si>
  <si>
    <t>Alifu Dhaalu</t>
  </si>
  <si>
    <t>Vaavu</t>
  </si>
  <si>
    <t>Meemu</t>
  </si>
  <si>
    <t>Faafu</t>
  </si>
  <si>
    <t>Dhaalu</t>
  </si>
  <si>
    <t>Thaa</t>
  </si>
  <si>
    <t>Laamu</t>
  </si>
  <si>
    <t>Gaafu Alifu</t>
  </si>
  <si>
    <t>Gaafu Dhaalu</t>
  </si>
  <si>
    <t>Gnaviyani</t>
  </si>
  <si>
    <t>Seenu</t>
  </si>
  <si>
    <t>Pre-Primary</t>
  </si>
  <si>
    <t>Special Classes</t>
  </si>
  <si>
    <t>Name of Atoll</t>
  </si>
  <si>
    <t>Secondary</t>
  </si>
  <si>
    <t>Nurs.</t>
  </si>
  <si>
    <t>LKG</t>
  </si>
  <si>
    <t>UKG</t>
  </si>
  <si>
    <t>Gr. 1</t>
  </si>
  <si>
    <t>Gr. 2</t>
  </si>
  <si>
    <t>Gr. 3</t>
  </si>
  <si>
    <t>Gr. 4</t>
  </si>
  <si>
    <t>Gr. 5</t>
  </si>
  <si>
    <t>Gr. 6</t>
  </si>
  <si>
    <t>Gr. 7</t>
  </si>
  <si>
    <t>Gr. 8</t>
  </si>
  <si>
    <t>Gr. 9</t>
  </si>
  <si>
    <t>Gr. 10</t>
  </si>
  <si>
    <t>Gr. 11</t>
  </si>
  <si>
    <t>Gr. 12</t>
  </si>
  <si>
    <t>TOTAL</t>
  </si>
  <si>
    <t xml:space="preserve">Atolls </t>
  </si>
  <si>
    <t>Table  7.12 : STUDENTS ENROLMENT IN MALE' AND ATOLLS BY GRADE, 2020</t>
  </si>
  <si>
    <t xml:space="preserve"> 2020 ,cnikwv cDErcg udwdwA egcnidukWvwyik ibit iawgukwtuLotwa iaWaelWm :7.12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</si>
</sst>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#,##0;[Red]#,##0"/>
    <numFmt numFmtId="167" formatCode="_(* #,##0_);_(* \(#,##0\);_(* &quot;-&quot;??_);_(@_)"/>
    <numFmt numFmtId="168" formatCode="_(* ###0_);_(* \(###0\);_(* &quot;&quot;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sz val="9"/>
      <name val="Calibri"/>
      <family val="2"/>
      <scheme val="minor"/>
    </font>
    <font>
      <u/>
      <sz val="10"/>
      <color indexed="12"/>
      <name val="Courier"/>
      <family val="3"/>
    </font>
    <font>
      <i/>
      <sz val="9"/>
      <name val="Calibri"/>
      <family val="2"/>
      <scheme val="minor"/>
    </font>
    <font>
      <i/>
      <sz val="9"/>
      <name val="Arial"/>
      <family val="2"/>
    </font>
    <font>
      <u/>
      <sz val="9"/>
      <color indexed="12"/>
      <name val="Courier"/>
      <family val="3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A_Faseyha"/>
    </font>
    <font>
      <sz val="6.5"/>
      <name val="Calibri"/>
      <family val="2"/>
      <scheme val="minor"/>
    </font>
    <font>
      <b/>
      <sz val="14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Arial"/>
      <family val="2"/>
    </font>
    <font>
      <sz val="10"/>
      <name val="MS Sans Serif"/>
      <family val="2"/>
    </font>
    <font>
      <sz val="6.5"/>
      <name val="Faruma"/>
    </font>
    <font>
      <b/>
      <sz val="8"/>
      <name val="A_Haleem Rasmee"/>
      <family val="2"/>
      <charset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4" fillId="0" borderId="0"/>
    <xf numFmtId="167" fontId="4" fillId="0" borderId="0"/>
    <xf numFmtId="0" fontId="2" fillId="0" borderId="0"/>
    <xf numFmtId="0" fontId="2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9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</cellStyleXfs>
  <cellXfs count="69">
    <xf numFmtId="0" fontId="0" fillId="0" borderId="0" xfId="0"/>
    <xf numFmtId="164" fontId="5" fillId="2" borderId="0" xfId="0" applyNumberFormat="1" applyFont="1" applyFill="1" applyBorder="1" applyAlignment="1">
      <alignment vertical="center"/>
    </xf>
    <xf numFmtId="164" fontId="5" fillId="2" borderId="0" xfId="0" applyNumberFormat="1" applyFont="1" applyFill="1"/>
    <xf numFmtId="164" fontId="8" fillId="2" borderId="0" xfId="0" applyNumberFormat="1" applyFont="1" applyFill="1" applyAlignment="1" applyProtection="1">
      <alignment horizontal="left" vertical="center"/>
    </xf>
    <xf numFmtId="164" fontId="9" fillId="2" borderId="0" xfId="0" applyNumberFormat="1" applyFont="1" applyFill="1" applyAlignment="1" applyProtection="1">
      <alignment horizontal="left" vertical="center"/>
    </xf>
    <xf numFmtId="164" fontId="9" fillId="2" borderId="0" xfId="0" applyNumberFormat="1" applyFont="1" applyFill="1" applyAlignment="1" applyProtection="1">
      <alignment horizontal="right" vertical="center"/>
    </xf>
    <xf numFmtId="164" fontId="6" fillId="2" borderId="0" xfId="0" applyNumberFormat="1" applyFont="1" applyFill="1"/>
    <xf numFmtId="164" fontId="10" fillId="2" borderId="0" xfId="2" applyNumberFormat="1" applyFont="1" applyFill="1" applyAlignment="1" applyProtection="1"/>
    <xf numFmtId="0" fontId="14" fillId="2" borderId="0" xfId="0" applyFont="1" applyFill="1" applyBorder="1"/>
    <xf numFmtId="0" fontId="14" fillId="2" borderId="0" xfId="0" applyFont="1" applyFill="1" applyBorder="1" applyAlignment="1">
      <alignment horizontal="left"/>
    </xf>
    <xf numFmtId="0" fontId="14" fillId="2" borderId="0" xfId="0" applyFont="1" applyFill="1" applyBorder="1" applyAlignment="1"/>
    <xf numFmtId="0" fontId="14" fillId="2" borderId="0" xfId="0" applyFont="1" applyFill="1" applyBorder="1" applyAlignment="1">
      <alignment horizontal="center"/>
    </xf>
    <xf numFmtId="0" fontId="16" fillId="2" borderId="0" xfId="0" applyFont="1" applyFill="1" applyBorder="1" applyAlignment="1">
      <alignment vertical="center"/>
    </xf>
    <xf numFmtId="3" fontId="3" fillId="2" borderId="2" xfId="1" applyNumberFormat="1" applyFont="1" applyFill="1" applyBorder="1" applyAlignment="1">
      <alignment horizontal="right" vertical="center"/>
    </xf>
    <xf numFmtId="3" fontId="3" fillId="2" borderId="7" xfId="1" applyNumberFormat="1" applyFont="1" applyFill="1" applyBorder="1" applyAlignment="1">
      <alignment horizontal="right" vertical="center"/>
    </xf>
    <xf numFmtId="3" fontId="3" fillId="2" borderId="8" xfId="1" applyNumberFormat="1" applyFont="1" applyFill="1" applyBorder="1" applyAlignment="1">
      <alignment horizontal="right" vertical="center"/>
    </xf>
    <xf numFmtId="0" fontId="16" fillId="2" borderId="0" xfId="0" applyFont="1" applyFill="1" applyBorder="1"/>
    <xf numFmtId="3" fontId="3" fillId="2" borderId="0" xfId="1" applyNumberFormat="1" applyFont="1" applyFill="1" applyBorder="1" applyAlignment="1">
      <alignment horizontal="right" vertical="center"/>
    </xf>
    <xf numFmtId="3" fontId="3" fillId="2" borderId="5" xfId="1" applyNumberFormat="1" applyFont="1" applyFill="1" applyBorder="1" applyAlignment="1">
      <alignment horizontal="right" vertical="center"/>
    </xf>
    <xf numFmtId="3" fontId="3" fillId="2" borderId="3" xfId="1" applyNumberFormat="1" applyFont="1" applyFill="1" applyBorder="1" applyAlignment="1">
      <alignment horizontal="right" vertical="center"/>
    </xf>
    <xf numFmtId="0" fontId="17" fillId="2" borderId="0" xfId="0" applyFont="1" applyFill="1" applyBorder="1"/>
    <xf numFmtId="3" fontId="11" fillId="2" borderId="0" xfId="1" applyNumberFormat="1" applyFont="1" applyFill="1" applyBorder="1" applyAlignment="1">
      <alignment horizontal="right" vertical="center"/>
    </xf>
    <xf numFmtId="3" fontId="11" fillId="2" borderId="3" xfId="1" applyNumberFormat="1" applyFont="1" applyFill="1" applyBorder="1" applyAlignment="1">
      <alignment horizontal="right" vertical="center"/>
    </xf>
    <xf numFmtId="3" fontId="3" fillId="2" borderId="1" xfId="1" applyNumberFormat="1" applyFont="1" applyFill="1" applyBorder="1" applyAlignment="1">
      <alignment horizontal="right" vertical="center"/>
    </xf>
    <xf numFmtId="3" fontId="11" fillId="2" borderId="1" xfId="1" applyNumberFormat="1" applyFont="1" applyFill="1" applyBorder="1" applyAlignment="1">
      <alignment horizontal="right" vertical="center"/>
    </xf>
    <xf numFmtId="3" fontId="11" fillId="2" borderId="4" xfId="1" applyNumberFormat="1" applyFont="1" applyFill="1" applyBorder="1" applyAlignment="1">
      <alignment horizontal="right" vertical="center"/>
    </xf>
    <xf numFmtId="168" fontId="17" fillId="2" borderId="0" xfId="0" applyNumberFormat="1" applyFont="1" applyFill="1" applyBorder="1"/>
    <xf numFmtId="164" fontId="18" fillId="2" borderId="0" xfId="0" applyNumberFormat="1" applyFont="1" applyFill="1"/>
    <xf numFmtId="167" fontId="14" fillId="2" borderId="0" xfId="0" applyNumberFormat="1" applyFont="1" applyFill="1" applyBorder="1" applyAlignment="1">
      <alignment horizontal="center"/>
    </xf>
    <xf numFmtId="167" fontId="17" fillId="2" borderId="0" xfId="0" applyNumberFormat="1" applyFont="1" applyFill="1" applyBorder="1"/>
    <xf numFmtId="0" fontId="3" fillId="2" borderId="2" xfId="0" applyFont="1" applyFill="1" applyBorder="1" applyAlignment="1">
      <alignment horizontal="left" vertical="center"/>
    </xf>
    <xf numFmtId="3" fontId="3" fillId="2" borderId="2" xfId="1" applyNumberFormat="1" applyFont="1" applyFill="1" applyBorder="1" applyAlignment="1">
      <alignment horizontal="right" vertical="center" indent="2"/>
    </xf>
    <xf numFmtId="0" fontId="3" fillId="2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 indent="1"/>
    </xf>
    <xf numFmtId="0" fontId="11" fillId="2" borderId="1" xfId="0" applyFont="1" applyFill="1" applyBorder="1" applyAlignment="1">
      <alignment horizontal="left" indent="1"/>
    </xf>
    <xf numFmtId="3" fontId="3" fillId="2" borderId="5" xfId="1" applyNumberFormat="1" applyFont="1" applyFill="1" applyBorder="1" applyAlignment="1">
      <alignment horizontal="right" vertical="center" indent="2"/>
    </xf>
    <xf numFmtId="3" fontId="16" fillId="2" borderId="0" xfId="0" applyNumberFormat="1" applyFont="1" applyFill="1" applyBorder="1"/>
    <xf numFmtId="0" fontId="20" fillId="2" borderId="0" xfId="0" applyFont="1" applyFill="1" applyBorder="1" applyAlignment="1">
      <alignment horizontal="center"/>
    </xf>
    <xf numFmtId="3" fontId="3" fillId="2" borderId="0" xfId="1" applyNumberFormat="1" applyFont="1" applyFill="1" applyBorder="1" applyAlignment="1">
      <alignment horizontal="right" vertical="center" indent="2"/>
    </xf>
    <xf numFmtId="3" fontId="11" fillId="2" borderId="5" xfId="1" applyNumberFormat="1" applyFont="1" applyFill="1" applyBorder="1" applyAlignment="1">
      <alignment horizontal="right" vertical="center"/>
    </xf>
    <xf numFmtId="3" fontId="11" fillId="2" borderId="0" xfId="1" applyNumberFormat="1" applyFont="1" applyFill="1" applyBorder="1" applyAlignment="1">
      <alignment horizontal="right" vertical="center" indent="2"/>
    </xf>
    <xf numFmtId="3" fontId="11" fillId="2" borderId="5" xfId="1" applyNumberFormat="1" applyFont="1" applyFill="1" applyBorder="1" applyAlignment="1">
      <alignment horizontal="right" vertical="center" indent="1"/>
    </xf>
    <xf numFmtId="3" fontId="11" fillId="2" borderId="0" xfId="1" applyNumberFormat="1" applyFont="1" applyFill="1" applyBorder="1" applyAlignment="1">
      <alignment horizontal="right" vertical="center" indent="1"/>
    </xf>
    <xf numFmtId="3" fontId="11" fillId="2" borderId="6" xfId="1" applyNumberFormat="1" applyFont="1" applyFill="1" applyBorder="1" applyAlignment="1">
      <alignment horizontal="right" vertical="center"/>
    </xf>
    <xf numFmtId="3" fontId="11" fillId="2" borderId="6" xfId="1" applyNumberFormat="1" applyFont="1" applyFill="1" applyBorder="1" applyAlignment="1">
      <alignment horizontal="right" vertical="center" indent="2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13" fillId="2" borderId="0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15" fillId="2" borderId="0" xfId="0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left" vertical="center"/>
    </xf>
    <xf numFmtId="1" fontId="3" fillId="2" borderId="0" xfId="0" applyNumberFormat="1" applyFont="1" applyFill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" fontId="3" fillId="2" borderId="7" xfId="0" applyNumberFormat="1" applyFont="1" applyFill="1" applyBorder="1" applyAlignment="1">
      <alignment horizontal="center" vertical="center" wrapText="1"/>
    </xf>
    <xf numFmtId="1" fontId="3" fillId="2" borderId="5" xfId="0" applyNumberFormat="1" applyFont="1" applyFill="1" applyBorder="1" applyAlignment="1">
      <alignment horizontal="center" vertical="center" wrapText="1"/>
    </xf>
    <xf numFmtId="1" fontId="3" fillId="2" borderId="6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2" borderId="8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164" fontId="21" fillId="2" borderId="0" xfId="0" applyNumberFormat="1" applyFont="1" applyFill="1" applyBorder="1" applyAlignment="1">
      <alignment horizontal="right" vertical="center"/>
    </xf>
  </cellXfs>
  <cellStyles count="15">
    <cellStyle name="Comma" xfId="1" builtinId="3"/>
    <cellStyle name="Comma 2" xfId="11"/>
    <cellStyle name="Hyperlink" xfId="2" builtinId="8"/>
    <cellStyle name="Normal" xfId="0" builtinId="0"/>
    <cellStyle name="Normal 10" xfId="6"/>
    <cellStyle name="Normal 2 2 2" xfId="3"/>
    <cellStyle name="Normal 2 26" xfId="14"/>
    <cellStyle name="Normal 37" xfId="5"/>
    <cellStyle name="Normal 6" xfId="10"/>
    <cellStyle name="Normal 6 4" xfId="9"/>
    <cellStyle name="Normal 7" xfId="8"/>
    <cellStyle name="Normal 7 4" xfId="7"/>
    <cellStyle name="Normal 8" xfId="4"/>
    <cellStyle name="Normal 8 2" xfId="12"/>
    <cellStyle name="Normal 8 2 3" xfId="13"/>
  </cellStyles>
  <dxfs count="0"/>
  <tableStyles count="0" defaultTableStyle="TableStyleMedium2" defaultPivotStyle="PivotStyleLight16"/>
  <colors>
    <mruColors>
      <color rgb="FFFF9900"/>
      <color rgb="FF33CCCC"/>
      <color rgb="FF249390"/>
      <color rgb="FFC8F4F2"/>
      <color rgb="FFEBFBFA"/>
      <color rgb="FF196563"/>
      <color rgb="FFDDF8F7"/>
      <color rgb="FFEAFAFA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592720239043599E-2"/>
          <c:y val="0.13523127883226979"/>
          <c:w val="0.93420777674356204"/>
          <c:h val="0.782657050842869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'7.12'!$AK$6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'7.12'!$AJ$7:$AJ$21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'7.12'!$AK$7:$AK$21</c:f>
              <c:numCache>
                <c:formatCode>#,##0</c:formatCode>
                <c:ptCount val="15"/>
                <c:pt idx="0">
                  <c:v>2753</c:v>
                </c:pt>
                <c:pt idx="1">
                  <c:v>8701</c:v>
                </c:pt>
                <c:pt idx="2" formatCode="General">
                  <c:v>7195</c:v>
                </c:pt>
                <c:pt idx="3" formatCode="General">
                  <c:v>7261</c:v>
                </c:pt>
                <c:pt idx="4" formatCode="General">
                  <c:v>7548</c:v>
                </c:pt>
                <c:pt idx="5" formatCode="General">
                  <c:v>7659</c:v>
                </c:pt>
                <c:pt idx="6" formatCode="General">
                  <c:v>7376</c:v>
                </c:pt>
                <c:pt idx="7" formatCode="General">
                  <c:v>7433</c:v>
                </c:pt>
                <c:pt idx="8" formatCode="General">
                  <c:v>7180</c:v>
                </c:pt>
                <c:pt idx="9" formatCode="General">
                  <c:v>6781</c:v>
                </c:pt>
                <c:pt idx="10" formatCode="General">
                  <c:v>6026</c:v>
                </c:pt>
                <c:pt idx="11" formatCode="General">
                  <c:v>5654</c:v>
                </c:pt>
                <c:pt idx="12" formatCode="General">
                  <c:v>5351</c:v>
                </c:pt>
                <c:pt idx="13" formatCode="General">
                  <c:v>2021</c:v>
                </c:pt>
                <c:pt idx="14" formatCode="General">
                  <c:v>1544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5-4FA4-BD2D-070D9933D117}"/>
            </c:ext>
          </c:extLst>
        </c:ser>
        <c:ser>
          <c:idx val="1"/>
          <c:order val="1"/>
          <c:tx>
            <c:strRef>
              <c:f>'7.12'!$AL$6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f>'7.12'!$AJ$7:$AJ$21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'7.12'!$AL$7:$AL$21</c:f>
              <c:numCache>
                <c:formatCode>General</c:formatCode>
                <c:ptCount val="15"/>
                <c:pt idx="0">
                  <c:v>1853</c:v>
                </c:pt>
                <c:pt idx="1">
                  <c:v>2960</c:v>
                </c:pt>
                <c:pt idx="2">
                  <c:v>2496</c:v>
                </c:pt>
                <c:pt idx="3">
                  <c:v>2508</c:v>
                </c:pt>
                <c:pt idx="4">
                  <c:v>2657</c:v>
                </c:pt>
                <c:pt idx="5">
                  <c:v>2698</c:v>
                </c:pt>
                <c:pt idx="6">
                  <c:v>2597</c:v>
                </c:pt>
                <c:pt idx="7">
                  <c:v>2562</c:v>
                </c:pt>
                <c:pt idx="8">
                  <c:v>2537</c:v>
                </c:pt>
                <c:pt idx="9">
                  <c:v>2440</c:v>
                </c:pt>
                <c:pt idx="10">
                  <c:v>2150</c:v>
                </c:pt>
                <c:pt idx="11">
                  <c:v>2080</c:v>
                </c:pt>
                <c:pt idx="12">
                  <c:v>1936</c:v>
                </c:pt>
                <c:pt idx="13">
                  <c:v>1231</c:v>
                </c:pt>
                <c:pt idx="14">
                  <c:v>1052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45-4FA4-BD2D-070D9933D117}"/>
            </c:ext>
          </c:extLst>
        </c:ser>
        <c:ser>
          <c:idx val="2"/>
          <c:order val="2"/>
          <c:tx>
            <c:strRef>
              <c:f>'7.12'!$AM$6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249390"/>
            </a:solidFill>
            <a:ln>
              <a:noFill/>
            </a:ln>
            <a:effectLst/>
          </c:spPr>
          <c:invertIfNegative val="0"/>
          <c:cat>
            <c:strRef>
              <c:f>'7.12'!$AJ$7:$AJ$21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'7.12'!$AM$7:$AM$21</c:f>
              <c:numCache>
                <c:formatCode>General</c:formatCode>
                <c:ptCount val="15"/>
                <c:pt idx="0">
                  <c:v>900</c:v>
                </c:pt>
                <c:pt idx="1">
                  <c:v>5741</c:v>
                </c:pt>
                <c:pt idx="2">
                  <c:v>4699</c:v>
                </c:pt>
                <c:pt idx="3">
                  <c:v>4753</c:v>
                </c:pt>
                <c:pt idx="4">
                  <c:v>4891</c:v>
                </c:pt>
                <c:pt idx="5">
                  <c:v>4961</c:v>
                </c:pt>
                <c:pt idx="6">
                  <c:v>4779</c:v>
                </c:pt>
                <c:pt idx="7">
                  <c:v>4871</c:v>
                </c:pt>
                <c:pt idx="8">
                  <c:v>4643</c:v>
                </c:pt>
                <c:pt idx="9">
                  <c:v>4341</c:v>
                </c:pt>
                <c:pt idx="10">
                  <c:v>3876</c:v>
                </c:pt>
                <c:pt idx="11">
                  <c:v>3574</c:v>
                </c:pt>
                <c:pt idx="12">
                  <c:v>3415</c:v>
                </c:pt>
                <c:pt idx="13">
                  <c:v>790</c:v>
                </c:pt>
                <c:pt idx="14">
                  <c:v>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45-4FA4-BD2D-070D9933D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axId val="453627280"/>
        <c:axId val="453629240"/>
      </c:barChart>
      <c:catAx>
        <c:axId val="45362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629240"/>
        <c:crosses val="autoZero"/>
        <c:auto val="1"/>
        <c:lblAlgn val="ctr"/>
        <c:lblOffset val="100"/>
        <c:noMultiLvlLbl val="0"/>
      </c:catAx>
      <c:valAx>
        <c:axId val="453629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F4F2"/>
              </a:solidFill>
              <a:prstDash val="sysDot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627280"/>
        <c:crosses val="autoZero"/>
        <c:crossBetween val="between"/>
      </c:valAx>
      <c:spPr>
        <a:solidFill>
          <a:srgbClr val="EBFBFA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0945340509779657"/>
          <c:y val="0.23078954870720864"/>
          <c:w val="0.22593399467239123"/>
          <c:h val="6.35554643864086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2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+mn-lt"/>
              </a:rPr>
              <a:t>Figure 7.11: Number of students enrolled by level, 2020</a:t>
            </a:r>
          </a:p>
        </c:rich>
      </c:tx>
      <c:layout>
        <c:manualLayout>
          <c:xMode val="edge"/>
          <c:yMode val="edge"/>
          <c:x val="0.30241550462155098"/>
          <c:y val="2.34110407148757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90339482926805"/>
          <c:y val="0.12273835480216011"/>
          <c:w val="0.85189344987286164"/>
          <c:h val="0.783080684596576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'7.12'!$AM$64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249390"/>
            </a:solidFill>
            <a:ln>
              <a:noFill/>
            </a:ln>
            <a:effectLst/>
          </c:spPr>
          <c:invertIfNegative val="0"/>
          <c:cat>
            <c:strRef>
              <c:f>'7.12'!$AI$65:$AJ$68</c:f>
              <c:strCache>
                <c:ptCount val="4"/>
                <c:pt idx="0">
                  <c:v>Higher Secondary</c:v>
                </c:pt>
                <c:pt idx="1">
                  <c:v>Secondary</c:v>
                </c:pt>
                <c:pt idx="2">
                  <c:v>Primary</c:v>
                </c:pt>
                <c:pt idx="3">
                  <c:v>Pre-Primary</c:v>
                </c:pt>
              </c:strCache>
            </c:strRef>
          </c:cat>
          <c:val>
            <c:numRef>
              <c:f>'7.12'!$AM$65:$AM$68</c:f>
              <c:numCache>
                <c:formatCode>_(* #,##0_);_(* \(#,##0\);_(* "-"??_);_(@_)</c:formatCode>
                <c:ptCount val="4"/>
                <c:pt idx="0">
                  <c:v>1282</c:v>
                </c:pt>
                <c:pt idx="1">
                  <c:v>10865</c:v>
                </c:pt>
                <c:pt idx="2">
                  <c:v>33239</c:v>
                </c:pt>
                <c:pt idx="3">
                  <c:v>11340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BD-4371-BEBD-ED73BE3F06B5}"/>
            </c:ext>
          </c:extLst>
        </c:ser>
        <c:ser>
          <c:idx val="1"/>
          <c:order val="1"/>
          <c:tx>
            <c:strRef>
              <c:f>'7.12'!$AL$64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f>'7.12'!$AI$65:$AJ$68</c:f>
              <c:strCache>
                <c:ptCount val="4"/>
                <c:pt idx="0">
                  <c:v>Higher Secondary</c:v>
                </c:pt>
                <c:pt idx="1">
                  <c:v>Secondary</c:v>
                </c:pt>
                <c:pt idx="2">
                  <c:v>Primary</c:v>
                </c:pt>
                <c:pt idx="3">
                  <c:v>Pre-Primary</c:v>
                </c:pt>
              </c:strCache>
            </c:strRef>
          </c:cat>
          <c:val>
            <c:numRef>
              <c:f>'7.12'!$AL$65:$AL$68</c:f>
              <c:numCache>
                <c:formatCode>_(* #,##0_);_(* \(#,##0\);_(* "-"??_);_(@_)</c:formatCode>
                <c:ptCount val="4"/>
                <c:pt idx="0">
                  <c:v>2283</c:v>
                </c:pt>
                <c:pt idx="1">
                  <c:v>6166</c:v>
                </c:pt>
                <c:pt idx="2">
                  <c:v>17999</c:v>
                </c:pt>
                <c:pt idx="3">
                  <c:v>7309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BD-4371-BEBD-ED73BE3F06B5}"/>
            </c:ext>
          </c:extLst>
        </c:ser>
        <c:ser>
          <c:idx val="2"/>
          <c:order val="2"/>
          <c:tx>
            <c:strRef>
              <c:f>'7.12'!$AK$64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'7.12'!$AI$65:$AJ$68</c:f>
              <c:strCache>
                <c:ptCount val="4"/>
                <c:pt idx="0">
                  <c:v>Higher Secondary</c:v>
                </c:pt>
                <c:pt idx="1">
                  <c:v>Secondary</c:v>
                </c:pt>
                <c:pt idx="2">
                  <c:v>Primary</c:v>
                </c:pt>
                <c:pt idx="3">
                  <c:v>Pre-Primary</c:v>
                </c:pt>
              </c:strCache>
            </c:strRef>
          </c:cat>
          <c:val>
            <c:numRef>
              <c:f>'7.12'!$AK$65:$AK$68</c:f>
              <c:numCache>
                <c:formatCode>_(* #,##0_);_(* \(#,##0\);_(* "-"??_);_(@_)</c:formatCode>
                <c:ptCount val="4"/>
                <c:pt idx="0">
                  <c:v>3565</c:v>
                </c:pt>
                <c:pt idx="1">
                  <c:v>17031</c:v>
                </c:pt>
                <c:pt idx="2">
                  <c:v>51238</c:v>
                </c:pt>
                <c:pt idx="3">
                  <c:v>18649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D-4371-BEBD-ED73BE3F0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8"/>
        <c:axId val="453625712"/>
        <c:axId val="453622576"/>
      </c:barChart>
      <c:catAx>
        <c:axId val="453625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622576"/>
        <c:crosses val="autoZero"/>
        <c:auto val="1"/>
        <c:lblAlgn val="ctr"/>
        <c:lblOffset val="100"/>
        <c:noMultiLvlLbl val="0"/>
      </c:catAx>
      <c:valAx>
        <c:axId val="45362257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625712"/>
        <c:crosses val="autoZero"/>
        <c:crossBetween val="between"/>
      </c:valAx>
      <c:spPr>
        <a:solidFill>
          <a:srgbClr val="EBFBFA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1249236128120277"/>
          <c:y val="0.18222097755334948"/>
          <c:w val="0.22512489179181991"/>
          <c:h val="6.257140840280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542429</xdr:colOff>
      <xdr:row>31</xdr:row>
      <xdr:rowOff>49933</xdr:rowOff>
    </xdr:from>
    <xdr:to>
      <xdr:col>18</xdr:col>
      <xdr:colOff>351929</xdr:colOff>
      <xdr:row>61</xdr:row>
      <xdr:rowOff>22885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526483</xdr:colOff>
      <xdr:row>63</xdr:row>
      <xdr:rowOff>74174</xdr:rowOff>
    </xdr:from>
    <xdr:to>
      <xdr:col>18</xdr:col>
      <xdr:colOff>316934</xdr:colOff>
      <xdr:row>96</xdr:row>
      <xdr:rowOff>83700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0.20527</cdr:x>
      <cdr:y>0.02103</cdr:y>
    </cdr:from>
    <cdr:to>
      <cdr:x>0.82002</cdr:x>
      <cdr:y>0.10854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835887" y="75043"/>
          <a:ext cx="5498364" cy="3122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effectLst/>
              <a:latin typeface="Consolas" panose="020B0609020204030204" pitchFamily="49" charset="0"/>
              <a:ea typeface="+mn-ea"/>
              <a:cs typeface="Consolas" pitchFamily="49" charset="0"/>
            </a:rPr>
            <a:t>Figure 7.10:</a:t>
          </a:r>
          <a:r>
            <a:rPr lang="en-US" sz="1100" b="1" baseline="0">
              <a:effectLst/>
              <a:latin typeface="Consolas" panose="020B0609020204030204" pitchFamily="49" charset="0"/>
              <a:ea typeface="+mn-ea"/>
              <a:cs typeface="Consolas" pitchFamily="49" charset="0"/>
            </a:rPr>
            <a:t> Number of </a:t>
          </a:r>
          <a:r>
            <a:rPr lang="en-US" sz="1100" b="1">
              <a:effectLst/>
              <a:latin typeface="Consolas" panose="020B0609020204030204" pitchFamily="49" charset="0"/>
              <a:ea typeface="+mn-ea"/>
              <a:cs typeface="Consolas" pitchFamily="49" charset="0"/>
            </a:rPr>
            <a:t>Students</a:t>
          </a:r>
          <a:r>
            <a:rPr lang="en-US" sz="1100" b="1" baseline="0">
              <a:effectLst/>
              <a:latin typeface="Consolas" panose="020B0609020204030204" pitchFamily="49" charset="0"/>
              <a:ea typeface="+mn-ea"/>
              <a:cs typeface="Consolas" pitchFamily="49" charset="0"/>
            </a:rPr>
            <a:t> enrolled by grade and locality, 2020</a:t>
          </a:r>
          <a:endParaRPr lang="en-US" sz="1100">
            <a:latin typeface="Consolas" panose="020B0609020204030204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AM68"/>
  <sheetViews>
    <sheetView tabSelected="1" zoomScale="98" zoomScaleNormal="98" workbookViewId="0">
      <selection activeCell="AA12" sqref="AA12"/>
    </sheetView>
  </sheetViews>
  <sheetFormatPr defaultColWidth="7.140625" defaultRowHeight="9" x14ac:dyDescent="0.15"/>
  <cols>
    <col min="1" max="1" width="15.140625" style="9" customWidth="1"/>
    <col min="2" max="2" width="8.7109375" style="9" bestFit="1" customWidth="1"/>
    <col min="3" max="5" width="7.85546875" style="11" bestFit="1" customWidth="1"/>
    <col min="6" max="6" width="8.7109375" style="11" bestFit="1" customWidth="1"/>
    <col min="7" max="13" width="7.85546875" style="11" bestFit="1" customWidth="1"/>
    <col min="14" max="14" width="8.7109375" style="11" bestFit="1" customWidth="1"/>
    <col min="15" max="17" width="7.85546875" style="11" bestFit="1" customWidth="1"/>
    <col min="18" max="18" width="8.7109375" style="11" bestFit="1" customWidth="1"/>
    <col min="19" max="21" width="7.85546875" style="11" bestFit="1" customWidth="1"/>
    <col min="22" max="22" width="10.42578125" style="10" customWidth="1"/>
    <col min="23" max="23" width="6" style="8" customWidth="1"/>
    <col min="24" max="16384" width="7.140625" style="8"/>
  </cols>
  <sheetData>
    <row r="1" spans="1:39" ht="18.75" x14ac:dyDescent="0.45">
      <c r="A1" s="47" t="s">
        <v>50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39" ht="18.75" x14ac:dyDescent="0.3">
      <c r="A2" s="48" t="s">
        <v>49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39" ht="12.75" customHeight="1" x14ac:dyDescent="0.15">
      <c r="C3" s="10"/>
      <c r="D3" s="10"/>
      <c r="E3" s="10"/>
      <c r="F3" s="10"/>
    </row>
    <row r="4" spans="1:39" ht="30" customHeight="1" x14ac:dyDescent="0.15">
      <c r="A4" s="50" t="s">
        <v>30</v>
      </c>
      <c r="B4" s="53" t="s">
        <v>0</v>
      </c>
      <c r="C4" s="56" t="s">
        <v>28</v>
      </c>
      <c r="D4" s="56"/>
      <c r="E4" s="56"/>
      <c r="F4" s="57"/>
      <c r="G4" s="58" t="s">
        <v>6</v>
      </c>
      <c r="H4" s="56"/>
      <c r="I4" s="56"/>
      <c r="J4" s="56"/>
      <c r="K4" s="56"/>
      <c r="L4" s="56"/>
      <c r="M4" s="56"/>
      <c r="N4" s="57"/>
      <c r="O4" s="56" t="s">
        <v>31</v>
      </c>
      <c r="P4" s="56"/>
      <c r="Q4" s="56"/>
      <c r="R4" s="56"/>
      <c r="S4" s="58" t="s">
        <v>7</v>
      </c>
      <c r="T4" s="56"/>
      <c r="U4" s="57"/>
      <c r="V4" s="59" t="s">
        <v>29</v>
      </c>
    </row>
    <row r="5" spans="1:39" x14ac:dyDescent="0.15">
      <c r="A5" s="51"/>
      <c r="B5" s="54"/>
      <c r="C5" s="62" t="s">
        <v>32</v>
      </c>
      <c r="D5" s="45" t="s">
        <v>33</v>
      </c>
      <c r="E5" s="45" t="s">
        <v>34</v>
      </c>
      <c r="F5" s="64" t="s">
        <v>0</v>
      </c>
      <c r="G5" s="45" t="s">
        <v>35</v>
      </c>
      <c r="H5" s="45" t="s">
        <v>36</v>
      </c>
      <c r="I5" s="45" t="s">
        <v>37</v>
      </c>
      <c r="J5" s="45" t="s">
        <v>38</v>
      </c>
      <c r="K5" s="45" t="s">
        <v>39</v>
      </c>
      <c r="L5" s="45" t="s">
        <v>40</v>
      </c>
      <c r="M5" s="45" t="s">
        <v>41</v>
      </c>
      <c r="N5" s="64" t="s">
        <v>0</v>
      </c>
      <c r="O5" s="45" t="s">
        <v>42</v>
      </c>
      <c r="P5" s="45" t="s">
        <v>43</v>
      </c>
      <c r="Q5" s="45" t="s">
        <v>44</v>
      </c>
      <c r="R5" s="45" t="s">
        <v>0</v>
      </c>
      <c r="S5" s="66" t="s">
        <v>45</v>
      </c>
      <c r="T5" s="45" t="s">
        <v>46</v>
      </c>
      <c r="U5" s="64" t="s">
        <v>0</v>
      </c>
      <c r="V5" s="60"/>
    </row>
    <row r="6" spans="1:39" ht="15" customHeight="1" x14ac:dyDescent="0.15">
      <c r="A6" s="52"/>
      <c r="B6" s="55"/>
      <c r="C6" s="63"/>
      <c r="D6" s="46"/>
      <c r="E6" s="46"/>
      <c r="F6" s="65"/>
      <c r="G6" s="46"/>
      <c r="H6" s="46"/>
      <c r="I6" s="46"/>
      <c r="J6" s="46"/>
      <c r="K6" s="46"/>
      <c r="L6" s="46"/>
      <c r="M6" s="46"/>
      <c r="N6" s="65"/>
      <c r="O6" s="46"/>
      <c r="P6" s="46"/>
      <c r="Q6" s="46"/>
      <c r="R6" s="46"/>
      <c r="S6" s="67"/>
      <c r="T6" s="46"/>
      <c r="U6" s="65"/>
      <c r="V6" s="61"/>
      <c r="AK6" s="8" t="s">
        <v>1</v>
      </c>
      <c r="AL6" s="8" t="s">
        <v>2</v>
      </c>
      <c r="AM6" s="8" t="s">
        <v>3</v>
      </c>
    </row>
    <row r="7" spans="1:39" s="12" customFormat="1" ht="17.25" customHeight="1" x14ac:dyDescent="0.2">
      <c r="A7" s="30" t="s">
        <v>47</v>
      </c>
      <c r="B7" s="13">
        <f>F7+N7+R7+U7+V7</f>
        <v>90565</v>
      </c>
      <c r="C7" s="13">
        <f t="shared" ref="C7:R7" si="0">SUM(C8:C9)</f>
        <v>2753</v>
      </c>
      <c r="D7" s="13">
        <f t="shared" si="0"/>
        <v>8701</v>
      </c>
      <c r="E7" s="13">
        <f t="shared" si="0"/>
        <v>7195</v>
      </c>
      <c r="F7" s="13">
        <f t="shared" si="0"/>
        <v>18649</v>
      </c>
      <c r="G7" s="14">
        <f t="shared" si="0"/>
        <v>7261</v>
      </c>
      <c r="H7" s="13">
        <f t="shared" si="0"/>
        <v>7548</v>
      </c>
      <c r="I7" s="13">
        <f t="shared" si="0"/>
        <v>7659</v>
      </c>
      <c r="J7" s="13">
        <f t="shared" si="0"/>
        <v>7376</v>
      </c>
      <c r="K7" s="13">
        <f t="shared" si="0"/>
        <v>7433</v>
      </c>
      <c r="L7" s="13">
        <f t="shared" si="0"/>
        <v>7180</v>
      </c>
      <c r="M7" s="13">
        <f t="shared" si="0"/>
        <v>6781</v>
      </c>
      <c r="N7" s="15">
        <f t="shared" si="0"/>
        <v>51238</v>
      </c>
      <c r="O7" s="13">
        <f t="shared" si="0"/>
        <v>6026</v>
      </c>
      <c r="P7" s="13">
        <f t="shared" si="0"/>
        <v>5654</v>
      </c>
      <c r="Q7" s="13">
        <f t="shared" si="0"/>
        <v>5351</v>
      </c>
      <c r="R7" s="13">
        <f t="shared" si="0"/>
        <v>17031</v>
      </c>
      <c r="S7" s="14">
        <f>SUM(S8:S9)</f>
        <v>2021</v>
      </c>
      <c r="T7" s="13">
        <f>SUM(T8:T9)</f>
        <v>1544</v>
      </c>
      <c r="U7" s="15">
        <f>SUM(U8:U9)</f>
        <v>3565</v>
      </c>
      <c r="V7" s="31">
        <f>SUM(V8:V9)</f>
        <v>82</v>
      </c>
      <c r="AJ7" s="12" t="s">
        <v>32</v>
      </c>
      <c r="AK7" s="36">
        <v>2753</v>
      </c>
      <c r="AL7" s="20">
        <v>1853</v>
      </c>
      <c r="AM7" s="20">
        <v>900</v>
      </c>
    </row>
    <row r="8" spans="1:39" s="16" customFormat="1" ht="18.95" customHeight="1" x14ac:dyDescent="0.25">
      <c r="A8" s="32" t="s">
        <v>2</v>
      </c>
      <c r="B8" s="17">
        <f>V8+U8+R8+N8+F8</f>
        <v>33757</v>
      </c>
      <c r="C8" s="17">
        <v>1853</v>
      </c>
      <c r="D8" s="17">
        <v>2960</v>
      </c>
      <c r="E8" s="17">
        <v>2496</v>
      </c>
      <c r="F8" s="17">
        <f>SUM(C8:E8)</f>
        <v>7309</v>
      </c>
      <c r="G8" s="18">
        <v>2508</v>
      </c>
      <c r="H8" s="17">
        <v>2657</v>
      </c>
      <c r="I8" s="17">
        <v>2698</v>
      </c>
      <c r="J8" s="17">
        <v>2597</v>
      </c>
      <c r="K8" s="17">
        <v>2562</v>
      </c>
      <c r="L8" s="17">
        <v>2537</v>
      </c>
      <c r="M8" s="17">
        <v>2440</v>
      </c>
      <c r="N8" s="19">
        <f>SUM(G8:M8)</f>
        <v>17999</v>
      </c>
      <c r="O8" s="17">
        <v>2150</v>
      </c>
      <c r="P8" s="17">
        <v>2080</v>
      </c>
      <c r="Q8" s="17">
        <v>1936</v>
      </c>
      <c r="R8" s="17">
        <f>SUM(O8:Q8)</f>
        <v>6166</v>
      </c>
      <c r="S8" s="18">
        <v>1231</v>
      </c>
      <c r="T8" s="17">
        <v>1052</v>
      </c>
      <c r="U8" s="19">
        <f>T8+S8</f>
        <v>2283</v>
      </c>
      <c r="V8" s="38">
        <v>0</v>
      </c>
      <c r="AJ8" s="16" t="s">
        <v>33</v>
      </c>
      <c r="AK8" s="36">
        <v>8701</v>
      </c>
      <c r="AL8" s="20">
        <v>2960</v>
      </c>
      <c r="AM8" s="20">
        <v>5741</v>
      </c>
    </row>
    <row r="9" spans="1:39" s="16" customFormat="1" ht="18.95" customHeight="1" x14ac:dyDescent="0.25">
      <c r="A9" s="32" t="s">
        <v>48</v>
      </c>
      <c r="B9" s="17">
        <f>V9+U9+R9+N9+F9</f>
        <v>56808</v>
      </c>
      <c r="C9" s="17">
        <f>SUM(C10:C29)</f>
        <v>900</v>
      </c>
      <c r="D9" s="17">
        <f>SUM(D10:D29)</f>
        <v>5741</v>
      </c>
      <c r="E9" s="17">
        <f>SUM(E10:E29)</f>
        <v>4699</v>
      </c>
      <c r="F9" s="17">
        <f>SUM(F10:F29)</f>
        <v>11340</v>
      </c>
      <c r="G9" s="18">
        <f>SUM(G10:G29)</f>
        <v>4753</v>
      </c>
      <c r="H9" s="17">
        <f t="shared" ref="H9:M9" si="1">SUM(H10:H29)</f>
        <v>4891</v>
      </c>
      <c r="I9" s="17">
        <f t="shared" si="1"/>
        <v>4961</v>
      </c>
      <c r="J9" s="17">
        <f t="shared" si="1"/>
        <v>4779</v>
      </c>
      <c r="K9" s="17">
        <f t="shared" si="1"/>
        <v>4871</v>
      </c>
      <c r="L9" s="17">
        <f t="shared" si="1"/>
        <v>4643</v>
      </c>
      <c r="M9" s="17">
        <f t="shared" si="1"/>
        <v>4341</v>
      </c>
      <c r="N9" s="19">
        <f>SUM(G9:M9)</f>
        <v>33239</v>
      </c>
      <c r="O9" s="18">
        <f t="shared" ref="O9:V9" si="2">SUM(O10:O29)</f>
        <v>3876</v>
      </c>
      <c r="P9" s="17">
        <f t="shared" si="2"/>
        <v>3574</v>
      </c>
      <c r="Q9" s="17">
        <f t="shared" si="2"/>
        <v>3415</v>
      </c>
      <c r="R9" s="17">
        <f t="shared" si="2"/>
        <v>10865</v>
      </c>
      <c r="S9" s="18">
        <f t="shared" si="2"/>
        <v>790</v>
      </c>
      <c r="T9" s="17">
        <f t="shared" si="2"/>
        <v>492</v>
      </c>
      <c r="U9" s="17">
        <f t="shared" si="2"/>
        <v>1282</v>
      </c>
      <c r="V9" s="35">
        <f t="shared" si="2"/>
        <v>82</v>
      </c>
      <c r="W9" s="12"/>
      <c r="AD9" s="12"/>
      <c r="AE9" s="12"/>
      <c r="AF9" s="12"/>
      <c r="AG9" s="12"/>
      <c r="AJ9" s="16" t="s">
        <v>34</v>
      </c>
      <c r="AK9" s="20">
        <v>7195</v>
      </c>
      <c r="AL9" s="8">
        <v>2496</v>
      </c>
      <c r="AM9" s="8">
        <v>4699</v>
      </c>
    </row>
    <row r="10" spans="1:39" s="20" customFormat="1" ht="15" x14ac:dyDescent="0.25">
      <c r="A10" s="33" t="s">
        <v>8</v>
      </c>
      <c r="B10" s="17">
        <f>F10+N10+R10+U10+V10</f>
        <v>3713</v>
      </c>
      <c r="C10" s="21">
        <v>20</v>
      </c>
      <c r="D10" s="21">
        <v>397</v>
      </c>
      <c r="E10" s="21">
        <v>337</v>
      </c>
      <c r="F10" s="21">
        <f>SUM(C10:E10)</f>
        <v>754</v>
      </c>
      <c r="G10" s="39">
        <v>333</v>
      </c>
      <c r="H10" s="21">
        <v>324</v>
      </c>
      <c r="I10" s="21">
        <v>332</v>
      </c>
      <c r="J10" s="21">
        <v>303</v>
      </c>
      <c r="K10" s="21">
        <v>327</v>
      </c>
      <c r="L10" s="21">
        <v>325</v>
      </c>
      <c r="M10" s="21">
        <v>281</v>
      </c>
      <c r="N10" s="22">
        <f>SUM(G10:M10)</f>
        <v>2225</v>
      </c>
      <c r="O10" s="21">
        <v>236</v>
      </c>
      <c r="P10" s="21">
        <v>213</v>
      </c>
      <c r="Q10" s="21">
        <v>225</v>
      </c>
      <c r="R10" s="21">
        <f>SUM(O10:Q10)</f>
        <v>674</v>
      </c>
      <c r="S10" s="39">
        <v>22</v>
      </c>
      <c r="T10" s="21">
        <v>32</v>
      </c>
      <c r="U10" s="22">
        <f>SUM(S10:T10)</f>
        <v>54</v>
      </c>
      <c r="V10" s="40">
        <v>6</v>
      </c>
      <c r="AJ10" s="20" t="s">
        <v>35</v>
      </c>
      <c r="AK10" s="20">
        <v>7261</v>
      </c>
      <c r="AL10" s="20">
        <v>2508</v>
      </c>
      <c r="AM10" s="20">
        <v>4753</v>
      </c>
    </row>
    <row r="11" spans="1:39" s="20" customFormat="1" ht="15" x14ac:dyDescent="0.25">
      <c r="A11" s="33" t="s">
        <v>9</v>
      </c>
      <c r="B11" s="17">
        <f t="shared" ref="B11:B29" si="3">F11+N11+R11+U11+V11</f>
        <v>5754</v>
      </c>
      <c r="C11" s="21">
        <v>13</v>
      </c>
      <c r="D11" s="21">
        <v>629</v>
      </c>
      <c r="E11" s="21">
        <v>471</v>
      </c>
      <c r="F11" s="21">
        <f t="shared" ref="F11:F29" si="4">SUM(C11:E11)</f>
        <v>1113</v>
      </c>
      <c r="G11" s="39">
        <v>517</v>
      </c>
      <c r="H11" s="21">
        <v>531</v>
      </c>
      <c r="I11" s="21">
        <v>535</v>
      </c>
      <c r="J11" s="21">
        <v>519</v>
      </c>
      <c r="K11" s="21">
        <v>497</v>
      </c>
      <c r="L11" s="21">
        <v>440</v>
      </c>
      <c r="M11" s="21">
        <v>424</v>
      </c>
      <c r="N11" s="22">
        <f t="shared" ref="N11:N29" si="5">SUM(G11:M11)</f>
        <v>3463</v>
      </c>
      <c r="O11" s="21">
        <v>403</v>
      </c>
      <c r="P11" s="21">
        <v>318</v>
      </c>
      <c r="Q11" s="21">
        <v>321</v>
      </c>
      <c r="R11" s="21">
        <f t="shared" ref="R11:R29" si="6">SUM(O11:Q11)</f>
        <v>1042</v>
      </c>
      <c r="S11" s="39">
        <v>52</v>
      </c>
      <c r="T11" s="21">
        <v>53</v>
      </c>
      <c r="U11" s="22">
        <f t="shared" ref="U11:U29" si="7">SUM(S11:T11)</f>
        <v>105</v>
      </c>
      <c r="V11" s="40">
        <v>31</v>
      </c>
      <c r="AJ11" s="20" t="s">
        <v>36</v>
      </c>
      <c r="AK11" s="20">
        <v>7548</v>
      </c>
      <c r="AL11" s="20">
        <v>2657</v>
      </c>
      <c r="AM11" s="20">
        <v>4891</v>
      </c>
    </row>
    <row r="12" spans="1:39" s="20" customFormat="1" ht="15" x14ac:dyDescent="0.25">
      <c r="A12" s="33" t="s">
        <v>10</v>
      </c>
      <c r="B12" s="17">
        <f t="shared" si="3"/>
        <v>3714</v>
      </c>
      <c r="C12" s="21">
        <v>1</v>
      </c>
      <c r="D12" s="21">
        <v>382</v>
      </c>
      <c r="E12" s="21">
        <v>306</v>
      </c>
      <c r="F12" s="21">
        <f t="shared" si="4"/>
        <v>689</v>
      </c>
      <c r="G12" s="39">
        <v>296</v>
      </c>
      <c r="H12" s="21">
        <v>284</v>
      </c>
      <c r="I12" s="21">
        <v>341</v>
      </c>
      <c r="J12" s="21">
        <v>335</v>
      </c>
      <c r="K12" s="21">
        <v>348</v>
      </c>
      <c r="L12" s="21">
        <v>282</v>
      </c>
      <c r="M12" s="21">
        <v>288</v>
      </c>
      <c r="N12" s="22">
        <f t="shared" si="5"/>
        <v>2174</v>
      </c>
      <c r="O12" s="21">
        <v>260</v>
      </c>
      <c r="P12" s="21">
        <v>243</v>
      </c>
      <c r="Q12" s="21">
        <v>242</v>
      </c>
      <c r="R12" s="21">
        <f t="shared" si="6"/>
        <v>745</v>
      </c>
      <c r="S12" s="39">
        <v>59</v>
      </c>
      <c r="T12" s="21">
        <v>44</v>
      </c>
      <c r="U12" s="22">
        <f t="shared" si="7"/>
        <v>103</v>
      </c>
      <c r="V12" s="40">
        <v>3</v>
      </c>
      <c r="AJ12" s="20" t="s">
        <v>37</v>
      </c>
      <c r="AK12" s="20">
        <v>7659</v>
      </c>
      <c r="AL12" s="20">
        <v>2698</v>
      </c>
      <c r="AM12" s="20">
        <v>4961</v>
      </c>
    </row>
    <row r="13" spans="1:39" s="20" customFormat="1" ht="15" x14ac:dyDescent="0.25">
      <c r="A13" s="33" t="s">
        <v>11</v>
      </c>
      <c r="B13" s="17">
        <f t="shared" si="3"/>
        <v>3085</v>
      </c>
      <c r="C13" s="21">
        <v>48</v>
      </c>
      <c r="D13" s="21">
        <v>296</v>
      </c>
      <c r="E13" s="21">
        <v>258</v>
      </c>
      <c r="F13" s="21">
        <f t="shared" si="4"/>
        <v>602</v>
      </c>
      <c r="G13" s="39">
        <v>266</v>
      </c>
      <c r="H13" s="21">
        <v>260</v>
      </c>
      <c r="I13" s="21">
        <v>299</v>
      </c>
      <c r="J13" s="21">
        <v>271</v>
      </c>
      <c r="K13" s="21">
        <v>300</v>
      </c>
      <c r="L13" s="21">
        <v>249</v>
      </c>
      <c r="M13" s="21">
        <v>235</v>
      </c>
      <c r="N13" s="22">
        <f t="shared" si="5"/>
        <v>1880</v>
      </c>
      <c r="O13" s="21">
        <v>197</v>
      </c>
      <c r="P13" s="21">
        <v>179</v>
      </c>
      <c r="Q13" s="21">
        <v>174</v>
      </c>
      <c r="R13" s="21">
        <f t="shared" si="6"/>
        <v>550</v>
      </c>
      <c r="S13" s="39">
        <v>23</v>
      </c>
      <c r="T13" s="21">
        <v>30</v>
      </c>
      <c r="U13" s="22">
        <f t="shared" si="7"/>
        <v>53</v>
      </c>
      <c r="V13" s="40">
        <v>0</v>
      </c>
      <c r="AJ13" s="20" t="s">
        <v>38</v>
      </c>
      <c r="AK13" s="20">
        <v>7376</v>
      </c>
      <c r="AL13" s="20">
        <v>2597</v>
      </c>
      <c r="AM13" s="20">
        <v>4779</v>
      </c>
    </row>
    <row r="14" spans="1:39" s="20" customFormat="1" ht="15" x14ac:dyDescent="0.25">
      <c r="A14" s="33" t="s">
        <v>12</v>
      </c>
      <c r="B14" s="17">
        <f t="shared" si="3"/>
        <v>4466</v>
      </c>
      <c r="C14" s="21">
        <v>90</v>
      </c>
      <c r="D14" s="21">
        <v>465</v>
      </c>
      <c r="E14" s="21">
        <v>365</v>
      </c>
      <c r="F14" s="21">
        <f t="shared" si="4"/>
        <v>920</v>
      </c>
      <c r="G14" s="39">
        <v>382</v>
      </c>
      <c r="H14" s="21">
        <v>389</v>
      </c>
      <c r="I14" s="21">
        <v>405</v>
      </c>
      <c r="J14" s="21">
        <v>362</v>
      </c>
      <c r="K14" s="21">
        <v>396</v>
      </c>
      <c r="L14" s="21">
        <v>355</v>
      </c>
      <c r="M14" s="21">
        <v>313</v>
      </c>
      <c r="N14" s="22">
        <f t="shared" si="5"/>
        <v>2602</v>
      </c>
      <c r="O14" s="21">
        <v>299</v>
      </c>
      <c r="P14" s="21">
        <v>292</v>
      </c>
      <c r="Q14" s="21">
        <v>261</v>
      </c>
      <c r="R14" s="21">
        <f t="shared" si="6"/>
        <v>852</v>
      </c>
      <c r="S14" s="39">
        <v>49</v>
      </c>
      <c r="T14" s="21">
        <v>39</v>
      </c>
      <c r="U14" s="22">
        <f t="shared" si="7"/>
        <v>88</v>
      </c>
      <c r="V14" s="40">
        <v>4</v>
      </c>
      <c r="AJ14" s="20" t="s">
        <v>39</v>
      </c>
      <c r="AK14" s="20">
        <v>7433</v>
      </c>
      <c r="AL14" s="20">
        <v>2562</v>
      </c>
      <c r="AM14" s="20">
        <v>4871</v>
      </c>
    </row>
    <row r="15" spans="1:39" s="20" customFormat="1" ht="15" x14ac:dyDescent="0.25">
      <c r="A15" s="33" t="s">
        <v>13</v>
      </c>
      <c r="B15" s="17">
        <f t="shared" si="3"/>
        <v>2521</v>
      </c>
      <c r="C15" s="21">
        <v>50</v>
      </c>
      <c r="D15" s="21">
        <v>232</v>
      </c>
      <c r="E15" s="21">
        <v>199</v>
      </c>
      <c r="F15" s="21">
        <f t="shared" si="4"/>
        <v>481</v>
      </c>
      <c r="G15" s="39">
        <v>204</v>
      </c>
      <c r="H15" s="21">
        <v>200</v>
      </c>
      <c r="I15" s="21">
        <v>212</v>
      </c>
      <c r="J15" s="21">
        <v>227</v>
      </c>
      <c r="K15" s="21">
        <v>233</v>
      </c>
      <c r="L15" s="21">
        <v>188</v>
      </c>
      <c r="M15" s="21">
        <v>190</v>
      </c>
      <c r="N15" s="22">
        <f t="shared" si="5"/>
        <v>1454</v>
      </c>
      <c r="O15" s="21">
        <v>168</v>
      </c>
      <c r="P15" s="21">
        <v>171</v>
      </c>
      <c r="Q15" s="21">
        <v>183</v>
      </c>
      <c r="R15" s="21">
        <f t="shared" si="6"/>
        <v>522</v>
      </c>
      <c r="S15" s="39">
        <v>35</v>
      </c>
      <c r="T15" s="21">
        <v>29</v>
      </c>
      <c r="U15" s="22">
        <f t="shared" si="7"/>
        <v>64</v>
      </c>
      <c r="V15" s="40">
        <v>0</v>
      </c>
      <c r="AJ15" s="20" t="s">
        <v>40</v>
      </c>
      <c r="AK15" s="20">
        <v>7180</v>
      </c>
      <c r="AL15" s="20">
        <v>2537</v>
      </c>
      <c r="AM15" s="20">
        <v>4643</v>
      </c>
    </row>
    <row r="16" spans="1:39" s="20" customFormat="1" ht="15" x14ac:dyDescent="0.25">
      <c r="A16" s="33" t="s">
        <v>14</v>
      </c>
      <c r="B16" s="17">
        <f t="shared" si="3"/>
        <v>2198</v>
      </c>
      <c r="C16" s="21">
        <v>73</v>
      </c>
      <c r="D16" s="21">
        <v>237</v>
      </c>
      <c r="E16" s="21">
        <v>169</v>
      </c>
      <c r="F16" s="21">
        <f t="shared" si="4"/>
        <v>479</v>
      </c>
      <c r="G16" s="39">
        <v>204</v>
      </c>
      <c r="H16" s="21">
        <v>189</v>
      </c>
      <c r="I16" s="21">
        <v>167</v>
      </c>
      <c r="J16" s="21">
        <v>164</v>
      </c>
      <c r="K16" s="21">
        <v>184</v>
      </c>
      <c r="L16" s="21">
        <v>160</v>
      </c>
      <c r="M16" s="21">
        <v>155</v>
      </c>
      <c r="N16" s="22">
        <f t="shared" si="5"/>
        <v>1223</v>
      </c>
      <c r="O16" s="21">
        <v>142</v>
      </c>
      <c r="P16" s="21">
        <v>166</v>
      </c>
      <c r="Q16" s="21">
        <v>138</v>
      </c>
      <c r="R16" s="21">
        <f t="shared" si="6"/>
        <v>446</v>
      </c>
      <c r="S16" s="39">
        <v>16</v>
      </c>
      <c r="T16" s="21">
        <v>28</v>
      </c>
      <c r="U16" s="22">
        <f t="shared" si="7"/>
        <v>44</v>
      </c>
      <c r="V16" s="40">
        <v>6</v>
      </c>
      <c r="AJ16" s="20" t="s">
        <v>41</v>
      </c>
      <c r="AK16" s="20">
        <v>6781</v>
      </c>
      <c r="AL16" s="20">
        <v>2440</v>
      </c>
      <c r="AM16" s="20">
        <v>4341</v>
      </c>
    </row>
    <row r="17" spans="1:39" s="20" customFormat="1" ht="15" x14ac:dyDescent="0.25">
      <c r="A17" s="33" t="s">
        <v>15</v>
      </c>
      <c r="B17" s="17">
        <f t="shared" si="3"/>
        <v>2983</v>
      </c>
      <c r="C17" s="21">
        <v>26</v>
      </c>
      <c r="D17" s="21">
        <v>357</v>
      </c>
      <c r="E17" s="21">
        <v>269</v>
      </c>
      <c r="F17" s="21">
        <f t="shared" si="4"/>
        <v>652</v>
      </c>
      <c r="G17" s="39">
        <v>256</v>
      </c>
      <c r="H17" s="21">
        <v>272</v>
      </c>
      <c r="I17" s="21">
        <v>301</v>
      </c>
      <c r="J17" s="21">
        <v>241</v>
      </c>
      <c r="K17" s="21">
        <v>219</v>
      </c>
      <c r="L17" s="21">
        <v>270</v>
      </c>
      <c r="M17" s="21">
        <v>209</v>
      </c>
      <c r="N17" s="22">
        <f t="shared" si="5"/>
        <v>1768</v>
      </c>
      <c r="O17" s="21">
        <v>213</v>
      </c>
      <c r="P17" s="21">
        <v>176</v>
      </c>
      <c r="Q17" s="21">
        <v>174</v>
      </c>
      <c r="R17" s="21">
        <f t="shared" si="6"/>
        <v>563</v>
      </c>
      <c r="S17" s="39">
        <v>0</v>
      </c>
      <c r="T17" s="21">
        <v>0</v>
      </c>
      <c r="U17" s="22">
        <f t="shared" si="7"/>
        <v>0</v>
      </c>
      <c r="V17" s="40">
        <v>0</v>
      </c>
      <c r="AJ17" s="20" t="s">
        <v>42</v>
      </c>
      <c r="AK17" s="20">
        <v>6026</v>
      </c>
      <c r="AL17" s="20">
        <v>2150</v>
      </c>
      <c r="AM17" s="20">
        <v>3876</v>
      </c>
    </row>
    <row r="18" spans="1:39" s="20" customFormat="1" ht="15" customHeight="1" x14ac:dyDescent="0.25">
      <c r="A18" s="33" t="s">
        <v>16</v>
      </c>
      <c r="B18" s="17">
        <f t="shared" si="3"/>
        <v>1914</v>
      </c>
      <c r="C18" s="21">
        <v>27</v>
      </c>
      <c r="D18" s="21">
        <v>183</v>
      </c>
      <c r="E18" s="21">
        <v>159</v>
      </c>
      <c r="F18" s="21">
        <f t="shared" si="4"/>
        <v>369</v>
      </c>
      <c r="G18" s="39">
        <v>159</v>
      </c>
      <c r="H18" s="21">
        <v>182</v>
      </c>
      <c r="I18" s="21">
        <v>164</v>
      </c>
      <c r="J18" s="21">
        <v>157</v>
      </c>
      <c r="K18" s="21">
        <v>175</v>
      </c>
      <c r="L18" s="21">
        <v>164</v>
      </c>
      <c r="M18" s="21">
        <v>166</v>
      </c>
      <c r="N18" s="22">
        <f t="shared" si="5"/>
        <v>1167</v>
      </c>
      <c r="O18" s="21">
        <v>121</v>
      </c>
      <c r="P18" s="21">
        <v>125</v>
      </c>
      <c r="Q18" s="21">
        <v>113</v>
      </c>
      <c r="R18" s="21">
        <f t="shared" si="6"/>
        <v>359</v>
      </c>
      <c r="S18" s="39">
        <v>9</v>
      </c>
      <c r="T18" s="21">
        <v>10</v>
      </c>
      <c r="U18" s="22">
        <f t="shared" si="7"/>
        <v>19</v>
      </c>
      <c r="V18" s="40">
        <v>0</v>
      </c>
      <c r="AJ18" s="20" t="s">
        <v>43</v>
      </c>
      <c r="AK18" s="20">
        <v>5654</v>
      </c>
      <c r="AL18" s="20">
        <v>2080</v>
      </c>
      <c r="AM18" s="20">
        <v>3574</v>
      </c>
    </row>
    <row r="19" spans="1:39" s="20" customFormat="1" ht="15" customHeight="1" x14ac:dyDescent="0.25">
      <c r="A19" s="33" t="s">
        <v>17</v>
      </c>
      <c r="B19" s="17">
        <f t="shared" si="3"/>
        <v>2347</v>
      </c>
      <c r="C19" s="21">
        <v>39</v>
      </c>
      <c r="D19" s="21">
        <v>290</v>
      </c>
      <c r="E19" s="21">
        <v>228</v>
      </c>
      <c r="F19" s="21">
        <f t="shared" si="4"/>
        <v>557</v>
      </c>
      <c r="G19" s="39">
        <v>184</v>
      </c>
      <c r="H19" s="21">
        <v>215</v>
      </c>
      <c r="I19" s="21">
        <v>215</v>
      </c>
      <c r="J19" s="21">
        <v>209</v>
      </c>
      <c r="K19" s="21">
        <v>187</v>
      </c>
      <c r="L19" s="21">
        <v>194</v>
      </c>
      <c r="M19" s="21">
        <v>169</v>
      </c>
      <c r="N19" s="22">
        <f t="shared" si="5"/>
        <v>1373</v>
      </c>
      <c r="O19" s="21">
        <v>128</v>
      </c>
      <c r="P19" s="21">
        <v>141</v>
      </c>
      <c r="Q19" s="21">
        <v>141</v>
      </c>
      <c r="R19" s="21">
        <f t="shared" si="6"/>
        <v>410</v>
      </c>
      <c r="S19" s="39">
        <v>0</v>
      </c>
      <c r="T19" s="21">
        <v>0</v>
      </c>
      <c r="U19" s="22">
        <f t="shared" si="7"/>
        <v>0</v>
      </c>
      <c r="V19" s="40">
        <v>7</v>
      </c>
      <c r="AJ19" s="20" t="s">
        <v>44</v>
      </c>
      <c r="AK19" s="20">
        <v>5351</v>
      </c>
      <c r="AL19" s="20">
        <v>1936</v>
      </c>
      <c r="AM19" s="20">
        <v>3415</v>
      </c>
    </row>
    <row r="20" spans="1:39" s="20" customFormat="1" ht="15" customHeight="1" x14ac:dyDescent="0.25">
      <c r="A20" s="33" t="s">
        <v>18</v>
      </c>
      <c r="B20" s="17">
        <f t="shared" si="3"/>
        <v>383</v>
      </c>
      <c r="C20" s="21">
        <v>0</v>
      </c>
      <c r="D20" s="21">
        <v>54</v>
      </c>
      <c r="E20" s="21">
        <v>32</v>
      </c>
      <c r="F20" s="21">
        <f t="shared" si="4"/>
        <v>86</v>
      </c>
      <c r="G20" s="39">
        <v>34</v>
      </c>
      <c r="H20" s="21">
        <v>31</v>
      </c>
      <c r="I20" s="21">
        <v>40</v>
      </c>
      <c r="J20" s="21">
        <v>31</v>
      </c>
      <c r="K20" s="21">
        <v>26</v>
      </c>
      <c r="L20" s="21">
        <v>40</v>
      </c>
      <c r="M20" s="21">
        <v>28</v>
      </c>
      <c r="N20" s="22">
        <f t="shared" si="5"/>
        <v>230</v>
      </c>
      <c r="O20" s="21">
        <v>24</v>
      </c>
      <c r="P20" s="21">
        <v>20</v>
      </c>
      <c r="Q20" s="21">
        <v>23</v>
      </c>
      <c r="R20" s="21">
        <f t="shared" si="6"/>
        <v>67</v>
      </c>
      <c r="S20" s="41">
        <v>0</v>
      </c>
      <c r="T20" s="42">
        <v>0</v>
      </c>
      <c r="U20" s="22">
        <f t="shared" si="7"/>
        <v>0</v>
      </c>
      <c r="V20" s="40">
        <v>0</v>
      </c>
      <c r="AJ20" s="20" t="s">
        <v>45</v>
      </c>
      <c r="AK20" s="20">
        <v>2021</v>
      </c>
      <c r="AL20" s="20">
        <v>1231</v>
      </c>
      <c r="AM20" s="20">
        <v>790</v>
      </c>
    </row>
    <row r="21" spans="1:39" s="20" customFormat="1" ht="15" customHeight="1" x14ac:dyDescent="0.25">
      <c r="A21" s="33" t="s">
        <v>19</v>
      </c>
      <c r="B21" s="17">
        <f t="shared" si="3"/>
        <v>1232</v>
      </c>
      <c r="C21" s="21">
        <v>0</v>
      </c>
      <c r="D21" s="21">
        <v>116</v>
      </c>
      <c r="E21" s="21">
        <v>103</v>
      </c>
      <c r="F21" s="21">
        <f t="shared" si="4"/>
        <v>219</v>
      </c>
      <c r="G21" s="39">
        <v>114</v>
      </c>
      <c r="H21" s="21">
        <v>103</v>
      </c>
      <c r="I21" s="21">
        <v>95</v>
      </c>
      <c r="J21" s="21">
        <v>115</v>
      </c>
      <c r="K21" s="21">
        <v>116</v>
      </c>
      <c r="L21" s="21">
        <v>113</v>
      </c>
      <c r="M21" s="21">
        <v>95</v>
      </c>
      <c r="N21" s="22">
        <f t="shared" si="5"/>
        <v>751</v>
      </c>
      <c r="O21" s="21">
        <v>96</v>
      </c>
      <c r="P21" s="21">
        <v>79</v>
      </c>
      <c r="Q21" s="21">
        <v>63</v>
      </c>
      <c r="R21" s="21">
        <f t="shared" si="6"/>
        <v>238</v>
      </c>
      <c r="S21" s="39">
        <v>17</v>
      </c>
      <c r="T21" s="21">
        <v>7</v>
      </c>
      <c r="U21" s="22">
        <f t="shared" si="7"/>
        <v>24</v>
      </c>
      <c r="V21" s="40">
        <v>0</v>
      </c>
      <c r="AJ21" s="20" t="s">
        <v>46</v>
      </c>
      <c r="AK21" s="20">
        <v>1544</v>
      </c>
      <c r="AL21" s="20">
        <v>1052</v>
      </c>
      <c r="AM21" s="20">
        <v>492</v>
      </c>
    </row>
    <row r="22" spans="1:39" s="20" customFormat="1" ht="15" customHeight="1" x14ac:dyDescent="0.25">
      <c r="A22" s="33" t="s">
        <v>20</v>
      </c>
      <c r="B22" s="17">
        <f t="shared" si="3"/>
        <v>1437</v>
      </c>
      <c r="C22" s="21">
        <v>0</v>
      </c>
      <c r="D22" s="21">
        <v>176</v>
      </c>
      <c r="E22" s="21">
        <v>131</v>
      </c>
      <c r="F22" s="21">
        <f t="shared" si="4"/>
        <v>307</v>
      </c>
      <c r="G22" s="39">
        <v>128</v>
      </c>
      <c r="H22" s="21">
        <v>125</v>
      </c>
      <c r="I22" s="21">
        <v>118</v>
      </c>
      <c r="J22" s="21">
        <v>105</v>
      </c>
      <c r="K22" s="21">
        <v>112</v>
      </c>
      <c r="L22" s="21">
        <v>111</v>
      </c>
      <c r="M22" s="21">
        <v>99</v>
      </c>
      <c r="N22" s="22">
        <f t="shared" si="5"/>
        <v>798</v>
      </c>
      <c r="O22" s="21">
        <v>112</v>
      </c>
      <c r="P22" s="21">
        <v>92</v>
      </c>
      <c r="Q22" s="21">
        <v>68</v>
      </c>
      <c r="R22" s="21">
        <f t="shared" si="6"/>
        <v>272</v>
      </c>
      <c r="S22" s="39">
        <v>30</v>
      </c>
      <c r="T22" s="21">
        <v>30</v>
      </c>
      <c r="U22" s="22">
        <f t="shared" si="7"/>
        <v>60</v>
      </c>
      <c r="V22" s="40">
        <v>0</v>
      </c>
    </row>
    <row r="23" spans="1:39" s="20" customFormat="1" ht="15" customHeight="1" x14ac:dyDescent="0.25">
      <c r="A23" s="33" t="s">
        <v>21</v>
      </c>
      <c r="B23" s="17">
        <f t="shared" si="3"/>
        <v>1635</v>
      </c>
      <c r="C23" s="21">
        <v>20</v>
      </c>
      <c r="D23" s="21">
        <v>168</v>
      </c>
      <c r="E23" s="21">
        <v>129</v>
      </c>
      <c r="F23" s="21">
        <f t="shared" si="4"/>
        <v>317</v>
      </c>
      <c r="G23" s="39">
        <v>114</v>
      </c>
      <c r="H23" s="21">
        <v>162</v>
      </c>
      <c r="I23" s="21">
        <v>142</v>
      </c>
      <c r="J23" s="21">
        <v>130</v>
      </c>
      <c r="K23" s="21">
        <v>167</v>
      </c>
      <c r="L23" s="21">
        <v>122</v>
      </c>
      <c r="M23" s="21">
        <v>130</v>
      </c>
      <c r="N23" s="22">
        <f t="shared" si="5"/>
        <v>967</v>
      </c>
      <c r="O23" s="21">
        <v>120</v>
      </c>
      <c r="P23" s="21">
        <v>109</v>
      </c>
      <c r="Q23" s="21">
        <v>83</v>
      </c>
      <c r="R23" s="21">
        <f t="shared" si="6"/>
        <v>312</v>
      </c>
      <c r="S23" s="39">
        <v>17</v>
      </c>
      <c r="T23" s="21">
        <v>22</v>
      </c>
      <c r="U23" s="22">
        <f t="shared" si="7"/>
        <v>39</v>
      </c>
      <c r="V23" s="40">
        <v>0</v>
      </c>
    </row>
    <row r="24" spans="1:39" s="20" customFormat="1" ht="15" customHeight="1" x14ac:dyDescent="0.25">
      <c r="A24" s="33" t="s">
        <v>22</v>
      </c>
      <c r="B24" s="17">
        <f t="shared" si="3"/>
        <v>2614</v>
      </c>
      <c r="C24" s="21">
        <v>10</v>
      </c>
      <c r="D24" s="21">
        <v>245</v>
      </c>
      <c r="E24" s="21">
        <v>217</v>
      </c>
      <c r="F24" s="21">
        <f t="shared" si="4"/>
        <v>472</v>
      </c>
      <c r="G24" s="39">
        <v>227</v>
      </c>
      <c r="H24" s="21">
        <v>224</v>
      </c>
      <c r="I24" s="21">
        <v>247</v>
      </c>
      <c r="J24" s="21">
        <v>265</v>
      </c>
      <c r="K24" s="21">
        <v>222</v>
      </c>
      <c r="L24" s="21">
        <v>208</v>
      </c>
      <c r="M24" s="21">
        <v>238</v>
      </c>
      <c r="N24" s="22">
        <f t="shared" si="5"/>
        <v>1631</v>
      </c>
      <c r="O24" s="21">
        <v>182</v>
      </c>
      <c r="P24" s="21">
        <v>148</v>
      </c>
      <c r="Q24" s="21">
        <v>132</v>
      </c>
      <c r="R24" s="21">
        <f t="shared" si="6"/>
        <v>462</v>
      </c>
      <c r="S24" s="39">
        <v>44</v>
      </c>
      <c r="T24" s="21">
        <v>5</v>
      </c>
      <c r="U24" s="22">
        <f t="shared" si="7"/>
        <v>49</v>
      </c>
      <c r="V24" s="40">
        <v>0</v>
      </c>
      <c r="AJ24" s="12"/>
      <c r="AK24" s="36"/>
    </row>
    <row r="25" spans="1:39" s="20" customFormat="1" ht="15" customHeight="1" x14ac:dyDescent="0.25">
      <c r="A25" s="33" t="s">
        <v>23</v>
      </c>
      <c r="B25" s="17">
        <f t="shared" si="3"/>
        <v>3559</v>
      </c>
      <c r="C25" s="21">
        <v>10</v>
      </c>
      <c r="D25" s="21">
        <v>393</v>
      </c>
      <c r="E25" s="21">
        <v>311</v>
      </c>
      <c r="F25" s="21">
        <f t="shared" si="4"/>
        <v>714</v>
      </c>
      <c r="G25" s="39">
        <v>304</v>
      </c>
      <c r="H25" s="21">
        <v>294</v>
      </c>
      <c r="I25" s="21">
        <v>289</v>
      </c>
      <c r="J25" s="21">
        <v>285</v>
      </c>
      <c r="K25" s="21">
        <v>277</v>
      </c>
      <c r="L25" s="21">
        <v>320</v>
      </c>
      <c r="M25" s="21">
        <v>318</v>
      </c>
      <c r="N25" s="22">
        <f t="shared" si="5"/>
        <v>2087</v>
      </c>
      <c r="O25" s="21">
        <v>261</v>
      </c>
      <c r="P25" s="21">
        <v>235</v>
      </c>
      <c r="Q25" s="21">
        <v>196</v>
      </c>
      <c r="R25" s="21">
        <f t="shared" si="6"/>
        <v>692</v>
      </c>
      <c r="S25" s="39">
        <v>28</v>
      </c>
      <c r="T25" s="21">
        <v>34</v>
      </c>
      <c r="U25" s="22">
        <f t="shared" si="7"/>
        <v>62</v>
      </c>
      <c r="V25" s="40">
        <v>4</v>
      </c>
      <c r="AJ25" s="16"/>
      <c r="AK25" s="36"/>
    </row>
    <row r="26" spans="1:39" s="20" customFormat="1" ht="15" customHeight="1" x14ac:dyDescent="0.25">
      <c r="A26" s="33" t="s">
        <v>24</v>
      </c>
      <c r="B26" s="17">
        <f t="shared" si="3"/>
        <v>2096</v>
      </c>
      <c r="C26" s="21">
        <v>43</v>
      </c>
      <c r="D26" s="21">
        <v>190</v>
      </c>
      <c r="E26" s="21">
        <v>163</v>
      </c>
      <c r="F26" s="21">
        <f t="shared" si="4"/>
        <v>396</v>
      </c>
      <c r="G26" s="39">
        <v>168</v>
      </c>
      <c r="H26" s="21">
        <v>194</v>
      </c>
      <c r="I26" s="21">
        <v>178</v>
      </c>
      <c r="J26" s="21">
        <v>169</v>
      </c>
      <c r="K26" s="21">
        <v>151</v>
      </c>
      <c r="L26" s="21">
        <v>181</v>
      </c>
      <c r="M26" s="21">
        <v>167</v>
      </c>
      <c r="N26" s="22">
        <f t="shared" si="5"/>
        <v>1208</v>
      </c>
      <c r="O26" s="21">
        <v>165</v>
      </c>
      <c r="P26" s="21">
        <v>158</v>
      </c>
      <c r="Q26" s="21">
        <v>148</v>
      </c>
      <c r="R26" s="21">
        <f t="shared" si="6"/>
        <v>471</v>
      </c>
      <c r="S26" s="39">
        <v>7</v>
      </c>
      <c r="T26" s="21">
        <v>14</v>
      </c>
      <c r="U26" s="22">
        <f t="shared" si="7"/>
        <v>21</v>
      </c>
      <c r="V26" s="40">
        <v>0</v>
      </c>
      <c r="AJ26" s="16"/>
      <c r="AL26" s="8"/>
      <c r="AM26" s="8"/>
    </row>
    <row r="27" spans="1:39" s="20" customFormat="1" ht="15" customHeight="1" x14ac:dyDescent="0.25">
      <c r="A27" s="33" t="s">
        <v>25</v>
      </c>
      <c r="B27" s="17">
        <f t="shared" si="3"/>
        <v>3132</v>
      </c>
      <c r="C27" s="21">
        <v>58</v>
      </c>
      <c r="D27" s="21">
        <v>307</v>
      </c>
      <c r="E27" s="21">
        <v>248</v>
      </c>
      <c r="F27" s="21">
        <f t="shared" si="4"/>
        <v>613</v>
      </c>
      <c r="G27" s="39">
        <v>243</v>
      </c>
      <c r="H27" s="21">
        <v>251</v>
      </c>
      <c r="I27" s="21">
        <v>296</v>
      </c>
      <c r="J27" s="21">
        <v>251</v>
      </c>
      <c r="K27" s="21">
        <v>247</v>
      </c>
      <c r="L27" s="21">
        <v>264</v>
      </c>
      <c r="M27" s="21">
        <v>246</v>
      </c>
      <c r="N27" s="22">
        <f t="shared" si="5"/>
        <v>1798</v>
      </c>
      <c r="O27" s="21">
        <v>221</v>
      </c>
      <c r="P27" s="21">
        <v>229</v>
      </c>
      <c r="Q27" s="21">
        <v>215</v>
      </c>
      <c r="R27" s="21">
        <f t="shared" si="6"/>
        <v>665</v>
      </c>
      <c r="S27" s="39">
        <v>30</v>
      </c>
      <c r="T27" s="21">
        <v>21</v>
      </c>
      <c r="U27" s="22">
        <f t="shared" si="7"/>
        <v>51</v>
      </c>
      <c r="V27" s="40">
        <v>5</v>
      </c>
    </row>
    <row r="28" spans="1:39" s="20" customFormat="1" ht="15" customHeight="1" x14ac:dyDescent="0.25">
      <c r="A28" s="33" t="s">
        <v>26</v>
      </c>
      <c r="B28" s="17">
        <f t="shared" si="3"/>
        <v>2516</v>
      </c>
      <c r="C28" s="21">
        <v>152</v>
      </c>
      <c r="D28" s="21">
        <v>191</v>
      </c>
      <c r="E28" s="21">
        <v>193</v>
      </c>
      <c r="F28" s="21">
        <f t="shared" si="4"/>
        <v>536</v>
      </c>
      <c r="G28" s="39">
        <v>193</v>
      </c>
      <c r="H28" s="21">
        <v>212</v>
      </c>
      <c r="I28" s="21">
        <v>196</v>
      </c>
      <c r="J28" s="21">
        <v>195</v>
      </c>
      <c r="K28" s="21">
        <v>246</v>
      </c>
      <c r="L28" s="21">
        <v>219</v>
      </c>
      <c r="M28" s="21">
        <v>182</v>
      </c>
      <c r="N28" s="22">
        <f t="shared" si="5"/>
        <v>1443</v>
      </c>
      <c r="O28" s="21">
        <v>160</v>
      </c>
      <c r="P28" s="21">
        <v>144</v>
      </c>
      <c r="Q28" s="21">
        <v>144</v>
      </c>
      <c r="R28" s="21">
        <f t="shared" si="6"/>
        <v>448</v>
      </c>
      <c r="S28" s="39">
        <v>45</v>
      </c>
      <c r="T28" s="21">
        <v>30</v>
      </c>
      <c r="U28" s="22">
        <f t="shared" si="7"/>
        <v>75</v>
      </c>
      <c r="V28" s="40">
        <v>14</v>
      </c>
    </row>
    <row r="29" spans="1:39" s="20" customFormat="1" ht="15" customHeight="1" x14ac:dyDescent="0.25">
      <c r="A29" s="34" t="s">
        <v>27</v>
      </c>
      <c r="B29" s="23">
        <f t="shared" si="3"/>
        <v>5509</v>
      </c>
      <c r="C29" s="24">
        <v>220</v>
      </c>
      <c r="D29" s="24">
        <v>433</v>
      </c>
      <c r="E29" s="24">
        <v>411</v>
      </c>
      <c r="F29" s="24">
        <f t="shared" si="4"/>
        <v>1064</v>
      </c>
      <c r="G29" s="43">
        <v>427</v>
      </c>
      <c r="H29" s="24">
        <v>449</v>
      </c>
      <c r="I29" s="24">
        <v>389</v>
      </c>
      <c r="J29" s="24">
        <v>445</v>
      </c>
      <c r="K29" s="24">
        <v>441</v>
      </c>
      <c r="L29" s="24">
        <v>438</v>
      </c>
      <c r="M29" s="24">
        <v>408</v>
      </c>
      <c r="N29" s="25">
        <f t="shared" si="5"/>
        <v>2997</v>
      </c>
      <c r="O29" s="24">
        <v>368</v>
      </c>
      <c r="P29" s="24">
        <v>336</v>
      </c>
      <c r="Q29" s="24">
        <v>371</v>
      </c>
      <c r="R29" s="24">
        <f t="shared" si="6"/>
        <v>1075</v>
      </c>
      <c r="S29" s="43">
        <v>307</v>
      </c>
      <c r="T29" s="24">
        <v>64</v>
      </c>
      <c r="U29" s="25">
        <f t="shared" si="7"/>
        <v>371</v>
      </c>
      <c r="V29" s="44">
        <v>2</v>
      </c>
      <c r="AH29" s="26"/>
    </row>
    <row r="30" spans="1:39" ht="13.5" x14ac:dyDescent="0.2">
      <c r="A30" s="3" t="s">
        <v>4</v>
      </c>
      <c r="B30" s="4"/>
      <c r="C30" s="1"/>
      <c r="D30" s="4"/>
      <c r="E30" s="4"/>
      <c r="F30" s="4"/>
      <c r="G30" s="4"/>
      <c r="H30" s="4"/>
      <c r="I30" s="4"/>
      <c r="J30" s="5"/>
      <c r="K30" s="8"/>
      <c r="U30" s="37"/>
      <c r="V30" s="68" t="s">
        <v>5</v>
      </c>
      <c r="AJ30" s="20"/>
      <c r="AK30" s="20"/>
      <c r="AL30" s="20"/>
      <c r="AM30" s="20"/>
    </row>
    <row r="31" spans="1:39" ht="22.5" customHeight="1" x14ac:dyDescent="0.25">
      <c r="A31" s="6"/>
      <c r="B31" s="2"/>
      <c r="C31" s="2"/>
      <c r="D31" s="2"/>
      <c r="E31" s="2"/>
      <c r="F31" s="2"/>
      <c r="G31" s="27"/>
      <c r="H31" s="2"/>
      <c r="I31" s="7"/>
      <c r="J31" s="2"/>
      <c r="K31" s="2"/>
      <c r="AJ31" s="20"/>
      <c r="AK31" s="20"/>
      <c r="AL31" s="20"/>
      <c r="AM31" s="20"/>
    </row>
    <row r="32" spans="1:39" ht="22.5" customHeight="1" x14ac:dyDescent="0.2">
      <c r="AJ32" s="20"/>
      <c r="AK32" s="20"/>
      <c r="AL32" s="20"/>
      <c r="AM32" s="20"/>
    </row>
    <row r="33" spans="11:39" ht="11.25" x14ac:dyDescent="0.2">
      <c r="K33" s="28"/>
      <c r="AJ33" s="20"/>
      <c r="AK33" s="20"/>
      <c r="AL33" s="20"/>
      <c r="AM33" s="20"/>
    </row>
    <row r="34" spans="11:39" ht="11.25" x14ac:dyDescent="0.2">
      <c r="AJ34" s="20"/>
      <c r="AK34" s="20"/>
      <c r="AL34" s="20"/>
      <c r="AM34" s="20"/>
    </row>
    <row r="35" spans="11:39" ht="11.25" x14ac:dyDescent="0.2">
      <c r="AJ35" s="20"/>
      <c r="AK35" s="20"/>
      <c r="AL35" s="20"/>
      <c r="AM35" s="20"/>
    </row>
    <row r="36" spans="11:39" ht="11.25" x14ac:dyDescent="0.2">
      <c r="AJ36" s="20"/>
      <c r="AK36" s="20"/>
      <c r="AL36" s="20"/>
      <c r="AM36" s="20"/>
    </row>
    <row r="37" spans="11:39" ht="11.25" x14ac:dyDescent="0.2">
      <c r="AJ37" s="20"/>
      <c r="AK37" s="20"/>
      <c r="AL37" s="20"/>
      <c r="AM37" s="20"/>
    </row>
    <row r="38" spans="11:39" ht="11.25" x14ac:dyDescent="0.2">
      <c r="AJ38" s="20"/>
      <c r="AK38" s="20"/>
      <c r="AL38" s="20"/>
      <c r="AM38" s="20"/>
    </row>
    <row r="64" spans="37:39" x14ac:dyDescent="0.15">
      <c r="AK64" s="8" t="s">
        <v>1</v>
      </c>
      <c r="AL64" s="8" t="s">
        <v>2</v>
      </c>
      <c r="AM64" s="8" t="s">
        <v>3</v>
      </c>
    </row>
    <row r="65" spans="35:39" ht="11.25" x14ac:dyDescent="0.2">
      <c r="AI65" s="20" t="s">
        <v>7</v>
      </c>
      <c r="AJ65" s="20"/>
      <c r="AK65" s="29">
        <f>U7</f>
        <v>3565</v>
      </c>
      <c r="AL65" s="29">
        <f>U8</f>
        <v>2283</v>
      </c>
      <c r="AM65" s="29">
        <f>U9</f>
        <v>1282</v>
      </c>
    </row>
    <row r="66" spans="35:39" ht="11.25" x14ac:dyDescent="0.2">
      <c r="AI66" s="20" t="s">
        <v>31</v>
      </c>
      <c r="AJ66" s="20"/>
      <c r="AK66" s="29">
        <f>R7</f>
        <v>17031</v>
      </c>
      <c r="AL66" s="29">
        <f>R8</f>
        <v>6166</v>
      </c>
      <c r="AM66" s="29">
        <f>R9</f>
        <v>10865</v>
      </c>
    </row>
    <row r="67" spans="35:39" ht="11.25" x14ac:dyDescent="0.2">
      <c r="AI67" s="20" t="s">
        <v>6</v>
      </c>
      <c r="AJ67" s="20"/>
      <c r="AK67" s="29">
        <f>N7</f>
        <v>51238</v>
      </c>
      <c r="AL67" s="29">
        <f>N8</f>
        <v>17999</v>
      </c>
      <c r="AM67" s="29">
        <f>N9</f>
        <v>33239</v>
      </c>
    </row>
    <row r="68" spans="35:39" ht="11.25" x14ac:dyDescent="0.2">
      <c r="AI68" s="20" t="s">
        <v>28</v>
      </c>
      <c r="AJ68" s="20"/>
      <c r="AK68" s="29">
        <f>F7</f>
        <v>18649</v>
      </c>
      <c r="AL68" s="29">
        <f>F8</f>
        <v>7309</v>
      </c>
      <c r="AM68" s="29">
        <f>F9</f>
        <v>11340</v>
      </c>
    </row>
  </sheetData>
  <mergeCells count="28">
    <mergeCell ref="U5:U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I5:I6"/>
    <mergeCell ref="A1:V1"/>
    <mergeCell ref="A2:V2"/>
    <mergeCell ref="A4:A6"/>
    <mergeCell ref="B4:B6"/>
    <mergeCell ref="C4:F4"/>
    <mergeCell ref="G4:N4"/>
    <mergeCell ref="O4:R4"/>
    <mergeCell ref="S4:U4"/>
    <mergeCell ref="V4:V6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  <pageSetup scale="47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7.12</vt:lpstr>
      <vt:lpstr>'7.12'!Print_Area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2021-07-12T03:19:42Z</cp:lastPrinted>
  <dcterms:created xsi:type="dcterms:W3CDTF">2019-02-28T08:20:57Z</dcterms:created>
  <dcterms:modified xsi:type="dcterms:W3CDTF">2021-07-12T03:21:00Z</dcterms:modified>
</cp:coreProperties>
</file>