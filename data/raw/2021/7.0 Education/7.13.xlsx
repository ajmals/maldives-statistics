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602"/>
  </bookViews>
  <sheets>
    <sheet name="7.13" sheetId="13" r:id="rId1"/>
  </sheets>
  <definedNames>
    <definedName name="_xlnm.Print_Area" localSheetId="0">'7.13'!$A$1:$AL$86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3" l="1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AJ8" i="13"/>
  <c r="CJ8" i="13" s="1"/>
  <c r="AI8" i="13"/>
  <c r="CI8" i="13" s="1"/>
  <c r="AH8" i="13"/>
  <c r="CH8" i="13" s="1"/>
  <c r="AG8" i="13"/>
  <c r="CG8" i="13" s="1"/>
  <c r="AF8" i="13"/>
  <c r="CF8" i="13" s="1"/>
  <c r="AE8" i="13"/>
  <c r="CE8" i="13" s="1"/>
  <c r="AD8" i="13"/>
  <c r="CD8" i="13" s="1"/>
  <c r="AC8" i="13"/>
  <c r="CC8" i="13" s="1"/>
  <c r="AB8" i="13"/>
  <c r="CB8" i="13" s="1"/>
  <c r="AA8" i="13"/>
  <c r="CA8" i="13" s="1"/>
  <c r="Z8" i="13"/>
  <c r="BZ8" i="13" s="1"/>
  <c r="Y8" i="13"/>
  <c r="BY8" i="13" s="1"/>
  <c r="X8" i="13"/>
  <c r="BX8" i="13" s="1"/>
  <c r="W8" i="13"/>
  <c r="BW8" i="13" s="1"/>
  <c r="V8" i="13"/>
  <c r="BV8" i="13" s="1"/>
  <c r="U8" i="13"/>
  <c r="BU8" i="13" s="1"/>
  <c r="T8" i="13"/>
  <c r="BT8" i="13" s="1"/>
  <c r="S8" i="13"/>
  <c r="BS8" i="13" s="1"/>
  <c r="R8" i="13"/>
  <c r="BR8" i="13" s="1"/>
  <c r="Q8" i="13"/>
  <c r="BQ8" i="13" s="1"/>
  <c r="P8" i="13"/>
  <c r="BP8" i="13" s="1"/>
  <c r="O8" i="13"/>
  <c r="BO8" i="13" s="1"/>
  <c r="N8" i="13"/>
  <c r="BN8" i="13" s="1"/>
  <c r="M8" i="13"/>
  <c r="BM8" i="13" s="1"/>
  <c r="L8" i="13"/>
  <c r="BL8" i="13" s="1"/>
  <c r="K8" i="13"/>
  <c r="BK8" i="13" s="1"/>
  <c r="J8" i="13"/>
  <c r="BJ8" i="13" s="1"/>
  <c r="I8" i="13"/>
  <c r="BI8" i="13" s="1"/>
  <c r="H8" i="13"/>
  <c r="BH8" i="13" s="1"/>
  <c r="G8" i="13"/>
  <c r="BG8" i="13" s="1"/>
  <c r="F8" i="13"/>
  <c r="BF8" i="13" s="1"/>
  <c r="E8" i="13"/>
  <c r="BE8" i="13" s="1"/>
  <c r="CJ7" i="13"/>
  <c r="CI7" i="13"/>
  <c r="CH7" i="13"/>
  <c r="CG7" i="13"/>
  <c r="CF7" i="13"/>
  <c r="CE7" i="13"/>
  <c r="CD7" i="13"/>
  <c r="CC7" i="13"/>
  <c r="CC11" i="13" s="1"/>
  <c r="BQ19" i="13" s="1"/>
  <c r="CB7" i="13"/>
  <c r="CA7" i="13"/>
  <c r="CA11" i="13" s="1"/>
  <c r="BP19" i="13" s="1"/>
  <c r="BZ7" i="13"/>
  <c r="BY7" i="13"/>
  <c r="BX7" i="13"/>
  <c r="BW7" i="13"/>
  <c r="BV7" i="13"/>
  <c r="BU7" i="13"/>
  <c r="BU11" i="13" s="1"/>
  <c r="BM19" i="13" s="1"/>
  <c r="BT7" i="13"/>
  <c r="BS7" i="13"/>
  <c r="BS11" i="13" s="1"/>
  <c r="BL19" i="13" s="1"/>
  <c r="BR7" i="13"/>
  <c r="BQ7" i="13"/>
  <c r="BP7" i="13"/>
  <c r="BO7" i="13"/>
  <c r="BN7" i="13"/>
  <c r="BM7" i="13"/>
  <c r="BM11" i="13" s="1"/>
  <c r="BI19" i="13" s="1"/>
  <c r="BL7" i="13"/>
  <c r="BK7" i="13"/>
  <c r="BK11" i="13" s="1"/>
  <c r="BH19" i="13" s="1"/>
  <c r="BJ7" i="13"/>
  <c r="BI7" i="13"/>
  <c r="BH7" i="13"/>
  <c r="BG7" i="13"/>
  <c r="BF7" i="13"/>
  <c r="BE7" i="13"/>
  <c r="BE11" i="13" s="1"/>
  <c r="BE19" i="13" s="1"/>
  <c r="D7" i="13"/>
  <c r="C7" i="13"/>
  <c r="B7" i="13"/>
  <c r="AD6" i="13"/>
  <c r="CD6" i="13" s="1"/>
  <c r="X6" i="13"/>
  <c r="BX6" i="13" s="1"/>
  <c r="N6" i="13"/>
  <c r="BN6" i="13" s="1"/>
  <c r="R6" i="13" l="1"/>
  <c r="BR6" i="13" s="1"/>
  <c r="BG11" i="13"/>
  <c r="BF19" i="13" s="1"/>
  <c r="BO11" i="13"/>
  <c r="BJ19" i="13" s="1"/>
  <c r="BW11" i="13"/>
  <c r="BN19" i="13" s="1"/>
  <c r="V6" i="13"/>
  <c r="BV6" i="13" s="1"/>
  <c r="F6" i="13"/>
  <c r="BF6" i="13" s="1"/>
  <c r="H6" i="13"/>
  <c r="BH6" i="13" s="1"/>
  <c r="I6" i="13"/>
  <c r="BI6" i="13" s="1"/>
  <c r="Y6" i="13"/>
  <c r="BY6" i="13" s="1"/>
  <c r="Z6" i="13"/>
  <c r="BZ6" i="13" s="1"/>
  <c r="J6" i="13"/>
  <c r="BJ6" i="13" s="1"/>
  <c r="AC6" i="13"/>
  <c r="CC6" i="13" s="1"/>
  <c r="CC10" i="13" s="1"/>
  <c r="BQ15" i="13" s="1"/>
  <c r="M6" i="13"/>
  <c r="BM6" i="13" s="1"/>
  <c r="BM10" i="13" s="1"/>
  <c r="BI15" i="13" s="1"/>
  <c r="AH6" i="13"/>
  <c r="CH6" i="13" s="1"/>
  <c r="BI11" i="13"/>
  <c r="BG19" i="13" s="1"/>
  <c r="BQ11" i="13"/>
  <c r="BK19" i="13" s="1"/>
  <c r="BY11" i="13"/>
  <c r="BO19" i="13" s="1"/>
  <c r="CG11" i="13"/>
  <c r="BS19" i="13" s="1"/>
  <c r="T6" i="13"/>
  <c r="BT6" i="13" s="1"/>
  <c r="AJ6" i="13"/>
  <c r="CJ6" i="13" s="1"/>
  <c r="E6" i="13"/>
  <c r="BE6" i="13" s="1"/>
  <c r="BE10" i="13" s="1"/>
  <c r="BE15" i="13" s="1"/>
  <c r="P6" i="13"/>
  <c r="BP6" i="13" s="1"/>
  <c r="U6" i="13"/>
  <c r="BU6" i="13" s="1"/>
  <c r="AF6" i="13"/>
  <c r="CF6" i="13" s="1"/>
  <c r="L6" i="13"/>
  <c r="BL6" i="13" s="1"/>
  <c r="Q6" i="13"/>
  <c r="BQ6" i="13" s="1"/>
  <c r="BQ10" i="13" s="1"/>
  <c r="BK15" i="13" s="1"/>
  <c r="AB6" i="13"/>
  <c r="CB6" i="13" s="1"/>
  <c r="AG6" i="13"/>
  <c r="CG6" i="13" s="1"/>
  <c r="BG12" i="13"/>
  <c r="BF20" i="13" s="1"/>
  <c r="BO12" i="13"/>
  <c r="BJ20" i="13" s="1"/>
  <c r="BW12" i="13"/>
  <c r="BN20" i="13" s="1"/>
  <c r="CE12" i="13"/>
  <c r="BR20" i="13" s="1"/>
  <c r="BI12" i="13"/>
  <c r="BG20" i="13" s="1"/>
  <c r="BQ12" i="13"/>
  <c r="BK20" i="13" s="1"/>
  <c r="BY12" i="13"/>
  <c r="BO20" i="13" s="1"/>
  <c r="CG12" i="13"/>
  <c r="BS20" i="13" s="1"/>
  <c r="K6" i="13"/>
  <c r="BK6" i="13" s="1"/>
  <c r="S6" i="13"/>
  <c r="BS6" i="13" s="1"/>
  <c r="AA6" i="13"/>
  <c r="CA6" i="13" s="1"/>
  <c r="AI6" i="13"/>
  <c r="CI6" i="13" s="1"/>
  <c r="C8" i="13"/>
  <c r="D8" i="13"/>
  <c r="CE11" i="13"/>
  <c r="BR19" i="13" s="1"/>
  <c r="G6" i="13"/>
  <c r="O6" i="13"/>
  <c r="BO6" i="13" s="1"/>
  <c r="W6" i="13"/>
  <c r="BW6" i="13" s="1"/>
  <c r="BW10" i="13" s="1"/>
  <c r="BN15" i="13" s="1"/>
  <c r="AE6" i="13"/>
  <c r="CE6" i="13" s="1"/>
  <c r="BK12" i="13"/>
  <c r="BH20" i="13" s="1"/>
  <c r="BS12" i="13"/>
  <c r="BL20" i="13" s="1"/>
  <c r="CA12" i="13"/>
  <c r="BP20" i="13" s="1"/>
  <c r="CI12" i="13"/>
  <c r="BE12" i="13"/>
  <c r="BE20" i="13" s="1"/>
  <c r="BM12" i="13"/>
  <c r="BI20" i="13" s="1"/>
  <c r="BU12" i="13"/>
  <c r="BM20" i="13" s="1"/>
  <c r="CC12" i="13"/>
  <c r="BQ20" i="13" s="1"/>
  <c r="B8" i="13"/>
  <c r="BU10" i="13" l="1"/>
  <c r="BM15" i="13" s="1"/>
  <c r="CI10" i="13"/>
  <c r="CA10" i="13"/>
  <c r="BP15" i="13" s="1"/>
  <c r="BY10" i="13"/>
  <c r="BO15" i="13" s="1"/>
  <c r="BS10" i="13"/>
  <c r="BL15" i="13" s="1"/>
  <c r="BI10" i="13"/>
  <c r="BG15" i="13" s="1"/>
  <c r="CE10" i="13"/>
  <c r="BR15" i="13" s="1"/>
  <c r="CG10" i="13"/>
  <c r="BS15" i="13" s="1"/>
  <c r="BO10" i="13"/>
  <c r="BJ15" i="13" s="1"/>
  <c r="BK10" i="13"/>
  <c r="BH15" i="13" s="1"/>
  <c r="D6" i="13"/>
  <c r="BG6" i="13"/>
  <c r="BG10" i="13" s="1"/>
  <c r="BF15" i="13" s="1"/>
  <c r="C6" i="13"/>
  <c r="B6" i="13"/>
  <c r="AK8" i="13" l="1"/>
  <c r="AK6" i="13"/>
  <c r="AK25" i="13"/>
  <c r="AK10" i="13"/>
  <c r="AK17" i="13"/>
  <c r="AK23" i="13"/>
  <c r="AK7" i="13"/>
  <c r="AK24" i="13"/>
  <c r="AK19" i="13"/>
  <c r="AK15" i="13"/>
  <c r="AK16" i="13"/>
  <c r="AK27" i="13"/>
  <c r="AK13" i="13"/>
  <c r="AK28" i="13"/>
  <c r="AK11" i="13"/>
  <c r="AK21" i="13"/>
  <c r="AK9" i="13"/>
  <c r="AK18" i="13"/>
  <c r="AK20" i="13"/>
  <c r="AK22" i="13"/>
  <c r="AK26" i="13"/>
  <c r="AK14" i="13"/>
  <c r="AK12" i="13"/>
</calcChain>
</file>

<file path=xl/sharedStrings.xml><?xml version="1.0" encoding="utf-8"?>
<sst xmlns="http://schemas.openxmlformats.org/spreadsheetml/2006/main" count="191" uniqueCount="70">
  <si>
    <t>Total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</si>
  <si>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</si>
  <si>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</si>
  <si>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</si>
  <si>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</si>
  <si>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</si>
  <si>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</si>
  <si>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</si>
  <si>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</si>
  <si>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</si>
  <si>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</si>
  <si>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</si>
  <si>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</si>
  <si>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</si>
  <si>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</si>
  <si>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</si>
  <si>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</si>
  <si>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</si>
  <si>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</si>
  <si>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</si>
  <si>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</si>
  <si>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</si>
  <si>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</si>
  <si>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</si>
  <si>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</si>
  <si>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</si>
  <si>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</si>
  <si>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</si>
  <si>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</si>
  <si>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</si>
  <si>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</si>
  <si>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</si>
  <si>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</si>
  <si>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</si>
  <si>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</si>
  <si>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</si>
  <si>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</si>
  <si>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</si>
  <si>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</si>
  <si>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</si>
  <si>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</si>
  <si>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</si>
  <si>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</si>
  <si>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</si>
  <si>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</si>
  <si>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</si>
  <si>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</si>
  <si>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Name of Atoll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</si>
  <si>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</si>
  <si>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</si>
  <si>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</si>
  <si>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</si>
  <si>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</si>
  <si>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</si>
  <si>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</si>
  <si>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</si>
  <si>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</si>
  <si>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</si>
  <si>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</si>
  <si>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</si>
  <si>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</si>
  <si>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</si>
  <si>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</si>
  <si>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</si>
  <si>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>Special</t>
  </si>
  <si>
    <t>% Share</t>
  </si>
  <si>
    <t>Both sex</t>
  </si>
  <si>
    <t>sex ratio</t>
  </si>
  <si>
    <t>TABLE 7.13: ENROLMENT IN MALE' AND ATOLLS BY GRADE AND SEX, 2020</t>
  </si>
  <si>
    <t xml:space="preserve"> 2020 ,cnikwv cscnij idwa cDErcg ,udwdwA egcnidukWvwyik ibit iawgukwtuLotwa iaWaelWm :7.13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</si>
</sst>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_(* ###0_);_(* \(###0\);_(* &quot;&quot;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Faseyha"/>
    </font>
    <font>
      <sz val="12"/>
      <name val="A_Waheed"/>
    </font>
    <font>
      <sz val="10"/>
      <name val="MS Sans Serif"/>
      <family val="2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56">
    <xf numFmtId="0" fontId="0" fillId="0" borderId="0" xfId="0"/>
    <xf numFmtId="164" fontId="5" fillId="2" borderId="0" xfId="0" applyNumberFormat="1" applyFont="1" applyFill="1" applyAlignment="1" applyProtection="1">
      <alignment horizontal="left" vertical="center" indent="1"/>
    </xf>
    <xf numFmtId="164" fontId="5" fillId="2" borderId="1" xfId="0" applyNumberFormat="1" applyFont="1" applyFill="1" applyBorder="1" applyAlignment="1" applyProtection="1">
      <alignment horizontal="left" vertical="center" indent="1"/>
    </xf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1" fillId="2" borderId="11" xfId="0" applyFont="1" applyFill="1" applyBorder="1"/>
    <xf numFmtId="0" fontId="3" fillId="2" borderId="12" xfId="0" applyFont="1" applyFill="1" applyBorder="1" applyAlignment="1">
      <alignment horizontal="right" vertical="center"/>
    </xf>
    <xf numFmtId="1" fontId="3" fillId="2" borderId="13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168" fontId="3" fillId="2" borderId="13" xfId="0" applyNumberFormat="1" applyFont="1" applyFill="1" applyBorder="1" applyAlignment="1">
      <alignment horizontal="right" vertical="center"/>
    </xf>
    <xf numFmtId="1" fontId="11" fillId="2" borderId="12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3" fontId="10" fillId="2" borderId="4" xfId="0" applyNumberFormat="1" applyFont="1" applyFill="1" applyBorder="1" applyAlignment="1">
      <alignment horizontal="right" vertical="center"/>
    </xf>
    <xf numFmtId="166" fontId="0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10" fillId="2" borderId="5" xfId="0" applyNumberFormat="1" applyFont="1" applyFill="1" applyBorder="1" applyAlignment="1">
      <alignment horizontal="right" vertical="center"/>
    </xf>
    <xf numFmtId="166" fontId="0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right" vertical="center"/>
    </xf>
    <xf numFmtId="3" fontId="10" fillId="2" borderId="7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318619667442E-2"/>
          <c:y val="0.13950893782674986"/>
          <c:w val="0.93987566975476233"/>
          <c:h val="0.76241960457713398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FFC000"/>
              </a:solidFill>
              <a:ln w="9525">
                <a:solidFill>
                  <a:srgbClr val="DFBE9D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101.85185185185186</c:v>
                </c:pt>
                <c:pt idx="1">
                  <c:v>101.77232447171099</c:v>
                </c:pt>
                <c:pt idx="2">
                  <c:v>105.09449465899753</c:v>
                </c:pt>
                <c:pt idx="3">
                  <c:v>103.90243902439025</c:v>
                </c:pt>
                <c:pt idx="4">
                  <c:v>107.57812499999999</c:v>
                </c:pt>
                <c:pt idx="5">
                  <c:v>111.77394034536891</c:v>
                </c:pt>
                <c:pt idx="6">
                  <c:v>107.09728867623605</c:v>
                </c:pt>
                <c:pt idx="7">
                  <c:v>99.688230709275132</c:v>
                </c:pt>
                <c:pt idx="8">
                  <c:v>106.93311582381727</c:v>
                </c:pt>
                <c:pt idx="9">
                  <c:v>103.67278797996661</c:v>
                </c:pt>
                <c:pt idx="10">
                  <c:v>101.49953139643861</c:v>
                </c:pt>
                <c:pt idx="11">
                  <c:v>108</c:v>
                </c:pt>
                <c:pt idx="12">
                  <c:v>105.52016985138005</c:v>
                </c:pt>
                <c:pt idx="13">
                  <c:v>77.890173410404628</c:v>
                </c:pt>
                <c:pt idx="14">
                  <c:v>74.750830564784053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6-4ADB-BC35-AFA884E35107}"/>
            </c:ext>
          </c:extLst>
        </c:ser>
        <c:ser>
          <c:idx val="1"/>
          <c:order val="1"/>
          <c:tx>
            <c:strRef>
              <c:f>'7.13'!$BD$20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rgbClr val="33CCC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8F4F2"/>
              </a:solidFill>
              <a:ln w="9525">
                <a:solidFill>
                  <a:srgbClr val="196563"/>
                </a:solidFill>
              </a:ln>
              <a:effectLst/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F9A6-4784-8A64-A9DC134AECBC}"/>
              </c:ext>
            </c:extLst>
          </c:dPt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107.37327188940091</c:v>
                </c:pt>
                <c:pt idx="1">
                  <c:v>102.50440917107584</c:v>
                </c:pt>
                <c:pt idx="2">
                  <c:v>102.36864771748493</c:v>
                </c:pt>
                <c:pt idx="3">
                  <c:v>111.90370040124833</c:v>
                </c:pt>
                <c:pt idx="4">
                  <c:v>111.54844290657439</c:v>
                </c:pt>
                <c:pt idx="5">
                  <c:v>112.64466352336049</c:v>
                </c:pt>
                <c:pt idx="6">
                  <c:v>109.60526315789474</c:v>
                </c:pt>
                <c:pt idx="7">
                  <c:v>105.18112889637743</c:v>
                </c:pt>
                <c:pt idx="8">
                  <c:v>103.37275514673674</c:v>
                </c:pt>
                <c:pt idx="9">
                  <c:v>111.24087591240877</c:v>
                </c:pt>
                <c:pt idx="10">
                  <c:v>104.75435816164817</c:v>
                </c:pt>
                <c:pt idx="11">
                  <c:v>98.44530816213215</c:v>
                </c:pt>
                <c:pt idx="12">
                  <c:v>109.38074800735744</c:v>
                </c:pt>
                <c:pt idx="13">
                  <c:v>82.448036951501152</c:v>
                </c:pt>
                <c:pt idx="14">
                  <c:v>72.027972027972027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6-4ADB-BC35-AFA884E3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204856"/>
        <c:axId val="349205248"/>
      </c:lineChart>
      <c:catAx>
        <c:axId val="34920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5248"/>
        <c:crosses val="autoZero"/>
        <c:auto val="1"/>
        <c:lblAlgn val="ctr"/>
        <c:lblOffset val="100"/>
        <c:noMultiLvlLbl val="0"/>
      </c:catAx>
      <c:valAx>
        <c:axId val="3492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4856"/>
        <c:crosses val="autoZero"/>
        <c:crossBetween val="between"/>
        <c:majorUnit val="40"/>
      </c:valAx>
      <c:spPr>
        <a:solidFill>
          <a:srgbClr val="EBFBFA"/>
        </a:solidFill>
        <a:ln>
          <a:solidFill>
            <a:srgbClr val="DFBE9D"/>
          </a:solidFill>
        </a:ln>
        <a:effectLst/>
      </c:spPr>
    </c:plotArea>
    <c:legend>
      <c:legendPos val="b"/>
      <c:layout>
        <c:manualLayout>
          <c:xMode val="edge"/>
          <c:yMode val="edge"/>
          <c:x val="0.38531191066293369"/>
          <c:y val="0.57202258810925022"/>
          <c:w val="0.21872229456749498"/>
          <c:h val="6.3473437672148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27062038464606E-2"/>
          <c:y val="0.14748410614446272"/>
          <c:w val="0.93996728945531571"/>
          <c:h val="0.74356841761897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3CCCC"/>
              </a:solidFill>
              <a:ln w="9525">
                <a:solidFill>
                  <a:srgbClr val="33CCCC"/>
                </a:solidFill>
              </a:ln>
              <a:effectLst/>
            </c:spPr>
          </c:marker>
          <c:cat>
            <c:strRef>
              <c:f>'7.13'!$BE$14:$BS$14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'7.13'!$BE$15:$BS$15</c:f>
              <c:numCache>
                <c:formatCode>0</c:formatCode>
                <c:ptCount val="15"/>
                <c:pt idx="0">
                  <c:v>103.62426035502959</c:v>
                </c:pt>
                <c:pt idx="1">
                  <c:v>102.25476522547652</c:v>
                </c:pt>
                <c:pt idx="2">
                  <c:v>103.30601864933597</c:v>
                </c:pt>
                <c:pt idx="3">
                  <c:v>109.06996832709473</c:v>
                </c:pt>
                <c:pt idx="4">
                  <c:v>110.13363028953229</c:v>
                </c:pt>
                <c:pt idx="5">
                  <c:v>112.33712226226783</c:v>
                </c:pt>
                <c:pt idx="6">
                  <c:v>108.71533672891907</c:v>
                </c:pt>
                <c:pt idx="7">
                  <c:v>103.25403336067815</c:v>
                </c:pt>
                <c:pt idx="8">
                  <c:v>104.61669991450555</c:v>
                </c:pt>
                <c:pt idx="9">
                  <c:v>108.45373501383338</c:v>
                </c:pt>
                <c:pt idx="10">
                  <c:v>103.58108108108108</c:v>
                </c:pt>
                <c:pt idx="11">
                  <c:v>101.85647982863264</c:v>
                </c:pt>
                <c:pt idx="12">
                  <c:v>107.96735328410416</c:v>
                </c:pt>
                <c:pt idx="13">
                  <c:v>79.644444444444446</c:v>
                </c:pt>
                <c:pt idx="14">
                  <c:v>73.873873873873876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4-4272-BF70-4C26F0B1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201328"/>
        <c:axId val="455798696"/>
      </c:lineChart>
      <c:catAx>
        <c:axId val="3492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8696"/>
        <c:crosses val="autoZero"/>
        <c:auto val="1"/>
        <c:lblAlgn val="ctr"/>
        <c:lblOffset val="100"/>
        <c:noMultiLvlLbl val="0"/>
      </c:catAx>
      <c:valAx>
        <c:axId val="455798696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1328"/>
        <c:crosses val="autoZero"/>
        <c:crossBetween val="between"/>
        <c:majorUnit val="40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0730473219028E-2"/>
          <c:y val="0.14065624631408272"/>
          <c:w val="0.94027177875454249"/>
          <c:h val="0.74693294355302275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rgbClr val="24939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8F4F2"/>
              </a:solidFill>
              <a:ln w="9525">
                <a:solidFill>
                  <a:srgbClr val="33CCCC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101.85185185185186</c:v>
                </c:pt>
                <c:pt idx="1">
                  <c:v>101.77232447171099</c:v>
                </c:pt>
                <c:pt idx="2">
                  <c:v>105.09449465899753</c:v>
                </c:pt>
                <c:pt idx="3">
                  <c:v>103.90243902439025</c:v>
                </c:pt>
                <c:pt idx="4">
                  <c:v>107.57812499999999</c:v>
                </c:pt>
                <c:pt idx="5">
                  <c:v>111.77394034536891</c:v>
                </c:pt>
                <c:pt idx="6">
                  <c:v>107.09728867623605</c:v>
                </c:pt>
                <c:pt idx="7">
                  <c:v>99.688230709275132</c:v>
                </c:pt>
                <c:pt idx="8">
                  <c:v>106.93311582381727</c:v>
                </c:pt>
                <c:pt idx="9">
                  <c:v>103.67278797996661</c:v>
                </c:pt>
                <c:pt idx="10">
                  <c:v>101.49953139643861</c:v>
                </c:pt>
                <c:pt idx="11">
                  <c:v>108</c:v>
                </c:pt>
                <c:pt idx="12">
                  <c:v>105.52016985138005</c:v>
                </c:pt>
                <c:pt idx="13">
                  <c:v>77.890173410404628</c:v>
                </c:pt>
                <c:pt idx="14">
                  <c:v>74.750830564784053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6-48C6-B940-9AC84DEA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793208"/>
        <c:axId val="455797128"/>
      </c:lineChart>
      <c:catAx>
        <c:axId val="45579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7128"/>
        <c:crosses val="autoZero"/>
        <c:auto val="1"/>
        <c:lblAlgn val="ctr"/>
        <c:lblOffset val="100"/>
        <c:noMultiLvlLbl val="0"/>
      </c:catAx>
      <c:valAx>
        <c:axId val="45579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3208"/>
        <c:crosses val="autoZero"/>
        <c:crossBetween val="between"/>
        <c:majorUnit val="40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21249854827541E-2"/>
          <c:y val="0.15187803810917364"/>
          <c:w val="0.93993084904242574"/>
          <c:h val="0.73225697035883663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rgbClr val="964B00"/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107.37327188940091</c:v>
                </c:pt>
                <c:pt idx="1">
                  <c:v>102.50440917107584</c:v>
                </c:pt>
                <c:pt idx="2">
                  <c:v>102.36864771748493</c:v>
                </c:pt>
                <c:pt idx="3">
                  <c:v>111.90370040124833</c:v>
                </c:pt>
                <c:pt idx="4">
                  <c:v>111.54844290657439</c:v>
                </c:pt>
                <c:pt idx="5">
                  <c:v>112.64466352336049</c:v>
                </c:pt>
                <c:pt idx="6">
                  <c:v>109.60526315789474</c:v>
                </c:pt>
                <c:pt idx="7">
                  <c:v>105.18112889637743</c:v>
                </c:pt>
                <c:pt idx="8">
                  <c:v>103.37275514673674</c:v>
                </c:pt>
                <c:pt idx="9">
                  <c:v>111.24087591240877</c:v>
                </c:pt>
                <c:pt idx="10">
                  <c:v>104.75435816164817</c:v>
                </c:pt>
                <c:pt idx="11">
                  <c:v>98.44530816213215</c:v>
                </c:pt>
                <c:pt idx="12">
                  <c:v>109.38074800735744</c:v>
                </c:pt>
                <c:pt idx="13">
                  <c:v>82.448036951501152</c:v>
                </c:pt>
                <c:pt idx="14">
                  <c:v>72.027972027972027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A-4816-9510-592E4E07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794776"/>
        <c:axId val="455796736"/>
      </c:lineChart>
      <c:catAx>
        <c:axId val="45579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6736"/>
        <c:crosses val="autoZero"/>
        <c:auto val="1"/>
        <c:lblAlgn val="ctr"/>
        <c:lblOffset val="100"/>
        <c:noMultiLvlLbl val="0"/>
      </c:catAx>
      <c:valAx>
        <c:axId val="45579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4776"/>
        <c:crosses val="autoZero"/>
        <c:crossBetween val="between"/>
        <c:majorUnit val="40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59081263813853E-2"/>
          <c:y val="0.15444255935078957"/>
          <c:w val="0.94328922653947689"/>
          <c:h val="0.7476686796303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'7.13'!$CA$24:$CA$43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'7.13'!$AK$9:$AK$28</c:f>
              <c:numCache>
                <c:formatCode>0.0</c:formatCode>
                <c:ptCount val="20"/>
                <c:pt idx="0">
                  <c:v>4.0998178104124108</c:v>
                </c:pt>
                <c:pt idx="1">
                  <c:v>6.3534477999227068</c:v>
                </c:pt>
                <c:pt idx="2">
                  <c:v>4.1009219897311322</c:v>
                </c:pt>
                <c:pt idx="3">
                  <c:v>3.4063931982553965</c:v>
                </c:pt>
                <c:pt idx="4">
                  <c:v>4.9312648374095955</c:v>
                </c:pt>
                <c:pt idx="5">
                  <c:v>2.7836360624965493</c:v>
                </c:pt>
                <c:pt idx="6">
                  <c:v>2.4269861425495498</c:v>
                </c:pt>
                <c:pt idx="7">
                  <c:v>3.2937669077458183</c:v>
                </c:pt>
                <c:pt idx="8">
                  <c:v>2.1133992160326835</c:v>
                </c:pt>
                <c:pt idx="9">
                  <c:v>2.5915088610390327</c:v>
                </c:pt>
                <c:pt idx="10">
                  <c:v>0.422900679070281</c:v>
                </c:pt>
                <c:pt idx="11">
                  <c:v>1.3603489206647159</c:v>
                </c:pt>
                <c:pt idx="12">
                  <c:v>1.5867056810025946</c:v>
                </c:pt>
                <c:pt idx="13">
                  <c:v>1.8053331861094244</c:v>
                </c:pt>
                <c:pt idx="14">
                  <c:v>2.8863247391376361</c:v>
                </c:pt>
                <c:pt idx="15">
                  <c:v>3.9297741953293213</c:v>
                </c:pt>
                <c:pt idx="16">
                  <c:v>2.3143598520399715</c:v>
                </c:pt>
                <c:pt idx="17">
                  <c:v>3.4582896262353011</c:v>
                </c:pt>
                <c:pt idx="18">
                  <c:v>2.7781151659029426</c:v>
                </c:pt>
                <c:pt idx="19">
                  <c:v>6.0829238668359746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7-437C-A938-085208FD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455793600"/>
        <c:axId val="455797520"/>
      </c:barChart>
      <c:catAx>
        <c:axId val="455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7520"/>
        <c:crosses val="autoZero"/>
        <c:auto val="1"/>
        <c:lblAlgn val="ctr"/>
        <c:lblOffset val="100"/>
        <c:noMultiLvlLbl val="0"/>
      </c:catAx>
      <c:valAx>
        <c:axId val="4557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F4F2"/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3600"/>
        <c:crosses val="autoZero"/>
        <c:crossBetween val="between"/>
      </c:valAx>
      <c:spPr>
        <a:solidFill>
          <a:srgbClr val="EBFBFA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89931717220767"/>
          <c:y val="0.1435881414833857"/>
          <c:w val="0.33330107306605744"/>
          <c:h val="0.83408163143863656"/>
        </c:manualLayout>
      </c:layout>
      <c:doughnutChart>
        <c:varyColors val="1"/>
        <c:ser>
          <c:idx val="0"/>
          <c:order val="0"/>
          <c:spPr>
            <a:solidFill>
              <a:srgbClr val="FF6D6D"/>
            </a:solidFill>
          </c:spPr>
          <c:explosion val="5"/>
          <c:dPt>
            <c:idx val="0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1-4A2D-4272-9BAB-17BEE9A1EA50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A2D-4272-9BAB-17BEE9A1EA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2D-4272-9BAB-17BEE9A1EA5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2D-4272-9BAB-17BEE9A1E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'7.13'!$A$7:$A$8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'7.13'!$B$7:$B$8</c:f>
              <c:numCache>
                <c:formatCode>#,##0</c:formatCode>
                <c:ptCount val="2"/>
                <c:pt idx="0">
                  <c:v>33757</c:v>
                </c:pt>
                <c:pt idx="1">
                  <c:v>56808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D-4272-9BAB-17BEE9A1EA5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361931</xdr:colOff>
      <xdr:row>29</xdr:row>
      <xdr:rowOff>155306</xdr:rowOff>
    </xdr:from>
    <xdr:to>
      <xdr:col>36</xdr:col>
      <xdr:colOff>470898</xdr:colOff>
      <xdr:row>47</xdr:row>
      <xdr:rowOff>64214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282661</xdr:colOff>
      <xdr:row>48</xdr:row>
      <xdr:rowOff>186205</xdr:rowOff>
    </xdr:from>
    <xdr:to>
      <xdr:col>17</xdr:col>
      <xdr:colOff>149832</xdr:colOff>
      <xdr:row>66</xdr:row>
      <xdr:rowOff>64213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338664</xdr:colOff>
      <xdr:row>49</xdr:row>
      <xdr:rowOff>908</xdr:rowOff>
    </xdr:from>
    <xdr:to>
      <xdr:col>36</xdr:col>
      <xdr:colOff>503005</xdr:colOff>
      <xdr:row>66</xdr:row>
      <xdr:rowOff>74915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279344</xdr:colOff>
      <xdr:row>68</xdr:row>
      <xdr:rowOff>26846</xdr:rowOff>
    </xdr:from>
    <xdr:to>
      <xdr:col>17</xdr:col>
      <xdr:colOff>152400</xdr:colOff>
      <xdr:row>85</xdr:row>
      <xdr:rowOff>107022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265151</xdr:colOff>
      <xdr:row>29</xdr:row>
      <xdr:rowOff>160263</xdr:rowOff>
    </xdr:from>
    <xdr:to>
      <xdr:col>17</xdr:col>
      <xdr:colOff>149832</xdr:colOff>
      <xdr:row>47</xdr:row>
      <xdr:rowOff>64215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107941</xdr:colOff>
      <xdr:row>68</xdr:row>
      <xdr:rowOff>31653</xdr:rowOff>
    </xdr:from>
    <xdr:to>
      <xdr:col>36</xdr:col>
      <xdr:colOff>476250</xdr:colOff>
      <xdr:row>85</xdr:row>
      <xdr:rowOff>117725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438791</xdr:colOff>
      <xdr:row>30</xdr:row>
      <xdr:rowOff>64213</xdr:rowOff>
    </xdr:from>
    <xdr:to>
      <xdr:col>14</xdr:col>
      <xdr:colOff>139129</xdr:colOff>
      <xdr:row>32</xdr:row>
      <xdr:rowOff>42809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2143766" y="7160338"/>
          <a:ext cx="5786813" cy="359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7.12: Percentage share of students enrolled by Atolls,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2020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19</xdr:col>
      <xdr:colOff>352426</xdr:colOff>
      <xdr:row>30</xdr:row>
      <xdr:rowOff>53512</xdr:rowOff>
    </xdr:from>
    <xdr:to>
      <xdr:col>35</xdr:col>
      <xdr:colOff>117727</xdr:colOff>
      <xdr:row>32</xdr:row>
      <xdr:rowOff>53512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0287001" y="7149637"/>
          <a:ext cx="667092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7.13: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grade and locality, 2020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19</xdr:col>
      <xdr:colOff>353753</xdr:colOff>
      <xdr:row>49</xdr:row>
      <xdr:rowOff>44908</xdr:rowOff>
    </xdr:from>
    <xdr:to>
      <xdr:col>34</xdr:col>
      <xdr:colOff>353969</xdr:colOff>
      <xdr:row>50</xdr:row>
      <xdr:rowOff>180203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0288328" y="10760533"/>
          <a:ext cx="6429591" cy="325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7.15: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for Male' by grade, 2020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0.10005</cdr:x>
      <cdr:y>0.04479</cdr:y>
    </cdr:from>
    <cdr:to>
      <cdr:x>0.91051</cdr:x>
      <cdr:y>0.12872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3906" y="148856"/>
          <a:ext cx="6755058" cy="278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7.14: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by  grade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for Republic, 2020</a:t>
          </a:r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0.12389</cdr:x>
      <cdr:y>0.02071</cdr:y>
    </cdr:from>
    <cdr:to>
      <cdr:x>0.94015</cdr:x>
      <cdr:y>0.12408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6993" y="69051"/>
          <a:ext cx="6832322" cy="344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7.16: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by  grade 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for Atolls, 2020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0.13022</cdr:x>
      <cdr:y>0.05206</cdr:y>
    </cdr:from>
    <cdr:to>
      <cdr:x>0.9243</cdr:x>
      <cdr:y>0.12793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5045" y="173077"/>
          <a:ext cx="6494639" cy="252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7.17: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Percentage share of students enrolled in Male'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and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Atolls,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2020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CJ43"/>
  <sheetViews>
    <sheetView tabSelected="1" view="pageBreakPreview" zoomScaleNormal="86" zoomScaleSheetLayoutView="100" workbookViewId="0">
      <selection activeCell="AQ47" sqref="AQ47"/>
    </sheetView>
  </sheetViews>
  <sheetFormatPr defaultColWidth="9.140625" defaultRowHeight="15" x14ac:dyDescent="0.25"/>
  <cols>
    <col min="1" max="1" width="16.42578125" style="7" customWidth="1"/>
    <col min="2" max="4" width="9" style="7" customWidth="1"/>
    <col min="5" max="34" width="6.42578125" style="7" customWidth="1"/>
    <col min="35" max="36" width="7.140625" style="7" customWidth="1"/>
    <col min="37" max="16384" width="9.140625" style="7"/>
  </cols>
  <sheetData>
    <row r="1" spans="1:88" ht="18.75" x14ac:dyDescent="0.45">
      <c r="A1" s="42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88" ht="15.75" x14ac:dyDescent="0.25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</row>
    <row r="4" spans="1:88" ht="15" customHeight="1" x14ac:dyDescent="0.25">
      <c r="A4" s="47" t="s">
        <v>47</v>
      </c>
      <c r="B4" s="49" t="s">
        <v>0</v>
      </c>
      <c r="C4" s="49"/>
      <c r="D4" s="50"/>
      <c r="E4" s="51" t="s">
        <v>48</v>
      </c>
      <c r="F4" s="52"/>
      <c r="G4" s="51" t="s">
        <v>49</v>
      </c>
      <c r="H4" s="53"/>
      <c r="I4" s="52" t="s">
        <v>50</v>
      </c>
      <c r="J4" s="52"/>
      <c r="K4" s="46" t="s">
        <v>51</v>
      </c>
      <c r="L4" s="46"/>
      <c r="M4" s="53" t="s">
        <v>52</v>
      </c>
      <c r="N4" s="51"/>
      <c r="O4" s="46" t="s">
        <v>53</v>
      </c>
      <c r="P4" s="46"/>
      <c r="Q4" s="53" t="s">
        <v>54</v>
      </c>
      <c r="R4" s="51"/>
      <c r="S4" s="46" t="s">
        <v>55</v>
      </c>
      <c r="T4" s="46"/>
      <c r="U4" s="53" t="s">
        <v>56</v>
      </c>
      <c r="V4" s="51"/>
      <c r="W4" s="46" t="s">
        <v>57</v>
      </c>
      <c r="X4" s="46"/>
      <c r="Y4" s="53" t="s">
        <v>58</v>
      </c>
      <c r="Z4" s="51"/>
      <c r="AA4" s="46" t="s">
        <v>59</v>
      </c>
      <c r="AB4" s="46"/>
      <c r="AC4" s="53" t="s">
        <v>60</v>
      </c>
      <c r="AD4" s="51"/>
      <c r="AE4" s="46" t="s">
        <v>61</v>
      </c>
      <c r="AF4" s="46"/>
      <c r="AG4" s="53" t="s">
        <v>62</v>
      </c>
      <c r="AH4" s="51"/>
      <c r="AI4" s="54" t="s">
        <v>64</v>
      </c>
      <c r="AJ4" s="55"/>
      <c r="AK4" s="44" t="s">
        <v>65</v>
      </c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E4" s="7" t="s">
        <v>48</v>
      </c>
      <c r="BG4" s="7" t="s">
        <v>49</v>
      </c>
      <c r="BH4" s="8"/>
      <c r="BI4" s="8" t="s">
        <v>50</v>
      </c>
      <c r="BJ4" s="8"/>
      <c r="BK4" s="8" t="s">
        <v>51</v>
      </c>
      <c r="BL4" s="8"/>
      <c r="BM4" s="8" t="s">
        <v>52</v>
      </c>
      <c r="BN4" s="8"/>
      <c r="BO4" s="8" t="s">
        <v>53</v>
      </c>
      <c r="BP4" s="8"/>
      <c r="BQ4" s="8" t="s">
        <v>54</v>
      </c>
      <c r="BR4" s="8"/>
      <c r="BS4" s="8" t="s">
        <v>55</v>
      </c>
      <c r="BT4" s="8"/>
      <c r="BU4" s="8" t="s">
        <v>56</v>
      </c>
      <c r="BV4" s="8"/>
      <c r="BW4" s="8" t="s">
        <v>57</v>
      </c>
      <c r="BX4" s="8"/>
      <c r="BY4" s="8" t="s">
        <v>58</v>
      </c>
      <c r="BZ4" s="8"/>
      <c r="CA4" s="8" t="s">
        <v>59</v>
      </c>
      <c r="CB4" s="8"/>
      <c r="CC4" s="8" t="s">
        <v>60</v>
      </c>
      <c r="CD4" s="8"/>
      <c r="CE4" s="8" t="s">
        <v>61</v>
      </c>
      <c r="CF4" s="8"/>
      <c r="CG4" s="8" t="s">
        <v>62</v>
      </c>
      <c r="CH4" s="8"/>
      <c r="CI4" s="7" t="s">
        <v>64</v>
      </c>
    </row>
    <row r="5" spans="1:88" ht="15.75" x14ac:dyDescent="0.25">
      <c r="A5" s="48"/>
      <c r="B5" s="9" t="s">
        <v>66</v>
      </c>
      <c r="C5" s="10" t="s">
        <v>25</v>
      </c>
      <c r="D5" s="11" t="s">
        <v>26</v>
      </c>
      <c r="E5" s="12" t="s">
        <v>16</v>
      </c>
      <c r="F5" s="13" t="s">
        <v>17</v>
      </c>
      <c r="G5" s="12" t="s">
        <v>16</v>
      </c>
      <c r="H5" s="14" t="s">
        <v>17</v>
      </c>
      <c r="I5" s="15" t="s">
        <v>16</v>
      </c>
      <c r="J5" s="16" t="s">
        <v>17</v>
      </c>
      <c r="K5" s="12" t="s">
        <v>16</v>
      </c>
      <c r="L5" s="14" t="s">
        <v>17</v>
      </c>
      <c r="M5" s="15" t="s">
        <v>16</v>
      </c>
      <c r="N5" s="13" t="s">
        <v>17</v>
      </c>
      <c r="O5" s="12" t="s">
        <v>16</v>
      </c>
      <c r="P5" s="14" t="s">
        <v>17</v>
      </c>
      <c r="Q5" s="15" t="s">
        <v>16</v>
      </c>
      <c r="R5" s="13" t="s">
        <v>17</v>
      </c>
      <c r="S5" s="12" t="s">
        <v>16</v>
      </c>
      <c r="T5" s="14" t="s">
        <v>17</v>
      </c>
      <c r="U5" s="15" t="s">
        <v>16</v>
      </c>
      <c r="V5" s="13" t="s">
        <v>17</v>
      </c>
      <c r="W5" s="12" t="s">
        <v>16</v>
      </c>
      <c r="X5" s="14" t="s">
        <v>17</v>
      </c>
      <c r="Y5" s="15" t="s">
        <v>16</v>
      </c>
      <c r="Z5" s="13" t="s">
        <v>17</v>
      </c>
      <c r="AA5" s="12" t="s">
        <v>16</v>
      </c>
      <c r="AB5" s="14" t="s">
        <v>17</v>
      </c>
      <c r="AC5" s="15" t="s">
        <v>16</v>
      </c>
      <c r="AD5" s="13" t="s">
        <v>17</v>
      </c>
      <c r="AE5" s="12" t="s">
        <v>16</v>
      </c>
      <c r="AF5" s="14" t="s">
        <v>17</v>
      </c>
      <c r="AG5" s="15" t="s">
        <v>16</v>
      </c>
      <c r="AH5" s="13" t="s">
        <v>17</v>
      </c>
      <c r="AI5" s="17" t="s">
        <v>16</v>
      </c>
      <c r="AJ5" s="17" t="s">
        <v>17</v>
      </c>
      <c r="AK5" s="45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E5" s="7" t="s">
        <v>16</v>
      </c>
      <c r="BF5" s="7" t="s">
        <v>17</v>
      </c>
      <c r="BG5" s="7" t="s">
        <v>16</v>
      </c>
      <c r="BH5" s="18" t="s">
        <v>17</v>
      </c>
      <c r="BI5" s="18" t="s">
        <v>16</v>
      </c>
      <c r="BJ5" s="18" t="s">
        <v>17</v>
      </c>
      <c r="BK5" s="18" t="s">
        <v>16</v>
      </c>
      <c r="BL5" s="18" t="s">
        <v>17</v>
      </c>
      <c r="BM5" s="18" t="s">
        <v>16</v>
      </c>
      <c r="BN5" s="18" t="s">
        <v>17</v>
      </c>
      <c r="BO5" s="18" t="s">
        <v>16</v>
      </c>
      <c r="BP5" s="18" t="s">
        <v>17</v>
      </c>
      <c r="BQ5" s="18" t="s">
        <v>16</v>
      </c>
      <c r="BR5" s="18" t="s">
        <v>17</v>
      </c>
      <c r="BS5" s="18" t="s">
        <v>16</v>
      </c>
      <c r="BT5" s="18" t="s">
        <v>17</v>
      </c>
      <c r="BU5" s="18" t="s">
        <v>16</v>
      </c>
      <c r="BV5" s="18" t="s">
        <v>17</v>
      </c>
      <c r="BW5" s="18" t="s">
        <v>16</v>
      </c>
      <c r="BX5" s="18" t="s">
        <v>17</v>
      </c>
      <c r="BY5" s="18" t="s">
        <v>16</v>
      </c>
      <c r="BZ5" s="18" t="s">
        <v>17</v>
      </c>
      <c r="CA5" s="18" t="s">
        <v>16</v>
      </c>
      <c r="CB5" s="18" t="s">
        <v>17</v>
      </c>
      <c r="CC5" s="18" t="s">
        <v>16</v>
      </c>
      <c r="CD5" s="18" t="s">
        <v>17</v>
      </c>
      <c r="CE5" s="18" t="s">
        <v>16</v>
      </c>
      <c r="CF5" s="18" t="s">
        <v>17</v>
      </c>
      <c r="CG5" s="18" t="s">
        <v>16</v>
      </c>
      <c r="CH5" s="18" t="s">
        <v>17</v>
      </c>
      <c r="CI5" s="18" t="s">
        <v>16</v>
      </c>
      <c r="CJ5" s="18" t="s">
        <v>17</v>
      </c>
    </row>
    <row r="6" spans="1:88" s="19" customFormat="1" ht="19.5" customHeight="1" x14ac:dyDescent="0.25">
      <c r="A6" s="20" t="s">
        <v>63</v>
      </c>
      <c r="B6" s="21">
        <f>SUM(E6:AJ6)</f>
        <v>90565</v>
      </c>
      <c r="C6" s="21">
        <f>E6+G6+I6+K6+M6+O6+Q6+S6+U6+W6+Y6+AA6+AC6+AE6+AG6+AI6</f>
        <v>46365</v>
      </c>
      <c r="D6" s="22">
        <f>F6+H6+J6+L6+N6+P6+R6+T6+V6+X6+Z6+AB6+AD6+AF6+AH6+AJ6</f>
        <v>44200</v>
      </c>
      <c r="E6" s="21">
        <f>SUM(E7:E8)</f>
        <v>1401</v>
      </c>
      <c r="F6" s="21">
        <f t="shared" ref="F6:AJ6" si="0">SUM(F7:F8)</f>
        <v>1352</v>
      </c>
      <c r="G6" s="23">
        <f t="shared" si="0"/>
        <v>4399</v>
      </c>
      <c r="H6" s="22">
        <f t="shared" si="0"/>
        <v>4302</v>
      </c>
      <c r="I6" s="21">
        <f t="shared" si="0"/>
        <v>3656</v>
      </c>
      <c r="J6" s="21">
        <f t="shared" si="0"/>
        <v>3539</v>
      </c>
      <c r="K6" s="23">
        <f t="shared" si="0"/>
        <v>3788</v>
      </c>
      <c r="L6" s="22">
        <f t="shared" si="0"/>
        <v>3473</v>
      </c>
      <c r="M6" s="21">
        <f t="shared" si="0"/>
        <v>3956</v>
      </c>
      <c r="N6" s="21">
        <f t="shared" si="0"/>
        <v>3592</v>
      </c>
      <c r="O6" s="23">
        <f t="shared" si="0"/>
        <v>4052</v>
      </c>
      <c r="P6" s="22">
        <f t="shared" si="0"/>
        <v>3607</v>
      </c>
      <c r="Q6" s="21">
        <f t="shared" si="0"/>
        <v>3842</v>
      </c>
      <c r="R6" s="21">
        <f t="shared" si="0"/>
        <v>3534</v>
      </c>
      <c r="S6" s="23">
        <f t="shared" si="0"/>
        <v>3776</v>
      </c>
      <c r="T6" s="22">
        <f t="shared" si="0"/>
        <v>3657</v>
      </c>
      <c r="U6" s="21">
        <f t="shared" si="0"/>
        <v>3671</v>
      </c>
      <c r="V6" s="21">
        <f t="shared" si="0"/>
        <v>3509</v>
      </c>
      <c r="W6" s="23">
        <f t="shared" si="0"/>
        <v>3528</v>
      </c>
      <c r="X6" s="22">
        <f t="shared" si="0"/>
        <v>3253</v>
      </c>
      <c r="Y6" s="21">
        <f t="shared" si="0"/>
        <v>3066</v>
      </c>
      <c r="Z6" s="21">
        <f t="shared" si="0"/>
        <v>2960</v>
      </c>
      <c r="AA6" s="23">
        <f t="shared" si="0"/>
        <v>2853</v>
      </c>
      <c r="AB6" s="22">
        <f t="shared" si="0"/>
        <v>2801</v>
      </c>
      <c r="AC6" s="21">
        <f t="shared" si="0"/>
        <v>2778</v>
      </c>
      <c r="AD6" s="21">
        <f t="shared" si="0"/>
        <v>2573</v>
      </c>
      <c r="AE6" s="23">
        <f t="shared" si="0"/>
        <v>896</v>
      </c>
      <c r="AF6" s="22">
        <f t="shared" si="0"/>
        <v>1125</v>
      </c>
      <c r="AG6" s="21">
        <f t="shared" si="0"/>
        <v>656</v>
      </c>
      <c r="AH6" s="21">
        <f t="shared" si="0"/>
        <v>888</v>
      </c>
      <c r="AI6" s="23">
        <f t="shared" si="0"/>
        <v>47</v>
      </c>
      <c r="AJ6" s="22">
        <f t="shared" si="0"/>
        <v>35</v>
      </c>
      <c r="AK6" s="24">
        <f>B6/$B$6*100</f>
        <v>100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D6" s="20" t="s">
        <v>63</v>
      </c>
      <c r="BE6" s="25">
        <f>E6</f>
        <v>1401</v>
      </c>
      <c r="BF6" s="25">
        <f t="shared" ref="BF6:CJ8" si="1">F6</f>
        <v>1352</v>
      </c>
      <c r="BG6" s="25">
        <f t="shared" si="1"/>
        <v>4399</v>
      </c>
      <c r="BH6" s="25">
        <f t="shared" si="1"/>
        <v>4302</v>
      </c>
      <c r="BI6" s="25">
        <f t="shared" si="1"/>
        <v>3656</v>
      </c>
      <c r="BJ6" s="25">
        <f t="shared" si="1"/>
        <v>3539</v>
      </c>
      <c r="BK6" s="25">
        <f t="shared" si="1"/>
        <v>3788</v>
      </c>
      <c r="BL6" s="25">
        <f t="shared" si="1"/>
        <v>3473</v>
      </c>
      <c r="BM6" s="25">
        <f t="shared" si="1"/>
        <v>3956</v>
      </c>
      <c r="BN6" s="25">
        <f t="shared" si="1"/>
        <v>3592</v>
      </c>
      <c r="BO6" s="25">
        <f t="shared" si="1"/>
        <v>4052</v>
      </c>
      <c r="BP6" s="25">
        <f t="shared" si="1"/>
        <v>3607</v>
      </c>
      <c r="BQ6" s="25">
        <f t="shared" si="1"/>
        <v>3842</v>
      </c>
      <c r="BR6" s="25">
        <f t="shared" si="1"/>
        <v>3534</v>
      </c>
      <c r="BS6" s="25">
        <f t="shared" si="1"/>
        <v>3776</v>
      </c>
      <c r="BT6" s="25">
        <f t="shared" si="1"/>
        <v>3657</v>
      </c>
      <c r="BU6" s="25">
        <f t="shared" si="1"/>
        <v>3671</v>
      </c>
      <c r="BV6" s="25">
        <f t="shared" si="1"/>
        <v>3509</v>
      </c>
      <c r="BW6" s="25">
        <f t="shared" si="1"/>
        <v>3528</v>
      </c>
      <c r="BX6" s="25">
        <f t="shared" si="1"/>
        <v>3253</v>
      </c>
      <c r="BY6" s="25">
        <f t="shared" si="1"/>
        <v>3066</v>
      </c>
      <c r="BZ6" s="25">
        <f t="shared" si="1"/>
        <v>2960</v>
      </c>
      <c r="CA6" s="25">
        <f t="shared" si="1"/>
        <v>2853</v>
      </c>
      <c r="CB6" s="25">
        <f t="shared" si="1"/>
        <v>2801</v>
      </c>
      <c r="CC6" s="25">
        <f t="shared" si="1"/>
        <v>2778</v>
      </c>
      <c r="CD6" s="25">
        <f t="shared" si="1"/>
        <v>2573</v>
      </c>
      <c r="CE6" s="25">
        <f t="shared" si="1"/>
        <v>896</v>
      </c>
      <c r="CF6" s="25">
        <f t="shared" si="1"/>
        <v>1125</v>
      </c>
      <c r="CG6" s="25">
        <f t="shared" si="1"/>
        <v>656</v>
      </c>
      <c r="CH6" s="25">
        <f t="shared" si="1"/>
        <v>888</v>
      </c>
      <c r="CI6" s="25">
        <f t="shared" si="1"/>
        <v>47</v>
      </c>
      <c r="CJ6" s="25">
        <f t="shared" si="1"/>
        <v>35</v>
      </c>
    </row>
    <row r="7" spans="1:88" s="19" customFormat="1" ht="19.5" customHeight="1" x14ac:dyDescent="0.25">
      <c r="A7" s="20" t="s">
        <v>1</v>
      </c>
      <c r="B7" s="21">
        <f t="shared" ref="B7:B28" si="2">SUM(E7:AJ7)</f>
        <v>33757</v>
      </c>
      <c r="C7" s="21">
        <f t="shared" ref="C7:D28" si="3">E7+G7+I7+K7+M7+O7+Q7+S7+U7+W7+Y7+AA7+AC7+AE7+AG7+AI7</f>
        <v>17107</v>
      </c>
      <c r="D7" s="22">
        <f t="shared" si="3"/>
        <v>16650</v>
      </c>
      <c r="E7" s="21">
        <v>935</v>
      </c>
      <c r="F7" s="21">
        <v>918</v>
      </c>
      <c r="G7" s="23">
        <v>1493</v>
      </c>
      <c r="H7" s="22">
        <v>1467</v>
      </c>
      <c r="I7" s="21">
        <v>1279</v>
      </c>
      <c r="J7" s="21">
        <v>1217</v>
      </c>
      <c r="K7" s="23">
        <v>1278</v>
      </c>
      <c r="L7" s="22">
        <v>1230</v>
      </c>
      <c r="M7" s="21">
        <v>1377</v>
      </c>
      <c r="N7" s="21">
        <v>1280</v>
      </c>
      <c r="O7" s="23">
        <v>1424</v>
      </c>
      <c r="P7" s="22">
        <v>1274</v>
      </c>
      <c r="Q7" s="21">
        <v>1343</v>
      </c>
      <c r="R7" s="21">
        <v>1254</v>
      </c>
      <c r="S7" s="23">
        <v>1279</v>
      </c>
      <c r="T7" s="22">
        <v>1283</v>
      </c>
      <c r="U7" s="21">
        <v>1311</v>
      </c>
      <c r="V7" s="21">
        <v>1226</v>
      </c>
      <c r="W7" s="23">
        <v>1242</v>
      </c>
      <c r="X7" s="22">
        <v>1198</v>
      </c>
      <c r="Y7" s="21">
        <v>1083</v>
      </c>
      <c r="Z7" s="21">
        <v>1067</v>
      </c>
      <c r="AA7" s="23">
        <v>1080</v>
      </c>
      <c r="AB7" s="22">
        <v>1000</v>
      </c>
      <c r="AC7" s="21">
        <v>994</v>
      </c>
      <c r="AD7" s="21">
        <v>942</v>
      </c>
      <c r="AE7" s="23">
        <v>539</v>
      </c>
      <c r="AF7" s="22">
        <v>692</v>
      </c>
      <c r="AG7" s="21">
        <v>450</v>
      </c>
      <c r="AH7" s="21">
        <v>602</v>
      </c>
      <c r="AI7" s="23">
        <v>0</v>
      </c>
      <c r="AJ7" s="22">
        <v>0</v>
      </c>
      <c r="AK7" s="24">
        <f>B7/$B$6*100</f>
        <v>37.273781262076959</v>
      </c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D7" s="20" t="s">
        <v>1</v>
      </c>
      <c r="BE7" s="25">
        <f>E7</f>
        <v>935</v>
      </c>
      <c r="BF7" s="25">
        <f t="shared" si="1"/>
        <v>918</v>
      </c>
      <c r="BG7" s="25">
        <f t="shared" si="1"/>
        <v>1493</v>
      </c>
      <c r="BH7" s="25">
        <f t="shared" si="1"/>
        <v>1467</v>
      </c>
      <c r="BI7" s="25">
        <f t="shared" si="1"/>
        <v>1279</v>
      </c>
      <c r="BJ7" s="25">
        <f t="shared" si="1"/>
        <v>1217</v>
      </c>
      <c r="BK7" s="25">
        <f t="shared" si="1"/>
        <v>1278</v>
      </c>
      <c r="BL7" s="25">
        <f t="shared" si="1"/>
        <v>1230</v>
      </c>
      <c r="BM7" s="25">
        <f t="shared" si="1"/>
        <v>1377</v>
      </c>
      <c r="BN7" s="25">
        <f t="shared" si="1"/>
        <v>1280</v>
      </c>
      <c r="BO7" s="25">
        <f t="shared" si="1"/>
        <v>1424</v>
      </c>
      <c r="BP7" s="25">
        <f t="shared" si="1"/>
        <v>1274</v>
      </c>
      <c r="BQ7" s="25">
        <f t="shared" si="1"/>
        <v>1343</v>
      </c>
      <c r="BR7" s="25">
        <f t="shared" si="1"/>
        <v>1254</v>
      </c>
      <c r="BS7" s="25">
        <f t="shared" si="1"/>
        <v>1279</v>
      </c>
      <c r="BT7" s="25">
        <f t="shared" si="1"/>
        <v>1283</v>
      </c>
      <c r="BU7" s="25">
        <f t="shared" si="1"/>
        <v>1311</v>
      </c>
      <c r="BV7" s="25">
        <f t="shared" si="1"/>
        <v>1226</v>
      </c>
      <c r="BW7" s="25">
        <f t="shared" si="1"/>
        <v>1242</v>
      </c>
      <c r="BX7" s="25">
        <f t="shared" si="1"/>
        <v>1198</v>
      </c>
      <c r="BY7" s="25">
        <f t="shared" si="1"/>
        <v>1083</v>
      </c>
      <c r="BZ7" s="25">
        <f t="shared" si="1"/>
        <v>1067</v>
      </c>
      <c r="CA7" s="25">
        <f t="shared" si="1"/>
        <v>1080</v>
      </c>
      <c r="CB7" s="25">
        <f t="shared" si="1"/>
        <v>1000</v>
      </c>
      <c r="CC7" s="25">
        <f t="shared" si="1"/>
        <v>994</v>
      </c>
      <c r="CD7" s="25">
        <f t="shared" si="1"/>
        <v>942</v>
      </c>
      <c r="CE7" s="25">
        <f t="shared" si="1"/>
        <v>539</v>
      </c>
      <c r="CF7" s="25">
        <f t="shared" si="1"/>
        <v>692</v>
      </c>
      <c r="CG7" s="25">
        <f t="shared" si="1"/>
        <v>450</v>
      </c>
      <c r="CH7" s="25">
        <f t="shared" si="1"/>
        <v>602</v>
      </c>
      <c r="CI7" s="25">
        <f t="shared" si="1"/>
        <v>0</v>
      </c>
      <c r="CJ7" s="25">
        <f t="shared" si="1"/>
        <v>0</v>
      </c>
    </row>
    <row r="8" spans="1:88" s="19" customFormat="1" ht="19.5" customHeight="1" x14ac:dyDescent="0.25">
      <c r="A8" s="20" t="s">
        <v>2</v>
      </c>
      <c r="B8" s="21">
        <f t="shared" si="2"/>
        <v>56808</v>
      </c>
      <c r="C8" s="21">
        <f t="shared" si="3"/>
        <v>29258</v>
      </c>
      <c r="D8" s="22">
        <f t="shared" si="3"/>
        <v>27550</v>
      </c>
      <c r="E8" s="21">
        <f>SUM(E9:E28)</f>
        <v>466</v>
      </c>
      <c r="F8" s="21">
        <f t="shared" ref="F8:AJ8" si="4">SUM(F9:F28)</f>
        <v>434</v>
      </c>
      <c r="G8" s="23">
        <f t="shared" si="4"/>
        <v>2906</v>
      </c>
      <c r="H8" s="22">
        <f t="shared" si="4"/>
        <v>2835</v>
      </c>
      <c r="I8" s="21">
        <f t="shared" si="4"/>
        <v>2377</v>
      </c>
      <c r="J8" s="21">
        <f t="shared" si="4"/>
        <v>2322</v>
      </c>
      <c r="K8" s="23">
        <f t="shared" si="4"/>
        <v>2510</v>
      </c>
      <c r="L8" s="22">
        <f t="shared" si="4"/>
        <v>2243</v>
      </c>
      <c r="M8" s="21">
        <f t="shared" si="4"/>
        <v>2579</v>
      </c>
      <c r="N8" s="21">
        <f t="shared" si="4"/>
        <v>2312</v>
      </c>
      <c r="O8" s="23">
        <f t="shared" si="4"/>
        <v>2628</v>
      </c>
      <c r="P8" s="22">
        <f t="shared" si="4"/>
        <v>2333</v>
      </c>
      <c r="Q8" s="21">
        <f t="shared" si="4"/>
        <v>2499</v>
      </c>
      <c r="R8" s="21">
        <f t="shared" si="4"/>
        <v>2280</v>
      </c>
      <c r="S8" s="23">
        <f t="shared" si="4"/>
        <v>2497</v>
      </c>
      <c r="T8" s="22">
        <f t="shared" si="4"/>
        <v>2374</v>
      </c>
      <c r="U8" s="21">
        <f t="shared" si="4"/>
        <v>2360</v>
      </c>
      <c r="V8" s="21">
        <f t="shared" si="4"/>
        <v>2283</v>
      </c>
      <c r="W8" s="23">
        <f t="shared" si="4"/>
        <v>2286</v>
      </c>
      <c r="X8" s="22">
        <f t="shared" si="4"/>
        <v>2055</v>
      </c>
      <c r="Y8" s="21">
        <f t="shared" si="4"/>
        <v>1983</v>
      </c>
      <c r="Z8" s="21">
        <f t="shared" si="4"/>
        <v>1893</v>
      </c>
      <c r="AA8" s="23">
        <f t="shared" si="4"/>
        <v>1773</v>
      </c>
      <c r="AB8" s="22">
        <f t="shared" si="4"/>
        <v>1801</v>
      </c>
      <c r="AC8" s="21">
        <f t="shared" si="4"/>
        <v>1784</v>
      </c>
      <c r="AD8" s="21">
        <f t="shared" si="4"/>
        <v>1631</v>
      </c>
      <c r="AE8" s="23">
        <f t="shared" si="4"/>
        <v>357</v>
      </c>
      <c r="AF8" s="22">
        <f t="shared" si="4"/>
        <v>433</v>
      </c>
      <c r="AG8" s="21">
        <f t="shared" si="4"/>
        <v>206</v>
      </c>
      <c r="AH8" s="21">
        <f t="shared" si="4"/>
        <v>286</v>
      </c>
      <c r="AI8" s="23">
        <f t="shared" si="4"/>
        <v>47</v>
      </c>
      <c r="AJ8" s="22">
        <f t="shared" si="4"/>
        <v>35</v>
      </c>
      <c r="AK8" s="24">
        <f t="shared" ref="AK8:AK28" si="5">B8/$B$6*100</f>
        <v>62.726218737923034</v>
      </c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D8" s="20" t="s">
        <v>2</v>
      </c>
      <c r="BE8" s="25">
        <f>E8</f>
        <v>466</v>
      </c>
      <c r="BF8" s="25">
        <f t="shared" si="1"/>
        <v>434</v>
      </c>
      <c r="BG8" s="25">
        <f t="shared" si="1"/>
        <v>2906</v>
      </c>
      <c r="BH8" s="25">
        <f t="shared" si="1"/>
        <v>2835</v>
      </c>
      <c r="BI8" s="25">
        <f t="shared" si="1"/>
        <v>2377</v>
      </c>
      <c r="BJ8" s="25">
        <f t="shared" si="1"/>
        <v>2322</v>
      </c>
      <c r="BK8" s="25">
        <f t="shared" si="1"/>
        <v>2510</v>
      </c>
      <c r="BL8" s="25">
        <f t="shared" si="1"/>
        <v>2243</v>
      </c>
      <c r="BM8" s="25">
        <f t="shared" si="1"/>
        <v>2579</v>
      </c>
      <c r="BN8" s="25">
        <f t="shared" si="1"/>
        <v>2312</v>
      </c>
      <c r="BO8" s="25">
        <f t="shared" si="1"/>
        <v>2628</v>
      </c>
      <c r="BP8" s="25">
        <f t="shared" si="1"/>
        <v>2333</v>
      </c>
      <c r="BQ8" s="25">
        <f t="shared" si="1"/>
        <v>2499</v>
      </c>
      <c r="BR8" s="25">
        <f t="shared" si="1"/>
        <v>2280</v>
      </c>
      <c r="BS8" s="25">
        <f t="shared" si="1"/>
        <v>2497</v>
      </c>
      <c r="BT8" s="25">
        <f t="shared" si="1"/>
        <v>2374</v>
      </c>
      <c r="BU8" s="25">
        <f t="shared" si="1"/>
        <v>2360</v>
      </c>
      <c r="BV8" s="25">
        <f t="shared" si="1"/>
        <v>2283</v>
      </c>
      <c r="BW8" s="25">
        <f t="shared" si="1"/>
        <v>2286</v>
      </c>
      <c r="BX8" s="25">
        <f t="shared" si="1"/>
        <v>2055</v>
      </c>
      <c r="BY8" s="25">
        <f t="shared" si="1"/>
        <v>1983</v>
      </c>
      <c r="BZ8" s="25">
        <f t="shared" si="1"/>
        <v>1893</v>
      </c>
      <c r="CA8" s="25">
        <f t="shared" si="1"/>
        <v>1773</v>
      </c>
      <c r="CB8" s="25">
        <f t="shared" si="1"/>
        <v>1801</v>
      </c>
      <c r="CC8" s="25">
        <f t="shared" si="1"/>
        <v>1784</v>
      </c>
      <c r="CD8" s="25">
        <f t="shared" si="1"/>
        <v>1631</v>
      </c>
      <c r="CE8" s="25">
        <f t="shared" si="1"/>
        <v>357</v>
      </c>
      <c r="CF8" s="25">
        <f t="shared" si="1"/>
        <v>433</v>
      </c>
      <c r="CG8" s="25">
        <f t="shared" si="1"/>
        <v>206</v>
      </c>
      <c r="CH8" s="25">
        <f t="shared" si="1"/>
        <v>286</v>
      </c>
      <c r="CI8" s="25">
        <f t="shared" si="1"/>
        <v>47</v>
      </c>
      <c r="CJ8" s="25">
        <f t="shared" si="1"/>
        <v>35</v>
      </c>
    </row>
    <row r="9" spans="1:88" s="29" customFormat="1" ht="19.5" customHeight="1" x14ac:dyDescent="0.25">
      <c r="A9" s="26" t="s">
        <v>27</v>
      </c>
      <c r="B9" s="21">
        <f t="shared" si="2"/>
        <v>3713</v>
      </c>
      <c r="C9" s="5">
        <f t="shared" si="3"/>
        <v>1925</v>
      </c>
      <c r="D9" s="27">
        <f t="shared" si="3"/>
        <v>1788</v>
      </c>
      <c r="E9" s="5">
        <v>11</v>
      </c>
      <c r="F9" s="5">
        <v>9</v>
      </c>
      <c r="G9" s="40">
        <v>186</v>
      </c>
      <c r="H9" s="27">
        <v>211</v>
      </c>
      <c r="I9" s="5">
        <v>165</v>
      </c>
      <c r="J9" s="5">
        <v>172</v>
      </c>
      <c r="K9" s="40">
        <v>181</v>
      </c>
      <c r="L9" s="27">
        <v>152</v>
      </c>
      <c r="M9" s="5">
        <v>176</v>
      </c>
      <c r="N9" s="5">
        <v>148</v>
      </c>
      <c r="O9" s="40">
        <v>181</v>
      </c>
      <c r="P9" s="27">
        <v>151</v>
      </c>
      <c r="Q9" s="5">
        <v>149</v>
      </c>
      <c r="R9" s="5">
        <v>154</v>
      </c>
      <c r="S9" s="40">
        <v>168</v>
      </c>
      <c r="T9" s="27">
        <v>159</v>
      </c>
      <c r="U9" s="5">
        <v>175</v>
      </c>
      <c r="V9" s="5">
        <v>150</v>
      </c>
      <c r="W9" s="40">
        <v>151</v>
      </c>
      <c r="X9" s="27">
        <v>130</v>
      </c>
      <c r="Y9" s="5">
        <v>127</v>
      </c>
      <c r="Z9" s="5">
        <v>109</v>
      </c>
      <c r="AA9" s="40">
        <v>105</v>
      </c>
      <c r="AB9" s="27">
        <v>108</v>
      </c>
      <c r="AC9" s="5">
        <v>120</v>
      </c>
      <c r="AD9" s="5">
        <v>105</v>
      </c>
      <c r="AE9" s="40">
        <v>16</v>
      </c>
      <c r="AF9" s="27">
        <v>6</v>
      </c>
      <c r="AG9" s="5">
        <v>9</v>
      </c>
      <c r="AH9" s="5">
        <v>23</v>
      </c>
      <c r="AI9" s="40">
        <v>5</v>
      </c>
      <c r="AJ9" s="27">
        <v>1</v>
      </c>
      <c r="AK9" s="28">
        <f t="shared" si="5"/>
        <v>4.0998178104124108</v>
      </c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D9" s="29" t="s">
        <v>67</v>
      </c>
    </row>
    <row r="10" spans="1:88" s="29" customFormat="1" ht="19.5" customHeight="1" x14ac:dyDescent="0.25">
      <c r="A10" s="26" t="s">
        <v>28</v>
      </c>
      <c r="B10" s="21">
        <f t="shared" si="2"/>
        <v>5754</v>
      </c>
      <c r="C10" s="5">
        <f t="shared" si="3"/>
        <v>2995</v>
      </c>
      <c r="D10" s="27">
        <f t="shared" si="3"/>
        <v>2759</v>
      </c>
      <c r="E10" s="5">
        <v>9</v>
      </c>
      <c r="F10" s="5">
        <v>4</v>
      </c>
      <c r="G10" s="40">
        <v>324</v>
      </c>
      <c r="H10" s="27">
        <v>305</v>
      </c>
      <c r="I10" s="5">
        <v>242</v>
      </c>
      <c r="J10" s="5">
        <v>229</v>
      </c>
      <c r="K10" s="40">
        <v>259</v>
      </c>
      <c r="L10" s="27">
        <v>258</v>
      </c>
      <c r="M10" s="5">
        <v>285</v>
      </c>
      <c r="N10" s="5">
        <v>246</v>
      </c>
      <c r="O10" s="40">
        <v>293</v>
      </c>
      <c r="P10" s="27">
        <v>242</v>
      </c>
      <c r="Q10" s="5">
        <v>280</v>
      </c>
      <c r="R10" s="5">
        <v>239</v>
      </c>
      <c r="S10" s="40">
        <v>249</v>
      </c>
      <c r="T10" s="27">
        <v>248</v>
      </c>
      <c r="U10" s="5">
        <v>219</v>
      </c>
      <c r="V10" s="5">
        <v>221</v>
      </c>
      <c r="W10" s="40">
        <v>224</v>
      </c>
      <c r="X10" s="27">
        <v>200</v>
      </c>
      <c r="Y10" s="5">
        <v>216</v>
      </c>
      <c r="Z10" s="5">
        <v>187</v>
      </c>
      <c r="AA10" s="40">
        <v>165</v>
      </c>
      <c r="AB10" s="27">
        <v>153</v>
      </c>
      <c r="AC10" s="5">
        <v>170</v>
      </c>
      <c r="AD10" s="5">
        <v>151</v>
      </c>
      <c r="AE10" s="40">
        <v>20</v>
      </c>
      <c r="AF10" s="27">
        <v>32</v>
      </c>
      <c r="AG10" s="5">
        <v>21</v>
      </c>
      <c r="AH10" s="5">
        <v>32</v>
      </c>
      <c r="AI10" s="40">
        <v>19</v>
      </c>
      <c r="AJ10" s="27">
        <v>12</v>
      </c>
      <c r="AK10" s="28">
        <f t="shared" si="5"/>
        <v>6.3534477999227068</v>
      </c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D10" s="20" t="s">
        <v>63</v>
      </c>
      <c r="BE10" s="30">
        <f>BE6/BF6*100</f>
        <v>103.62426035502959</v>
      </c>
      <c r="BF10" s="30"/>
      <c r="BG10" s="30">
        <f>BG6/BH6*100</f>
        <v>102.25476522547652</v>
      </c>
      <c r="BI10" s="30">
        <f>BI6/BJ6*100</f>
        <v>103.30601864933597</v>
      </c>
      <c r="BK10" s="30">
        <f>BK6/BL6*100</f>
        <v>109.06996832709473</v>
      </c>
      <c r="BM10" s="30">
        <f>BM6/BN6*100</f>
        <v>110.13363028953229</v>
      </c>
      <c r="BO10" s="30">
        <f>BO6/BP6*100</f>
        <v>112.33712226226783</v>
      </c>
      <c r="BQ10" s="30">
        <f>BQ6/BR6*100</f>
        <v>108.71533672891907</v>
      </c>
      <c r="BS10" s="30">
        <f>BS6/BT6*100</f>
        <v>103.25403336067815</v>
      </c>
      <c r="BU10" s="30">
        <f>BU6/BV6*100</f>
        <v>104.61669991450555</v>
      </c>
      <c r="BW10" s="30">
        <f>BW6/BX6*100</f>
        <v>108.45373501383338</v>
      </c>
      <c r="BY10" s="30">
        <f>BY6/BZ6*100</f>
        <v>103.58108108108108</v>
      </c>
      <c r="CA10" s="30">
        <f>CA6/CB6*100</f>
        <v>101.85647982863264</v>
      </c>
      <c r="CC10" s="30">
        <f>CC6/CD6*100</f>
        <v>107.96735328410416</v>
      </c>
      <c r="CE10" s="30">
        <f>CE6/CF6*100</f>
        <v>79.644444444444446</v>
      </c>
      <c r="CG10" s="30">
        <f>CG6/CH6*100</f>
        <v>73.873873873873876</v>
      </c>
      <c r="CI10" s="30">
        <f>CI6/CJ6*100</f>
        <v>134.28571428571428</v>
      </c>
    </row>
    <row r="11" spans="1:88" s="29" customFormat="1" ht="19.5" customHeight="1" x14ac:dyDescent="0.25">
      <c r="A11" s="26" t="s">
        <v>29</v>
      </c>
      <c r="B11" s="21">
        <f t="shared" si="2"/>
        <v>3714</v>
      </c>
      <c r="C11" s="5">
        <f t="shared" si="3"/>
        <v>1897</v>
      </c>
      <c r="D11" s="27">
        <f t="shared" si="3"/>
        <v>1817</v>
      </c>
      <c r="E11" s="5">
        <v>1</v>
      </c>
      <c r="F11" s="5">
        <v>0</v>
      </c>
      <c r="G11" s="40">
        <v>196</v>
      </c>
      <c r="H11" s="27">
        <v>186</v>
      </c>
      <c r="I11" s="5">
        <v>152</v>
      </c>
      <c r="J11" s="5">
        <v>154</v>
      </c>
      <c r="K11" s="40">
        <v>163</v>
      </c>
      <c r="L11" s="27">
        <v>133</v>
      </c>
      <c r="M11" s="5">
        <v>159</v>
      </c>
      <c r="N11" s="5">
        <v>125</v>
      </c>
      <c r="O11" s="40">
        <v>186</v>
      </c>
      <c r="P11" s="27">
        <v>155</v>
      </c>
      <c r="Q11" s="5">
        <v>179</v>
      </c>
      <c r="R11" s="5">
        <v>156</v>
      </c>
      <c r="S11" s="40">
        <v>172</v>
      </c>
      <c r="T11" s="27">
        <v>176</v>
      </c>
      <c r="U11" s="5">
        <v>138</v>
      </c>
      <c r="V11" s="5">
        <v>144</v>
      </c>
      <c r="W11" s="40">
        <v>148</v>
      </c>
      <c r="X11" s="27">
        <v>140</v>
      </c>
      <c r="Y11" s="5">
        <v>121</v>
      </c>
      <c r="Z11" s="5">
        <v>139</v>
      </c>
      <c r="AA11" s="40">
        <v>112</v>
      </c>
      <c r="AB11" s="27">
        <v>131</v>
      </c>
      <c r="AC11" s="5">
        <v>120</v>
      </c>
      <c r="AD11" s="5">
        <v>122</v>
      </c>
      <c r="AE11" s="40">
        <v>27</v>
      </c>
      <c r="AF11" s="27">
        <v>32</v>
      </c>
      <c r="AG11" s="5">
        <v>21</v>
      </c>
      <c r="AH11" s="5">
        <v>23</v>
      </c>
      <c r="AI11" s="40">
        <v>2</v>
      </c>
      <c r="AJ11" s="27">
        <v>1</v>
      </c>
      <c r="AK11" s="28">
        <f t="shared" si="5"/>
        <v>4.1009219897311322</v>
      </c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D11" s="20" t="s">
        <v>1</v>
      </c>
      <c r="BE11" s="30">
        <f>BE7/BF7*100</f>
        <v>101.85185185185186</v>
      </c>
      <c r="BF11" s="30"/>
      <c r="BG11" s="30">
        <f>BG7/BH7*100</f>
        <v>101.77232447171099</v>
      </c>
      <c r="BI11" s="30">
        <f>BI7/BJ7*100</f>
        <v>105.09449465899753</v>
      </c>
      <c r="BK11" s="30">
        <f>BK7/BL7*100</f>
        <v>103.90243902439025</v>
      </c>
      <c r="BM11" s="30">
        <f>BM7/BN7*100</f>
        <v>107.57812499999999</v>
      </c>
      <c r="BO11" s="30">
        <f>BO7/BP7*100</f>
        <v>111.77394034536891</v>
      </c>
      <c r="BQ11" s="30">
        <f>BQ7/BR7*100</f>
        <v>107.09728867623605</v>
      </c>
      <c r="BS11" s="30">
        <f>BS7/BT7*100</f>
        <v>99.688230709275132</v>
      </c>
      <c r="BU11" s="30">
        <f>BU7/BV7*100</f>
        <v>106.93311582381727</v>
      </c>
      <c r="BW11" s="30">
        <f>BW7/BX7*100</f>
        <v>103.67278797996661</v>
      </c>
      <c r="BY11" s="30">
        <f>BY7/BZ7*100</f>
        <v>101.49953139643861</v>
      </c>
      <c r="CA11" s="30">
        <f>CA7/CB7*100</f>
        <v>108</v>
      </c>
      <c r="CC11" s="30">
        <f>CC7/CD7*100</f>
        <v>105.52016985138005</v>
      </c>
      <c r="CE11" s="30">
        <f>CE7/CF7*100</f>
        <v>77.890173410404628</v>
      </c>
      <c r="CG11" s="30">
        <f>CG7/CH7*100</f>
        <v>74.750830564784053</v>
      </c>
      <c r="CI11" s="30">
        <v>0</v>
      </c>
    </row>
    <row r="12" spans="1:88" s="29" customFormat="1" ht="19.5" customHeight="1" x14ac:dyDescent="0.25">
      <c r="A12" s="26" t="s">
        <v>30</v>
      </c>
      <c r="B12" s="21">
        <f t="shared" si="2"/>
        <v>3085</v>
      </c>
      <c r="C12" s="5">
        <f t="shared" si="3"/>
        <v>1571</v>
      </c>
      <c r="D12" s="27">
        <f t="shared" si="3"/>
        <v>1514</v>
      </c>
      <c r="E12" s="5">
        <v>27</v>
      </c>
      <c r="F12" s="5">
        <v>21</v>
      </c>
      <c r="G12" s="40">
        <v>148</v>
      </c>
      <c r="H12" s="27">
        <v>148</v>
      </c>
      <c r="I12" s="5">
        <v>134</v>
      </c>
      <c r="J12" s="5">
        <v>124</v>
      </c>
      <c r="K12" s="40">
        <v>141</v>
      </c>
      <c r="L12" s="27">
        <v>125</v>
      </c>
      <c r="M12" s="5">
        <v>134</v>
      </c>
      <c r="N12" s="5">
        <v>126</v>
      </c>
      <c r="O12" s="40">
        <v>141</v>
      </c>
      <c r="P12" s="27">
        <v>158</v>
      </c>
      <c r="Q12" s="5">
        <v>144</v>
      </c>
      <c r="R12" s="5">
        <v>127</v>
      </c>
      <c r="S12" s="40">
        <v>154</v>
      </c>
      <c r="T12" s="27">
        <v>146</v>
      </c>
      <c r="U12" s="5">
        <v>122</v>
      </c>
      <c r="V12" s="5">
        <v>127</v>
      </c>
      <c r="W12" s="40">
        <v>126</v>
      </c>
      <c r="X12" s="27">
        <v>109</v>
      </c>
      <c r="Y12" s="5">
        <v>100</v>
      </c>
      <c r="Z12" s="5">
        <v>97</v>
      </c>
      <c r="AA12" s="40">
        <v>96</v>
      </c>
      <c r="AB12" s="27">
        <v>83</v>
      </c>
      <c r="AC12" s="5">
        <v>83</v>
      </c>
      <c r="AD12" s="5">
        <v>91</v>
      </c>
      <c r="AE12" s="40">
        <v>7</v>
      </c>
      <c r="AF12" s="27">
        <v>16</v>
      </c>
      <c r="AG12" s="5">
        <v>14</v>
      </c>
      <c r="AH12" s="5">
        <v>16</v>
      </c>
      <c r="AI12" s="40">
        <v>0</v>
      </c>
      <c r="AJ12" s="27">
        <v>0</v>
      </c>
      <c r="AK12" s="28">
        <f t="shared" si="5"/>
        <v>3.4063931982553965</v>
      </c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D12" s="20" t="s">
        <v>2</v>
      </c>
      <c r="BE12" s="30">
        <f>BE8/BF8*100</f>
        <v>107.37327188940091</v>
      </c>
      <c r="BF12" s="30"/>
      <c r="BG12" s="30">
        <f>BG8/BH8*100</f>
        <v>102.50440917107584</v>
      </c>
      <c r="BI12" s="30">
        <f>BI8/BJ8*100</f>
        <v>102.36864771748493</v>
      </c>
      <c r="BK12" s="30">
        <f>BK8/BL8*100</f>
        <v>111.90370040124833</v>
      </c>
      <c r="BM12" s="30">
        <f>BM8/BN8*100</f>
        <v>111.54844290657439</v>
      </c>
      <c r="BO12" s="30">
        <f>BO8/BP8*100</f>
        <v>112.64466352336049</v>
      </c>
      <c r="BQ12" s="30">
        <f>BQ8/BR8*100</f>
        <v>109.60526315789474</v>
      </c>
      <c r="BS12" s="30">
        <f>BS8/BT8*100</f>
        <v>105.18112889637743</v>
      </c>
      <c r="BU12" s="30">
        <f>BU8/BV8*100</f>
        <v>103.37275514673674</v>
      </c>
      <c r="BW12" s="30">
        <f>BW8/BX8*100</f>
        <v>111.24087591240877</v>
      </c>
      <c r="BY12" s="30">
        <f>BY8/BZ8*100</f>
        <v>104.75435816164817</v>
      </c>
      <c r="CA12" s="30">
        <f>CA8/CB8*100</f>
        <v>98.44530816213215</v>
      </c>
      <c r="CC12" s="30">
        <f>CC8/CD8*100</f>
        <v>109.38074800735744</v>
      </c>
      <c r="CE12" s="30">
        <f>CE8/CF8*100</f>
        <v>82.448036951501152</v>
      </c>
      <c r="CG12" s="30">
        <f>CG8/CH8*100</f>
        <v>72.027972027972027</v>
      </c>
      <c r="CI12" s="30">
        <f>CI8/CJ8*100</f>
        <v>134.28571428571428</v>
      </c>
    </row>
    <row r="13" spans="1:88" s="29" customFormat="1" ht="19.5" customHeight="1" x14ac:dyDescent="0.25">
      <c r="A13" s="26" t="s">
        <v>31</v>
      </c>
      <c r="B13" s="21">
        <f t="shared" si="2"/>
        <v>4466</v>
      </c>
      <c r="C13" s="5">
        <f t="shared" si="3"/>
        <v>2289</v>
      </c>
      <c r="D13" s="27">
        <f t="shared" si="3"/>
        <v>2177</v>
      </c>
      <c r="E13" s="5">
        <v>53</v>
      </c>
      <c r="F13" s="5">
        <v>37</v>
      </c>
      <c r="G13" s="40">
        <v>227</v>
      </c>
      <c r="H13" s="27">
        <v>238</v>
      </c>
      <c r="I13" s="5">
        <v>189</v>
      </c>
      <c r="J13" s="5">
        <v>176</v>
      </c>
      <c r="K13" s="40">
        <v>188</v>
      </c>
      <c r="L13" s="27">
        <v>194</v>
      </c>
      <c r="M13" s="5">
        <v>200</v>
      </c>
      <c r="N13" s="5">
        <v>189</v>
      </c>
      <c r="O13" s="40">
        <v>209</v>
      </c>
      <c r="P13" s="27">
        <v>196</v>
      </c>
      <c r="Q13" s="5">
        <v>192</v>
      </c>
      <c r="R13" s="5">
        <v>170</v>
      </c>
      <c r="S13" s="40">
        <v>197</v>
      </c>
      <c r="T13" s="27">
        <v>199</v>
      </c>
      <c r="U13" s="5">
        <v>171</v>
      </c>
      <c r="V13" s="5">
        <v>184</v>
      </c>
      <c r="W13" s="40">
        <v>178</v>
      </c>
      <c r="X13" s="27">
        <v>135</v>
      </c>
      <c r="Y13" s="5">
        <v>154</v>
      </c>
      <c r="Z13" s="5">
        <v>145</v>
      </c>
      <c r="AA13" s="40">
        <v>136</v>
      </c>
      <c r="AB13" s="27">
        <v>156</v>
      </c>
      <c r="AC13" s="5">
        <v>157</v>
      </c>
      <c r="AD13" s="5">
        <v>104</v>
      </c>
      <c r="AE13" s="40">
        <v>17</v>
      </c>
      <c r="AF13" s="27">
        <v>32</v>
      </c>
      <c r="AG13" s="5">
        <v>18</v>
      </c>
      <c r="AH13" s="5">
        <v>21</v>
      </c>
      <c r="AI13" s="40">
        <v>3</v>
      </c>
      <c r="AJ13" s="27">
        <v>1</v>
      </c>
      <c r="AK13" s="28">
        <f t="shared" si="5"/>
        <v>4.9312648374095955</v>
      </c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</row>
    <row r="14" spans="1:88" s="29" customFormat="1" ht="19.5" customHeight="1" x14ac:dyDescent="0.25">
      <c r="A14" s="26" t="s">
        <v>32</v>
      </c>
      <c r="B14" s="21">
        <f t="shared" si="2"/>
        <v>2521</v>
      </c>
      <c r="C14" s="5">
        <f t="shared" si="3"/>
        <v>1282</v>
      </c>
      <c r="D14" s="27">
        <f t="shared" si="3"/>
        <v>1239</v>
      </c>
      <c r="E14" s="5">
        <v>23</v>
      </c>
      <c r="F14" s="5">
        <v>27</v>
      </c>
      <c r="G14" s="40">
        <v>113</v>
      </c>
      <c r="H14" s="27">
        <v>119</v>
      </c>
      <c r="I14" s="5">
        <v>94</v>
      </c>
      <c r="J14" s="5">
        <v>105</v>
      </c>
      <c r="K14" s="40">
        <v>100</v>
      </c>
      <c r="L14" s="27">
        <v>104</v>
      </c>
      <c r="M14" s="5">
        <v>100</v>
      </c>
      <c r="N14" s="5">
        <v>100</v>
      </c>
      <c r="O14" s="40">
        <v>118</v>
      </c>
      <c r="P14" s="27">
        <v>94</v>
      </c>
      <c r="Q14" s="5">
        <v>121</v>
      </c>
      <c r="R14" s="5">
        <v>106</v>
      </c>
      <c r="S14" s="40">
        <v>114</v>
      </c>
      <c r="T14" s="27">
        <v>119</v>
      </c>
      <c r="U14" s="5">
        <v>98</v>
      </c>
      <c r="V14" s="5">
        <v>90</v>
      </c>
      <c r="W14" s="40">
        <v>93</v>
      </c>
      <c r="X14" s="27">
        <v>97</v>
      </c>
      <c r="Y14" s="5">
        <v>92</v>
      </c>
      <c r="Z14" s="5">
        <v>76</v>
      </c>
      <c r="AA14" s="40">
        <v>99</v>
      </c>
      <c r="AB14" s="27">
        <v>72</v>
      </c>
      <c r="AC14" s="5">
        <v>92</v>
      </c>
      <c r="AD14" s="5">
        <v>91</v>
      </c>
      <c r="AE14" s="40">
        <v>15</v>
      </c>
      <c r="AF14" s="27">
        <v>20</v>
      </c>
      <c r="AG14" s="5">
        <v>10</v>
      </c>
      <c r="AH14" s="5">
        <v>19</v>
      </c>
      <c r="AI14" s="40">
        <v>0</v>
      </c>
      <c r="AJ14" s="27">
        <v>0</v>
      </c>
      <c r="AK14" s="28">
        <f t="shared" si="5"/>
        <v>2.7836360624965493</v>
      </c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D14" s="29" t="s">
        <v>67</v>
      </c>
      <c r="BE14" s="7" t="s">
        <v>48</v>
      </c>
      <c r="BF14" s="7" t="s">
        <v>49</v>
      </c>
      <c r="BG14" s="8" t="s">
        <v>50</v>
      </c>
      <c r="BH14" s="8" t="s">
        <v>51</v>
      </c>
      <c r="BI14" s="8" t="s">
        <v>52</v>
      </c>
      <c r="BJ14" s="8" t="s">
        <v>53</v>
      </c>
      <c r="BK14" s="8" t="s">
        <v>54</v>
      </c>
      <c r="BL14" s="8" t="s">
        <v>55</v>
      </c>
      <c r="BM14" s="8" t="s">
        <v>56</v>
      </c>
      <c r="BN14" s="8" t="s">
        <v>57</v>
      </c>
      <c r="BO14" s="8" t="s">
        <v>58</v>
      </c>
      <c r="BP14" s="8" t="s">
        <v>59</v>
      </c>
      <c r="BQ14" s="8" t="s">
        <v>60</v>
      </c>
      <c r="BR14" s="8" t="s">
        <v>61</v>
      </c>
      <c r="BS14" s="8" t="s">
        <v>62</v>
      </c>
      <c r="CF14" s="8"/>
    </row>
    <row r="15" spans="1:88" s="29" customFormat="1" ht="19.5" customHeight="1" x14ac:dyDescent="0.25">
      <c r="A15" s="26" t="s">
        <v>33</v>
      </c>
      <c r="B15" s="21">
        <f t="shared" si="2"/>
        <v>2198</v>
      </c>
      <c r="C15" s="5">
        <f t="shared" si="3"/>
        <v>1097</v>
      </c>
      <c r="D15" s="27">
        <f t="shared" si="3"/>
        <v>1101</v>
      </c>
      <c r="E15" s="5">
        <v>35</v>
      </c>
      <c r="F15" s="5">
        <v>38</v>
      </c>
      <c r="G15" s="40">
        <v>128</v>
      </c>
      <c r="H15" s="27">
        <v>109</v>
      </c>
      <c r="I15" s="5">
        <v>77</v>
      </c>
      <c r="J15" s="5">
        <v>92</v>
      </c>
      <c r="K15" s="40">
        <v>108</v>
      </c>
      <c r="L15" s="27">
        <v>96</v>
      </c>
      <c r="M15" s="5">
        <v>96</v>
      </c>
      <c r="N15" s="5">
        <v>93</v>
      </c>
      <c r="O15" s="40">
        <v>87</v>
      </c>
      <c r="P15" s="27">
        <v>80</v>
      </c>
      <c r="Q15" s="5">
        <v>74</v>
      </c>
      <c r="R15" s="5">
        <v>90</v>
      </c>
      <c r="S15" s="40">
        <v>97</v>
      </c>
      <c r="T15" s="27">
        <v>87</v>
      </c>
      <c r="U15" s="5">
        <v>78</v>
      </c>
      <c r="V15" s="5">
        <v>82</v>
      </c>
      <c r="W15" s="40">
        <v>74</v>
      </c>
      <c r="X15" s="27">
        <v>81</v>
      </c>
      <c r="Y15" s="5">
        <v>76</v>
      </c>
      <c r="Z15" s="5">
        <v>66</v>
      </c>
      <c r="AA15" s="40">
        <v>74</v>
      </c>
      <c r="AB15" s="27">
        <v>92</v>
      </c>
      <c r="AC15" s="5">
        <v>65</v>
      </c>
      <c r="AD15" s="5">
        <v>73</v>
      </c>
      <c r="AE15" s="40">
        <v>10</v>
      </c>
      <c r="AF15" s="27">
        <v>6</v>
      </c>
      <c r="AG15" s="5">
        <v>15</v>
      </c>
      <c r="AH15" s="5">
        <v>13</v>
      </c>
      <c r="AI15" s="40">
        <v>3</v>
      </c>
      <c r="AJ15" s="27">
        <v>3</v>
      </c>
      <c r="AK15" s="28">
        <f t="shared" si="5"/>
        <v>2.4269861425495498</v>
      </c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D15" s="29" t="s">
        <v>63</v>
      </c>
      <c r="BE15" s="30">
        <f>BE10</f>
        <v>103.62426035502959</v>
      </c>
      <c r="BF15" s="30">
        <f>BG10</f>
        <v>102.25476522547652</v>
      </c>
      <c r="BG15" s="30">
        <f>BI10</f>
        <v>103.30601864933597</v>
      </c>
      <c r="BH15" s="30">
        <f>BK10</f>
        <v>109.06996832709473</v>
      </c>
      <c r="BI15" s="30">
        <f>BM10</f>
        <v>110.13363028953229</v>
      </c>
      <c r="BJ15" s="30">
        <f>BO10</f>
        <v>112.33712226226783</v>
      </c>
      <c r="BK15" s="30">
        <f>BQ10</f>
        <v>108.71533672891907</v>
      </c>
      <c r="BL15" s="30">
        <f>BS10</f>
        <v>103.25403336067815</v>
      </c>
      <c r="BM15" s="30">
        <f>BU10</f>
        <v>104.61669991450555</v>
      </c>
      <c r="BN15" s="30">
        <f>BW10</f>
        <v>108.45373501383338</v>
      </c>
      <c r="BO15" s="30">
        <f>BY10</f>
        <v>103.58108108108108</v>
      </c>
      <c r="BP15" s="30">
        <f>CA10</f>
        <v>101.85647982863264</v>
      </c>
      <c r="BQ15" s="30">
        <f>CC10</f>
        <v>107.96735328410416</v>
      </c>
      <c r="BR15" s="30">
        <f>CE10</f>
        <v>79.644444444444446</v>
      </c>
      <c r="BS15" s="30">
        <f>CG10</f>
        <v>73.873873873873876</v>
      </c>
      <c r="CF15" s="30"/>
    </row>
    <row r="16" spans="1:88" s="29" customFormat="1" ht="19.5" customHeight="1" x14ac:dyDescent="0.25">
      <c r="A16" s="26" t="s">
        <v>34</v>
      </c>
      <c r="B16" s="21">
        <f t="shared" si="2"/>
        <v>2983</v>
      </c>
      <c r="C16" s="5">
        <f t="shared" si="3"/>
        <v>1558</v>
      </c>
      <c r="D16" s="27">
        <f t="shared" si="3"/>
        <v>1425</v>
      </c>
      <c r="E16" s="5">
        <v>12</v>
      </c>
      <c r="F16" s="5">
        <v>14</v>
      </c>
      <c r="G16" s="40">
        <v>180</v>
      </c>
      <c r="H16" s="27">
        <v>177</v>
      </c>
      <c r="I16" s="5">
        <v>144</v>
      </c>
      <c r="J16" s="5">
        <v>125</v>
      </c>
      <c r="K16" s="40">
        <v>132</v>
      </c>
      <c r="L16" s="27">
        <v>124</v>
      </c>
      <c r="M16" s="5">
        <v>139</v>
      </c>
      <c r="N16" s="5">
        <v>133</v>
      </c>
      <c r="O16" s="40">
        <v>155</v>
      </c>
      <c r="P16" s="27">
        <v>146</v>
      </c>
      <c r="Q16" s="5">
        <v>126</v>
      </c>
      <c r="R16" s="5">
        <v>115</v>
      </c>
      <c r="S16" s="40">
        <v>122</v>
      </c>
      <c r="T16" s="27">
        <v>97</v>
      </c>
      <c r="U16" s="5">
        <v>143</v>
      </c>
      <c r="V16" s="5">
        <v>127</v>
      </c>
      <c r="W16" s="40">
        <v>114</v>
      </c>
      <c r="X16" s="27">
        <v>95</v>
      </c>
      <c r="Y16" s="5">
        <v>110</v>
      </c>
      <c r="Z16" s="5">
        <v>103</v>
      </c>
      <c r="AA16" s="40">
        <v>93</v>
      </c>
      <c r="AB16" s="27">
        <v>83</v>
      </c>
      <c r="AC16" s="5">
        <v>88</v>
      </c>
      <c r="AD16" s="5">
        <v>86</v>
      </c>
      <c r="AE16" s="40">
        <v>0</v>
      </c>
      <c r="AF16" s="27">
        <v>0</v>
      </c>
      <c r="AG16" s="5">
        <v>0</v>
      </c>
      <c r="AH16" s="5">
        <v>0</v>
      </c>
      <c r="AI16" s="40">
        <v>0</v>
      </c>
      <c r="AJ16" s="27">
        <v>0</v>
      </c>
      <c r="AK16" s="28">
        <f t="shared" si="5"/>
        <v>3.2937669077458183</v>
      </c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CF16" s="30"/>
    </row>
    <row r="17" spans="1:84" s="29" customFormat="1" ht="19.5" customHeight="1" x14ac:dyDescent="0.25">
      <c r="A17" s="26" t="s">
        <v>35</v>
      </c>
      <c r="B17" s="21">
        <f t="shared" si="2"/>
        <v>1914</v>
      </c>
      <c r="C17" s="5">
        <f t="shared" si="3"/>
        <v>1006</v>
      </c>
      <c r="D17" s="27">
        <f t="shared" si="3"/>
        <v>908</v>
      </c>
      <c r="E17" s="5">
        <v>14</v>
      </c>
      <c r="F17" s="5">
        <v>13</v>
      </c>
      <c r="G17" s="40">
        <v>94</v>
      </c>
      <c r="H17" s="27">
        <v>89</v>
      </c>
      <c r="I17" s="5">
        <v>81</v>
      </c>
      <c r="J17" s="5">
        <v>78</v>
      </c>
      <c r="K17" s="40">
        <v>84</v>
      </c>
      <c r="L17" s="27">
        <v>75</v>
      </c>
      <c r="M17" s="5">
        <v>104</v>
      </c>
      <c r="N17" s="5">
        <v>78</v>
      </c>
      <c r="O17" s="40">
        <v>84</v>
      </c>
      <c r="P17" s="27">
        <v>80</v>
      </c>
      <c r="Q17" s="5">
        <v>78</v>
      </c>
      <c r="R17" s="5">
        <v>79</v>
      </c>
      <c r="S17" s="40">
        <v>98</v>
      </c>
      <c r="T17" s="27">
        <v>77</v>
      </c>
      <c r="U17" s="5">
        <v>84</v>
      </c>
      <c r="V17" s="5">
        <v>80</v>
      </c>
      <c r="W17" s="40">
        <v>92</v>
      </c>
      <c r="X17" s="27">
        <v>74</v>
      </c>
      <c r="Y17" s="5">
        <v>52</v>
      </c>
      <c r="Z17" s="5">
        <v>69</v>
      </c>
      <c r="AA17" s="40">
        <v>75</v>
      </c>
      <c r="AB17" s="27">
        <v>50</v>
      </c>
      <c r="AC17" s="5">
        <v>56</v>
      </c>
      <c r="AD17" s="5">
        <v>57</v>
      </c>
      <c r="AE17" s="40">
        <v>4</v>
      </c>
      <c r="AF17" s="27">
        <v>5</v>
      </c>
      <c r="AG17" s="5">
        <v>6</v>
      </c>
      <c r="AH17" s="5">
        <v>4</v>
      </c>
      <c r="AI17" s="40">
        <v>0</v>
      </c>
      <c r="AJ17" s="27">
        <v>0</v>
      </c>
      <c r="AK17" s="28">
        <f t="shared" si="5"/>
        <v>2.1133992160326835</v>
      </c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CF17" s="30"/>
    </row>
    <row r="18" spans="1:84" s="29" customFormat="1" ht="19.5" customHeight="1" x14ac:dyDescent="0.25">
      <c r="A18" s="26" t="s">
        <v>36</v>
      </c>
      <c r="B18" s="21">
        <f t="shared" si="2"/>
        <v>2347</v>
      </c>
      <c r="C18" s="5">
        <f t="shared" si="3"/>
        <v>1233</v>
      </c>
      <c r="D18" s="27">
        <f t="shared" si="3"/>
        <v>1114</v>
      </c>
      <c r="E18" s="5">
        <v>24</v>
      </c>
      <c r="F18" s="5">
        <v>15</v>
      </c>
      <c r="G18" s="40">
        <v>152</v>
      </c>
      <c r="H18" s="27">
        <v>138</v>
      </c>
      <c r="I18" s="5">
        <v>112</v>
      </c>
      <c r="J18" s="5">
        <v>116</v>
      </c>
      <c r="K18" s="40">
        <v>106</v>
      </c>
      <c r="L18" s="27">
        <v>78</v>
      </c>
      <c r="M18" s="5">
        <v>108</v>
      </c>
      <c r="N18" s="5">
        <v>107</v>
      </c>
      <c r="O18" s="40">
        <v>120</v>
      </c>
      <c r="P18" s="27">
        <v>95</v>
      </c>
      <c r="Q18" s="5">
        <v>115</v>
      </c>
      <c r="R18" s="5">
        <v>94</v>
      </c>
      <c r="S18" s="40">
        <v>89</v>
      </c>
      <c r="T18" s="27">
        <v>98</v>
      </c>
      <c r="U18" s="5">
        <v>112</v>
      </c>
      <c r="V18" s="5">
        <v>82</v>
      </c>
      <c r="W18" s="40">
        <v>84</v>
      </c>
      <c r="X18" s="27">
        <v>85</v>
      </c>
      <c r="Y18" s="5">
        <v>63</v>
      </c>
      <c r="Z18" s="5">
        <v>65</v>
      </c>
      <c r="AA18" s="40">
        <v>64</v>
      </c>
      <c r="AB18" s="27">
        <v>77</v>
      </c>
      <c r="AC18" s="5">
        <v>83</v>
      </c>
      <c r="AD18" s="5">
        <v>58</v>
      </c>
      <c r="AE18" s="40">
        <v>0</v>
      </c>
      <c r="AF18" s="27">
        <v>0</v>
      </c>
      <c r="AG18" s="5">
        <v>0</v>
      </c>
      <c r="AH18" s="5">
        <v>0</v>
      </c>
      <c r="AI18" s="40">
        <v>1</v>
      </c>
      <c r="AJ18" s="27">
        <v>6</v>
      </c>
      <c r="AK18" s="28">
        <f t="shared" si="5"/>
        <v>2.5915088610390327</v>
      </c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D18" s="29" t="s">
        <v>67</v>
      </c>
      <c r="BE18" s="7" t="s">
        <v>48</v>
      </c>
      <c r="BF18" s="7" t="s">
        <v>49</v>
      </c>
      <c r="BG18" s="8" t="s">
        <v>50</v>
      </c>
      <c r="BH18" s="8" t="s">
        <v>51</v>
      </c>
      <c r="BI18" s="8" t="s">
        <v>52</v>
      </c>
      <c r="BJ18" s="8" t="s">
        <v>53</v>
      </c>
      <c r="BK18" s="8" t="s">
        <v>54</v>
      </c>
      <c r="BL18" s="8" t="s">
        <v>55</v>
      </c>
      <c r="BM18" s="8" t="s">
        <v>56</v>
      </c>
      <c r="BN18" s="8" t="s">
        <v>57</v>
      </c>
      <c r="BO18" s="8" t="s">
        <v>58</v>
      </c>
      <c r="BP18" s="8" t="s">
        <v>59</v>
      </c>
      <c r="BQ18" s="8" t="s">
        <v>60</v>
      </c>
      <c r="BR18" s="8" t="s">
        <v>61</v>
      </c>
      <c r="BS18" s="8" t="s">
        <v>62</v>
      </c>
    </row>
    <row r="19" spans="1:84" s="29" customFormat="1" ht="19.5" customHeight="1" x14ac:dyDescent="0.25">
      <c r="A19" s="26" t="s">
        <v>37</v>
      </c>
      <c r="B19" s="21">
        <f t="shared" si="2"/>
        <v>383</v>
      </c>
      <c r="C19" s="5">
        <f t="shared" si="3"/>
        <v>199</v>
      </c>
      <c r="D19" s="27">
        <f t="shared" si="3"/>
        <v>184</v>
      </c>
      <c r="E19" s="5">
        <v>0</v>
      </c>
      <c r="F19" s="5">
        <v>0</v>
      </c>
      <c r="G19" s="40">
        <v>23</v>
      </c>
      <c r="H19" s="27">
        <v>31</v>
      </c>
      <c r="I19" s="5">
        <v>17</v>
      </c>
      <c r="J19" s="5">
        <v>15</v>
      </c>
      <c r="K19" s="40">
        <v>24</v>
      </c>
      <c r="L19" s="27">
        <v>10</v>
      </c>
      <c r="M19" s="5">
        <v>15</v>
      </c>
      <c r="N19" s="5">
        <v>16</v>
      </c>
      <c r="O19" s="40">
        <v>16</v>
      </c>
      <c r="P19" s="27">
        <v>24</v>
      </c>
      <c r="Q19" s="5">
        <v>10</v>
      </c>
      <c r="R19" s="5">
        <v>21</v>
      </c>
      <c r="S19" s="40">
        <v>17</v>
      </c>
      <c r="T19" s="27">
        <v>9</v>
      </c>
      <c r="U19" s="5">
        <v>23</v>
      </c>
      <c r="V19" s="5">
        <v>17</v>
      </c>
      <c r="W19" s="40">
        <v>16</v>
      </c>
      <c r="X19" s="27">
        <v>12</v>
      </c>
      <c r="Y19" s="5">
        <v>13</v>
      </c>
      <c r="Z19" s="5">
        <v>11</v>
      </c>
      <c r="AA19" s="40">
        <v>10</v>
      </c>
      <c r="AB19" s="27">
        <v>10</v>
      </c>
      <c r="AC19" s="5">
        <v>15</v>
      </c>
      <c r="AD19" s="5">
        <v>8</v>
      </c>
      <c r="AE19" s="40">
        <v>0</v>
      </c>
      <c r="AF19" s="27">
        <v>0</v>
      </c>
      <c r="AG19" s="5">
        <v>0</v>
      </c>
      <c r="AH19" s="5">
        <v>0</v>
      </c>
      <c r="AI19" s="40">
        <v>0</v>
      </c>
      <c r="AJ19" s="27">
        <v>0</v>
      </c>
      <c r="AK19" s="28">
        <f t="shared" si="5"/>
        <v>0.422900679070281</v>
      </c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D19" s="29" t="s">
        <v>1</v>
      </c>
      <c r="BE19" s="30">
        <f>BE11</f>
        <v>101.85185185185186</v>
      </c>
      <c r="BF19" s="30">
        <f>BG11</f>
        <v>101.77232447171099</v>
      </c>
      <c r="BG19" s="30">
        <f>BI11</f>
        <v>105.09449465899753</v>
      </c>
      <c r="BH19" s="30">
        <f>BK11</f>
        <v>103.90243902439025</v>
      </c>
      <c r="BI19" s="30">
        <f>BM11</f>
        <v>107.57812499999999</v>
      </c>
      <c r="BJ19" s="30">
        <f>BO11</f>
        <v>111.77394034536891</v>
      </c>
      <c r="BK19" s="30">
        <f>BQ11</f>
        <v>107.09728867623605</v>
      </c>
      <c r="BL19" s="30">
        <f>BS11</f>
        <v>99.688230709275132</v>
      </c>
      <c r="BM19" s="30">
        <f>BU11</f>
        <v>106.93311582381727</v>
      </c>
      <c r="BN19" s="30">
        <f>BW11</f>
        <v>103.67278797996661</v>
      </c>
      <c r="BO19" s="30">
        <f>BY11</f>
        <v>101.49953139643861</v>
      </c>
      <c r="BP19" s="30">
        <f>CA11</f>
        <v>108</v>
      </c>
      <c r="BQ19" s="30">
        <f>CC11</f>
        <v>105.52016985138005</v>
      </c>
      <c r="BR19" s="30">
        <f>CE11</f>
        <v>77.890173410404628</v>
      </c>
      <c r="BS19" s="30">
        <f>CG11</f>
        <v>74.750830564784053</v>
      </c>
    </row>
    <row r="20" spans="1:84" s="29" customFormat="1" ht="19.5" customHeight="1" x14ac:dyDescent="0.25">
      <c r="A20" s="26" t="s">
        <v>38</v>
      </c>
      <c r="B20" s="21">
        <f t="shared" si="2"/>
        <v>1232</v>
      </c>
      <c r="C20" s="5">
        <f t="shared" si="3"/>
        <v>635</v>
      </c>
      <c r="D20" s="27">
        <f t="shared" si="3"/>
        <v>597</v>
      </c>
      <c r="E20" s="5">
        <v>0</v>
      </c>
      <c r="F20" s="5">
        <v>0</v>
      </c>
      <c r="G20" s="40">
        <v>66</v>
      </c>
      <c r="H20" s="27">
        <v>50</v>
      </c>
      <c r="I20" s="5">
        <v>50</v>
      </c>
      <c r="J20" s="5">
        <v>53</v>
      </c>
      <c r="K20" s="40">
        <v>57</v>
      </c>
      <c r="L20" s="27">
        <v>57</v>
      </c>
      <c r="M20" s="5">
        <v>52</v>
      </c>
      <c r="N20" s="5">
        <v>51</v>
      </c>
      <c r="O20" s="40">
        <v>57</v>
      </c>
      <c r="P20" s="27">
        <v>38</v>
      </c>
      <c r="Q20" s="5">
        <v>61</v>
      </c>
      <c r="R20" s="5">
        <v>54</v>
      </c>
      <c r="S20" s="40">
        <v>53</v>
      </c>
      <c r="T20" s="27">
        <v>63</v>
      </c>
      <c r="U20" s="5">
        <v>68</v>
      </c>
      <c r="V20" s="5">
        <v>45</v>
      </c>
      <c r="W20" s="40">
        <v>48</v>
      </c>
      <c r="X20" s="27">
        <v>47</v>
      </c>
      <c r="Y20" s="5">
        <v>43</v>
      </c>
      <c r="Z20" s="5">
        <v>53</v>
      </c>
      <c r="AA20" s="40">
        <v>37</v>
      </c>
      <c r="AB20" s="27">
        <v>42</v>
      </c>
      <c r="AC20" s="5">
        <v>30</v>
      </c>
      <c r="AD20" s="5">
        <v>33</v>
      </c>
      <c r="AE20" s="40">
        <v>11</v>
      </c>
      <c r="AF20" s="27">
        <v>6</v>
      </c>
      <c r="AG20" s="5">
        <v>2</v>
      </c>
      <c r="AH20" s="5">
        <v>5</v>
      </c>
      <c r="AI20" s="40">
        <v>0</v>
      </c>
      <c r="AJ20" s="27">
        <v>0</v>
      </c>
      <c r="AK20" s="28">
        <f t="shared" si="5"/>
        <v>1.3603489206647159</v>
      </c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D20" s="29" t="s">
        <v>2</v>
      </c>
      <c r="BE20" s="30">
        <f>BE12</f>
        <v>107.37327188940091</v>
      </c>
      <c r="BF20" s="30">
        <f>BG12</f>
        <v>102.50440917107584</v>
      </c>
      <c r="BG20" s="30">
        <f>BI12</f>
        <v>102.36864771748493</v>
      </c>
      <c r="BH20" s="30">
        <f>BK12</f>
        <v>111.90370040124833</v>
      </c>
      <c r="BI20" s="30">
        <f>BM12</f>
        <v>111.54844290657439</v>
      </c>
      <c r="BJ20" s="30">
        <f>BO12</f>
        <v>112.64466352336049</v>
      </c>
      <c r="BK20" s="30">
        <f>BQ12</f>
        <v>109.60526315789474</v>
      </c>
      <c r="BL20" s="30">
        <f>BS12</f>
        <v>105.18112889637743</v>
      </c>
      <c r="BM20" s="30">
        <f>BU12</f>
        <v>103.37275514673674</v>
      </c>
      <c r="BN20" s="30">
        <f>BW12</f>
        <v>111.24087591240877</v>
      </c>
      <c r="BO20" s="30">
        <f>BY12</f>
        <v>104.75435816164817</v>
      </c>
      <c r="BP20" s="30">
        <f>CA12</f>
        <v>98.44530816213215</v>
      </c>
      <c r="BQ20" s="30">
        <f>CC12</f>
        <v>109.38074800735744</v>
      </c>
      <c r="BR20" s="30">
        <f>CE12</f>
        <v>82.448036951501152</v>
      </c>
      <c r="BS20" s="30">
        <f>CG12</f>
        <v>72.027972027972027</v>
      </c>
    </row>
    <row r="21" spans="1:84" s="29" customFormat="1" ht="19.5" customHeight="1" x14ac:dyDescent="0.25">
      <c r="A21" s="26" t="s">
        <v>39</v>
      </c>
      <c r="B21" s="21">
        <f t="shared" si="2"/>
        <v>1437</v>
      </c>
      <c r="C21" s="5">
        <f t="shared" si="3"/>
        <v>749</v>
      </c>
      <c r="D21" s="27">
        <f t="shared" si="3"/>
        <v>688</v>
      </c>
      <c r="E21" s="5">
        <v>0</v>
      </c>
      <c r="F21" s="5">
        <v>0</v>
      </c>
      <c r="G21" s="40">
        <v>91</v>
      </c>
      <c r="H21" s="27">
        <v>85</v>
      </c>
      <c r="I21" s="5">
        <v>76</v>
      </c>
      <c r="J21" s="5">
        <v>55</v>
      </c>
      <c r="K21" s="40">
        <v>72</v>
      </c>
      <c r="L21" s="27">
        <v>56</v>
      </c>
      <c r="M21" s="5">
        <v>64</v>
      </c>
      <c r="N21" s="5">
        <v>61</v>
      </c>
      <c r="O21" s="40">
        <v>62</v>
      </c>
      <c r="P21" s="27">
        <v>56</v>
      </c>
      <c r="Q21" s="5">
        <v>49</v>
      </c>
      <c r="R21" s="5">
        <v>56</v>
      </c>
      <c r="S21" s="40">
        <v>59</v>
      </c>
      <c r="T21" s="27">
        <v>53</v>
      </c>
      <c r="U21" s="5">
        <v>57</v>
      </c>
      <c r="V21" s="5">
        <v>54</v>
      </c>
      <c r="W21" s="40">
        <v>53</v>
      </c>
      <c r="X21" s="27">
        <v>46</v>
      </c>
      <c r="Y21" s="5">
        <v>64</v>
      </c>
      <c r="Z21" s="5">
        <v>48</v>
      </c>
      <c r="AA21" s="40">
        <v>43</v>
      </c>
      <c r="AB21" s="27">
        <v>49</v>
      </c>
      <c r="AC21" s="5">
        <v>34</v>
      </c>
      <c r="AD21" s="5">
        <v>34</v>
      </c>
      <c r="AE21" s="40">
        <v>14</v>
      </c>
      <c r="AF21" s="27">
        <v>16</v>
      </c>
      <c r="AG21" s="5">
        <v>11</v>
      </c>
      <c r="AH21" s="5">
        <v>19</v>
      </c>
      <c r="AI21" s="40">
        <v>0</v>
      </c>
      <c r="AJ21" s="27">
        <v>0</v>
      </c>
      <c r="AK21" s="28">
        <f t="shared" si="5"/>
        <v>1.5867056810025946</v>
      </c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</row>
    <row r="22" spans="1:84" s="29" customFormat="1" ht="19.5" customHeight="1" x14ac:dyDescent="0.25">
      <c r="A22" s="26" t="s">
        <v>40</v>
      </c>
      <c r="B22" s="21">
        <f t="shared" si="2"/>
        <v>1635</v>
      </c>
      <c r="C22" s="5">
        <f t="shared" si="3"/>
        <v>803</v>
      </c>
      <c r="D22" s="27">
        <f t="shared" si="3"/>
        <v>832</v>
      </c>
      <c r="E22" s="5">
        <v>8</v>
      </c>
      <c r="F22" s="5">
        <v>12</v>
      </c>
      <c r="G22" s="40">
        <v>88</v>
      </c>
      <c r="H22" s="27">
        <v>80</v>
      </c>
      <c r="I22" s="5">
        <v>55</v>
      </c>
      <c r="J22" s="5">
        <v>74</v>
      </c>
      <c r="K22" s="40">
        <v>53</v>
      </c>
      <c r="L22" s="27">
        <v>61</v>
      </c>
      <c r="M22" s="5">
        <v>86</v>
      </c>
      <c r="N22" s="5">
        <v>76</v>
      </c>
      <c r="O22" s="40">
        <v>69</v>
      </c>
      <c r="P22" s="27">
        <v>73</v>
      </c>
      <c r="Q22" s="5">
        <v>61</v>
      </c>
      <c r="R22" s="5">
        <v>69</v>
      </c>
      <c r="S22" s="40">
        <v>86</v>
      </c>
      <c r="T22" s="27">
        <v>81</v>
      </c>
      <c r="U22" s="5">
        <v>64</v>
      </c>
      <c r="V22" s="5">
        <v>58</v>
      </c>
      <c r="W22" s="40">
        <v>66</v>
      </c>
      <c r="X22" s="27">
        <v>64</v>
      </c>
      <c r="Y22" s="5">
        <v>54</v>
      </c>
      <c r="Z22" s="5">
        <v>66</v>
      </c>
      <c r="AA22" s="40">
        <v>52</v>
      </c>
      <c r="AB22" s="27">
        <v>57</v>
      </c>
      <c r="AC22" s="5">
        <v>45</v>
      </c>
      <c r="AD22" s="5">
        <v>38</v>
      </c>
      <c r="AE22" s="40">
        <v>8</v>
      </c>
      <c r="AF22" s="27">
        <v>9</v>
      </c>
      <c r="AG22" s="5">
        <v>8</v>
      </c>
      <c r="AH22" s="5">
        <v>14</v>
      </c>
      <c r="AI22" s="40">
        <v>0</v>
      </c>
      <c r="AJ22" s="27">
        <v>0</v>
      </c>
      <c r="AK22" s="28">
        <f t="shared" si="5"/>
        <v>1.8053331861094244</v>
      </c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</row>
    <row r="23" spans="1:84" s="29" customFormat="1" ht="19.5" customHeight="1" x14ac:dyDescent="0.25">
      <c r="A23" s="26" t="s">
        <v>41</v>
      </c>
      <c r="B23" s="21">
        <f t="shared" si="2"/>
        <v>2614</v>
      </c>
      <c r="C23" s="5">
        <f t="shared" si="3"/>
        <v>1327</v>
      </c>
      <c r="D23" s="27">
        <f t="shared" si="3"/>
        <v>1287</v>
      </c>
      <c r="E23" s="5">
        <v>4</v>
      </c>
      <c r="F23" s="5">
        <v>6</v>
      </c>
      <c r="G23" s="40">
        <v>122</v>
      </c>
      <c r="H23" s="27">
        <v>123</v>
      </c>
      <c r="I23" s="5">
        <v>106</v>
      </c>
      <c r="J23" s="5">
        <v>111</v>
      </c>
      <c r="K23" s="40">
        <v>120</v>
      </c>
      <c r="L23" s="27">
        <v>107</v>
      </c>
      <c r="M23" s="5">
        <v>121</v>
      </c>
      <c r="N23" s="5">
        <v>103</v>
      </c>
      <c r="O23" s="40">
        <v>124</v>
      </c>
      <c r="P23" s="27">
        <v>123</v>
      </c>
      <c r="Q23" s="5">
        <v>140</v>
      </c>
      <c r="R23" s="5">
        <v>125</v>
      </c>
      <c r="S23" s="40">
        <v>112</v>
      </c>
      <c r="T23" s="27">
        <v>110</v>
      </c>
      <c r="U23" s="5">
        <v>101</v>
      </c>
      <c r="V23" s="5">
        <v>107</v>
      </c>
      <c r="W23" s="40">
        <v>119</v>
      </c>
      <c r="X23" s="27">
        <v>119</v>
      </c>
      <c r="Y23" s="5">
        <v>91</v>
      </c>
      <c r="Z23" s="5">
        <v>91</v>
      </c>
      <c r="AA23" s="40">
        <v>65</v>
      </c>
      <c r="AB23" s="27">
        <v>83</v>
      </c>
      <c r="AC23" s="5">
        <v>73</v>
      </c>
      <c r="AD23" s="5">
        <v>59</v>
      </c>
      <c r="AE23" s="40">
        <v>27</v>
      </c>
      <c r="AF23" s="27">
        <v>17</v>
      </c>
      <c r="AG23" s="5">
        <v>2</v>
      </c>
      <c r="AH23" s="5">
        <v>3</v>
      </c>
      <c r="AI23" s="40">
        <v>0</v>
      </c>
      <c r="AJ23" s="27">
        <v>0</v>
      </c>
      <c r="AK23" s="28">
        <f t="shared" si="5"/>
        <v>2.8863247391376361</v>
      </c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</row>
    <row r="24" spans="1:84" s="29" customFormat="1" ht="19.5" customHeight="1" x14ac:dyDescent="0.25">
      <c r="A24" s="26" t="s">
        <v>42</v>
      </c>
      <c r="B24" s="21">
        <f t="shared" si="2"/>
        <v>3559</v>
      </c>
      <c r="C24" s="5">
        <f t="shared" si="3"/>
        <v>1880</v>
      </c>
      <c r="D24" s="27">
        <f t="shared" si="3"/>
        <v>1679</v>
      </c>
      <c r="E24" s="5">
        <v>5</v>
      </c>
      <c r="F24" s="5">
        <v>5</v>
      </c>
      <c r="G24" s="40">
        <v>203</v>
      </c>
      <c r="H24" s="27">
        <v>190</v>
      </c>
      <c r="I24" s="5">
        <v>161</v>
      </c>
      <c r="J24" s="5">
        <v>150</v>
      </c>
      <c r="K24" s="40">
        <v>168</v>
      </c>
      <c r="L24" s="27">
        <v>136</v>
      </c>
      <c r="M24" s="5">
        <v>154</v>
      </c>
      <c r="N24" s="5">
        <v>140</v>
      </c>
      <c r="O24" s="40">
        <v>157</v>
      </c>
      <c r="P24" s="27">
        <v>132</v>
      </c>
      <c r="Q24" s="5">
        <v>155</v>
      </c>
      <c r="R24" s="5">
        <v>130</v>
      </c>
      <c r="S24" s="40">
        <v>150</v>
      </c>
      <c r="T24" s="27">
        <v>127</v>
      </c>
      <c r="U24" s="5">
        <v>161</v>
      </c>
      <c r="V24" s="5">
        <v>159</v>
      </c>
      <c r="W24" s="40">
        <v>177</v>
      </c>
      <c r="X24" s="27">
        <v>141</v>
      </c>
      <c r="Y24" s="5">
        <v>133</v>
      </c>
      <c r="Z24" s="5">
        <v>128</v>
      </c>
      <c r="AA24" s="40">
        <v>117</v>
      </c>
      <c r="AB24" s="27">
        <v>118</v>
      </c>
      <c r="AC24" s="5">
        <v>112</v>
      </c>
      <c r="AD24" s="5">
        <v>84</v>
      </c>
      <c r="AE24" s="40">
        <v>12</v>
      </c>
      <c r="AF24" s="27">
        <v>16</v>
      </c>
      <c r="AG24" s="5">
        <v>15</v>
      </c>
      <c r="AH24" s="5">
        <v>19</v>
      </c>
      <c r="AI24" s="40">
        <v>0</v>
      </c>
      <c r="AJ24" s="27">
        <v>4</v>
      </c>
      <c r="AK24" s="28">
        <f t="shared" si="5"/>
        <v>3.9297741953293213</v>
      </c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CA24" s="1" t="s">
        <v>3</v>
      </c>
    </row>
    <row r="25" spans="1:84" s="29" customFormat="1" ht="19.5" customHeight="1" x14ac:dyDescent="0.25">
      <c r="A25" s="26" t="s">
        <v>43</v>
      </c>
      <c r="B25" s="21">
        <f t="shared" si="2"/>
        <v>2096</v>
      </c>
      <c r="C25" s="5">
        <f t="shared" si="3"/>
        <v>1084</v>
      </c>
      <c r="D25" s="27">
        <f t="shared" si="3"/>
        <v>1012</v>
      </c>
      <c r="E25" s="5">
        <v>24</v>
      </c>
      <c r="F25" s="5">
        <v>19</v>
      </c>
      <c r="G25" s="40">
        <v>93</v>
      </c>
      <c r="H25" s="27">
        <v>97</v>
      </c>
      <c r="I25" s="5">
        <v>86</v>
      </c>
      <c r="J25" s="5">
        <v>77</v>
      </c>
      <c r="K25" s="40">
        <v>96</v>
      </c>
      <c r="L25" s="27">
        <v>72</v>
      </c>
      <c r="M25" s="5">
        <v>96</v>
      </c>
      <c r="N25" s="5">
        <v>98</v>
      </c>
      <c r="O25" s="40">
        <v>92</v>
      </c>
      <c r="P25" s="27">
        <v>86</v>
      </c>
      <c r="Q25" s="5">
        <v>90</v>
      </c>
      <c r="R25" s="5">
        <v>79</v>
      </c>
      <c r="S25" s="40">
        <v>79</v>
      </c>
      <c r="T25" s="27">
        <v>72</v>
      </c>
      <c r="U25" s="5">
        <v>92</v>
      </c>
      <c r="V25" s="5">
        <v>89</v>
      </c>
      <c r="W25" s="40">
        <v>92</v>
      </c>
      <c r="X25" s="27">
        <v>75</v>
      </c>
      <c r="Y25" s="5">
        <v>85</v>
      </c>
      <c r="Z25" s="5">
        <v>80</v>
      </c>
      <c r="AA25" s="40">
        <v>79</v>
      </c>
      <c r="AB25" s="27">
        <v>79</v>
      </c>
      <c r="AC25" s="5">
        <v>73</v>
      </c>
      <c r="AD25" s="5">
        <v>75</v>
      </c>
      <c r="AE25" s="40">
        <v>4</v>
      </c>
      <c r="AF25" s="27">
        <v>3</v>
      </c>
      <c r="AG25" s="5">
        <v>3</v>
      </c>
      <c r="AH25" s="5">
        <v>11</v>
      </c>
      <c r="AI25" s="40">
        <v>0</v>
      </c>
      <c r="AJ25" s="27">
        <v>0</v>
      </c>
      <c r="AK25" s="28">
        <f t="shared" si="5"/>
        <v>2.3143598520399715</v>
      </c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CA25" s="1" t="s">
        <v>4</v>
      </c>
    </row>
    <row r="26" spans="1:84" s="29" customFormat="1" ht="19.5" customHeight="1" x14ac:dyDescent="0.25">
      <c r="A26" s="26" t="s">
        <v>44</v>
      </c>
      <c r="B26" s="21">
        <f t="shared" si="2"/>
        <v>3132</v>
      </c>
      <c r="C26" s="5">
        <f t="shared" si="3"/>
        <v>1676</v>
      </c>
      <c r="D26" s="27">
        <f t="shared" si="3"/>
        <v>1456</v>
      </c>
      <c r="E26" s="5">
        <v>27</v>
      </c>
      <c r="F26" s="5">
        <v>31</v>
      </c>
      <c r="G26" s="40">
        <v>163</v>
      </c>
      <c r="H26" s="27">
        <v>144</v>
      </c>
      <c r="I26" s="5">
        <v>132</v>
      </c>
      <c r="J26" s="5">
        <v>116</v>
      </c>
      <c r="K26" s="40">
        <v>133</v>
      </c>
      <c r="L26" s="27">
        <v>110</v>
      </c>
      <c r="M26" s="5">
        <v>146</v>
      </c>
      <c r="N26" s="5">
        <v>105</v>
      </c>
      <c r="O26" s="40">
        <v>170</v>
      </c>
      <c r="P26" s="27">
        <v>126</v>
      </c>
      <c r="Q26" s="5">
        <v>125</v>
      </c>
      <c r="R26" s="5">
        <v>126</v>
      </c>
      <c r="S26" s="40">
        <v>126</v>
      </c>
      <c r="T26" s="27">
        <v>121</v>
      </c>
      <c r="U26" s="5">
        <v>134</v>
      </c>
      <c r="V26" s="5">
        <v>130</v>
      </c>
      <c r="W26" s="40">
        <v>128</v>
      </c>
      <c r="X26" s="27">
        <v>118</v>
      </c>
      <c r="Y26" s="5">
        <v>122</v>
      </c>
      <c r="Z26" s="5">
        <v>99</v>
      </c>
      <c r="AA26" s="40">
        <v>122</v>
      </c>
      <c r="AB26" s="27">
        <v>107</v>
      </c>
      <c r="AC26" s="5">
        <v>121</v>
      </c>
      <c r="AD26" s="5">
        <v>94</v>
      </c>
      <c r="AE26" s="40">
        <v>13</v>
      </c>
      <c r="AF26" s="27">
        <v>17</v>
      </c>
      <c r="AG26" s="5">
        <v>10</v>
      </c>
      <c r="AH26" s="5">
        <v>11</v>
      </c>
      <c r="AI26" s="40">
        <v>4</v>
      </c>
      <c r="AJ26" s="27">
        <v>1</v>
      </c>
      <c r="AK26" s="28">
        <f t="shared" si="5"/>
        <v>3.4582896262353011</v>
      </c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CA26" s="1" t="s">
        <v>5</v>
      </c>
    </row>
    <row r="27" spans="1:84" s="29" customFormat="1" ht="19.5" customHeight="1" x14ac:dyDescent="0.25">
      <c r="A27" s="26" t="s">
        <v>45</v>
      </c>
      <c r="B27" s="21">
        <f t="shared" si="2"/>
        <v>2516</v>
      </c>
      <c r="C27" s="5">
        <f t="shared" si="3"/>
        <v>1272</v>
      </c>
      <c r="D27" s="27">
        <f t="shared" si="3"/>
        <v>1244</v>
      </c>
      <c r="E27" s="5">
        <v>84</v>
      </c>
      <c r="F27" s="5">
        <v>68</v>
      </c>
      <c r="G27" s="40">
        <v>86</v>
      </c>
      <c r="H27" s="27">
        <v>105</v>
      </c>
      <c r="I27" s="5">
        <v>106</v>
      </c>
      <c r="J27" s="5">
        <v>87</v>
      </c>
      <c r="K27" s="40">
        <v>104</v>
      </c>
      <c r="L27" s="27">
        <v>89</v>
      </c>
      <c r="M27" s="5">
        <v>103</v>
      </c>
      <c r="N27" s="5">
        <v>109</v>
      </c>
      <c r="O27" s="40">
        <v>108</v>
      </c>
      <c r="P27" s="27">
        <v>88</v>
      </c>
      <c r="Q27" s="5">
        <v>106</v>
      </c>
      <c r="R27" s="5">
        <v>89</v>
      </c>
      <c r="S27" s="40">
        <v>134</v>
      </c>
      <c r="T27" s="27">
        <v>112</v>
      </c>
      <c r="U27" s="5">
        <v>108</v>
      </c>
      <c r="V27" s="5">
        <v>111</v>
      </c>
      <c r="W27" s="40">
        <v>88</v>
      </c>
      <c r="X27" s="27">
        <v>94</v>
      </c>
      <c r="Y27" s="5">
        <v>75</v>
      </c>
      <c r="Z27" s="5">
        <v>85</v>
      </c>
      <c r="AA27" s="40">
        <v>67</v>
      </c>
      <c r="AB27" s="27">
        <v>77</v>
      </c>
      <c r="AC27" s="5">
        <v>72</v>
      </c>
      <c r="AD27" s="5">
        <v>72</v>
      </c>
      <c r="AE27" s="40">
        <v>17</v>
      </c>
      <c r="AF27" s="27">
        <v>28</v>
      </c>
      <c r="AG27" s="5">
        <v>5</v>
      </c>
      <c r="AH27" s="5">
        <v>25</v>
      </c>
      <c r="AI27" s="40">
        <v>9</v>
      </c>
      <c r="AJ27" s="27">
        <v>5</v>
      </c>
      <c r="AK27" s="28">
        <f t="shared" si="5"/>
        <v>2.7781151659029426</v>
      </c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CA27" s="1" t="s">
        <v>7</v>
      </c>
    </row>
    <row r="28" spans="1:84" s="29" customFormat="1" ht="19.5" customHeight="1" x14ac:dyDescent="0.25">
      <c r="A28" s="31" t="s">
        <v>46</v>
      </c>
      <c r="B28" s="32">
        <f t="shared" si="2"/>
        <v>5509</v>
      </c>
      <c r="C28" s="33">
        <f t="shared" si="3"/>
        <v>2780</v>
      </c>
      <c r="D28" s="34">
        <f t="shared" si="3"/>
        <v>2729</v>
      </c>
      <c r="E28" s="33">
        <v>105</v>
      </c>
      <c r="F28" s="33">
        <v>115</v>
      </c>
      <c r="G28" s="41">
        <v>223</v>
      </c>
      <c r="H28" s="34">
        <v>210</v>
      </c>
      <c r="I28" s="33">
        <v>198</v>
      </c>
      <c r="J28" s="33">
        <v>213</v>
      </c>
      <c r="K28" s="41">
        <v>221</v>
      </c>
      <c r="L28" s="34">
        <v>206</v>
      </c>
      <c r="M28" s="33">
        <v>241</v>
      </c>
      <c r="N28" s="33">
        <v>208</v>
      </c>
      <c r="O28" s="41">
        <v>199</v>
      </c>
      <c r="P28" s="34">
        <v>190</v>
      </c>
      <c r="Q28" s="33">
        <v>244</v>
      </c>
      <c r="R28" s="33">
        <v>201</v>
      </c>
      <c r="S28" s="41">
        <v>221</v>
      </c>
      <c r="T28" s="34">
        <v>220</v>
      </c>
      <c r="U28" s="33">
        <v>212</v>
      </c>
      <c r="V28" s="33">
        <v>226</v>
      </c>
      <c r="W28" s="41">
        <v>215</v>
      </c>
      <c r="X28" s="34">
        <v>193</v>
      </c>
      <c r="Y28" s="33">
        <v>192</v>
      </c>
      <c r="Z28" s="33">
        <v>176</v>
      </c>
      <c r="AA28" s="41">
        <v>162</v>
      </c>
      <c r="AB28" s="34">
        <v>174</v>
      </c>
      <c r="AC28" s="33">
        <v>175</v>
      </c>
      <c r="AD28" s="33">
        <v>196</v>
      </c>
      <c r="AE28" s="41">
        <v>135</v>
      </c>
      <c r="AF28" s="34">
        <v>172</v>
      </c>
      <c r="AG28" s="33">
        <v>36</v>
      </c>
      <c r="AH28" s="33">
        <v>28</v>
      </c>
      <c r="AI28" s="41">
        <v>1</v>
      </c>
      <c r="AJ28" s="34">
        <v>1</v>
      </c>
      <c r="AK28" s="35">
        <f t="shared" si="5"/>
        <v>6.0829238668359746</v>
      </c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CA28" s="1" t="s">
        <v>8</v>
      </c>
    </row>
    <row r="29" spans="1:84" x14ac:dyDescent="0.25">
      <c r="A29" s="3" t="s">
        <v>23</v>
      </c>
      <c r="B29" s="3"/>
      <c r="C29" s="3"/>
      <c r="D29" s="3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7" t="s">
        <v>24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CA29" s="1" t="s">
        <v>9</v>
      </c>
    </row>
    <row r="30" spans="1:84" x14ac:dyDescent="0.25">
      <c r="CA30" s="1" t="s">
        <v>10</v>
      </c>
    </row>
    <row r="31" spans="1:84" x14ac:dyDescent="0.25">
      <c r="CA31" s="1" t="s">
        <v>12</v>
      </c>
    </row>
    <row r="32" spans="1:84" x14ac:dyDescent="0.25">
      <c r="CA32" s="1" t="s">
        <v>13</v>
      </c>
    </row>
    <row r="33" spans="79:79" x14ac:dyDescent="0.25">
      <c r="CA33" s="1" t="s">
        <v>14</v>
      </c>
    </row>
    <row r="34" spans="79:79" x14ac:dyDescent="0.25">
      <c r="CA34" s="1" t="s">
        <v>15</v>
      </c>
    </row>
    <row r="35" spans="79:79" x14ac:dyDescent="0.25">
      <c r="CA35" s="1" t="s">
        <v>16</v>
      </c>
    </row>
    <row r="36" spans="79:79" x14ac:dyDescent="0.25">
      <c r="CA36" s="1" t="s">
        <v>17</v>
      </c>
    </row>
    <row r="37" spans="79:79" x14ac:dyDescent="0.25">
      <c r="CA37" s="1" t="s">
        <v>18</v>
      </c>
    </row>
    <row r="38" spans="79:79" x14ac:dyDescent="0.25">
      <c r="CA38" s="1" t="s">
        <v>19</v>
      </c>
    </row>
    <row r="39" spans="79:79" x14ac:dyDescent="0.25">
      <c r="CA39" s="1" t="s">
        <v>11</v>
      </c>
    </row>
    <row r="40" spans="79:79" x14ac:dyDescent="0.25">
      <c r="CA40" s="1" t="s">
        <v>20</v>
      </c>
    </row>
    <row r="41" spans="79:79" x14ac:dyDescent="0.25">
      <c r="CA41" s="1" t="s">
        <v>21</v>
      </c>
    </row>
    <row r="42" spans="79:79" x14ac:dyDescent="0.25">
      <c r="CA42" s="1" t="s">
        <v>22</v>
      </c>
    </row>
    <row r="43" spans="79:79" x14ac:dyDescent="0.25">
      <c r="CA43" s="2" t="s">
        <v>6</v>
      </c>
    </row>
  </sheetData>
  <mergeCells count="21">
    <mergeCell ref="AC4:AD4"/>
    <mergeCell ref="AE4:AF4"/>
    <mergeCell ref="AG4:AH4"/>
    <mergeCell ref="AI4:AJ4"/>
    <mergeCell ref="AK4:AK5"/>
    <mergeCell ref="AA4:AB4"/>
    <mergeCell ref="A1:AK1"/>
    <mergeCell ref="A2:AK2"/>
    <mergeCell ref="A4:A5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ageMargins left="0.7" right="0.7" top="0.75" bottom="0.75" header="0.3" footer="0.3"/>
  <pageSetup scale="33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2021-07-12T03:22:07Z</cp:lastPrinted>
  <dcterms:created xsi:type="dcterms:W3CDTF">2019-02-28T08:20:57Z</dcterms:created>
  <dcterms:modified xsi:type="dcterms:W3CDTF">2021-07-12T03:22:42Z</dcterms:modified>
</cp:coreProperties>
</file>