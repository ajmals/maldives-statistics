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Prices" sheetId="15" r:id="rId1"/>
  </sheets>
  <externalReferences>
    <externalReference r:id="rId2"/>
  </externalReferences>
  <definedNames>
    <definedName name="_xlnm.Print_Area" localSheetId="0">Prices!$A$1:$L$35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10" i="15" l="1"/>
  <c r="BI9" i="15"/>
  <c r="BH10" i="15" l="1"/>
  <c r="BH9" i="15"/>
  <c r="BG9" i="15"/>
  <c r="BG10" i="15"/>
  <c r="BF10" i="15"/>
  <c r="BE10" i="15"/>
  <c r="BF9" i="15"/>
  <c r="BE9" i="15"/>
  <c r="E7" i="15"/>
  <c r="D7" i="15"/>
</calcChain>
</file>

<file path=xl/sharedStrings.xml><?xml version="1.0" encoding="utf-8"?>
<sst xmlns="http://schemas.openxmlformats.org/spreadsheetml/2006/main" count="11" uniqueCount="11">
  <si>
    <t>PRICES</t>
  </si>
  <si>
    <t>Consumer Price Index (CPI), June 2012 = 100</t>
  </si>
  <si>
    <t>Total National CPI</t>
  </si>
  <si>
    <t>% change in CPI ( Inflation Rate) - National</t>
  </si>
  <si>
    <t>Food and non- alchoholic beverages- National</t>
  </si>
  <si>
    <t>% change in food and non-alchoholic beverages - National</t>
  </si>
  <si>
    <t>Fuel Prices ( Open Market Rate) at year end</t>
  </si>
  <si>
    <t>Note:  1_/: In April 2011, the exchange rate regime was changed from a fixed rate regime to a band of 20 percent around a central parity of MVR 12.8 per US dollar</t>
  </si>
  <si>
    <t>over all</t>
  </si>
  <si>
    <t>Food and non-alchoholic beverages</t>
  </si>
  <si>
    <r>
      <t>Exchange Rate of US Dollars (end of each year)</t>
    </r>
    <r>
      <rPr>
        <vertAlign val="superscript"/>
        <sz val="12"/>
        <rFont val="Candara"/>
        <family val="2"/>
      </rPr>
      <t xml:space="preserve"> 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</si>
</sst>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9" formatCode="General_)"/>
    <numFmt numFmtId="171" formatCode="0.00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i/>
      <sz val="10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andara"/>
      <family val="2"/>
    </font>
    <font>
      <sz val="12"/>
      <name val="Candara"/>
      <family val="2"/>
    </font>
    <font>
      <b/>
      <sz val="12"/>
      <name val="Candara"/>
      <family val="2"/>
    </font>
    <font>
      <b/>
      <sz val="12"/>
      <name val="Calibri"/>
      <family val="2"/>
    </font>
    <font>
      <b/>
      <sz val="16"/>
      <name val="Candara"/>
      <family val="2"/>
    </font>
    <font>
      <sz val="10.5"/>
      <name val="Calibri"/>
      <family val="2"/>
    </font>
    <font>
      <sz val="12"/>
      <name val="Calibri"/>
      <family val="2"/>
    </font>
    <font>
      <vertAlign val="superscript"/>
      <sz val="12"/>
      <name val="Candara"/>
      <family val="2"/>
    </font>
    <font>
      <b/>
      <sz val="2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9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3" fillId="0" borderId="0"/>
    <xf numFmtId="43" fontId="7" fillId="0" borderId="0" applyFont="0" applyFill="0" applyBorder="0" applyAlignment="0" applyProtection="0"/>
    <xf numFmtId="0" fontId="7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1" applyNumberFormat="0" applyAlignment="0" applyProtection="0"/>
    <xf numFmtId="0" fontId="14" fillId="22" borderId="2" applyNumberFormat="0" applyAlignment="0" applyProtection="0"/>
    <xf numFmtId="40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1" applyNumberFormat="0" applyAlignment="0" applyProtection="0"/>
    <xf numFmtId="0" fontId="21" fillId="0" borderId="6" applyNumberFormat="0" applyFill="0" applyAlignment="0" applyProtection="0"/>
    <xf numFmtId="0" fontId="22" fillId="23" borderId="0" applyNumberFormat="0" applyBorder="0" applyAlignment="0" applyProtection="0"/>
    <xf numFmtId="171" fontId="9" fillId="0" borderId="0"/>
    <xf numFmtId="0" fontId="7" fillId="0" borderId="0"/>
    <xf numFmtId="0" fontId="7" fillId="0" borderId="0"/>
    <xf numFmtId="0" fontId="7" fillId="0" borderId="0"/>
    <xf numFmtId="0" fontId="2" fillId="0" borderId="0"/>
    <xf numFmtId="169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0" fillId="24" borderId="7" applyNumberFormat="0" applyFont="0" applyAlignment="0" applyProtection="0"/>
    <xf numFmtId="0" fontId="23" fillId="21" borderId="8" applyNumberFormat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25" fillId="0" borderId="0" applyNumberFormat="0" applyFill="0" applyBorder="0" applyAlignment="0" applyProtection="0"/>
    <xf numFmtId="169" fontId="3" fillId="0" borderId="0"/>
    <xf numFmtId="169" fontId="3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" fillId="0" borderId="0"/>
  </cellStyleXfs>
  <cellXfs count="28">
    <xf numFmtId="0" fontId="0" fillId="0" borderId="0" xfId="0"/>
    <xf numFmtId="0" fontId="4" fillId="2" borderId="0" xfId="0" applyFont="1" applyFill="1"/>
    <xf numFmtId="0" fontId="2" fillId="2" borderId="0" xfId="0" applyFont="1" applyFill="1"/>
    <xf numFmtId="0" fontId="4" fillId="2" borderId="0" xfId="1" applyFont="1" applyFill="1"/>
    <xf numFmtId="0" fontId="2" fillId="2" borderId="0" xfId="1" applyFont="1" applyFill="1"/>
    <xf numFmtId="0" fontId="0" fillId="2" borderId="0" xfId="1" applyFont="1" applyFill="1"/>
    <xf numFmtId="0" fontId="0" fillId="2" borderId="0" xfId="0" applyFill="1"/>
    <xf numFmtId="165" fontId="0" fillId="2" borderId="0" xfId="0" applyNumberFormat="1" applyFill="1"/>
    <xf numFmtId="0" fontId="27" fillId="2" borderId="0" xfId="1" applyFont="1" applyFill="1" applyAlignment="1">
      <alignment vertical="center"/>
    </xf>
    <xf numFmtId="0" fontId="30" fillId="2" borderId="0" xfId="1" applyFont="1" applyFill="1"/>
    <xf numFmtId="0" fontId="5" fillId="2" borderId="0" xfId="71" applyFont="1" applyFill="1" applyBorder="1" applyAlignment="1">
      <alignment horizontal="left" vertical="center"/>
    </xf>
    <xf numFmtId="0" fontId="26" fillId="2" borderId="0" xfId="0" applyFont="1" applyFill="1"/>
    <xf numFmtId="165" fontId="2" fillId="2" borderId="0" xfId="1" applyNumberFormat="1" applyFont="1" applyFill="1"/>
    <xf numFmtId="165" fontId="31" fillId="2" borderId="0" xfId="1" applyNumberFormat="1" applyFont="1" applyFill="1" applyAlignment="1">
      <alignment vertical="center"/>
    </xf>
    <xf numFmtId="165" fontId="2" fillId="2" borderId="0" xfId="8" applyNumberFormat="1" applyFont="1" applyFill="1"/>
    <xf numFmtId="2" fontId="2" fillId="2" borderId="0" xfId="8" applyNumberFormat="1" applyFont="1" applyFill="1"/>
    <xf numFmtId="2" fontId="2" fillId="2" borderId="0" xfId="1" applyNumberFormat="1" applyFont="1" applyFill="1"/>
    <xf numFmtId="2" fontId="0" fillId="2" borderId="0" xfId="0" applyNumberFormat="1" applyFill="1"/>
    <xf numFmtId="0" fontId="28" fillId="26" borderId="0" xfId="1" applyFont="1" applyFill="1" applyAlignment="1">
      <alignment vertical="center"/>
    </xf>
    <xf numFmtId="0" fontId="29" fillId="26" borderId="0" xfId="1" applyFont="1" applyFill="1" applyAlignment="1">
      <alignment vertical="center"/>
    </xf>
    <xf numFmtId="165" fontId="32" fillId="2" borderId="0" xfId="1" applyNumberFormat="1" applyFont="1" applyFill="1" applyAlignment="1">
      <alignment vertical="center"/>
    </xf>
    <xf numFmtId="0" fontId="32" fillId="2" borderId="0" xfId="1" applyFont="1" applyFill="1" applyAlignment="1">
      <alignment vertical="center"/>
    </xf>
    <xf numFmtId="0" fontId="27" fillId="26" borderId="0" xfId="1" applyFont="1" applyFill="1" applyAlignment="1">
      <alignment vertical="center"/>
    </xf>
    <xf numFmtId="165" fontId="32" fillId="26" borderId="0" xfId="1" applyNumberFormat="1" applyFont="1" applyFill="1" applyAlignment="1">
      <alignment vertical="center"/>
    </xf>
    <xf numFmtId="0" fontId="32" fillId="26" borderId="0" xfId="1" applyFont="1" applyFill="1" applyAlignment="1">
      <alignment vertical="center"/>
    </xf>
    <xf numFmtId="2" fontId="32" fillId="2" borderId="0" xfId="1" applyNumberFormat="1" applyFont="1" applyFill="1" applyAlignment="1">
      <alignment horizontal="right" vertical="center"/>
    </xf>
    <xf numFmtId="2" fontId="32" fillId="2" borderId="0" xfId="1" applyNumberFormat="1" applyFont="1" applyFill="1" applyAlignment="1">
      <alignment vertical="center"/>
    </xf>
    <xf numFmtId="0" fontId="34" fillId="25" borderId="0" xfId="1" applyFont="1" applyFill="1" applyAlignment="1">
      <alignment horizontal="left" vertical="center"/>
    </xf>
  </cellXfs>
  <cellStyles count="79">
    <cellStyle name="1" xfId="1"/>
    <cellStyle name="1 3" xfId="3"/>
    <cellStyle name="1_Indicators2007 2" xfId="69"/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Comma 2" xfId="8"/>
    <cellStyle name="Comma 2 2" xfId="73"/>
    <cellStyle name="Comma 3" xfId="5"/>
    <cellStyle name="Comma 3 2" xfId="37"/>
    <cellStyle name="Comma 3 3" xfId="74"/>
    <cellStyle name="Comma 4" xfId="68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2" xfId="44"/>
    <cellStyle name="Linked Cell 2" xfId="45"/>
    <cellStyle name="Neutral 2" xfId="46"/>
    <cellStyle name="Normal" xfId="0" builtinId="0"/>
    <cellStyle name="Normal - Style1" xfId="47"/>
    <cellStyle name="Normal 10" xfId="48"/>
    <cellStyle name="Normal 11" xfId="49"/>
    <cellStyle name="Normal 12" xfId="50"/>
    <cellStyle name="Normal 13" xfId="9"/>
    <cellStyle name="Normal 14" xfId="64"/>
    <cellStyle name="Normal 15" xfId="65"/>
    <cellStyle name="Normal 17" xfId="66"/>
    <cellStyle name="Normal 2" xfId="6"/>
    <cellStyle name="Normal 2 2" xfId="51"/>
    <cellStyle name="Normal 2 2 2" xfId="67"/>
    <cellStyle name="Normal 2 2 3" xfId="70"/>
    <cellStyle name="Normal 2 2 4" xfId="72"/>
    <cellStyle name="Normal 2 2 5" xfId="77"/>
    <cellStyle name="Normal 2 3" xfId="78"/>
    <cellStyle name="Normal 3" xfId="52"/>
    <cellStyle name="Normal 3 2" xfId="76"/>
    <cellStyle name="Normal 3 3" xfId="75"/>
    <cellStyle name="Normal 4" xfId="53"/>
    <cellStyle name="Normal 5" xfId="4"/>
    <cellStyle name="Normal 5 2" xfId="2"/>
    <cellStyle name="Normal 6" xfId="54"/>
    <cellStyle name="Normal 7" xfId="55"/>
    <cellStyle name="Normal 8" xfId="56"/>
    <cellStyle name="Normal 9" xfId="7"/>
    <cellStyle name="Normal 9 2" xfId="57"/>
    <cellStyle name="Normal_17 Prices_done_14 - Money and Banking" xfId="71"/>
    <cellStyle name="Note 2" xfId="58"/>
    <cellStyle name="Output 2" xfId="59"/>
    <cellStyle name="Percent 2" xfId="60"/>
    <cellStyle name="Title 2" xfId="61"/>
    <cellStyle name="Total 2" xfId="62"/>
    <cellStyle name="Warning Text 2" xfId="63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 pitchFamily="49" charset="0"/>
                <a:ea typeface="Calibri"/>
                <a:cs typeface="Consolas" pitchFamily="49" charset="0"/>
              </a:defRPr>
            </a:pPr>
            <a:r>
              <a:rPr lang="en-US" sz="1400" b="1">
                <a:latin typeface="Consolas" pitchFamily="49" charset="0"/>
                <a:cs typeface="Consolas" pitchFamily="49" charset="0"/>
              </a:rPr>
              <a:t>Inflation Rates, CPI - Male' 2010 - 2020</a:t>
            </a:r>
          </a:p>
        </c:rich>
      </c:tx>
      <c:layout>
        <c:manualLayout>
          <c:xMode val="edge"/>
          <c:yMode val="edge"/>
          <c:x val="0.29964347161682964"/>
          <c:y val="5.21739219743105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74965474929895E-2"/>
          <c:y val="0.16819457736097521"/>
          <c:w val="0.90939289152604541"/>
          <c:h val="0.73244519543882813"/>
        </c:manualLayout>
      </c:layout>
      <c:lineChart>
        <c:grouping val="standard"/>
        <c:varyColors val="0"/>
        <c:ser>
          <c:idx val="0"/>
          <c:order val="0"/>
          <c:tx>
            <c:strRef>
              <c:f>Prices!$AN$9</c:f>
              <c:strCache>
                <c:ptCount val="1"/>
                <c:pt idx="0">
                  <c:v>over all</c:v>
                </c:pt>
              </c:strCache>
            </c:strRef>
          </c:tx>
          <c:spPr>
            <a:ln w="25400">
              <a:solidFill>
                <a:srgbClr val="33CCCC"/>
              </a:solidFill>
            </a:ln>
          </c:spPr>
          <c:marker>
            <c:symbol val="circle"/>
            <c:size val="7"/>
            <c:spPr>
              <a:solidFill>
                <a:srgbClr val="249390"/>
              </a:solidFill>
              <a:ln>
                <a:solidFill>
                  <a:srgbClr val="33CCCC"/>
                </a:solidFill>
              </a:ln>
            </c:spPr>
          </c:marker>
          <c:cat>
            <c:numRef>
              <c:f>Prices!$AY$8:$BI$8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Prices!$AY$9:$BI$9</c:f>
              <c:numCache>
                <c:formatCode>General</c:formatCode>
                <c:ptCount val="11"/>
                <c:pt idx="0">
                  <c:v>6.2</c:v>
                </c:pt>
                <c:pt idx="1">
                  <c:v>11.3</c:v>
                </c:pt>
                <c:pt idx="2">
                  <c:v>10.9</c:v>
                </c:pt>
                <c:pt idx="3">
                  <c:v>3.8</c:v>
                </c:pt>
                <c:pt idx="4">
                  <c:v>2.1</c:v>
                </c:pt>
                <c:pt idx="5" formatCode="0.0">
                  <c:v>0.95</c:v>
                </c:pt>
                <c:pt idx="6" formatCode="0.0">
                  <c:v>0.50250941361158485</c:v>
                </c:pt>
                <c:pt idx="7" formatCode="0.0">
                  <c:v>2.8174733823451481</c:v>
                </c:pt>
                <c:pt idx="8" formatCode="0.0">
                  <c:v>-0.13337338611760785</c:v>
                </c:pt>
                <c:pt idx="9" formatCode="0.0">
                  <c:v>0.22002973106536317</c:v>
                </c:pt>
                <c:pt idx="10" formatCode="0.0">
                  <c:v>-1.3697742556980863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426-4448-ACD8-79CEA529F8A9}"/>
            </c:ext>
          </c:extLst>
        </c:ser>
        <c:ser>
          <c:idx val="1"/>
          <c:order val="1"/>
          <c:tx>
            <c:strRef>
              <c:f>Prices!$AN$10</c:f>
              <c:strCache>
                <c:ptCount val="1"/>
                <c:pt idx="0">
                  <c:v>Food and non-alchoholic beverages</c:v>
                </c:pt>
              </c:strCache>
            </c:strRef>
          </c:tx>
          <c:spPr>
            <a:ln w="28575">
              <a:solidFill>
                <a:srgbClr val="249390"/>
              </a:solidFill>
            </a:ln>
          </c:spPr>
          <c:marker>
            <c:symbol val="square"/>
            <c:size val="7"/>
            <c:spPr>
              <a:solidFill>
                <a:srgbClr val="C8F4F2"/>
              </a:solidFill>
              <a:ln>
                <a:solidFill>
                  <a:srgbClr val="249390"/>
                </a:solidFill>
              </a:ln>
            </c:spPr>
          </c:marker>
          <c:cat>
            <c:numRef>
              <c:f>Prices!$AY$8:$BI$8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Prices!$AY$10:$BI$10</c:f>
              <c:numCache>
                <c:formatCode>0.00</c:formatCode>
                <c:ptCount val="11"/>
                <c:pt idx="0">
                  <c:v>7.5</c:v>
                </c:pt>
                <c:pt idx="1">
                  <c:v>19.899999999999999</c:v>
                </c:pt>
                <c:pt idx="2">
                  <c:v>17.625899280575524</c:v>
                </c:pt>
                <c:pt idx="3" formatCode="General">
                  <c:v>7.2</c:v>
                </c:pt>
                <c:pt idx="4" formatCode="General">
                  <c:v>0.7</c:v>
                </c:pt>
                <c:pt idx="5" formatCode="0.0">
                  <c:v>0.48</c:v>
                </c:pt>
                <c:pt idx="6" formatCode="0.0">
                  <c:v>0.57688102083264248</c:v>
                </c:pt>
                <c:pt idx="7" formatCode="0.0">
                  <c:v>5.5990541326304877</c:v>
                </c:pt>
                <c:pt idx="8" formatCode="0.0">
                  <c:v>-1.0835349968147301</c:v>
                </c:pt>
                <c:pt idx="9" formatCode="0.0">
                  <c:v>-0.79052536778502214</c:v>
                </c:pt>
                <c:pt idx="10" formatCode="0.0">
                  <c:v>2.7261932547770762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426-4448-ACD8-79CEA529F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168976"/>
        <c:axId val="562169368"/>
      </c:lineChart>
      <c:catAx>
        <c:axId val="5621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22225">
            <a:solidFill>
              <a:schemeClr val="bg2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2169368"/>
        <c:crosses val="autoZero"/>
        <c:auto val="1"/>
        <c:lblAlgn val="ctr"/>
        <c:lblOffset val="100"/>
        <c:noMultiLvlLbl val="0"/>
      </c:catAx>
      <c:valAx>
        <c:axId val="562169368"/>
        <c:scaling>
          <c:orientation val="minMax"/>
        </c:scaling>
        <c:delete val="0"/>
        <c:axPos val="l"/>
        <c:majorGridlines>
          <c:spPr>
            <a:ln>
              <a:solidFill>
                <a:srgbClr val="C8F4F2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In percent</a:t>
                </a:r>
              </a:p>
            </c:rich>
          </c:tx>
          <c:layout>
            <c:manualLayout>
              <c:xMode val="edge"/>
              <c:yMode val="edge"/>
              <c:x val="1.792693341310829E-2"/>
              <c:y val="7.0413681410187612E-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2168976"/>
        <c:crosses val="autoZero"/>
        <c:crossBetween val="between"/>
      </c:valAx>
      <c:spPr>
        <a:solidFill>
          <a:srgbClr val="EAFAFA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098037421045487"/>
          <c:y val="0.31446844611304453"/>
          <c:w val="0.45022617964397016"/>
          <c:h val="9.6670863857579073E-2"/>
        </c:manualLayout>
      </c:layout>
      <c:overlay val="0"/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1583530</xdr:colOff>
      <xdr:row>11</xdr:row>
      <xdr:rowOff>64559</xdr:rowOff>
    </xdr:from>
    <xdr:to>
      <xdr:col>8</xdr:col>
      <xdr:colOff>559592</xdr:colOff>
      <xdr:row>32</xdr:row>
      <xdr:rowOff>142875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I11"/>
  <sheetViews>
    <sheetView tabSelected="1" zoomScale="118" zoomScaleNormal="118" zoomScaleSheetLayoutView="84" workbookViewId="0">
      <selection activeCell="T29" sqref="T29"/>
    </sheetView>
  </sheetViews>
  <sheetFormatPr defaultColWidth="9.140625" defaultRowHeight="15" x14ac:dyDescent="0.25"/>
  <cols>
    <col min="1" max="1" width="56" style="11" customWidth="1"/>
    <col min="2" max="12" width="11.7109375" style="6" customWidth="1"/>
    <col min="13" max="16384" width="9.140625" style="6"/>
  </cols>
  <sheetData>
    <row r="1" spans="1:61" ht="30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61" ht="14.25" customHeight="1" x14ac:dyDescent="0.35">
      <c r="A2" s="9"/>
      <c r="B2" s="1"/>
      <c r="C2" s="1"/>
    </row>
    <row r="3" spans="1:61" s="5" customFormat="1" ht="26.25" customHeight="1" x14ac:dyDescent="0.25">
      <c r="A3" s="18" t="s">
        <v>1</v>
      </c>
      <c r="B3" s="19">
        <v>2010</v>
      </c>
      <c r="C3" s="19">
        <v>2011</v>
      </c>
      <c r="D3" s="19">
        <v>2012</v>
      </c>
      <c r="E3" s="19">
        <v>2013</v>
      </c>
      <c r="F3" s="19">
        <v>2014</v>
      </c>
      <c r="G3" s="19">
        <v>2015</v>
      </c>
      <c r="H3" s="19">
        <v>2016</v>
      </c>
      <c r="I3" s="19">
        <v>2017</v>
      </c>
      <c r="J3" s="19">
        <v>2018</v>
      </c>
      <c r="K3" s="19">
        <v>2019</v>
      </c>
      <c r="L3" s="19">
        <v>2020</v>
      </c>
    </row>
    <row r="4" spans="1:61" s="5" customFormat="1" ht="26.25" customHeight="1" x14ac:dyDescent="0.25">
      <c r="A4" s="8" t="s">
        <v>2</v>
      </c>
      <c r="B4" s="21">
        <v>80.599999999999994</v>
      </c>
      <c r="C4" s="21">
        <v>89.7</v>
      </c>
      <c r="D4" s="21">
        <v>99.4</v>
      </c>
      <c r="E4" s="21">
        <v>103.2</v>
      </c>
      <c r="F4" s="20">
        <v>105.38050013404563</v>
      </c>
      <c r="G4" s="20">
        <v>106.38</v>
      </c>
      <c r="H4" s="20">
        <v>106.91958868829052</v>
      </c>
      <c r="I4" s="20">
        <v>109.93201964009602</v>
      </c>
      <c r="J4" s="20">
        <v>109.78539958307455</v>
      </c>
      <c r="K4" s="20">
        <v>99.704026856120265</v>
      </c>
      <c r="L4" s="20">
        <v>98.338306764350818</v>
      </c>
    </row>
    <row r="5" spans="1:61" s="4" customFormat="1" ht="26.25" customHeight="1" x14ac:dyDescent="0.2">
      <c r="A5" s="22" t="s">
        <v>3</v>
      </c>
      <c r="B5" s="23">
        <v>6.2</v>
      </c>
      <c r="C5" s="23">
        <v>11.3</v>
      </c>
      <c r="D5" s="23">
        <v>10.9</v>
      </c>
      <c r="E5" s="24">
        <v>3.8</v>
      </c>
      <c r="F5" s="23">
        <v>2.1200017571813001</v>
      </c>
      <c r="G5" s="23">
        <v>0.95</v>
      </c>
      <c r="H5" s="23">
        <v>0.50250941361158485</v>
      </c>
      <c r="I5" s="23">
        <v>2.8174733823451481</v>
      </c>
      <c r="J5" s="23">
        <v>-0.13337338611760785</v>
      </c>
      <c r="K5" s="23">
        <v>0.22002973106536317</v>
      </c>
      <c r="L5" s="23">
        <v>-1.3697742556980863</v>
      </c>
    </row>
    <row r="6" spans="1:61" s="5" customFormat="1" ht="26.25" customHeight="1" x14ac:dyDescent="0.25">
      <c r="A6" s="8" t="s">
        <v>4</v>
      </c>
      <c r="B6" s="21">
        <v>69.599999999999994</v>
      </c>
      <c r="C6" s="21">
        <v>83.4</v>
      </c>
      <c r="D6" s="21">
        <v>98.1</v>
      </c>
      <c r="E6" s="21">
        <v>105.2</v>
      </c>
      <c r="F6" s="20">
        <v>105.91516633353841</v>
      </c>
      <c r="G6" s="20">
        <v>106.42761479980396</v>
      </c>
      <c r="H6" s="20">
        <v>107.04157551050889</v>
      </c>
      <c r="I6" s="20">
        <v>113.03489126776282</v>
      </c>
      <c r="J6" s="20">
        <v>111.81011866226531</v>
      </c>
      <c r="K6" s="20">
        <v>99.755867509454859</v>
      </c>
      <c r="L6" s="20">
        <v>102.47540524074198</v>
      </c>
    </row>
    <row r="7" spans="1:61" s="4" customFormat="1" ht="26.25" customHeight="1" x14ac:dyDescent="0.25">
      <c r="A7" s="22" t="s">
        <v>5</v>
      </c>
      <c r="B7" s="23">
        <v>7.5</v>
      </c>
      <c r="C7" s="23">
        <v>19.899999999999999</v>
      </c>
      <c r="D7" s="23">
        <f>((D6-C6)/C6)*100</f>
        <v>17.625899280575524</v>
      </c>
      <c r="E7" s="23">
        <f>((E6-D6)/D6)*100</f>
        <v>7.2375127420999066</v>
      </c>
      <c r="F7" s="23">
        <v>0.7</v>
      </c>
      <c r="G7" s="23">
        <v>0.48</v>
      </c>
      <c r="H7" s="23">
        <v>0.57688102083264248</v>
      </c>
      <c r="I7" s="23">
        <v>5.5990541326304877</v>
      </c>
      <c r="J7" s="23">
        <v>-1.0835349968147301</v>
      </c>
      <c r="K7" s="23">
        <v>-0.79052536778502214</v>
      </c>
      <c r="L7" s="23">
        <v>2.7261932547770762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spans="1:61" ht="27" customHeight="1" x14ac:dyDescent="0.25">
      <c r="A8" s="8" t="s">
        <v>10</v>
      </c>
      <c r="B8" s="25">
        <v>12.8</v>
      </c>
      <c r="C8" s="26">
        <v>15.41</v>
      </c>
      <c r="D8" s="26">
        <v>15.37</v>
      </c>
      <c r="E8" s="26">
        <v>15.41</v>
      </c>
      <c r="F8" s="26">
        <v>15.4</v>
      </c>
      <c r="G8" s="26">
        <v>15.41</v>
      </c>
      <c r="H8" s="26">
        <v>15.35</v>
      </c>
      <c r="I8" s="26">
        <v>15.41</v>
      </c>
      <c r="J8" s="26">
        <v>15.41</v>
      </c>
      <c r="K8" s="26">
        <v>15.38</v>
      </c>
      <c r="L8" s="26">
        <v>15.41</v>
      </c>
      <c r="AO8" s="6">
        <v>2000</v>
      </c>
      <c r="AP8" s="6">
        <v>2001</v>
      </c>
      <c r="AQ8" s="6">
        <v>2002</v>
      </c>
      <c r="AR8" s="6">
        <v>2003</v>
      </c>
      <c r="AS8" s="6">
        <v>2004</v>
      </c>
      <c r="AT8" s="6">
        <v>2005</v>
      </c>
      <c r="AU8" s="6">
        <v>2006</v>
      </c>
      <c r="AV8" s="6">
        <v>2007</v>
      </c>
      <c r="AW8" s="6">
        <v>2008</v>
      </c>
      <c r="AX8" s="6">
        <v>2009</v>
      </c>
      <c r="AY8" s="6">
        <v>2010</v>
      </c>
      <c r="AZ8" s="6">
        <v>2011</v>
      </c>
      <c r="BA8" s="6">
        <v>2012</v>
      </c>
      <c r="BB8" s="6">
        <v>2013</v>
      </c>
      <c r="BC8" s="6">
        <v>2014</v>
      </c>
      <c r="BD8" s="6">
        <v>2015</v>
      </c>
      <c r="BE8" s="6">
        <v>2016</v>
      </c>
      <c r="BF8" s="6">
        <v>2017</v>
      </c>
      <c r="BG8" s="6">
        <v>2018</v>
      </c>
      <c r="BH8" s="6">
        <v>2019</v>
      </c>
      <c r="BI8" s="6">
        <v>2020</v>
      </c>
    </row>
    <row r="9" spans="1:61" ht="27" customHeight="1" x14ac:dyDescent="0.25">
      <c r="A9" s="22" t="s">
        <v>6</v>
      </c>
      <c r="B9" s="23">
        <v>8.1999999999999993</v>
      </c>
      <c r="C9" s="23">
        <v>15.65</v>
      </c>
      <c r="D9" s="23">
        <v>16.23</v>
      </c>
      <c r="E9" s="23">
        <v>16.079999999999998</v>
      </c>
      <c r="F9" s="23">
        <v>12</v>
      </c>
      <c r="G9" s="23">
        <v>11</v>
      </c>
      <c r="H9" s="23">
        <v>9.25</v>
      </c>
      <c r="I9" s="23">
        <v>9.61</v>
      </c>
      <c r="J9" s="23">
        <v>11.99</v>
      </c>
      <c r="K9" s="23">
        <v>11.19</v>
      </c>
      <c r="L9" s="23">
        <v>8.7100000000000009</v>
      </c>
      <c r="AN9" s="2" t="s">
        <v>8</v>
      </c>
      <c r="AO9" s="12"/>
      <c r="AP9" s="12">
        <v>0.7</v>
      </c>
      <c r="AQ9" s="12">
        <v>4.2</v>
      </c>
      <c r="AR9" s="12">
        <v>-1.3</v>
      </c>
      <c r="AS9" s="12">
        <v>-1.7</v>
      </c>
      <c r="AT9" s="12">
        <v>1.3</v>
      </c>
      <c r="AU9" s="12">
        <v>2.7</v>
      </c>
      <c r="AV9" s="12">
        <v>6.8</v>
      </c>
      <c r="AW9" s="12">
        <v>12</v>
      </c>
      <c r="AX9" s="12">
        <v>4.5</v>
      </c>
      <c r="AY9" s="4">
        <v>6.2</v>
      </c>
      <c r="AZ9" s="4">
        <v>11.3</v>
      </c>
      <c r="BA9" s="6">
        <v>10.9</v>
      </c>
      <c r="BB9" s="3">
        <v>3.8</v>
      </c>
      <c r="BC9" s="6">
        <v>2.1</v>
      </c>
      <c r="BD9" s="13">
        <v>0.95</v>
      </c>
      <c r="BE9" s="7">
        <f>H5</f>
        <v>0.50250941361158485</v>
      </c>
      <c r="BF9" s="7">
        <f>I5</f>
        <v>2.8174733823451481</v>
      </c>
      <c r="BG9" s="7">
        <f>J5</f>
        <v>-0.13337338611760785</v>
      </c>
      <c r="BH9" s="7">
        <f>K5</f>
        <v>0.22002973106536317</v>
      </c>
      <c r="BI9" s="7">
        <f>L5</f>
        <v>-1.3697742556980863</v>
      </c>
    </row>
    <row r="10" spans="1:61" ht="18.75" customHeight="1" x14ac:dyDescent="0.25">
      <c r="A10" s="10" t="s">
        <v>7</v>
      </c>
      <c r="AN10" s="2" t="s">
        <v>9</v>
      </c>
      <c r="AO10" s="14"/>
      <c r="AP10" s="15">
        <v>1.9390581717451405</v>
      </c>
      <c r="AQ10" s="15">
        <v>3.5326086956521854</v>
      </c>
      <c r="AR10" s="15">
        <v>-6.0367454068241582</v>
      </c>
      <c r="AS10" s="15">
        <v>15.921787709497215</v>
      </c>
      <c r="AT10" s="15">
        <v>7.9518072289156558</v>
      </c>
      <c r="AU10" s="15">
        <v>4</v>
      </c>
      <c r="AV10" s="15">
        <v>16.2</v>
      </c>
      <c r="AW10" s="15">
        <v>19.100000000000001</v>
      </c>
      <c r="AX10" s="15">
        <v>0.5</v>
      </c>
      <c r="AY10" s="16">
        <v>7.5</v>
      </c>
      <c r="AZ10" s="16">
        <v>19.899999999999999</v>
      </c>
      <c r="BA10" s="17">
        <v>17.625899280575524</v>
      </c>
      <c r="BB10" s="3">
        <v>7.2</v>
      </c>
      <c r="BC10" s="6">
        <v>0.7</v>
      </c>
      <c r="BD10" s="13">
        <v>0.48</v>
      </c>
      <c r="BE10" s="7">
        <f>H7</f>
        <v>0.57688102083264248</v>
      </c>
      <c r="BF10" s="7">
        <f>I7</f>
        <v>5.5990541326304877</v>
      </c>
      <c r="BG10" s="7">
        <f>J7</f>
        <v>-1.0835349968147301</v>
      </c>
      <c r="BH10" s="7">
        <f>K7</f>
        <v>-0.79052536778502214</v>
      </c>
      <c r="BI10" s="7">
        <f>L7</f>
        <v>2.7261932547770762</v>
      </c>
    </row>
    <row r="11" spans="1:61" x14ac:dyDescent="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</row>
  </sheetData>
  <mergeCells count="1">
    <mergeCell ref="A1:L1"/>
  </mergeCells>
  <pageMargins left="0.7" right="0.7" top="0.75" bottom="0.75" header="0.3" footer="0.3"/>
  <pageSetup scale="48" orientation="portrait" horizontalDpi="0" verticalDpi="0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Prices</vt:lpstr>
      <vt:lpstr>Prices!Print_Area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2021-12-13T23:16:19Z</cp:lastPrinted>
  <dcterms:created xsi:type="dcterms:W3CDTF">2019-05-14T08:05:18Z</dcterms:created>
  <dcterms:modified xsi:type="dcterms:W3CDTF">2021-12-14T00:08:46Z</dcterms:modified>
</cp:coreProperties>
</file>