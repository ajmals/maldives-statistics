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Foerign trade &amp; BOP" sheetId="13" r:id="rId1"/>
  </sheets>
  <externalReferences>
    <externalReference r:id="rId2"/>
  </externalReferences>
  <definedNames>
    <definedName name="_xlnm.Print_Area" localSheetId="0">'Foerign trade &amp; BOP'!$A$1:$L$56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3" l="1"/>
  <c r="J33" i="13" l="1"/>
  <c r="K33" i="13"/>
  <c r="L33" i="13"/>
  <c r="L15" i="13" l="1"/>
  <c r="L10" i="13"/>
  <c r="L8" i="13"/>
  <c r="L11" i="13" s="1"/>
  <c r="L6" i="13"/>
  <c r="BK44" i="13" l="1"/>
  <c r="BK43" i="13"/>
  <c r="K16" i="13" l="1"/>
  <c r="J16" i="13"/>
  <c r="K15" i="13"/>
  <c r="J15" i="13"/>
  <c r="I15" i="13"/>
  <c r="J12" i="13"/>
  <c r="J10" i="13"/>
  <c r="J8" i="13"/>
  <c r="J11" i="13" s="1"/>
  <c r="K5" i="13"/>
  <c r="K12" i="13" l="1"/>
  <c r="L12" i="13"/>
  <c r="K6" i="13"/>
  <c r="K8" i="13"/>
  <c r="K11" i="13" s="1"/>
  <c r="K10" i="13"/>
  <c r="E32" i="13" l="1"/>
  <c r="D32" i="13"/>
  <c r="F32" i="13"/>
  <c r="G32" i="13"/>
  <c r="H32" i="13"/>
  <c r="I32" i="13"/>
  <c r="H33" i="13"/>
  <c r="I33" i="13"/>
  <c r="BJ44" i="13" l="1"/>
  <c r="BJ43" i="13"/>
  <c r="BI43" i="13"/>
  <c r="G33" i="13"/>
  <c r="BG44" i="13"/>
  <c r="BH43" i="13"/>
  <c r="BH44" i="13"/>
  <c r="BI44" i="13"/>
  <c r="BG43" i="13"/>
  <c r="BF44" i="13"/>
  <c r="BE44" i="13"/>
  <c r="BD44" i="13"/>
  <c r="BC44" i="13"/>
  <c r="BB44" i="13"/>
  <c r="BF43" i="13"/>
  <c r="BE43" i="13"/>
  <c r="BD43" i="13"/>
  <c r="BC43" i="13"/>
  <c r="BB43" i="13"/>
  <c r="F33" i="13"/>
  <c r="E33" i="13"/>
  <c r="D33" i="13"/>
  <c r="C33" i="13"/>
  <c r="C32" i="13"/>
  <c r="H16" i="13"/>
  <c r="G16" i="13"/>
  <c r="F16" i="13"/>
  <c r="E16" i="13"/>
  <c r="D16" i="13"/>
  <c r="C16" i="13"/>
  <c r="H12" i="13"/>
  <c r="G12" i="13"/>
  <c r="F12" i="13"/>
  <c r="E12" i="13"/>
  <c r="D12" i="13"/>
  <c r="C12" i="13"/>
</calcChain>
</file>

<file path=xl/sharedStrings.xml><?xml version="1.0" encoding="utf-8"?>
<sst xmlns="http://schemas.openxmlformats.org/spreadsheetml/2006/main" count="33" uniqueCount="31">
  <si>
    <t xml:space="preserve">FOREIGN TRADE </t>
  </si>
  <si>
    <t>EXPORTS</t>
  </si>
  <si>
    <t>Total exports (f.o.b value '000 in MVR )</t>
  </si>
  <si>
    <t>Total exports (f.o.b value in '000 US$)</t>
  </si>
  <si>
    <t xml:space="preserve">  Marine Products</t>
  </si>
  <si>
    <t xml:space="preserve">  Other Products</t>
  </si>
  <si>
    <t>Total (in %)</t>
  </si>
  <si>
    <t xml:space="preserve">  Marine products</t>
  </si>
  <si>
    <t xml:space="preserve">  Other products</t>
  </si>
  <si>
    <t>% Change in exports</t>
  </si>
  <si>
    <t>IMPORTS</t>
  </si>
  <si>
    <t>Total Imports (c.i.f value in '000 MVR)</t>
  </si>
  <si>
    <t>Total Imports (c.i.f value in '000 US$)</t>
  </si>
  <si>
    <t>% Change in imports</t>
  </si>
  <si>
    <t>EXCHANGE RATE</t>
  </si>
  <si>
    <t>Average Exchange Rate (MVR per US$)</t>
  </si>
  <si>
    <t xml:space="preserve">BALANCE OF PAYMENTS </t>
  </si>
  <si>
    <t>(In million US$)</t>
  </si>
  <si>
    <t>Balance on goods</t>
  </si>
  <si>
    <t>Current Account Balance</t>
  </si>
  <si>
    <t>Balance on services</t>
  </si>
  <si>
    <t>Exports</t>
  </si>
  <si>
    <t>Imports</t>
  </si>
  <si>
    <t>Financial Account as a percentage of GDP</t>
  </si>
  <si>
    <t>Note:   1_/:   Positive sign indicates net landing  and negative sign indicates net borrowing.</t>
  </si>
  <si>
    <t xml:space="preserve">             BOP Series has been compiled in accordance with BPM6 methodologies from 2011 onwards based on information available as of 16 April 2017</t>
  </si>
  <si>
    <t>Rev Est</t>
  </si>
  <si>
    <t>Note:   2_/:   Revised from 2015 - 2018</t>
  </si>
  <si>
    <r>
      <t>Financial Account</t>
    </r>
    <r>
      <rPr>
        <vertAlign val="superscript"/>
        <sz val="12"/>
        <rFont val="Calibri"/>
        <family val="2"/>
        <scheme val="minor"/>
      </rPr>
      <t>1_/</t>
    </r>
  </si>
  <si>
    <r>
      <t xml:space="preserve">Current Account as a percentage of GDP </t>
    </r>
    <r>
      <rPr>
        <i/>
        <vertAlign val="superscript"/>
        <sz val="12"/>
        <rFont val="Calibri"/>
        <family val="2"/>
        <scheme val="minor"/>
      </rPr>
      <t>2_/</t>
    </r>
  </si>
  <si>
    <r>
      <t xml:space="preserve">GDP (  in millions of USD at  2014 current prices) </t>
    </r>
    <r>
      <rPr>
        <i/>
        <vertAlign val="superscript"/>
        <sz val="12"/>
        <rFont val="Calibri"/>
        <family val="2"/>
        <scheme val="minor"/>
      </rPr>
      <t>2_/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</si>
</sst>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#,##0.0"/>
    <numFmt numFmtId="169" formatCode="General_)"/>
    <numFmt numFmtId="171" formatCode="0.00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Calibri"/>
      <family val="2"/>
    </font>
    <font>
      <i/>
      <sz val="10"/>
      <name val="Calibri"/>
      <family val="2"/>
      <scheme val="minor"/>
    </font>
    <font>
      <sz val="9"/>
      <name val="Arial"/>
      <family val="2"/>
    </font>
    <font>
      <vertAlign val="superscript"/>
      <sz val="12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1"/>
      <name val="Calibri"/>
      <family val="2"/>
      <scheme val="minor"/>
    </font>
    <font>
      <sz val="10"/>
      <name val="Candara"/>
      <family val="2"/>
    </font>
    <font>
      <sz val="12"/>
      <name val="Candara"/>
      <family val="2"/>
    </font>
    <font>
      <b/>
      <sz val="14"/>
      <name val="Candara"/>
      <family val="2"/>
    </font>
    <font>
      <b/>
      <sz val="12"/>
      <name val="Candara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charset val="1"/>
      <scheme val="minor"/>
    </font>
    <font>
      <i/>
      <sz val="12"/>
      <name val="Calibri"/>
      <family val="2"/>
      <scheme val="minor"/>
    </font>
    <font>
      <i/>
      <vertAlign val="superscript"/>
      <sz val="12"/>
      <name val="Calibri"/>
      <family val="2"/>
      <scheme val="minor"/>
    </font>
    <font>
      <b/>
      <sz val="22"/>
      <color theme="0"/>
      <name val="Candar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249390"/>
        <bgColor indexed="64"/>
      </patternFill>
    </fill>
    <fill>
      <patternFill patternType="solid">
        <fgColor rgb="FFE0F9F8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8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3" fillId="0" borderId="0"/>
    <xf numFmtId="43" fontId="9" fillId="0" borderId="0" applyFont="0" applyFill="0" applyBorder="0" applyAlignment="0" applyProtection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4" fillId="4" borderId="0" applyNumberFormat="0" applyBorder="0" applyAlignment="0" applyProtection="0"/>
    <xf numFmtId="0" fontId="15" fillId="21" borderId="2" applyNumberFormat="0" applyAlignment="0" applyProtection="0"/>
    <xf numFmtId="0" fontId="16" fillId="22" borderId="3" applyNumberFormat="0" applyAlignment="0" applyProtection="0"/>
    <xf numFmtId="40" fontId="10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2" fillId="8" borderId="2" applyNumberFormat="0" applyAlignment="0" applyProtection="0"/>
    <xf numFmtId="0" fontId="23" fillId="0" borderId="7" applyNumberFormat="0" applyFill="0" applyAlignment="0" applyProtection="0"/>
    <xf numFmtId="0" fontId="24" fillId="23" borderId="0" applyNumberFormat="0" applyBorder="0" applyAlignment="0" applyProtection="0"/>
    <xf numFmtId="171" fontId="11" fillId="0" borderId="0"/>
    <xf numFmtId="0" fontId="9" fillId="0" borderId="0"/>
    <xf numFmtId="0" fontId="9" fillId="0" borderId="0"/>
    <xf numFmtId="0" fontId="9" fillId="0" borderId="0"/>
    <xf numFmtId="0" fontId="2" fillId="0" borderId="0"/>
    <xf numFmtId="169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2" fillId="24" borderId="8" applyNumberFormat="0" applyFont="0" applyAlignment="0" applyProtection="0"/>
    <xf numFmtId="0" fontId="25" fillId="21" borderId="9" applyNumberFormat="0" applyAlignment="0" applyProtection="0"/>
    <xf numFmtId="9" fontId="10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7" fillId="0" borderId="0" applyNumberFormat="0" applyFill="0" applyBorder="0" applyAlignment="0" applyProtection="0"/>
    <xf numFmtId="169" fontId="3" fillId="0" borderId="0"/>
    <xf numFmtId="169" fontId="3" fillId="0" borderId="0"/>
    <xf numFmtId="0" fontId="1" fillId="0" borderId="0"/>
    <xf numFmtId="0" fontId="3" fillId="0" borderId="0"/>
    <xf numFmtId="0" fontId="2" fillId="0" borderId="0"/>
    <xf numFmtId="165" fontId="3" fillId="0" borderId="0" applyFont="0" applyFill="0" applyBorder="0" applyAlignment="0" applyProtection="0"/>
    <xf numFmtId="169" fontId="3" fillId="0" borderId="0"/>
    <xf numFmtId="169" fontId="3" fillId="0" borderId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9" fillId="0" borderId="0"/>
    <xf numFmtId="0" fontId="1" fillId="0" borderId="0"/>
  </cellStyleXfs>
  <cellXfs count="88">
    <xf numFmtId="0" fontId="0" fillId="0" borderId="0" xfId="0"/>
    <xf numFmtId="0" fontId="2" fillId="2" borderId="0" xfId="2" applyFont="1" applyFill="1"/>
    <xf numFmtId="0" fontId="6" fillId="2" borderId="0" xfId="2" applyFont="1" applyFill="1"/>
    <xf numFmtId="0" fontId="2" fillId="2" borderId="0" xfId="69" applyFont="1" applyFill="1"/>
    <xf numFmtId="0" fontId="4" fillId="2" borderId="0" xfId="69" applyFont="1" applyFill="1" applyAlignment="1">
      <alignment horizontal="right" vertical="center"/>
    </xf>
    <xf numFmtId="2" fontId="2" fillId="2" borderId="0" xfId="69" applyNumberFormat="1" applyFont="1" applyFill="1"/>
    <xf numFmtId="0" fontId="31" fillId="2" borderId="0" xfId="2" applyFont="1" applyFill="1"/>
    <xf numFmtId="166" fontId="2" fillId="2" borderId="0" xfId="1" applyNumberFormat="1" applyFont="1" applyFill="1"/>
    <xf numFmtId="3" fontId="2" fillId="2" borderId="0" xfId="69" applyNumberFormat="1" applyFont="1" applyFill="1"/>
    <xf numFmtId="0" fontId="1" fillId="2" borderId="0" xfId="2" applyFont="1" applyFill="1"/>
    <xf numFmtId="0" fontId="1" fillId="2" borderId="0" xfId="2" applyFont="1" applyFill="1" applyAlignment="1">
      <alignment vertical="center"/>
    </xf>
    <xf numFmtId="165" fontId="1" fillId="2" borderId="0" xfId="2" applyNumberFormat="1" applyFont="1" applyFill="1"/>
    <xf numFmtId="0" fontId="28" fillId="2" borderId="0" xfId="2" applyFont="1" applyFill="1" applyBorder="1" applyAlignment="1" applyProtection="1">
      <alignment horizontal="left"/>
    </xf>
    <xf numFmtId="0" fontId="5" fillId="2" borderId="0" xfId="69" applyFont="1" applyFill="1"/>
    <xf numFmtId="0" fontId="2" fillId="2" borderId="0" xfId="69" applyFont="1" applyFill="1" applyAlignment="1"/>
    <xf numFmtId="0" fontId="4" fillId="2" borderId="0" xfId="2" applyFont="1" applyFill="1" applyAlignment="1">
      <alignment horizontal="right" vertical="center"/>
    </xf>
    <xf numFmtId="0" fontId="29" fillId="2" borderId="0" xfId="2" applyFont="1" applyFill="1"/>
    <xf numFmtId="165" fontId="2" fillId="2" borderId="0" xfId="69" applyNumberFormat="1" applyFont="1" applyFill="1"/>
    <xf numFmtId="1" fontId="2" fillId="2" borderId="0" xfId="69" applyNumberFormat="1" applyFont="1" applyFill="1" applyAlignment="1"/>
    <xf numFmtId="1" fontId="2" fillId="2" borderId="0" xfId="69" applyNumberFormat="1" applyFont="1" applyFill="1"/>
    <xf numFmtId="166" fontId="9" fillId="2" borderId="0" xfId="9" applyNumberFormat="1" applyFill="1"/>
    <xf numFmtId="0" fontId="35" fillId="2" borderId="0" xfId="2" applyFont="1" applyFill="1"/>
    <xf numFmtId="0" fontId="33" fillId="2" borderId="0" xfId="2" applyFont="1" applyFill="1" applyBorder="1"/>
    <xf numFmtId="0" fontId="37" fillId="2" borderId="0" xfId="2" applyFont="1" applyFill="1"/>
    <xf numFmtId="0" fontId="35" fillId="2" borderId="0" xfId="69" applyFont="1" applyFill="1"/>
    <xf numFmtId="0" fontId="39" fillId="2" borderId="0" xfId="69" applyFont="1" applyFill="1"/>
    <xf numFmtId="0" fontId="36" fillId="26" borderId="0" xfId="69" applyFont="1" applyFill="1" applyAlignment="1">
      <alignment vertical="center"/>
    </xf>
    <xf numFmtId="3" fontId="39" fillId="2" borderId="0" xfId="69" applyNumberFormat="1" applyFont="1" applyFill="1" applyAlignment="1">
      <alignment vertical="center"/>
    </xf>
    <xf numFmtId="3" fontId="39" fillId="26" borderId="0" xfId="1" applyNumberFormat="1" applyFont="1" applyFill="1" applyAlignment="1">
      <alignment vertical="center"/>
    </xf>
    <xf numFmtId="166" fontId="35" fillId="2" borderId="0" xfId="1" applyNumberFormat="1" applyFont="1" applyFill="1"/>
    <xf numFmtId="3" fontId="39" fillId="2" borderId="0" xfId="1" applyNumberFormat="1" applyFont="1" applyFill="1" applyAlignment="1">
      <alignment vertical="center"/>
    </xf>
    <xf numFmtId="3" fontId="39" fillId="26" borderId="0" xfId="69" applyNumberFormat="1" applyFont="1" applyFill="1" applyAlignment="1">
      <alignment vertical="center"/>
    </xf>
    <xf numFmtId="0" fontId="35" fillId="26" borderId="0" xfId="69" applyFont="1" applyFill="1"/>
    <xf numFmtId="4" fontId="39" fillId="2" borderId="0" xfId="69" applyNumberFormat="1" applyFont="1" applyFill="1" applyAlignment="1">
      <alignment vertical="center"/>
    </xf>
    <xf numFmtId="0" fontId="39" fillId="26" borderId="0" xfId="69" applyFont="1" applyFill="1" applyAlignment="1">
      <alignment vertical="center"/>
    </xf>
    <xf numFmtId="0" fontId="40" fillId="2" borderId="0" xfId="2" applyFont="1" applyFill="1"/>
    <xf numFmtId="0" fontId="36" fillId="26" borderId="0" xfId="2" applyFont="1" applyFill="1" applyAlignment="1">
      <alignment horizontal="right" vertical="center"/>
    </xf>
    <xf numFmtId="0" fontId="41" fillId="26" borderId="0" xfId="2" applyFont="1" applyFill="1" applyAlignment="1">
      <alignment horizontal="right" vertical="center" wrapText="1"/>
    </xf>
    <xf numFmtId="0" fontId="41" fillId="26" borderId="0" xfId="2" applyFont="1" applyFill="1" applyAlignment="1">
      <alignment horizontal="right" vertical="center"/>
    </xf>
    <xf numFmtId="0" fontId="37" fillId="26" borderId="0" xfId="2" applyFont="1" applyFill="1" applyAlignment="1">
      <alignment vertical="center"/>
    </xf>
    <xf numFmtId="168" fontId="38" fillId="2" borderId="1" xfId="1" applyNumberFormat="1" applyFont="1" applyFill="1" applyBorder="1" applyAlignment="1">
      <alignment vertical="center"/>
    </xf>
    <xf numFmtId="168" fontId="40" fillId="26" borderId="0" xfId="1" applyNumberFormat="1" applyFont="1" applyFill="1"/>
    <xf numFmtId="168" fontId="40" fillId="26" borderId="0" xfId="1" applyNumberFormat="1" applyFont="1" applyFill="1" applyAlignment="1">
      <alignment vertical="center"/>
    </xf>
    <xf numFmtId="168" fontId="40" fillId="2" borderId="0" xfId="1" applyNumberFormat="1" applyFont="1" applyFill="1"/>
    <xf numFmtId="168" fontId="40" fillId="2" borderId="0" xfId="1" applyNumberFormat="1" applyFont="1" applyFill="1" applyAlignment="1">
      <alignment vertical="center"/>
    </xf>
    <xf numFmtId="168" fontId="33" fillId="26" borderId="0" xfId="71" applyNumberFormat="1" applyFont="1" applyFill="1" applyBorder="1" applyAlignment="1">
      <alignment horizontal="right"/>
    </xf>
    <xf numFmtId="168" fontId="37" fillId="26" borderId="0" xfId="1" applyNumberFormat="1" applyFont="1" applyFill="1" applyBorder="1" applyAlignment="1">
      <alignment vertical="center"/>
    </xf>
    <xf numFmtId="168" fontId="37" fillId="2" borderId="1" xfId="6" applyNumberFormat="1" applyFont="1" applyFill="1" applyBorder="1" applyAlignment="1">
      <alignment vertical="center"/>
    </xf>
    <xf numFmtId="168" fontId="37" fillId="2" borderId="12" xfId="6" applyNumberFormat="1" applyFont="1" applyFill="1" applyBorder="1" applyAlignment="1">
      <alignment vertical="center"/>
    </xf>
    <xf numFmtId="168" fontId="39" fillId="26" borderId="0" xfId="1" applyNumberFormat="1" applyFont="1" applyFill="1"/>
    <xf numFmtId="168" fontId="39" fillId="2" borderId="0" xfId="1" applyNumberFormat="1" applyFont="1" applyFill="1"/>
    <xf numFmtId="165" fontId="37" fillId="2" borderId="0" xfId="2" applyNumberFormat="1" applyFont="1" applyFill="1"/>
    <xf numFmtId="3" fontId="33" fillId="26" borderId="0" xfId="71" applyNumberFormat="1" applyFont="1" applyFill="1" applyBorder="1" applyAlignment="1">
      <alignment horizontal="right"/>
    </xf>
    <xf numFmtId="3" fontId="37" fillId="26" borderId="0" xfId="71" applyNumberFormat="1" applyFont="1" applyFill="1" applyBorder="1" applyAlignment="1">
      <alignment horizontal="right" vertical="center"/>
    </xf>
    <xf numFmtId="3" fontId="33" fillId="2" borderId="0" xfId="71" applyNumberFormat="1" applyFont="1" applyFill="1" applyBorder="1" applyAlignment="1">
      <alignment horizontal="right"/>
    </xf>
    <xf numFmtId="3" fontId="38" fillId="2" borderId="11" xfId="1" applyNumberFormat="1" applyFont="1" applyFill="1" applyBorder="1" applyAlignment="1">
      <alignment vertical="center"/>
    </xf>
    <xf numFmtId="168" fontId="38" fillId="2" borderId="11" xfId="1" applyNumberFormat="1" applyFont="1" applyFill="1" applyBorder="1" applyAlignment="1">
      <alignment vertical="center"/>
    </xf>
    <xf numFmtId="1" fontId="35" fillId="2" borderId="0" xfId="69" applyNumberFormat="1" applyFont="1" applyFill="1"/>
    <xf numFmtId="169" fontId="35" fillId="2" borderId="0" xfId="72" applyFont="1" applyFill="1" applyBorder="1" applyAlignment="1">
      <alignment vertical="center"/>
    </xf>
    <xf numFmtId="3" fontId="35" fillId="2" borderId="0" xfId="69" applyNumberFormat="1" applyFont="1" applyFill="1"/>
    <xf numFmtId="0" fontId="36" fillId="2" borderId="0" xfId="2" applyFont="1" applyFill="1" applyAlignment="1">
      <alignment horizontal="right" vertical="center"/>
    </xf>
    <xf numFmtId="0" fontId="41" fillId="2" borderId="0" xfId="2" applyFont="1" applyFill="1" applyAlignment="1">
      <alignment horizontal="right" vertical="center" wrapText="1"/>
    </xf>
    <xf numFmtId="165" fontId="35" fillId="2" borderId="0" xfId="69" applyNumberFormat="1" applyFont="1" applyFill="1"/>
    <xf numFmtId="168" fontId="35" fillId="2" borderId="0" xfId="69" applyNumberFormat="1" applyFont="1" applyFill="1"/>
    <xf numFmtId="167" fontId="42" fillId="2" borderId="0" xfId="9" applyNumberFormat="1" applyFont="1" applyFill="1"/>
    <xf numFmtId="166" fontId="35" fillId="2" borderId="0" xfId="9" applyNumberFormat="1" applyFont="1" applyFill="1" applyAlignment="1"/>
    <xf numFmtId="2" fontId="35" fillId="2" borderId="0" xfId="69" applyNumberFormat="1" applyFont="1" applyFill="1"/>
    <xf numFmtId="166" fontId="42" fillId="2" borderId="0" xfId="9" applyNumberFormat="1" applyFont="1" applyFill="1"/>
    <xf numFmtId="0" fontId="35" fillId="2" borderId="0" xfId="69" applyFont="1" applyFill="1" applyAlignment="1"/>
    <xf numFmtId="0" fontId="33" fillId="26" borderId="0" xfId="2" applyFont="1" applyFill="1"/>
    <xf numFmtId="0" fontId="34" fillId="2" borderId="0" xfId="2" applyFont="1" applyFill="1"/>
    <xf numFmtId="166" fontId="33" fillId="26" borderId="0" xfId="1" applyNumberFormat="1" applyFont="1" applyFill="1"/>
    <xf numFmtId="166" fontId="33" fillId="2" borderId="0" xfId="1" applyNumberFormat="1" applyFont="1" applyFill="1"/>
    <xf numFmtId="166" fontId="33" fillId="26" borderId="0" xfId="1" applyNumberFormat="1" applyFont="1" applyFill="1" applyAlignment="1">
      <alignment horizontal="left" indent="2"/>
    </xf>
    <xf numFmtId="166" fontId="33" fillId="2" borderId="0" xfId="1" applyNumberFormat="1" applyFont="1" applyFill="1" applyAlignment="1">
      <alignment horizontal="left" indent="2"/>
    </xf>
    <xf numFmtId="0" fontId="33" fillId="2" borderId="0" xfId="2" applyFont="1" applyFill="1" applyAlignment="1">
      <alignment horizontal="left" indent="2"/>
    </xf>
    <xf numFmtId="0" fontId="33" fillId="26" borderId="0" xfId="2" applyFont="1" applyFill="1" applyAlignment="1">
      <alignment horizontal="left" indent="2"/>
    </xf>
    <xf numFmtId="0" fontId="33" fillId="2" borderId="0" xfId="2" applyFont="1" applyFill="1"/>
    <xf numFmtId="0" fontId="34" fillId="26" borderId="0" xfId="2" applyFont="1" applyFill="1"/>
    <xf numFmtId="0" fontId="34" fillId="26" borderId="0" xfId="2" applyFont="1" applyFill="1" applyBorder="1"/>
    <xf numFmtId="0" fontId="33" fillId="26" borderId="0" xfId="69" applyFont="1" applyFill="1"/>
    <xf numFmtId="0" fontId="30" fillId="2" borderId="0" xfId="69" applyFont="1" applyFill="1"/>
    <xf numFmtId="0" fontId="32" fillId="2" borderId="0" xfId="2" applyFont="1" applyFill="1"/>
    <xf numFmtId="169" fontId="43" fillId="26" borderId="0" xfId="2" applyNumberFormat="1" applyFont="1" applyFill="1" applyAlignment="1" applyProtection="1">
      <alignment horizontal="left"/>
    </xf>
    <xf numFmtId="169" fontId="43" fillId="2" borderId="0" xfId="2" applyNumberFormat="1" applyFont="1" applyFill="1" applyAlignment="1" applyProtection="1">
      <alignment horizontal="left"/>
    </xf>
    <xf numFmtId="0" fontId="43" fillId="26" borderId="0" xfId="2" applyFont="1" applyFill="1" applyBorder="1" applyAlignment="1" applyProtection="1">
      <alignment horizontal="left"/>
    </xf>
    <xf numFmtId="0" fontId="45" fillId="25" borderId="0" xfId="2" applyFont="1" applyFill="1" applyAlignment="1">
      <alignment horizontal="left" vertical="center"/>
    </xf>
    <xf numFmtId="0" fontId="34" fillId="26" borderId="0" xfId="2" applyFont="1" applyFill="1" applyAlignment="1">
      <alignment horizontal="left" vertical="center"/>
    </xf>
  </cellXfs>
  <cellStyles count="82">
    <cellStyle name="1" xfId="2"/>
    <cellStyle name="1 3" xfId="4"/>
    <cellStyle name="1_Indicators2007 2" xfId="73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Comma" xfId="1" builtinId="3"/>
    <cellStyle name="Comma 2" xfId="9"/>
    <cellStyle name="Comma 2 2" xfId="76"/>
    <cellStyle name="Comma 3" xfId="6"/>
    <cellStyle name="Comma 3 2" xfId="38"/>
    <cellStyle name="Comma 3 3" xfId="77"/>
    <cellStyle name="Comma 4" xfId="70"/>
    <cellStyle name="Explanatory Text 2" xfId="39"/>
    <cellStyle name="Good 2" xfId="40"/>
    <cellStyle name="Heading 1 2" xfId="41"/>
    <cellStyle name="Heading 2 2" xfId="42"/>
    <cellStyle name="Heading 3 2" xfId="43"/>
    <cellStyle name="Heading 4 2" xfId="44"/>
    <cellStyle name="Input 2" xfId="45"/>
    <cellStyle name="Linked Cell 2" xfId="46"/>
    <cellStyle name="Neutral 2" xfId="47"/>
    <cellStyle name="Normal" xfId="0" builtinId="0"/>
    <cellStyle name="Normal - Style1" xfId="48"/>
    <cellStyle name="Normal 10" xfId="49"/>
    <cellStyle name="Normal 11" xfId="50"/>
    <cellStyle name="Normal 12" xfId="51"/>
    <cellStyle name="Normal 13" xfId="10"/>
    <cellStyle name="Normal 14" xfId="65"/>
    <cellStyle name="Normal 15" xfId="66"/>
    <cellStyle name="Normal 17" xfId="67"/>
    <cellStyle name="Normal 2" xfId="7"/>
    <cellStyle name="Normal 2 2" xfId="52"/>
    <cellStyle name="Normal 2 2 2" xfId="68"/>
    <cellStyle name="Normal 2 2 3" xfId="74"/>
    <cellStyle name="Normal 2 2 4" xfId="75"/>
    <cellStyle name="Normal 2 2 5" xfId="80"/>
    <cellStyle name="Normal 2 3" xfId="81"/>
    <cellStyle name="Normal 3" xfId="53"/>
    <cellStyle name="Normal 3 2" xfId="79"/>
    <cellStyle name="Normal 3 3" xfId="78"/>
    <cellStyle name="Normal 4" xfId="54"/>
    <cellStyle name="Normal 5" xfId="5"/>
    <cellStyle name="Normal 5 2" xfId="3"/>
    <cellStyle name="Normal 6" xfId="55"/>
    <cellStyle name="Normal 7" xfId="56"/>
    <cellStyle name="Normal 8" xfId="57"/>
    <cellStyle name="Normal 9" xfId="8"/>
    <cellStyle name="Normal 9 2" xfId="58"/>
    <cellStyle name="Normal_Indicators" xfId="69"/>
    <cellStyle name="Normal_XII-1 (Commerce)" xfId="71"/>
    <cellStyle name="Normal_XII-13(Commerce)" xfId="72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200"/>
              <a:t>Balance on Goods and Services, 2010 - 2020</a:t>
            </a:r>
          </a:p>
        </c:rich>
      </c:tx>
      <c:layout>
        <c:manualLayout>
          <c:xMode val="edge"/>
          <c:yMode val="edge"/>
          <c:x val="0.37454999291961272"/>
          <c:y val="4.806184272399368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4041893185382318E-2"/>
          <c:y val="0.14085450242012282"/>
          <c:w val="0.91411857501896454"/>
          <c:h val="0.82400085167323167"/>
        </c:manualLayout>
      </c:layout>
      <c:lineChart>
        <c:grouping val="standard"/>
        <c:varyColors val="0"/>
        <c:ser>
          <c:idx val="2"/>
          <c:order val="0"/>
          <c:tx>
            <c:strRef>
              <c:f>'Foerign trade &amp; BOP'!$AV$43</c:f>
              <c:strCache>
                <c:ptCount val="1"/>
                <c:pt idx="0">
                  <c:v>Balance on goods</c:v>
                </c:pt>
              </c:strCache>
            </c:strRef>
          </c:tx>
          <c:spPr>
            <a:ln w="25400">
              <a:solidFill>
                <a:srgbClr val="33CCCC"/>
              </a:solidFill>
            </a:ln>
          </c:spPr>
          <c:marker>
            <c:spPr>
              <a:solidFill>
                <a:srgbClr val="C8F4F2"/>
              </a:solidFill>
              <a:ln>
                <a:solidFill>
                  <a:srgbClr val="249390"/>
                </a:solidFill>
              </a:ln>
            </c:spPr>
          </c:marker>
          <c:cat>
            <c:numRef>
              <c:f>'Foerign trade &amp; BOP'!$BA$42:$BK$42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'Foerign trade &amp; BOP'!$BA$43:$BK$43</c:f>
              <c:numCache>
                <c:formatCode>0</c:formatCode>
                <c:ptCount val="11"/>
                <c:pt idx="0">
                  <c:v>-1044.3</c:v>
                </c:pt>
                <c:pt idx="1">
                  <c:v>-1370.4497932458348</c:v>
                </c:pt>
                <c:pt idx="2">
                  <c:v>-1261.3818460941536</c:v>
                </c:pt>
                <c:pt idx="3">
                  <c:v>-1372.0279990268523</c:v>
                </c:pt>
                <c:pt idx="4">
                  <c:v>-1659.9839496319867</c:v>
                </c:pt>
                <c:pt idx="5">
                  <c:v>-1654.7584348513501</c:v>
                </c:pt>
                <c:pt idx="6">
                  <c:v>-1839.4548719095881</c:v>
                </c:pt>
                <c:pt idx="7">
                  <c:v>-1908.1295867368151</c:v>
                </c:pt>
                <c:pt idx="8">
                  <c:v>-2424.9375968742447</c:v>
                </c:pt>
                <c:pt idx="9">
                  <c:v>-2392.3893471110855</c:v>
                </c:pt>
                <c:pt idx="10">
                  <c:v>-1450.6795210327987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846-4DDF-BCFC-D42A30425492}"/>
            </c:ext>
          </c:extLst>
        </c:ser>
        <c:ser>
          <c:idx val="0"/>
          <c:order val="1"/>
          <c:tx>
            <c:strRef>
              <c:f>'Foerign trade &amp; BOP'!$AV$44</c:f>
              <c:strCache>
                <c:ptCount val="1"/>
                <c:pt idx="0">
                  <c:v>Balance on services</c:v>
                </c:pt>
              </c:strCache>
            </c:strRef>
          </c:tx>
          <c:spPr>
            <a:ln w="25400">
              <a:solidFill>
                <a:srgbClr val="249390"/>
              </a:solidFill>
            </a:ln>
          </c:spPr>
          <c:marker>
            <c:spPr>
              <a:solidFill>
                <a:srgbClr val="33CCCC"/>
              </a:solidFill>
              <a:ln>
                <a:solidFill>
                  <a:srgbClr val="33CCCC"/>
                </a:solidFill>
              </a:ln>
            </c:spPr>
          </c:marker>
          <c:cat>
            <c:numRef>
              <c:f>'Foerign trade &amp; BOP'!$BA$42:$BK$42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'Foerign trade &amp; BOP'!$BA$44:$BK$44</c:f>
              <c:numCache>
                <c:formatCode>#,##0.0</c:formatCode>
                <c:ptCount val="11"/>
                <c:pt idx="0" formatCode="0">
                  <c:v>1358.5</c:v>
                </c:pt>
                <c:pt idx="1">
                  <c:v>2679.4074919898917</c:v>
                </c:pt>
                <c:pt idx="2">
                  <c:v>2742.1730668283817</c:v>
                </c:pt>
                <c:pt idx="3">
                  <c:v>3273.4959116042182</c:v>
                </c:pt>
                <c:pt idx="4">
                  <c:v>3791.6288966259008</c:v>
                </c:pt>
                <c:pt idx="5">
                  <c:v>3779.961068800013</c:v>
                </c:pt>
                <c:pt idx="6">
                  <c:v>3994.7189518079313</c:v>
                </c:pt>
                <c:pt idx="7">
                  <c:v>4275.6426610765466</c:v>
                </c:pt>
                <c:pt idx="8">
                  <c:v>4582.75135951839</c:v>
                </c:pt>
                <c:pt idx="9">
                  <c:v>4718.8163633556105</c:v>
                </c:pt>
                <c:pt idx="10">
                  <c:v>2242.4372064286263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846-4DDF-BCFC-D42A30425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183992"/>
        <c:axId val="387184776"/>
      </c:lineChart>
      <c:catAx>
        <c:axId val="38718399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0"/>
        <c:majorTickMark val="none"/>
        <c:minorTickMark val="out"/>
        <c:tickLblPos val="nextTo"/>
        <c:spPr>
          <a:ln w="25400">
            <a:solidFill>
              <a:schemeClr val="bg1">
                <a:lumMod val="50000"/>
              </a:schemeClr>
            </a:solidFill>
          </a:ln>
        </c:spPr>
        <c:crossAx val="387184776"/>
        <c:crosses val="autoZero"/>
        <c:auto val="1"/>
        <c:lblAlgn val="ctr"/>
        <c:lblOffset val="100"/>
        <c:noMultiLvlLbl val="0"/>
      </c:catAx>
      <c:valAx>
        <c:axId val="387184776"/>
        <c:scaling>
          <c:orientation val="minMax"/>
          <c:max val="7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387183992"/>
        <c:crosses val="autoZero"/>
        <c:crossBetween val="between"/>
        <c:majorUnit val="1000"/>
      </c:valAx>
      <c:spPr>
        <a:solidFill>
          <a:srgbClr val="EAFAFA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567903989447009"/>
          <c:y val="0.24396588057032942"/>
          <c:w val="0.38879653078317761"/>
          <c:h val="6.6982641324526873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74</xdr:row>
      <xdr:rowOff>0</xdr:rowOff>
    </xdr:from>
    <xdr:to>
      <xdr:col>1</xdr:col>
      <xdr:colOff>26266</xdr:colOff>
      <xdr:row>74</xdr:row>
      <xdr:rowOff>28575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1504950" y="13230225"/>
          <a:ext cx="1635991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190500</xdr:colOff>
      <xdr:row>38</xdr:row>
      <xdr:rowOff>47625</xdr:rowOff>
    </xdr:from>
    <xdr:to>
      <xdr:col>3</xdr:col>
      <xdr:colOff>57977</xdr:colOff>
      <xdr:row>38</xdr:row>
      <xdr:rowOff>48768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190500" y="7448550"/>
          <a:ext cx="4855163" cy="1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             Total Imports and Exports, 1995 - 2006</a:t>
          </a:r>
        </a:p>
      </xdr:txBody>
    </xdr:sp>
    <xdr:clientData/>
  </xdr:twoCellAnchor>
  <xdr:twoCellAnchor editAs="oneCell">
    <xdr:from>
      <xdr:col>0</xdr:col>
      <xdr:colOff>1504950</xdr:colOff>
      <xdr:row>74</xdr:row>
      <xdr:rowOff>0</xdr:rowOff>
    </xdr:from>
    <xdr:to>
      <xdr:col>1</xdr:col>
      <xdr:colOff>26266</xdr:colOff>
      <xdr:row>74</xdr:row>
      <xdr:rowOff>28575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1504950" y="13230225"/>
          <a:ext cx="1635991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1917951</xdr:colOff>
      <xdr:row>38</xdr:row>
      <xdr:rowOff>120966</xdr:rowOff>
    </xdr:from>
    <xdr:to>
      <xdr:col>9</xdr:col>
      <xdr:colOff>620024</xdr:colOff>
      <xdr:row>54</xdr:row>
      <xdr:rowOff>26957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L101"/>
  <sheetViews>
    <sheetView tabSelected="1" zoomScale="106" zoomScaleNormal="106" workbookViewId="0">
      <selection activeCell="BG53" sqref="BG53"/>
    </sheetView>
  </sheetViews>
  <sheetFormatPr defaultColWidth="8.85546875" defaultRowHeight="15" x14ac:dyDescent="0.2"/>
  <cols>
    <col min="1" max="1" width="46.140625" style="3" customWidth="1"/>
    <col min="2" max="12" width="13.140625" style="24" customWidth="1"/>
    <col min="13" max="13" width="15" style="24" customWidth="1"/>
    <col min="14" max="15" width="15" style="3" customWidth="1"/>
    <col min="16" max="18" width="12.28515625" style="3" customWidth="1"/>
    <col min="19" max="19" width="14.5703125" style="3" customWidth="1"/>
    <col min="20" max="20" width="10.28515625" style="3" bestFit="1" customWidth="1"/>
    <col min="21" max="16384" width="8.85546875" style="3"/>
  </cols>
  <sheetData>
    <row r="1" spans="1:13" ht="30" customHeight="1" x14ac:dyDescent="0.2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3" ht="15" customHeight="1" x14ac:dyDescent="0.3">
      <c r="A2" s="6"/>
      <c r="B2" s="25"/>
      <c r="C2" s="25"/>
    </row>
    <row r="3" spans="1:13" ht="18.75" customHeight="1" x14ac:dyDescent="0.25">
      <c r="A3" s="69"/>
      <c r="B3" s="26">
        <v>2010</v>
      </c>
      <c r="C3" s="26">
        <v>2011</v>
      </c>
      <c r="D3" s="26">
        <v>2012</v>
      </c>
      <c r="E3" s="26">
        <v>2013</v>
      </c>
      <c r="F3" s="26">
        <v>2014</v>
      </c>
      <c r="G3" s="26">
        <v>2015</v>
      </c>
      <c r="H3" s="26">
        <v>2016</v>
      </c>
      <c r="I3" s="26">
        <v>2017</v>
      </c>
      <c r="J3" s="26">
        <v>2018</v>
      </c>
      <c r="K3" s="26">
        <v>2019</v>
      </c>
      <c r="L3" s="26">
        <v>2020</v>
      </c>
    </row>
    <row r="4" spans="1:13" ht="18.75" customHeight="1" x14ac:dyDescent="0.25">
      <c r="A4" s="70" t="s">
        <v>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3" s="7" customFormat="1" ht="18.75" customHeight="1" x14ac:dyDescent="0.25">
      <c r="A5" s="71" t="s">
        <v>2</v>
      </c>
      <c r="B5" s="28">
        <v>949797.71057000011</v>
      </c>
      <c r="C5" s="28">
        <v>1770329.6</v>
      </c>
      <c r="D5" s="28">
        <v>2483060.3319799998</v>
      </c>
      <c r="E5" s="28">
        <v>2558635</v>
      </c>
      <c r="F5" s="28">
        <v>2227693.0179500002</v>
      </c>
      <c r="G5" s="28">
        <v>2215411.7713000001</v>
      </c>
      <c r="H5" s="28">
        <v>2145317.25288</v>
      </c>
      <c r="I5" s="28">
        <v>3067317.6454699999</v>
      </c>
      <c r="J5" s="28">
        <v>2796690.3097899999</v>
      </c>
      <c r="K5" s="28">
        <f>2431140552.34/1000</f>
        <v>2431140.5523399999</v>
      </c>
      <c r="L5" s="28">
        <v>2504298.1249300004</v>
      </c>
      <c r="M5" s="29"/>
    </row>
    <row r="6" spans="1:13" s="7" customFormat="1" ht="18.75" customHeight="1" x14ac:dyDescent="0.25">
      <c r="A6" s="72" t="s">
        <v>3</v>
      </c>
      <c r="B6" s="30">
        <v>74202.946138281259</v>
      </c>
      <c r="C6" s="30">
        <v>114881.86891628813</v>
      </c>
      <c r="D6" s="30">
        <v>161552.39635523746</v>
      </c>
      <c r="E6" s="30">
        <v>166037.31343283583</v>
      </c>
      <c r="F6" s="30">
        <v>144655.39077597403</v>
      </c>
      <c r="G6" s="30">
        <v>143857.90722727272</v>
      </c>
      <c r="H6" s="30">
        <v>139760.0816208469</v>
      </c>
      <c r="I6" s="30">
        <v>187603.52571681954</v>
      </c>
      <c r="J6" s="30">
        <v>181637.47132836701</v>
      </c>
      <c r="K6" s="30">
        <f>K5/K18</f>
        <v>158018.04562325831</v>
      </c>
      <c r="L6" s="30">
        <f>L5/L18</f>
        <v>162773.10457371129</v>
      </c>
      <c r="M6" s="29"/>
    </row>
    <row r="7" spans="1:13" s="7" customFormat="1" ht="18.75" customHeight="1" x14ac:dyDescent="0.25">
      <c r="A7" s="73" t="s">
        <v>4</v>
      </c>
      <c r="B7" s="28">
        <v>913242.30200000003</v>
      </c>
      <c r="C7" s="28">
        <v>1717120.87</v>
      </c>
      <c r="D7" s="28">
        <v>2438537</v>
      </c>
      <c r="E7" s="28">
        <v>2517185</v>
      </c>
      <c r="F7" s="28">
        <v>2177115.4294599998</v>
      </c>
      <c r="G7" s="28">
        <v>2158075</v>
      </c>
      <c r="H7" s="28">
        <v>2114278.1638700003</v>
      </c>
      <c r="I7" s="28">
        <v>2992796.3549100002</v>
      </c>
      <c r="J7" s="28">
        <v>2694726.70132</v>
      </c>
      <c r="K7" s="28">
        <v>2374715.8070300007</v>
      </c>
      <c r="L7" s="28">
        <v>2447687.0994800003</v>
      </c>
      <c r="M7" s="29"/>
    </row>
    <row r="8" spans="1:13" s="7" customFormat="1" ht="18.75" customHeight="1" x14ac:dyDescent="0.25">
      <c r="A8" s="74" t="s">
        <v>5</v>
      </c>
      <c r="B8" s="30">
        <v>36555.408570000087</v>
      </c>
      <c r="C8" s="30">
        <v>53208.729999999981</v>
      </c>
      <c r="D8" s="30">
        <v>44523.331979999784</v>
      </c>
      <c r="E8" s="30">
        <v>41450</v>
      </c>
      <c r="F8" s="30">
        <v>50577.58849000046</v>
      </c>
      <c r="G8" s="30">
        <v>57336.771300000139</v>
      </c>
      <c r="H8" s="30">
        <v>31039.089009999763</v>
      </c>
      <c r="I8" s="30">
        <v>74521.290559999601</v>
      </c>
      <c r="J8" s="30">
        <f>J5-J7</f>
        <v>101963.60846999986</v>
      </c>
      <c r="K8" s="30">
        <f>K5-K7</f>
        <v>56424.745309999213</v>
      </c>
      <c r="L8" s="30">
        <f>L5-L7</f>
        <v>56611.025450000074</v>
      </c>
      <c r="M8" s="29"/>
    </row>
    <row r="9" spans="1:13" ht="18.75" customHeight="1" x14ac:dyDescent="0.25">
      <c r="A9" s="69" t="s">
        <v>6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29"/>
    </row>
    <row r="10" spans="1:13" ht="18.75" customHeight="1" x14ac:dyDescent="0.25">
      <c r="A10" s="75" t="s">
        <v>7</v>
      </c>
      <c r="B10" s="27">
        <v>96.151242715876606</v>
      </c>
      <c r="C10" s="27">
        <v>96.994416745898619</v>
      </c>
      <c r="D10" s="27">
        <v>98.20691702869351</v>
      </c>
      <c r="E10" s="27">
        <v>98.379995583582655</v>
      </c>
      <c r="F10" s="27">
        <v>97.729597925635929</v>
      </c>
      <c r="G10" s="27">
        <v>97.423422407090271</v>
      </c>
      <c r="H10" s="27">
        <v>98.553170214413228</v>
      </c>
      <c r="I10" s="27">
        <v>98.553170214413228</v>
      </c>
      <c r="J10" s="27">
        <f>J7/J5*100</f>
        <v>96.354133022413336</v>
      </c>
      <c r="K10" s="27">
        <f>K7/K5*100</f>
        <v>97.679083372794324</v>
      </c>
      <c r="L10" s="27">
        <f>L7/L5*100</f>
        <v>97.739445440363355</v>
      </c>
      <c r="M10" s="29"/>
    </row>
    <row r="11" spans="1:13" ht="18.75" customHeight="1" x14ac:dyDescent="0.25">
      <c r="A11" s="76" t="s">
        <v>8</v>
      </c>
      <c r="B11" s="31">
        <v>3.8487572841233915</v>
      </c>
      <c r="C11" s="31">
        <v>3.0055832541013818</v>
      </c>
      <c r="D11" s="31">
        <v>1.7930829713064904</v>
      </c>
      <c r="E11" s="31">
        <v>1.6200044164173473</v>
      </c>
      <c r="F11" s="31">
        <v>2.264059538437357</v>
      </c>
      <c r="G11" s="31">
        <v>2.5765775929097137</v>
      </c>
      <c r="H11" s="31">
        <v>1.4468297855867847</v>
      </c>
      <c r="I11" s="31">
        <v>1.4468297855867847</v>
      </c>
      <c r="J11" s="31">
        <f>J8/J5*100</f>
        <v>3.645866977586667</v>
      </c>
      <c r="K11" s="31">
        <f>K8/K5*100</f>
        <v>2.320916627205686</v>
      </c>
      <c r="L11" s="31">
        <f>L8/L5*100</f>
        <v>2.2605545596366428</v>
      </c>
      <c r="M11" s="29"/>
    </row>
    <row r="12" spans="1:13" ht="18.75" customHeight="1" x14ac:dyDescent="0.25">
      <c r="A12" s="77" t="s">
        <v>9</v>
      </c>
      <c r="B12" s="27">
        <v>-3.2120302855158065</v>
      </c>
      <c r="C12" s="27">
        <f t="shared" ref="C12:H12" si="0">(C5-B5)/B5*100</f>
        <v>86.390173433622607</v>
      </c>
      <c r="D12" s="27">
        <f t="shared" si="0"/>
        <v>40.25977603153671</v>
      </c>
      <c r="E12" s="27">
        <f t="shared" si="0"/>
        <v>3.0436098167512808</v>
      </c>
      <c r="F12" s="27">
        <f t="shared" si="0"/>
        <v>-12.934317792494818</v>
      </c>
      <c r="G12" s="27">
        <f t="shared" si="0"/>
        <v>-0.55129887965002145</v>
      </c>
      <c r="H12" s="27">
        <f t="shared" si="0"/>
        <v>-3.1639498953672498</v>
      </c>
      <c r="I12" s="27">
        <v>42.977344789086665</v>
      </c>
      <c r="J12" s="27">
        <f>(J5-I5)/I5*100</f>
        <v>-8.8229315304099281</v>
      </c>
      <c r="K12" s="27">
        <f>(K5-J5)/J5*100</f>
        <v>-13.070798585398203</v>
      </c>
      <c r="L12" s="27">
        <f>(L5-K5)/K5*100</f>
        <v>3.0091872935764852</v>
      </c>
      <c r="M12" s="29"/>
    </row>
    <row r="13" spans="1:13" ht="18.75" customHeight="1" x14ac:dyDescent="0.25">
      <c r="A13" s="78" t="s">
        <v>10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29"/>
    </row>
    <row r="14" spans="1:13" s="7" customFormat="1" ht="18.75" customHeight="1" x14ac:dyDescent="0.25">
      <c r="A14" s="72" t="s">
        <v>11</v>
      </c>
      <c r="B14" s="30">
        <v>14017488.443949997</v>
      </c>
      <c r="C14" s="30">
        <v>20486217</v>
      </c>
      <c r="D14" s="30">
        <v>23884653.941069901</v>
      </c>
      <c r="E14" s="30">
        <v>26634885</v>
      </c>
      <c r="F14" s="30">
        <v>30649233.308269795</v>
      </c>
      <c r="G14" s="30">
        <v>29147779.394449871</v>
      </c>
      <c r="H14" s="30">
        <v>32705613.741919942</v>
      </c>
      <c r="I14" s="30">
        <v>36242805.391699404</v>
      </c>
      <c r="J14" s="30">
        <v>45557513.264470898</v>
      </c>
      <c r="K14" s="30">
        <v>44418763.244260497</v>
      </c>
      <c r="L14" s="30">
        <v>28255524.516999986</v>
      </c>
      <c r="M14" s="29"/>
    </row>
    <row r="15" spans="1:13" s="7" customFormat="1" ht="18.75" customHeight="1" x14ac:dyDescent="0.25">
      <c r="A15" s="71" t="s">
        <v>12</v>
      </c>
      <c r="B15" s="28">
        <v>1095116.2846835935</v>
      </c>
      <c r="C15" s="28">
        <v>1329410.5775470473</v>
      </c>
      <c r="D15" s="28">
        <v>1553978.7860162591</v>
      </c>
      <c r="E15" s="28">
        <v>1728415.6391953276</v>
      </c>
      <c r="F15" s="28">
        <v>1990209.9550824543</v>
      </c>
      <c r="G15" s="28">
        <v>1892712.94769155</v>
      </c>
      <c r="H15" s="28">
        <v>2130658.8756951103</v>
      </c>
      <c r="I15" s="28">
        <f>I14/I18</f>
        <v>2355481.0451767654</v>
      </c>
      <c r="J15" s="28">
        <f>J14/J18</f>
        <v>2958837.2657494526</v>
      </c>
      <c r="K15" s="28">
        <f>K14/K18</f>
        <v>2887108.3369097812</v>
      </c>
      <c r="L15" s="28">
        <f>L14/L18</f>
        <v>1836538.3103576212</v>
      </c>
      <c r="M15" s="29"/>
    </row>
    <row r="16" spans="1:13" ht="18.75" customHeight="1" x14ac:dyDescent="0.25">
      <c r="A16" s="22" t="s">
        <v>13</v>
      </c>
      <c r="B16" s="27">
        <v>13.331905332227064</v>
      </c>
      <c r="C16" s="27">
        <f t="shared" ref="C16:H16" si="1">(C14-B14)/B14*100</f>
        <v>46.147557616442555</v>
      </c>
      <c r="D16" s="27">
        <f t="shared" si="1"/>
        <v>16.588894577607476</v>
      </c>
      <c r="E16" s="27">
        <f t="shared" si="1"/>
        <v>11.514636409284746</v>
      </c>
      <c r="F16" s="27">
        <f t="shared" si="1"/>
        <v>15.071768878558309</v>
      </c>
      <c r="G16" s="27">
        <f t="shared" si="1"/>
        <v>-4.8988302536585833</v>
      </c>
      <c r="H16" s="27">
        <f t="shared" si="1"/>
        <v>12.206193478147192</v>
      </c>
      <c r="I16" s="27">
        <v>11.050951946980959</v>
      </c>
      <c r="J16" s="27">
        <f>(J14-I14)/I14*100</f>
        <v>25.700846753173302</v>
      </c>
      <c r="K16" s="27">
        <f>(K14-J14)/J14*100</f>
        <v>-2.4995877487862828</v>
      </c>
      <c r="L16" s="27">
        <f>(L14-K14)/K14*100</f>
        <v>-36.38831328638809</v>
      </c>
      <c r="M16" s="29"/>
    </row>
    <row r="17" spans="1:13" ht="18.75" customHeight="1" x14ac:dyDescent="0.25">
      <c r="A17" s="79" t="s">
        <v>14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29"/>
    </row>
    <row r="18" spans="1:13" ht="18.75" customHeight="1" x14ac:dyDescent="0.25">
      <c r="A18" s="77" t="s">
        <v>15</v>
      </c>
      <c r="B18" s="33">
        <v>12.8</v>
      </c>
      <c r="C18" s="33">
        <v>15.41</v>
      </c>
      <c r="D18" s="33">
        <v>15.37</v>
      </c>
      <c r="E18" s="33">
        <v>15.41</v>
      </c>
      <c r="F18" s="33">
        <v>15.4</v>
      </c>
      <c r="G18" s="33">
        <v>15.41</v>
      </c>
      <c r="H18" s="33">
        <v>15.35</v>
      </c>
      <c r="I18" s="33">
        <v>15.386583333333336</v>
      </c>
      <c r="J18" s="33">
        <v>15.3971</v>
      </c>
      <c r="K18" s="33">
        <v>15.385208333333329</v>
      </c>
      <c r="L18" s="33">
        <v>15.385208333333329</v>
      </c>
      <c r="M18" s="29"/>
    </row>
    <row r="19" spans="1:13" ht="18.75" customHeight="1" x14ac:dyDescent="0.25">
      <c r="A19" s="80"/>
      <c r="B19" s="34"/>
      <c r="C19" s="34"/>
      <c r="D19" s="34"/>
      <c r="E19" s="34"/>
      <c r="F19" s="34"/>
      <c r="G19" s="34"/>
      <c r="H19" s="34"/>
      <c r="I19" s="34"/>
      <c r="J19" s="34"/>
      <c r="K19" s="32"/>
      <c r="L19" s="32"/>
      <c r="M19" s="29"/>
    </row>
    <row r="20" spans="1:13" ht="15" customHeight="1" x14ac:dyDescent="0.25">
      <c r="A20" s="81"/>
      <c r="B20" s="25"/>
      <c r="C20" s="25"/>
      <c r="D20" s="25"/>
      <c r="E20" s="25"/>
      <c r="F20" s="25"/>
      <c r="M20" s="29"/>
    </row>
    <row r="21" spans="1:13" s="9" customFormat="1" ht="30" customHeight="1" x14ac:dyDescent="0.25">
      <c r="A21" s="86" t="s">
        <v>16</v>
      </c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29"/>
    </row>
    <row r="22" spans="1:13" s="9" customFormat="1" ht="15" customHeight="1" x14ac:dyDescent="0.25">
      <c r="A22" s="82"/>
      <c r="B22" s="35"/>
      <c r="C22" s="35"/>
      <c r="D22" s="35"/>
      <c r="E22" s="35"/>
      <c r="F22" s="35"/>
      <c r="G22" s="23"/>
      <c r="H22" s="23"/>
      <c r="I22" s="23"/>
      <c r="J22" s="23"/>
      <c r="K22" s="24"/>
      <c r="L22" s="23"/>
      <c r="M22" s="29"/>
    </row>
    <row r="23" spans="1:13" s="10" customFormat="1" ht="12" customHeight="1" x14ac:dyDescent="0.2">
      <c r="A23" s="87" t="s">
        <v>17</v>
      </c>
      <c r="B23" s="36"/>
      <c r="C23" s="37">
        <v>2011</v>
      </c>
      <c r="D23" s="37">
        <v>2012</v>
      </c>
      <c r="E23" s="37">
        <v>2013</v>
      </c>
      <c r="F23" s="37">
        <v>2014</v>
      </c>
      <c r="G23" s="37">
        <v>2015</v>
      </c>
      <c r="H23" s="37">
        <v>2016</v>
      </c>
      <c r="I23" s="37">
        <v>2017</v>
      </c>
      <c r="J23" s="26">
        <v>2018</v>
      </c>
      <c r="K23" s="26">
        <v>2019</v>
      </c>
      <c r="L23" s="26">
        <v>2020</v>
      </c>
      <c r="M23" s="29"/>
    </row>
    <row r="24" spans="1:13" s="10" customFormat="1" ht="15" customHeight="1" x14ac:dyDescent="0.2">
      <c r="A24" s="87"/>
      <c r="B24" s="36"/>
      <c r="C24" s="37"/>
      <c r="D24" s="37"/>
      <c r="E24" s="37"/>
      <c r="F24" s="37"/>
      <c r="G24" s="37"/>
      <c r="H24" s="37"/>
      <c r="I24" s="38"/>
      <c r="J24" s="38"/>
      <c r="K24" s="38" t="s">
        <v>26</v>
      </c>
      <c r="L24" s="39"/>
      <c r="M24" s="29"/>
    </row>
    <row r="25" spans="1:13" s="9" customFormat="1" ht="19.5" customHeight="1" x14ac:dyDescent="0.25">
      <c r="A25" s="77"/>
      <c r="B25" s="23"/>
      <c r="C25" s="40"/>
      <c r="D25" s="40"/>
      <c r="E25" s="40"/>
      <c r="F25" s="40"/>
      <c r="G25" s="40"/>
      <c r="H25" s="23"/>
      <c r="I25" s="23"/>
      <c r="J25" s="23"/>
      <c r="K25" s="23"/>
      <c r="L25" s="23"/>
      <c r="M25" s="29"/>
    </row>
    <row r="26" spans="1:13" s="9" customFormat="1" ht="19.5" customHeight="1" x14ac:dyDescent="0.25">
      <c r="A26" s="69" t="s">
        <v>18</v>
      </c>
      <c r="B26" s="41"/>
      <c r="C26" s="42">
        <v>-1370.4497932458348</v>
      </c>
      <c r="D26" s="42">
        <v>-1261.3818460941536</v>
      </c>
      <c r="E26" s="42">
        <v>-1372.0279990268523</v>
      </c>
      <c r="F26" s="42">
        <v>-1659.9839496319867</v>
      </c>
      <c r="G26" s="42">
        <v>-1654.7584348513501</v>
      </c>
      <c r="H26" s="42">
        <v>-1839.4548719095881</v>
      </c>
      <c r="I26" s="42">
        <v>-1908.1295867368151</v>
      </c>
      <c r="J26" s="42">
        <v>-2424.9375968742447</v>
      </c>
      <c r="K26" s="42">
        <v>-2392.3893471110855</v>
      </c>
      <c r="L26" s="42">
        <v>-1450.6795210327987</v>
      </c>
      <c r="M26" s="29"/>
    </row>
    <row r="27" spans="1:13" s="9" customFormat="1" ht="19.5" customHeight="1" x14ac:dyDescent="0.25">
      <c r="A27" s="77" t="s">
        <v>19</v>
      </c>
      <c r="B27" s="43"/>
      <c r="C27" s="44">
        <v>-383.43893319959636</v>
      </c>
      <c r="D27" s="44">
        <v>-184.49200425916638</v>
      </c>
      <c r="E27" s="44">
        <v>-127.39386882882224</v>
      </c>
      <c r="F27" s="44">
        <v>-117.82183397517781</v>
      </c>
      <c r="G27" s="44">
        <v>-301.69645723293632</v>
      </c>
      <c r="H27" s="44">
        <v>-1032.4010542370552</v>
      </c>
      <c r="I27" s="44">
        <v>-1026.6914699274976</v>
      </c>
      <c r="J27" s="44">
        <v>-1502.5276350482209</v>
      </c>
      <c r="K27" s="44">
        <v>-1489.6293501866098</v>
      </c>
      <c r="L27" s="44">
        <v>-1118.5254729936482</v>
      </c>
      <c r="M27" s="29"/>
    </row>
    <row r="28" spans="1:13" s="9" customFormat="1" ht="19.5" customHeight="1" x14ac:dyDescent="0.25">
      <c r="A28" s="69" t="s">
        <v>20</v>
      </c>
      <c r="B28" s="45"/>
      <c r="C28" s="46">
        <v>1517.3770387971886</v>
      </c>
      <c r="D28" s="46">
        <v>1600.8817311996886</v>
      </c>
      <c r="E28" s="46">
        <v>1880.361607822555</v>
      </c>
      <c r="F28" s="46">
        <v>2205.0323957415444</v>
      </c>
      <c r="G28" s="46">
        <v>2030.6397094299637</v>
      </c>
      <c r="H28" s="46">
        <v>1787.9990137608904</v>
      </c>
      <c r="I28" s="46">
        <v>1725.8235994517538</v>
      </c>
      <c r="J28" s="46">
        <v>1907.3969726542693</v>
      </c>
      <c r="K28" s="46">
        <v>2044.064390552548</v>
      </c>
      <c r="L28" s="46">
        <v>802.04705981549216</v>
      </c>
      <c r="M28" s="29"/>
    </row>
    <row r="29" spans="1:13" s="9" customFormat="1" ht="19.5" customHeight="1" x14ac:dyDescent="0.25">
      <c r="A29" s="75" t="s">
        <v>21</v>
      </c>
      <c r="B29" s="43"/>
      <c r="C29" s="47">
        <v>2098.3922653935401</v>
      </c>
      <c r="D29" s="47">
        <v>2171.5273990140345</v>
      </c>
      <c r="E29" s="47">
        <v>2576.9287597133889</v>
      </c>
      <c r="F29" s="47">
        <v>2998.330646183721</v>
      </c>
      <c r="G29" s="47">
        <v>2905.2675897799904</v>
      </c>
      <c r="H29" s="48">
        <v>2891.3586495738027</v>
      </c>
      <c r="I29" s="48">
        <v>3000.7331302641501</v>
      </c>
      <c r="J29" s="48">
        <v>3245.0741660863296</v>
      </c>
      <c r="K29" s="48">
        <v>3381.4403769540795</v>
      </c>
      <c r="L29" s="48">
        <v>1522.2421331220592</v>
      </c>
      <c r="M29" s="29"/>
    </row>
    <row r="30" spans="1:13" s="9" customFormat="1" ht="19.5" customHeight="1" x14ac:dyDescent="0.25">
      <c r="A30" s="76" t="s">
        <v>22</v>
      </c>
      <c r="B30" s="41"/>
      <c r="C30" s="42">
        <v>581.01522659635168</v>
      </c>
      <c r="D30" s="42">
        <v>570.64566781434723</v>
      </c>
      <c r="E30" s="42">
        <v>696.56715189082945</v>
      </c>
      <c r="F30" s="42">
        <v>793.29825044217978</v>
      </c>
      <c r="G30" s="42">
        <v>874.69347902002255</v>
      </c>
      <c r="H30" s="42">
        <v>1103.3603022341283</v>
      </c>
      <c r="I30" s="42">
        <v>1274.9095308123963</v>
      </c>
      <c r="J30" s="42">
        <v>1337.6771934320602</v>
      </c>
      <c r="K30" s="42">
        <v>1337.3759864015315</v>
      </c>
      <c r="L30" s="42">
        <v>720.195073306567</v>
      </c>
      <c r="M30" s="29"/>
    </row>
    <row r="31" spans="1:13" s="9" customFormat="1" ht="19.5" customHeight="1" x14ac:dyDescent="0.25">
      <c r="A31" s="77" t="s">
        <v>28</v>
      </c>
      <c r="B31" s="43"/>
      <c r="C31" s="44">
        <v>-416.44516451822949</v>
      </c>
      <c r="D31" s="44">
        <v>-187.69412038217746</v>
      </c>
      <c r="E31" s="44">
        <v>-67.400198894263639</v>
      </c>
      <c r="F31" s="44">
        <v>-543.88273890864502</v>
      </c>
      <c r="G31" s="44">
        <v>-491.03246343540076</v>
      </c>
      <c r="H31" s="44">
        <v>-673.23314578774364</v>
      </c>
      <c r="I31" s="44">
        <v>-910.31924198322554</v>
      </c>
      <c r="J31" s="44">
        <v>-1835.1228551446513</v>
      </c>
      <c r="K31" s="44">
        <v>-1969.7359245213629</v>
      </c>
      <c r="L31" s="44">
        <v>-1612.5622165755472</v>
      </c>
      <c r="M31" s="29"/>
    </row>
    <row r="32" spans="1:13" s="9" customFormat="1" ht="19.5" customHeight="1" x14ac:dyDescent="0.25">
      <c r="A32" s="83" t="s">
        <v>29</v>
      </c>
      <c r="B32" s="49"/>
      <c r="C32" s="42">
        <f t="shared" ref="C32:I32" si="2">C27/C34*100</f>
        <v>-13.790559655451947</v>
      </c>
      <c r="D32" s="42">
        <f t="shared" si="2"/>
        <v>-6.4152416064496443</v>
      </c>
      <c r="E32" s="42">
        <f>E27/E34*100</f>
        <v>-3.8796752020414398</v>
      </c>
      <c r="F32" s="42">
        <f t="shared" si="2"/>
        <v>-3.1948595497400034</v>
      </c>
      <c r="G32" s="42">
        <f t="shared" si="2"/>
        <v>-7.3672301726762353</v>
      </c>
      <c r="H32" s="42">
        <f t="shared" si="2"/>
        <v>-23.654603809616052</v>
      </c>
      <c r="I32" s="42">
        <f t="shared" si="2"/>
        <v>-21.641084139450939</v>
      </c>
      <c r="J32" s="42">
        <v>-28.404579692869213</v>
      </c>
      <c r="K32" s="42">
        <v>-26.466935306422389</v>
      </c>
      <c r="L32" s="42">
        <v>-29.76731690527415</v>
      </c>
      <c r="M32" s="29"/>
    </row>
    <row r="33" spans="1:64" s="9" customFormat="1" ht="19.5" customHeight="1" x14ac:dyDescent="0.25">
      <c r="A33" s="84" t="s">
        <v>23</v>
      </c>
      <c r="B33" s="50"/>
      <c r="C33" s="44">
        <f t="shared" ref="C33:L33" si="3">C31/C34*100</f>
        <v>-14.977644123382905</v>
      </c>
      <c r="D33" s="44">
        <f t="shared" si="3"/>
        <v>-6.5265870745825989</v>
      </c>
      <c r="E33" s="44">
        <f t="shared" si="3"/>
        <v>-2.0526174663405348</v>
      </c>
      <c r="F33" s="44">
        <f t="shared" si="3"/>
        <v>-14.747936810312334</v>
      </c>
      <c r="G33" s="44">
        <f t="shared" si="3"/>
        <v>-11.99069161621529</v>
      </c>
      <c r="H33" s="44">
        <f t="shared" si="3"/>
        <v>-15.425268377780949</v>
      </c>
      <c r="I33" s="44">
        <f t="shared" si="3"/>
        <v>-19.188135760893555</v>
      </c>
      <c r="J33" s="44">
        <f t="shared" si="3"/>
        <v>-34.684351430478294</v>
      </c>
      <c r="K33" s="44">
        <f t="shared" si="3"/>
        <v>-35.21193981320851</v>
      </c>
      <c r="L33" s="44">
        <f t="shared" si="3"/>
        <v>-43.193129805175772</v>
      </c>
      <c r="M33" s="51"/>
      <c r="N33" s="11"/>
      <c r="O33" s="11"/>
      <c r="P33" s="11"/>
      <c r="Q33" s="11"/>
      <c r="R33" s="11"/>
    </row>
    <row r="34" spans="1:64" s="9" customFormat="1" ht="19.5" customHeight="1" x14ac:dyDescent="0.25">
      <c r="A34" s="85" t="s">
        <v>30</v>
      </c>
      <c r="B34" s="52"/>
      <c r="C34" s="53">
        <v>2780.4450492189267</v>
      </c>
      <c r="D34" s="53">
        <v>2875.8387536594882</v>
      </c>
      <c r="E34" s="53">
        <v>3283.622009434941</v>
      </c>
      <c r="F34" s="53">
        <v>3687.85645005165</v>
      </c>
      <c r="G34" s="53">
        <v>4095.1137695123953</v>
      </c>
      <c r="H34" s="53">
        <v>4364.4825444819508</v>
      </c>
      <c r="I34" s="53">
        <v>4744.1776174968745</v>
      </c>
      <c r="J34" s="53">
        <v>5290.9245220369548</v>
      </c>
      <c r="K34" s="53">
        <v>5593.9432333758741</v>
      </c>
      <c r="L34" s="53">
        <v>3733.3766361666062</v>
      </c>
      <c r="M34" s="23"/>
    </row>
    <row r="35" spans="1:64" s="9" customFormat="1" ht="18" hidden="1" customHeight="1" x14ac:dyDescent="0.25">
      <c r="A35" s="12"/>
      <c r="B35" s="54"/>
      <c r="C35" s="55"/>
      <c r="D35" s="55"/>
      <c r="E35" s="55"/>
      <c r="F35" s="56"/>
      <c r="G35" s="23"/>
      <c r="H35" s="23"/>
      <c r="I35" s="23"/>
      <c r="J35" s="23"/>
      <c r="K35" s="23"/>
      <c r="L35" s="23"/>
      <c r="M35" s="23"/>
    </row>
    <row r="36" spans="1:64" s="9" customFormat="1" ht="18" customHeight="1" x14ac:dyDescent="0.25">
      <c r="A36" s="13" t="s">
        <v>24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1"/>
      <c r="N36" s="2"/>
      <c r="O36" s="2"/>
      <c r="P36" s="2"/>
      <c r="Q36" s="2"/>
      <c r="R36" s="2"/>
      <c r="S36" s="2"/>
      <c r="T36" s="2"/>
    </row>
    <row r="37" spans="1:64" s="9" customFormat="1" ht="18" customHeight="1" x14ac:dyDescent="0.25">
      <c r="A37" s="13" t="s">
        <v>27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1"/>
      <c r="M37" s="21"/>
      <c r="N37" s="2"/>
      <c r="O37" s="2"/>
      <c r="P37" s="2"/>
      <c r="Q37" s="2"/>
      <c r="R37" s="2"/>
      <c r="S37" s="2"/>
      <c r="T37" s="2"/>
    </row>
    <row r="38" spans="1:64" x14ac:dyDescent="0.2">
      <c r="A38" s="13" t="s">
        <v>25</v>
      </c>
      <c r="I38" s="57"/>
      <c r="J38" s="57"/>
      <c r="K38" s="57"/>
    </row>
    <row r="42" spans="1:64" ht="15.75" x14ac:dyDescent="0.2">
      <c r="AW42" s="15">
        <v>2006</v>
      </c>
      <c r="AX42" s="4">
        <v>2007</v>
      </c>
      <c r="AY42" s="15">
        <v>2008</v>
      </c>
      <c r="AZ42" s="4">
        <v>2009</v>
      </c>
      <c r="BA42" s="60">
        <v>2010</v>
      </c>
      <c r="BB42" s="61">
        <v>2011</v>
      </c>
      <c r="BC42" s="61">
        <v>2012</v>
      </c>
      <c r="BD42" s="61">
        <v>2013</v>
      </c>
      <c r="BE42" s="24">
        <v>2014</v>
      </c>
      <c r="BF42" s="24">
        <v>2015</v>
      </c>
      <c r="BG42" s="24">
        <v>2016</v>
      </c>
      <c r="BH42" s="24">
        <v>2017</v>
      </c>
      <c r="BI42" s="24">
        <v>2018</v>
      </c>
      <c r="BJ42" s="24">
        <v>2019</v>
      </c>
      <c r="BK42" s="24">
        <v>2020</v>
      </c>
      <c r="BL42" s="24"/>
    </row>
    <row r="43" spans="1:64" x14ac:dyDescent="0.2">
      <c r="AP43" s="1"/>
      <c r="AQ43" s="17"/>
      <c r="AR43" s="17"/>
      <c r="AS43" s="17"/>
      <c r="AT43" s="17"/>
      <c r="AU43" s="17"/>
      <c r="AV43" s="16" t="s">
        <v>18</v>
      </c>
      <c r="AW43" s="18">
        <v>-590.1</v>
      </c>
      <c r="AX43" s="19">
        <v>-1077.8</v>
      </c>
      <c r="AY43" s="19">
        <v>-1317.6</v>
      </c>
      <c r="AZ43" s="19">
        <v>-912.7</v>
      </c>
      <c r="BA43" s="57">
        <v>-1044.3</v>
      </c>
      <c r="BB43" s="57">
        <f t="shared" ref="BB43:BK43" si="4">C26</f>
        <v>-1370.4497932458348</v>
      </c>
      <c r="BC43" s="57">
        <f t="shared" si="4"/>
        <v>-1261.3818460941536</v>
      </c>
      <c r="BD43" s="57">
        <f t="shared" si="4"/>
        <v>-1372.0279990268523</v>
      </c>
      <c r="BE43" s="57">
        <f t="shared" si="4"/>
        <v>-1659.9839496319867</v>
      </c>
      <c r="BF43" s="57">
        <f t="shared" si="4"/>
        <v>-1654.7584348513501</v>
      </c>
      <c r="BG43" s="57">
        <f t="shared" si="4"/>
        <v>-1839.4548719095881</v>
      </c>
      <c r="BH43" s="57">
        <f t="shared" si="4"/>
        <v>-1908.1295867368151</v>
      </c>
      <c r="BI43" s="57">
        <f t="shared" si="4"/>
        <v>-2424.9375968742447</v>
      </c>
      <c r="BJ43" s="57">
        <f t="shared" si="4"/>
        <v>-2392.3893471110855</v>
      </c>
      <c r="BK43" s="57">
        <f t="shared" si="4"/>
        <v>-1450.6795210327987</v>
      </c>
      <c r="BL43" s="62"/>
    </row>
    <row r="44" spans="1:64" x14ac:dyDescent="0.2">
      <c r="AP44" s="1"/>
      <c r="AQ44" s="17"/>
      <c r="AR44" s="17"/>
      <c r="AS44" s="17"/>
      <c r="AT44" s="17"/>
      <c r="AU44" s="17"/>
      <c r="AV44" s="16" t="s">
        <v>20</v>
      </c>
      <c r="AW44" s="18">
        <v>320.70550261011971</v>
      </c>
      <c r="AX44" s="19">
        <v>1246</v>
      </c>
      <c r="AY44" s="19">
        <v>1210.5</v>
      </c>
      <c r="AZ44" s="19">
        <v>1144.9000000000001</v>
      </c>
      <c r="BA44" s="57">
        <v>1358.5</v>
      </c>
      <c r="BB44" s="63">
        <f t="shared" ref="BB44:BK44" si="5">SUM(C29:C30)</f>
        <v>2679.4074919898917</v>
      </c>
      <c r="BC44" s="63">
        <f t="shared" si="5"/>
        <v>2742.1730668283817</v>
      </c>
      <c r="BD44" s="63">
        <f t="shared" si="5"/>
        <v>3273.4959116042182</v>
      </c>
      <c r="BE44" s="63">
        <f t="shared" si="5"/>
        <v>3791.6288966259008</v>
      </c>
      <c r="BF44" s="63">
        <f t="shared" si="5"/>
        <v>3779.961068800013</v>
      </c>
      <c r="BG44" s="63">
        <f t="shared" si="5"/>
        <v>3994.7189518079313</v>
      </c>
      <c r="BH44" s="63">
        <f t="shared" si="5"/>
        <v>4275.6426610765466</v>
      </c>
      <c r="BI44" s="63">
        <f t="shared" si="5"/>
        <v>4582.75135951839</v>
      </c>
      <c r="BJ44" s="63">
        <f t="shared" si="5"/>
        <v>4718.8163633556105</v>
      </c>
      <c r="BK44" s="63">
        <f t="shared" si="5"/>
        <v>2242.4372064286263</v>
      </c>
      <c r="BL44" s="62"/>
    </row>
    <row r="45" spans="1:64" x14ac:dyDescent="0.2">
      <c r="AW45" s="1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</row>
    <row r="46" spans="1:64" x14ac:dyDescent="0.2">
      <c r="AW46" s="1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</row>
    <row r="47" spans="1:64" ht="15.75" x14ac:dyDescent="0.2">
      <c r="L47" s="48"/>
      <c r="AW47" s="1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</row>
    <row r="62" spans="8:10" x14ac:dyDescent="0.2">
      <c r="H62" s="58"/>
    </row>
    <row r="63" spans="8:10" x14ac:dyDescent="0.2">
      <c r="H63" s="58"/>
      <c r="I63" s="59"/>
      <c r="J63" s="59"/>
    </row>
    <row r="64" spans="8:10" x14ac:dyDescent="0.2">
      <c r="H64" s="58"/>
      <c r="I64" s="58"/>
      <c r="J64" s="58"/>
    </row>
    <row r="65" spans="1:18" x14ac:dyDescent="0.2">
      <c r="I65" s="59"/>
      <c r="J65" s="59"/>
    </row>
    <row r="66" spans="1:18" x14ac:dyDescent="0.2">
      <c r="H66" s="58"/>
    </row>
    <row r="68" spans="1:18" x14ac:dyDescent="0.2">
      <c r="N68" s="17"/>
      <c r="O68" s="17"/>
      <c r="P68" s="17"/>
      <c r="Q68" s="17"/>
      <c r="R68" s="17"/>
    </row>
    <row r="69" spans="1:18" x14ac:dyDescent="0.2">
      <c r="N69" s="17"/>
      <c r="O69" s="17"/>
      <c r="P69" s="17"/>
      <c r="Q69" s="17"/>
      <c r="R69" s="17"/>
    </row>
    <row r="76" spans="1:18" ht="15.75" x14ac:dyDescent="0.25">
      <c r="A76" s="9"/>
    </row>
    <row r="81" spans="2:19" ht="15.75" x14ac:dyDescent="0.25">
      <c r="B81" s="64"/>
      <c r="E81" s="65"/>
      <c r="S81" s="8"/>
    </row>
    <row r="82" spans="2:19" ht="15.75" x14ac:dyDescent="0.25">
      <c r="B82" s="64"/>
      <c r="C82" s="66"/>
      <c r="E82" s="57"/>
      <c r="S82" s="8"/>
    </row>
    <row r="83" spans="2:19" ht="15.75" x14ac:dyDescent="0.25">
      <c r="B83" s="64"/>
      <c r="C83" s="64"/>
      <c r="D83" s="64"/>
      <c r="E83" s="67"/>
      <c r="F83" s="67"/>
      <c r="G83" s="67"/>
      <c r="H83" s="67"/>
      <c r="I83" s="67"/>
      <c r="J83" s="67"/>
      <c r="K83" s="67"/>
      <c r="L83" s="67"/>
      <c r="M83" s="67"/>
      <c r="N83" s="20"/>
      <c r="O83" s="20"/>
      <c r="P83" s="20"/>
      <c r="Q83" s="20"/>
      <c r="R83" s="20"/>
      <c r="S83" s="20"/>
    </row>
    <row r="86" spans="2:19" x14ac:dyDescent="0.2">
      <c r="B86" s="66"/>
      <c r="C86" s="66"/>
      <c r="D86" s="66"/>
      <c r="E86" s="66"/>
      <c r="G86" s="66"/>
      <c r="H86" s="66"/>
      <c r="I86" s="66"/>
      <c r="J86" s="66"/>
      <c r="K86" s="66"/>
      <c r="L86" s="66"/>
      <c r="M86" s="66"/>
      <c r="N86" s="5"/>
      <c r="O86" s="5"/>
      <c r="P86" s="5"/>
      <c r="Q86" s="5"/>
      <c r="R86" s="5"/>
    </row>
    <row r="87" spans="2:19" x14ac:dyDescent="0.2">
      <c r="B87" s="66"/>
      <c r="C87" s="66"/>
      <c r="D87" s="66"/>
      <c r="E87" s="66"/>
      <c r="G87" s="66"/>
      <c r="H87" s="66"/>
      <c r="I87" s="66"/>
      <c r="J87" s="66"/>
      <c r="K87" s="66"/>
      <c r="L87" s="66"/>
      <c r="M87" s="66"/>
      <c r="N87" s="5"/>
      <c r="O87" s="5"/>
      <c r="P87" s="5"/>
      <c r="Q87" s="5"/>
      <c r="R87" s="5"/>
    </row>
    <row r="88" spans="2:19" x14ac:dyDescent="0.2">
      <c r="B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5"/>
      <c r="O88" s="5"/>
      <c r="P88" s="5"/>
      <c r="Q88" s="5"/>
      <c r="R88" s="5"/>
    </row>
    <row r="97" spans="2:12" x14ac:dyDescent="0.2">
      <c r="B97" s="68"/>
      <c r="C97" s="68"/>
      <c r="K97" s="68"/>
    </row>
    <row r="101" spans="2:12" x14ac:dyDescent="0.2">
      <c r="B101" s="68"/>
      <c r="C101" s="68"/>
      <c r="K101" s="68"/>
      <c r="L101" s="68"/>
    </row>
  </sheetData>
  <mergeCells count="3">
    <mergeCell ref="A23:A24"/>
    <mergeCell ref="A21:L21"/>
    <mergeCell ref="A1:L1"/>
  </mergeCells>
  <pageMargins left="0.7" right="0.7" top="0.75" bottom="0.75" header="0.3" footer="0.3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Foerign trade &amp; BOP</vt:lpstr>
      <vt:lpstr>'Foerign trade &amp; BOP'!Print_Area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2021-12-13T23:16:19Z</cp:lastPrinted>
  <dcterms:created xsi:type="dcterms:W3CDTF">2019-05-14T08:05:18Z</dcterms:created>
  <dcterms:modified xsi:type="dcterms:W3CDTF">2021-12-14T00:10:13Z</dcterms:modified>
</cp:coreProperties>
</file>