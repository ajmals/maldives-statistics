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April 2021\YEARBOOK 2021_ Work from Home\CHECKING\FINAL TABLES\web\New folder\"/>
    </mc:Choice>
  </mc:AlternateContent>
  <bookViews>
    <workbookView xWindow="-105" yWindow="-105" windowWidth="19425" windowHeight="10425" tabRatio="838"/>
  </bookViews>
  <sheets>
    <sheet name="Edu" sheetId="5" r:id="rId1"/>
  </sheets>
  <externalReferences>
    <externalReference r:id="rId2"/>
    <externalReference r:id="rId3"/>
  </externalReferences>
  <definedNames>
    <definedName name="_xlnm.Print_Area" localSheetId="0">Edu!$A$1:$AF$62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40" i="5" l="1"/>
  <c r="AF34" i="5"/>
  <c r="AE16" i="5" l="1"/>
  <c r="AA34" i="5"/>
  <c r="AB34" i="5"/>
  <c r="AC34" i="5"/>
  <c r="AD34" i="5"/>
  <c r="AE34" i="5"/>
  <c r="AE15" i="5" s="1"/>
  <c r="Z34" i="5"/>
  <c r="Y34" i="5"/>
  <c r="X34" i="5"/>
  <c r="W34" i="5"/>
  <c r="V34" i="5"/>
  <c r="AE40" i="5"/>
  <c r="X40" i="5"/>
  <c r="Y40" i="5"/>
  <c r="Z40" i="5"/>
  <c r="AA40" i="5"/>
  <c r="AB40" i="5"/>
  <c r="AC40" i="5"/>
  <c r="AD40" i="5"/>
  <c r="W40" i="5"/>
  <c r="V40" i="5"/>
  <c r="U40" i="5"/>
  <c r="T40" i="5"/>
  <c r="S40" i="5"/>
  <c r="R40" i="5"/>
  <c r="AD16" i="5"/>
  <c r="Q40" i="5"/>
  <c r="P40" i="5"/>
  <c r="O40" i="5"/>
  <c r="N40" i="5"/>
  <c r="M40" i="5"/>
  <c r="L40" i="5"/>
  <c r="K40" i="5"/>
  <c r="J40" i="5"/>
  <c r="I40" i="5"/>
  <c r="H40" i="5"/>
  <c r="G40" i="5"/>
  <c r="F40" i="5"/>
  <c r="E40" i="5"/>
  <c r="D40" i="5"/>
  <c r="C40" i="5"/>
  <c r="AC16" i="5"/>
  <c r="P4" i="5"/>
  <c r="O4" i="5"/>
  <c r="N4" i="5"/>
  <c r="M4" i="5"/>
  <c r="L4" i="5"/>
  <c r="K4" i="5"/>
  <c r="J4" i="5"/>
  <c r="I4" i="5"/>
  <c r="H4" i="5"/>
  <c r="G4" i="5"/>
  <c r="F4" i="5"/>
  <c r="E4" i="5"/>
  <c r="D4" i="5"/>
  <c r="C4" i="5"/>
</calcChain>
</file>

<file path=xl/sharedStrings.xml><?xml version="1.0" encoding="utf-8"?>
<sst xmlns="http://schemas.openxmlformats.org/spreadsheetml/2006/main" count="87" uniqueCount="40">
  <si>
    <t>Male'</t>
  </si>
  <si>
    <t>na</t>
  </si>
  <si>
    <t>Male</t>
  </si>
  <si>
    <t>Female</t>
  </si>
  <si>
    <t>EDUCATION</t>
  </si>
  <si>
    <t>Student Enrolment in Maldives</t>
  </si>
  <si>
    <t>Government Schools</t>
  </si>
  <si>
    <t>Private Schools</t>
  </si>
  <si>
    <t>Community Schools</t>
  </si>
  <si>
    <r>
      <t>9,845</t>
    </r>
    <r>
      <rPr>
        <vertAlign val="superscript"/>
        <sz val="10"/>
        <rFont val="Calibri"/>
        <family val="2"/>
      </rPr>
      <t xml:space="preserve"> 1_/</t>
    </r>
    <r>
      <rPr>
        <sz val="10"/>
        <rFont val="Calibri"/>
        <family val="2"/>
      </rPr>
      <t xml:space="preserve"> </t>
    </r>
  </si>
  <si>
    <t>Student Enrolment by Level</t>
  </si>
  <si>
    <t>Pre - Primary Enrolment (NURS, LKG, UKG)</t>
  </si>
  <si>
    <t>Primary Enrolment (Grades 1 - 7)</t>
  </si>
  <si>
    <t>Lower Secondary Enrolment (Grades 8 - 10)</t>
  </si>
  <si>
    <t>Higher Secondary Enrolment (Grades 11 - 12)</t>
  </si>
  <si>
    <t>Special Classes **</t>
  </si>
  <si>
    <t>*</t>
  </si>
  <si>
    <t>15**</t>
  </si>
  <si>
    <t>12**</t>
  </si>
  <si>
    <t>Education Expenditure as % of National Budget</t>
  </si>
  <si>
    <t xml:space="preserve">Student / Teacher Ratio </t>
  </si>
  <si>
    <t>Teachers</t>
  </si>
  <si>
    <t>Atolls</t>
  </si>
  <si>
    <t>Local</t>
  </si>
  <si>
    <t>Foreign</t>
  </si>
  <si>
    <t>Trained</t>
  </si>
  <si>
    <t>Untrained</t>
  </si>
  <si>
    <t xml:space="preserve">Gross Primary Enrolment Ratio </t>
  </si>
  <si>
    <t xml:space="preserve">Gross Lower Secondary Enrolment Ratio </t>
  </si>
  <si>
    <t xml:space="preserve">Gross Higher Secondary Enrolment Ratio </t>
  </si>
  <si>
    <t xml:space="preserve">Net Primary Enrolment Ratio </t>
  </si>
  <si>
    <t xml:space="preserve">Net Lower Secondary Enrolment Ratio </t>
  </si>
  <si>
    <t xml:space="preserve">Net Higher Secondary Enrolment Ratio </t>
  </si>
  <si>
    <t>Enrolment by Sex</t>
  </si>
  <si>
    <t>Both sexes</t>
  </si>
  <si>
    <t>Educational Institutions</t>
  </si>
  <si>
    <t xml:space="preserve">Note: </t>
  </si>
  <si>
    <t xml:space="preserve"> In 135 community schools were converted to government schools in 2005 due to educational policy change</t>
  </si>
  <si>
    <t>* students enrolled in special classes, for children with special needs. The decrease in 2018 is due as per the developments in the special needs students, they have been included in the normal classes</t>
  </si>
  <si>
    <t>The drop in NER  for 2020 in  certain education levels is due to population movement due to Covid 19 outbreak during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</si>
</sst>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 _ރ_._-;_-* #,##0.00\ _ރ_.\-;_-* &quot;-&quot;??\ _ރ_._-;_-@_-"/>
    <numFmt numFmtId="164" formatCode="_(* #,##0.00_);_(* \(#,##0.00\);_(* &quot;-&quot;??_);_(@_)"/>
    <numFmt numFmtId="165" formatCode="0.0"/>
    <numFmt numFmtId="166" formatCode="_(* #,##0_);_(* \(#,##0\);_(* &quot;-&quot;??_);_(@_)"/>
    <numFmt numFmtId="169" formatCode="General_)"/>
    <numFmt numFmtId="171" formatCode="0.00_)"/>
  </numFmts>
  <fonts count="46" x14ac:knownFonts="1">
    <font>
      <sz val="11"/>
      <color theme="1"/>
      <name val="Calibri"/>
      <family val="2"/>
      <scheme val="minor"/>
    </font>
    <font>
      <sz val="11"/>
      <color theme="1"/>
      <name val="Calibri"/>
      <family val="2"/>
      <scheme val="minor"/>
    </font>
    <font>
      <sz val="10"/>
      <name val="Arial"/>
      <family val="2"/>
    </font>
    <font>
      <sz val="10"/>
      <name val="Calibri"/>
      <family val="2"/>
      <scheme val="minor"/>
    </font>
    <font>
      <b/>
      <sz val="11"/>
      <name val="Calibri"/>
      <family val="2"/>
      <scheme val="minor"/>
    </font>
    <font>
      <b/>
      <sz val="10"/>
      <name val="Calibri"/>
      <family val="2"/>
      <scheme val="minor"/>
    </font>
    <font>
      <sz val="11"/>
      <name val="Calibri"/>
      <family val="2"/>
      <scheme val="minor"/>
    </font>
    <font>
      <sz val="10"/>
      <name val="Courier"/>
      <family val="3"/>
    </font>
    <font>
      <sz val="10"/>
      <name val="Calibri"/>
      <family val="2"/>
    </font>
    <font>
      <b/>
      <sz val="10"/>
      <name val="Arial"/>
      <family val="2"/>
    </font>
    <font>
      <vertAlign val="superscript"/>
      <sz val="10"/>
      <name val="Calibri"/>
      <family val="2"/>
    </font>
    <font>
      <sz val="9"/>
      <name val="Calibri"/>
      <family val="2"/>
    </font>
    <font>
      <i/>
      <sz val="9"/>
      <name val="Calibri"/>
      <family val="2"/>
    </font>
    <font>
      <b/>
      <sz val="11"/>
      <color theme="1"/>
      <name val="Calibri"/>
      <family val="2"/>
      <scheme val="minor"/>
    </font>
    <font>
      <b/>
      <sz val="11"/>
      <color indexed="8"/>
      <name val="Calibri"/>
      <family val="2"/>
    </font>
    <font>
      <sz val="11"/>
      <color theme="1"/>
      <name val="Calibri"/>
      <family val="2"/>
      <charset val="1"/>
      <scheme val="minor"/>
    </font>
    <font>
      <sz val="10"/>
      <name val="MS Sans Serif"/>
      <family val="2"/>
    </font>
    <font>
      <b/>
      <i/>
      <sz val="16"/>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i/>
      <sz val="9"/>
      <color theme="1"/>
      <name val="Calibri"/>
      <family val="2"/>
      <scheme val="minor"/>
    </font>
    <font>
      <i/>
      <sz val="11"/>
      <name val="Calibri"/>
      <family val="2"/>
      <scheme val="minor"/>
    </font>
    <font>
      <b/>
      <i/>
      <sz val="9"/>
      <name val="Calibri"/>
      <family val="2"/>
    </font>
    <font>
      <b/>
      <sz val="9"/>
      <name val="Calibri"/>
      <family val="2"/>
    </font>
    <font>
      <i/>
      <sz val="8"/>
      <name val="Arial"/>
      <family val="2"/>
    </font>
    <font>
      <sz val="12"/>
      <name val="Calibri"/>
      <family val="2"/>
      <scheme val="minor"/>
    </font>
    <font>
      <b/>
      <sz val="12"/>
      <name val="Calibri"/>
      <family val="2"/>
      <scheme val="minor"/>
    </font>
    <font>
      <sz val="12"/>
      <name val="Arial"/>
      <family val="2"/>
    </font>
    <font>
      <sz val="12"/>
      <color theme="1"/>
      <name val="Calibri"/>
      <family val="2"/>
      <scheme val="minor"/>
    </font>
    <font>
      <b/>
      <sz val="12"/>
      <name val="Arial"/>
      <family val="2"/>
    </font>
    <font>
      <sz val="12"/>
      <name val="Calibri"/>
      <family val="2"/>
    </font>
    <font>
      <b/>
      <sz val="22"/>
      <color theme="0"/>
      <name val="Candara"/>
      <family val="2"/>
    </font>
  </fonts>
  <fills count="28">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E7B7"/>
        <bgColor indexed="64"/>
      </patternFill>
    </fill>
    <fill>
      <patternFill patternType="solid">
        <fgColor rgb="FF249390"/>
        <bgColor indexed="64"/>
      </patternFill>
    </fill>
    <fill>
      <patternFill patternType="solid">
        <fgColor rgb="FFC8F4F2"/>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78">
    <xf numFmtId="0" fontId="0" fillId="0" borderId="0"/>
    <xf numFmtId="0" fontId="2" fillId="0" borderId="0"/>
    <xf numFmtId="0" fontId="2" fillId="0" borderId="0"/>
    <xf numFmtId="0" fontId="2" fillId="0" borderId="0"/>
    <xf numFmtId="0" fontId="1" fillId="0" borderId="0"/>
    <xf numFmtId="164" fontId="1" fillId="0" borderId="0" applyFont="0" applyFill="0" applyBorder="0" applyAlignment="0" applyProtection="0"/>
    <xf numFmtId="0" fontId="1" fillId="0" borderId="0"/>
    <xf numFmtId="169" fontId="7" fillId="0" borderId="0"/>
    <xf numFmtId="43" fontId="15" fillId="0" borderId="0" applyFont="0" applyFill="0" applyBorder="0" applyAlignment="0" applyProtection="0"/>
    <xf numFmtId="0" fontId="15" fillId="0" borderId="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6" borderId="0" applyNumberFormat="0" applyBorder="0" applyAlignment="0" applyProtection="0"/>
    <xf numFmtId="0" fontId="18" fillId="9" borderId="0" applyNumberFormat="0" applyBorder="0" applyAlignment="0" applyProtection="0"/>
    <xf numFmtId="0" fontId="18" fillId="12"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20" fillId="4" borderId="0" applyNumberFormat="0" applyBorder="0" applyAlignment="0" applyProtection="0"/>
    <xf numFmtId="0" fontId="21" fillId="21" borderId="1" applyNumberFormat="0" applyAlignment="0" applyProtection="0"/>
    <xf numFmtId="0" fontId="22" fillId="22" borderId="2" applyNumberFormat="0" applyAlignment="0" applyProtection="0"/>
    <xf numFmtId="40" fontId="16" fillId="0" borderId="0" applyFont="0" applyFill="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5" fillId="0" borderId="3" applyNumberFormat="0" applyFill="0" applyAlignment="0" applyProtection="0"/>
    <xf numFmtId="0" fontId="26" fillId="0" borderId="4" applyNumberFormat="0" applyFill="0" applyAlignment="0" applyProtection="0"/>
    <xf numFmtId="0" fontId="27" fillId="0" borderId="5" applyNumberFormat="0" applyFill="0" applyAlignment="0" applyProtection="0"/>
    <xf numFmtId="0" fontId="27" fillId="0" borderId="0" applyNumberFormat="0" applyFill="0" applyBorder="0" applyAlignment="0" applyProtection="0"/>
    <xf numFmtId="0" fontId="28" fillId="8" borderId="1" applyNumberFormat="0" applyAlignment="0" applyProtection="0"/>
    <xf numFmtId="0" fontId="29" fillId="0" borderId="6" applyNumberFormat="0" applyFill="0" applyAlignment="0" applyProtection="0"/>
    <xf numFmtId="0" fontId="30" fillId="23" borderId="0" applyNumberFormat="0" applyBorder="0" applyAlignment="0" applyProtection="0"/>
    <xf numFmtId="171" fontId="17" fillId="0" borderId="0"/>
    <xf numFmtId="0" fontId="15" fillId="0" borderId="0"/>
    <xf numFmtId="0" fontId="15" fillId="0" borderId="0"/>
    <xf numFmtId="0" fontId="15" fillId="0" borderId="0"/>
    <xf numFmtId="0" fontId="2" fillId="0" borderId="0"/>
    <xf numFmtId="169" fontId="7" fillId="0" borderId="0"/>
    <xf numFmtId="0" fontId="2" fillId="0" borderId="0"/>
    <xf numFmtId="0" fontId="2" fillId="0" borderId="0"/>
    <xf numFmtId="0" fontId="2" fillId="0" borderId="0"/>
    <xf numFmtId="0" fontId="2" fillId="0" borderId="0"/>
    <xf numFmtId="0" fontId="15" fillId="0" borderId="0"/>
    <xf numFmtId="0" fontId="18" fillId="24" borderId="7" applyNumberFormat="0" applyFont="0" applyAlignment="0" applyProtection="0"/>
    <xf numFmtId="0" fontId="31" fillId="21" borderId="8" applyNumberFormat="0" applyAlignment="0" applyProtection="0"/>
    <xf numFmtId="9" fontId="16" fillId="0" borderId="0" applyFont="0" applyFill="0" applyBorder="0" applyAlignment="0" applyProtection="0"/>
    <xf numFmtId="0" fontId="32" fillId="0" borderId="0" applyNumberFormat="0" applyFill="0" applyBorder="0" applyAlignment="0" applyProtection="0"/>
    <xf numFmtId="0" fontId="14" fillId="0" borderId="9" applyNumberFormat="0" applyFill="0" applyAlignment="0" applyProtection="0"/>
    <xf numFmtId="0" fontId="33" fillId="0" borderId="0" applyNumberFormat="0" applyFill="0" applyBorder="0" applyAlignment="0" applyProtection="0"/>
    <xf numFmtId="169" fontId="7" fillId="0" borderId="0"/>
    <xf numFmtId="169" fontId="7" fillId="0" borderId="0"/>
    <xf numFmtId="0" fontId="1" fillId="0" borderId="0"/>
    <xf numFmtId="0" fontId="7" fillId="0" borderId="0"/>
    <xf numFmtId="165" fontId="7" fillId="0" borderId="0" applyFont="0" applyFill="0" applyBorder="0" applyAlignment="0" applyProtection="0"/>
    <xf numFmtId="0" fontId="2" fillId="0" borderId="0"/>
    <xf numFmtId="0" fontId="2"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5" fillId="0" borderId="0"/>
    <xf numFmtId="0" fontId="1" fillId="0" borderId="0"/>
  </cellStyleXfs>
  <cellXfs count="92">
    <xf numFmtId="0" fontId="0" fillId="0" borderId="0" xfId="0"/>
    <xf numFmtId="0" fontId="3" fillId="2" borderId="0" xfId="0" applyFont="1" applyFill="1" applyAlignment="1">
      <alignment horizontal="left" vertical="center"/>
    </xf>
    <xf numFmtId="0" fontId="6" fillId="2" borderId="0" xfId="1" applyFont="1" applyFill="1" applyAlignment="1">
      <alignment horizontal="left" vertical="center" indent="1"/>
    </xf>
    <xf numFmtId="0" fontId="4" fillId="2" borderId="0" xfId="1" applyFont="1" applyFill="1" applyAlignment="1">
      <alignment horizontal="left" vertical="center" indent="1"/>
    </xf>
    <xf numFmtId="0" fontId="9" fillId="2" borderId="0" xfId="0" applyFont="1" applyFill="1"/>
    <xf numFmtId="0" fontId="2" fillId="2" borderId="0" xfId="0" applyFont="1" applyFill="1"/>
    <xf numFmtId="0" fontId="8" fillId="2" borderId="0" xfId="1" applyFont="1" applyFill="1"/>
    <xf numFmtId="0" fontId="0" fillId="0" borderId="0" xfId="0" applyFill="1"/>
    <xf numFmtId="0" fontId="11" fillId="2" borderId="0" xfId="1" applyFont="1" applyFill="1"/>
    <xf numFmtId="0" fontId="2" fillId="2" borderId="0" xfId="1" applyFont="1" applyFill="1"/>
    <xf numFmtId="0" fontId="9" fillId="0" borderId="0" xfId="0" applyFont="1" applyFill="1"/>
    <xf numFmtId="0" fontId="0" fillId="2" borderId="0" xfId="1" applyFont="1" applyFill="1"/>
    <xf numFmtId="0" fontId="0" fillId="0" borderId="0" xfId="1" applyFont="1" applyFill="1"/>
    <xf numFmtId="0" fontId="0" fillId="0" borderId="0" xfId="0"/>
    <xf numFmtId="0" fontId="0" fillId="2" borderId="0" xfId="0" applyFill="1"/>
    <xf numFmtId="3" fontId="1" fillId="2" borderId="0" xfId="0" applyNumberFormat="1" applyFont="1" applyFill="1" applyAlignment="1">
      <alignment horizontal="right" vertical="center"/>
    </xf>
    <xf numFmtId="3" fontId="4" fillId="2" borderId="0" xfId="5" applyNumberFormat="1" applyFont="1" applyFill="1" applyAlignment="1">
      <alignment horizontal="right" vertical="center"/>
    </xf>
    <xf numFmtId="0" fontId="6" fillId="25" borderId="0" xfId="1" applyFont="1" applyFill="1" applyAlignment="1">
      <alignment horizontal="left" vertical="center" indent="1"/>
    </xf>
    <xf numFmtId="3" fontId="6" fillId="25" borderId="0" xfId="5" applyNumberFormat="1" applyFont="1" applyFill="1" applyAlignment="1">
      <alignment horizontal="right" vertical="center"/>
    </xf>
    <xf numFmtId="3" fontId="6" fillId="2" borderId="0" xfId="5" applyNumberFormat="1" applyFont="1" applyFill="1" applyAlignment="1">
      <alignment horizontal="right" vertical="center"/>
    </xf>
    <xf numFmtId="0" fontId="2" fillId="0" borderId="0" xfId="0" applyFont="1" applyFill="1"/>
    <xf numFmtId="0" fontId="0" fillId="2" borderId="0" xfId="0" applyFill="1" applyAlignment="1">
      <alignment horizontal="left" vertical="center" indent="1"/>
    </xf>
    <xf numFmtId="3" fontId="0" fillId="2" borderId="0" xfId="5" applyNumberFormat="1" applyFont="1" applyFill="1" applyAlignment="1">
      <alignment horizontal="right" vertical="center"/>
    </xf>
    <xf numFmtId="0" fontId="3" fillId="2" borderId="0" xfId="0" applyFont="1" applyFill="1" applyAlignment="1">
      <alignment horizontal="left" vertical="center" indent="1"/>
    </xf>
    <xf numFmtId="3" fontId="3" fillId="2" borderId="0" xfId="5" applyNumberFormat="1" applyFont="1" applyFill="1" applyAlignment="1">
      <alignment horizontal="right" vertical="center"/>
    </xf>
    <xf numFmtId="0" fontId="13" fillId="2" borderId="0" xfId="0" applyFont="1" applyFill="1"/>
    <xf numFmtId="0" fontId="13" fillId="0" borderId="0" xfId="0" applyFont="1" applyFill="1"/>
    <xf numFmtId="0" fontId="35" fillId="2" borderId="0" xfId="1" applyFont="1" applyFill="1" applyAlignment="1">
      <alignment horizontal="left" vertical="center" indent="3"/>
    </xf>
    <xf numFmtId="3" fontId="0" fillId="2" borderId="0" xfId="0" applyNumberFormat="1" applyFont="1" applyFill="1" applyAlignment="1">
      <alignment horizontal="right" vertical="center"/>
    </xf>
    <xf numFmtId="0" fontId="6" fillId="2" borderId="0" xfId="1" applyFont="1" applyFill="1" applyAlignment="1">
      <alignment horizontal="left" vertical="center" indent="2"/>
    </xf>
    <xf numFmtId="3" fontId="1" fillId="2" borderId="0" xfId="0" applyNumberFormat="1" applyFont="1" applyFill="1"/>
    <xf numFmtId="0" fontId="3" fillId="2" borderId="0" xfId="0" applyFont="1" applyFill="1" applyAlignment="1">
      <alignment horizontal="left" vertical="center" indent="2"/>
    </xf>
    <xf numFmtId="0" fontId="8" fillId="2" borderId="0" xfId="1" applyFont="1" applyFill="1" applyAlignment="1">
      <alignment horizontal="left" vertical="center" indent="1"/>
    </xf>
    <xf numFmtId="166" fontId="8" fillId="2" borderId="0" xfId="5" applyNumberFormat="1" applyFont="1" applyFill="1"/>
    <xf numFmtId="3" fontId="8" fillId="2" borderId="0" xfId="0" applyNumberFormat="1" applyFont="1" applyFill="1" applyAlignment="1">
      <alignment horizontal="right"/>
    </xf>
    <xf numFmtId="0" fontId="9" fillId="2" borderId="0" xfId="1" applyFont="1" applyFill="1"/>
    <xf numFmtId="0" fontId="9" fillId="0" borderId="0" xfId="1" applyFont="1" applyFill="1"/>
    <xf numFmtId="0" fontId="6" fillId="2" borderId="0" xfId="1" applyFont="1" applyFill="1" applyAlignment="1">
      <alignment horizontal="left" vertical="center" indent="6"/>
    </xf>
    <xf numFmtId="0" fontId="36" fillId="2" borderId="0" xfId="1" applyFont="1" applyFill="1" applyAlignment="1">
      <alignment vertical="center"/>
    </xf>
    <xf numFmtId="166" fontId="6" fillId="2" borderId="0" xfId="5" applyNumberFormat="1" applyFont="1" applyFill="1" applyAlignment="1">
      <alignment horizontal="left" vertical="center" indent="1"/>
    </xf>
    <xf numFmtId="0" fontId="12" fillId="2" borderId="0" xfId="1" applyFont="1" applyFill="1"/>
    <xf numFmtId="0" fontId="37" fillId="2" borderId="0" xfId="1" applyFont="1" applyFill="1"/>
    <xf numFmtId="166" fontId="37" fillId="2" borderId="0" xfId="5" applyNumberFormat="1" applyFont="1" applyFill="1"/>
    <xf numFmtId="166" fontId="11" fillId="2" borderId="0" xfId="5" applyNumberFormat="1" applyFont="1" applyFill="1"/>
    <xf numFmtId="169" fontId="38" fillId="2" borderId="0" xfId="0" applyNumberFormat="1" applyFont="1" applyFill="1"/>
    <xf numFmtId="166" fontId="0" fillId="2" borderId="0" xfId="5" applyNumberFormat="1" applyFont="1" applyFill="1"/>
    <xf numFmtId="169" fontId="34" fillId="2" borderId="0" xfId="0" applyNumberFormat="1" applyFont="1" applyFill="1" applyAlignment="1">
      <alignment vertical="center"/>
    </xf>
    <xf numFmtId="1" fontId="0" fillId="2" borderId="0" xfId="0" applyNumberFormat="1" applyFill="1"/>
    <xf numFmtId="0" fontId="4" fillId="27" borderId="0" xfId="1" applyFont="1" applyFill="1" applyAlignment="1">
      <alignment horizontal="left" vertical="center" indent="1"/>
    </xf>
    <xf numFmtId="0" fontId="6" fillId="27" borderId="0" xfId="1" applyFont="1" applyFill="1" applyAlignment="1">
      <alignment horizontal="left" vertical="center" indent="1"/>
    </xf>
    <xf numFmtId="0" fontId="3" fillId="27" borderId="0" xfId="0" applyFont="1" applyFill="1" applyAlignment="1">
      <alignment horizontal="left" vertical="center" indent="2"/>
    </xf>
    <xf numFmtId="1" fontId="4" fillId="2" borderId="0" xfId="1" applyNumberFormat="1" applyFont="1" applyFill="1" applyAlignment="1">
      <alignment horizontal="right" vertical="center"/>
    </xf>
    <xf numFmtId="1" fontId="4" fillId="27" borderId="0" xfId="1" applyNumberFormat="1" applyFont="1" applyFill="1" applyAlignment="1">
      <alignment horizontal="right" vertical="center"/>
    </xf>
    <xf numFmtId="3" fontId="6" fillId="27" borderId="0" xfId="5" applyNumberFormat="1" applyFont="1" applyFill="1" applyAlignment="1">
      <alignment horizontal="right" vertical="center"/>
    </xf>
    <xf numFmtId="0" fontId="5" fillId="27" borderId="0" xfId="0" applyFont="1" applyFill="1" applyAlignment="1">
      <alignment horizontal="left" vertical="center" indent="1"/>
    </xf>
    <xf numFmtId="0" fontId="5" fillId="27" borderId="0" xfId="0" applyFont="1" applyFill="1" applyAlignment="1">
      <alignment horizontal="left" vertical="center"/>
    </xf>
    <xf numFmtId="3" fontId="4" fillId="27" borderId="0" xfId="5" applyNumberFormat="1" applyFont="1" applyFill="1" applyAlignment="1">
      <alignment horizontal="right" vertical="center"/>
    </xf>
    <xf numFmtId="0" fontId="35" fillId="27" borderId="0" xfId="1" applyFont="1" applyFill="1" applyAlignment="1">
      <alignment horizontal="left" vertical="center" indent="3"/>
    </xf>
    <xf numFmtId="0" fontId="3" fillId="27" borderId="0" xfId="0" applyFont="1" applyFill="1" applyAlignment="1">
      <alignment horizontal="left" vertical="center" indent="1"/>
    </xf>
    <xf numFmtId="0" fontId="3" fillId="27" borderId="0" xfId="0" applyFont="1" applyFill="1" applyAlignment="1">
      <alignment horizontal="left" vertical="center"/>
    </xf>
    <xf numFmtId="3" fontId="0" fillId="27" borderId="0" xfId="0" applyNumberFormat="1" applyFont="1" applyFill="1" applyAlignment="1">
      <alignment horizontal="right" vertical="center"/>
    </xf>
    <xf numFmtId="3" fontId="1" fillId="27" borderId="0" xfId="0" applyNumberFormat="1" applyFont="1" applyFill="1" applyAlignment="1">
      <alignment horizontal="right" vertical="center"/>
    </xf>
    <xf numFmtId="0" fontId="6" fillId="27" borderId="0" xfId="1" applyFont="1" applyFill="1" applyAlignment="1">
      <alignment horizontal="left" vertical="center" indent="2"/>
    </xf>
    <xf numFmtId="3" fontId="1" fillId="27" borderId="0" xfId="0" applyNumberFormat="1" applyFont="1" applyFill="1"/>
    <xf numFmtId="0" fontId="6" fillId="27" borderId="0" xfId="1" applyFont="1" applyFill="1" applyAlignment="1">
      <alignment horizontal="left" vertical="center" indent="6"/>
    </xf>
    <xf numFmtId="0" fontId="8" fillId="27" borderId="0" xfId="1" applyFont="1" applyFill="1" applyBorder="1" applyAlignment="1">
      <alignment horizontal="left" vertical="center" indent="1"/>
    </xf>
    <xf numFmtId="0" fontId="8" fillId="27" borderId="0" xfId="1" applyFont="1" applyFill="1" applyBorder="1"/>
    <xf numFmtId="166" fontId="8" fillId="27" borderId="0" xfId="5" applyNumberFormat="1" applyFont="1" applyFill="1" applyAlignment="1">
      <alignment horizontal="right"/>
    </xf>
    <xf numFmtId="3" fontId="8" fillId="27" borderId="0" xfId="0" applyNumberFormat="1" applyFont="1" applyFill="1" applyAlignment="1">
      <alignment horizontal="right"/>
    </xf>
    <xf numFmtId="0" fontId="39" fillId="2" borderId="0" xfId="0" applyFont="1" applyFill="1" applyAlignment="1">
      <alignment horizontal="left" vertical="center"/>
    </xf>
    <xf numFmtId="0" fontId="42" fillId="2" borderId="0" xfId="0" applyFont="1" applyFill="1"/>
    <xf numFmtId="0" fontId="42" fillId="0" borderId="0" xfId="0" applyFont="1" applyFill="1"/>
    <xf numFmtId="0" fontId="43" fillId="2" borderId="0" xfId="0" applyFont="1" applyFill="1"/>
    <xf numFmtId="0" fontId="43" fillId="0" borderId="0" xfId="0" applyFont="1" applyFill="1"/>
    <xf numFmtId="0" fontId="42" fillId="27" borderId="0" xfId="0" applyFont="1" applyFill="1"/>
    <xf numFmtId="1" fontId="40" fillId="27" borderId="0" xfId="1" applyNumberFormat="1" applyFont="1" applyFill="1" applyAlignment="1">
      <alignment horizontal="right" vertical="center"/>
    </xf>
    <xf numFmtId="3" fontId="40" fillId="2" borderId="0" xfId="5" applyNumberFormat="1" applyFont="1" applyFill="1" applyAlignment="1">
      <alignment horizontal="right" vertical="center"/>
    </xf>
    <xf numFmtId="3" fontId="39" fillId="25" borderId="0" xfId="5" applyNumberFormat="1" applyFont="1" applyFill="1" applyAlignment="1">
      <alignment horizontal="right" vertical="center"/>
    </xf>
    <xf numFmtId="3" fontId="39" fillId="2" borderId="0" xfId="5" applyNumberFormat="1" applyFont="1" applyFill="1" applyAlignment="1">
      <alignment horizontal="right" vertical="center"/>
    </xf>
    <xf numFmtId="0" fontId="41" fillId="0" borderId="0" xfId="0" applyFont="1" applyFill="1"/>
    <xf numFmtId="3" fontId="39" fillId="27" borderId="0" xfId="5" applyNumberFormat="1" applyFont="1" applyFill="1" applyAlignment="1">
      <alignment horizontal="right" vertical="center"/>
    </xf>
    <xf numFmtId="3" fontId="42" fillId="2" borderId="0" xfId="5" applyNumberFormat="1" applyFont="1" applyFill="1" applyAlignment="1">
      <alignment horizontal="right" vertical="center"/>
    </xf>
    <xf numFmtId="3" fontId="40" fillId="27" borderId="0" xfId="5" applyNumberFormat="1" applyFont="1" applyFill="1" applyAlignment="1">
      <alignment horizontal="right" vertical="center"/>
    </xf>
    <xf numFmtId="3" fontId="42" fillId="2" borderId="0" xfId="0" applyNumberFormat="1" applyFont="1" applyFill="1" applyAlignment="1">
      <alignment horizontal="right" vertical="center"/>
    </xf>
    <xf numFmtId="3" fontId="42" fillId="27" borderId="0" xfId="0" applyNumberFormat="1" applyFont="1" applyFill="1" applyAlignment="1">
      <alignment horizontal="right" vertical="center"/>
    </xf>
    <xf numFmtId="3" fontId="42" fillId="2" borderId="0" xfId="0" applyNumberFormat="1" applyFont="1" applyFill="1"/>
    <xf numFmtId="3" fontId="42" fillId="27" borderId="0" xfId="0" applyNumberFormat="1" applyFont="1" applyFill="1"/>
    <xf numFmtId="166" fontId="44" fillId="2" borderId="0" xfId="5" applyNumberFormat="1" applyFont="1" applyFill="1"/>
    <xf numFmtId="166" fontId="39" fillId="2" borderId="0" xfId="5" applyNumberFormat="1" applyFont="1" applyFill="1" applyAlignment="1">
      <alignment horizontal="left" vertical="center" indent="1"/>
    </xf>
    <xf numFmtId="166" fontId="42" fillId="2" borderId="0" xfId="5" applyNumberFormat="1" applyFont="1" applyFill="1"/>
    <xf numFmtId="0" fontId="12" fillId="2" borderId="0" xfId="1" applyFont="1" applyFill="1" applyAlignment="1">
      <alignment horizontal="left" vertical="center" indent="1"/>
    </xf>
    <xf numFmtId="0" fontId="45" fillId="26" borderId="0" xfId="1" applyFont="1" applyFill="1" applyAlignment="1">
      <alignment horizontal="left" vertical="center"/>
    </xf>
  </cellXfs>
  <cellStyles count="78">
    <cellStyle name="1" xfId="1"/>
    <cellStyle name="1 3" xfId="3"/>
    <cellStyle name="1_Indicators2007 2" xfId="69"/>
    <cellStyle name="20% - Accent1 2" xfId="10"/>
    <cellStyle name="20% - Accent2 2" xfId="11"/>
    <cellStyle name="20% - Accent3 2" xfId="12"/>
    <cellStyle name="20% - Accent4 2" xfId="13"/>
    <cellStyle name="20% - Accent5 2" xfId="14"/>
    <cellStyle name="20% - Accent6 2" xfId="15"/>
    <cellStyle name="40% - Accent1 2" xfId="16"/>
    <cellStyle name="40% - Accent2 2" xfId="17"/>
    <cellStyle name="40% - Accent3 2" xfId="18"/>
    <cellStyle name="40% - Accent4 2" xfId="19"/>
    <cellStyle name="40% - Accent5 2" xfId="20"/>
    <cellStyle name="40% - Accent6 2" xfId="21"/>
    <cellStyle name="60% - Accent1 2" xfId="22"/>
    <cellStyle name="60% - Accent2 2" xfId="23"/>
    <cellStyle name="60% - Accent3 2" xfId="24"/>
    <cellStyle name="60% - Accent4 2" xfId="25"/>
    <cellStyle name="60% - Accent5 2" xfId="26"/>
    <cellStyle name="60% - Accent6 2" xfId="27"/>
    <cellStyle name="Accent1 2" xfId="28"/>
    <cellStyle name="Accent2 2" xfId="29"/>
    <cellStyle name="Accent3 2" xfId="30"/>
    <cellStyle name="Accent4 2" xfId="31"/>
    <cellStyle name="Accent5 2" xfId="32"/>
    <cellStyle name="Accent6 2" xfId="33"/>
    <cellStyle name="Bad 2" xfId="34"/>
    <cellStyle name="Calculation 2" xfId="35"/>
    <cellStyle name="Check Cell 2" xfId="36"/>
    <cellStyle name="Comma 2" xfId="8"/>
    <cellStyle name="Comma 2 2" xfId="72"/>
    <cellStyle name="Comma 3" xfId="5"/>
    <cellStyle name="Comma 3 2" xfId="37"/>
    <cellStyle name="Comma 3 3" xfId="73"/>
    <cellStyle name="Comma 4" xfId="68"/>
    <cellStyle name="Explanatory Text 2" xfId="38"/>
    <cellStyle name="Good 2" xfId="39"/>
    <cellStyle name="Heading 1 2" xfId="40"/>
    <cellStyle name="Heading 2 2" xfId="41"/>
    <cellStyle name="Heading 3 2" xfId="42"/>
    <cellStyle name="Heading 4 2" xfId="43"/>
    <cellStyle name="Input 2" xfId="44"/>
    <cellStyle name="Linked Cell 2" xfId="45"/>
    <cellStyle name="Neutral 2" xfId="46"/>
    <cellStyle name="Normal" xfId="0" builtinId="0"/>
    <cellStyle name="Normal - Style1" xfId="47"/>
    <cellStyle name="Normal 10" xfId="48"/>
    <cellStyle name="Normal 11" xfId="49"/>
    <cellStyle name="Normal 12" xfId="50"/>
    <cellStyle name="Normal 13" xfId="9"/>
    <cellStyle name="Normal 14" xfId="64"/>
    <cellStyle name="Normal 15" xfId="65"/>
    <cellStyle name="Normal 17" xfId="66"/>
    <cellStyle name="Normal 2" xfId="6"/>
    <cellStyle name="Normal 2 2" xfId="51"/>
    <cellStyle name="Normal 2 2 2" xfId="67"/>
    <cellStyle name="Normal 2 2 3" xfId="70"/>
    <cellStyle name="Normal 2 2 4" xfId="71"/>
    <cellStyle name="Normal 2 2 5" xfId="76"/>
    <cellStyle name="Normal 2 3" xfId="77"/>
    <cellStyle name="Normal 3" xfId="52"/>
    <cellStyle name="Normal 3 2" xfId="75"/>
    <cellStyle name="Normal 3 3" xfId="74"/>
    <cellStyle name="Normal 4" xfId="53"/>
    <cellStyle name="Normal 5" xfId="4"/>
    <cellStyle name="Normal 5 2" xfId="2"/>
    <cellStyle name="Normal 6" xfId="54"/>
    <cellStyle name="Normal 7" xfId="55"/>
    <cellStyle name="Normal 8" xfId="56"/>
    <cellStyle name="Normal 9" xfId="7"/>
    <cellStyle name="Normal 9 2" xfId="57"/>
    <cellStyle name="Note 2" xfId="58"/>
    <cellStyle name="Output 2" xfId="59"/>
    <cellStyle name="Percent 2" xfId="60"/>
    <cellStyle name="Title 2" xfId="61"/>
    <cellStyle name="Total 2" xfId="62"/>
    <cellStyle name="Warning Text 2" xfId="63"/>
  </cellStyles>
  <dxfs count="0"/>
  <tableStyles count="0" defaultTableStyle="TableStyleMedium2" defaultPivotStyle="PivotStyleLight16"/>
  <colors>
    <mruColors>
      <color rgb="FFC8F4F2"/>
      <color rgb="FF249390"/>
      <color rgb="FFFFBD5D"/>
      <color rgb="FF33CCCC"/>
      <color rgb="FF196563"/>
      <color rgb="FFEAFAFA"/>
      <color rgb="FFE0F9F8"/>
      <color rgb="FFDDDDDD"/>
      <color rgb="FFFF9900"/>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a:pPr>
            <a:r>
              <a:rPr lang="en-US" sz="900"/>
              <a:t>In numbers</a:t>
            </a:r>
          </a:p>
        </c:rich>
      </c:tx>
      <c:layout>
        <c:manualLayout>
          <c:xMode val="edge"/>
          <c:yMode val="edge"/>
          <c:x val="1.1029800370005007E-2"/>
          <c:y val="5.1279717091599453E-2"/>
        </c:manualLayout>
      </c:layout>
      <c:overlay val="0"/>
    </c:title>
    <c:autoTitleDeleted val="0"/>
    <c:plotArea>
      <c:layout>
        <c:manualLayout>
          <c:layoutTarget val="inner"/>
          <c:xMode val="edge"/>
          <c:yMode val="edge"/>
          <c:x val="9.7431896513971744E-2"/>
          <c:y val="0.14492374849225886"/>
          <c:w val="0.87799842029424169"/>
          <c:h val="0.7052715695998274"/>
        </c:manualLayout>
      </c:layout>
      <c:barChart>
        <c:barDir val="col"/>
        <c:grouping val="clustered"/>
        <c:varyColors val="0"/>
        <c:ser>
          <c:idx val="0"/>
          <c:order val="0"/>
          <c:tx>
            <c:strRef>
              <c:f>Edu!$A$37</c:f>
              <c:strCache>
                <c:ptCount val="1"/>
                <c:pt idx="0">
                  <c:v>Male'</c:v>
                </c:pt>
              </c:strCache>
            </c:strRef>
          </c:tx>
          <c:spPr>
            <a:solidFill>
              <a:srgbClr val="C8F4F2"/>
            </a:solidFill>
          </c:spPr>
          <c:invertIfNegative val="0"/>
          <c:cat>
            <c:numRef>
              <c:f>Edu!$R$3:$AF$3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Edu!$R$37:$AF$37</c:f>
              <c:numCache>
                <c:formatCode>#,##0</c:formatCode>
                <c:ptCount val="11"/>
                <c:pt idx="0">
                  <c:v>25565</c:v>
                </c:pt>
                <c:pt idx="1">
                  <c:v>25064</c:v>
                </c:pt>
                <c:pt idx="2">
                  <c:v>26583</c:v>
                </c:pt>
                <c:pt idx="3">
                  <c:v>27204</c:v>
                </c:pt>
                <c:pt idx="4">
                  <c:v>28507</c:v>
                </c:pt>
                <c:pt idx="5">
                  <c:v>30361</c:v>
                </c:pt>
                <c:pt idx="6">
                  <c:v>31649</c:v>
                </c:pt>
                <c:pt idx="7">
                  <c:v>31487</c:v>
                </c:pt>
                <c:pt idx="8">
                  <c:v>32170</c:v>
                </c:pt>
                <c:pt idx="9">
                  <c:v>33376</c:v>
                </c:pt>
                <c:pt idx="10">
                  <c:v>33757</c:v>
                </c:pt>
              </c:numCache>
            </c:numRef>
          </c:val>
          <c:extLst xmlns:c16r2="http://schemas.microsoft.com/office/drawing/2015/06/chart">
            <c:ext xmlns:c16="http://schemas.microsoft.com/office/drawing/2014/chart" uri="{C3380CC4-5D6E-409C-BE32-E72D297353CC}">
              <c16:uniqueId val="{00000000-7885-473E-A7B1-EA7F087AAA8C}"/>
            </c:ext>
          </c:extLst>
        </c:ser>
        <c:ser>
          <c:idx val="1"/>
          <c:order val="1"/>
          <c:tx>
            <c:strRef>
              <c:f>Edu!$A$38</c:f>
              <c:strCache>
                <c:ptCount val="1"/>
                <c:pt idx="0">
                  <c:v>Atolls</c:v>
                </c:pt>
              </c:strCache>
            </c:strRef>
          </c:tx>
          <c:spPr>
            <a:solidFill>
              <a:srgbClr val="33CCCC"/>
            </a:solidFill>
          </c:spPr>
          <c:invertIfNegative val="0"/>
          <c:cat>
            <c:numRef>
              <c:f>Edu!$R$3:$AF$3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Edu!$R$38:$AF$38</c:f>
              <c:numCache>
                <c:formatCode>#,##0</c:formatCode>
                <c:ptCount val="11"/>
                <c:pt idx="0">
                  <c:v>62035</c:v>
                </c:pt>
                <c:pt idx="1">
                  <c:v>61882</c:v>
                </c:pt>
                <c:pt idx="2">
                  <c:v>59927</c:v>
                </c:pt>
                <c:pt idx="3">
                  <c:v>58892</c:v>
                </c:pt>
                <c:pt idx="4">
                  <c:v>58576</c:v>
                </c:pt>
                <c:pt idx="5">
                  <c:v>57980</c:v>
                </c:pt>
                <c:pt idx="6">
                  <c:v>56139</c:v>
                </c:pt>
                <c:pt idx="7">
                  <c:v>56289</c:v>
                </c:pt>
                <c:pt idx="8">
                  <c:v>56041</c:v>
                </c:pt>
                <c:pt idx="9">
                  <c:v>56056</c:v>
                </c:pt>
                <c:pt idx="10">
                  <c:v>56808</c:v>
                </c:pt>
              </c:numCache>
            </c:numRef>
          </c:val>
          <c:extLst xmlns:c16r2="http://schemas.microsoft.com/office/drawing/2015/06/chart">
            <c:ext xmlns:c16="http://schemas.microsoft.com/office/drawing/2014/chart" uri="{C3380CC4-5D6E-409C-BE32-E72D297353CC}">
              <c16:uniqueId val="{00000001-7885-473E-A7B1-EA7F087AAA8C}"/>
            </c:ext>
          </c:extLst>
        </c:ser>
        <c:dLbls>
          <c:showLegendKey val="0"/>
          <c:showVal val="0"/>
          <c:showCatName val="0"/>
          <c:showSerName val="0"/>
          <c:showPercent val="0"/>
          <c:showBubbleSize val="0"/>
        </c:dLbls>
        <c:gapWidth val="75"/>
        <c:axId val="495080168"/>
        <c:axId val="495081736"/>
      </c:barChart>
      <c:catAx>
        <c:axId val="495080168"/>
        <c:scaling>
          <c:orientation val="minMax"/>
        </c:scaling>
        <c:delete val="0"/>
        <c:axPos val="b"/>
        <c:numFmt formatCode="0" sourceLinked="1"/>
        <c:majorTickMark val="none"/>
        <c:minorTickMark val="none"/>
        <c:tickLblPos val="nextTo"/>
        <c:crossAx val="495081736"/>
        <c:crosses val="autoZero"/>
        <c:auto val="1"/>
        <c:lblAlgn val="ctr"/>
        <c:lblOffset val="100"/>
        <c:noMultiLvlLbl val="0"/>
      </c:catAx>
      <c:valAx>
        <c:axId val="495081736"/>
        <c:scaling>
          <c:orientation val="minMax"/>
        </c:scaling>
        <c:delete val="0"/>
        <c:axPos val="l"/>
        <c:majorGridlines>
          <c:spPr>
            <a:ln>
              <a:noFill/>
            </a:ln>
          </c:spPr>
        </c:majorGridlines>
        <c:numFmt formatCode="#,##0" sourceLinked="1"/>
        <c:majorTickMark val="none"/>
        <c:minorTickMark val="none"/>
        <c:tickLblPos val="nextTo"/>
        <c:spPr>
          <a:ln w="9525">
            <a:noFill/>
          </a:ln>
        </c:spPr>
        <c:crossAx val="495080168"/>
        <c:crosses val="autoZero"/>
        <c:crossBetween val="between"/>
      </c:valAx>
      <c:spPr>
        <a:ln>
          <a:solidFill>
            <a:schemeClr val="bg1">
              <a:lumMod val="65000"/>
            </a:schemeClr>
          </a:solidFill>
        </a:ln>
      </c:spPr>
    </c:plotArea>
    <c:legend>
      <c:legendPos val="b"/>
      <c:layout>
        <c:manualLayout>
          <c:xMode val="edge"/>
          <c:yMode val="edge"/>
          <c:x val="0.52853578621733088"/>
          <c:y val="0.18386590792442212"/>
          <c:w val="0.24407286872525394"/>
          <c:h val="6.0478361509378971E-2"/>
        </c:manualLayout>
      </c:layout>
      <c:overlay val="0"/>
      <c:txPr>
        <a:bodyPr/>
        <a:lstStyle/>
        <a:p>
          <a:pPr>
            <a:defRPr b="1"/>
          </a:pPr>
          <a:endParaRPr lang="en-US"/>
        </a:p>
      </c:txPr>
    </c:legend>
    <c:plotVisOnly val="1"/>
    <c:dispBlanksAs val="gap"/>
    <c:showDLblsOverMax val="0"/>
  </c:chart>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latin typeface="Candara" pitchFamily="34" charset="0"/>
                <a:cs typeface="Consolas" pitchFamily="49" charset="0"/>
              </a:rPr>
              <a:t>Student Teacher Ratio,</a:t>
            </a:r>
            <a:r>
              <a:rPr lang="en-US" sz="1200" baseline="0">
                <a:latin typeface="Candara" pitchFamily="34" charset="0"/>
                <a:cs typeface="Consolas" pitchFamily="49" charset="0"/>
              </a:rPr>
              <a:t> 2010 - 2020</a:t>
            </a:r>
            <a:r>
              <a:rPr lang="en-US" sz="1200">
                <a:latin typeface="Candara" pitchFamily="34" charset="0"/>
                <a:cs typeface="Consolas" pitchFamily="49" charset="0"/>
              </a:rPr>
              <a:t> </a:t>
            </a:r>
          </a:p>
        </c:rich>
      </c:tx>
      <c:layout/>
      <c:overlay val="0"/>
    </c:title>
    <c:autoTitleDeleted val="0"/>
    <c:plotArea>
      <c:layout>
        <c:manualLayout>
          <c:layoutTarget val="inner"/>
          <c:xMode val="edge"/>
          <c:yMode val="edge"/>
          <c:x val="6.0065566549200325E-2"/>
          <c:y val="0.15615030787407874"/>
          <c:w val="0.92056942938465713"/>
          <c:h val="0.73474662951769587"/>
        </c:manualLayout>
      </c:layout>
      <c:lineChart>
        <c:grouping val="standard"/>
        <c:varyColors val="0"/>
        <c:ser>
          <c:idx val="0"/>
          <c:order val="0"/>
          <c:spPr>
            <a:ln w="25400">
              <a:solidFill>
                <a:srgbClr val="249390"/>
              </a:solidFill>
            </a:ln>
          </c:spPr>
          <c:marker>
            <c:symbol val="diamond"/>
            <c:size val="7"/>
            <c:spPr>
              <a:solidFill>
                <a:srgbClr val="33CCCC"/>
              </a:solidFill>
              <a:ln>
                <a:solidFill>
                  <a:srgbClr val="196563"/>
                </a:solidFill>
              </a:ln>
            </c:spPr>
          </c:marker>
          <c:cat>
            <c:numRef>
              <c:f>Edu!$R$3:$AF$3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Edu!$R$15:$AF$15</c:f>
              <c:numCache>
                <c:formatCode>#,##0</c:formatCode>
                <c:ptCount val="11"/>
                <c:pt idx="0">
                  <c:v>11</c:v>
                </c:pt>
                <c:pt idx="1">
                  <c:v>12</c:v>
                </c:pt>
                <c:pt idx="2">
                  <c:v>11</c:v>
                </c:pt>
                <c:pt idx="3">
                  <c:v>10.47</c:v>
                </c:pt>
                <c:pt idx="4">
                  <c:v>10.347997138769671</c:v>
                </c:pt>
                <c:pt idx="5">
                  <c:v>9.9835544969944419</c:v>
                </c:pt>
                <c:pt idx="6">
                  <c:v>9.8010494585240586</c:v>
                </c:pt>
                <c:pt idx="7">
                  <c:v>9</c:v>
                </c:pt>
                <c:pt idx="8">
                  <c:v>9.1709785103275614</c:v>
                </c:pt>
                <c:pt idx="9">
                  <c:v>8.5794320798158097</c:v>
                </c:pt>
                <c:pt idx="10">
                  <c:v>9</c:v>
                </c:pt>
              </c:numCache>
            </c:numRef>
          </c:val>
          <c:smooth val="1"/>
          <c:extLst xmlns:c16r2="http://schemas.microsoft.com/office/drawing/2015/06/chart">
            <c:ext xmlns:c16="http://schemas.microsoft.com/office/drawing/2014/chart" uri="{C3380CC4-5D6E-409C-BE32-E72D297353CC}">
              <c16:uniqueId val="{00000000-85E8-4659-8118-16A755A58ACA}"/>
            </c:ext>
          </c:extLst>
        </c:ser>
        <c:dLbls>
          <c:showLegendKey val="0"/>
          <c:showVal val="0"/>
          <c:showCatName val="0"/>
          <c:showSerName val="0"/>
          <c:showPercent val="0"/>
          <c:showBubbleSize val="0"/>
        </c:dLbls>
        <c:marker val="1"/>
        <c:smooth val="0"/>
        <c:axId val="495080952"/>
        <c:axId val="495082128"/>
      </c:lineChart>
      <c:catAx>
        <c:axId val="495080952"/>
        <c:scaling>
          <c:orientation val="minMax"/>
        </c:scaling>
        <c:delete val="0"/>
        <c:axPos val="b"/>
        <c:numFmt formatCode="0" sourceLinked="1"/>
        <c:majorTickMark val="out"/>
        <c:minorTickMark val="none"/>
        <c:tickLblPos val="nextTo"/>
        <c:txPr>
          <a:bodyPr/>
          <a:lstStyle/>
          <a:p>
            <a:pPr>
              <a:defRPr sz="1050"/>
            </a:pPr>
            <a:endParaRPr lang="en-US"/>
          </a:p>
        </c:txPr>
        <c:crossAx val="495082128"/>
        <c:crosses val="autoZero"/>
        <c:auto val="1"/>
        <c:lblAlgn val="ctr"/>
        <c:lblOffset val="100"/>
        <c:noMultiLvlLbl val="0"/>
      </c:catAx>
      <c:valAx>
        <c:axId val="495082128"/>
        <c:scaling>
          <c:orientation val="minMax"/>
        </c:scaling>
        <c:delete val="0"/>
        <c:axPos val="l"/>
        <c:majorGridlines>
          <c:spPr>
            <a:ln>
              <a:solidFill>
                <a:srgbClr val="C8F4F2"/>
              </a:solidFill>
            </a:ln>
          </c:spPr>
        </c:majorGridlines>
        <c:numFmt formatCode="#,##0" sourceLinked="1"/>
        <c:majorTickMark val="out"/>
        <c:minorTickMark val="none"/>
        <c:tickLblPos val="nextTo"/>
        <c:crossAx val="495080952"/>
        <c:crosses val="autoZero"/>
        <c:crossBetween val="between"/>
        <c:majorUnit val="5"/>
      </c:valAx>
      <c:spPr>
        <a:solidFill>
          <a:srgbClr val="E0F9F8"/>
        </a:solidFill>
        <a:ln>
          <a:solidFill>
            <a:schemeClr val="bg1">
              <a:lumMod val="65000"/>
            </a:schemeClr>
          </a:solidFill>
        </a:ln>
      </c:spPr>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1514475</xdr:colOff>
      <xdr:row>38</xdr:row>
      <xdr:rowOff>0</xdr:rowOff>
    </xdr:from>
    <xdr:to>
      <xdr:col>1</xdr:col>
      <xdr:colOff>1590675</xdr:colOff>
      <xdr:row>42</xdr:row>
      <xdr:rowOff>193092</xdr:rowOff>
    </xdr:to>
    <xdr:sp macro="" textlink="">
      <xdr:nvSpPr>
        <xdr:cNvPr id="2" name="Text Box 7">
          <a:extLst>
            <a:ext uri="{FF2B5EF4-FFF2-40B4-BE49-F238E27FC236}">
              <a16:creationId xmlns="" xmlns:a16="http://schemas.microsoft.com/office/drawing/2014/main" id="{00000000-0008-0000-0400-000002000000}"/>
            </a:ext>
          </a:extLst>
        </xdr:cNvPr>
        <xdr:cNvSpPr txBox="1">
          <a:spLocks noChangeArrowheads="1"/>
        </xdr:cNvSpPr>
      </xdr:nvSpPr>
      <xdr:spPr bwMode="auto">
        <a:xfrm>
          <a:off x="2105025" y="6477000"/>
          <a:ext cx="76200" cy="1964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1514475</xdr:colOff>
      <xdr:row>38</xdr:row>
      <xdr:rowOff>0</xdr:rowOff>
    </xdr:from>
    <xdr:to>
      <xdr:col>1</xdr:col>
      <xdr:colOff>1590675</xdr:colOff>
      <xdr:row>42</xdr:row>
      <xdr:rowOff>193092</xdr:rowOff>
    </xdr:to>
    <xdr:sp macro="" textlink="">
      <xdr:nvSpPr>
        <xdr:cNvPr id="3" name="Text Box 7">
          <a:extLst>
            <a:ext uri="{FF2B5EF4-FFF2-40B4-BE49-F238E27FC236}">
              <a16:creationId xmlns="" xmlns:a16="http://schemas.microsoft.com/office/drawing/2014/main" id="{00000000-0008-0000-0400-000003000000}"/>
            </a:ext>
          </a:extLst>
        </xdr:cNvPr>
        <xdr:cNvSpPr txBox="1">
          <a:spLocks noChangeArrowheads="1"/>
        </xdr:cNvSpPr>
      </xdr:nvSpPr>
      <xdr:spPr bwMode="auto">
        <a:xfrm>
          <a:off x="2105025" y="6477000"/>
          <a:ext cx="76200" cy="1964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425490</xdr:colOff>
      <xdr:row>46</xdr:row>
      <xdr:rowOff>60388</xdr:rowOff>
    </xdr:from>
    <xdr:to>
      <xdr:col>23</xdr:col>
      <xdr:colOff>219074</xdr:colOff>
      <xdr:row>59</xdr:row>
      <xdr:rowOff>123825</xdr:rowOff>
    </xdr:to>
    <xdr:graphicFrame macro="">
      <xdr:nvGraphicFramePr>
        <xdr:cNvPr id="4" name="Chart 3">
          <a:extLst>
            <a:ext uri="{FF2B5EF4-FFF2-40B4-BE49-F238E27FC236}">
              <a16:creationId xmlns=""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561975</xdr:colOff>
      <xdr:row>46</xdr:row>
      <xdr:rowOff>99977</xdr:rowOff>
    </xdr:from>
    <xdr:to>
      <xdr:col>29</xdr:col>
      <xdr:colOff>609600</xdr:colOff>
      <xdr:row>59</xdr:row>
      <xdr:rowOff>123825</xdr:rowOff>
    </xdr:to>
    <xdr:graphicFrame macro="">
      <xdr:nvGraphicFramePr>
        <xdr:cNvPr id="5" name="Chart 4">
          <a:extLst>
            <a:ext uri="{FF2B5EF4-FFF2-40B4-BE49-F238E27FC236}">
              <a16:creationId xmlns=""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1514475</xdr:colOff>
      <xdr:row>48</xdr:row>
      <xdr:rowOff>0</xdr:rowOff>
    </xdr:from>
    <xdr:to>
      <xdr:col>1</xdr:col>
      <xdr:colOff>1514475</xdr:colOff>
      <xdr:row>48</xdr:row>
      <xdr:rowOff>196625</xdr:rowOff>
    </xdr:to>
    <xdr:sp macro="" textlink="">
      <xdr:nvSpPr>
        <xdr:cNvPr id="6" name="Text Box 7">
          <a:extLst>
            <a:ext uri="{FF2B5EF4-FFF2-40B4-BE49-F238E27FC236}">
              <a16:creationId xmlns="" xmlns:a16="http://schemas.microsoft.com/office/drawing/2014/main" id="{00000000-0008-0000-0400-000006000000}"/>
            </a:ext>
          </a:extLst>
        </xdr:cNvPr>
        <xdr:cNvSpPr txBox="1">
          <a:spLocks noChangeArrowheads="1"/>
        </xdr:cNvSpPr>
      </xdr:nvSpPr>
      <xdr:spPr bwMode="auto">
        <a:xfrm>
          <a:off x="2105025" y="8353425"/>
          <a:ext cx="0" cy="2000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1514475</xdr:colOff>
      <xdr:row>48</xdr:row>
      <xdr:rowOff>0</xdr:rowOff>
    </xdr:from>
    <xdr:to>
      <xdr:col>1</xdr:col>
      <xdr:colOff>1514475</xdr:colOff>
      <xdr:row>48</xdr:row>
      <xdr:rowOff>196625</xdr:rowOff>
    </xdr:to>
    <xdr:sp macro="" textlink="">
      <xdr:nvSpPr>
        <xdr:cNvPr id="7" name="Text Box 7">
          <a:extLst>
            <a:ext uri="{FF2B5EF4-FFF2-40B4-BE49-F238E27FC236}">
              <a16:creationId xmlns="" xmlns:a16="http://schemas.microsoft.com/office/drawing/2014/main" id="{00000000-0008-0000-0400-000007000000}"/>
            </a:ext>
          </a:extLst>
        </xdr:cNvPr>
        <xdr:cNvSpPr txBox="1">
          <a:spLocks noChangeArrowheads="1"/>
        </xdr:cNvSpPr>
      </xdr:nvSpPr>
      <xdr:spPr bwMode="auto">
        <a:xfrm>
          <a:off x="2105025" y="8353425"/>
          <a:ext cx="0" cy="2000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c:userShapes xmlns:c="http://schemas.openxmlformats.org/drawingml/2006/chart">
  <cdr:relSizeAnchor xmlns:cdr="http://schemas.openxmlformats.org/drawingml/2006/chartDrawing">
    <cdr:from>
      <cdr:x>0.12248</cdr:x>
      <cdr:y>0.03375</cdr:y>
    </cdr:from>
    <cdr:to>
      <cdr:x>0.94653</cdr:x>
      <cdr:y>0.14029</cdr:y>
    </cdr:to>
    <cdr:sp macro="" textlink="">
      <cdr:nvSpPr>
        <cdr:cNvPr id="2" name="TextBox 1"/>
        <cdr:cNvSpPr txBox="1"/>
      </cdr:nvSpPr>
      <cdr:spPr>
        <a:xfrm xmlns:a="http://schemas.openxmlformats.org/drawingml/2006/main">
          <a:off x="632676" y="85725"/>
          <a:ext cx="4256783" cy="2706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indent="0" algn="ctr" defTabSz="914400" rtl="1" eaLnBrk="1" fontAlgn="auto" latinLnBrk="0" hangingPunct="1">
            <a:lnSpc>
              <a:spcPct val="100000"/>
            </a:lnSpc>
            <a:spcBef>
              <a:spcPts val="0"/>
            </a:spcBef>
            <a:spcAft>
              <a:spcPts val="0"/>
            </a:spcAft>
            <a:buClrTx/>
            <a:buSzTx/>
            <a:buFontTx/>
            <a:buNone/>
            <a:tabLst/>
            <a:defRPr/>
          </a:pPr>
          <a:r>
            <a:rPr lang="en-US" sz="900" b="1" i="0">
              <a:effectLst/>
              <a:latin typeface="Consolas" pitchFamily="49" charset="0"/>
              <a:ea typeface="+mn-ea"/>
              <a:cs typeface="Consolas" pitchFamily="49" charset="0"/>
            </a:rPr>
            <a:t>Student Enrollment in Male' and Atolls, 2010 - 2020</a:t>
          </a:r>
          <a:endParaRPr lang="en-US" sz="900">
            <a:effectLst/>
            <a:latin typeface="Consolas" pitchFamily="49" charset="0"/>
            <a:cs typeface="Consolas" pitchFamily="49" charset="0"/>
          </a:endParaRPr>
        </a:p>
        <a:p xmlns:a="http://schemas.openxmlformats.org/drawingml/2006/main">
          <a:pPr algn="ctr"/>
          <a:endParaRPr lang="en-US" sz="900">
            <a:latin typeface="Consolas" pitchFamily="49" charset="0"/>
            <a:cs typeface="Consolas" pitchFamily="49" charset="0"/>
          </a:endParaRP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G:\April%202021\YEARBOOK%202021_%20Work%20from%20Home\CHECKING\FINAL%20TABLES\3.%20POPU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Dissemination\Publications\Statistical%20Year%20Book\YEARBOOK%202019\Indicators%20%20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
      <sheetName val="3.2"/>
      <sheetName val="3.3"/>
      <sheetName val="3.4"/>
      <sheetName val="3.5"/>
      <sheetName val="3.6"/>
      <sheetName val="3.7"/>
      <sheetName val="3.8"/>
      <sheetName val="3.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AR5" t="str">
            <v>Residential Maldivian 2021</v>
          </cell>
          <cell r="AT5" t="str">
            <v>Resident Foreigners 2021</v>
          </cell>
        </row>
        <row r="6">
          <cell r="AR6" t="str">
            <v>Male</v>
          </cell>
          <cell r="AS6" t="str">
            <v>Female</v>
          </cell>
          <cell r="AT6" t="str">
            <v>Male</v>
          </cell>
          <cell r="AU6" t="str">
            <v>Female</v>
          </cell>
        </row>
        <row r="7">
          <cell r="AQ7" t="str">
            <v xml:space="preserve">  0-4</v>
          </cell>
          <cell r="AR7">
            <v>-19653.598842581639</v>
          </cell>
          <cell r="AS7">
            <v>18119.598842581639</v>
          </cell>
          <cell r="AT7">
            <v>-924.62485060178403</v>
          </cell>
          <cell r="AU7">
            <v>654.98575209927196</v>
          </cell>
        </row>
        <row r="8">
          <cell r="AQ8" t="str">
            <v xml:space="preserve">  5-9</v>
          </cell>
          <cell r="AR8">
            <v>-18841.998070969399</v>
          </cell>
          <cell r="AS8">
            <v>17149.19961419388</v>
          </cell>
          <cell r="AT8">
            <v>-535.94486156285018</v>
          </cell>
          <cell r="AU8">
            <v>309.81212223682661</v>
          </cell>
        </row>
        <row r="9">
          <cell r="AQ9" t="str">
            <v xml:space="preserve"> 10-14</v>
          </cell>
          <cell r="AR9">
            <v>-18038.798456775519</v>
          </cell>
          <cell r="AS9">
            <v>16835.798456775519</v>
          </cell>
          <cell r="AT9">
            <v>-305.2043868336043</v>
          </cell>
          <cell r="AU9">
            <v>155.96692405774849</v>
          </cell>
        </row>
        <row r="10">
          <cell r="AQ10" t="str">
            <v xml:space="preserve"> 15-19</v>
          </cell>
          <cell r="AR10">
            <v>-14567.301771869137</v>
          </cell>
          <cell r="AS10">
            <v>13002.585339367435</v>
          </cell>
          <cell r="AT10">
            <v>-3100.1227821051284</v>
          </cell>
          <cell r="AU10">
            <v>268.33220420315592</v>
          </cell>
        </row>
        <row r="11">
          <cell r="AQ11" t="str">
            <v xml:space="preserve"> 20-24</v>
          </cell>
          <cell r="AR11">
            <v>-18968.469354691664</v>
          </cell>
          <cell r="AS11">
            <v>14472.938271020779</v>
          </cell>
          <cell r="AT11">
            <v>-29780.297952413581</v>
          </cell>
          <cell r="AU11">
            <v>1768.5689157368517</v>
          </cell>
        </row>
        <row r="12">
          <cell r="AQ12" t="str">
            <v xml:space="preserve"> 25-29</v>
          </cell>
          <cell r="AR12">
            <v>-18763.424062945836</v>
          </cell>
          <cell r="AS12">
            <v>16741.965277449188</v>
          </cell>
          <cell r="AT12">
            <v>-48510.091112514026</v>
          </cell>
          <cell r="AU12">
            <v>4339.558146995103</v>
          </cell>
        </row>
        <row r="13">
          <cell r="AQ13" t="str">
            <v xml:space="preserve"> 30-34</v>
          </cell>
          <cell r="AR13">
            <v>-18318.569745229473</v>
          </cell>
          <cell r="AS13">
            <v>18679.783024530716</v>
          </cell>
          <cell r="AT13">
            <v>-34027.79818339811</v>
          </cell>
          <cell r="AU13">
            <v>3471.6305780861421</v>
          </cell>
        </row>
        <row r="14">
          <cell r="AQ14" t="str">
            <v xml:space="preserve"> 35-39</v>
          </cell>
          <cell r="AR14">
            <v>-16462.283405605143</v>
          </cell>
          <cell r="AS14">
            <v>17785.792669683717</v>
          </cell>
          <cell r="AT14">
            <v>-21799.928284217396</v>
          </cell>
          <cell r="AU14">
            <v>2312.4214527738513</v>
          </cell>
        </row>
        <row r="15">
          <cell r="AQ15" t="str">
            <v xml:space="preserve"> 40-44</v>
          </cell>
          <cell r="AR15">
            <v>-12015.414579685988</v>
          </cell>
          <cell r="AS15">
            <v>12639.794598714318</v>
          </cell>
          <cell r="AT15">
            <v>-13567.541561269449</v>
          </cell>
          <cell r="AU15">
            <v>1309.8935777055044</v>
          </cell>
        </row>
        <row r="16">
          <cell r="AQ16" t="str">
            <v xml:space="preserve"> 45-49</v>
          </cell>
          <cell r="AR16">
            <v>-9913.5476827974326</v>
          </cell>
          <cell r="AS16">
            <v>10450.798456775519</v>
          </cell>
          <cell r="AT16">
            <v>-7747.5254765161826</v>
          </cell>
          <cell r="AU16">
            <v>858.60295559410304</v>
          </cell>
        </row>
        <row r="17">
          <cell r="AQ17" t="str">
            <v xml:space="preserve"> 50-54</v>
          </cell>
          <cell r="AR17">
            <v>-8630.4310169193814</v>
          </cell>
          <cell r="AS17">
            <v>9081.9961419387982</v>
          </cell>
          <cell r="AT17">
            <v>-3662.8756573793116</v>
          </cell>
          <cell r="AU17">
            <v>463.46250418330567</v>
          </cell>
        </row>
        <row r="18">
          <cell r="AQ18" t="str">
            <v xml:space="preserve"> 55-59</v>
          </cell>
          <cell r="AR18">
            <v>-7230.5178232964117</v>
          </cell>
          <cell r="AS18">
            <v>7641.5988425816395</v>
          </cell>
          <cell r="AT18">
            <v>-1443.6715329831309</v>
          </cell>
          <cell r="AU18">
            <v>261.84364295316544</v>
          </cell>
        </row>
        <row r="19">
          <cell r="AQ19" t="str">
            <v xml:space="preserve"> 60-64</v>
          </cell>
          <cell r="AR19">
            <v>-6318.5621910002274</v>
          </cell>
          <cell r="AS19">
            <v>6273.5988425816395</v>
          </cell>
          <cell r="AT19">
            <v>-540.45333359704068</v>
          </cell>
          <cell r="AU19">
            <v>114.33115303799846</v>
          </cell>
        </row>
        <row r="20">
          <cell r="AQ20" t="str">
            <v xml:space="preserve"> 65-69</v>
          </cell>
          <cell r="AR20">
            <v>-3549.3837961429545</v>
          </cell>
          <cell r="AS20">
            <v>3357</v>
          </cell>
          <cell r="AT20">
            <v>-192.69663871311454</v>
          </cell>
          <cell r="AU20">
            <v>41.570832275550352</v>
          </cell>
        </row>
        <row r="21">
          <cell r="AQ21" t="str">
            <v xml:space="preserve"> 70-74</v>
          </cell>
          <cell r="AR21">
            <v>-2179.794598714318</v>
          </cell>
          <cell r="AS21">
            <v>2222.1996141938798</v>
          </cell>
          <cell r="AT21">
            <v>-91.77459872710034</v>
          </cell>
          <cell r="AU21">
            <v>12.464106420803137</v>
          </cell>
        </row>
        <row r="22">
          <cell r="AQ22" t="str">
            <v xml:space="preserve"> 75+</v>
          </cell>
          <cell r="AR22">
            <v>-3981.9980709693991</v>
          </cell>
          <cell r="AS22">
            <v>3807.1996141938798</v>
          </cell>
          <cell r="AT22">
            <v>-85.642366765005363</v>
          </cell>
          <cell r="AU22">
            <v>6.2417940220315256</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Geo"/>
      <sheetName val="2 Popu"/>
      <sheetName val="3 Emp"/>
      <sheetName val="4 Health"/>
      <sheetName val="5 Edu"/>
      <sheetName val="Law &amp; Ord"/>
      <sheetName val="Fisher"/>
      <sheetName val="Touri"/>
      <sheetName val="11Transp"/>
      <sheetName val="Elect"/>
      <sheetName val="Finance"/>
      <sheetName val="Money &amp; banking"/>
      <sheetName val="Foerign trade &amp; BOP"/>
      <sheetName val="Annual nationa accounts"/>
      <sheetName val="Prices "/>
      <sheetName val="Political parties &amp; Elections"/>
      <sheetName val="poverty"/>
      <sheetName val="Social Protection _Final"/>
    </sheetNames>
    <sheetDataSet>
      <sheetData sheetId="0"/>
      <sheetData sheetId="1"/>
      <sheetData sheetId="2"/>
      <sheetData sheetId="3"/>
      <sheetData sheetId="4"/>
      <sheetData sheetId="5"/>
      <sheetData sheetId="6"/>
      <sheetData sheetId="7"/>
      <sheetData sheetId="8"/>
      <sheetData sheetId="9"/>
      <sheetData sheetId="10">
        <row r="3">
          <cell r="N3">
            <v>2006</v>
          </cell>
        </row>
      </sheetData>
      <sheetData sheetId="11"/>
      <sheetData sheetId="12">
        <row r="85">
          <cell r="Q85">
            <v>0</v>
          </cell>
        </row>
        <row r="86">
          <cell r="D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Z86">
            <v>0</v>
          </cell>
        </row>
        <row r="87">
          <cell r="D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Z87">
            <v>0</v>
          </cell>
        </row>
        <row r="88">
          <cell r="D88">
            <v>0</v>
          </cell>
          <cell r="I88">
            <v>0</v>
          </cell>
          <cell r="J88">
            <v>0</v>
          </cell>
          <cell r="K88">
            <v>0</v>
          </cell>
          <cell r="L88">
            <v>0</v>
          </cell>
          <cell r="M88">
            <v>0</v>
          </cell>
          <cell r="N88">
            <v>0</v>
          </cell>
          <cell r="O88">
            <v>0</v>
          </cell>
          <cell r="P88">
            <v>0</v>
          </cell>
          <cell r="Q88">
            <v>0</v>
          </cell>
          <cell r="R88">
            <v>0</v>
          </cell>
          <cell r="S88">
            <v>0</v>
          </cell>
          <cell r="T88">
            <v>0</v>
          </cell>
          <cell r="U88">
            <v>0</v>
          </cell>
          <cell r="W88">
            <v>0</v>
          </cell>
          <cell r="X88">
            <v>0</v>
          </cell>
          <cell r="Y88">
            <v>0</v>
          </cell>
          <cell r="Z88">
            <v>0</v>
          </cell>
          <cell r="AA88">
            <v>0</v>
          </cell>
        </row>
      </sheetData>
      <sheetData sheetId="13">
        <row r="4">
          <cell r="K4">
            <v>2003</v>
          </cell>
        </row>
      </sheetData>
      <sheetData sheetId="14"/>
      <sheetData sheetId="15">
        <row r="4">
          <cell r="A4" t="str">
            <v>Money given by the Government to the Political Parties (MVR)</v>
          </cell>
        </row>
      </sheetData>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BD5D"/>
  </sheetPr>
  <dimension ref="A1:GK441"/>
  <sheetViews>
    <sheetView tabSelected="1" zoomScale="112" zoomScaleNormal="112" workbookViewId="0">
      <selection activeCell="BK1" sqref="BK1:CT1048576"/>
    </sheetView>
  </sheetViews>
  <sheetFormatPr defaultColWidth="9.140625" defaultRowHeight="15.75" x14ac:dyDescent="0.25"/>
  <cols>
    <col min="1" max="1" width="8.85546875" style="13" customWidth="1"/>
    <col min="2" max="2" width="39.42578125" style="13" customWidth="1"/>
    <col min="3" max="5" width="10.5703125" style="13" hidden="1" customWidth="1"/>
    <col min="6" max="6" width="2.140625" style="13" hidden="1" customWidth="1"/>
    <col min="7" max="7" width="8.42578125" style="13" hidden="1" customWidth="1"/>
    <col min="8" max="11" width="10.5703125" style="13" hidden="1" customWidth="1"/>
    <col min="12" max="17" width="14.85546875" style="13" hidden="1" customWidth="1"/>
    <col min="18" max="20" width="13.5703125" style="12" hidden="1" customWidth="1"/>
    <col min="21" max="21" width="13.5703125" style="7" hidden="1" customWidth="1"/>
    <col min="22" max="28" width="11.7109375" style="71" customWidth="1"/>
    <col min="29" max="32" width="11.7109375" style="70" customWidth="1"/>
    <col min="33" max="35" width="7.7109375" style="14" customWidth="1"/>
    <col min="36" max="36" width="9.140625" style="14"/>
    <col min="37" max="37" width="4.7109375" style="14" customWidth="1"/>
    <col min="38" max="193" width="9.140625" style="14"/>
    <col min="194" max="16384" width="9.140625" style="7"/>
  </cols>
  <sheetData>
    <row r="1" spans="1:193" ht="30" customHeight="1" x14ac:dyDescent="0.25">
      <c r="A1" s="91" t="s">
        <v>4</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row>
    <row r="2" spans="1:193" ht="15" customHeight="1" x14ac:dyDescent="0.25">
      <c r="A2" s="1"/>
      <c r="B2" s="1"/>
      <c r="C2" s="1"/>
      <c r="D2" s="1"/>
      <c r="E2" s="1"/>
      <c r="F2" s="1"/>
      <c r="G2" s="1"/>
      <c r="H2" s="1"/>
      <c r="I2" s="1"/>
      <c r="J2" s="1"/>
      <c r="K2" s="1"/>
      <c r="L2" s="1"/>
      <c r="M2" s="1"/>
      <c r="N2" s="1"/>
      <c r="O2" s="1"/>
      <c r="P2" s="1"/>
      <c r="Q2" s="1"/>
      <c r="R2" s="1"/>
      <c r="S2" s="1"/>
      <c r="T2" s="1"/>
      <c r="U2" s="1"/>
      <c r="V2" s="69"/>
      <c r="W2" s="69"/>
      <c r="X2" s="69"/>
      <c r="Y2" s="69"/>
      <c r="Z2" s="69"/>
      <c r="AA2" s="70"/>
      <c r="AB2" s="70"/>
    </row>
    <row r="3" spans="1:193" ht="15" customHeight="1" x14ac:dyDescent="0.25">
      <c r="A3" s="48"/>
      <c r="B3" s="48"/>
      <c r="C3" s="48">
        <v>1991</v>
      </c>
      <c r="D3" s="48">
        <v>1992</v>
      </c>
      <c r="E3" s="48">
        <v>1993</v>
      </c>
      <c r="F3" s="48">
        <v>1994</v>
      </c>
      <c r="G3" s="48">
        <v>1995</v>
      </c>
      <c r="H3" s="48">
        <v>1996</v>
      </c>
      <c r="I3" s="48">
        <v>1997</v>
      </c>
      <c r="J3" s="48">
        <v>1998</v>
      </c>
      <c r="K3" s="48">
        <v>1999</v>
      </c>
      <c r="L3" s="48">
        <v>2000</v>
      </c>
      <c r="M3" s="48">
        <v>2001</v>
      </c>
      <c r="N3" s="48">
        <v>2002</v>
      </c>
      <c r="O3" s="48">
        <v>2003</v>
      </c>
      <c r="P3" s="48">
        <v>2004</v>
      </c>
      <c r="Q3" s="48">
        <v>2005</v>
      </c>
      <c r="R3" s="52">
        <v>2006</v>
      </c>
      <c r="S3" s="52">
        <v>2007</v>
      </c>
      <c r="T3" s="52">
        <v>2008</v>
      </c>
      <c r="U3" s="52">
        <v>2009</v>
      </c>
      <c r="V3" s="75">
        <v>2010</v>
      </c>
      <c r="W3" s="75">
        <v>2011</v>
      </c>
      <c r="X3" s="75">
        <v>2012</v>
      </c>
      <c r="Y3" s="75">
        <v>2013</v>
      </c>
      <c r="Z3" s="75">
        <v>2014</v>
      </c>
      <c r="AA3" s="75">
        <v>2015</v>
      </c>
      <c r="AB3" s="75">
        <v>2016</v>
      </c>
      <c r="AC3" s="75">
        <v>2017</v>
      </c>
      <c r="AD3" s="75">
        <v>2018</v>
      </c>
      <c r="AE3" s="75">
        <v>2019</v>
      </c>
      <c r="AF3" s="75">
        <v>2020</v>
      </c>
      <c r="AG3" s="51"/>
    </row>
    <row r="4" spans="1:193" s="10" customFormat="1" ht="15" hidden="1" customHeight="1" x14ac:dyDescent="0.25">
      <c r="A4" s="3" t="s">
        <v>5</v>
      </c>
      <c r="B4" s="3"/>
      <c r="C4" s="3">
        <f>SUM(C5:C6)</f>
        <v>35415</v>
      </c>
      <c r="D4" s="3">
        <f>SUM(D5:D7)</f>
        <v>73642</v>
      </c>
      <c r="E4" s="3">
        <f>SUM(E5:E6)</f>
        <v>43153</v>
      </c>
      <c r="F4" s="3">
        <f>SUM(F5:F7)</f>
        <v>83855</v>
      </c>
      <c r="G4" s="3">
        <f t="shared" ref="G4:N4" si="0">SUM(G5:G7)</f>
        <v>87878</v>
      </c>
      <c r="H4" s="3">
        <f t="shared" si="0"/>
        <v>90597</v>
      </c>
      <c r="I4" s="3">
        <f t="shared" si="0"/>
        <v>93375</v>
      </c>
      <c r="J4" s="3">
        <f t="shared" si="0"/>
        <v>97323</v>
      </c>
      <c r="K4" s="3">
        <f t="shared" si="0"/>
        <v>101081</v>
      </c>
      <c r="L4" s="3">
        <f t="shared" si="0"/>
        <v>105356</v>
      </c>
      <c r="M4" s="3">
        <f t="shared" si="0"/>
        <v>106391</v>
      </c>
      <c r="N4" s="3">
        <f t="shared" si="0"/>
        <v>106220</v>
      </c>
      <c r="O4" s="3">
        <f>SUM(O5:O7)</f>
        <v>104408</v>
      </c>
      <c r="P4" s="3">
        <f>SUM(P5:P7)</f>
        <v>104214</v>
      </c>
      <c r="Q4" s="3">
        <v>102073</v>
      </c>
      <c r="R4" s="16">
        <v>100241</v>
      </c>
      <c r="S4" s="16">
        <v>97131</v>
      </c>
      <c r="T4" s="16">
        <v>93433</v>
      </c>
      <c r="U4" s="16">
        <v>89841</v>
      </c>
      <c r="V4" s="76">
        <v>87600</v>
      </c>
      <c r="W4" s="76">
        <v>86946</v>
      </c>
      <c r="X4" s="76">
        <v>86510</v>
      </c>
      <c r="Y4" s="76">
        <v>86096</v>
      </c>
      <c r="Z4" s="76">
        <v>87083</v>
      </c>
      <c r="AA4" s="76">
        <v>88341</v>
      </c>
      <c r="AB4" s="76">
        <v>87788</v>
      </c>
      <c r="AC4" s="73"/>
      <c r="AD4" s="73"/>
      <c r="AE4" s="73"/>
      <c r="AF4" s="73"/>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row>
    <row r="5" spans="1:193" ht="15" hidden="1" customHeight="1" x14ac:dyDescent="0.25">
      <c r="A5" s="17"/>
      <c r="B5" s="17" t="s">
        <v>6</v>
      </c>
      <c r="C5" s="17">
        <v>27843</v>
      </c>
      <c r="D5" s="17">
        <v>32475</v>
      </c>
      <c r="E5" s="17">
        <v>35138</v>
      </c>
      <c r="F5" s="17">
        <v>36693</v>
      </c>
      <c r="G5" s="17">
        <v>39032</v>
      </c>
      <c r="H5" s="17">
        <v>40935</v>
      </c>
      <c r="I5" s="17">
        <v>43757</v>
      </c>
      <c r="J5" s="17">
        <v>46352</v>
      </c>
      <c r="K5" s="17">
        <v>49721</v>
      </c>
      <c r="L5" s="17">
        <v>53413</v>
      </c>
      <c r="M5" s="17">
        <v>56224</v>
      </c>
      <c r="N5" s="17">
        <v>56579</v>
      </c>
      <c r="O5" s="17">
        <v>58682</v>
      </c>
      <c r="P5" s="17">
        <v>57139</v>
      </c>
      <c r="Q5" s="17">
        <v>83563</v>
      </c>
      <c r="R5" s="18">
        <v>82177</v>
      </c>
      <c r="S5" s="18">
        <v>79439</v>
      </c>
      <c r="T5" s="18">
        <v>75377</v>
      </c>
      <c r="U5" s="18">
        <v>71729</v>
      </c>
      <c r="V5" s="77">
        <v>68004</v>
      </c>
      <c r="W5" s="77">
        <v>64377</v>
      </c>
      <c r="X5" s="77">
        <v>62151</v>
      </c>
      <c r="Y5" s="77">
        <v>59560</v>
      </c>
      <c r="Z5" s="77">
        <v>59914</v>
      </c>
      <c r="AA5" s="77">
        <v>60841</v>
      </c>
      <c r="AB5" s="77">
        <v>70155</v>
      </c>
    </row>
    <row r="6" spans="1:193" s="14" customFormat="1" ht="15" hidden="1" customHeight="1" x14ac:dyDescent="0.25">
      <c r="A6" s="2"/>
      <c r="B6" s="2" t="s">
        <v>7</v>
      </c>
      <c r="C6" s="2">
        <v>7572</v>
      </c>
      <c r="D6" s="2">
        <v>7388</v>
      </c>
      <c r="E6" s="2">
        <v>8015</v>
      </c>
      <c r="F6" s="2">
        <v>8500</v>
      </c>
      <c r="G6" s="2">
        <v>9281</v>
      </c>
      <c r="H6" s="2">
        <v>9509</v>
      </c>
      <c r="I6" s="2">
        <v>8323</v>
      </c>
      <c r="J6" s="2">
        <v>8812</v>
      </c>
      <c r="K6" s="2">
        <v>8836</v>
      </c>
      <c r="L6" s="2">
        <v>9591</v>
      </c>
      <c r="M6" s="2">
        <v>9719</v>
      </c>
      <c r="N6" s="2">
        <v>8764</v>
      </c>
      <c r="O6" s="2">
        <v>8186</v>
      </c>
      <c r="P6" s="2">
        <v>9033</v>
      </c>
      <c r="Q6" s="2">
        <v>8665</v>
      </c>
      <c r="R6" s="19">
        <v>8373</v>
      </c>
      <c r="S6" s="19">
        <v>7340</v>
      </c>
      <c r="T6" s="19">
        <v>7528</v>
      </c>
      <c r="U6" s="19">
        <v>8106</v>
      </c>
      <c r="V6" s="78">
        <v>8687</v>
      </c>
      <c r="W6" s="78">
        <v>10509</v>
      </c>
      <c r="X6" s="78">
        <v>11957</v>
      </c>
      <c r="Y6" s="78">
        <v>13302</v>
      </c>
      <c r="Z6" s="78">
        <v>14149</v>
      </c>
      <c r="AA6" s="78">
        <v>14191</v>
      </c>
      <c r="AB6" s="78">
        <v>5562</v>
      </c>
      <c r="AC6" s="70"/>
      <c r="AD6" s="70"/>
      <c r="AE6" s="70"/>
      <c r="AF6" s="70"/>
    </row>
    <row r="7" spans="1:193" s="20" customFormat="1" ht="15" hidden="1" customHeight="1" x14ac:dyDescent="0.2">
      <c r="A7" s="17"/>
      <c r="B7" s="17" t="s">
        <v>8</v>
      </c>
      <c r="C7" s="17">
        <v>32680</v>
      </c>
      <c r="D7" s="17">
        <v>33779</v>
      </c>
      <c r="E7" s="17">
        <v>35486</v>
      </c>
      <c r="F7" s="17">
        <v>38662</v>
      </c>
      <c r="G7" s="17">
        <v>39565</v>
      </c>
      <c r="H7" s="17">
        <v>40153</v>
      </c>
      <c r="I7" s="17">
        <v>41295</v>
      </c>
      <c r="J7" s="17">
        <v>42159</v>
      </c>
      <c r="K7" s="17">
        <v>42524</v>
      </c>
      <c r="L7" s="17">
        <v>42352</v>
      </c>
      <c r="M7" s="17">
        <v>40448</v>
      </c>
      <c r="N7" s="17">
        <v>40877</v>
      </c>
      <c r="O7" s="17">
        <v>37540</v>
      </c>
      <c r="P7" s="17">
        <v>38042</v>
      </c>
      <c r="Q7" s="17" t="s">
        <v>9</v>
      </c>
      <c r="R7" s="18">
        <v>9691</v>
      </c>
      <c r="S7" s="18">
        <v>10352</v>
      </c>
      <c r="T7" s="18">
        <v>10528</v>
      </c>
      <c r="U7" s="18">
        <v>10006</v>
      </c>
      <c r="V7" s="77">
        <v>10909</v>
      </c>
      <c r="W7" s="77">
        <v>11826</v>
      </c>
      <c r="X7" s="77">
        <v>12402</v>
      </c>
      <c r="Y7" s="77">
        <v>13234</v>
      </c>
      <c r="Z7" s="77">
        <v>13020</v>
      </c>
      <c r="AA7" s="77">
        <v>13309</v>
      </c>
      <c r="AB7" s="77">
        <v>12071</v>
      </c>
      <c r="AC7" s="79"/>
      <c r="AD7" s="79"/>
      <c r="AE7" s="79"/>
      <c r="AF7" s="79"/>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row>
    <row r="8" spans="1:193" s="4" customFormat="1" ht="15" customHeight="1" x14ac:dyDescent="0.25">
      <c r="A8" s="3" t="s">
        <v>10</v>
      </c>
      <c r="B8" s="3"/>
      <c r="C8" s="3"/>
      <c r="D8" s="3"/>
      <c r="E8" s="3"/>
      <c r="F8" s="3"/>
      <c r="G8" s="3"/>
      <c r="H8" s="3"/>
      <c r="I8" s="3"/>
      <c r="J8" s="3"/>
      <c r="K8" s="3"/>
      <c r="L8" s="3"/>
      <c r="M8" s="3"/>
      <c r="N8" s="3"/>
      <c r="O8" s="3"/>
      <c r="P8" s="3"/>
      <c r="Q8" s="3"/>
      <c r="R8" s="16"/>
      <c r="S8" s="16"/>
      <c r="T8" s="16"/>
      <c r="U8" s="16"/>
      <c r="V8" s="76"/>
      <c r="W8" s="76"/>
      <c r="X8" s="76"/>
      <c r="Y8" s="76"/>
      <c r="Z8" s="76"/>
      <c r="AA8" s="76"/>
      <c r="AB8" s="76"/>
      <c r="AC8" s="72"/>
      <c r="AD8" s="72"/>
      <c r="AE8" s="72"/>
      <c r="AF8" s="72"/>
    </row>
    <row r="9" spans="1:193" s="20" customFormat="1" ht="15" customHeight="1" x14ac:dyDescent="0.2">
      <c r="A9" s="49"/>
      <c r="B9" s="49" t="s">
        <v>11</v>
      </c>
      <c r="C9" s="49"/>
      <c r="D9" s="49">
        <v>9379</v>
      </c>
      <c r="E9" s="49">
        <v>9592</v>
      </c>
      <c r="F9" s="49">
        <v>9443</v>
      </c>
      <c r="G9" s="49">
        <v>11198</v>
      </c>
      <c r="H9" s="49">
        <v>10530</v>
      </c>
      <c r="I9" s="49">
        <v>10682</v>
      </c>
      <c r="J9" s="49">
        <v>11508</v>
      </c>
      <c r="K9" s="49">
        <v>12031</v>
      </c>
      <c r="L9" s="49">
        <v>12894</v>
      </c>
      <c r="M9" s="49">
        <v>12809</v>
      </c>
      <c r="N9" s="49">
        <v>12886</v>
      </c>
      <c r="O9" s="49">
        <v>11206</v>
      </c>
      <c r="P9" s="49">
        <v>13075</v>
      </c>
      <c r="Q9" s="49">
        <v>13505</v>
      </c>
      <c r="R9" s="53">
        <v>14325</v>
      </c>
      <c r="S9" s="53">
        <v>14851</v>
      </c>
      <c r="T9" s="53">
        <v>15536</v>
      </c>
      <c r="U9" s="53">
        <v>16126</v>
      </c>
      <c r="V9" s="80">
        <v>17623</v>
      </c>
      <c r="W9" s="80">
        <v>17885</v>
      </c>
      <c r="X9" s="80">
        <v>22049</v>
      </c>
      <c r="Y9" s="80">
        <v>22473</v>
      </c>
      <c r="Z9" s="80">
        <v>22823</v>
      </c>
      <c r="AA9" s="80">
        <v>23412</v>
      </c>
      <c r="AB9" s="80">
        <v>22263</v>
      </c>
      <c r="AC9" s="80">
        <v>21000</v>
      </c>
      <c r="AD9" s="80">
        <v>20411</v>
      </c>
      <c r="AE9" s="80">
        <v>19596</v>
      </c>
      <c r="AF9" s="80">
        <v>18649</v>
      </c>
      <c r="AG9" s="19"/>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row>
    <row r="10" spans="1:193" s="5" customFormat="1" ht="15" customHeight="1" x14ac:dyDescent="0.2">
      <c r="A10" s="2"/>
      <c r="B10" s="2" t="s">
        <v>12</v>
      </c>
      <c r="C10" s="2"/>
      <c r="D10" s="2">
        <v>55640</v>
      </c>
      <c r="E10" s="2">
        <v>60470</v>
      </c>
      <c r="F10" s="2">
        <v>65289</v>
      </c>
      <c r="G10" s="2">
        <v>67312</v>
      </c>
      <c r="H10" s="2">
        <v>69487</v>
      </c>
      <c r="I10" s="2">
        <v>72641</v>
      </c>
      <c r="J10" s="2">
        <v>73519</v>
      </c>
      <c r="K10" s="2">
        <v>74050</v>
      </c>
      <c r="L10" s="2">
        <v>73522</v>
      </c>
      <c r="M10" s="2">
        <v>71054</v>
      </c>
      <c r="N10" s="2">
        <v>68242</v>
      </c>
      <c r="O10" s="2">
        <v>66169</v>
      </c>
      <c r="P10" s="2">
        <v>63300</v>
      </c>
      <c r="Q10" s="2">
        <v>57873</v>
      </c>
      <c r="R10" s="19">
        <v>54692</v>
      </c>
      <c r="S10" s="19">
        <v>50270</v>
      </c>
      <c r="T10" s="19">
        <v>46994</v>
      </c>
      <c r="U10" s="19">
        <v>44530</v>
      </c>
      <c r="V10" s="78">
        <v>41955</v>
      </c>
      <c r="W10" s="78">
        <v>40435</v>
      </c>
      <c r="X10" s="78">
        <v>38638</v>
      </c>
      <c r="Y10" s="78">
        <v>39408</v>
      </c>
      <c r="Z10" s="78">
        <v>40499</v>
      </c>
      <c r="AA10" s="78">
        <v>42137</v>
      </c>
      <c r="AB10" s="78">
        <v>43781</v>
      </c>
      <c r="AC10" s="78">
        <v>45326</v>
      </c>
      <c r="AD10" s="78">
        <v>47236</v>
      </c>
      <c r="AE10" s="78">
        <v>49373</v>
      </c>
      <c r="AF10" s="78">
        <v>51238</v>
      </c>
      <c r="AG10" s="19"/>
    </row>
    <row r="11" spans="1:193" s="20" customFormat="1" ht="15" customHeight="1" x14ac:dyDescent="0.2">
      <c r="A11" s="49"/>
      <c r="B11" s="49" t="s">
        <v>13</v>
      </c>
      <c r="C11" s="49"/>
      <c r="D11" s="49">
        <v>5411</v>
      </c>
      <c r="E11" s="49">
        <v>6193</v>
      </c>
      <c r="F11" s="49">
        <v>6699</v>
      </c>
      <c r="G11" s="49">
        <v>6993</v>
      </c>
      <c r="H11" s="49">
        <v>8127</v>
      </c>
      <c r="I11" s="49">
        <v>9653</v>
      </c>
      <c r="J11" s="49">
        <v>11845</v>
      </c>
      <c r="K11" s="49">
        <v>14531</v>
      </c>
      <c r="L11" s="49">
        <v>18254</v>
      </c>
      <c r="M11" s="49">
        <v>21644</v>
      </c>
      <c r="N11" s="49">
        <v>23903</v>
      </c>
      <c r="O11" s="49">
        <v>25486</v>
      </c>
      <c r="P11" s="49">
        <v>26141</v>
      </c>
      <c r="Q11" s="49">
        <v>28646</v>
      </c>
      <c r="R11" s="53">
        <v>28966</v>
      </c>
      <c r="S11" s="53">
        <v>29417</v>
      </c>
      <c r="T11" s="53">
        <v>28164</v>
      </c>
      <c r="U11" s="53">
        <v>26120</v>
      </c>
      <c r="V11" s="80">
        <v>24588</v>
      </c>
      <c r="W11" s="80">
        <v>22788</v>
      </c>
      <c r="X11" s="80">
        <v>21444</v>
      </c>
      <c r="Y11" s="80">
        <v>19876</v>
      </c>
      <c r="Z11" s="80">
        <v>18925</v>
      </c>
      <c r="AA11" s="80">
        <v>18096</v>
      </c>
      <c r="AB11" s="80">
        <v>17256</v>
      </c>
      <c r="AC11" s="80">
        <v>16778</v>
      </c>
      <c r="AD11" s="80">
        <v>16289</v>
      </c>
      <c r="AE11" s="80">
        <v>16167</v>
      </c>
      <c r="AF11" s="80">
        <v>17031</v>
      </c>
      <c r="AG11" s="19"/>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row>
    <row r="12" spans="1:193" s="5" customFormat="1" ht="15" customHeight="1" x14ac:dyDescent="0.2">
      <c r="A12" s="2"/>
      <c r="B12" s="2" t="s">
        <v>14</v>
      </c>
      <c r="C12" s="2"/>
      <c r="D12" s="2">
        <v>279</v>
      </c>
      <c r="E12" s="2">
        <v>313</v>
      </c>
      <c r="F12" s="2">
        <v>336</v>
      </c>
      <c r="G12" s="2">
        <v>327</v>
      </c>
      <c r="H12" s="2">
        <v>307</v>
      </c>
      <c r="I12" s="2">
        <v>399</v>
      </c>
      <c r="J12" s="2">
        <v>436</v>
      </c>
      <c r="K12" s="2">
        <v>457</v>
      </c>
      <c r="L12" s="2">
        <v>638</v>
      </c>
      <c r="M12" s="2">
        <v>824</v>
      </c>
      <c r="N12" s="2">
        <v>1131</v>
      </c>
      <c r="O12" s="2">
        <v>1481</v>
      </c>
      <c r="P12" s="2">
        <v>1622</v>
      </c>
      <c r="Q12" s="2">
        <v>1942</v>
      </c>
      <c r="R12" s="19">
        <v>2156</v>
      </c>
      <c r="S12" s="19">
        <v>2486</v>
      </c>
      <c r="T12" s="19">
        <v>2651</v>
      </c>
      <c r="U12" s="19">
        <v>2920</v>
      </c>
      <c r="V12" s="78">
        <v>3243</v>
      </c>
      <c r="W12" s="78">
        <v>5604</v>
      </c>
      <c r="X12" s="78">
        <v>4237</v>
      </c>
      <c r="Y12" s="78">
        <v>4138</v>
      </c>
      <c r="Z12" s="78">
        <v>4552</v>
      </c>
      <c r="AA12" s="78">
        <v>4380</v>
      </c>
      <c r="AB12" s="78">
        <v>4120</v>
      </c>
      <c r="AC12" s="78">
        <v>4191</v>
      </c>
      <c r="AD12" s="78">
        <v>3977</v>
      </c>
      <c r="AE12" s="78">
        <v>3776</v>
      </c>
      <c r="AF12" s="78">
        <v>3565</v>
      </c>
      <c r="AG12" s="19"/>
    </row>
    <row r="13" spans="1:193" ht="15" customHeight="1" x14ac:dyDescent="0.25">
      <c r="A13" s="49"/>
      <c r="B13" s="49" t="s">
        <v>15</v>
      </c>
      <c r="C13" s="49"/>
      <c r="D13" s="49">
        <v>2933</v>
      </c>
      <c r="E13" s="49">
        <v>2071</v>
      </c>
      <c r="F13" s="49">
        <v>2088</v>
      </c>
      <c r="G13" s="49">
        <v>2048</v>
      </c>
      <c r="H13" s="49">
        <v>2146</v>
      </c>
      <c r="I13" s="49" t="s">
        <v>16</v>
      </c>
      <c r="J13" s="49" t="s">
        <v>17</v>
      </c>
      <c r="K13" s="49" t="s">
        <v>18</v>
      </c>
      <c r="L13" s="49">
        <v>48</v>
      </c>
      <c r="M13" s="49">
        <v>60</v>
      </c>
      <c r="N13" s="49">
        <v>58</v>
      </c>
      <c r="O13" s="49">
        <v>66</v>
      </c>
      <c r="P13" s="49">
        <v>76</v>
      </c>
      <c r="Q13" s="49">
        <v>107</v>
      </c>
      <c r="R13" s="53">
        <v>102</v>
      </c>
      <c r="S13" s="53">
        <v>107</v>
      </c>
      <c r="T13" s="53">
        <v>88</v>
      </c>
      <c r="U13" s="53">
        <v>145</v>
      </c>
      <c r="V13" s="80">
        <v>191</v>
      </c>
      <c r="W13" s="80">
        <v>234</v>
      </c>
      <c r="X13" s="80">
        <v>142</v>
      </c>
      <c r="Y13" s="80">
        <v>201</v>
      </c>
      <c r="Z13" s="80">
        <v>284</v>
      </c>
      <c r="AA13" s="80">
        <v>316</v>
      </c>
      <c r="AB13" s="80">
        <v>368</v>
      </c>
      <c r="AC13" s="80">
        <v>481</v>
      </c>
      <c r="AD13" s="80">
        <v>298</v>
      </c>
      <c r="AE13" s="80">
        <v>520</v>
      </c>
      <c r="AF13" s="80">
        <v>82</v>
      </c>
      <c r="AG13" s="19"/>
    </row>
    <row r="14" spans="1:193" s="9" customFormat="1" ht="15" hidden="1" customHeight="1" x14ac:dyDescent="0.25">
      <c r="A14" s="21" t="s">
        <v>19</v>
      </c>
      <c r="B14" s="21"/>
      <c r="C14" s="14"/>
      <c r="D14" s="14"/>
      <c r="E14" s="14"/>
      <c r="F14" s="14"/>
      <c r="G14" s="14">
        <v>13.010827803003844</v>
      </c>
      <c r="H14" s="14">
        <v>14.569301666075857</v>
      </c>
      <c r="I14" s="14">
        <v>16.43863906241933</v>
      </c>
      <c r="J14" s="14">
        <v>20.44089124367283</v>
      </c>
      <c r="K14" s="14">
        <v>18.068860475369757</v>
      </c>
      <c r="L14" s="14">
        <v>19.752545713347203</v>
      </c>
      <c r="M14" s="14">
        <v>17.705435939699875</v>
      </c>
      <c r="N14" s="14">
        <v>20.30936054855685</v>
      </c>
      <c r="O14" s="14">
        <v>20.372195163152117</v>
      </c>
      <c r="P14" s="14">
        <v>19.980947844724938</v>
      </c>
      <c r="Q14" s="14">
        <v>14.7106693908647</v>
      </c>
      <c r="R14" s="22">
        <v>14.886360420027739</v>
      </c>
      <c r="S14" s="22">
        <v>15.780623153241887</v>
      </c>
      <c r="T14" s="22">
        <v>16</v>
      </c>
      <c r="U14" s="22">
        <v>19</v>
      </c>
      <c r="V14" s="81" t="s">
        <v>1</v>
      </c>
      <c r="W14" s="81" t="s">
        <v>1</v>
      </c>
      <c r="X14" s="81" t="s">
        <v>1</v>
      </c>
      <c r="Y14" s="81" t="s">
        <v>1</v>
      </c>
      <c r="Z14" s="81" t="s">
        <v>1</v>
      </c>
      <c r="AA14" s="81" t="s">
        <v>1</v>
      </c>
      <c r="AB14" s="81"/>
      <c r="AC14" s="81"/>
      <c r="AD14" s="81"/>
      <c r="AE14" s="81"/>
      <c r="AF14" s="81"/>
      <c r="AG14" s="22"/>
      <c r="AH14" s="11"/>
      <c r="AI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row>
    <row r="15" spans="1:193" ht="15" customHeight="1" x14ac:dyDescent="0.25">
      <c r="A15" s="3" t="s">
        <v>20</v>
      </c>
      <c r="B15" s="23"/>
      <c r="C15" s="1"/>
      <c r="D15" s="1"/>
      <c r="E15" s="1"/>
      <c r="F15" s="1"/>
      <c r="G15" s="1">
        <v>31</v>
      </c>
      <c r="H15" s="1">
        <v>28</v>
      </c>
      <c r="I15" s="1">
        <v>25</v>
      </c>
      <c r="J15" s="1">
        <v>25</v>
      </c>
      <c r="K15" s="1">
        <v>23</v>
      </c>
      <c r="L15" s="1">
        <v>22</v>
      </c>
      <c r="M15" s="1">
        <v>21</v>
      </c>
      <c r="N15" s="1">
        <v>19</v>
      </c>
      <c r="O15" s="1">
        <v>17</v>
      </c>
      <c r="P15" s="1">
        <v>20</v>
      </c>
      <c r="Q15" s="1">
        <v>18</v>
      </c>
      <c r="R15" s="24">
        <v>15.06024639423077</v>
      </c>
      <c r="S15" s="24">
        <v>13.891733409610984</v>
      </c>
      <c r="T15" s="24">
        <v>12</v>
      </c>
      <c r="U15" s="24">
        <v>12</v>
      </c>
      <c r="V15" s="78">
        <v>11</v>
      </c>
      <c r="W15" s="78">
        <v>12</v>
      </c>
      <c r="X15" s="78">
        <v>11</v>
      </c>
      <c r="Y15" s="78">
        <v>10.47</v>
      </c>
      <c r="Z15" s="78">
        <v>10.347997138769671</v>
      </c>
      <c r="AA15" s="78">
        <v>9.9835544969944419</v>
      </c>
      <c r="AB15" s="78">
        <v>9.8010494585240586</v>
      </c>
      <c r="AC15" s="78">
        <v>9</v>
      </c>
      <c r="AD15" s="78">
        <v>9.1709785103275614</v>
      </c>
      <c r="AE15" s="78">
        <f>AE34/AE16</f>
        <v>8.5794320798158097</v>
      </c>
      <c r="AF15" s="78">
        <v>9</v>
      </c>
      <c r="AG15" s="24"/>
      <c r="AH15" s="47"/>
      <c r="AI15" s="47"/>
      <c r="AJ15" s="47"/>
      <c r="AK15" s="47"/>
      <c r="AL15" s="47"/>
      <c r="AM15" s="47"/>
      <c r="AN15" s="47"/>
      <c r="AO15" s="47"/>
      <c r="AP15" s="47"/>
      <c r="AQ15" s="47"/>
      <c r="AR15" s="47"/>
      <c r="AS15" s="47"/>
      <c r="AT15" s="47"/>
      <c r="AU15" s="47"/>
      <c r="AV15" s="47"/>
      <c r="AW15" s="47"/>
      <c r="AX15" s="47"/>
      <c r="AY15" s="47"/>
      <c r="AZ15" s="47"/>
    </row>
    <row r="16" spans="1:193" s="26" customFormat="1" ht="15" customHeight="1" x14ac:dyDescent="0.25">
      <c r="A16" s="48" t="s">
        <v>21</v>
      </c>
      <c r="B16" s="54"/>
      <c r="C16" s="55"/>
      <c r="D16" s="55"/>
      <c r="E16" s="55"/>
      <c r="F16" s="55"/>
      <c r="G16" s="55"/>
      <c r="H16" s="55"/>
      <c r="I16" s="55"/>
      <c r="J16" s="55"/>
      <c r="K16" s="55"/>
      <c r="L16" s="55"/>
      <c r="M16" s="55"/>
      <c r="N16" s="55"/>
      <c r="O16" s="55"/>
      <c r="P16" s="55"/>
      <c r="Q16" s="55"/>
      <c r="R16" s="56">
        <v>6656</v>
      </c>
      <c r="S16" s="56">
        <v>6992</v>
      </c>
      <c r="T16" s="56">
        <v>7534</v>
      </c>
      <c r="U16" s="56">
        <v>7807</v>
      </c>
      <c r="V16" s="82">
        <v>8012</v>
      </c>
      <c r="W16" s="82">
        <v>7070</v>
      </c>
      <c r="X16" s="82">
        <v>7830</v>
      </c>
      <c r="Y16" s="82">
        <v>8223</v>
      </c>
      <c r="Z16" s="82">
        <v>8388</v>
      </c>
      <c r="AA16" s="82">
        <v>8817</v>
      </c>
      <c r="AB16" s="82">
        <v>8957</v>
      </c>
      <c r="AC16" s="82">
        <f>SUM(AC17:AC18)</f>
        <v>9242</v>
      </c>
      <c r="AD16" s="82">
        <f>SUM(AD17:AD18)</f>
        <v>9586</v>
      </c>
      <c r="AE16" s="82">
        <f>SUM(AE17:AE18)</f>
        <v>10424</v>
      </c>
      <c r="AF16" s="82">
        <v>10615</v>
      </c>
      <c r="AG16" s="16"/>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row>
    <row r="17" spans="1:97" ht="15" customHeight="1" x14ac:dyDescent="0.25">
      <c r="A17" s="27" t="s">
        <v>2</v>
      </c>
      <c r="B17" s="23"/>
      <c r="C17" s="1"/>
      <c r="D17" s="1"/>
      <c r="E17" s="1"/>
      <c r="F17" s="1"/>
      <c r="G17" s="1"/>
      <c r="H17" s="1"/>
      <c r="I17" s="1"/>
      <c r="J17" s="1"/>
      <c r="K17" s="1"/>
      <c r="L17" s="1"/>
      <c r="M17" s="1"/>
      <c r="N17" s="1"/>
      <c r="O17" s="1"/>
      <c r="P17" s="1"/>
      <c r="Q17" s="1"/>
      <c r="R17" s="28">
        <v>2696</v>
      </c>
      <c r="S17" s="28">
        <v>2808</v>
      </c>
      <c r="T17" s="28">
        <v>2989</v>
      </c>
      <c r="U17" s="15">
        <v>3026</v>
      </c>
      <c r="V17" s="83">
        <v>3080</v>
      </c>
      <c r="W17" s="83">
        <v>2809</v>
      </c>
      <c r="X17" s="83">
        <v>3114</v>
      </c>
      <c r="Y17" s="83">
        <v>3225</v>
      </c>
      <c r="Z17" s="83">
        <v>2991</v>
      </c>
      <c r="AA17" s="83">
        <v>3038</v>
      </c>
      <c r="AB17" s="83">
        <v>2951</v>
      </c>
      <c r="AC17" s="83">
        <v>2990</v>
      </c>
      <c r="AD17" s="83">
        <v>2960</v>
      </c>
      <c r="AE17" s="83">
        <v>2837</v>
      </c>
      <c r="AF17" s="83">
        <v>2939</v>
      </c>
      <c r="AG17" s="15"/>
    </row>
    <row r="18" spans="1:97" ht="15" customHeight="1" x14ac:dyDescent="0.25">
      <c r="A18" s="57" t="s">
        <v>3</v>
      </c>
      <c r="B18" s="58"/>
      <c r="C18" s="59"/>
      <c r="D18" s="59"/>
      <c r="E18" s="59"/>
      <c r="F18" s="59"/>
      <c r="G18" s="59"/>
      <c r="H18" s="59"/>
      <c r="I18" s="59"/>
      <c r="J18" s="59"/>
      <c r="K18" s="59"/>
      <c r="L18" s="59"/>
      <c r="M18" s="59"/>
      <c r="N18" s="59"/>
      <c r="O18" s="59"/>
      <c r="P18" s="59"/>
      <c r="Q18" s="59"/>
      <c r="R18" s="60">
        <v>3960</v>
      </c>
      <c r="S18" s="60">
        <v>4184</v>
      </c>
      <c r="T18" s="60">
        <v>4545</v>
      </c>
      <c r="U18" s="61">
        <v>4781</v>
      </c>
      <c r="V18" s="84">
        <v>4932</v>
      </c>
      <c r="W18" s="84">
        <v>4261</v>
      </c>
      <c r="X18" s="84">
        <v>4716</v>
      </c>
      <c r="Y18" s="84">
        <v>4998</v>
      </c>
      <c r="Z18" s="84">
        <v>5397</v>
      </c>
      <c r="AA18" s="84">
        <v>5779</v>
      </c>
      <c r="AB18" s="84">
        <v>6006</v>
      </c>
      <c r="AC18" s="84">
        <v>6252</v>
      </c>
      <c r="AD18" s="84">
        <v>6626</v>
      </c>
      <c r="AE18" s="84">
        <v>7587</v>
      </c>
      <c r="AF18" s="84">
        <v>7676</v>
      </c>
      <c r="AG18" s="15"/>
    </row>
    <row r="19" spans="1:97" ht="15" hidden="1" customHeight="1" x14ac:dyDescent="0.25">
      <c r="A19" s="29" t="s">
        <v>0</v>
      </c>
      <c r="B19" s="23"/>
      <c r="C19" s="1"/>
      <c r="D19" s="1"/>
      <c r="E19" s="1"/>
      <c r="F19" s="1"/>
      <c r="G19" s="1"/>
      <c r="H19" s="1"/>
      <c r="I19" s="1"/>
      <c r="J19" s="1"/>
      <c r="K19" s="1"/>
      <c r="L19" s="1"/>
      <c r="M19" s="1"/>
      <c r="N19" s="1"/>
      <c r="O19" s="1"/>
      <c r="P19" s="1"/>
      <c r="Q19" s="1"/>
      <c r="R19" s="19">
        <v>1598</v>
      </c>
      <c r="S19" s="19">
        <v>1582</v>
      </c>
      <c r="T19" s="19">
        <v>5958</v>
      </c>
      <c r="U19" s="19">
        <v>1698</v>
      </c>
      <c r="V19" s="78">
        <v>1757</v>
      </c>
      <c r="W19" s="78">
        <v>1429</v>
      </c>
      <c r="X19" s="78">
        <v>1650</v>
      </c>
      <c r="Y19" s="78">
        <v>1878</v>
      </c>
      <c r="Z19" s="78">
        <v>2021</v>
      </c>
      <c r="AA19" s="78">
        <v>2258</v>
      </c>
      <c r="AB19" s="78">
        <v>2371</v>
      </c>
      <c r="AC19" s="78">
        <v>2553</v>
      </c>
      <c r="AD19" s="78">
        <v>2692</v>
      </c>
      <c r="AE19" s="78">
        <v>2791</v>
      </c>
      <c r="AF19" s="78">
        <v>2913</v>
      </c>
      <c r="AG19" s="15"/>
    </row>
    <row r="20" spans="1:97" ht="15" hidden="1" customHeight="1" x14ac:dyDescent="0.25">
      <c r="A20" s="62" t="s">
        <v>22</v>
      </c>
      <c r="B20" s="58"/>
      <c r="C20" s="59"/>
      <c r="D20" s="59"/>
      <c r="E20" s="59"/>
      <c r="F20" s="59"/>
      <c r="G20" s="59"/>
      <c r="H20" s="59"/>
      <c r="I20" s="59"/>
      <c r="J20" s="59"/>
      <c r="K20" s="59"/>
      <c r="L20" s="59"/>
      <c r="M20" s="59"/>
      <c r="N20" s="59"/>
      <c r="O20" s="59"/>
      <c r="P20" s="59"/>
      <c r="Q20" s="59"/>
      <c r="R20" s="53">
        <v>5058</v>
      </c>
      <c r="S20" s="53">
        <v>5410</v>
      </c>
      <c r="T20" s="53">
        <v>1576</v>
      </c>
      <c r="U20" s="53">
        <v>6109</v>
      </c>
      <c r="V20" s="80">
        <v>6255</v>
      </c>
      <c r="W20" s="80">
        <v>5641</v>
      </c>
      <c r="X20" s="80">
        <v>6180</v>
      </c>
      <c r="Y20" s="80">
        <v>6345</v>
      </c>
      <c r="Z20" s="80">
        <v>6367</v>
      </c>
      <c r="AA20" s="80">
        <v>6559</v>
      </c>
      <c r="AB20" s="80">
        <v>6586</v>
      </c>
      <c r="AC20" s="80">
        <v>6689</v>
      </c>
      <c r="AD20" s="80">
        <v>6894</v>
      </c>
      <c r="AE20" s="80">
        <v>7633</v>
      </c>
      <c r="AF20" s="80">
        <v>7702</v>
      </c>
      <c r="AG20" s="15"/>
    </row>
    <row r="21" spans="1:97" ht="15" hidden="1" customHeight="1" x14ac:dyDescent="0.25">
      <c r="A21" s="29" t="s">
        <v>23</v>
      </c>
      <c r="B21" s="31"/>
      <c r="C21" s="1"/>
      <c r="D21" s="1"/>
      <c r="E21" s="1"/>
      <c r="F21" s="1"/>
      <c r="G21" s="1"/>
      <c r="H21" s="1"/>
      <c r="I21" s="1"/>
      <c r="J21" s="1"/>
      <c r="K21" s="1"/>
      <c r="L21" s="1"/>
      <c r="M21" s="1"/>
      <c r="N21" s="1"/>
      <c r="O21" s="1"/>
      <c r="P21" s="1"/>
      <c r="Q21" s="1"/>
      <c r="R21" s="30">
        <v>4454</v>
      </c>
      <c r="S21" s="30">
        <v>4611</v>
      </c>
      <c r="T21" s="30">
        <v>4974</v>
      </c>
      <c r="U21" s="30">
        <v>5361</v>
      </c>
      <c r="V21" s="85">
        <v>5525</v>
      </c>
      <c r="W21" s="85">
        <v>4844</v>
      </c>
      <c r="X21" s="85">
        <v>5321</v>
      </c>
      <c r="Y21" s="85">
        <v>6029</v>
      </c>
      <c r="Z21" s="85">
        <v>5835</v>
      </c>
      <c r="AA21" s="85">
        <v>6368</v>
      </c>
      <c r="AB21" s="85">
        <v>6733</v>
      </c>
      <c r="AC21" s="85">
        <v>7075</v>
      </c>
      <c r="AD21" s="85">
        <v>7284</v>
      </c>
      <c r="AE21" s="85">
        <v>8384</v>
      </c>
      <c r="AF21" s="85">
        <v>8501</v>
      </c>
    </row>
    <row r="22" spans="1:97" ht="15" hidden="1" customHeight="1" x14ac:dyDescent="0.25">
      <c r="A22" s="62" t="s">
        <v>24</v>
      </c>
      <c r="B22" s="50"/>
      <c r="C22" s="59"/>
      <c r="D22" s="59"/>
      <c r="E22" s="59"/>
      <c r="F22" s="59"/>
      <c r="G22" s="59"/>
      <c r="H22" s="59"/>
      <c r="I22" s="59"/>
      <c r="J22" s="59"/>
      <c r="K22" s="59"/>
      <c r="L22" s="59"/>
      <c r="M22" s="59"/>
      <c r="N22" s="59"/>
      <c r="O22" s="59"/>
      <c r="P22" s="59"/>
      <c r="Q22" s="59"/>
      <c r="R22" s="63">
        <v>2202</v>
      </c>
      <c r="S22" s="63">
        <v>2381</v>
      </c>
      <c r="T22" s="63">
        <v>2560</v>
      </c>
      <c r="U22" s="63">
        <v>2446</v>
      </c>
      <c r="V22" s="86">
        <v>2487</v>
      </c>
      <c r="W22" s="86">
        <v>2226</v>
      </c>
      <c r="X22" s="86">
        <v>2509</v>
      </c>
      <c r="Y22" s="86">
        <v>2194</v>
      </c>
      <c r="Z22" s="86">
        <v>2553</v>
      </c>
      <c r="AA22" s="86">
        <v>2449</v>
      </c>
      <c r="AB22" s="86">
        <v>2224</v>
      </c>
      <c r="AC22" s="86">
        <v>2167</v>
      </c>
      <c r="AD22" s="86">
        <v>2302</v>
      </c>
      <c r="AE22" s="86">
        <v>2040</v>
      </c>
      <c r="AF22" s="86">
        <v>2114</v>
      </c>
      <c r="AG22" s="15"/>
    </row>
    <row r="23" spans="1:97" ht="15" hidden="1" customHeight="1" x14ac:dyDescent="0.25">
      <c r="A23" s="29" t="s">
        <v>25</v>
      </c>
      <c r="B23" s="31"/>
      <c r="C23" s="1"/>
      <c r="D23" s="1"/>
      <c r="E23" s="1"/>
      <c r="F23" s="1"/>
      <c r="G23" s="1"/>
      <c r="H23" s="1"/>
      <c r="I23" s="1"/>
      <c r="J23" s="1"/>
      <c r="K23" s="1"/>
      <c r="L23" s="1"/>
      <c r="M23" s="1"/>
      <c r="N23" s="1"/>
      <c r="O23" s="1"/>
      <c r="P23" s="1"/>
      <c r="Q23" s="1"/>
      <c r="R23" s="19">
        <v>5137</v>
      </c>
      <c r="S23" s="19">
        <v>5250</v>
      </c>
      <c r="T23" s="19">
        <v>5745</v>
      </c>
      <c r="U23" s="19">
        <v>6222</v>
      </c>
      <c r="V23" s="78">
        <v>6534</v>
      </c>
      <c r="W23" s="78">
        <v>6027</v>
      </c>
      <c r="X23" s="78">
        <v>6708</v>
      </c>
      <c r="Y23" s="78">
        <v>7513</v>
      </c>
      <c r="Z23" s="78">
        <v>7267</v>
      </c>
      <c r="AA23" s="78">
        <v>7626</v>
      </c>
      <c r="AB23" s="78">
        <v>7989</v>
      </c>
      <c r="AC23" s="78">
        <v>8509</v>
      </c>
      <c r="AD23" s="78">
        <v>9011</v>
      </c>
      <c r="AE23" s="78">
        <v>9102</v>
      </c>
      <c r="AF23" s="78">
        <v>8472</v>
      </c>
    </row>
    <row r="24" spans="1:97" ht="15" hidden="1" customHeight="1" x14ac:dyDescent="0.25">
      <c r="A24" s="62" t="s">
        <v>26</v>
      </c>
      <c r="B24" s="50"/>
      <c r="C24" s="59"/>
      <c r="D24" s="59"/>
      <c r="E24" s="59"/>
      <c r="F24" s="59"/>
      <c r="G24" s="59"/>
      <c r="H24" s="59"/>
      <c r="I24" s="59"/>
      <c r="J24" s="59"/>
      <c r="K24" s="59"/>
      <c r="L24" s="59"/>
      <c r="M24" s="59"/>
      <c r="N24" s="59"/>
      <c r="O24" s="59"/>
      <c r="P24" s="59"/>
      <c r="Q24" s="59"/>
      <c r="R24" s="53">
        <v>1519</v>
      </c>
      <c r="S24" s="53">
        <v>1742</v>
      </c>
      <c r="T24" s="53">
        <v>1789</v>
      </c>
      <c r="U24" s="53">
        <v>1585</v>
      </c>
      <c r="V24" s="80">
        <v>1478</v>
      </c>
      <c r="W24" s="80">
        <v>1043</v>
      </c>
      <c r="X24" s="80">
        <v>1122</v>
      </c>
      <c r="Y24" s="80">
        <v>710</v>
      </c>
      <c r="Z24" s="80">
        <v>1121</v>
      </c>
      <c r="AA24" s="80">
        <v>1191</v>
      </c>
      <c r="AB24" s="80">
        <v>968</v>
      </c>
      <c r="AC24" s="80">
        <v>733</v>
      </c>
      <c r="AD24" s="80">
        <v>575</v>
      </c>
      <c r="AE24" s="80">
        <v>1322</v>
      </c>
      <c r="AF24" s="80">
        <v>2143</v>
      </c>
      <c r="AG24" s="15"/>
    </row>
    <row r="25" spans="1:97" ht="13.5" customHeight="1" x14ac:dyDescent="0.25">
      <c r="A25" s="29"/>
      <c r="B25" s="31"/>
      <c r="C25" s="1"/>
      <c r="D25" s="1"/>
      <c r="E25" s="1"/>
      <c r="F25" s="1"/>
      <c r="G25" s="1"/>
      <c r="H25" s="1"/>
      <c r="I25" s="1"/>
      <c r="J25" s="1"/>
      <c r="K25" s="1"/>
      <c r="L25" s="1"/>
      <c r="M25" s="1"/>
      <c r="N25" s="1"/>
      <c r="O25" s="1"/>
      <c r="P25" s="1"/>
      <c r="Q25" s="1"/>
      <c r="R25" s="24"/>
      <c r="S25" s="24"/>
      <c r="T25" s="24"/>
      <c r="U25" s="24"/>
      <c r="V25" s="78"/>
      <c r="W25" s="78"/>
      <c r="X25" s="78"/>
      <c r="Y25" s="78"/>
      <c r="Z25" s="78"/>
      <c r="AA25" s="78"/>
      <c r="AB25" s="78"/>
      <c r="AG25" s="15"/>
    </row>
    <row r="26" spans="1:97" s="9" customFormat="1" ht="15" customHeight="1" x14ac:dyDescent="0.25">
      <c r="A26" s="49" t="s">
        <v>27</v>
      </c>
      <c r="B26" s="49"/>
      <c r="C26" s="49" t="s">
        <v>1</v>
      </c>
      <c r="D26" s="49" t="s">
        <v>1</v>
      </c>
      <c r="E26" s="49" t="s">
        <v>1</v>
      </c>
      <c r="F26" s="49" t="s">
        <v>1</v>
      </c>
      <c r="G26" s="49" t="s">
        <v>1</v>
      </c>
      <c r="H26" s="49" t="s">
        <v>1</v>
      </c>
      <c r="I26" s="49">
        <v>127.5</v>
      </c>
      <c r="J26" s="49">
        <v>123.7</v>
      </c>
      <c r="K26" s="49">
        <v>119.8</v>
      </c>
      <c r="L26" s="49">
        <v>116.2</v>
      </c>
      <c r="M26" s="49">
        <v>127.4</v>
      </c>
      <c r="N26" s="49">
        <v>127.8</v>
      </c>
      <c r="O26" s="49">
        <v>129.30000000000001</v>
      </c>
      <c r="P26" s="49">
        <v>128.9</v>
      </c>
      <c r="Q26" s="49">
        <v>123</v>
      </c>
      <c r="R26" s="53">
        <v>120.2</v>
      </c>
      <c r="S26" s="53">
        <v>112.25321984045635</v>
      </c>
      <c r="T26" s="53">
        <v>109.6</v>
      </c>
      <c r="U26" s="53">
        <v>100.9</v>
      </c>
      <c r="V26" s="80">
        <v>105.84926036617524</v>
      </c>
      <c r="W26" s="80">
        <v>101</v>
      </c>
      <c r="X26" s="80">
        <v>101.7</v>
      </c>
      <c r="Y26" s="80">
        <v>99</v>
      </c>
      <c r="Z26" s="80">
        <v>106.8</v>
      </c>
      <c r="AA26" s="80">
        <v>104</v>
      </c>
      <c r="AB26" s="80">
        <v>109.7</v>
      </c>
      <c r="AC26" s="80">
        <v>110.3</v>
      </c>
      <c r="AD26" s="80">
        <v>96.2</v>
      </c>
      <c r="AE26" s="80">
        <v>100.2</v>
      </c>
      <c r="AF26" s="80">
        <v>101.7</v>
      </c>
      <c r="AG26" s="19"/>
      <c r="AH26" s="14"/>
      <c r="AI26" s="14"/>
      <c r="AJ26" s="14"/>
      <c r="AK26" s="14"/>
      <c r="AL26" s="14"/>
      <c r="AM26" s="14"/>
    </row>
    <row r="27" spans="1:97" ht="15" customHeight="1" x14ac:dyDescent="0.25">
      <c r="A27" s="2" t="s">
        <v>28</v>
      </c>
      <c r="B27" s="2"/>
      <c r="C27" s="2" t="s">
        <v>1</v>
      </c>
      <c r="D27" s="2" t="s">
        <v>1</v>
      </c>
      <c r="E27" s="2" t="s">
        <v>1</v>
      </c>
      <c r="F27" s="2" t="s">
        <v>1</v>
      </c>
      <c r="G27" s="2" t="s">
        <v>1</v>
      </c>
      <c r="H27" s="2" t="s">
        <v>1</v>
      </c>
      <c r="I27" s="2">
        <v>46.2</v>
      </c>
      <c r="J27" s="2">
        <v>54.5</v>
      </c>
      <c r="K27" s="2">
        <v>64.7</v>
      </c>
      <c r="L27" s="2">
        <v>79.400000000000006</v>
      </c>
      <c r="M27" s="2">
        <v>88.1</v>
      </c>
      <c r="N27" s="2">
        <v>94.7</v>
      </c>
      <c r="O27" s="2">
        <v>101.4</v>
      </c>
      <c r="P27" s="2">
        <v>105.4</v>
      </c>
      <c r="Q27" s="2">
        <v>118</v>
      </c>
      <c r="R27" s="19">
        <v>121.9</v>
      </c>
      <c r="S27" s="19">
        <v>125.34941196522924</v>
      </c>
      <c r="T27" s="19">
        <v>123.5</v>
      </c>
      <c r="U27" s="19">
        <v>111.34319450956988</v>
      </c>
      <c r="V27" s="78">
        <v>116.9910072798211</v>
      </c>
      <c r="W27" s="78">
        <v>108.4</v>
      </c>
      <c r="X27" s="78">
        <v>112.5</v>
      </c>
      <c r="Y27" s="78">
        <v>94.6</v>
      </c>
      <c r="Z27" s="78">
        <v>108.5</v>
      </c>
      <c r="AA27" s="78">
        <v>109.1</v>
      </c>
      <c r="AB27" s="78">
        <v>106.1</v>
      </c>
      <c r="AC27" s="78">
        <v>106</v>
      </c>
      <c r="AD27" s="78">
        <v>101.2</v>
      </c>
      <c r="AE27" s="78">
        <v>110.5</v>
      </c>
      <c r="AF27" s="78">
        <v>95.6</v>
      </c>
      <c r="AG27" s="19"/>
    </row>
    <row r="28" spans="1:97" s="9" customFormat="1" ht="15" customHeight="1" x14ac:dyDescent="0.25">
      <c r="A28" s="49" t="s">
        <v>29</v>
      </c>
      <c r="B28" s="49"/>
      <c r="C28" s="49" t="s">
        <v>1</v>
      </c>
      <c r="D28" s="49" t="s">
        <v>1</v>
      </c>
      <c r="E28" s="49" t="s">
        <v>1</v>
      </c>
      <c r="F28" s="49" t="s">
        <v>1</v>
      </c>
      <c r="G28" s="49" t="s">
        <v>1</v>
      </c>
      <c r="H28" s="49" t="s">
        <v>1</v>
      </c>
      <c r="I28" s="49">
        <v>3.3</v>
      </c>
      <c r="J28" s="49">
        <v>3.4</v>
      </c>
      <c r="K28" s="49">
        <v>3.4</v>
      </c>
      <c r="L28" s="49">
        <v>4.5</v>
      </c>
      <c r="M28" s="49">
        <v>5.6</v>
      </c>
      <c r="N28" s="49">
        <v>7.3</v>
      </c>
      <c r="O28" s="49">
        <v>7.3</v>
      </c>
      <c r="P28" s="49">
        <v>9.6999999999999993</v>
      </c>
      <c r="Q28" s="49">
        <v>11.5</v>
      </c>
      <c r="R28" s="53">
        <v>13.7</v>
      </c>
      <c r="S28" s="53">
        <v>22.416213906354923</v>
      </c>
      <c r="T28" s="53">
        <v>16.399999999999999</v>
      </c>
      <c r="U28" s="53">
        <v>17.833150116037618</v>
      </c>
      <c r="V28" s="80">
        <v>20.990291262135923</v>
      </c>
      <c r="W28" s="80">
        <v>36.299999999999997</v>
      </c>
      <c r="X28" s="80">
        <v>29.6</v>
      </c>
      <c r="Y28" s="80">
        <v>26.8</v>
      </c>
      <c r="Z28" s="80">
        <v>35</v>
      </c>
      <c r="AA28" s="80">
        <v>35.299999999999997</v>
      </c>
      <c r="AB28" s="80">
        <v>34.799999999999997</v>
      </c>
      <c r="AC28" s="80">
        <v>36.799999999999997</v>
      </c>
      <c r="AD28" s="80">
        <v>49.7</v>
      </c>
      <c r="AE28" s="80">
        <v>36</v>
      </c>
      <c r="AF28" s="80">
        <v>33.6</v>
      </c>
      <c r="AG28" s="19"/>
      <c r="AH28" s="14"/>
      <c r="AI28" s="14"/>
      <c r="AJ28" s="14"/>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row>
    <row r="29" spans="1:97" ht="15" customHeight="1" x14ac:dyDescent="0.25">
      <c r="A29" s="2" t="s">
        <v>30</v>
      </c>
      <c r="B29" s="2"/>
      <c r="C29" s="2" t="s">
        <v>1</v>
      </c>
      <c r="D29" s="2" t="s">
        <v>1</v>
      </c>
      <c r="E29" s="2" t="s">
        <v>1</v>
      </c>
      <c r="F29" s="2" t="s">
        <v>1</v>
      </c>
      <c r="G29" s="2" t="s">
        <v>1</v>
      </c>
      <c r="H29" s="2" t="s">
        <v>1</v>
      </c>
      <c r="I29" s="2">
        <v>99.5</v>
      </c>
      <c r="J29" s="2">
        <v>99.2</v>
      </c>
      <c r="K29" s="2">
        <v>98.7</v>
      </c>
      <c r="L29" s="2">
        <v>98</v>
      </c>
      <c r="M29" s="2">
        <v>98.2</v>
      </c>
      <c r="N29" s="2">
        <v>100.9</v>
      </c>
      <c r="O29" s="2">
        <v>102.7</v>
      </c>
      <c r="P29" s="2">
        <v>103.7</v>
      </c>
      <c r="Q29" s="2">
        <v>104.1</v>
      </c>
      <c r="R29" s="19">
        <v>104.3</v>
      </c>
      <c r="S29" s="19">
        <v>99.001738045367432</v>
      </c>
      <c r="T29" s="19">
        <v>95.8</v>
      </c>
      <c r="U29" s="19">
        <v>95</v>
      </c>
      <c r="V29" s="78">
        <v>95.539593640907142</v>
      </c>
      <c r="W29" s="78">
        <v>95.5</v>
      </c>
      <c r="X29" s="78">
        <v>93.6</v>
      </c>
      <c r="Y29" s="78">
        <v>94.4</v>
      </c>
      <c r="Z29" s="78">
        <v>98.6</v>
      </c>
      <c r="AA29" s="78">
        <v>99.4</v>
      </c>
      <c r="AB29" s="78">
        <v>106.2</v>
      </c>
      <c r="AC29" s="78">
        <v>108.4</v>
      </c>
      <c r="AD29" s="78">
        <v>95.9</v>
      </c>
      <c r="AE29" s="78">
        <v>100.2</v>
      </c>
      <c r="AF29" s="78">
        <v>101.2</v>
      </c>
      <c r="AG29" s="19"/>
    </row>
    <row r="30" spans="1:97" s="5" customFormat="1" ht="15" customHeight="1" x14ac:dyDescent="0.25">
      <c r="A30" s="49" t="s">
        <v>31</v>
      </c>
      <c r="B30" s="49"/>
      <c r="C30" s="49" t="s">
        <v>1</v>
      </c>
      <c r="D30" s="49" t="s">
        <v>1</v>
      </c>
      <c r="E30" s="49" t="s">
        <v>1</v>
      </c>
      <c r="F30" s="49" t="s">
        <v>1</v>
      </c>
      <c r="G30" s="49" t="s">
        <v>1</v>
      </c>
      <c r="H30" s="49" t="s">
        <v>1</v>
      </c>
      <c r="I30" s="49">
        <v>18.899999999999999</v>
      </c>
      <c r="J30" s="49">
        <v>22.3</v>
      </c>
      <c r="K30" s="49">
        <v>28.2</v>
      </c>
      <c r="L30" s="49">
        <v>36.6</v>
      </c>
      <c r="M30" s="49">
        <v>42.5</v>
      </c>
      <c r="N30" s="49">
        <v>44.2</v>
      </c>
      <c r="O30" s="49">
        <v>51.7</v>
      </c>
      <c r="P30" s="49">
        <v>52.1</v>
      </c>
      <c r="Q30" s="49">
        <v>64.599999999999994</v>
      </c>
      <c r="R30" s="53">
        <v>70.3</v>
      </c>
      <c r="S30" s="53">
        <v>69.187830236918359</v>
      </c>
      <c r="T30" s="53">
        <v>69.2</v>
      </c>
      <c r="U30" s="53">
        <v>87.6</v>
      </c>
      <c r="V30" s="80">
        <v>83.613265451777139</v>
      </c>
      <c r="W30" s="80">
        <v>83.6</v>
      </c>
      <c r="X30" s="80">
        <v>81.2</v>
      </c>
      <c r="Y30" s="80">
        <v>92.3</v>
      </c>
      <c r="Z30" s="80">
        <v>81.5</v>
      </c>
      <c r="AA30" s="80">
        <v>85.4</v>
      </c>
      <c r="AB30" s="80">
        <v>83.7</v>
      </c>
      <c r="AC30" s="80">
        <v>88.6</v>
      </c>
      <c r="AD30" s="80">
        <v>90.5</v>
      </c>
      <c r="AE30" s="80">
        <v>100</v>
      </c>
      <c r="AF30" s="80">
        <v>93.6</v>
      </c>
      <c r="AG30" s="19"/>
      <c r="AH30" s="14"/>
      <c r="AI30" s="14"/>
      <c r="AJ30" s="14"/>
    </row>
    <row r="31" spans="1:97" ht="15" customHeight="1" x14ac:dyDescent="0.25">
      <c r="A31" s="2" t="s">
        <v>32</v>
      </c>
      <c r="B31" s="2"/>
      <c r="C31" s="2" t="s">
        <v>1</v>
      </c>
      <c r="D31" s="2" t="s">
        <v>1</v>
      </c>
      <c r="E31" s="2" t="s">
        <v>1</v>
      </c>
      <c r="F31" s="2" t="s">
        <v>1</v>
      </c>
      <c r="G31" s="2" t="s">
        <v>1</v>
      </c>
      <c r="H31" s="2" t="s">
        <v>1</v>
      </c>
      <c r="I31" s="2">
        <v>1.1000000000000001</v>
      </c>
      <c r="J31" s="2">
        <v>0.2</v>
      </c>
      <c r="K31" s="2">
        <v>1</v>
      </c>
      <c r="L31" s="2">
        <v>1.3</v>
      </c>
      <c r="M31" s="2">
        <v>1.4</v>
      </c>
      <c r="N31" s="2">
        <v>1.6</v>
      </c>
      <c r="O31" s="2">
        <v>1.8</v>
      </c>
      <c r="P31" s="2">
        <v>3.9</v>
      </c>
      <c r="Q31" s="2">
        <v>7.2</v>
      </c>
      <c r="R31" s="19">
        <v>8.9</v>
      </c>
      <c r="S31" s="19">
        <v>3.9619070874793967</v>
      </c>
      <c r="T31" s="19">
        <v>6</v>
      </c>
      <c r="U31" s="19">
        <v>13.9</v>
      </c>
      <c r="V31" s="78">
        <v>17.417475728155338</v>
      </c>
      <c r="W31" s="78">
        <v>17.399999999999999</v>
      </c>
      <c r="X31" s="78">
        <v>19.3</v>
      </c>
      <c r="Y31" s="78">
        <v>23.9</v>
      </c>
      <c r="Z31" s="78">
        <v>23.6</v>
      </c>
      <c r="AA31" s="78">
        <v>26.3</v>
      </c>
      <c r="AB31" s="78">
        <v>26.9</v>
      </c>
      <c r="AC31" s="78">
        <v>31</v>
      </c>
      <c r="AD31" s="78">
        <v>44.5</v>
      </c>
      <c r="AE31" s="78">
        <v>37.200000000000003</v>
      </c>
      <c r="AF31" s="78">
        <v>40.6</v>
      </c>
      <c r="AG31" s="19"/>
    </row>
    <row r="32" spans="1:97" s="14" customFormat="1" ht="15" customHeight="1" x14ac:dyDescent="0.25">
      <c r="A32" s="48"/>
      <c r="B32" s="48"/>
      <c r="C32" s="48"/>
      <c r="D32" s="48"/>
      <c r="E32" s="48"/>
      <c r="F32" s="48"/>
      <c r="G32" s="48"/>
      <c r="H32" s="48"/>
      <c r="I32" s="48"/>
      <c r="J32" s="48"/>
      <c r="K32" s="48"/>
      <c r="L32" s="48"/>
      <c r="M32" s="48"/>
      <c r="N32" s="48"/>
      <c r="O32" s="48"/>
      <c r="P32" s="48"/>
      <c r="Q32" s="48"/>
      <c r="R32" s="56"/>
      <c r="S32" s="56"/>
      <c r="T32" s="56"/>
      <c r="U32" s="56"/>
      <c r="V32" s="82"/>
      <c r="W32" s="82"/>
      <c r="X32" s="82"/>
      <c r="Y32" s="82"/>
      <c r="Z32" s="82"/>
      <c r="AA32" s="82"/>
      <c r="AB32" s="82"/>
      <c r="AC32" s="74"/>
      <c r="AD32" s="74"/>
      <c r="AE32" s="74"/>
      <c r="AF32" s="74"/>
    </row>
    <row r="33" spans="1:193" ht="15" customHeight="1" x14ac:dyDescent="0.25">
      <c r="A33" s="3" t="s">
        <v>33</v>
      </c>
      <c r="B33" s="2"/>
      <c r="C33" s="2"/>
      <c r="D33" s="2"/>
      <c r="E33" s="2"/>
      <c r="F33" s="2"/>
      <c r="G33" s="2"/>
      <c r="H33" s="2"/>
      <c r="I33" s="2"/>
      <c r="J33" s="2"/>
      <c r="K33" s="2"/>
      <c r="L33" s="2"/>
      <c r="M33" s="2"/>
      <c r="N33" s="2"/>
      <c r="O33" s="2"/>
      <c r="P33" s="2"/>
      <c r="Q33" s="2"/>
      <c r="R33" s="19"/>
      <c r="S33" s="19"/>
      <c r="T33" s="19"/>
      <c r="U33" s="19"/>
      <c r="V33" s="78"/>
      <c r="W33" s="78"/>
      <c r="X33" s="78"/>
      <c r="Y33" s="78"/>
      <c r="Z33" s="78"/>
      <c r="AA33" s="78"/>
      <c r="AB33" s="78"/>
    </row>
    <row r="34" spans="1:193" s="14" customFormat="1" ht="15" customHeight="1" x14ac:dyDescent="0.25">
      <c r="A34" s="49"/>
      <c r="B34" s="48" t="s">
        <v>34</v>
      </c>
      <c r="C34" s="48">
        <v>68095</v>
      </c>
      <c r="D34" s="48">
        <v>73642</v>
      </c>
      <c r="E34" s="48">
        <v>78639</v>
      </c>
      <c r="F34" s="48">
        <v>83855</v>
      </c>
      <c r="G34" s="48">
        <v>87878</v>
      </c>
      <c r="H34" s="48">
        <v>90597</v>
      </c>
      <c r="I34" s="48">
        <v>93375</v>
      </c>
      <c r="J34" s="48">
        <v>97323</v>
      </c>
      <c r="K34" s="48">
        <v>101081</v>
      </c>
      <c r="L34" s="48">
        <v>105356</v>
      </c>
      <c r="M34" s="48">
        <v>106391</v>
      </c>
      <c r="N34" s="48">
        <v>106220</v>
      </c>
      <c r="O34" s="48">
        <v>104408</v>
      </c>
      <c r="P34" s="48">
        <v>104214</v>
      </c>
      <c r="Q34" s="48">
        <v>102073</v>
      </c>
      <c r="R34" s="56">
        <v>100241</v>
      </c>
      <c r="S34" s="56">
        <v>97131</v>
      </c>
      <c r="T34" s="56">
        <v>93433</v>
      </c>
      <c r="U34" s="56">
        <v>89841</v>
      </c>
      <c r="V34" s="82">
        <f t="shared" ref="V34:AF34" si="1">SUM(V35:V36)</f>
        <v>87600</v>
      </c>
      <c r="W34" s="82">
        <f t="shared" si="1"/>
        <v>86946</v>
      </c>
      <c r="X34" s="82">
        <f t="shared" si="1"/>
        <v>86510</v>
      </c>
      <c r="Y34" s="82">
        <f t="shared" si="1"/>
        <v>86096</v>
      </c>
      <c r="Z34" s="82">
        <f t="shared" si="1"/>
        <v>87083</v>
      </c>
      <c r="AA34" s="82">
        <f t="shared" si="1"/>
        <v>88341</v>
      </c>
      <c r="AB34" s="82">
        <f t="shared" si="1"/>
        <v>87788</v>
      </c>
      <c r="AC34" s="82">
        <f t="shared" si="1"/>
        <v>87776</v>
      </c>
      <c r="AD34" s="82">
        <f t="shared" si="1"/>
        <v>88211</v>
      </c>
      <c r="AE34" s="82">
        <f t="shared" si="1"/>
        <v>89432</v>
      </c>
      <c r="AF34" s="82">
        <f t="shared" si="1"/>
        <v>90565</v>
      </c>
      <c r="AG34" s="16"/>
    </row>
    <row r="35" spans="1:193" ht="15" customHeight="1" x14ac:dyDescent="0.25">
      <c r="A35" s="2"/>
      <c r="B35" s="2" t="s">
        <v>2</v>
      </c>
      <c r="C35" s="2">
        <v>34902</v>
      </c>
      <c r="D35" s="2">
        <v>37636</v>
      </c>
      <c r="E35" s="2">
        <v>40049</v>
      </c>
      <c r="F35" s="2">
        <v>42767</v>
      </c>
      <c r="G35" s="2">
        <v>44643</v>
      </c>
      <c r="H35" s="2">
        <v>46090</v>
      </c>
      <c r="I35" s="2">
        <v>47373</v>
      </c>
      <c r="J35" s="2">
        <v>49427</v>
      </c>
      <c r="K35" s="2">
        <v>51394</v>
      </c>
      <c r="L35" s="2">
        <v>53455</v>
      </c>
      <c r="M35" s="2">
        <v>53943</v>
      </c>
      <c r="N35" s="2">
        <v>53912</v>
      </c>
      <c r="O35" s="2">
        <v>52915</v>
      </c>
      <c r="P35" s="2">
        <v>52905</v>
      </c>
      <c r="Q35" s="2">
        <v>51852</v>
      </c>
      <c r="R35" s="19">
        <v>51183</v>
      </c>
      <c r="S35" s="19">
        <v>49435</v>
      </c>
      <c r="T35" s="19">
        <v>47738</v>
      </c>
      <c r="U35" s="19">
        <v>45891</v>
      </c>
      <c r="V35" s="78">
        <v>44882</v>
      </c>
      <c r="W35" s="78">
        <v>44358</v>
      </c>
      <c r="X35" s="78">
        <v>44420</v>
      </c>
      <c r="Y35" s="78">
        <v>43884</v>
      </c>
      <c r="Z35" s="78">
        <v>44511</v>
      </c>
      <c r="AA35" s="78">
        <v>45207</v>
      </c>
      <c r="AB35" s="78">
        <v>44919</v>
      </c>
      <c r="AC35" s="78">
        <v>44993</v>
      </c>
      <c r="AD35" s="78">
        <v>45319</v>
      </c>
      <c r="AE35" s="78">
        <v>45879</v>
      </c>
      <c r="AF35" s="78">
        <v>46365</v>
      </c>
      <c r="AG35" s="19"/>
    </row>
    <row r="36" spans="1:193" s="14" customFormat="1" ht="15" customHeight="1" x14ac:dyDescent="0.25">
      <c r="A36" s="49"/>
      <c r="B36" s="49" t="s">
        <v>3</v>
      </c>
      <c r="C36" s="49">
        <v>33193</v>
      </c>
      <c r="D36" s="49">
        <v>36006</v>
      </c>
      <c r="E36" s="49">
        <v>38590</v>
      </c>
      <c r="F36" s="49">
        <v>41088</v>
      </c>
      <c r="G36" s="49">
        <v>43235</v>
      </c>
      <c r="H36" s="49">
        <v>44507</v>
      </c>
      <c r="I36" s="49">
        <v>46002</v>
      </c>
      <c r="J36" s="49">
        <v>47896</v>
      </c>
      <c r="K36" s="49">
        <v>49687</v>
      </c>
      <c r="L36" s="49">
        <v>51901</v>
      </c>
      <c r="M36" s="49">
        <v>52448</v>
      </c>
      <c r="N36" s="49">
        <v>52308</v>
      </c>
      <c r="O36" s="49">
        <v>51493</v>
      </c>
      <c r="P36" s="49">
        <v>51309</v>
      </c>
      <c r="Q36" s="49">
        <v>50221</v>
      </c>
      <c r="R36" s="53">
        <v>49058</v>
      </c>
      <c r="S36" s="53">
        <v>47696</v>
      </c>
      <c r="T36" s="53">
        <v>45695</v>
      </c>
      <c r="U36" s="53">
        <v>43950</v>
      </c>
      <c r="V36" s="80">
        <v>42718</v>
      </c>
      <c r="W36" s="80">
        <v>42588</v>
      </c>
      <c r="X36" s="80">
        <v>42090</v>
      </c>
      <c r="Y36" s="80">
        <v>42212</v>
      </c>
      <c r="Z36" s="80">
        <v>42572</v>
      </c>
      <c r="AA36" s="80">
        <v>43134</v>
      </c>
      <c r="AB36" s="80">
        <v>42869</v>
      </c>
      <c r="AC36" s="80">
        <v>42783</v>
      </c>
      <c r="AD36" s="80">
        <v>42892</v>
      </c>
      <c r="AE36" s="80">
        <v>43553</v>
      </c>
      <c r="AF36" s="80">
        <v>44200</v>
      </c>
      <c r="AG36" s="19"/>
    </row>
    <row r="37" spans="1:193" ht="15" customHeight="1" x14ac:dyDescent="0.25">
      <c r="A37" s="32" t="s">
        <v>0</v>
      </c>
      <c r="B37" s="6"/>
      <c r="C37" s="33">
        <v>22068</v>
      </c>
      <c r="D37" s="33">
        <v>22802</v>
      </c>
      <c r="E37" s="33">
        <v>23177</v>
      </c>
      <c r="F37" s="33">
        <v>23500</v>
      </c>
      <c r="G37" s="34">
        <v>24570</v>
      </c>
      <c r="H37" s="34">
        <v>25641</v>
      </c>
      <c r="I37" s="34">
        <v>26190</v>
      </c>
      <c r="J37" s="34">
        <v>27057</v>
      </c>
      <c r="K37" s="34">
        <v>27714</v>
      </c>
      <c r="L37" s="34">
        <v>28547</v>
      </c>
      <c r="M37" s="34">
        <v>28306</v>
      </c>
      <c r="N37" s="34">
        <v>28243</v>
      </c>
      <c r="O37" s="34">
        <v>28950</v>
      </c>
      <c r="P37" s="34">
        <v>29307</v>
      </c>
      <c r="Q37" s="34">
        <v>30036</v>
      </c>
      <c r="R37" s="19">
        <v>29345</v>
      </c>
      <c r="S37" s="19">
        <v>29777</v>
      </c>
      <c r="T37" s="19">
        <v>27007</v>
      </c>
      <c r="U37" s="19">
        <v>25876</v>
      </c>
      <c r="V37" s="78">
        <v>25565</v>
      </c>
      <c r="W37" s="78">
        <v>25064</v>
      </c>
      <c r="X37" s="78">
        <v>26583</v>
      </c>
      <c r="Y37" s="78">
        <v>27204</v>
      </c>
      <c r="Z37" s="78">
        <v>28507</v>
      </c>
      <c r="AA37" s="78">
        <v>30361</v>
      </c>
      <c r="AB37" s="78">
        <v>31649</v>
      </c>
      <c r="AC37" s="78">
        <v>31487</v>
      </c>
      <c r="AD37" s="78">
        <v>32170</v>
      </c>
      <c r="AE37" s="78">
        <v>33376</v>
      </c>
      <c r="AF37" s="78">
        <v>33757</v>
      </c>
      <c r="AG37" s="19"/>
    </row>
    <row r="38" spans="1:193" s="14" customFormat="1" ht="15" customHeight="1" x14ac:dyDescent="0.25">
      <c r="A38" s="65" t="s">
        <v>22</v>
      </c>
      <c r="B38" s="66"/>
      <c r="C38" s="67">
        <v>46027</v>
      </c>
      <c r="D38" s="67">
        <v>50840</v>
      </c>
      <c r="E38" s="67">
        <v>55462</v>
      </c>
      <c r="F38" s="67">
        <v>60355</v>
      </c>
      <c r="G38" s="68">
        <v>63308</v>
      </c>
      <c r="H38" s="68">
        <v>64956</v>
      </c>
      <c r="I38" s="68">
        <v>67185</v>
      </c>
      <c r="J38" s="68">
        <v>70266</v>
      </c>
      <c r="K38" s="68">
        <v>73367</v>
      </c>
      <c r="L38" s="68">
        <v>76809</v>
      </c>
      <c r="M38" s="68">
        <v>78085</v>
      </c>
      <c r="N38" s="68">
        <v>77977</v>
      </c>
      <c r="O38" s="68">
        <v>75458</v>
      </c>
      <c r="P38" s="68">
        <v>74907</v>
      </c>
      <c r="Q38" s="68">
        <v>72037</v>
      </c>
      <c r="R38" s="53">
        <v>70896</v>
      </c>
      <c r="S38" s="53">
        <v>67354</v>
      </c>
      <c r="T38" s="53">
        <v>66426</v>
      </c>
      <c r="U38" s="53">
        <v>63965</v>
      </c>
      <c r="V38" s="80">
        <v>62035</v>
      </c>
      <c r="W38" s="80">
        <v>61882</v>
      </c>
      <c r="X38" s="80">
        <v>59927</v>
      </c>
      <c r="Y38" s="80">
        <v>58892</v>
      </c>
      <c r="Z38" s="80">
        <v>58576</v>
      </c>
      <c r="AA38" s="80">
        <v>57980</v>
      </c>
      <c r="AB38" s="80">
        <v>56139</v>
      </c>
      <c r="AC38" s="80">
        <v>56289</v>
      </c>
      <c r="AD38" s="80">
        <v>56041</v>
      </c>
      <c r="AE38" s="80">
        <v>56056</v>
      </c>
      <c r="AF38" s="80">
        <v>56808</v>
      </c>
      <c r="AG38" s="19"/>
    </row>
    <row r="39" spans="1:193" ht="15" hidden="1" customHeight="1" x14ac:dyDescent="0.25">
      <c r="A39" s="21"/>
      <c r="B39" s="21"/>
      <c r="C39" s="14"/>
      <c r="D39" s="14"/>
      <c r="E39" s="14"/>
      <c r="F39" s="14"/>
      <c r="G39" s="14"/>
      <c r="H39" s="14"/>
      <c r="I39" s="14"/>
      <c r="J39" s="14"/>
      <c r="K39" s="14"/>
      <c r="L39" s="14"/>
      <c r="M39" s="14"/>
      <c r="N39" s="14"/>
      <c r="O39" s="14"/>
      <c r="P39" s="14"/>
      <c r="Q39" s="14"/>
      <c r="R39" s="22"/>
      <c r="S39" s="22"/>
      <c r="T39" s="22"/>
      <c r="U39" s="22"/>
      <c r="V39" s="81"/>
      <c r="W39" s="81"/>
      <c r="X39" s="81"/>
      <c r="Y39" s="81"/>
      <c r="Z39" s="81"/>
      <c r="AA39" s="81"/>
      <c r="AB39" s="81"/>
      <c r="AC39" s="81"/>
      <c r="AD39" s="81"/>
      <c r="AE39" s="81"/>
      <c r="AF39" s="81"/>
      <c r="AG39" s="22"/>
    </row>
    <row r="40" spans="1:193" s="36" customFormat="1" ht="15" hidden="1" customHeight="1" x14ac:dyDescent="0.2">
      <c r="A40" s="48" t="s">
        <v>35</v>
      </c>
      <c r="B40" s="48"/>
      <c r="C40" s="48">
        <f t="shared" ref="C40:P40" si="2">SUM(C41:C42)</f>
        <v>265</v>
      </c>
      <c r="D40" s="48">
        <f t="shared" si="2"/>
        <v>262</v>
      </c>
      <c r="E40" s="48">
        <f t="shared" si="2"/>
        <v>265</v>
      </c>
      <c r="F40" s="48">
        <f t="shared" si="2"/>
        <v>264</v>
      </c>
      <c r="G40" s="48">
        <f t="shared" si="2"/>
        <v>262</v>
      </c>
      <c r="H40" s="48">
        <f t="shared" si="2"/>
        <v>263</v>
      </c>
      <c r="I40" s="48">
        <f t="shared" si="2"/>
        <v>264</v>
      </c>
      <c r="J40" s="48">
        <f t="shared" si="2"/>
        <v>272</v>
      </c>
      <c r="K40" s="48">
        <f t="shared" si="2"/>
        <v>284</v>
      </c>
      <c r="L40" s="48">
        <f t="shared" si="2"/>
        <v>301</v>
      </c>
      <c r="M40" s="48">
        <f t="shared" si="2"/>
        <v>314</v>
      </c>
      <c r="N40" s="48">
        <f t="shared" si="2"/>
        <v>322</v>
      </c>
      <c r="O40" s="48">
        <f t="shared" si="2"/>
        <v>315</v>
      </c>
      <c r="P40" s="48">
        <f t="shared" si="2"/>
        <v>337</v>
      </c>
      <c r="Q40" s="48">
        <f t="shared" ref="Q40:W40" si="3">SUM(Q41:Q42)</f>
        <v>334</v>
      </c>
      <c r="R40" s="56">
        <f t="shared" si="3"/>
        <v>349</v>
      </c>
      <c r="S40" s="56">
        <f t="shared" si="3"/>
        <v>342</v>
      </c>
      <c r="T40" s="56">
        <f t="shared" si="3"/>
        <v>362</v>
      </c>
      <c r="U40" s="56">
        <f t="shared" si="3"/>
        <v>375</v>
      </c>
      <c r="V40" s="82">
        <f t="shared" si="3"/>
        <v>375</v>
      </c>
      <c r="W40" s="82">
        <f t="shared" si="3"/>
        <v>381</v>
      </c>
      <c r="X40" s="82">
        <f t="shared" ref="X40:AD40" si="4">SUM(X41:X42)</f>
        <v>408</v>
      </c>
      <c r="Y40" s="82">
        <f t="shared" si="4"/>
        <v>456</v>
      </c>
      <c r="Z40" s="82">
        <f t="shared" si="4"/>
        <v>455</v>
      </c>
      <c r="AA40" s="82">
        <f t="shared" si="4"/>
        <v>459</v>
      </c>
      <c r="AB40" s="82">
        <f t="shared" si="4"/>
        <v>376</v>
      </c>
      <c r="AC40" s="82">
        <f t="shared" si="4"/>
        <v>354</v>
      </c>
      <c r="AD40" s="82">
        <f t="shared" si="4"/>
        <v>339</v>
      </c>
      <c r="AE40" s="82">
        <f>SUM(AE41:AE42)</f>
        <v>348</v>
      </c>
      <c r="AF40" s="82">
        <f>SUM(AF41:AF42)</f>
        <v>276</v>
      </c>
      <c r="AG40" s="16"/>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5"/>
      <c r="EG40" s="35"/>
      <c r="EH40" s="35"/>
      <c r="EI40" s="35"/>
      <c r="EJ40" s="35"/>
      <c r="EK40" s="35"/>
      <c r="EL40" s="35"/>
      <c r="EM40" s="35"/>
      <c r="EN40" s="35"/>
      <c r="EO40" s="35"/>
      <c r="EP40" s="35"/>
      <c r="EQ40" s="35"/>
      <c r="ER40" s="35"/>
      <c r="ES40" s="35"/>
      <c r="ET40" s="35"/>
      <c r="EU40" s="35"/>
      <c r="EV40" s="35"/>
      <c r="EW40" s="35"/>
      <c r="EX40" s="35"/>
      <c r="EY40" s="35"/>
      <c r="EZ40" s="35"/>
      <c r="FA40" s="35"/>
      <c r="FB40" s="35"/>
      <c r="FC40" s="35"/>
      <c r="FD40" s="35"/>
      <c r="FE40" s="35"/>
      <c r="FF40" s="35"/>
      <c r="FG40" s="35"/>
      <c r="FH40" s="35"/>
      <c r="FI40" s="35"/>
      <c r="FJ40" s="35"/>
      <c r="FK40" s="35"/>
      <c r="FL40" s="35"/>
      <c r="FM40" s="35"/>
      <c r="FN40" s="35"/>
      <c r="FO40" s="35"/>
      <c r="FP40" s="35"/>
      <c r="FQ40" s="35"/>
      <c r="FR40" s="35"/>
      <c r="FS40" s="35"/>
      <c r="FT40" s="35"/>
      <c r="FU40" s="35"/>
      <c r="FV40" s="35"/>
      <c r="FW40" s="35"/>
      <c r="FX40" s="35"/>
      <c r="FY40" s="35"/>
      <c r="FZ40" s="35"/>
      <c r="GA40" s="35"/>
      <c r="GB40" s="35"/>
      <c r="GC40" s="35"/>
      <c r="GD40" s="35"/>
      <c r="GE40" s="35"/>
      <c r="GF40" s="35"/>
      <c r="GG40" s="35"/>
      <c r="GH40" s="35"/>
      <c r="GI40" s="35"/>
      <c r="GJ40" s="35"/>
      <c r="GK40" s="35"/>
    </row>
    <row r="41" spans="1:193" s="14" customFormat="1" ht="15" hidden="1" customHeight="1" x14ac:dyDescent="0.25">
      <c r="A41" s="37" t="s">
        <v>0</v>
      </c>
      <c r="B41" s="2"/>
      <c r="C41" s="2">
        <v>20</v>
      </c>
      <c r="D41" s="2">
        <v>17</v>
      </c>
      <c r="E41" s="2">
        <v>17</v>
      </c>
      <c r="F41" s="2">
        <v>17</v>
      </c>
      <c r="G41" s="2">
        <v>17</v>
      </c>
      <c r="H41" s="2">
        <v>17</v>
      </c>
      <c r="I41" s="2">
        <v>18</v>
      </c>
      <c r="J41" s="2">
        <v>18</v>
      </c>
      <c r="K41" s="2">
        <v>20</v>
      </c>
      <c r="L41" s="2">
        <v>21</v>
      </c>
      <c r="M41" s="2">
        <v>21</v>
      </c>
      <c r="N41" s="2">
        <v>22</v>
      </c>
      <c r="O41" s="2">
        <v>22</v>
      </c>
      <c r="P41" s="2">
        <v>21</v>
      </c>
      <c r="Q41" s="2">
        <v>22</v>
      </c>
      <c r="R41" s="19">
        <v>22</v>
      </c>
      <c r="S41" s="19">
        <v>22</v>
      </c>
      <c r="T41" s="19">
        <v>23</v>
      </c>
      <c r="U41" s="19">
        <v>24</v>
      </c>
      <c r="V41" s="78">
        <v>24</v>
      </c>
      <c r="W41" s="78">
        <v>25</v>
      </c>
      <c r="X41" s="78">
        <v>27</v>
      </c>
      <c r="Y41" s="78">
        <v>36</v>
      </c>
      <c r="Z41" s="78">
        <v>37</v>
      </c>
      <c r="AA41" s="78">
        <v>38</v>
      </c>
      <c r="AB41" s="78">
        <v>38</v>
      </c>
      <c r="AC41" s="78">
        <v>38</v>
      </c>
      <c r="AD41" s="78">
        <v>37</v>
      </c>
      <c r="AE41" s="78">
        <v>38</v>
      </c>
      <c r="AF41" s="78">
        <v>38</v>
      </c>
      <c r="AG41" s="19"/>
    </row>
    <row r="42" spans="1:193" hidden="1" x14ac:dyDescent="0.25">
      <c r="A42" s="64" t="s">
        <v>22</v>
      </c>
      <c r="B42" s="49"/>
      <c r="C42" s="49">
        <v>245</v>
      </c>
      <c r="D42" s="49">
        <v>245</v>
      </c>
      <c r="E42" s="49">
        <v>248</v>
      </c>
      <c r="F42" s="49">
        <v>247</v>
      </c>
      <c r="G42" s="49">
        <v>245</v>
      </c>
      <c r="H42" s="49">
        <v>246</v>
      </c>
      <c r="I42" s="49">
        <v>246</v>
      </c>
      <c r="J42" s="49">
        <v>254</v>
      </c>
      <c r="K42" s="49">
        <v>264</v>
      </c>
      <c r="L42" s="49">
        <v>280</v>
      </c>
      <c r="M42" s="49">
        <v>293</v>
      </c>
      <c r="N42" s="49">
        <v>300</v>
      </c>
      <c r="O42" s="49">
        <v>293</v>
      </c>
      <c r="P42" s="49">
        <v>316</v>
      </c>
      <c r="Q42" s="49">
        <v>312</v>
      </c>
      <c r="R42" s="53">
        <v>327</v>
      </c>
      <c r="S42" s="53">
        <v>320</v>
      </c>
      <c r="T42" s="53">
        <v>339</v>
      </c>
      <c r="U42" s="53">
        <v>351</v>
      </c>
      <c r="V42" s="80">
        <v>351</v>
      </c>
      <c r="W42" s="80">
        <v>356</v>
      </c>
      <c r="X42" s="80">
        <v>381</v>
      </c>
      <c r="Y42" s="80">
        <v>420</v>
      </c>
      <c r="Z42" s="80">
        <v>418</v>
      </c>
      <c r="AA42" s="80">
        <v>421</v>
      </c>
      <c r="AB42" s="80">
        <v>338</v>
      </c>
      <c r="AC42" s="80">
        <v>316</v>
      </c>
      <c r="AD42" s="80">
        <v>302</v>
      </c>
      <c r="AE42" s="80">
        <v>310</v>
      </c>
      <c r="AF42" s="80">
        <v>238</v>
      </c>
      <c r="AG42" s="19"/>
    </row>
    <row r="43" spans="1:193" s="14" customFormat="1" x14ac:dyDescent="0.25">
      <c r="A43" s="38" t="s">
        <v>36</v>
      </c>
      <c r="C43" s="2"/>
      <c r="D43" s="2"/>
      <c r="E43" s="2"/>
      <c r="F43" s="2"/>
      <c r="G43" s="2"/>
      <c r="H43" s="2"/>
      <c r="I43" s="2"/>
      <c r="J43" s="2"/>
      <c r="K43" s="2"/>
      <c r="L43" s="2"/>
      <c r="M43" s="2"/>
      <c r="N43" s="2"/>
      <c r="O43" s="2"/>
      <c r="P43" s="2"/>
      <c r="Q43" s="2"/>
      <c r="R43" s="19"/>
      <c r="S43" s="11"/>
      <c r="T43" s="11"/>
      <c r="V43" s="70"/>
      <c r="W43" s="70"/>
      <c r="X43" s="70"/>
      <c r="Y43" s="70"/>
      <c r="Z43" s="70"/>
      <c r="AA43" s="70"/>
      <c r="AB43" s="70"/>
      <c r="AC43" s="70"/>
      <c r="AD43" s="70"/>
      <c r="AE43" s="70"/>
      <c r="AF43" s="70"/>
    </row>
    <row r="44" spans="1:193" s="14" customFormat="1" x14ac:dyDescent="0.25">
      <c r="A44" s="90" t="s">
        <v>38</v>
      </c>
      <c r="B44" s="2"/>
      <c r="C44" s="2"/>
      <c r="D44" s="2"/>
      <c r="E44" s="2"/>
      <c r="F44" s="2"/>
      <c r="G44" s="2"/>
      <c r="H44" s="2"/>
      <c r="I44" s="2"/>
      <c r="J44" s="2"/>
      <c r="K44" s="2"/>
      <c r="L44" s="2"/>
      <c r="M44" s="2"/>
      <c r="N44" s="2"/>
      <c r="O44" s="2"/>
      <c r="P44" s="2"/>
      <c r="Q44" s="2"/>
      <c r="R44" s="39"/>
      <c r="S44" s="11"/>
      <c r="T44" s="11"/>
      <c r="V44" s="70"/>
      <c r="W44" s="70"/>
      <c r="X44" s="70"/>
      <c r="Y44" s="70"/>
      <c r="Z44" s="70"/>
      <c r="AA44" s="70"/>
      <c r="AB44" s="70"/>
      <c r="AC44" s="70"/>
      <c r="AD44" s="70"/>
      <c r="AE44" s="70"/>
      <c r="AF44" s="70"/>
    </row>
    <row r="45" spans="1:193" s="14" customFormat="1" hidden="1" x14ac:dyDescent="0.25">
      <c r="A45" s="40" t="s">
        <v>37</v>
      </c>
      <c r="B45" s="8"/>
      <c r="C45" s="8"/>
      <c r="D45" s="8"/>
      <c r="E45" s="8"/>
      <c r="F45" s="8"/>
      <c r="G45" s="41"/>
      <c r="H45" s="41"/>
      <c r="I45" s="41"/>
      <c r="J45" s="41"/>
      <c r="K45" s="41"/>
      <c r="L45" s="41"/>
      <c r="M45" s="41"/>
      <c r="N45" s="41"/>
      <c r="O45" s="41"/>
      <c r="P45" s="41"/>
      <c r="Q45" s="41"/>
      <c r="R45" s="42"/>
      <c r="S45" s="11"/>
      <c r="T45" s="11"/>
      <c r="V45" s="70"/>
      <c r="W45" s="70"/>
      <c r="X45" s="70"/>
      <c r="Y45" s="70"/>
      <c r="Z45" s="70"/>
      <c r="AA45" s="70"/>
      <c r="AB45" s="70"/>
      <c r="AC45" s="70"/>
      <c r="AD45" s="70"/>
      <c r="AE45" s="70"/>
      <c r="AF45" s="70"/>
    </row>
    <row r="46" spans="1:193" s="14" customFormat="1" x14ac:dyDescent="0.25">
      <c r="A46" s="90" t="s">
        <v>39</v>
      </c>
      <c r="B46" s="8"/>
      <c r="C46" s="8"/>
      <c r="D46" s="8"/>
      <c r="E46" s="8"/>
      <c r="F46" s="8"/>
      <c r="G46" s="8"/>
      <c r="H46" s="8"/>
      <c r="I46" s="8"/>
      <c r="J46" s="8"/>
      <c r="K46" s="8"/>
      <c r="L46" s="8"/>
      <c r="M46" s="8"/>
      <c r="N46" s="8"/>
      <c r="O46" s="8"/>
      <c r="P46" s="8"/>
      <c r="Q46" s="8"/>
      <c r="R46" s="43"/>
      <c r="S46" s="43"/>
      <c r="T46" s="43"/>
      <c r="U46" s="43"/>
      <c r="V46" s="87"/>
      <c r="W46" s="87"/>
      <c r="X46" s="87"/>
      <c r="Y46" s="88"/>
      <c r="Z46" s="88"/>
      <c r="AA46" s="88"/>
      <c r="AB46" s="70"/>
      <c r="AC46" s="70"/>
      <c r="AD46" s="70"/>
      <c r="AE46" s="70"/>
      <c r="AF46" s="70"/>
    </row>
    <row r="47" spans="1:193" s="14" customFormat="1" x14ac:dyDescent="0.25">
      <c r="A47" s="40"/>
      <c r="B47" s="8"/>
      <c r="C47" s="8"/>
      <c r="D47" s="8"/>
      <c r="E47" s="8"/>
      <c r="F47" s="8"/>
      <c r="G47" s="8"/>
      <c r="H47" s="8"/>
      <c r="I47" s="8"/>
      <c r="J47" s="8"/>
      <c r="K47" s="8"/>
      <c r="L47" s="8"/>
      <c r="M47" s="8"/>
      <c r="N47" s="8"/>
      <c r="O47" s="8"/>
      <c r="P47" s="8"/>
      <c r="Q47" s="8"/>
      <c r="R47" s="43"/>
      <c r="S47" s="43"/>
      <c r="T47" s="43"/>
      <c r="U47" s="43"/>
      <c r="V47" s="87"/>
      <c r="W47" s="87"/>
      <c r="X47" s="87"/>
      <c r="Y47" s="88"/>
      <c r="Z47" s="88"/>
      <c r="AA47" s="88"/>
      <c r="AB47" s="70"/>
      <c r="AC47" s="70"/>
      <c r="AD47" s="70"/>
      <c r="AE47" s="70"/>
      <c r="AF47" s="70"/>
    </row>
    <row r="48" spans="1:193" s="14" customFormat="1" x14ac:dyDescent="0.25">
      <c r="A48" s="44"/>
      <c r="R48" s="45"/>
      <c r="S48" s="45"/>
      <c r="T48" s="45"/>
      <c r="U48" s="45"/>
      <c r="V48" s="89"/>
      <c r="W48" s="89"/>
      <c r="X48" s="89"/>
      <c r="Y48" s="88"/>
      <c r="Z48" s="88"/>
      <c r="AA48" s="88"/>
      <c r="AB48" s="70"/>
      <c r="AC48" s="70"/>
      <c r="AD48" s="70"/>
      <c r="AE48" s="70"/>
      <c r="AF48" s="70"/>
    </row>
    <row r="49" spans="1:32" s="14" customFormat="1" x14ac:dyDescent="0.25">
      <c r="A49" s="46"/>
      <c r="R49" s="45"/>
      <c r="S49" s="45"/>
      <c r="T49" s="45"/>
      <c r="U49" s="45"/>
      <c r="V49" s="89"/>
      <c r="W49" s="89"/>
      <c r="X49" s="89"/>
      <c r="Y49" s="89"/>
      <c r="Z49" s="89"/>
      <c r="AA49" s="70"/>
      <c r="AB49" s="70"/>
      <c r="AC49" s="70"/>
      <c r="AD49" s="70"/>
      <c r="AE49" s="70"/>
      <c r="AF49" s="70"/>
    </row>
    <row r="50" spans="1:32" s="14" customFormat="1" x14ac:dyDescent="0.25">
      <c r="R50" s="45"/>
      <c r="S50" s="45"/>
      <c r="T50" s="45"/>
      <c r="U50" s="45"/>
      <c r="V50" s="89"/>
      <c r="W50" s="89"/>
      <c r="X50" s="89"/>
      <c r="Y50" s="89"/>
      <c r="Z50" s="89"/>
      <c r="AA50" s="70"/>
      <c r="AB50" s="70"/>
      <c r="AC50" s="70"/>
      <c r="AD50" s="70"/>
      <c r="AE50" s="70"/>
      <c r="AF50" s="70"/>
    </row>
    <row r="51" spans="1:32" s="14" customFormat="1" x14ac:dyDescent="0.25">
      <c r="R51" s="45"/>
      <c r="S51" s="45"/>
      <c r="T51" s="45"/>
      <c r="U51" s="45"/>
      <c r="V51" s="89"/>
      <c r="W51" s="89"/>
      <c r="X51" s="89"/>
      <c r="Y51" s="89"/>
      <c r="Z51" s="89"/>
      <c r="AA51" s="70"/>
      <c r="AB51" s="70"/>
      <c r="AC51" s="70"/>
      <c r="AD51" s="70"/>
      <c r="AE51" s="70"/>
      <c r="AF51" s="70"/>
    </row>
    <row r="52" spans="1:32" s="14" customFormat="1" x14ac:dyDescent="0.25">
      <c r="R52" s="45"/>
      <c r="S52" s="45"/>
      <c r="T52" s="45"/>
      <c r="U52" s="45"/>
      <c r="V52" s="89"/>
      <c r="W52" s="89"/>
      <c r="X52" s="89"/>
      <c r="Y52" s="89"/>
      <c r="Z52" s="89"/>
      <c r="AA52" s="70"/>
      <c r="AB52" s="70"/>
      <c r="AC52" s="70"/>
      <c r="AD52" s="70"/>
      <c r="AE52" s="70"/>
      <c r="AF52" s="70"/>
    </row>
    <row r="53" spans="1:32" s="14" customFormat="1" x14ac:dyDescent="0.25">
      <c r="R53" s="45"/>
      <c r="S53" s="45"/>
      <c r="T53" s="45"/>
      <c r="U53" s="45"/>
      <c r="V53" s="89"/>
      <c r="W53" s="89"/>
      <c r="X53" s="89"/>
      <c r="Y53" s="89"/>
      <c r="Z53" s="89"/>
      <c r="AA53" s="70"/>
      <c r="AB53" s="70"/>
      <c r="AC53" s="70"/>
      <c r="AD53" s="70"/>
      <c r="AE53" s="70"/>
      <c r="AF53" s="70"/>
    </row>
    <row r="54" spans="1:32" s="14" customFormat="1" x14ac:dyDescent="0.25">
      <c r="R54" s="45"/>
      <c r="S54" s="45"/>
      <c r="T54" s="45"/>
      <c r="U54" s="45"/>
      <c r="V54" s="89"/>
      <c r="W54" s="89"/>
      <c r="X54" s="89"/>
      <c r="Y54" s="89"/>
      <c r="Z54" s="89"/>
      <c r="AA54" s="70"/>
      <c r="AB54" s="70"/>
      <c r="AC54" s="70"/>
      <c r="AD54" s="70"/>
      <c r="AE54" s="70"/>
      <c r="AF54" s="70"/>
    </row>
    <row r="55" spans="1:32" s="14" customFormat="1" x14ac:dyDescent="0.25">
      <c r="R55" s="45"/>
      <c r="S55" s="45"/>
      <c r="T55" s="45"/>
      <c r="U55" s="45"/>
      <c r="V55" s="89"/>
      <c r="W55" s="89"/>
      <c r="X55" s="89"/>
      <c r="Y55" s="89"/>
      <c r="Z55" s="89"/>
      <c r="AA55" s="70"/>
      <c r="AB55" s="70"/>
      <c r="AC55" s="70"/>
      <c r="AD55" s="70"/>
      <c r="AE55" s="70"/>
      <c r="AF55" s="70"/>
    </row>
    <row r="56" spans="1:32" s="14" customFormat="1" x14ac:dyDescent="0.25">
      <c r="R56" s="45"/>
      <c r="S56" s="45"/>
      <c r="T56" s="45"/>
      <c r="U56" s="45"/>
      <c r="V56" s="89"/>
      <c r="W56" s="89"/>
      <c r="X56" s="89"/>
      <c r="Y56" s="89"/>
      <c r="Z56" s="89"/>
      <c r="AA56" s="70"/>
      <c r="AB56" s="70"/>
      <c r="AC56" s="70"/>
      <c r="AD56" s="70"/>
      <c r="AE56" s="70"/>
      <c r="AF56" s="70"/>
    </row>
    <row r="57" spans="1:32" s="14" customFormat="1" x14ac:dyDescent="0.25">
      <c r="R57" s="45"/>
      <c r="S57" s="45"/>
      <c r="T57" s="45"/>
      <c r="U57" s="45"/>
      <c r="V57" s="89"/>
      <c r="W57" s="89"/>
      <c r="X57" s="89"/>
      <c r="Y57" s="89"/>
      <c r="Z57" s="89"/>
      <c r="AA57" s="70"/>
      <c r="AB57" s="70"/>
      <c r="AC57" s="70"/>
      <c r="AD57" s="70"/>
      <c r="AE57" s="70"/>
      <c r="AF57" s="70"/>
    </row>
    <row r="58" spans="1:32" s="14" customFormat="1" x14ac:dyDescent="0.25">
      <c r="R58" s="45"/>
      <c r="S58" s="45"/>
      <c r="T58" s="45"/>
      <c r="U58" s="45"/>
      <c r="V58" s="89"/>
      <c r="W58" s="89"/>
      <c r="X58" s="89"/>
      <c r="Y58" s="89"/>
      <c r="Z58" s="89"/>
      <c r="AA58" s="70"/>
      <c r="AB58" s="70"/>
      <c r="AC58" s="70"/>
      <c r="AD58" s="70"/>
      <c r="AE58" s="70"/>
      <c r="AF58" s="70"/>
    </row>
    <row r="59" spans="1:32" s="14" customFormat="1" x14ac:dyDescent="0.25">
      <c r="R59" s="45"/>
      <c r="S59" s="45"/>
      <c r="T59" s="45"/>
      <c r="U59" s="45"/>
      <c r="V59" s="89"/>
      <c r="W59" s="89"/>
      <c r="X59" s="89"/>
      <c r="Y59" s="89"/>
      <c r="Z59" s="89"/>
      <c r="AA59" s="70"/>
      <c r="AB59" s="70"/>
      <c r="AC59" s="70"/>
      <c r="AD59" s="70"/>
      <c r="AE59" s="70"/>
      <c r="AF59" s="70"/>
    </row>
    <row r="60" spans="1:32" s="14" customFormat="1" x14ac:dyDescent="0.25">
      <c r="R60" s="45"/>
      <c r="S60" s="45"/>
      <c r="T60" s="45"/>
      <c r="U60" s="45"/>
      <c r="V60" s="89"/>
      <c r="W60" s="89"/>
      <c r="X60" s="89"/>
      <c r="Y60" s="89"/>
      <c r="Z60" s="89"/>
      <c r="AA60" s="70"/>
      <c r="AB60" s="70"/>
      <c r="AC60" s="70"/>
      <c r="AD60" s="70"/>
      <c r="AE60" s="70"/>
      <c r="AF60" s="70"/>
    </row>
    <row r="61" spans="1:32" s="14" customFormat="1" x14ac:dyDescent="0.25">
      <c r="R61" s="45"/>
      <c r="S61" s="45"/>
      <c r="T61" s="45"/>
      <c r="U61" s="45"/>
      <c r="V61" s="89"/>
      <c r="W61" s="89"/>
      <c r="X61" s="89"/>
      <c r="Y61" s="89"/>
      <c r="Z61" s="89"/>
      <c r="AA61" s="70"/>
      <c r="AB61" s="70"/>
      <c r="AC61" s="70"/>
      <c r="AD61" s="70"/>
      <c r="AE61" s="70"/>
      <c r="AF61" s="70"/>
    </row>
    <row r="62" spans="1:32" s="14" customFormat="1" x14ac:dyDescent="0.25">
      <c r="R62" s="11"/>
      <c r="S62" s="11"/>
      <c r="T62" s="11"/>
      <c r="V62" s="70"/>
      <c r="W62" s="70"/>
      <c r="X62" s="70"/>
      <c r="Y62" s="70"/>
      <c r="Z62" s="70"/>
      <c r="AA62" s="70"/>
      <c r="AB62" s="70"/>
      <c r="AC62" s="70"/>
      <c r="AD62" s="70"/>
      <c r="AE62" s="70"/>
      <c r="AF62" s="70"/>
    </row>
    <row r="63" spans="1:32" s="14" customFormat="1" x14ac:dyDescent="0.25">
      <c r="R63" s="11"/>
      <c r="S63" s="11"/>
      <c r="T63" s="11"/>
      <c r="V63" s="70"/>
      <c r="W63" s="70"/>
      <c r="X63" s="70"/>
      <c r="Y63" s="70"/>
      <c r="Z63" s="70"/>
      <c r="AA63" s="70"/>
      <c r="AB63" s="70"/>
      <c r="AC63" s="70"/>
      <c r="AD63" s="70"/>
      <c r="AE63" s="70"/>
      <c r="AF63" s="70"/>
    </row>
    <row r="64" spans="1:32" s="14" customFormat="1" x14ac:dyDescent="0.25">
      <c r="R64" s="11"/>
      <c r="S64" s="11"/>
      <c r="T64" s="11"/>
      <c r="V64" s="70"/>
      <c r="W64" s="70"/>
      <c r="X64" s="70"/>
      <c r="Y64" s="70"/>
      <c r="Z64" s="70"/>
      <c r="AA64" s="70"/>
      <c r="AB64" s="70"/>
      <c r="AC64" s="70"/>
      <c r="AD64" s="70"/>
      <c r="AE64" s="70"/>
      <c r="AF64" s="70"/>
    </row>
    <row r="65" spans="18:32" s="14" customFormat="1" x14ac:dyDescent="0.25">
      <c r="R65" s="11"/>
      <c r="S65" s="11"/>
      <c r="T65" s="11"/>
      <c r="V65" s="70"/>
      <c r="W65" s="70"/>
      <c r="X65" s="70"/>
      <c r="Y65" s="70"/>
      <c r="Z65" s="70"/>
      <c r="AA65" s="70"/>
      <c r="AB65" s="70"/>
      <c r="AC65" s="70"/>
      <c r="AD65" s="70"/>
      <c r="AE65" s="70"/>
      <c r="AF65" s="70"/>
    </row>
    <row r="66" spans="18:32" s="14" customFormat="1" x14ac:dyDescent="0.25">
      <c r="R66" s="11"/>
      <c r="S66" s="11"/>
      <c r="T66" s="11"/>
      <c r="V66" s="70"/>
      <c r="W66" s="70"/>
      <c r="X66" s="70"/>
      <c r="Y66" s="70"/>
      <c r="Z66" s="70"/>
      <c r="AA66" s="70"/>
      <c r="AB66" s="70"/>
      <c r="AC66" s="70"/>
      <c r="AD66" s="70"/>
      <c r="AE66" s="70"/>
      <c r="AF66" s="70"/>
    </row>
    <row r="67" spans="18:32" s="14" customFormat="1" x14ac:dyDescent="0.25">
      <c r="R67" s="11"/>
      <c r="S67" s="11"/>
      <c r="T67" s="11"/>
      <c r="V67" s="70"/>
      <c r="W67" s="70"/>
      <c r="X67" s="70"/>
      <c r="Y67" s="70"/>
      <c r="Z67" s="70"/>
      <c r="AA67" s="70"/>
      <c r="AB67" s="70"/>
      <c r="AC67" s="70"/>
      <c r="AD67" s="70"/>
      <c r="AE67" s="70"/>
      <c r="AF67" s="70"/>
    </row>
    <row r="68" spans="18:32" s="14" customFormat="1" x14ac:dyDescent="0.25">
      <c r="V68" s="70"/>
      <c r="W68" s="70"/>
      <c r="X68" s="70"/>
      <c r="Y68" s="70"/>
      <c r="Z68" s="70"/>
      <c r="AA68" s="70"/>
      <c r="AB68" s="70"/>
      <c r="AC68" s="70"/>
      <c r="AD68" s="70"/>
      <c r="AE68" s="70"/>
      <c r="AF68" s="70"/>
    </row>
    <row r="69" spans="18:32" s="14" customFormat="1" x14ac:dyDescent="0.25">
      <c r="V69" s="70"/>
      <c r="W69" s="70"/>
      <c r="X69" s="70"/>
      <c r="Y69" s="70"/>
      <c r="Z69" s="70"/>
      <c r="AA69" s="70"/>
      <c r="AB69" s="70"/>
      <c r="AC69" s="70"/>
      <c r="AD69" s="70"/>
      <c r="AE69" s="70"/>
      <c r="AF69" s="70"/>
    </row>
    <row r="70" spans="18:32" s="14" customFormat="1" x14ac:dyDescent="0.25">
      <c r="V70" s="70"/>
      <c r="W70" s="70"/>
      <c r="X70" s="70"/>
      <c r="Y70" s="70"/>
      <c r="Z70" s="70"/>
      <c r="AA70" s="70"/>
      <c r="AB70" s="70"/>
      <c r="AC70" s="70"/>
      <c r="AD70" s="70"/>
      <c r="AE70" s="70"/>
      <c r="AF70" s="70"/>
    </row>
    <row r="71" spans="18:32" s="14" customFormat="1" x14ac:dyDescent="0.25">
      <c r="V71" s="70"/>
      <c r="W71" s="70"/>
      <c r="X71" s="70"/>
      <c r="Y71" s="70"/>
      <c r="Z71" s="70"/>
      <c r="AA71" s="70"/>
      <c r="AB71" s="70"/>
      <c r="AC71" s="70"/>
      <c r="AD71" s="70"/>
      <c r="AE71" s="70"/>
      <c r="AF71" s="70"/>
    </row>
    <row r="72" spans="18:32" s="14" customFormat="1" x14ac:dyDescent="0.25">
      <c r="V72" s="70"/>
      <c r="W72" s="70"/>
      <c r="X72" s="70"/>
      <c r="Y72" s="70"/>
      <c r="Z72" s="70"/>
      <c r="AA72" s="70"/>
      <c r="AB72" s="70"/>
      <c r="AC72" s="70"/>
      <c r="AD72" s="70"/>
      <c r="AE72" s="70"/>
      <c r="AF72" s="70"/>
    </row>
    <row r="73" spans="18:32" s="14" customFormat="1" x14ac:dyDescent="0.25">
      <c r="V73" s="70"/>
      <c r="W73" s="70"/>
      <c r="X73" s="70"/>
      <c r="Y73" s="70"/>
      <c r="Z73" s="70"/>
      <c r="AA73" s="70"/>
      <c r="AB73" s="70"/>
      <c r="AC73" s="70"/>
      <c r="AD73" s="70"/>
      <c r="AE73" s="70"/>
      <c r="AF73" s="70"/>
    </row>
    <row r="74" spans="18:32" s="14" customFormat="1" x14ac:dyDescent="0.25">
      <c r="V74" s="70"/>
      <c r="W74" s="70"/>
      <c r="X74" s="70"/>
      <c r="Y74" s="70"/>
      <c r="Z74" s="70"/>
      <c r="AA74" s="70"/>
      <c r="AB74" s="70"/>
      <c r="AC74" s="70"/>
      <c r="AD74" s="70"/>
      <c r="AE74" s="70"/>
      <c r="AF74" s="70"/>
    </row>
    <row r="75" spans="18:32" s="14" customFormat="1" x14ac:dyDescent="0.25">
      <c r="V75" s="70"/>
      <c r="W75" s="70"/>
      <c r="X75" s="70"/>
      <c r="Y75" s="70"/>
      <c r="Z75" s="70"/>
      <c r="AA75" s="70"/>
      <c r="AB75" s="70"/>
      <c r="AC75" s="70"/>
      <c r="AD75" s="70"/>
      <c r="AE75" s="70"/>
      <c r="AF75" s="70"/>
    </row>
    <row r="76" spans="18:32" s="14" customFormat="1" x14ac:dyDescent="0.25">
      <c r="V76" s="70"/>
      <c r="W76" s="70"/>
      <c r="X76" s="70"/>
      <c r="Y76" s="70"/>
      <c r="Z76" s="70"/>
      <c r="AA76" s="70"/>
      <c r="AB76" s="70"/>
      <c r="AC76" s="70"/>
      <c r="AD76" s="70"/>
      <c r="AE76" s="70"/>
      <c r="AF76" s="70"/>
    </row>
    <row r="77" spans="18:32" s="14" customFormat="1" x14ac:dyDescent="0.25">
      <c r="V77" s="70"/>
      <c r="W77" s="70"/>
      <c r="X77" s="70"/>
      <c r="Y77" s="70"/>
      <c r="Z77" s="70"/>
      <c r="AA77" s="70"/>
      <c r="AB77" s="70"/>
      <c r="AC77" s="70"/>
      <c r="AD77" s="70"/>
      <c r="AE77" s="70"/>
      <c r="AF77" s="70"/>
    </row>
    <row r="78" spans="18:32" s="14" customFormat="1" x14ac:dyDescent="0.25">
      <c r="V78" s="70"/>
      <c r="W78" s="70"/>
      <c r="X78" s="70"/>
      <c r="Y78" s="70"/>
      <c r="Z78" s="70"/>
      <c r="AA78" s="70"/>
      <c r="AB78" s="70"/>
      <c r="AC78" s="70"/>
      <c r="AD78" s="70"/>
      <c r="AE78" s="70"/>
      <c r="AF78" s="70"/>
    </row>
    <row r="79" spans="18:32" s="14" customFormat="1" x14ac:dyDescent="0.25">
      <c r="V79" s="70"/>
      <c r="W79" s="70"/>
      <c r="X79" s="70"/>
      <c r="Y79" s="70"/>
      <c r="Z79" s="70"/>
      <c r="AA79" s="70"/>
      <c r="AB79" s="70"/>
      <c r="AC79" s="70"/>
      <c r="AD79" s="70"/>
      <c r="AE79" s="70"/>
      <c r="AF79" s="70"/>
    </row>
    <row r="80" spans="18:32" s="14" customFormat="1" x14ac:dyDescent="0.25">
      <c r="V80" s="70"/>
      <c r="W80" s="70"/>
      <c r="X80" s="70"/>
      <c r="Y80" s="70"/>
      <c r="Z80" s="70"/>
      <c r="AA80" s="70"/>
      <c r="AB80" s="70"/>
      <c r="AC80" s="70"/>
      <c r="AD80" s="70"/>
      <c r="AE80" s="70"/>
      <c r="AF80" s="70"/>
    </row>
    <row r="81" spans="18:32" s="14" customFormat="1" x14ac:dyDescent="0.25">
      <c r="V81" s="70"/>
      <c r="W81" s="70"/>
      <c r="X81" s="70"/>
      <c r="Y81" s="70"/>
      <c r="Z81" s="70"/>
      <c r="AA81" s="70"/>
      <c r="AB81" s="70"/>
      <c r="AC81" s="70"/>
      <c r="AD81" s="70"/>
      <c r="AE81" s="70"/>
      <c r="AF81" s="70"/>
    </row>
    <row r="82" spans="18:32" s="14" customFormat="1" x14ac:dyDescent="0.25">
      <c r="V82" s="70"/>
      <c r="W82" s="70"/>
      <c r="X82" s="70"/>
      <c r="Y82" s="70"/>
      <c r="Z82" s="70"/>
      <c r="AA82" s="70"/>
      <c r="AB82" s="70"/>
      <c r="AC82" s="70"/>
      <c r="AD82" s="70"/>
      <c r="AE82" s="70"/>
      <c r="AF82" s="70"/>
    </row>
    <row r="83" spans="18:32" s="14" customFormat="1" x14ac:dyDescent="0.25">
      <c r="R83" s="11"/>
      <c r="S83" s="11"/>
      <c r="T83" s="11"/>
      <c r="V83" s="70"/>
      <c r="W83" s="70"/>
      <c r="X83" s="70"/>
      <c r="Y83" s="70"/>
      <c r="Z83" s="70"/>
      <c r="AA83" s="70"/>
      <c r="AB83" s="70"/>
      <c r="AC83" s="70"/>
      <c r="AD83" s="70"/>
      <c r="AE83" s="70"/>
      <c r="AF83" s="70"/>
    </row>
    <row r="84" spans="18:32" s="14" customFormat="1" x14ac:dyDescent="0.25">
      <c r="R84" s="11"/>
      <c r="S84" s="11"/>
      <c r="T84" s="11"/>
      <c r="V84" s="70"/>
      <c r="W84" s="70"/>
      <c r="X84" s="70"/>
      <c r="Y84" s="70"/>
      <c r="Z84" s="70"/>
      <c r="AA84" s="70"/>
      <c r="AB84" s="70"/>
      <c r="AC84" s="70"/>
      <c r="AD84" s="70"/>
      <c r="AE84" s="70"/>
      <c r="AF84" s="70"/>
    </row>
    <row r="85" spans="18:32" s="14" customFormat="1" x14ac:dyDescent="0.25">
      <c r="R85" s="11"/>
      <c r="S85" s="11"/>
      <c r="T85" s="11"/>
      <c r="V85" s="70"/>
      <c r="W85" s="70"/>
      <c r="X85" s="70"/>
      <c r="Y85" s="70"/>
      <c r="Z85" s="70"/>
      <c r="AA85" s="70"/>
      <c r="AB85" s="70"/>
      <c r="AC85" s="70"/>
      <c r="AD85" s="70"/>
      <c r="AE85" s="70"/>
      <c r="AF85" s="70"/>
    </row>
    <row r="86" spans="18:32" s="14" customFormat="1" x14ac:dyDescent="0.25">
      <c r="R86" s="11"/>
      <c r="S86" s="11"/>
      <c r="T86" s="11"/>
      <c r="V86" s="70"/>
      <c r="W86" s="70"/>
      <c r="X86" s="70"/>
      <c r="Y86" s="70"/>
      <c r="Z86" s="70"/>
      <c r="AA86" s="70"/>
      <c r="AB86" s="70"/>
      <c r="AC86" s="70"/>
      <c r="AD86" s="70"/>
      <c r="AE86" s="70"/>
      <c r="AF86" s="70"/>
    </row>
    <row r="87" spans="18:32" s="14" customFormat="1" x14ac:dyDescent="0.25">
      <c r="R87" s="11"/>
      <c r="S87" s="11"/>
      <c r="T87" s="11"/>
      <c r="V87" s="70"/>
      <c r="W87" s="70"/>
      <c r="X87" s="70"/>
      <c r="Y87" s="70"/>
      <c r="Z87" s="70"/>
      <c r="AA87" s="70"/>
      <c r="AB87" s="70"/>
      <c r="AC87" s="70"/>
      <c r="AD87" s="70"/>
      <c r="AE87" s="70"/>
      <c r="AF87" s="70"/>
    </row>
    <row r="88" spans="18:32" s="14" customFormat="1" x14ac:dyDescent="0.25">
      <c r="R88" s="11"/>
      <c r="S88" s="11"/>
      <c r="T88" s="11"/>
      <c r="V88" s="70"/>
      <c r="W88" s="70"/>
      <c r="X88" s="70"/>
      <c r="Y88" s="70"/>
      <c r="Z88" s="70"/>
      <c r="AA88" s="70"/>
      <c r="AB88" s="70"/>
      <c r="AC88" s="70"/>
      <c r="AD88" s="70"/>
      <c r="AE88" s="70"/>
      <c r="AF88" s="70"/>
    </row>
    <row r="89" spans="18:32" s="14" customFormat="1" x14ac:dyDescent="0.25">
      <c r="R89" s="11"/>
      <c r="S89" s="11"/>
      <c r="T89" s="11"/>
      <c r="V89" s="70"/>
      <c r="W89" s="70"/>
      <c r="X89" s="70"/>
      <c r="Y89" s="70"/>
      <c r="Z89" s="70"/>
      <c r="AA89" s="70"/>
      <c r="AB89" s="70"/>
      <c r="AC89" s="70"/>
      <c r="AD89" s="70"/>
      <c r="AE89" s="70"/>
      <c r="AF89" s="70"/>
    </row>
    <row r="90" spans="18:32" s="14" customFormat="1" x14ac:dyDescent="0.25">
      <c r="R90" s="11"/>
      <c r="S90" s="11"/>
      <c r="T90" s="11"/>
      <c r="V90" s="70"/>
      <c r="W90" s="70"/>
      <c r="X90" s="70"/>
      <c r="Y90" s="70"/>
      <c r="Z90" s="70"/>
      <c r="AA90" s="70"/>
      <c r="AB90" s="70"/>
      <c r="AC90" s="70"/>
      <c r="AD90" s="70"/>
      <c r="AE90" s="70"/>
      <c r="AF90" s="70"/>
    </row>
    <row r="91" spans="18:32" s="14" customFormat="1" x14ac:dyDescent="0.25">
      <c r="R91" s="11"/>
      <c r="S91" s="11"/>
      <c r="T91" s="11"/>
      <c r="V91" s="70"/>
      <c r="W91" s="70"/>
      <c r="X91" s="70"/>
      <c r="Y91" s="70"/>
      <c r="Z91" s="70"/>
      <c r="AA91" s="70"/>
      <c r="AB91" s="70"/>
      <c r="AC91" s="70"/>
      <c r="AD91" s="70"/>
      <c r="AE91" s="70"/>
      <c r="AF91" s="70"/>
    </row>
    <row r="92" spans="18:32" s="14" customFormat="1" x14ac:dyDescent="0.25">
      <c r="R92" s="11"/>
      <c r="S92" s="11"/>
      <c r="T92" s="11"/>
      <c r="V92" s="70"/>
      <c r="W92" s="70"/>
      <c r="X92" s="70"/>
      <c r="Y92" s="70"/>
      <c r="Z92" s="70"/>
      <c r="AA92" s="70"/>
      <c r="AB92" s="70"/>
      <c r="AC92" s="70"/>
      <c r="AD92" s="70"/>
      <c r="AE92" s="70"/>
      <c r="AF92" s="70"/>
    </row>
    <row r="93" spans="18:32" s="14" customFormat="1" x14ac:dyDescent="0.25">
      <c r="R93" s="11"/>
      <c r="S93" s="11"/>
      <c r="T93" s="11"/>
      <c r="V93" s="70"/>
      <c r="W93" s="70"/>
      <c r="X93" s="70"/>
      <c r="Y93" s="70"/>
      <c r="Z93" s="70"/>
      <c r="AA93" s="70"/>
      <c r="AB93" s="70"/>
      <c r="AC93" s="70"/>
      <c r="AD93" s="70"/>
      <c r="AE93" s="70"/>
      <c r="AF93" s="70"/>
    </row>
    <row r="94" spans="18:32" s="14" customFormat="1" x14ac:dyDescent="0.25">
      <c r="R94" s="11"/>
      <c r="S94" s="11"/>
      <c r="T94" s="11"/>
      <c r="V94" s="70"/>
      <c r="W94" s="70"/>
      <c r="X94" s="70"/>
      <c r="Y94" s="70"/>
      <c r="Z94" s="70"/>
      <c r="AA94" s="70"/>
      <c r="AB94" s="70"/>
      <c r="AC94" s="70"/>
      <c r="AD94" s="70"/>
      <c r="AE94" s="70"/>
      <c r="AF94" s="70"/>
    </row>
    <row r="95" spans="18:32" s="14" customFormat="1" x14ac:dyDescent="0.25">
      <c r="R95" s="11"/>
      <c r="S95" s="11"/>
      <c r="T95" s="11"/>
      <c r="V95" s="70"/>
      <c r="W95" s="70"/>
      <c r="X95" s="70"/>
      <c r="Y95" s="70"/>
      <c r="Z95" s="70"/>
      <c r="AA95" s="70"/>
      <c r="AB95" s="70"/>
      <c r="AC95" s="70"/>
      <c r="AD95" s="70"/>
      <c r="AE95" s="70"/>
      <c r="AF95" s="70"/>
    </row>
    <row r="96" spans="18:32" s="14" customFormat="1" x14ac:dyDescent="0.25">
      <c r="R96" s="11"/>
      <c r="S96" s="11"/>
      <c r="T96" s="11"/>
      <c r="V96" s="70"/>
      <c r="W96" s="70"/>
      <c r="X96" s="70"/>
      <c r="Y96" s="70"/>
      <c r="Z96" s="70"/>
      <c r="AA96" s="70"/>
      <c r="AB96" s="70"/>
      <c r="AC96" s="70"/>
      <c r="AD96" s="70"/>
      <c r="AE96" s="70"/>
      <c r="AF96" s="70"/>
    </row>
    <row r="97" spans="18:32" s="14" customFormat="1" x14ac:dyDescent="0.25">
      <c r="R97" s="11"/>
      <c r="S97" s="11"/>
      <c r="T97" s="11"/>
      <c r="V97" s="70"/>
      <c r="W97" s="70"/>
      <c r="X97" s="70"/>
      <c r="Y97" s="70"/>
      <c r="Z97" s="70"/>
      <c r="AA97" s="70"/>
      <c r="AB97" s="70"/>
      <c r="AC97" s="70"/>
      <c r="AD97" s="70"/>
      <c r="AE97" s="70"/>
      <c r="AF97" s="70"/>
    </row>
    <row r="98" spans="18:32" s="14" customFormat="1" x14ac:dyDescent="0.25">
      <c r="R98" s="11"/>
      <c r="S98" s="11"/>
      <c r="T98" s="11"/>
      <c r="V98" s="70"/>
      <c r="W98" s="70"/>
      <c r="X98" s="70"/>
      <c r="Y98" s="70"/>
      <c r="Z98" s="70"/>
      <c r="AA98" s="70"/>
      <c r="AB98" s="70"/>
      <c r="AC98" s="70"/>
      <c r="AD98" s="70"/>
      <c r="AE98" s="70"/>
      <c r="AF98" s="70"/>
    </row>
    <row r="99" spans="18:32" s="14" customFormat="1" x14ac:dyDescent="0.25">
      <c r="R99" s="11"/>
      <c r="S99" s="11"/>
      <c r="T99" s="11"/>
      <c r="V99" s="70"/>
      <c r="W99" s="70"/>
      <c r="X99" s="70"/>
      <c r="Y99" s="70"/>
      <c r="Z99" s="70"/>
      <c r="AA99" s="70"/>
      <c r="AB99" s="70"/>
      <c r="AC99" s="70"/>
      <c r="AD99" s="70"/>
      <c r="AE99" s="70"/>
      <c r="AF99" s="70"/>
    </row>
    <row r="100" spans="18:32" s="14" customFormat="1" x14ac:dyDescent="0.25">
      <c r="R100" s="11"/>
      <c r="S100" s="11"/>
      <c r="T100" s="11"/>
      <c r="V100" s="70"/>
      <c r="W100" s="70"/>
      <c r="X100" s="70"/>
      <c r="Y100" s="70"/>
      <c r="Z100" s="70"/>
      <c r="AA100" s="70"/>
      <c r="AB100" s="70"/>
      <c r="AC100" s="70"/>
      <c r="AD100" s="70"/>
      <c r="AE100" s="70"/>
      <c r="AF100" s="70"/>
    </row>
    <row r="101" spans="18:32" s="14" customFormat="1" x14ac:dyDescent="0.25">
      <c r="R101" s="11"/>
      <c r="S101" s="11"/>
      <c r="T101" s="11"/>
      <c r="V101" s="70"/>
      <c r="W101" s="70"/>
      <c r="X101" s="70"/>
      <c r="Y101" s="70"/>
      <c r="Z101" s="70"/>
      <c r="AA101" s="70"/>
      <c r="AB101" s="70"/>
      <c r="AC101" s="70"/>
      <c r="AD101" s="70"/>
      <c r="AE101" s="70"/>
      <c r="AF101" s="70"/>
    </row>
    <row r="102" spans="18:32" s="14" customFormat="1" x14ac:dyDescent="0.25">
      <c r="R102" s="11"/>
      <c r="S102" s="11"/>
      <c r="T102" s="11"/>
      <c r="V102" s="70"/>
      <c r="W102" s="70"/>
      <c r="X102" s="70"/>
      <c r="Y102" s="70"/>
      <c r="Z102" s="70"/>
      <c r="AA102" s="70"/>
      <c r="AB102" s="70"/>
      <c r="AC102" s="70"/>
      <c r="AD102" s="70"/>
      <c r="AE102" s="70"/>
      <c r="AF102" s="70"/>
    </row>
    <row r="103" spans="18:32" s="14" customFormat="1" x14ac:dyDescent="0.25">
      <c r="R103" s="11"/>
      <c r="S103" s="11"/>
      <c r="T103" s="11"/>
      <c r="V103" s="70"/>
      <c r="W103" s="70"/>
      <c r="X103" s="70"/>
      <c r="Y103" s="70"/>
      <c r="Z103" s="70"/>
      <c r="AA103" s="70"/>
      <c r="AB103" s="70"/>
      <c r="AC103" s="70"/>
      <c r="AD103" s="70"/>
      <c r="AE103" s="70"/>
      <c r="AF103" s="70"/>
    </row>
    <row r="104" spans="18:32" s="14" customFormat="1" x14ac:dyDescent="0.25">
      <c r="R104" s="11"/>
      <c r="S104" s="11"/>
      <c r="T104" s="11"/>
      <c r="V104" s="70"/>
      <c r="W104" s="70"/>
      <c r="X104" s="70"/>
      <c r="Y104" s="70"/>
      <c r="Z104" s="70"/>
      <c r="AA104" s="70"/>
      <c r="AB104" s="70"/>
      <c r="AC104" s="70"/>
      <c r="AD104" s="70"/>
      <c r="AE104" s="70"/>
      <c r="AF104" s="70"/>
    </row>
    <row r="105" spans="18:32" s="14" customFormat="1" x14ac:dyDescent="0.25">
      <c r="R105" s="11"/>
      <c r="S105" s="11"/>
      <c r="T105" s="11"/>
      <c r="V105" s="70"/>
      <c r="W105" s="70"/>
      <c r="X105" s="70"/>
      <c r="Y105" s="70"/>
      <c r="Z105" s="70"/>
      <c r="AA105" s="70"/>
      <c r="AB105" s="70"/>
      <c r="AC105" s="70"/>
      <c r="AD105" s="70"/>
      <c r="AE105" s="70"/>
      <c r="AF105" s="70"/>
    </row>
    <row r="106" spans="18:32" s="14" customFormat="1" x14ac:dyDescent="0.25">
      <c r="R106" s="11"/>
      <c r="S106" s="11"/>
      <c r="T106" s="11"/>
      <c r="V106" s="70"/>
      <c r="W106" s="70"/>
      <c r="X106" s="70"/>
      <c r="Y106" s="70"/>
      <c r="Z106" s="70"/>
      <c r="AA106" s="70"/>
      <c r="AB106" s="70"/>
      <c r="AC106" s="70"/>
      <c r="AD106" s="70"/>
      <c r="AE106" s="70"/>
      <c r="AF106" s="70"/>
    </row>
    <row r="107" spans="18:32" s="14" customFormat="1" x14ac:dyDescent="0.25">
      <c r="R107" s="11"/>
      <c r="S107" s="11"/>
      <c r="T107" s="11"/>
      <c r="V107" s="70"/>
      <c r="W107" s="70"/>
      <c r="X107" s="70"/>
      <c r="Y107" s="70"/>
      <c r="Z107" s="70"/>
      <c r="AA107" s="70"/>
      <c r="AB107" s="70"/>
      <c r="AC107" s="70"/>
      <c r="AD107" s="70"/>
      <c r="AE107" s="70"/>
      <c r="AF107" s="70"/>
    </row>
    <row r="108" spans="18:32" s="14" customFormat="1" x14ac:dyDescent="0.25">
      <c r="R108" s="11"/>
      <c r="S108" s="11"/>
      <c r="T108" s="11"/>
      <c r="V108" s="70"/>
      <c r="W108" s="70"/>
      <c r="X108" s="70"/>
      <c r="Y108" s="70"/>
      <c r="Z108" s="70"/>
      <c r="AA108" s="70"/>
      <c r="AB108" s="70"/>
      <c r="AC108" s="70"/>
      <c r="AD108" s="70"/>
      <c r="AE108" s="70"/>
      <c r="AF108" s="70"/>
    </row>
    <row r="109" spans="18:32" s="14" customFormat="1" x14ac:dyDescent="0.25">
      <c r="R109" s="11"/>
      <c r="S109" s="11"/>
      <c r="T109" s="11"/>
      <c r="V109" s="70"/>
      <c r="W109" s="70"/>
      <c r="X109" s="70"/>
      <c r="Y109" s="70"/>
      <c r="Z109" s="70"/>
      <c r="AA109" s="70"/>
      <c r="AB109" s="70"/>
      <c r="AC109" s="70"/>
      <c r="AD109" s="70"/>
      <c r="AE109" s="70"/>
      <c r="AF109" s="70"/>
    </row>
    <row r="110" spans="18:32" s="14" customFormat="1" x14ac:dyDescent="0.25">
      <c r="R110" s="11"/>
      <c r="S110" s="11"/>
      <c r="T110" s="11"/>
      <c r="V110" s="70"/>
      <c r="W110" s="70"/>
      <c r="X110" s="70"/>
      <c r="Y110" s="70"/>
      <c r="Z110" s="70"/>
      <c r="AA110" s="70"/>
      <c r="AB110" s="70"/>
      <c r="AC110" s="70"/>
      <c r="AD110" s="70"/>
      <c r="AE110" s="70"/>
      <c r="AF110" s="70"/>
    </row>
    <row r="111" spans="18:32" s="14" customFormat="1" x14ac:dyDescent="0.25">
      <c r="R111" s="11"/>
      <c r="S111" s="11"/>
      <c r="T111" s="11"/>
      <c r="V111" s="70"/>
      <c r="W111" s="70"/>
      <c r="X111" s="70"/>
      <c r="Y111" s="70"/>
      <c r="Z111" s="70"/>
      <c r="AA111" s="70"/>
      <c r="AB111" s="70"/>
      <c r="AC111" s="70"/>
      <c r="AD111" s="70"/>
      <c r="AE111" s="70"/>
      <c r="AF111" s="70"/>
    </row>
    <row r="112" spans="18:32" s="14" customFormat="1" x14ac:dyDescent="0.25">
      <c r="R112" s="11"/>
      <c r="S112" s="11"/>
      <c r="T112" s="11"/>
      <c r="V112" s="70"/>
      <c r="W112" s="70"/>
      <c r="X112" s="70"/>
      <c r="Y112" s="70"/>
      <c r="Z112" s="70"/>
      <c r="AA112" s="70"/>
      <c r="AB112" s="70"/>
      <c r="AC112" s="70"/>
      <c r="AD112" s="70"/>
      <c r="AE112" s="70"/>
      <c r="AF112" s="70"/>
    </row>
    <row r="113" spans="18:32" s="14" customFormat="1" x14ac:dyDescent="0.25">
      <c r="R113" s="11"/>
      <c r="S113" s="11"/>
      <c r="T113" s="11"/>
      <c r="V113" s="70"/>
      <c r="W113" s="70"/>
      <c r="X113" s="70"/>
      <c r="Y113" s="70"/>
      <c r="Z113" s="70"/>
      <c r="AA113" s="70"/>
      <c r="AB113" s="70"/>
      <c r="AC113" s="70"/>
      <c r="AD113" s="70"/>
      <c r="AE113" s="70"/>
      <c r="AF113" s="70"/>
    </row>
    <row r="114" spans="18:32" s="14" customFormat="1" x14ac:dyDescent="0.25">
      <c r="R114" s="11"/>
      <c r="S114" s="11"/>
      <c r="T114" s="11"/>
      <c r="V114" s="70"/>
      <c r="W114" s="70"/>
      <c r="X114" s="70"/>
      <c r="Y114" s="70"/>
      <c r="Z114" s="70"/>
      <c r="AA114" s="70"/>
      <c r="AB114" s="70"/>
      <c r="AC114" s="70"/>
      <c r="AD114" s="70"/>
      <c r="AE114" s="70"/>
      <c r="AF114" s="70"/>
    </row>
    <row r="115" spans="18:32" s="14" customFormat="1" x14ac:dyDescent="0.25">
      <c r="R115" s="11"/>
      <c r="S115" s="11"/>
      <c r="T115" s="11"/>
      <c r="V115" s="70"/>
      <c r="W115" s="70"/>
      <c r="X115" s="70"/>
      <c r="Y115" s="70"/>
      <c r="Z115" s="70"/>
      <c r="AA115" s="70"/>
      <c r="AB115" s="70"/>
      <c r="AC115" s="70"/>
      <c r="AD115" s="70"/>
      <c r="AE115" s="70"/>
      <c r="AF115" s="70"/>
    </row>
    <row r="116" spans="18:32" s="14" customFormat="1" x14ac:dyDescent="0.25">
      <c r="R116" s="11"/>
      <c r="S116" s="11"/>
      <c r="T116" s="11"/>
      <c r="V116" s="70"/>
      <c r="W116" s="70"/>
      <c r="X116" s="70"/>
      <c r="Y116" s="70"/>
      <c r="Z116" s="70"/>
      <c r="AA116" s="70"/>
      <c r="AB116" s="70"/>
      <c r="AC116" s="70"/>
      <c r="AD116" s="70"/>
      <c r="AE116" s="70"/>
      <c r="AF116" s="70"/>
    </row>
    <row r="117" spans="18:32" s="14" customFormat="1" x14ac:dyDescent="0.25">
      <c r="R117" s="11"/>
      <c r="S117" s="11"/>
      <c r="T117" s="11"/>
      <c r="V117" s="70"/>
      <c r="W117" s="70"/>
      <c r="X117" s="70"/>
      <c r="Y117" s="70"/>
      <c r="Z117" s="70"/>
      <c r="AA117" s="70"/>
      <c r="AB117" s="70"/>
      <c r="AC117" s="70"/>
      <c r="AD117" s="70"/>
      <c r="AE117" s="70"/>
      <c r="AF117" s="70"/>
    </row>
    <row r="118" spans="18:32" s="14" customFormat="1" x14ac:dyDescent="0.25">
      <c r="R118" s="11"/>
      <c r="S118" s="11"/>
      <c r="T118" s="11"/>
      <c r="V118" s="70"/>
      <c r="W118" s="70"/>
      <c r="X118" s="70"/>
      <c r="Y118" s="70"/>
      <c r="Z118" s="70"/>
      <c r="AA118" s="70"/>
      <c r="AB118" s="70"/>
      <c r="AC118" s="70"/>
      <c r="AD118" s="70"/>
      <c r="AE118" s="70"/>
      <c r="AF118" s="70"/>
    </row>
    <row r="119" spans="18:32" s="14" customFormat="1" x14ac:dyDescent="0.25">
      <c r="R119" s="11"/>
      <c r="S119" s="11"/>
      <c r="T119" s="11"/>
      <c r="V119" s="70"/>
      <c r="W119" s="70"/>
      <c r="X119" s="70"/>
      <c r="Y119" s="70"/>
      <c r="Z119" s="70"/>
      <c r="AA119" s="70"/>
      <c r="AB119" s="70"/>
      <c r="AC119" s="70"/>
      <c r="AD119" s="70"/>
      <c r="AE119" s="70"/>
      <c r="AF119" s="70"/>
    </row>
    <row r="120" spans="18:32" s="14" customFormat="1" x14ac:dyDescent="0.25">
      <c r="R120" s="11"/>
      <c r="S120" s="11"/>
      <c r="T120" s="11"/>
      <c r="V120" s="70"/>
      <c r="W120" s="70"/>
      <c r="X120" s="70"/>
      <c r="Y120" s="70"/>
      <c r="Z120" s="70"/>
      <c r="AA120" s="70"/>
      <c r="AB120" s="70"/>
      <c r="AC120" s="70"/>
      <c r="AD120" s="70"/>
      <c r="AE120" s="70"/>
      <c r="AF120" s="70"/>
    </row>
    <row r="121" spans="18:32" s="14" customFormat="1" x14ac:dyDescent="0.25">
      <c r="R121" s="11"/>
      <c r="S121" s="11"/>
      <c r="T121" s="11"/>
      <c r="V121" s="70"/>
      <c r="W121" s="70"/>
      <c r="X121" s="70"/>
      <c r="Y121" s="70"/>
      <c r="Z121" s="70"/>
      <c r="AA121" s="70"/>
      <c r="AB121" s="70"/>
      <c r="AC121" s="70"/>
      <c r="AD121" s="70"/>
      <c r="AE121" s="70"/>
      <c r="AF121" s="70"/>
    </row>
    <row r="122" spans="18:32" s="14" customFormat="1" x14ac:dyDescent="0.25">
      <c r="R122" s="11"/>
      <c r="S122" s="11"/>
      <c r="T122" s="11"/>
      <c r="V122" s="70"/>
      <c r="W122" s="70"/>
      <c r="X122" s="70"/>
      <c r="Y122" s="70"/>
      <c r="Z122" s="70"/>
      <c r="AA122" s="70"/>
      <c r="AB122" s="70"/>
      <c r="AC122" s="70"/>
      <c r="AD122" s="70"/>
      <c r="AE122" s="70"/>
      <c r="AF122" s="70"/>
    </row>
    <row r="123" spans="18:32" s="14" customFormat="1" x14ac:dyDescent="0.25">
      <c r="R123" s="11"/>
      <c r="S123" s="11"/>
      <c r="T123" s="11"/>
      <c r="V123" s="70"/>
      <c r="W123" s="70"/>
      <c r="X123" s="70"/>
      <c r="Y123" s="70"/>
      <c r="Z123" s="70"/>
      <c r="AA123" s="70"/>
      <c r="AB123" s="70"/>
      <c r="AC123" s="70"/>
      <c r="AD123" s="70"/>
      <c r="AE123" s="70"/>
      <c r="AF123" s="70"/>
    </row>
    <row r="124" spans="18:32" s="14" customFormat="1" x14ac:dyDescent="0.25">
      <c r="R124" s="11"/>
      <c r="S124" s="11"/>
      <c r="T124" s="11"/>
      <c r="V124" s="70"/>
      <c r="W124" s="70"/>
      <c r="X124" s="70"/>
      <c r="Y124" s="70"/>
      <c r="Z124" s="70"/>
      <c r="AA124" s="70"/>
      <c r="AB124" s="70"/>
      <c r="AC124" s="70"/>
      <c r="AD124" s="70"/>
      <c r="AE124" s="70"/>
      <c r="AF124" s="70"/>
    </row>
    <row r="125" spans="18:32" s="14" customFormat="1" x14ac:dyDescent="0.25">
      <c r="R125" s="11"/>
      <c r="S125" s="11"/>
      <c r="T125" s="11"/>
      <c r="V125" s="70"/>
      <c r="W125" s="70"/>
      <c r="X125" s="70"/>
      <c r="Y125" s="70"/>
      <c r="Z125" s="70"/>
      <c r="AA125" s="70"/>
      <c r="AB125" s="70"/>
      <c r="AC125" s="70"/>
      <c r="AD125" s="70"/>
      <c r="AE125" s="70"/>
      <c r="AF125" s="70"/>
    </row>
    <row r="126" spans="18:32" s="14" customFormat="1" x14ac:dyDescent="0.25">
      <c r="R126" s="11"/>
      <c r="S126" s="11"/>
      <c r="T126" s="11"/>
      <c r="V126" s="70"/>
      <c r="W126" s="70"/>
      <c r="X126" s="70"/>
      <c r="Y126" s="70"/>
      <c r="Z126" s="70"/>
      <c r="AA126" s="70"/>
      <c r="AB126" s="70"/>
      <c r="AC126" s="70"/>
      <c r="AD126" s="70"/>
      <c r="AE126" s="70"/>
      <c r="AF126" s="70"/>
    </row>
    <row r="127" spans="18:32" s="14" customFormat="1" x14ac:dyDescent="0.25">
      <c r="R127" s="11"/>
      <c r="S127" s="11"/>
      <c r="T127" s="11"/>
      <c r="V127" s="70"/>
      <c r="W127" s="70"/>
      <c r="X127" s="70"/>
      <c r="Y127" s="70"/>
      <c r="Z127" s="70"/>
      <c r="AA127" s="70"/>
      <c r="AB127" s="70"/>
      <c r="AC127" s="70"/>
      <c r="AD127" s="70"/>
      <c r="AE127" s="70"/>
      <c r="AF127" s="70"/>
    </row>
    <row r="128" spans="18:32" s="14" customFormat="1" x14ac:dyDescent="0.25">
      <c r="R128" s="11"/>
      <c r="S128" s="11"/>
      <c r="T128" s="11"/>
      <c r="V128" s="70"/>
      <c r="W128" s="70"/>
      <c r="X128" s="70"/>
      <c r="Y128" s="70"/>
      <c r="Z128" s="70"/>
      <c r="AA128" s="70"/>
      <c r="AB128" s="70"/>
      <c r="AC128" s="70"/>
      <c r="AD128" s="70"/>
      <c r="AE128" s="70"/>
      <c r="AF128" s="70"/>
    </row>
    <row r="129" spans="18:32" s="14" customFormat="1" x14ac:dyDescent="0.25">
      <c r="R129" s="11"/>
      <c r="S129" s="11"/>
      <c r="T129" s="11"/>
      <c r="V129" s="70"/>
      <c r="W129" s="70"/>
      <c r="X129" s="70"/>
      <c r="Y129" s="70"/>
      <c r="Z129" s="70"/>
      <c r="AA129" s="70"/>
      <c r="AB129" s="70"/>
      <c r="AC129" s="70"/>
      <c r="AD129" s="70"/>
      <c r="AE129" s="70"/>
      <c r="AF129" s="70"/>
    </row>
    <row r="130" spans="18:32" s="14" customFormat="1" x14ac:dyDescent="0.25">
      <c r="R130" s="11"/>
      <c r="S130" s="11"/>
      <c r="T130" s="11"/>
      <c r="V130" s="70"/>
      <c r="W130" s="70"/>
      <c r="X130" s="70"/>
      <c r="Y130" s="70"/>
      <c r="Z130" s="70"/>
      <c r="AA130" s="70"/>
      <c r="AB130" s="70"/>
      <c r="AC130" s="70"/>
      <c r="AD130" s="70"/>
      <c r="AE130" s="70"/>
      <c r="AF130" s="70"/>
    </row>
    <row r="131" spans="18:32" s="14" customFormat="1" x14ac:dyDescent="0.25">
      <c r="R131" s="11"/>
      <c r="S131" s="11"/>
      <c r="T131" s="11"/>
      <c r="V131" s="70"/>
      <c r="W131" s="70"/>
      <c r="X131" s="70"/>
      <c r="Y131" s="70"/>
      <c r="Z131" s="70"/>
      <c r="AA131" s="70"/>
      <c r="AB131" s="70"/>
      <c r="AC131" s="70"/>
      <c r="AD131" s="70"/>
      <c r="AE131" s="70"/>
      <c r="AF131" s="70"/>
    </row>
    <row r="132" spans="18:32" s="14" customFormat="1" x14ac:dyDescent="0.25">
      <c r="R132" s="11"/>
      <c r="S132" s="11"/>
      <c r="T132" s="11"/>
      <c r="V132" s="70"/>
      <c r="W132" s="70"/>
      <c r="X132" s="70"/>
      <c r="Y132" s="70"/>
      <c r="Z132" s="70"/>
      <c r="AA132" s="70"/>
      <c r="AB132" s="70"/>
      <c r="AC132" s="70"/>
      <c r="AD132" s="70"/>
      <c r="AE132" s="70"/>
      <c r="AF132" s="70"/>
    </row>
    <row r="133" spans="18:32" s="14" customFormat="1" x14ac:dyDescent="0.25">
      <c r="R133" s="11"/>
      <c r="S133" s="11"/>
      <c r="T133" s="11"/>
      <c r="V133" s="70"/>
      <c r="W133" s="70"/>
      <c r="X133" s="70"/>
      <c r="Y133" s="70"/>
      <c r="Z133" s="70"/>
      <c r="AA133" s="70"/>
      <c r="AB133" s="70"/>
      <c r="AC133" s="70"/>
      <c r="AD133" s="70"/>
      <c r="AE133" s="70"/>
      <c r="AF133" s="70"/>
    </row>
    <row r="134" spans="18:32" s="14" customFormat="1" x14ac:dyDescent="0.25">
      <c r="R134" s="11"/>
      <c r="S134" s="11"/>
      <c r="T134" s="11"/>
      <c r="V134" s="70"/>
      <c r="W134" s="70"/>
      <c r="X134" s="70"/>
      <c r="Y134" s="70"/>
      <c r="Z134" s="70"/>
      <c r="AA134" s="70"/>
      <c r="AB134" s="70"/>
      <c r="AC134" s="70"/>
      <c r="AD134" s="70"/>
      <c r="AE134" s="70"/>
      <c r="AF134" s="70"/>
    </row>
    <row r="135" spans="18:32" s="14" customFormat="1" x14ac:dyDescent="0.25">
      <c r="R135" s="11"/>
      <c r="S135" s="11"/>
      <c r="T135" s="11"/>
      <c r="V135" s="70"/>
      <c r="W135" s="70"/>
      <c r="X135" s="70"/>
      <c r="Y135" s="70"/>
      <c r="Z135" s="70"/>
      <c r="AA135" s="70"/>
      <c r="AB135" s="70"/>
      <c r="AC135" s="70"/>
      <c r="AD135" s="70"/>
      <c r="AE135" s="70"/>
      <c r="AF135" s="70"/>
    </row>
    <row r="136" spans="18:32" s="14" customFormat="1" x14ac:dyDescent="0.25">
      <c r="R136" s="11"/>
      <c r="S136" s="11"/>
      <c r="T136" s="11"/>
      <c r="V136" s="70"/>
      <c r="W136" s="70"/>
      <c r="X136" s="70"/>
      <c r="Y136" s="70"/>
      <c r="Z136" s="70"/>
      <c r="AA136" s="70"/>
      <c r="AB136" s="70"/>
      <c r="AC136" s="70"/>
      <c r="AD136" s="70"/>
      <c r="AE136" s="70"/>
      <c r="AF136" s="70"/>
    </row>
    <row r="137" spans="18:32" s="14" customFormat="1" x14ac:dyDescent="0.25">
      <c r="R137" s="11"/>
      <c r="S137" s="11"/>
      <c r="T137" s="11"/>
      <c r="V137" s="70"/>
      <c r="W137" s="70"/>
      <c r="X137" s="70"/>
      <c r="Y137" s="70"/>
      <c r="Z137" s="70"/>
      <c r="AA137" s="70"/>
      <c r="AB137" s="70"/>
      <c r="AC137" s="70"/>
      <c r="AD137" s="70"/>
      <c r="AE137" s="70"/>
      <c r="AF137" s="70"/>
    </row>
    <row r="138" spans="18:32" s="14" customFormat="1" x14ac:dyDescent="0.25">
      <c r="R138" s="11"/>
      <c r="S138" s="11"/>
      <c r="T138" s="11"/>
      <c r="V138" s="70"/>
      <c r="W138" s="70"/>
      <c r="X138" s="70"/>
      <c r="Y138" s="70"/>
      <c r="Z138" s="70"/>
      <c r="AA138" s="70"/>
      <c r="AB138" s="70"/>
      <c r="AC138" s="70"/>
      <c r="AD138" s="70"/>
      <c r="AE138" s="70"/>
      <c r="AF138" s="70"/>
    </row>
    <row r="139" spans="18:32" s="14" customFormat="1" x14ac:dyDescent="0.25">
      <c r="R139" s="11"/>
      <c r="S139" s="11"/>
      <c r="T139" s="11"/>
      <c r="V139" s="70"/>
      <c r="W139" s="70"/>
      <c r="X139" s="70"/>
      <c r="Y139" s="70"/>
      <c r="Z139" s="70"/>
      <c r="AA139" s="70"/>
      <c r="AB139" s="70"/>
      <c r="AC139" s="70"/>
      <c r="AD139" s="70"/>
      <c r="AE139" s="70"/>
      <c r="AF139" s="70"/>
    </row>
    <row r="140" spans="18:32" s="14" customFormat="1" x14ac:dyDescent="0.25">
      <c r="R140" s="11"/>
      <c r="S140" s="11"/>
      <c r="T140" s="11"/>
      <c r="V140" s="70"/>
      <c r="W140" s="70"/>
      <c r="X140" s="70"/>
      <c r="Y140" s="70"/>
      <c r="Z140" s="70"/>
      <c r="AA140" s="70"/>
      <c r="AB140" s="70"/>
      <c r="AC140" s="70"/>
      <c r="AD140" s="70"/>
      <c r="AE140" s="70"/>
      <c r="AF140" s="70"/>
    </row>
    <row r="141" spans="18:32" s="14" customFormat="1" x14ac:dyDescent="0.25">
      <c r="R141" s="11"/>
      <c r="S141" s="11"/>
      <c r="T141" s="11"/>
      <c r="V141" s="70"/>
      <c r="W141" s="70"/>
      <c r="X141" s="70"/>
      <c r="Y141" s="70"/>
      <c r="Z141" s="70"/>
      <c r="AA141" s="70"/>
      <c r="AB141" s="70"/>
      <c r="AC141" s="70"/>
      <c r="AD141" s="70"/>
      <c r="AE141" s="70"/>
      <c r="AF141" s="70"/>
    </row>
    <row r="142" spans="18:32" s="14" customFormat="1" x14ac:dyDescent="0.25">
      <c r="R142" s="11"/>
      <c r="S142" s="11"/>
      <c r="T142" s="11"/>
      <c r="V142" s="70"/>
      <c r="W142" s="70"/>
      <c r="X142" s="70"/>
      <c r="Y142" s="70"/>
      <c r="Z142" s="70"/>
      <c r="AA142" s="70"/>
      <c r="AB142" s="70"/>
      <c r="AC142" s="70"/>
      <c r="AD142" s="70"/>
      <c r="AE142" s="70"/>
      <c r="AF142" s="70"/>
    </row>
    <row r="143" spans="18:32" s="14" customFormat="1" x14ac:dyDescent="0.25">
      <c r="R143" s="11"/>
      <c r="S143" s="11"/>
      <c r="T143" s="11"/>
      <c r="V143" s="70"/>
      <c r="W143" s="70"/>
      <c r="X143" s="70"/>
      <c r="Y143" s="70"/>
      <c r="Z143" s="70"/>
      <c r="AA143" s="70"/>
      <c r="AB143" s="70"/>
      <c r="AC143" s="70"/>
      <c r="AD143" s="70"/>
      <c r="AE143" s="70"/>
      <c r="AF143" s="70"/>
    </row>
    <row r="144" spans="18:32" s="14" customFormat="1" x14ac:dyDescent="0.25">
      <c r="R144" s="11"/>
      <c r="S144" s="11"/>
      <c r="T144" s="11"/>
      <c r="V144" s="70"/>
      <c r="W144" s="70"/>
      <c r="X144" s="70"/>
      <c r="Y144" s="70"/>
      <c r="Z144" s="70"/>
      <c r="AA144" s="70"/>
      <c r="AB144" s="70"/>
      <c r="AC144" s="70"/>
      <c r="AD144" s="70"/>
      <c r="AE144" s="70"/>
      <c r="AF144" s="70"/>
    </row>
    <row r="145" spans="18:32" s="14" customFormat="1" x14ac:dyDescent="0.25">
      <c r="R145" s="11"/>
      <c r="S145" s="11"/>
      <c r="T145" s="11"/>
      <c r="V145" s="70"/>
      <c r="W145" s="70"/>
      <c r="X145" s="70"/>
      <c r="Y145" s="70"/>
      <c r="Z145" s="70"/>
      <c r="AA145" s="70"/>
      <c r="AB145" s="70"/>
      <c r="AC145" s="70"/>
      <c r="AD145" s="70"/>
      <c r="AE145" s="70"/>
      <c r="AF145" s="70"/>
    </row>
    <row r="146" spans="18:32" s="14" customFormat="1" x14ac:dyDescent="0.25">
      <c r="R146" s="11"/>
      <c r="S146" s="11"/>
      <c r="T146" s="11"/>
      <c r="V146" s="70"/>
      <c r="W146" s="70"/>
      <c r="X146" s="70"/>
      <c r="Y146" s="70"/>
      <c r="Z146" s="70"/>
      <c r="AA146" s="70"/>
      <c r="AB146" s="70"/>
      <c r="AC146" s="70"/>
      <c r="AD146" s="70"/>
      <c r="AE146" s="70"/>
      <c r="AF146" s="70"/>
    </row>
    <row r="147" spans="18:32" s="14" customFormat="1" x14ac:dyDescent="0.25">
      <c r="R147" s="11"/>
      <c r="S147" s="11"/>
      <c r="T147" s="11"/>
      <c r="V147" s="70"/>
      <c r="W147" s="70"/>
      <c r="X147" s="70"/>
      <c r="Y147" s="70"/>
      <c r="Z147" s="70"/>
      <c r="AA147" s="70"/>
      <c r="AB147" s="70"/>
      <c r="AC147" s="70"/>
      <c r="AD147" s="70"/>
      <c r="AE147" s="70"/>
      <c r="AF147" s="70"/>
    </row>
    <row r="148" spans="18:32" s="14" customFormat="1" x14ac:dyDescent="0.25">
      <c r="R148" s="11"/>
      <c r="S148" s="11"/>
      <c r="T148" s="11"/>
      <c r="V148" s="70"/>
      <c r="W148" s="70"/>
      <c r="X148" s="70"/>
      <c r="Y148" s="70"/>
      <c r="Z148" s="70"/>
      <c r="AA148" s="70"/>
      <c r="AB148" s="70"/>
      <c r="AC148" s="70"/>
      <c r="AD148" s="70"/>
      <c r="AE148" s="70"/>
      <c r="AF148" s="70"/>
    </row>
    <row r="149" spans="18:32" s="14" customFormat="1" x14ac:dyDescent="0.25">
      <c r="R149" s="11"/>
      <c r="S149" s="11"/>
      <c r="T149" s="11"/>
      <c r="V149" s="70"/>
      <c r="W149" s="70"/>
      <c r="X149" s="70"/>
      <c r="Y149" s="70"/>
      <c r="Z149" s="70"/>
      <c r="AA149" s="70"/>
      <c r="AB149" s="70"/>
      <c r="AC149" s="70"/>
      <c r="AD149" s="70"/>
      <c r="AE149" s="70"/>
      <c r="AF149" s="70"/>
    </row>
    <row r="150" spans="18:32" s="14" customFormat="1" x14ac:dyDescent="0.25">
      <c r="R150" s="11"/>
      <c r="S150" s="11"/>
      <c r="T150" s="11"/>
      <c r="V150" s="70"/>
      <c r="W150" s="70"/>
      <c r="X150" s="70"/>
      <c r="Y150" s="70"/>
      <c r="Z150" s="70"/>
      <c r="AA150" s="70"/>
      <c r="AB150" s="70"/>
      <c r="AC150" s="70"/>
      <c r="AD150" s="70"/>
      <c r="AE150" s="70"/>
      <c r="AF150" s="70"/>
    </row>
    <row r="151" spans="18:32" s="14" customFormat="1" x14ac:dyDescent="0.25">
      <c r="R151" s="11"/>
      <c r="S151" s="11"/>
      <c r="T151" s="11"/>
      <c r="V151" s="70"/>
      <c r="W151" s="70"/>
      <c r="X151" s="70"/>
      <c r="Y151" s="70"/>
      <c r="Z151" s="70"/>
      <c r="AA151" s="70"/>
      <c r="AB151" s="70"/>
      <c r="AC151" s="70"/>
      <c r="AD151" s="70"/>
      <c r="AE151" s="70"/>
      <c r="AF151" s="70"/>
    </row>
    <row r="152" spans="18:32" s="14" customFormat="1" x14ac:dyDescent="0.25">
      <c r="R152" s="11"/>
      <c r="S152" s="11"/>
      <c r="T152" s="11"/>
      <c r="V152" s="70"/>
      <c r="W152" s="70"/>
      <c r="X152" s="70"/>
      <c r="Y152" s="70"/>
      <c r="Z152" s="70"/>
      <c r="AA152" s="70"/>
      <c r="AB152" s="70"/>
      <c r="AC152" s="70"/>
      <c r="AD152" s="70"/>
      <c r="AE152" s="70"/>
      <c r="AF152" s="70"/>
    </row>
    <row r="153" spans="18:32" s="14" customFormat="1" x14ac:dyDescent="0.25">
      <c r="R153" s="11"/>
      <c r="S153" s="11"/>
      <c r="T153" s="11"/>
      <c r="V153" s="70"/>
      <c r="W153" s="70"/>
      <c r="X153" s="70"/>
      <c r="Y153" s="70"/>
      <c r="Z153" s="70"/>
      <c r="AA153" s="70"/>
      <c r="AB153" s="70"/>
      <c r="AC153" s="70"/>
      <c r="AD153" s="70"/>
      <c r="AE153" s="70"/>
      <c r="AF153" s="70"/>
    </row>
    <row r="154" spans="18:32" s="14" customFormat="1" x14ac:dyDescent="0.25">
      <c r="R154" s="11"/>
      <c r="S154" s="11"/>
      <c r="T154" s="11"/>
      <c r="V154" s="70"/>
      <c r="W154" s="70"/>
      <c r="X154" s="70"/>
      <c r="Y154" s="70"/>
      <c r="Z154" s="70"/>
      <c r="AA154" s="70"/>
      <c r="AB154" s="70"/>
      <c r="AC154" s="70"/>
      <c r="AD154" s="70"/>
      <c r="AE154" s="70"/>
      <c r="AF154" s="70"/>
    </row>
    <row r="155" spans="18:32" s="14" customFormat="1" x14ac:dyDescent="0.25">
      <c r="R155" s="11"/>
      <c r="S155" s="11"/>
      <c r="T155" s="11"/>
      <c r="V155" s="70"/>
      <c r="W155" s="70"/>
      <c r="X155" s="70"/>
      <c r="Y155" s="70"/>
      <c r="Z155" s="70"/>
      <c r="AA155" s="70"/>
      <c r="AB155" s="70"/>
      <c r="AC155" s="70"/>
      <c r="AD155" s="70"/>
      <c r="AE155" s="70"/>
      <c r="AF155" s="70"/>
    </row>
    <row r="156" spans="18:32" s="14" customFormat="1" x14ac:dyDescent="0.25">
      <c r="R156" s="11"/>
      <c r="S156" s="11"/>
      <c r="T156" s="11"/>
      <c r="V156" s="70"/>
      <c r="W156" s="70"/>
      <c r="X156" s="70"/>
      <c r="Y156" s="70"/>
      <c r="Z156" s="70"/>
      <c r="AA156" s="70"/>
      <c r="AB156" s="70"/>
      <c r="AC156" s="70"/>
      <c r="AD156" s="70"/>
      <c r="AE156" s="70"/>
      <c r="AF156" s="70"/>
    </row>
    <row r="157" spans="18:32" s="14" customFormat="1" x14ac:dyDescent="0.25">
      <c r="R157" s="11"/>
      <c r="S157" s="11"/>
      <c r="T157" s="11"/>
      <c r="V157" s="70"/>
      <c r="W157" s="70"/>
      <c r="X157" s="70"/>
      <c r="Y157" s="70"/>
      <c r="Z157" s="70"/>
      <c r="AA157" s="70"/>
      <c r="AB157" s="70"/>
      <c r="AC157" s="70"/>
      <c r="AD157" s="70"/>
      <c r="AE157" s="70"/>
      <c r="AF157" s="70"/>
    </row>
    <row r="158" spans="18:32" s="14" customFormat="1" x14ac:dyDescent="0.25">
      <c r="R158" s="11"/>
      <c r="S158" s="11"/>
      <c r="T158" s="11"/>
      <c r="V158" s="70"/>
      <c r="W158" s="70"/>
      <c r="X158" s="70"/>
      <c r="Y158" s="70"/>
      <c r="Z158" s="70"/>
      <c r="AA158" s="70"/>
      <c r="AB158" s="70"/>
      <c r="AC158" s="70"/>
      <c r="AD158" s="70"/>
      <c r="AE158" s="70"/>
      <c r="AF158" s="70"/>
    </row>
    <row r="159" spans="18:32" s="14" customFormat="1" x14ac:dyDescent="0.25">
      <c r="R159" s="11"/>
      <c r="S159" s="11"/>
      <c r="T159" s="11"/>
      <c r="V159" s="70"/>
      <c r="W159" s="70"/>
      <c r="X159" s="70"/>
      <c r="Y159" s="70"/>
      <c r="Z159" s="70"/>
      <c r="AA159" s="70"/>
      <c r="AB159" s="70"/>
      <c r="AC159" s="70"/>
      <c r="AD159" s="70"/>
      <c r="AE159" s="70"/>
      <c r="AF159" s="70"/>
    </row>
    <row r="160" spans="18:32" s="14" customFormat="1" x14ac:dyDescent="0.25">
      <c r="R160" s="11"/>
      <c r="S160" s="11"/>
      <c r="T160" s="11"/>
      <c r="V160" s="70"/>
      <c r="W160" s="70"/>
      <c r="X160" s="70"/>
      <c r="Y160" s="70"/>
      <c r="Z160" s="70"/>
      <c r="AA160" s="70"/>
      <c r="AB160" s="70"/>
      <c r="AC160" s="70"/>
      <c r="AD160" s="70"/>
      <c r="AE160" s="70"/>
      <c r="AF160" s="70"/>
    </row>
    <row r="161" spans="18:32" s="14" customFormat="1" x14ac:dyDescent="0.25">
      <c r="R161" s="11"/>
      <c r="S161" s="11"/>
      <c r="T161" s="11"/>
      <c r="V161" s="70"/>
      <c r="W161" s="70"/>
      <c r="X161" s="70"/>
      <c r="Y161" s="70"/>
      <c r="Z161" s="70"/>
      <c r="AA161" s="70"/>
      <c r="AB161" s="70"/>
      <c r="AC161" s="70"/>
      <c r="AD161" s="70"/>
      <c r="AE161" s="70"/>
      <c r="AF161" s="70"/>
    </row>
    <row r="162" spans="18:32" s="14" customFormat="1" x14ac:dyDescent="0.25">
      <c r="R162" s="11"/>
      <c r="S162" s="11"/>
      <c r="T162" s="11"/>
      <c r="V162" s="70"/>
      <c r="W162" s="70"/>
      <c r="X162" s="70"/>
      <c r="Y162" s="70"/>
      <c r="Z162" s="70"/>
      <c r="AA162" s="70"/>
      <c r="AB162" s="70"/>
      <c r="AC162" s="70"/>
      <c r="AD162" s="70"/>
      <c r="AE162" s="70"/>
      <c r="AF162" s="70"/>
    </row>
    <row r="163" spans="18:32" s="14" customFormat="1" x14ac:dyDescent="0.25">
      <c r="R163" s="11"/>
      <c r="S163" s="11"/>
      <c r="T163" s="11"/>
      <c r="V163" s="70"/>
      <c r="W163" s="70"/>
      <c r="X163" s="70"/>
      <c r="Y163" s="70"/>
      <c r="Z163" s="70"/>
      <c r="AA163" s="70"/>
      <c r="AB163" s="70"/>
      <c r="AC163" s="70"/>
      <c r="AD163" s="70"/>
      <c r="AE163" s="70"/>
      <c r="AF163" s="70"/>
    </row>
    <row r="164" spans="18:32" s="14" customFormat="1" x14ac:dyDescent="0.25">
      <c r="R164" s="11"/>
      <c r="S164" s="11"/>
      <c r="T164" s="11"/>
      <c r="V164" s="70"/>
      <c r="W164" s="70"/>
      <c r="X164" s="70"/>
      <c r="Y164" s="70"/>
      <c r="Z164" s="70"/>
      <c r="AA164" s="70"/>
      <c r="AB164" s="70"/>
      <c r="AC164" s="70"/>
      <c r="AD164" s="70"/>
      <c r="AE164" s="70"/>
      <c r="AF164" s="70"/>
    </row>
    <row r="165" spans="18:32" s="14" customFormat="1" x14ac:dyDescent="0.25">
      <c r="R165" s="11"/>
      <c r="S165" s="11"/>
      <c r="T165" s="11"/>
      <c r="V165" s="70"/>
      <c r="W165" s="70"/>
      <c r="X165" s="70"/>
      <c r="Y165" s="70"/>
      <c r="Z165" s="70"/>
      <c r="AA165" s="70"/>
      <c r="AB165" s="70"/>
      <c r="AC165" s="70"/>
      <c r="AD165" s="70"/>
      <c r="AE165" s="70"/>
      <c r="AF165" s="70"/>
    </row>
    <row r="166" spans="18:32" s="14" customFormat="1" x14ac:dyDescent="0.25">
      <c r="R166" s="11"/>
      <c r="S166" s="11"/>
      <c r="T166" s="11"/>
      <c r="V166" s="70"/>
      <c r="W166" s="70"/>
      <c r="X166" s="70"/>
      <c r="Y166" s="70"/>
      <c r="Z166" s="70"/>
      <c r="AA166" s="70"/>
      <c r="AB166" s="70"/>
      <c r="AC166" s="70"/>
      <c r="AD166" s="70"/>
      <c r="AE166" s="70"/>
      <c r="AF166" s="70"/>
    </row>
    <row r="167" spans="18:32" s="14" customFormat="1" x14ac:dyDescent="0.25">
      <c r="R167" s="11"/>
      <c r="S167" s="11"/>
      <c r="T167" s="11"/>
      <c r="V167" s="70"/>
      <c r="W167" s="70"/>
      <c r="X167" s="70"/>
      <c r="Y167" s="70"/>
      <c r="Z167" s="70"/>
      <c r="AA167" s="70"/>
      <c r="AB167" s="70"/>
      <c r="AC167" s="70"/>
      <c r="AD167" s="70"/>
      <c r="AE167" s="70"/>
      <c r="AF167" s="70"/>
    </row>
    <row r="168" spans="18:32" s="14" customFormat="1" x14ac:dyDescent="0.25">
      <c r="R168" s="11"/>
      <c r="S168" s="11"/>
      <c r="T168" s="11"/>
      <c r="V168" s="70"/>
      <c r="W168" s="70"/>
      <c r="X168" s="70"/>
      <c r="Y168" s="70"/>
      <c r="Z168" s="70"/>
      <c r="AA168" s="70"/>
      <c r="AB168" s="70"/>
      <c r="AC168" s="70"/>
      <c r="AD168" s="70"/>
      <c r="AE168" s="70"/>
      <c r="AF168" s="70"/>
    </row>
    <row r="169" spans="18:32" s="14" customFormat="1" x14ac:dyDescent="0.25">
      <c r="R169" s="11"/>
      <c r="S169" s="11"/>
      <c r="T169" s="11"/>
      <c r="V169" s="70"/>
      <c r="W169" s="70"/>
      <c r="X169" s="70"/>
      <c r="Y169" s="70"/>
      <c r="Z169" s="70"/>
      <c r="AA169" s="70"/>
      <c r="AB169" s="70"/>
      <c r="AC169" s="70"/>
      <c r="AD169" s="70"/>
      <c r="AE169" s="70"/>
      <c r="AF169" s="70"/>
    </row>
    <row r="170" spans="18:32" s="14" customFormat="1" x14ac:dyDescent="0.25">
      <c r="R170" s="11"/>
      <c r="S170" s="11"/>
      <c r="T170" s="11"/>
      <c r="V170" s="70"/>
      <c r="W170" s="70"/>
      <c r="X170" s="70"/>
      <c r="Y170" s="70"/>
      <c r="Z170" s="70"/>
      <c r="AA170" s="70"/>
      <c r="AB170" s="70"/>
      <c r="AC170" s="70"/>
      <c r="AD170" s="70"/>
      <c r="AE170" s="70"/>
      <c r="AF170" s="70"/>
    </row>
    <row r="171" spans="18:32" s="14" customFormat="1" x14ac:dyDescent="0.25">
      <c r="R171" s="11"/>
      <c r="S171" s="11"/>
      <c r="T171" s="11"/>
      <c r="V171" s="70"/>
      <c r="W171" s="70"/>
      <c r="X171" s="70"/>
      <c r="Y171" s="70"/>
      <c r="Z171" s="70"/>
      <c r="AA171" s="70"/>
      <c r="AB171" s="70"/>
      <c r="AC171" s="70"/>
      <c r="AD171" s="70"/>
      <c r="AE171" s="70"/>
      <c r="AF171" s="70"/>
    </row>
    <row r="172" spans="18:32" s="14" customFormat="1" x14ac:dyDescent="0.25">
      <c r="R172" s="11"/>
      <c r="S172" s="11"/>
      <c r="T172" s="11"/>
      <c r="V172" s="70"/>
      <c r="W172" s="70"/>
      <c r="X172" s="70"/>
      <c r="Y172" s="70"/>
      <c r="Z172" s="70"/>
      <c r="AA172" s="70"/>
      <c r="AB172" s="70"/>
      <c r="AC172" s="70"/>
      <c r="AD172" s="70"/>
      <c r="AE172" s="70"/>
      <c r="AF172" s="70"/>
    </row>
    <row r="173" spans="18:32" s="14" customFormat="1" x14ac:dyDescent="0.25">
      <c r="R173" s="11"/>
      <c r="S173" s="11"/>
      <c r="T173" s="11"/>
      <c r="V173" s="70"/>
      <c r="W173" s="70"/>
      <c r="X173" s="70"/>
      <c r="Y173" s="70"/>
      <c r="Z173" s="70"/>
      <c r="AA173" s="70"/>
      <c r="AB173" s="70"/>
      <c r="AC173" s="70"/>
      <c r="AD173" s="70"/>
      <c r="AE173" s="70"/>
      <c r="AF173" s="70"/>
    </row>
    <row r="174" spans="18:32" s="14" customFormat="1" x14ac:dyDescent="0.25">
      <c r="R174" s="11"/>
      <c r="S174" s="11"/>
      <c r="T174" s="11"/>
      <c r="V174" s="70"/>
      <c r="W174" s="70"/>
      <c r="X174" s="70"/>
      <c r="Y174" s="70"/>
      <c r="Z174" s="70"/>
      <c r="AA174" s="70"/>
      <c r="AB174" s="70"/>
      <c r="AC174" s="70"/>
      <c r="AD174" s="70"/>
      <c r="AE174" s="70"/>
      <c r="AF174" s="70"/>
    </row>
    <row r="175" spans="18:32" s="14" customFormat="1" x14ac:dyDescent="0.25">
      <c r="R175" s="11"/>
      <c r="S175" s="11"/>
      <c r="T175" s="11"/>
      <c r="V175" s="70"/>
      <c r="W175" s="70"/>
      <c r="X175" s="70"/>
      <c r="Y175" s="70"/>
      <c r="Z175" s="70"/>
      <c r="AA175" s="70"/>
      <c r="AB175" s="70"/>
      <c r="AC175" s="70"/>
      <c r="AD175" s="70"/>
      <c r="AE175" s="70"/>
      <c r="AF175" s="70"/>
    </row>
    <row r="176" spans="18:32" s="14" customFormat="1" x14ac:dyDescent="0.25">
      <c r="R176" s="11"/>
      <c r="S176" s="11"/>
      <c r="T176" s="11"/>
      <c r="V176" s="70"/>
      <c r="W176" s="70"/>
      <c r="X176" s="70"/>
      <c r="Y176" s="70"/>
      <c r="Z176" s="70"/>
      <c r="AA176" s="70"/>
      <c r="AB176" s="70"/>
      <c r="AC176" s="70"/>
      <c r="AD176" s="70"/>
      <c r="AE176" s="70"/>
      <c r="AF176" s="70"/>
    </row>
    <row r="177" spans="18:32" s="14" customFormat="1" x14ac:dyDescent="0.25">
      <c r="R177" s="11"/>
      <c r="S177" s="11"/>
      <c r="T177" s="11"/>
      <c r="V177" s="70"/>
      <c r="W177" s="70"/>
      <c r="X177" s="70"/>
      <c r="Y177" s="70"/>
      <c r="Z177" s="70"/>
      <c r="AA177" s="70"/>
      <c r="AB177" s="70"/>
      <c r="AC177" s="70"/>
      <c r="AD177" s="70"/>
      <c r="AE177" s="70"/>
      <c r="AF177" s="70"/>
    </row>
    <row r="178" spans="18:32" s="14" customFormat="1" x14ac:dyDescent="0.25">
      <c r="R178" s="11"/>
      <c r="S178" s="11"/>
      <c r="T178" s="11"/>
      <c r="V178" s="70"/>
      <c r="W178" s="70"/>
      <c r="X178" s="70"/>
      <c r="Y178" s="70"/>
      <c r="Z178" s="70"/>
      <c r="AA178" s="70"/>
      <c r="AB178" s="70"/>
      <c r="AC178" s="70"/>
      <c r="AD178" s="70"/>
      <c r="AE178" s="70"/>
      <c r="AF178" s="70"/>
    </row>
    <row r="179" spans="18:32" s="14" customFormat="1" x14ac:dyDescent="0.25">
      <c r="R179" s="11"/>
      <c r="S179" s="11"/>
      <c r="T179" s="11"/>
      <c r="V179" s="70"/>
      <c r="W179" s="70"/>
      <c r="X179" s="70"/>
      <c r="Y179" s="70"/>
      <c r="Z179" s="70"/>
      <c r="AA179" s="70"/>
      <c r="AB179" s="70"/>
      <c r="AC179" s="70"/>
      <c r="AD179" s="70"/>
      <c r="AE179" s="70"/>
      <c r="AF179" s="70"/>
    </row>
    <row r="180" spans="18:32" s="14" customFormat="1" x14ac:dyDescent="0.25">
      <c r="R180" s="11"/>
      <c r="S180" s="11"/>
      <c r="T180" s="11"/>
      <c r="V180" s="70"/>
      <c r="W180" s="70"/>
      <c r="X180" s="70"/>
      <c r="Y180" s="70"/>
      <c r="Z180" s="70"/>
      <c r="AA180" s="70"/>
      <c r="AB180" s="70"/>
      <c r="AC180" s="70"/>
      <c r="AD180" s="70"/>
      <c r="AE180" s="70"/>
      <c r="AF180" s="70"/>
    </row>
    <row r="181" spans="18:32" s="14" customFormat="1" x14ac:dyDescent="0.25">
      <c r="R181" s="11"/>
      <c r="S181" s="11"/>
      <c r="T181" s="11"/>
      <c r="V181" s="70"/>
      <c r="W181" s="70"/>
      <c r="X181" s="70"/>
      <c r="Y181" s="70"/>
      <c r="Z181" s="70"/>
      <c r="AA181" s="70"/>
      <c r="AB181" s="70"/>
      <c r="AC181" s="70"/>
      <c r="AD181" s="70"/>
      <c r="AE181" s="70"/>
      <c r="AF181" s="70"/>
    </row>
    <row r="182" spans="18:32" s="14" customFormat="1" x14ac:dyDescent="0.25">
      <c r="R182" s="11"/>
      <c r="S182" s="11"/>
      <c r="T182" s="11"/>
      <c r="V182" s="70"/>
      <c r="W182" s="70"/>
      <c r="X182" s="70"/>
      <c r="Y182" s="70"/>
      <c r="Z182" s="70"/>
      <c r="AA182" s="70"/>
      <c r="AB182" s="70"/>
      <c r="AC182" s="70"/>
      <c r="AD182" s="70"/>
      <c r="AE182" s="70"/>
      <c r="AF182" s="70"/>
    </row>
    <row r="183" spans="18:32" s="14" customFormat="1" x14ac:dyDescent="0.25">
      <c r="R183" s="11"/>
      <c r="S183" s="11"/>
      <c r="T183" s="11"/>
      <c r="V183" s="70"/>
      <c r="W183" s="70"/>
      <c r="X183" s="70"/>
      <c r="Y183" s="70"/>
      <c r="Z183" s="70"/>
      <c r="AA183" s="70"/>
      <c r="AB183" s="70"/>
      <c r="AC183" s="70"/>
      <c r="AD183" s="70"/>
      <c r="AE183" s="70"/>
      <c r="AF183" s="70"/>
    </row>
    <row r="184" spans="18:32" s="14" customFormat="1" x14ac:dyDescent="0.25">
      <c r="R184" s="11"/>
      <c r="S184" s="11"/>
      <c r="T184" s="11"/>
      <c r="V184" s="70"/>
      <c r="W184" s="70"/>
      <c r="X184" s="70"/>
      <c r="Y184" s="70"/>
      <c r="Z184" s="70"/>
      <c r="AA184" s="70"/>
      <c r="AB184" s="70"/>
      <c r="AC184" s="70"/>
      <c r="AD184" s="70"/>
      <c r="AE184" s="70"/>
      <c r="AF184" s="70"/>
    </row>
    <row r="185" spans="18:32" s="14" customFormat="1" x14ac:dyDescent="0.25">
      <c r="R185" s="11"/>
      <c r="S185" s="11"/>
      <c r="T185" s="11"/>
      <c r="V185" s="70"/>
      <c r="W185" s="70"/>
      <c r="X185" s="70"/>
      <c r="Y185" s="70"/>
      <c r="Z185" s="70"/>
      <c r="AA185" s="70"/>
      <c r="AB185" s="70"/>
      <c r="AC185" s="70"/>
      <c r="AD185" s="70"/>
      <c r="AE185" s="70"/>
      <c r="AF185" s="70"/>
    </row>
    <row r="186" spans="18:32" s="14" customFormat="1" x14ac:dyDescent="0.25">
      <c r="R186" s="11"/>
      <c r="S186" s="11"/>
      <c r="T186" s="11"/>
      <c r="V186" s="70"/>
      <c r="W186" s="70"/>
      <c r="X186" s="70"/>
      <c r="Y186" s="70"/>
      <c r="Z186" s="70"/>
      <c r="AA186" s="70"/>
      <c r="AB186" s="70"/>
      <c r="AC186" s="70"/>
      <c r="AD186" s="70"/>
      <c r="AE186" s="70"/>
      <c r="AF186" s="70"/>
    </row>
    <row r="187" spans="18:32" s="14" customFormat="1" x14ac:dyDescent="0.25">
      <c r="R187" s="11"/>
      <c r="S187" s="11"/>
      <c r="T187" s="11"/>
      <c r="V187" s="70"/>
      <c r="W187" s="70"/>
      <c r="X187" s="70"/>
      <c r="Y187" s="70"/>
      <c r="Z187" s="70"/>
      <c r="AA187" s="70"/>
      <c r="AB187" s="70"/>
      <c r="AC187" s="70"/>
      <c r="AD187" s="70"/>
      <c r="AE187" s="70"/>
      <c r="AF187" s="70"/>
    </row>
    <row r="188" spans="18:32" s="14" customFormat="1" x14ac:dyDescent="0.25">
      <c r="R188" s="11"/>
      <c r="S188" s="11"/>
      <c r="T188" s="11"/>
      <c r="V188" s="70"/>
      <c r="W188" s="70"/>
      <c r="X188" s="70"/>
      <c r="Y188" s="70"/>
      <c r="Z188" s="70"/>
      <c r="AA188" s="70"/>
      <c r="AB188" s="70"/>
      <c r="AC188" s="70"/>
      <c r="AD188" s="70"/>
      <c r="AE188" s="70"/>
      <c r="AF188" s="70"/>
    </row>
    <row r="189" spans="18:32" s="14" customFormat="1" x14ac:dyDescent="0.25">
      <c r="R189" s="11"/>
      <c r="S189" s="11"/>
      <c r="T189" s="11"/>
      <c r="V189" s="70"/>
      <c r="W189" s="70"/>
      <c r="X189" s="70"/>
      <c r="Y189" s="70"/>
      <c r="Z189" s="70"/>
      <c r="AA189" s="70"/>
      <c r="AB189" s="70"/>
      <c r="AC189" s="70"/>
      <c r="AD189" s="70"/>
      <c r="AE189" s="70"/>
      <c r="AF189" s="70"/>
    </row>
    <row r="190" spans="18:32" s="14" customFormat="1" x14ac:dyDescent="0.25">
      <c r="R190" s="11"/>
      <c r="S190" s="11"/>
      <c r="T190" s="11"/>
      <c r="V190" s="70"/>
      <c r="W190" s="70"/>
      <c r="X190" s="70"/>
      <c r="Y190" s="70"/>
      <c r="Z190" s="70"/>
      <c r="AA190" s="70"/>
      <c r="AB190" s="70"/>
      <c r="AC190" s="70"/>
      <c r="AD190" s="70"/>
      <c r="AE190" s="70"/>
      <c r="AF190" s="70"/>
    </row>
    <row r="191" spans="18:32" s="14" customFormat="1" x14ac:dyDescent="0.25">
      <c r="R191" s="11"/>
      <c r="S191" s="11"/>
      <c r="T191" s="11"/>
      <c r="V191" s="70"/>
      <c r="W191" s="70"/>
      <c r="X191" s="70"/>
      <c r="Y191" s="70"/>
      <c r="Z191" s="70"/>
      <c r="AA191" s="70"/>
      <c r="AB191" s="70"/>
      <c r="AC191" s="70"/>
      <c r="AD191" s="70"/>
      <c r="AE191" s="70"/>
      <c r="AF191" s="70"/>
    </row>
    <row r="192" spans="18:32" s="14" customFormat="1" x14ac:dyDescent="0.25">
      <c r="R192" s="11"/>
      <c r="S192" s="11"/>
      <c r="T192" s="11"/>
      <c r="V192" s="70"/>
      <c r="W192" s="70"/>
      <c r="X192" s="70"/>
      <c r="Y192" s="70"/>
      <c r="Z192" s="70"/>
      <c r="AA192" s="70"/>
      <c r="AB192" s="70"/>
      <c r="AC192" s="70"/>
      <c r="AD192" s="70"/>
      <c r="AE192" s="70"/>
      <c r="AF192" s="70"/>
    </row>
    <row r="193" spans="18:32" s="14" customFormat="1" x14ac:dyDescent="0.25">
      <c r="R193" s="11"/>
      <c r="S193" s="11"/>
      <c r="T193" s="11"/>
      <c r="V193" s="70"/>
      <c r="W193" s="70"/>
      <c r="X193" s="70"/>
      <c r="Y193" s="70"/>
      <c r="Z193" s="70"/>
      <c r="AA193" s="70"/>
      <c r="AB193" s="70"/>
      <c r="AC193" s="70"/>
      <c r="AD193" s="70"/>
      <c r="AE193" s="70"/>
      <c r="AF193" s="70"/>
    </row>
    <row r="194" spans="18:32" s="14" customFormat="1" x14ac:dyDescent="0.25">
      <c r="R194" s="11"/>
      <c r="S194" s="11"/>
      <c r="T194" s="11"/>
      <c r="V194" s="70"/>
      <c r="W194" s="70"/>
      <c r="X194" s="70"/>
      <c r="Y194" s="70"/>
      <c r="Z194" s="70"/>
      <c r="AA194" s="70"/>
      <c r="AB194" s="70"/>
      <c r="AC194" s="70"/>
      <c r="AD194" s="70"/>
      <c r="AE194" s="70"/>
      <c r="AF194" s="70"/>
    </row>
    <row r="195" spans="18:32" s="14" customFormat="1" x14ac:dyDescent="0.25">
      <c r="R195" s="11"/>
      <c r="S195" s="11"/>
      <c r="T195" s="11"/>
      <c r="V195" s="70"/>
      <c r="W195" s="70"/>
      <c r="X195" s="70"/>
      <c r="Y195" s="70"/>
      <c r="Z195" s="70"/>
      <c r="AA195" s="70"/>
      <c r="AB195" s="70"/>
      <c r="AC195" s="70"/>
      <c r="AD195" s="70"/>
      <c r="AE195" s="70"/>
      <c r="AF195" s="70"/>
    </row>
    <row r="196" spans="18:32" s="14" customFormat="1" x14ac:dyDescent="0.25">
      <c r="R196" s="11"/>
      <c r="S196" s="11"/>
      <c r="T196" s="11"/>
      <c r="V196" s="70"/>
      <c r="W196" s="70"/>
      <c r="X196" s="70"/>
      <c r="Y196" s="70"/>
      <c r="Z196" s="70"/>
      <c r="AA196" s="70"/>
      <c r="AB196" s="70"/>
      <c r="AC196" s="70"/>
      <c r="AD196" s="70"/>
      <c r="AE196" s="70"/>
      <c r="AF196" s="70"/>
    </row>
    <row r="197" spans="18:32" s="14" customFormat="1" x14ac:dyDescent="0.25">
      <c r="R197" s="11"/>
      <c r="S197" s="11"/>
      <c r="T197" s="11"/>
      <c r="V197" s="70"/>
      <c r="W197" s="70"/>
      <c r="X197" s="70"/>
      <c r="Y197" s="70"/>
      <c r="Z197" s="70"/>
      <c r="AA197" s="70"/>
      <c r="AB197" s="70"/>
      <c r="AC197" s="70"/>
      <c r="AD197" s="70"/>
      <c r="AE197" s="70"/>
      <c r="AF197" s="70"/>
    </row>
    <row r="198" spans="18:32" s="14" customFormat="1" x14ac:dyDescent="0.25">
      <c r="R198" s="11"/>
      <c r="S198" s="11"/>
      <c r="T198" s="11"/>
      <c r="V198" s="70"/>
      <c r="W198" s="70"/>
      <c r="X198" s="70"/>
      <c r="Y198" s="70"/>
      <c r="Z198" s="70"/>
      <c r="AA198" s="70"/>
      <c r="AB198" s="70"/>
      <c r="AC198" s="70"/>
      <c r="AD198" s="70"/>
      <c r="AE198" s="70"/>
      <c r="AF198" s="70"/>
    </row>
    <row r="199" spans="18:32" s="14" customFormat="1" x14ac:dyDescent="0.25">
      <c r="R199" s="11"/>
      <c r="S199" s="11"/>
      <c r="T199" s="11"/>
      <c r="V199" s="70"/>
      <c r="W199" s="70"/>
      <c r="X199" s="70"/>
      <c r="Y199" s="70"/>
      <c r="Z199" s="70"/>
      <c r="AA199" s="70"/>
      <c r="AB199" s="70"/>
      <c r="AC199" s="70"/>
      <c r="AD199" s="70"/>
      <c r="AE199" s="70"/>
      <c r="AF199" s="70"/>
    </row>
    <row r="200" spans="18:32" s="14" customFormat="1" x14ac:dyDescent="0.25">
      <c r="R200" s="11"/>
      <c r="S200" s="11"/>
      <c r="T200" s="11"/>
      <c r="V200" s="70"/>
      <c r="W200" s="70"/>
      <c r="X200" s="70"/>
      <c r="Y200" s="70"/>
      <c r="Z200" s="70"/>
      <c r="AA200" s="70"/>
      <c r="AB200" s="70"/>
      <c r="AC200" s="70"/>
      <c r="AD200" s="70"/>
      <c r="AE200" s="70"/>
      <c r="AF200" s="70"/>
    </row>
    <row r="201" spans="18:32" s="14" customFormat="1" x14ac:dyDescent="0.25">
      <c r="R201" s="11"/>
      <c r="S201" s="11"/>
      <c r="T201" s="11"/>
      <c r="V201" s="70"/>
      <c r="W201" s="70"/>
      <c r="X201" s="70"/>
      <c r="Y201" s="70"/>
      <c r="Z201" s="70"/>
      <c r="AA201" s="70"/>
      <c r="AB201" s="70"/>
      <c r="AC201" s="70"/>
      <c r="AD201" s="70"/>
      <c r="AE201" s="70"/>
      <c r="AF201" s="70"/>
    </row>
    <row r="202" spans="18:32" s="14" customFormat="1" x14ac:dyDescent="0.25">
      <c r="R202" s="11"/>
      <c r="S202" s="11"/>
      <c r="T202" s="11"/>
      <c r="V202" s="70"/>
      <c r="W202" s="70"/>
      <c r="X202" s="70"/>
      <c r="Y202" s="70"/>
      <c r="Z202" s="70"/>
      <c r="AA202" s="70"/>
      <c r="AB202" s="70"/>
      <c r="AC202" s="70"/>
      <c r="AD202" s="70"/>
      <c r="AE202" s="70"/>
      <c r="AF202" s="70"/>
    </row>
    <row r="203" spans="18:32" s="14" customFormat="1" x14ac:dyDescent="0.25">
      <c r="R203" s="11"/>
      <c r="S203" s="11"/>
      <c r="T203" s="11"/>
      <c r="V203" s="70"/>
      <c r="W203" s="70"/>
      <c r="X203" s="70"/>
      <c r="Y203" s="70"/>
      <c r="Z203" s="70"/>
      <c r="AA203" s="70"/>
      <c r="AB203" s="70"/>
      <c r="AC203" s="70"/>
      <c r="AD203" s="70"/>
      <c r="AE203" s="70"/>
      <c r="AF203" s="70"/>
    </row>
    <row r="204" spans="18:32" s="14" customFormat="1" x14ac:dyDescent="0.25">
      <c r="R204" s="11"/>
      <c r="S204" s="11"/>
      <c r="T204" s="11"/>
      <c r="V204" s="70"/>
      <c r="W204" s="70"/>
      <c r="X204" s="70"/>
      <c r="Y204" s="70"/>
      <c r="Z204" s="70"/>
      <c r="AA204" s="70"/>
      <c r="AB204" s="70"/>
      <c r="AC204" s="70"/>
      <c r="AD204" s="70"/>
      <c r="AE204" s="70"/>
      <c r="AF204" s="70"/>
    </row>
    <row r="205" spans="18:32" s="14" customFormat="1" x14ac:dyDescent="0.25">
      <c r="R205" s="11"/>
      <c r="S205" s="11"/>
      <c r="T205" s="11"/>
      <c r="V205" s="70"/>
      <c r="W205" s="70"/>
      <c r="X205" s="70"/>
      <c r="Y205" s="70"/>
      <c r="Z205" s="70"/>
      <c r="AA205" s="70"/>
      <c r="AB205" s="70"/>
      <c r="AC205" s="70"/>
      <c r="AD205" s="70"/>
      <c r="AE205" s="70"/>
      <c r="AF205" s="70"/>
    </row>
    <row r="206" spans="18:32" s="14" customFormat="1" x14ac:dyDescent="0.25">
      <c r="R206" s="11"/>
      <c r="S206" s="11"/>
      <c r="T206" s="11"/>
      <c r="V206" s="70"/>
      <c r="W206" s="70"/>
      <c r="X206" s="70"/>
      <c r="Y206" s="70"/>
      <c r="Z206" s="70"/>
      <c r="AA206" s="70"/>
      <c r="AB206" s="70"/>
      <c r="AC206" s="70"/>
      <c r="AD206" s="70"/>
      <c r="AE206" s="70"/>
      <c r="AF206" s="70"/>
    </row>
    <row r="207" spans="18:32" s="14" customFormat="1" x14ac:dyDescent="0.25">
      <c r="R207" s="11"/>
      <c r="S207" s="11"/>
      <c r="T207" s="11"/>
      <c r="V207" s="70"/>
      <c r="W207" s="70"/>
      <c r="X207" s="70"/>
      <c r="Y207" s="70"/>
      <c r="Z207" s="70"/>
      <c r="AA207" s="70"/>
      <c r="AB207" s="70"/>
      <c r="AC207" s="70"/>
      <c r="AD207" s="70"/>
      <c r="AE207" s="70"/>
      <c r="AF207" s="70"/>
    </row>
    <row r="208" spans="18:32" s="14" customFormat="1" x14ac:dyDescent="0.25">
      <c r="R208" s="11"/>
      <c r="S208" s="11"/>
      <c r="T208" s="11"/>
      <c r="V208" s="70"/>
      <c r="W208" s="70"/>
      <c r="X208" s="70"/>
      <c r="Y208" s="70"/>
      <c r="Z208" s="70"/>
      <c r="AA208" s="70"/>
      <c r="AB208" s="70"/>
      <c r="AC208" s="70"/>
      <c r="AD208" s="70"/>
      <c r="AE208" s="70"/>
      <c r="AF208" s="70"/>
    </row>
    <row r="209" spans="18:32" s="14" customFormat="1" x14ac:dyDescent="0.25">
      <c r="R209" s="11"/>
      <c r="S209" s="11"/>
      <c r="T209" s="11"/>
      <c r="V209" s="70"/>
      <c r="W209" s="70"/>
      <c r="X209" s="70"/>
      <c r="Y209" s="70"/>
      <c r="Z209" s="70"/>
      <c r="AA209" s="70"/>
      <c r="AB209" s="70"/>
      <c r="AC209" s="70"/>
      <c r="AD209" s="70"/>
      <c r="AE209" s="70"/>
      <c r="AF209" s="70"/>
    </row>
    <row r="210" spans="18:32" s="14" customFormat="1" x14ac:dyDescent="0.25">
      <c r="R210" s="11"/>
      <c r="S210" s="11"/>
      <c r="T210" s="11"/>
      <c r="V210" s="70"/>
      <c r="W210" s="70"/>
      <c r="X210" s="70"/>
      <c r="Y210" s="70"/>
      <c r="Z210" s="70"/>
      <c r="AA210" s="70"/>
      <c r="AB210" s="70"/>
      <c r="AC210" s="70"/>
      <c r="AD210" s="70"/>
      <c r="AE210" s="70"/>
      <c r="AF210" s="70"/>
    </row>
    <row r="211" spans="18:32" s="14" customFormat="1" x14ac:dyDescent="0.25">
      <c r="R211" s="11"/>
      <c r="S211" s="11"/>
      <c r="T211" s="11"/>
      <c r="V211" s="70"/>
      <c r="W211" s="70"/>
      <c r="X211" s="70"/>
      <c r="Y211" s="70"/>
      <c r="Z211" s="70"/>
      <c r="AA211" s="70"/>
      <c r="AB211" s="70"/>
      <c r="AC211" s="70"/>
      <c r="AD211" s="70"/>
      <c r="AE211" s="70"/>
      <c r="AF211" s="70"/>
    </row>
    <row r="212" spans="18:32" s="14" customFormat="1" x14ac:dyDescent="0.25">
      <c r="R212" s="11"/>
      <c r="S212" s="11"/>
      <c r="T212" s="11"/>
      <c r="V212" s="70"/>
      <c r="W212" s="70"/>
      <c r="X212" s="70"/>
      <c r="Y212" s="70"/>
      <c r="Z212" s="70"/>
      <c r="AA212" s="70"/>
      <c r="AB212" s="70"/>
      <c r="AC212" s="70"/>
      <c r="AD212" s="70"/>
      <c r="AE212" s="70"/>
      <c r="AF212" s="70"/>
    </row>
    <row r="213" spans="18:32" s="14" customFormat="1" x14ac:dyDescent="0.25">
      <c r="R213" s="11"/>
      <c r="S213" s="11"/>
      <c r="T213" s="11"/>
      <c r="V213" s="70"/>
      <c r="W213" s="70"/>
      <c r="X213" s="70"/>
      <c r="Y213" s="70"/>
      <c r="Z213" s="70"/>
      <c r="AA213" s="70"/>
      <c r="AB213" s="70"/>
      <c r="AC213" s="70"/>
      <c r="AD213" s="70"/>
      <c r="AE213" s="70"/>
      <c r="AF213" s="70"/>
    </row>
    <row r="214" spans="18:32" s="14" customFormat="1" x14ac:dyDescent="0.25">
      <c r="R214" s="11"/>
      <c r="S214" s="11"/>
      <c r="T214" s="11"/>
      <c r="V214" s="70"/>
      <c r="W214" s="70"/>
      <c r="X214" s="70"/>
      <c r="Y214" s="70"/>
      <c r="Z214" s="70"/>
      <c r="AA214" s="70"/>
      <c r="AB214" s="70"/>
      <c r="AC214" s="70"/>
      <c r="AD214" s="70"/>
      <c r="AE214" s="70"/>
      <c r="AF214" s="70"/>
    </row>
    <row r="215" spans="18:32" s="14" customFormat="1" x14ac:dyDescent="0.25">
      <c r="R215" s="11"/>
      <c r="S215" s="11"/>
      <c r="T215" s="11"/>
      <c r="V215" s="70"/>
      <c r="W215" s="70"/>
      <c r="X215" s="70"/>
      <c r="Y215" s="70"/>
      <c r="Z215" s="70"/>
      <c r="AA215" s="70"/>
      <c r="AB215" s="70"/>
      <c r="AC215" s="70"/>
      <c r="AD215" s="70"/>
      <c r="AE215" s="70"/>
      <c r="AF215" s="70"/>
    </row>
    <row r="216" spans="18:32" s="14" customFormat="1" x14ac:dyDescent="0.25">
      <c r="R216" s="11"/>
      <c r="S216" s="11"/>
      <c r="T216" s="11"/>
      <c r="V216" s="70"/>
      <c r="W216" s="70"/>
      <c r="X216" s="70"/>
      <c r="Y216" s="70"/>
      <c r="Z216" s="70"/>
      <c r="AA216" s="70"/>
      <c r="AB216" s="70"/>
      <c r="AC216" s="70"/>
      <c r="AD216" s="70"/>
      <c r="AE216" s="70"/>
      <c r="AF216" s="70"/>
    </row>
    <row r="217" spans="18:32" s="14" customFormat="1" x14ac:dyDescent="0.25">
      <c r="R217" s="11"/>
      <c r="S217" s="11"/>
      <c r="T217" s="11"/>
      <c r="V217" s="70"/>
      <c r="W217" s="70"/>
      <c r="X217" s="70"/>
      <c r="Y217" s="70"/>
      <c r="Z217" s="70"/>
      <c r="AA217" s="70"/>
      <c r="AB217" s="70"/>
      <c r="AC217" s="70"/>
      <c r="AD217" s="70"/>
      <c r="AE217" s="70"/>
      <c r="AF217" s="70"/>
    </row>
    <row r="218" spans="18:32" s="14" customFormat="1" x14ac:dyDescent="0.25">
      <c r="R218" s="11"/>
      <c r="S218" s="11"/>
      <c r="T218" s="11"/>
      <c r="V218" s="70"/>
      <c r="W218" s="70"/>
      <c r="X218" s="70"/>
      <c r="Y218" s="70"/>
      <c r="Z218" s="70"/>
      <c r="AA218" s="70"/>
      <c r="AB218" s="70"/>
      <c r="AC218" s="70"/>
      <c r="AD218" s="70"/>
      <c r="AE218" s="70"/>
      <c r="AF218" s="70"/>
    </row>
    <row r="219" spans="18:32" s="14" customFormat="1" x14ac:dyDescent="0.25">
      <c r="R219" s="11"/>
      <c r="S219" s="11"/>
      <c r="T219" s="11"/>
      <c r="V219" s="70"/>
      <c r="W219" s="70"/>
      <c r="X219" s="70"/>
      <c r="Y219" s="70"/>
      <c r="Z219" s="70"/>
      <c r="AA219" s="70"/>
      <c r="AB219" s="70"/>
      <c r="AC219" s="70"/>
      <c r="AD219" s="70"/>
      <c r="AE219" s="70"/>
      <c r="AF219" s="70"/>
    </row>
    <row r="220" spans="18:32" s="14" customFormat="1" x14ac:dyDescent="0.25">
      <c r="R220" s="11"/>
      <c r="S220" s="11"/>
      <c r="T220" s="11"/>
      <c r="V220" s="70"/>
      <c r="W220" s="70"/>
      <c r="X220" s="70"/>
      <c r="Y220" s="70"/>
      <c r="Z220" s="70"/>
      <c r="AA220" s="70"/>
      <c r="AB220" s="70"/>
      <c r="AC220" s="70"/>
      <c r="AD220" s="70"/>
      <c r="AE220" s="70"/>
      <c r="AF220" s="70"/>
    </row>
    <row r="221" spans="18:32" s="14" customFormat="1" x14ac:dyDescent="0.25">
      <c r="R221" s="11"/>
      <c r="S221" s="11"/>
      <c r="T221" s="11"/>
      <c r="V221" s="70"/>
      <c r="W221" s="70"/>
      <c r="X221" s="70"/>
      <c r="Y221" s="70"/>
      <c r="Z221" s="70"/>
      <c r="AA221" s="70"/>
      <c r="AB221" s="70"/>
      <c r="AC221" s="70"/>
      <c r="AD221" s="70"/>
      <c r="AE221" s="70"/>
      <c r="AF221" s="70"/>
    </row>
    <row r="222" spans="18:32" s="14" customFormat="1" x14ac:dyDescent="0.25">
      <c r="R222" s="11"/>
      <c r="S222" s="11"/>
      <c r="T222" s="11"/>
      <c r="V222" s="70"/>
      <c r="W222" s="70"/>
      <c r="X222" s="70"/>
      <c r="Y222" s="70"/>
      <c r="Z222" s="70"/>
      <c r="AA222" s="70"/>
      <c r="AB222" s="70"/>
      <c r="AC222" s="70"/>
      <c r="AD222" s="70"/>
      <c r="AE222" s="70"/>
      <c r="AF222" s="70"/>
    </row>
    <row r="223" spans="18:32" s="14" customFormat="1" x14ac:dyDescent="0.25">
      <c r="R223" s="11"/>
      <c r="S223" s="11"/>
      <c r="T223" s="11"/>
      <c r="V223" s="70"/>
      <c r="W223" s="70"/>
      <c r="X223" s="70"/>
      <c r="Y223" s="70"/>
      <c r="Z223" s="70"/>
      <c r="AA223" s="70"/>
      <c r="AB223" s="70"/>
      <c r="AC223" s="70"/>
      <c r="AD223" s="70"/>
      <c r="AE223" s="70"/>
      <c r="AF223" s="70"/>
    </row>
    <row r="224" spans="18:32" s="14" customFormat="1" x14ac:dyDescent="0.25">
      <c r="R224" s="11"/>
      <c r="S224" s="11"/>
      <c r="T224" s="11"/>
      <c r="V224" s="70"/>
      <c r="W224" s="70"/>
      <c r="X224" s="70"/>
      <c r="Y224" s="70"/>
      <c r="Z224" s="70"/>
      <c r="AA224" s="70"/>
      <c r="AB224" s="70"/>
      <c r="AC224" s="70"/>
      <c r="AD224" s="70"/>
      <c r="AE224" s="70"/>
      <c r="AF224" s="70"/>
    </row>
    <row r="225" spans="18:32" s="14" customFormat="1" x14ac:dyDescent="0.25">
      <c r="R225" s="11"/>
      <c r="S225" s="11"/>
      <c r="T225" s="11"/>
      <c r="V225" s="70"/>
      <c r="W225" s="70"/>
      <c r="X225" s="70"/>
      <c r="Y225" s="70"/>
      <c r="Z225" s="70"/>
      <c r="AA225" s="70"/>
      <c r="AB225" s="70"/>
      <c r="AC225" s="70"/>
      <c r="AD225" s="70"/>
      <c r="AE225" s="70"/>
      <c r="AF225" s="70"/>
    </row>
    <row r="226" spans="18:32" s="14" customFormat="1" x14ac:dyDescent="0.25">
      <c r="R226" s="11"/>
      <c r="S226" s="11"/>
      <c r="T226" s="11"/>
      <c r="V226" s="70"/>
      <c r="W226" s="70"/>
      <c r="X226" s="70"/>
      <c r="Y226" s="70"/>
      <c r="Z226" s="70"/>
      <c r="AA226" s="70"/>
      <c r="AB226" s="70"/>
      <c r="AC226" s="70"/>
      <c r="AD226" s="70"/>
      <c r="AE226" s="70"/>
      <c r="AF226" s="70"/>
    </row>
    <row r="227" spans="18:32" s="14" customFormat="1" x14ac:dyDescent="0.25">
      <c r="R227" s="11"/>
      <c r="S227" s="11"/>
      <c r="T227" s="11"/>
      <c r="V227" s="70"/>
      <c r="W227" s="70"/>
      <c r="X227" s="70"/>
      <c r="Y227" s="70"/>
      <c r="Z227" s="70"/>
      <c r="AA227" s="70"/>
      <c r="AB227" s="70"/>
      <c r="AC227" s="70"/>
      <c r="AD227" s="70"/>
      <c r="AE227" s="70"/>
      <c r="AF227" s="70"/>
    </row>
    <row r="228" spans="18:32" s="14" customFormat="1" x14ac:dyDescent="0.25">
      <c r="R228" s="11"/>
      <c r="S228" s="11"/>
      <c r="T228" s="11"/>
      <c r="V228" s="70"/>
      <c r="W228" s="70"/>
      <c r="X228" s="70"/>
      <c r="Y228" s="70"/>
      <c r="Z228" s="70"/>
      <c r="AA228" s="70"/>
      <c r="AB228" s="70"/>
      <c r="AC228" s="70"/>
      <c r="AD228" s="70"/>
      <c r="AE228" s="70"/>
      <c r="AF228" s="70"/>
    </row>
    <row r="229" spans="18:32" s="14" customFormat="1" x14ac:dyDescent="0.25">
      <c r="R229" s="11"/>
      <c r="S229" s="11"/>
      <c r="T229" s="11"/>
      <c r="V229" s="70"/>
      <c r="W229" s="70"/>
      <c r="X229" s="70"/>
      <c r="Y229" s="70"/>
      <c r="Z229" s="70"/>
      <c r="AA229" s="70"/>
      <c r="AB229" s="70"/>
      <c r="AC229" s="70"/>
      <c r="AD229" s="70"/>
      <c r="AE229" s="70"/>
      <c r="AF229" s="70"/>
    </row>
    <row r="230" spans="18:32" s="14" customFormat="1" x14ac:dyDescent="0.25">
      <c r="R230" s="11"/>
      <c r="S230" s="11"/>
      <c r="T230" s="11"/>
      <c r="V230" s="70"/>
      <c r="W230" s="70"/>
      <c r="X230" s="70"/>
      <c r="Y230" s="70"/>
      <c r="Z230" s="70"/>
      <c r="AA230" s="70"/>
      <c r="AB230" s="70"/>
      <c r="AC230" s="70"/>
      <c r="AD230" s="70"/>
      <c r="AE230" s="70"/>
      <c r="AF230" s="70"/>
    </row>
    <row r="231" spans="18:32" s="14" customFormat="1" x14ac:dyDescent="0.25">
      <c r="R231" s="11"/>
      <c r="S231" s="11"/>
      <c r="T231" s="11"/>
      <c r="V231" s="70"/>
      <c r="W231" s="70"/>
      <c r="X231" s="70"/>
      <c r="Y231" s="70"/>
      <c r="Z231" s="70"/>
      <c r="AA231" s="70"/>
      <c r="AB231" s="70"/>
      <c r="AC231" s="70"/>
      <c r="AD231" s="70"/>
      <c r="AE231" s="70"/>
      <c r="AF231" s="70"/>
    </row>
    <row r="232" spans="18:32" s="14" customFormat="1" x14ac:dyDescent="0.25">
      <c r="R232" s="11"/>
      <c r="S232" s="11"/>
      <c r="T232" s="11"/>
      <c r="V232" s="70"/>
      <c r="W232" s="70"/>
      <c r="X232" s="70"/>
      <c r="Y232" s="70"/>
      <c r="Z232" s="70"/>
      <c r="AA232" s="70"/>
      <c r="AB232" s="70"/>
      <c r="AC232" s="70"/>
      <c r="AD232" s="70"/>
      <c r="AE232" s="70"/>
      <c r="AF232" s="70"/>
    </row>
    <row r="233" spans="18:32" s="14" customFormat="1" x14ac:dyDescent="0.25">
      <c r="R233" s="11"/>
      <c r="S233" s="11"/>
      <c r="T233" s="11"/>
      <c r="V233" s="70"/>
      <c r="W233" s="70"/>
      <c r="X233" s="70"/>
      <c r="Y233" s="70"/>
      <c r="Z233" s="70"/>
      <c r="AA233" s="70"/>
      <c r="AB233" s="70"/>
      <c r="AC233" s="70"/>
      <c r="AD233" s="70"/>
      <c r="AE233" s="70"/>
      <c r="AF233" s="70"/>
    </row>
    <row r="234" spans="18:32" s="14" customFormat="1" x14ac:dyDescent="0.25">
      <c r="R234" s="11"/>
      <c r="S234" s="11"/>
      <c r="T234" s="11"/>
      <c r="V234" s="70"/>
      <c r="W234" s="70"/>
      <c r="X234" s="70"/>
      <c r="Y234" s="70"/>
      <c r="Z234" s="70"/>
      <c r="AA234" s="70"/>
      <c r="AB234" s="70"/>
      <c r="AC234" s="70"/>
      <c r="AD234" s="70"/>
      <c r="AE234" s="70"/>
      <c r="AF234" s="70"/>
    </row>
    <row r="235" spans="18:32" s="14" customFormat="1" x14ac:dyDescent="0.25">
      <c r="R235" s="11"/>
      <c r="S235" s="11"/>
      <c r="T235" s="11"/>
      <c r="V235" s="70"/>
      <c r="W235" s="70"/>
      <c r="X235" s="70"/>
      <c r="Y235" s="70"/>
      <c r="Z235" s="70"/>
      <c r="AA235" s="70"/>
      <c r="AB235" s="70"/>
      <c r="AC235" s="70"/>
      <c r="AD235" s="70"/>
      <c r="AE235" s="70"/>
      <c r="AF235" s="70"/>
    </row>
    <row r="236" spans="18:32" s="14" customFormat="1" x14ac:dyDescent="0.25">
      <c r="R236" s="11"/>
      <c r="S236" s="11"/>
      <c r="T236" s="11"/>
      <c r="V236" s="70"/>
      <c r="W236" s="70"/>
      <c r="X236" s="70"/>
      <c r="Y236" s="70"/>
      <c r="Z236" s="70"/>
      <c r="AA236" s="70"/>
      <c r="AB236" s="70"/>
      <c r="AC236" s="70"/>
      <c r="AD236" s="70"/>
      <c r="AE236" s="70"/>
      <c r="AF236" s="70"/>
    </row>
    <row r="237" spans="18:32" s="14" customFormat="1" x14ac:dyDescent="0.25">
      <c r="R237" s="11"/>
      <c r="S237" s="11"/>
      <c r="T237" s="11"/>
      <c r="V237" s="70"/>
      <c r="W237" s="70"/>
      <c r="X237" s="70"/>
      <c r="Y237" s="70"/>
      <c r="Z237" s="70"/>
      <c r="AA237" s="70"/>
      <c r="AB237" s="70"/>
      <c r="AC237" s="70"/>
      <c r="AD237" s="70"/>
      <c r="AE237" s="70"/>
      <c r="AF237" s="70"/>
    </row>
    <row r="238" spans="18:32" s="14" customFormat="1" x14ac:dyDescent="0.25">
      <c r="R238" s="11"/>
      <c r="S238" s="11"/>
      <c r="T238" s="11"/>
      <c r="V238" s="70"/>
      <c r="W238" s="70"/>
      <c r="X238" s="70"/>
      <c r="Y238" s="70"/>
      <c r="Z238" s="70"/>
      <c r="AA238" s="70"/>
      <c r="AB238" s="70"/>
      <c r="AC238" s="70"/>
      <c r="AD238" s="70"/>
      <c r="AE238" s="70"/>
      <c r="AF238" s="70"/>
    </row>
    <row r="239" spans="18:32" s="14" customFormat="1" x14ac:dyDescent="0.25">
      <c r="R239" s="11"/>
      <c r="S239" s="11"/>
      <c r="T239" s="11"/>
      <c r="V239" s="70"/>
      <c r="W239" s="70"/>
      <c r="X239" s="70"/>
      <c r="Y239" s="70"/>
      <c r="Z239" s="70"/>
      <c r="AA239" s="70"/>
      <c r="AB239" s="70"/>
      <c r="AC239" s="70"/>
      <c r="AD239" s="70"/>
      <c r="AE239" s="70"/>
      <c r="AF239" s="70"/>
    </row>
    <row r="240" spans="18:32" s="14" customFormat="1" x14ac:dyDescent="0.25">
      <c r="R240" s="11"/>
      <c r="S240" s="11"/>
      <c r="T240" s="11"/>
      <c r="V240" s="70"/>
      <c r="W240" s="70"/>
      <c r="X240" s="70"/>
      <c r="Y240" s="70"/>
      <c r="Z240" s="70"/>
      <c r="AA240" s="70"/>
      <c r="AB240" s="70"/>
      <c r="AC240" s="70"/>
      <c r="AD240" s="70"/>
      <c r="AE240" s="70"/>
      <c r="AF240" s="70"/>
    </row>
    <row r="241" spans="18:32" s="14" customFormat="1" x14ac:dyDescent="0.25">
      <c r="R241" s="11"/>
      <c r="S241" s="11"/>
      <c r="T241" s="11"/>
      <c r="V241" s="70"/>
      <c r="W241" s="70"/>
      <c r="X241" s="70"/>
      <c r="Y241" s="70"/>
      <c r="Z241" s="70"/>
      <c r="AA241" s="70"/>
      <c r="AB241" s="70"/>
      <c r="AC241" s="70"/>
      <c r="AD241" s="70"/>
      <c r="AE241" s="70"/>
      <c r="AF241" s="70"/>
    </row>
    <row r="242" spans="18:32" s="14" customFormat="1" x14ac:dyDescent="0.25">
      <c r="R242" s="11"/>
      <c r="S242" s="11"/>
      <c r="T242" s="11"/>
      <c r="V242" s="70"/>
      <c r="W242" s="70"/>
      <c r="X242" s="70"/>
      <c r="Y242" s="70"/>
      <c r="Z242" s="70"/>
      <c r="AA242" s="70"/>
      <c r="AB242" s="70"/>
      <c r="AC242" s="70"/>
      <c r="AD242" s="70"/>
      <c r="AE242" s="70"/>
      <c r="AF242" s="70"/>
    </row>
    <row r="243" spans="18:32" s="14" customFormat="1" x14ac:dyDescent="0.25">
      <c r="R243" s="11"/>
      <c r="S243" s="11"/>
      <c r="T243" s="11"/>
      <c r="V243" s="70"/>
      <c r="W243" s="70"/>
      <c r="X243" s="70"/>
      <c r="Y243" s="70"/>
      <c r="Z243" s="70"/>
      <c r="AA243" s="70"/>
      <c r="AB243" s="70"/>
      <c r="AC243" s="70"/>
      <c r="AD243" s="70"/>
      <c r="AE243" s="70"/>
      <c r="AF243" s="70"/>
    </row>
    <row r="244" spans="18:32" s="14" customFormat="1" x14ac:dyDescent="0.25">
      <c r="R244" s="11"/>
      <c r="S244" s="11"/>
      <c r="T244" s="11"/>
      <c r="V244" s="70"/>
      <c r="W244" s="70"/>
      <c r="X244" s="70"/>
      <c r="Y244" s="70"/>
      <c r="Z244" s="70"/>
      <c r="AA244" s="70"/>
      <c r="AB244" s="70"/>
      <c r="AC244" s="70"/>
      <c r="AD244" s="70"/>
      <c r="AE244" s="70"/>
      <c r="AF244" s="70"/>
    </row>
    <row r="245" spans="18:32" s="14" customFormat="1" x14ac:dyDescent="0.25">
      <c r="R245" s="11"/>
      <c r="S245" s="11"/>
      <c r="T245" s="11"/>
      <c r="V245" s="70"/>
      <c r="W245" s="70"/>
      <c r="X245" s="70"/>
      <c r="Y245" s="70"/>
      <c r="Z245" s="70"/>
      <c r="AA245" s="70"/>
      <c r="AB245" s="70"/>
      <c r="AC245" s="70"/>
      <c r="AD245" s="70"/>
      <c r="AE245" s="70"/>
      <c r="AF245" s="70"/>
    </row>
    <row r="246" spans="18:32" s="14" customFormat="1" x14ac:dyDescent="0.25">
      <c r="R246" s="11"/>
      <c r="S246" s="11"/>
      <c r="T246" s="11"/>
      <c r="V246" s="70"/>
      <c r="W246" s="70"/>
      <c r="X246" s="70"/>
      <c r="Y246" s="70"/>
      <c r="Z246" s="70"/>
      <c r="AA246" s="70"/>
      <c r="AB246" s="70"/>
      <c r="AC246" s="70"/>
      <c r="AD246" s="70"/>
      <c r="AE246" s="70"/>
      <c r="AF246" s="70"/>
    </row>
    <row r="247" spans="18:32" s="14" customFormat="1" x14ac:dyDescent="0.25">
      <c r="R247" s="11"/>
      <c r="S247" s="11"/>
      <c r="T247" s="11"/>
      <c r="V247" s="70"/>
      <c r="W247" s="70"/>
      <c r="X247" s="70"/>
      <c r="Y247" s="70"/>
      <c r="Z247" s="70"/>
      <c r="AA247" s="70"/>
      <c r="AB247" s="70"/>
      <c r="AC247" s="70"/>
      <c r="AD247" s="70"/>
      <c r="AE247" s="70"/>
      <c r="AF247" s="70"/>
    </row>
    <row r="248" spans="18:32" s="14" customFormat="1" x14ac:dyDescent="0.25">
      <c r="R248" s="11"/>
      <c r="S248" s="11"/>
      <c r="T248" s="11"/>
      <c r="V248" s="70"/>
      <c r="W248" s="70"/>
      <c r="X248" s="70"/>
      <c r="Y248" s="70"/>
      <c r="Z248" s="70"/>
      <c r="AA248" s="70"/>
      <c r="AB248" s="70"/>
      <c r="AC248" s="70"/>
      <c r="AD248" s="70"/>
      <c r="AE248" s="70"/>
      <c r="AF248" s="70"/>
    </row>
    <row r="249" spans="18:32" s="14" customFormat="1" x14ac:dyDescent="0.25">
      <c r="R249" s="11"/>
      <c r="S249" s="11"/>
      <c r="T249" s="11"/>
      <c r="V249" s="70"/>
      <c r="W249" s="70"/>
      <c r="X249" s="70"/>
      <c r="Y249" s="70"/>
      <c r="Z249" s="70"/>
      <c r="AA249" s="70"/>
      <c r="AB249" s="70"/>
      <c r="AC249" s="70"/>
      <c r="AD249" s="70"/>
      <c r="AE249" s="70"/>
      <c r="AF249" s="70"/>
    </row>
    <row r="250" spans="18:32" s="14" customFormat="1" x14ac:dyDescent="0.25">
      <c r="R250" s="11"/>
      <c r="S250" s="11"/>
      <c r="T250" s="11"/>
      <c r="V250" s="70"/>
      <c r="W250" s="70"/>
      <c r="X250" s="70"/>
      <c r="Y250" s="70"/>
      <c r="Z250" s="70"/>
      <c r="AA250" s="70"/>
      <c r="AB250" s="70"/>
      <c r="AC250" s="70"/>
      <c r="AD250" s="70"/>
      <c r="AE250" s="70"/>
      <c r="AF250" s="70"/>
    </row>
    <row r="251" spans="18:32" s="14" customFormat="1" x14ac:dyDescent="0.25">
      <c r="R251" s="11"/>
      <c r="S251" s="11"/>
      <c r="T251" s="11"/>
      <c r="V251" s="70"/>
      <c r="W251" s="70"/>
      <c r="X251" s="70"/>
      <c r="Y251" s="70"/>
      <c r="Z251" s="70"/>
      <c r="AA251" s="70"/>
      <c r="AB251" s="70"/>
      <c r="AC251" s="70"/>
      <c r="AD251" s="70"/>
      <c r="AE251" s="70"/>
      <c r="AF251" s="70"/>
    </row>
    <row r="252" spans="18:32" s="14" customFormat="1" x14ac:dyDescent="0.25">
      <c r="R252" s="11"/>
      <c r="S252" s="11"/>
      <c r="T252" s="11"/>
      <c r="V252" s="70"/>
      <c r="W252" s="70"/>
      <c r="X252" s="70"/>
      <c r="Y252" s="70"/>
      <c r="Z252" s="70"/>
      <c r="AA252" s="70"/>
      <c r="AB252" s="70"/>
      <c r="AC252" s="70"/>
      <c r="AD252" s="70"/>
      <c r="AE252" s="70"/>
      <c r="AF252" s="70"/>
    </row>
    <row r="253" spans="18:32" s="14" customFormat="1" x14ac:dyDescent="0.25">
      <c r="R253" s="11"/>
      <c r="S253" s="11"/>
      <c r="T253" s="11"/>
      <c r="V253" s="70"/>
      <c r="W253" s="70"/>
      <c r="X253" s="70"/>
      <c r="Y253" s="70"/>
      <c r="Z253" s="70"/>
      <c r="AA253" s="70"/>
      <c r="AB253" s="70"/>
      <c r="AC253" s="70"/>
      <c r="AD253" s="70"/>
      <c r="AE253" s="70"/>
      <c r="AF253" s="70"/>
    </row>
    <row r="254" spans="18:32" s="14" customFormat="1" x14ac:dyDescent="0.25">
      <c r="R254" s="11"/>
      <c r="S254" s="11"/>
      <c r="T254" s="11"/>
      <c r="V254" s="70"/>
      <c r="W254" s="70"/>
      <c r="X254" s="70"/>
      <c r="Y254" s="70"/>
      <c r="Z254" s="70"/>
      <c r="AA254" s="70"/>
      <c r="AB254" s="70"/>
      <c r="AC254" s="70"/>
      <c r="AD254" s="70"/>
      <c r="AE254" s="70"/>
      <c r="AF254" s="70"/>
    </row>
    <row r="255" spans="18:32" s="14" customFormat="1" x14ac:dyDescent="0.25">
      <c r="R255" s="11"/>
      <c r="S255" s="11"/>
      <c r="T255" s="11"/>
      <c r="V255" s="70"/>
      <c r="W255" s="70"/>
      <c r="X255" s="70"/>
      <c r="Y255" s="70"/>
      <c r="Z255" s="70"/>
      <c r="AA255" s="70"/>
      <c r="AB255" s="70"/>
      <c r="AC255" s="70"/>
      <c r="AD255" s="70"/>
      <c r="AE255" s="70"/>
      <c r="AF255" s="70"/>
    </row>
    <row r="256" spans="18:32" s="14" customFormat="1" x14ac:dyDescent="0.25">
      <c r="R256" s="11"/>
      <c r="S256" s="11"/>
      <c r="T256" s="11"/>
      <c r="V256" s="70"/>
      <c r="W256" s="70"/>
      <c r="X256" s="70"/>
      <c r="Y256" s="70"/>
      <c r="Z256" s="70"/>
      <c r="AA256" s="70"/>
      <c r="AB256" s="70"/>
      <c r="AC256" s="70"/>
      <c r="AD256" s="70"/>
      <c r="AE256" s="70"/>
      <c r="AF256" s="70"/>
    </row>
    <row r="257" spans="18:32" s="14" customFormat="1" x14ac:dyDescent="0.25">
      <c r="R257" s="11"/>
      <c r="S257" s="11"/>
      <c r="T257" s="11"/>
      <c r="V257" s="70"/>
      <c r="W257" s="70"/>
      <c r="X257" s="70"/>
      <c r="Y257" s="70"/>
      <c r="Z257" s="70"/>
      <c r="AA257" s="70"/>
      <c r="AB257" s="70"/>
      <c r="AC257" s="70"/>
      <c r="AD257" s="70"/>
      <c r="AE257" s="70"/>
      <c r="AF257" s="70"/>
    </row>
    <row r="258" spans="18:32" s="14" customFormat="1" x14ac:dyDescent="0.25">
      <c r="R258" s="11"/>
      <c r="S258" s="11"/>
      <c r="T258" s="11"/>
      <c r="V258" s="70"/>
      <c r="W258" s="70"/>
      <c r="X258" s="70"/>
      <c r="Y258" s="70"/>
      <c r="Z258" s="70"/>
      <c r="AA258" s="70"/>
      <c r="AB258" s="70"/>
      <c r="AC258" s="70"/>
      <c r="AD258" s="70"/>
      <c r="AE258" s="70"/>
      <c r="AF258" s="70"/>
    </row>
    <row r="259" spans="18:32" s="14" customFormat="1" x14ac:dyDescent="0.25">
      <c r="R259" s="11"/>
      <c r="S259" s="11"/>
      <c r="T259" s="11"/>
      <c r="V259" s="70"/>
      <c r="W259" s="70"/>
      <c r="X259" s="70"/>
      <c r="Y259" s="70"/>
      <c r="Z259" s="70"/>
      <c r="AA259" s="70"/>
      <c r="AB259" s="70"/>
      <c r="AC259" s="70"/>
      <c r="AD259" s="70"/>
      <c r="AE259" s="70"/>
      <c r="AF259" s="70"/>
    </row>
    <row r="260" spans="18:32" s="14" customFormat="1" x14ac:dyDescent="0.25">
      <c r="R260" s="11"/>
      <c r="S260" s="11"/>
      <c r="T260" s="11"/>
      <c r="V260" s="70"/>
      <c r="W260" s="70"/>
      <c r="X260" s="70"/>
      <c r="Y260" s="70"/>
      <c r="Z260" s="70"/>
      <c r="AA260" s="70"/>
      <c r="AB260" s="70"/>
      <c r="AC260" s="70"/>
      <c r="AD260" s="70"/>
      <c r="AE260" s="70"/>
      <c r="AF260" s="70"/>
    </row>
    <row r="261" spans="18:32" s="14" customFormat="1" x14ac:dyDescent="0.25">
      <c r="R261" s="11"/>
      <c r="S261" s="11"/>
      <c r="T261" s="11"/>
      <c r="V261" s="70"/>
      <c r="W261" s="70"/>
      <c r="X261" s="70"/>
      <c r="Y261" s="70"/>
      <c r="Z261" s="70"/>
      <c r="AA261" s="70"/>
      <c r="AB261" s="70"/>
      <c r="AC261" s="70"/>
      <c r="AD261" s="70"/>
      <c r="AE261" s="70"/>
      <c r="AF261" s="70"/>
    </row>
    <row r="262" spans="18:32" s="14" customFormat="1" x14ac:dyDescent="0.25">
      <c r="R262" s="11"/>
      <c r="S262" s="11"/>
      <c r="T262" s="11"/>
      <c r="V262" s="70"/>
      <c r="W262" s="70"/>
      <c r="X262" s="70"/>
      <c r="Y262" s="70"/>
      <c r="Z262" s="70"/>
      <c r="AA262" s="70"/>
      <c r="AB262" s="70"/>
      <c r="AC262" s="70"/>
      <c r="AD262" s="70"/>
      <c r="AE262" s="70"/>
      <c r="AF262" s="70"/>
    </row>
    <row r="263" spans="18:32" s="14" customFormat="1" x14ac:dyDescent="0.25">
      <c r="R263" s="11"/>
      <c r="S263" s="11"/>
      <c r="T263" s="11"/>
      <c r="V263" s="70"/>
      <c r="W263" s="70"/>
      <c r="X263" s="70"/>
      <c r="Y263" s="70"/>
      <c r="Z263" s="70"/>
      <c r="AA263" s="70"/>
      <c r="AB263" s="70"/>
      <c r="AC263" s="70"/>
      <c r="AD263" s="70"/>
      <c r="AE263" s="70"/>
      <c r="AF263" s="70"/>
    </row>
    <row r="264" spans="18:32" s="14" customFormat="1" x14ac:dyDescent="0.25">
      <c r="R264" s="11"/>
      <c r="S264" s="11"/>
      <c r="T264" s="11"/>
      <c r="V264" s="70"/>
      <c r="W264" s="70"/>
      <c r="X264" s="70"/>
      <c r="Y264" s="70"/>
      <c r="Z264" s="70"/>
      <c r="AA264" s="70"/>
      <c r="AB264" s="70"/>
      <c r="AC264" s="70"/>
      <c r="AD264" s="70"/>
      <c r="AE264" s="70"/>
      <c r="AF264" s="70"/>
    </row>
    <row r="265" spans="18:32" s="14" customFormat="1" x14ac:dyDescent="0.25">
      <c r="R265" s="11"/>
      <c r="S265" s="11"/>
      <c r="T265" s="11"/>
      <c r="V265" s="70"/>
      <c r="W265" s="70"/>
      <c r="X265" s="70"/>
      <c r="Y265" s="70"/>
      <c r="Z265" s="70"/>
      <c r="AA265" s="70"/>
      <c r="AB265" s="70"/>
      <c r="AC265" s="70"/>
      <c r="AD265" s="70"/>
      <c r="AE265" s="70"/>
      <c r="AF265" s="70"/>
    </row>
    <row r="266" spans="18:32" s="14" customFormat="1" x14ac:dyDescent="0.25">
      <c r="R266" s="11"/>
      <c r="S266" s="11"/>
      <c r="T266" s="11"/>
      <c r="V266" s="70"/>
      <c r="W266" s="70"/>
      <c r="X266" s="70"/>
      <c r="Y266" s="70"/>
      <c r="Z266" s="70"/>
      <c r="AA266" s="70"/>
      <c r="AB266" s="70"/>
      <c r="AC266" s="70"/>
      <c r="AD266" s="70"/>
      <c r="AE266" s="70"/>
      <c r="AF266" s="70"/>
    </row>
    <row r="267" spans="18:32" s="14" customFormat="1" x14ac:dyDescent="0.25">
      <c r="R267" s="11"/>
      <c r="S267" s="11"/>
      <c r="T267" s="11"/>
      <c r="V267" s="70"/>
      <c r="W267" s="70"/>
      <c r="X267" s="70"/>
      <c r="Y267" s="70"/>
      <c r="Z267" s="70"/>
      <c r="AA267" s="70"/>
      <c r="AB267" s="70"/>
      <c r="AC267" s="70"/>
      <c r="AD267" s="70"/>
      <c r="AE267" s="70"/>
      <c r="AF267" s="70"/>
    </row>
    <row r="268" spans="18:32" s="14" customFormat="1" x14ac:dyDescent="0.25">
      <c r="R268" s="11"/>
      <c r="S268" s="11"/>
      <c r="T268" s="11"/>
      <c r="V268" s="70"/>
      <c r="W268" s="70"/>
      <c r="X268" s="70"/>
      <c r="Y268" s="70"/>
      <c r="Z268" s="70"/>
      <c r="AA268" s="70"/>
      <c r="AB268" s="70"/>
      <c r="AC268" s="70"/>
      <c r="AD268" s="70"/>
      <c r="AE268" s="70"/>
      <c r="AF268" s="70"/>
    </row>
    <row r="269" spans="18:32" s="14" customFormat="1" x14ac:dyDescent="0.25">
      <c r="R269" s="11"/>
      <c r="S269" s="11"/>
      <c r="T269" s="11"/>
      <c r="V269" s="70"/>
      <c r="W269" s="70"/>
      <c r="X269" s="70"/>
      <c r="Y269" s="70"/>
      <c r="Z269" s="70"/>
      <c r="AA269" s="70"/>
      <c r="AB269" s="70"/>
      <c r="AC269" s="70"/>
      <c r="AD269" s="70"/>
      <c r="AE269" s="70"/>
      <c r="AF269" s="70"/>
    </row>
    <row r="270" spans="18:32" s="14" customFormat="1" x14ac:dyDescent="0.25">
      <c r="R270" s="11"/>
      <c r="S270" s="11"/>
      <c r="T270" s="11"/>
      <c r="V270" s="70"/>
      <c r="W270" s="70"/>
      <c r="X270" s="70"/>
      <c r="Y270" s="70"/>
      <c r="Z270" s="70"/>
      <c r="AA270" s="70"/>
      <c r="AB270" s="70"/>
      <c r="AC270" s="70"/>
      <c r="AD270" s="70"/>
      <c r="AE270" s="70"/>
      <c r="AF270" s="70"/>
    </row>
    <row r="271" spans="18:32" s="14" customFormat="1" x14ac:dyDescent="0.25">
      <c r="R271" s="11"/>
      <c r="S271" s="11"/>
      <c r="T271" s="11"/>
      <c r="V271" s="70"/>
      <c r="W271" s="70"/>
      <c r="X271" s="70"/>
      <c r="Y271" s="70"/>
      <c r="Z271" s="70"/>
      <c r="AA271" s="70"/>
      <c r="AB271" s="70"/>
      <c r="AC271" s="70"/>
      <c r="AD271" s="70"/>
      <c r="AE271" s="70"/>
      <c r="AF271" s="70"/>
    </row>
    <row r="272" spans="18:32" s="14" customFormat="1" x14ac:dyDescent="0.25">
      <c r="R272" s="11"/>
      <c r="S272" s="11"/>
      <c r="T272" s="11"/>
      <c r="V272" s="70"/>
      <c r="W272" s="70"/>
      <c r="X272" s="70"/>
      <c r="Y272" s="70"/>
      <c r="Z272" s="70"/>
      <c r="AA272" s="70"/>
      <c r="AB272" s="70"/>
      <c r="AC272" s="70"/>
      <c r="AD272" s="70"/>
      <c r="AE272" s="70"/>
      <c r="AF272" s="70"/>
    </row>
    <row r="273" spans="18:32" s="14" customFormat="1" x14ac:dyDescent="0.25">
      <c r="R273" s="11"/>
      <c r="S273" s="11"/>
      <c r="T273" s="11"/>
      <c r="V273" s="70"/>
      <c r="W273" s="70"/>
      <c r="X273" s="70"/>
      <c r="Y273" s="70"/>
      <c r="Z273" s="70"/>
      <c r="AA273" s="70"/>
      <c r="AB273" s="70"/>
      <c r="AC273" s="70"/>
      <c r="AD273" s="70"/>
      <c r="AE273" s="70"/>
      <c r="AF273" s="70"/>
    </row>
    <row r="274" spans="18:32" s="14" customFormat="1" x14ac:dyDescent="0.25">
      <c r="R274" s="11"/>
      <c r="S274" s="11"/>
      <c r="T274" s="11"/>
      <c r="V274" s="70"/>
      <c r="W274" s="70"/>
      <c r="X274" s="70"/>
      <c r="Y274" s="70"/>
      <c r="Z274" s="70"/>
      <c r="AA274" s="70"/>
      <c r="AB274" s="70"/>
      <c r="AC274" s="70"/>
      <c r="AD274" s="70"/>
      <c r="AE274" s="70"/>
      <c r="AF274" s="70"/>
    </row>
    <row r="275" spans="18:32" s="14" customFormat="1" x14ac:dyDescent="0.25">
      <c r="R275" s="11"/>
      <c r="S275" s="11"/>
      <c r="T275" s="11"/>
      <c r="V275" s="70"/>
      <c r="W275" s="70"/>
      <c r="X275" s="70"/>
      <c r="Y275" s="70"/>
      <c r="Z275" s="70"/>
      <c r="AA275" s="70"/>
      <c r="AB275" s="70"/>
      <c r="AC275" s="70"/>
      <c r="AD275" s="70"/>
      <c r="AE275" s="70"/>
      <c r="AF275" s="70"/>
    </row>
    <row r="276" spans="18:32" s="14" customFormat="1" x14ac:dyDescent="0.25">
      <c r="R276" s="11"/>
      <c r="S276" s="11"/>
      <c r="T276" s="11"/>
      <c r="V276" s="70"/>
      <c r="W276" s="70"/>
      <c r="X276" s="70"/>
      <c r="Y276" s="70"/>
      <c r="Z276" s="70"/>
      <c r="AA276" s="70"/>
      <c r="AB276" s="70"/>
      <c r="AC276" s="70"/>
      <c r="AD276" s="70"/>
      <c r="AE276" s="70"/>
      <c r="AF276" s="70"/>
    </row>
    <row r="277" spans="18:32" s="14" customFormat="1" x14ac:dyDescent="0.25">
      <c r="R277" s="11"/>
      <c r="S277" s="11"/>
      <c r="T277" s="11"/>
      <c r="V277" s="70"/>
      <c r="W277" s="70"/>
      <c r="X277" s="70"/>
      <c r="Y277" s="70"/>
      <c r="Z277" s="70"/>
      <c r="AA277" s="70"/>
      <c r="AB277" s="70"/>
      <c r="AC277" s="70"/>
      <c r="AD277" s="70"/>
      <c r="AE277" s="70"/>
      <c r="AF277" s="70"/>
    </row>
    <row r="278" spans="18:32" s="14" customFormat="1" x14ac:dyDescent="0.25">
      <c r="R278" s="11"/>
      <c r="S278" s="11"/>
      <c r="T278" s="11"/>
      <c r="V278" s="70"/>
      <c r="W278" s="70"/>
      <c r="X278" s="70"/>
      <c r="Y278" s="70"/>
      <c r="Z278" s="70"/>
      <c r="AA278" s="70"/>
      <c r="AB278" s="70"/>
      <c r="AC278" s="70"/>
      <c r="AD278" s="70"/>
      <c r="AE278" s="70"/>
      <c r="AF278" s="70"/>
    </row>
    <row r="279" spans="18:32" s="14" customFormat="1" x14ac:dyDescent="0.25">
      <c r="R279" s="11"/>
      <c r="S279" s="11"/>
      <c r="T279" s="11"/>
      <c r="V279" s="70"/>
      <c r="W279" s="70"/>
      <c r="X279" s="70"/>
      <c r="Y279" s="70"/>
      <c r="Z279" s="70"/>
      <c r="AA279" s="70"/>
      <c r="AB279" s="70"/>
      <c r="AC279" s="70"/>
      <c r="AD279" s="70"/>
      <c r="AE279" s="70"/>
      <c r="AF279" s="70"/>
    </row>
    <row r="280" spans="18:32" s="14" customFormat="1" x14ac:dyDescent="0.25">
      <c r="R280" s="11"/>
      <c r="S280" s="11"/>
      <c r="T280" s="11"/>
      <c r="V280" s="70"/>
      <c r="W280" s="70"/>
      <c r="X280" s="70"/>
      <c r="Y280" s="70"/>
      <c r="Z280" s="70"/>
      <c r="AA280" s="70"/>
      <c r="AB280" s="70"/>
      <c r="AC280" s="70"/>
      <c r="AD280" s="70"/>
      <c r="AE280" s="70"/>
      <c r="AF280" s="70"/>
    </row>
    <row r="281" spans="18:32" s="14" customFormat="1" x14ac:dyDescent="0.25">
      <c r="R281" s="11"/>
      <c r="S281" s="11"/>
      <c r="T281" s="11"/>
      <c r="V281" s="70"/>
      <c r="W281" s="70"/>
      <c r="X281" s="70"/>
      <c r="Y281" s="70"/>
      <c r="Z281" s="70"/>
      <c r="AA281" s="70"/>
      <c r="AB281" s="70"/>
      <c r="AC281" s="70"/>
      <c r="AD281" s="70"/>
      <c r="AE281" s="70"/>
      <c r="AF281" s="70"/>
    </row>
    <row r="282" spans="18:32" s="14" customFormat="1" x14ac:dyDescent="0.25">
      <c r="R282" s="11"/>
      <c r="S282" s="11"/>
      <c r="T282" s="11"/>
      <c r="V282" s="70"/>
      <c r="W282" s="70"/>
      <c r="X282" s="70"/>
      <c r="Y282" s="70"/>
      <c r="Z282" s="70"/>
      <c r="AA282" s="70"/>
      <c r="AB282" s="70"/>
      <c r="AC282" s="70"/>
      <c r="AD282" s="70"/>
      <c r="AE282" s="70"/>
      <c r="AF282" s="70"/>
    </row>
    <row r="283" spans="18:32" s="14" customFormat="1" x14ac:dyDescent="0.25">
      <c r="R283" s="11"/>
      <c r="S283" s="11"/>
      <c r="T283" s="11"/>
      <c r="V283" s="70"/>
      <c r="W283" s="70"/>
      <c r="X283" s="70"/>
      <c r="Y283" s="70"/>
      <c r="Z283" s="70"/>
      <c r="AA283" s="70"/>
      <c r="AB283" s="70"/>
      <c r="AC283" s="70"/>
      <c r="AD283" s="70"/>
      <c r="AE283" s="70"/>
      <c r="AF283" s="70"/>
    </row>
    <row r="284" spans="18:32" s="14" customFormat="1" x14ac:dyDescent="0.25">
      <c r="R284" s="11"/>
      <c r="S284" s="11"/>
      <c r="T284" s="11"/>
      <c r="V284" s="70"/>
      <c r="W284" s="70"/>
      <c r="X284" s="70"/>
      <c r="Y284" s="70"/>
      <c r="Z284" s="70"/>
      <c r="AA284" s="70"/>
      <c r="AB284" s="70"/>
      <c r="AC284" s="70"/>
      <c r="AD284" s="70"/>
      <c r="AE284" s="70"/>
      <c r="AF284" s="70"/>
    </row>
    <row r="285" spans="18:32" s="14" customFormat="1" x14ac:dyDescent="0.25">
      <c r="R285" s="11"/>
      <c r="S285" s="11"/>
      <c r="T285" s="11"/>
      <c r="V285" s="70"/>
      <c r="W285" s="70"/>
      <c r="X285" s="70"/>
      <c r="Y285" s="70"/>
      <c r="Z285" s="70"/>
      <c r="AA285" s="70"/>
      <c r="AB285" s="70"/>
      <c r="AC285" s="70"/>
      <c r="AD285" s="70"/>
      <c r="AE285" s="70"/>
      <c r="AF285" s="70"/>
    </row>
    <row r="286" spans="18:32" s="14" customFormat="1" x14ac:dyDescent="0.25">
      <c r="R286" s="11"/>
      <c r="S286" s="11"/>
      <c r="T286" s="11"/>
      <c r="V286" s="70"/>
      <c r="W286" s="70"/>
      <c r="X286" s="70"/>
      <c r="Y286" s="70"/>
      <c r="Z286" s="70"/>
      <c r="AA286" s="70"/>
      <c r="AB286" s="70"/>
      <c r="AC286" s="70"/>
      <c r="AD286" s="70"/>
      <c r="AE286" s="70"/>
      <c r="AF286" s="70"/>
    </row>
    <row r="287" spans="18:32" s="14" customFormat="1" x14ac:dyDescent="0.25">
      <c r="R287" s="11"/>
      <c r="S287" s="11"/>
      <c r="T287" s="11"/>
      <c r="V287" s="70"/>
      <c r="W287" s="70"/>
      <c r="X287" s="70"/>
      <c r="Y287" s="70"/>
      <c r="Z287" s="70"/>
      <c r="AA287" s="70"/>
      <c r="AB287" s="70"/>
      <c r="AC287" s="70"/>
      <c r="AD287" s="70"/>
      <c r="AE287" s="70"/>
      <c r="AF287" s="70"/>
    </row>
    <row r="288" spans="18:32" s="14" customFormat="1" x14ac:dyDescent="0.25">
      <c r="R288" s="11"/>
      <c r="S288" s="11"/>
      <c r="T288" s="11"/>
      <c r="V288" s="70"/>
      <c r="W288" s="70"/>
      <c r="X288" s="70"/>
      <c r="Y288" s="70"/>
      <c r="Z288" s="70"/>
      <c r="AA288" s="70"/>
      <c r="AB288" s="70"/>
      <c r="AC288" s="70"/>
      <c r="AD288" s="70"/>
      <c r="AE288" s="70"/>
      <c r="AF288" s="70"/>
    </row>
    <row r="289" spans="18:32" s="14" customFormat="1" x14ac:dyDescent="0.25">
      <c r="R289" s="11"/>
      <c r="S289" s="11"/>
      <c r="T289" s="11"/>
      <c r="V289" s="70"/>
      <c r="W289" s="70"/>
      <c r="X289" s="70"/>
      <c r="Y289" s="70"/>
      <c r="Z289" s="70"/>
      <c r="AA289" s="70"/>
      <c r="AB289" s="70"/>
      <c r="AC289" s="70"/>
      <c r="AD289" s="70"/>
      <c r="AE289" s="70"/>
      <c r="AF289" s="70"/>
    </row>
    <row r="290" spans="18:32" s="14" customFormat="1" x14ac:dyDescent="0.25">
      <c r="R290" s="11"/>
      <c r="S290" s="11"/>
      <c r="T290" s="11"/>
      <c r="V290" s="70"/>
      <c r="W290" s="70"/>
      <c r="X290" s="70"/>
      <c r="Y290" s="70"/>
      <c r="Z290" s="70"/>
      <c r="AA290" s="70"/>
      <c r="AB290" s="70"/>
      <c r="AC290" s="70"/>
      <c r="AD290" s="70"/>
      <c r="AE290" s="70"/>
      <c r="AF290" s="70"/>
    </row>
    <row r="291" spans="18:32" s="14" customFormat="1" x14ac:dyDescent="0.25">
      <c r="R291" s="11"/>
      <c r="S291" s="11"/>
      <c r="T291" s="11"/>
      <c r="V291" s="70"/>
      <c r="W291" s="70"/>
      <c r="X291" s="70"/>
      <c r="Y291" s="70"/>
      <c r="Z291" s="70"/>
      <c r="AA291" s="70"/>
      <c r="AB291" s="70"/>
      <c r="AC291" s="70"/>
      <c r="AD291" s="70"/>
      <c r="AE291" s="70"/>
      <c r="AF291" s="70"/>
    </row>
    <row r="292" spans="18:32" s="14" customFormat="1" x14ac:dyDescent="0.25">
      <c r="R292" s="11"/>
      <c r="S292" s="11"/>
      <c r="T292" s="11"/>
      <c r="V292" s="70"/>
      <c r="W292" s="70"/>
      <c r="X292" s="70"/>
      <c r="Y292" s="70"/>
      <c r="Z292" s="70"/>
      <c r="AA292" s="70"/>
      <c r="AB292" s="70"/>
      <c r="AC292" s="70"/>
      <c r="AD292" s="70"/>
      <c r="AE292" s="70"/>
      <c r="AF292" s="70"/>
    </row>
    <row r="293" spans="18:32" s="14" customFormat="1" x14ac:dyDescent="0.25">
      <c r="R293" s="11"/>
      <c r="S293" s="11"/>
      <c r="T293" s="11"/>
      <c r="V293" s="70"/>
      <c r="W293" s="70"/>
      <c r="X293" s="70"/>
      <c r="Y293" s="70"/>
      <c r="Z293" s="70"/>
      <c r="AA293" s="70"/>
      <c r="AB293" s="70"/>
      <c r="AC293" s="70"/>
      <c r="AD293" s="70"/>
      <c r="AE293" s="70"/>
      <c r="AF293" s="70"/>
    </row>
    <row r="294" spans="18:32" s="14" customFormat="1" x14ac:dyDescent="0.25">
      <c r="R294" s="11"/>
      <c r="S294" s="11"/>
      <c r="T294" s="11"/>
      <c r="V294" s="70"/>
      <c r="W294" s="70"/>
      <c r="X294" s="70"/>
      <c r="Y294" s="70"/>
      <c r="Z294" s="70"/>
      <c r="AA294" s="70"/>
      <c r="AB294" s="70"/>
      <c r="AC294" s="70"/>
      <c r="AD294" s="70"/>
      <c r="AE294" s="70"/>
      <c r="AF294" s="70"/>
    </row>
    <row r="295" spans="18:32" s="14" customFormat="1" x14ac:dyDescent="0.25">
      <c r="R295" s="11"/>
      <c r="S295" s="11"/>
      <c r="T295" s="11"/>
      <c r="V295" s="70"/>
      <c r="W295" s="70"/>
      <c r="X295" s="70"/>
      <c r="Y295" s="70"/>
      <c r="Z295" s="70"/>
      <c r="AA295" s="70"/>
      <c r="AB295" s="70"/>
      <c r="AC295" s="70"/>
      <c r="AD295" s="70"/>
      <c r="AE295" s="70"/>
      <c r="AF295" s="70"/>
    </row>
    <row r="296" spans="18:32" s="14" customFormat="1" x14ac:dyDescent="0.25">
      <c r="R296" s="11"/>
      <c r="S296" s="11"/>
      <c r="T296" s="11"/>
      <c r="V296" s="70"/>
      <c r="W296" s="70"/>
      <c r="X296" s="70"/>
      <c r="Y296" s="70"/>
      <c r="Z296" s="70"/>
      <c r="AA296" s="70"/>
      <c r="AB296" s="70"/>
      <c r="AC296" s="70"/>
      <c r="AD296" s="70"/>
      <c r="AE296" s="70"/>
      <c r="AF296" s="70"/>
    </row>
    <row r="297" spans="18:32" s="14" customFormat="1" x14ac:dyDescent="0.25">
      <c r="R297" s="11"/>
      <c r="S297" s="11"/>
      <c r="T297" s="11"/>
      <c r="V297" s="70"/>
      <c r="W297" s="70"/>
      <c r="X297" s="70"/>
      <c r="Y297" s="70"/>
      <c r="Z297" s="70"/>
      <c r="AA297" s="70"/>
      <c r="AB297" s="70"/>
      <c r="AC297" s="70"/>
      <c r="AD297" s="70"/>
      <c r="AE297" s="70"/>
      <c r="AF297" s="70"/>
    </row>
    <row r="298" spans="18:32" s="14" customFormat="1" x14ac:dyDescent="0.25">
      <c r="R298" s="11"/>
      <c r="S298" s="11"/>
      <c r="T298" s="11"/>
      <c r="V298" s="70"/>
      <c r="W298" s="70"/>
      <c r="X298" s="70"/>
      <c r="Y298" s="70"/>
      <c r="Z298" s="70"/>
      <c r="AA298" s="70"/>
      <c r="AB298" s="70"/>
      <c r="AC298" s="70"/>
      <c r="AD298" s="70"/>
      <c r="AE298" s="70"/>
      <c r="AF298" s="70"/>
    </row>
    <row r="299" spans="18:32" s="14" customFormat="1" x14ac:dyDescent="0.25">
      <c r="R299" s="11"/>
      <c r="S299" s="11"/>
      <c r="T299" s="11"/>
      <c r="V299" s="70"/>
      <c r="W299" s="70"/>
      <c r="X299" s="70"/>
      <c r="Y299" s="70"/>
      <c r="Z299" s="70"/>
      <c r="AA299" s="70"/>
      <c r="AB299" s="70"/>
      <c r="AC299" s="70"/>
      <c r="AD299" s="70"/>
      <c r="AE299" s="70"/>
      <c r="AF299" s="70"/>
    </row>
    <row r="300" spans="18:32" s="14" customFormat="1" x14ac:dyDescent="0.25">
      <c r="R300" s="11"/>
      <c r="S300" s="11"/>
      <c r="T300" s="11"/>
      <c r="V300" s="70"/>
      <c r="W300" s="70"/>
      <c r="X300" s="70"/>
      <c r="Y300" s="70"/>
      <c r="Z300" s="70"/>
      <c r="AA300" s="70"/>
      <c r="AB300" s="70"/>
      <c r="AC300" s="70"/>
      <c r="AD300" s="70"/>
      <c r="AE300" s="70"/>
      <c r="AF300" s="70"/>
    </row>
    <row r="301" spans="18:32" s="14" customFormat="1" x14ac:dyDescent="0.25">
      <c r="R301" s="11"/>
      <c r="S301" s="11"/>
      <c r="T301" s="11"/>
      <c r="V301" s="70"/>
      <c r="W301" s="70"/>
      <c r="X301" s="70"/>
      <c r="Y301" s="70"/>
      <c r="Z301" s="70"/>
      <c r="AA301" s="70"/>
      <c r="AB301" s="70"/>
      <c r="AC301" s="70"/>
      <c r="AD301" s="70"/>
      <c r="AE301" s="70"/>
      <c r="AF301" s="70"/>
    </row>
    <row r="302" spans="18:32" s="14" customFormat="1" x14ac:dyDescent="0.25">
      <c r="R302" s="11"/>
      <c r="S302" s="11"/>
      <c r="T302" s="11"/>
      <c r="V302" s="70"/>
      <c r="W302" s="70"/>
      <c r="X302" s="70"/>
      <c r="Y302" s="70"/>
      <c r="Z302" s="70"/>
      <c r="AA302" s="70"/>
      <c r="AB302" s="70"/>
      <c r="AC302" s="70"/>
      <c r="AD302" s="70"/>
      <c r="AE302" s="70"/>
      <c r="AF302" s="70"/>
    </row>
    <row r="303" spans="18:32" s="14" customFormat="1" x14ac:dyDescent="0.25">
      <c r="R303" s="11"/>
      <c r="S303" s="11"/>
      <c r="T303" s="11"/>
      <c r="V303" s="70"/>
      <c r="W303" s="70"/>
      <c r="X303" s="70"/>
      <c r="Y303" s="70"/>
      <c r="Z303" s="70"/>
      <c r="AA303" s="70"/>
      <c r="AB303" s="70"/>
      <c r="AC303" s="70"/>
      <c r="AD303" s="70"/>
      <c r="AE303" s="70"/>
      <c r="AF303" s="70"/>
    </row>
    <row r="304" spans="18:32" s="14" customFormat="1" x14ac:dyDescent="0.25">
      <c r="R304" s="11"/>
      <c r="S304" s="11"/>
      <c r="T304" s="11"/>
      <c r="V304" s="70"/>
      <c r="W304" s="70"/>
      <c r="X304" s="70"/>
      <c r="Y304" s="70"/>
      <c r="Z304" s="70"/>
      <c r="AA304" s="70"/>
      <c r="AB304" s="70"/>
      <c r="AC304" s="70"/>
      <c r="AD304" s="70"/>
      <c r="AE304" s="70"/>
      <c r="AF304" s="70"/>
    </row>
    <row r="305" spans="18:32" s="14" customFormat="1" x14ac:dyDescent="0.25">
      <c r="R305" s="11"/>
      <c r="S305" s="11"/>
      <c r="T305" s="11"/>
      <c r="V305" s="70"/>
      <c r="W305" s="70"/>
      <c r="X305" s="70"/>
      <c r="Y305" s="70"/>
      <c r="Z305" s="70"/>
      <c r="AA305" s="70"/>
      <c r="AB305" s="70"/>
      <c r="AC305" s="70"/>
      <c r="AD305" s="70"/>
      <c r="AE305" s="70"/>
      <c r="AF305" s="70"/>
    </row>
    <row r="306" spans="18:32" s="14" customFormat="1" x14ac:dyDescent="0.25">
      <c r="R306" s="11"/>
      <c r="S306" s="11"/>
      <c r="T306" s="11"/>
      <c r="V306" s="70"/>
      <c r="W306" s="70"/>
      <c r="X306" s="70"/>
      <c r="Y306" s="70"/>
      <c r="Z306" s="70"/>
      <c r="AA306" s="70"/>
      <c r="AB306" s="70"/>
      <c r="AC306" s="70"/>
      <c r="AD306" s="70"/>
      <c r="AE306" s="70"/>
      <c r="AF306" s="70"/>
    </row>
    <row r="307" spans="18:32" s="14" customFormat="1" x14ac:dyDescent="0.25">
      <c r="R307" s="11"/>
      <c r="S307" s="11"/>
      <c r="T307" s="11"/>
      <c r="V307" s="70"/>
      <c r="W307" s="70"/>
      <c r="X307" s="70"/>
      <c r="Y307" s="70"/>
      <c r="Z307" s="70"/>
      <c r="AA307" s="70"/>
      <c r="AB307" s="70"/>
      <c r="AC307" s="70"/>
      <c r="AD307" s="70"/>
      <c r="AE307" s="70"/>
      <c r="AF307" s="70"/>
    </row>
    <row r="308" spans="18:32" s="14" customFormat="1" x14ac:dyDescent="0.25">
      <c r="R308" s="11"/>
      <c r="S308" s="11"/>
      <c r="T308" s="11"/>
      <c r="V308" s="70"/>
      <c r="W308" s="70"/>
      <c r="X308" s="70"/>
      <c r="Y308" s="70"/>
      <c r="Z308" s="70"/>
      <c r="AA308" s="70"/>
      <c r="AB308" s="70"/>
      <c r="AC308" s="70"/>
      <c r="AD308" s="70"/>
      <c r="AE308" s="70"/>
      <c r="AF308" s="70"/>
    </row>
    <row r="309" spans="18:32" s="14" customFormat="1" x14ac:dyDescent="0.25">
      <c r="R309" s="11"/>
      <c r="S309" s="11"/>
      <c r="T309" s="11"/>
      <c r="V309" s="70"/>
      <c r="W309" s="70"/>
      <c r="X309" s="70"/>
      <c r="Y309" s="70"/>
      <c r="Z309" s="70"/>
      <c r="AA309" s="70"/>
      <c r="AB309" s="70"/>
      <c r="AC309" s="70"/>
      <c r="AD309" s="70"/>
      <c r="AE309" s="70"/>
      <c r="AF309" s="70"/>
    </row>
    <row r="310" spans="18:32" s="14" customFormat="1" x14ac:dyDescent="0.25">
      <c r="R310" s="11"/>
      <c r="S310" s="11"/>
      <c r="T310" s="11"/>
      <c r="V310" s="70"/>
      <c r="W310" s="70"/>
      <c r="X310" s="70"/>
      <c r="Y310" s="70"/>
      <c r="Z310" s="70"/>
      <c r="AA310" s="70"/>
      <c r="AB310" s="70"/>
      <c r="AC310" s="70"/>
      <c r="AD310" s="70"/>
      <c r="AE310" s="70"/>
      <c r="AF310" s="70"/>
    </row>
    <row r="311" spans="18:32" s="14" customFormat="1" x14ac:dyDescent="0.25">
      <c r="R311" s="11"/>
      <c r="S311" s="11"/>
      <c r="T311" s="11"/>
      <c r="V311" s="70"/>
      <c r="W311" s="70"/>
      <c r="X311" s="70"/>
      <c r="Y311" s="70"/>
      <c r="Z311" s="70"/>
      <c r="AA311" s="70"/>
      <c r="AB311" s="70"/>
      <c r="AC311" s="70"/>
      <c r="AD311" s="70"/>
      <c r="AE311" s="70"/>
      <c r="AF311" s="70"/>
    </row>
    <row r="312" spans="18:32" s="14" customFormat="1" x14ac:dyDescent="0.25">
      <c r="R312" s="11"/>
      <c r="S312" s="11"/>
      <c r="T312" s="11"/>
      <c r="V312" s="70"/>
      <c r="W312" s="70"/>
      <c r="X312" s="70"/>
      <c r="Y312" s="70"/>
      <c r="Z312" s="70"/>
      <c r="AA312" s="70"/>
      <c r="AB312" s="70"/>
      <c r="AC312" s="70"/>
      <c r="AD312" s="70"/>
      <c r="AE312" s="70"/>
      <c r="AF312" s="70"/>
    </row>
    <row r="313" spans="18:32" s="14" customFormat="1" x14ac:dyDescent="0.25">
      <c r="R313" s="11"/>
      <c r="S313" s="11"/>
      <c r="T313" s="11"/>
      <c r="V313" s="70"/>
      <c r="W313" s="70"/>
      <c r="X313" s="70"/>
      <c r="Y313" s="70"/>
      <c r="Z313" s="70"/>
      <c r="AA313" s="70"/>
      <c r="AB313" s="70"/>
      <c r="AC313" s="70"/>
      <c r="AD313" s="70"/>
      <c r="AE313" s="70"/>
      <c r="AF313" s="70"/>
    </row>
    <row r="314" spans="18:32" s="14" customFormat="1" x14ac:dyDescent="0.25">
      <c r="R314" s="11"/>
      <c r="S314" s="11"/>
      <c r="T314" s="11"/>
      <c r="V314" s="70"/>
      <c r="W314" s="70"/>
      <c r="X314" s="70"/>
      <c r="Y314" s="70"/>
      <c r="Z314" s="70"/>
      <c r="AA314" s="70"/>
      <c r="AB314" s="70"/>
      <c r="AC314" s="70"/>
      <c r="AD314" s="70"/>
      <c r="AE314" s="70"/>
      <c r="AF314" s="70"/>
    </row>
    <row r="315" spans="18:32" s="14" customFormat="1" x14ac:dyDescent="0.25">
      <c r="R315" s="11"/>
      <c r="S315" s="11"/>
      <c r="T315" s="11"/>
      <c r="V315" s="70"/>
      <c r="W315" s="70"/>
      <c r="X315" s="70"/>
      <c r="Y315" s="70"/>
      <c r="Z315" s="70"/>
      <c r="AA315" s="70"/>
      <c r="AB315" s="70"/>
      <c r="AC315" s="70"/>
      <c r="AD315" s="70"/>
      <c r="AE315" s="70"/>
      <c r="AF315" s="70"/>
    </row>
    <row r="316" spans="18:32" s="14" customFormat="1" x14ac:dyDescent="0.25">
      <c r="R316" s="11"/>
      <c r="S316" s="11"/>
      <c r="T316" s="11"/>
      <c r="V316" s="70"/>
      <c r="W316" s="70"/>
      <c r="X316" s="70"/>
      <c r="Y316" s="70"/>
      <c r="Z316" s="70"/>
      <c r="AA316" s="70"/>
      <c r="AB316" s="70"/>
      <c r="AC316" s="70"/>
      <c r="AD316" s="70"/>
      <c r="AE316" s="70"/>
      <c r="AF316" s="70"/>
    </row>
    <row r="317" spans="18:32" s="14" customFormat="1" x14ac:dyDescent="0.25">
      <c r="R317" s="11"/>
      <c r="S317" s="11"/>
      <c r="T317" s="11"/>
      <c r="V317" s="70"/>
      <c r="W317" s="70"/>
      <c r="X317" s="70"/>
      <c r="Y317" s="70"/>
      <c r="Z317" s="70"/>
      <c r="AA317" s="70"/>
      <c r="AB317" s="70"/>
      <c r="AC317" s="70"/>
      <c r="AD317" s="70"/>
      <c r="AE317" s="70"/>
      <c r="AF317" s="70"/>
    </row>
    <row r="318" spans="18:32" s="14" customFormat="1" x14ac:dyDescent="0.25">
      <c r="R318" s="11"/>
      <c r="S318" s="11"/>
      <c r="T318" s="11"/>
      <c r="V318" s="70"/>
      <c r="W318" s="70"/>
      <c r="X318" s="70"/>
      <c r="Y318" s="70"/>
      <c r="Z318" s="70"/>
      <c r="AA318" s="70"/>
      <c r="AB318" s="70"/>
      <c r="AC318" s="70"/>
      <c r="AD318" s="70"/>
      <c r="AE318" s="70"/>
      <c r="AF318" s="70"/>
    </row>
    <row r="319" spans="18:32" s="14" customFormat="1" x14ac:dyDescent="0.25">
      <c r="R319" s="11"/>
      <c r="S319" s="11"/>
      <c r="T319" s="11"/>
      <c r="V319" s="70"/>
      <c r="W319" s="70"/>
      <c r="X319" s="70"/>
      <c r="Y319" s="70"/>
      <c r="Z319" s="70"/>
      <c r="AA319" s="70"/>
      <c r="AB319" s="70"/>
      <c r="AC319" s="70"/>
      <c r="AD319" s="70"/>
      <c r="AE319" s="70"/>
      <c r="AF319" s="70"/>
    </row>
    <row r="320" spans="18:32" s="14" customFormat="1" x14ac:dyDescent="0.25">
      <c r="R320" s="11"/>
      <c r="S320" s="11"/>
      <c r="T320" s="11"/>
      <c r="V320" s="70"/>
      <c r="W320" s="70"/>
      <c r="X320" s="70"/>
      <c r="Y320" s="70"/>
      <c r="Z320" s="70"/>
      <c r="AA320" s="70"/>
      <c r="AB320" s="70"/>
      <c r="AC320" s="70"/>
      <c r="AD320" s="70"/>
      <c r="AE320" s="70"/>
      <c r="AF320" s="70"/>
    </row>
    <row r="321" spans="18:32" s="14" customFormat="1" x14ac:dyDescent="0.25">
      <c r="R321" s="11"/>
      <c r="S321" s="11"/>
      <c r="T321" s="11"/>
      <c r="V321" s="70"/>
      <c r="W321" s="70"/>
      <c r="X321" s="70"/>
      <c r="Y321" s="70"/>
      <c r="Z321" s="70"/>
      <c r="AA321" s="70"/>
      <c r="AB321" s="70"/>
      <c r="AC321" s="70"/>
      <c r="AD321" s="70"/>
      <c r="AE321" s="70"/>
      <c r="AF321" s="70"/>
    </row>
    <row r="322" spans="18:32" s="14" customFormat="1" x14ac:dyDescent="0.25">
      <c r="R322" s="11"/>
      <c r="S322" s="11"/>
      <c r="T322" s="11"/>
      <c r="V322" s="70"/>
      <c r="W322" s="70"/>
      <c r="X322" s="70"/>
      <c r="Y322" s="70"/>
      <c r="Z322" s="70"/>
      <c r="AA322" s="70"/>
      <c r="AB322" s="70"/>
      <c r="AC322" s="70"/>
      <c r="AD322" s="70"/>
      <c r="AE322" s="70"/>
      <c r="AF322" s="70"/>
    </row>
    <row r="323" spans="18:32" s="14" customFormat="1" x14ac:dyDescent="0.25">
      <c r="R323" s="11"/>
      <c r="S323" s="11"/>
      <c r="T323" s="11"/>
      <c r="V323" s="70"/>
      <c r="W323" s="70"/>
      <c r="X323" s="70"/>
      <c r="Y323" s="70"/>
      <c r="Z323" s="70"/>
      <c r="AA323" s="70"/>
      <c r="AB323" s="70"/>
      <c r="AC323" s="70"/>
      <c r="AD323" s="70"/>
      <c r="AE323" s="70"/>
      <c r="AF323" s="70"/>
    </row>
    <row r="324" spans="18:32" s="14" customFormat="1" x14ac:dyDescent="0.25">
      <c r="R324" s="11"/>
      <c r="S324" s="11"/>
      <c r="T324" s="11"/>
      <c r="V324" s="70"/>
      <c r="W324" s="70"/>
      <c r="X324" s="70"/>
      <c r="Y324" s="70"/>
      <c r="Z324" s="70"/>
      <c r="AA324" s="70"/>
      <c r="AB324" s="70"/>
      <c r="AC324" s="70"/>
      <c r="AD324" s="70"/>
      <c r="AE324" s="70"/>
      <c r="AF324" s="70"/>
    </row>
    <row r="325" spans="18:32" s="14" customFormat="1" x14ac:dyDescent="0.25">
      <c r="R325" s="11"/>
      <c r="S325" s="11"/>
      <c r="T325" s="11"/>
      <c r="V325" s="70"/>
      <c r="W325" s="70"/>
      <c r="X325" s="70"/>
      <c r="Y325" s="70"/>
      <c r="Z325" s="70"/>
      <c r="AA325" s="70"/>
      <c r="AB325" s="70"/>
      <c r="AC325" s="70"/>
      <c r="AD325" s="70"/>
      <c r="AE325" s="70"/>
      <c r="AF325" s="70"/>
    </row>
    <row r="326" spans="18:32" s="14" customFormat="1" x14ac:dyDescent="0.25">
      <c r="R326" s="11"/>
      <c r="S326" s="11"/>
      <c r="T326" s="11"/>
      <c r="V326" s="70"/>
      <c r="W326" s="70"/>
      <c r="X326" s="70"/>
      <c r="Y326" s="70"/>
      <c r="Z326" s="70"/>
      <c r="AA326" s="70"/>
      <c r="AB326" s="70"/>
      <c r="AC326" s="70"/>
      <c r="AD326" s="70"/>
      <c r="AE326" s="70"/>
      <c r="AF326" s="70"/>
    </row>
    <row r="327" spans="18:32" s="14" customFormat="1" x14ac:dyDescent="0.25">
      <c r="R327" s="11"/>
      <c r="S327" s="11"/>
      <c r="T327" s="11"/>
      <c r="V327" s="70"/>
      <c r="W327" s="70"/>
      <c r="X327" s="70"/>
      <c r="Y327" s="70"/>
      <c r="Z327" s="70"/>
      <c r="AA327" s="70"/>
      <c r="AB327" s="70"/>
      <c r="AC327" s="70"/>
      <c r="AD327" s="70"/>
      <c r="AE327" s="70"/>
      <c r="AF327" s="70"/>
    </row>
    <row r="328" spans="18:32" s="14" customFormat="1" x14ac:dyDescent="0.25">
      <c r="R328" s="11"/>
      <c r="S328" s="11"/>
      <c r="T328" s="11"/>
      <c r="V328" s="70"/>
      <c r="W328" s="70"/>
      <c r="X328" s="70"/>
      <c r="Y328" s="70"/>
      <c r="Z328" s="70"/>
      <c r="AA328" s="70"/>
      <c r="AB328" s="70"/>
      <c r="AC328" s="70"/>
      <c r="AD328" s="70"/>
      <c r="AE328" s="70"/>
      <c r="AF328" s="70"/>
    </row>
    <row r="329" spans="18:32" s="14" customFormat="1" x14ac:dyDescent="0.25">
      <c r="R329" s="11"/>
      <c r="S329" s="11"/>
      <c r="T329" s="11"/>
      <c r="V329" s="70"/>
      <c r="W329" s="70"/>
      <c r="X329" s="70"/>
      <c r="Y329" s="70"/>
      <c r="Z329" s="70"/>
      <c r="AA329" s="70"/>
      <c r="AB329" s="70"/>
      <c r="AC329" s="70"/>
      <c r="AD329" s="70"/>
      <c r="AE329" s="70"/>
      <c r="AF329" s="70"/>
    </row>
    <row r="330" spans="18:32" s="14" customFormat="1" x14ac:dyDescent="0.25">
      <c r="R330" s="11"/>
      <c r="S330" s="11"/>
      <c r="T330" s="11"/>
      <c r="V330" s="70"/>
      <c r="W330" s="70"/>
      <c r="X330" s="70"/>
      <c r="Y330" s="70"/>
      <c r="Z330" s="70"/>
      <c r="AA330" s="70"/>
      <c r="AB330" s="70"/>
      <c r="AC330" s="70"/>
      <c r="AD330" s="70"/>
      <c r="AE330" s="70"/>
      <c r="AF330" s="70"/>
    </row>
    <row r="331" spans="18:32" s="14" customFormat="1" x14ac:dyDescent="0.25">
      <c r="R331" s="11"/>
      <c r="S331" s="11"/>
      <c r="T331" s="11"/>
      <c r="V331" s="70"/>
      <c r="W331" s="70"/>
      <c r="X331" s="70"/>
      <c r="Y331" s="70"/>
      <c r="Z331" s="70"/>
      <c r="AA331" s="70"/>
      <c r="AB331" s="70"/>
      <c r="AC331" s="70"/>
      <c r="AD331" s="70"/>
      <c r="AE331" s="70"/>
      <c r="AF331" s="70"/>
    </row>
    <row r="332" spans="18:32" s="14" customFormat="1" x14ac:dyDescent="0.25">
      <c r="R332" s="11"/>
      <c r="S332" s="11"/>
      <c r="T332" s="11"/>
      <c r="V332" s="70"/>
      <c r="W332" s="70"/>
      <c r="X332" s="70"/>
      <c r="Y332" s="70"/>
      <c r="Z332" s="70"/>
      <c r="AA332" s="70"/>
      <c r="AB332" s="70"/>
      <c r="AC332" s="70"/>
      <c r="AD332" s="70"/>
      <c r="AE332" s="70"/>
      <c r="AF332" s="70"/>
    </row>
    <row r="333" spans="18:32" s="14" customFormat="1" x14ac:dyDescent="0.25">
      <c r="R333" s="11"/>
      <c r="S333" s="11"/>
      <c r="T333" s="11"/>
      <c r="V333" s="70"/>
      <c r="W333" s="70"/>
      <c r="X333" s="70"/>
      <c r="Y333" s="70"/>
      <c r="Z333" s="70"/>
      <c r="AA333" s="70"/>
      <c r="AB333" s="70"/>
      <c r="AC333" s="70"/>
      <c r="AD333" s="70"/>
      <c r="AE333" s="70"/>
      <c r="AF333" s="70"/>
    </row>
    <row r="334" spans="18:32" s="14" customFormat="1" x14ac:dyDescent="0.25">
      <c r="R334" s="11"/>
      <c r="S334" s="11"/>
      <c r="T334" s="11"/>
      <c r="V334" s="70"/>
      <c r="W334" s="70"/>
      <c r="X334" s="70"/>
      <c r="Y334" s="70"/>
      <c r="Z334" s="70"/>
      <c r="AA334" s="70"/>
      <c r="AB334" s="70"/>
      <c r="AC334" s="70"/>
      <c r="AD334" s="70"/>
      <c r="AE334" s="70"/>
      <c r="AF334" s="70"/>
    </row>
    <row r="335" spans="18:32" s="14" customFormat="1" x14ac:dyDescent="0.25">
      <c r="R335" s="11"/>
      <c r="S335" s="11"/>
      <c r="T335" s="11"/>
      <c r="V335" s="70"/>
      <c r="W335" s="70"/>
      <c r="X335" s="70"/>
      <c r="Y335" s="70"/>
      <c r="Z335" s="70"/>
      <c r="AA335" s="70"/>
      <c r="AB335" s="70"/>
      <c r="AC335" s="70"/>
      <c r="AD335" s="70"/>
      <c r="AE335" s="70"/>
      <c r="AF335" s="70"/>
    </row>
    <row r="336" spans="18:32" s="14" customFormat="1" x14ac:dyDescent="0.25">
      <c r="R336" s="11"/>
      <c r="S336" s="11"/>
      <c r="T336" s="11"/>
      <c r="V336" s="70"/>
      <c r="W336" s="70"/>
      <c r="X336" s="70"/>
      <c r="Y336" s="70"/>
      <c r="Z336" s="70"/>
      <c r="AA336" s="70"/>
      <c r="AB336" s="70"/>
      <c r="AC336" s="70"/>
      <c r="AD336" s="70"/>
      <c r="AE336" s="70"/>
      <c r="AF336" s="70"/>
    </row>
    <row r="337" spans="18:32" s="14" customFormat="1" x14ac:dyDescent="0.25">
      <c r="R337" s="11"/>
      <c r="S337" s="11"/>
      <c r="T337" s="11"/>
      <c r="V337" s="70"/>
      <c r="W337" s="70"/>
      <c r="X337" s="70"/>
      <c r="Y337" s="70"/>
      <c r="Z337" s="70"/>
      <c r="AA337" s="70"/>
      <c r="AB337" s="70"/>
      <c r="AC337" s="70"/>
      <c r="AD337" s="70"/>
      <c r="AE337" s="70"/>
      <c r="AF337" s="70"/>
    </row>
    <row r="338" spans="18:32" s="14" customFormat="1" x14ac:dyDescent="0.25">
      <c r="R338" s="11"/>
      <c r="S338" s="11"/>
      <c r="T338" s="11"/>
      <c r="V338" s="70"/>
      <c r="W338" s="70"/>
      <c r="X338" s="70"/>
      <c r="Y338" s="70"/>
      <c r="Z338" s="70"/>
      <c r="AA338" s="70"/>
      <c r="AB338" s="70"/>
      <c r="AC338" s="70"/>
      <c r="AD338" s="70"/>
      <c r="AE338" s="70"/>
      <c r="AF338" s="70"/>
    </row>
    <row r="339" spans="18:32" s="14" customFormat="1" x14ac:dyDescent="0.25">
      <c r="R339" s="11"/>
      <c r="S339" s="11"/>
      <c r="T339" s="11"/>
      <c r="V339" s="70"/>
      <c r="W339" s="70"/>
      <c r="X339" s="70"/>
      <c r="Y339" s="70"/>
      <c r="Z339" s="70"/>
      <c r="AA339" s="70"/>
      <c r="AB339" s="70"/>
      <c r="AC339" s="70"/>
      <c r="AD339" s="70"/>
      <c r="AE339" s="70"/>
      <c r="AF339" s="70"/>
    </row>
    <row r="340" spans="18:32" s="14" customFormat="1" x14ac:dyDescent="0.25">
      <c r="R340" s="11"/>
      <c r="S340" s="11"/>
      <c r="T340" s="11"/>
      <c r="V340" s="70"/>
      <c r="W340" s="70"/>
      <c r="X340" s="70"/>
      <c r="Y340" s="70"/>
      <c r="Z340" s="70"/>
      <c r="AA340" s="70"/>
      <c r="AB340" s="70"/>
      <c r="AC340" s="70"/>
      <c r="AD340" s="70"/>
      <c r="AE340" s="70"/>
      <c r="AF340" s="70"/>
    </row>
    <row r="341" spans="18:32" s="14" customFormat="1" x14ac:dyDescent="0.25">
      <c r="R341" s="11"/>
      <c r="S341" s="11"/>
      <c r="T341" s="11"/>
      <c r="V341" s="70"/>
      <c r="W341" s="70"/>
      <c r="X341" s="70"/>
      <c r="Y341" s="70"/>
      <c r="Z341" s="70"/>
      <c r="AA341" s="70"/>
      <c r="AB341" s="70"/>
      <c r="AC341" s="70"/>
      <c r="AD341" s="70"/>
      <c r="AE341" s="70"/>
      <c r="AF341" s="70"/>
    </row>
    <row r="342" spans="18:32" s="14" customFormat="1" x14ac:dyDescent="0.25">
      <c r="R342" s="11"/>
      <c r="S342" s="11"/>
      <c r="T342" s="11"/>
      <c r="V342" s="70"/>
      <c r="W342" s="70"/>
      <c r="X342" s="70"/>
      <c r="Y342" s="70"/>
      <c r="Z342" s="70"/>
      <c r="AA342" s="70"/>
      <c r="AB342" s="70"/>
      <c r="AC342" s="70"/>
      <c r="AD342" s="70"/>
      <c r="AE342" s="70"/>
      <c r="AF342" s="70"/>
    </row>
    <row r="343" spans="18:32" s="14" customFormat="1" x14ac:dyDescent="0.25">
      <c r="R343" s="11"/>
      <c r="S343" s="11"/>
      <c r="T343" s="11"/>
      <c r="V343" s="70"/>
      <c r="W343" s="70"/>
      <c r="X343" s="70"/>
      <c r="Y343" s="70"/>
      <c r="Z343" s="70"/>
      <c r="AA343" s="70"/>
      <c r="AB343" s="70"/>
      <c r="AC343" s="70"/>
      <c r="AD343" s="70"/>
      <c r="AE343" s="70"/>
      <c r="AF343" s="70"/>
    </row>
    <row r="344" spans="18:32" s="14" customFormat="1" x14ac:dyDescent="0.25">
      <c r="R344" s="11"/>
      <c r="S344" s="11"/>
      <c r="T344" s="11"/>
      <c r="V344" s="70"/>
      <c r="W344" s="70"/>
      <c r="X344" s="70"/>
      <c r="Y344" s="70"/>
      <c r="Z344" s="70"/>
      <c r="AA344" s="70"/>
      <c r="AB344" s="70"/>
      <c r="AC344" s="70"/>
      <c r="AD344" s="70"/>
      <c r="AE344" s="70"/>
      <c r="AF344" s="70"/>
    </row>
    <row r="345" spans="18:32" s="14" customFormat="1" x14ac:dyDescent="0.25">
      <c r="R345" s="11"/>
      <c r="S345" s="11"/>
      <c r="T345" s="11"/>
      <c r="V345" s="70"/>
      <c r="W345" s="70"/>
      <c r="X345" s="70"/>
      <c r="Y345" s="70"/>
      <c r="Z345" s="70"/>
      <c r="AA345" s="70"/>
      <c r="AB345" s="70"/>
      <c r="AC345" s="70"/>
      <c r="AD345" s="70"/>
      <c r="AE345" s="70"/>
      <c r="AF345" s="70"/>
    </row>
    <row r="346" spans="18:32" s="14" customFormat="1" x14ac:dyDescent="0.25">
      <c r="R346" s="11"/>
      <c r="S346" s="11"/>
      <c r="T346" s="11"/>
      <c r="V346" s="70"/>
      <c r="W346" s="70"/>
      <c r="X346" s="70"/>
      <c r="Y346" s="70"/>
      <c r="Z346" s="70"/>
      <c r="AA346" s="70"/>
      <c r="AB346" s="70"/>
      <c r="AC346" s="70"/>
      <c r="AD346" s="70"/>
      <c r="AE346" s="70"/>
      <c r="AF346" s="70"/>
    </row>
    <row r="347" spans="18:32" s="14" customFormat="1" x14ac:dyDescent="0.25">
      <c r="R347" s="11"/>
      <c r="S347" s="11"/>
      <c r="T347" s="11"/>
      <c r="V347" s="70"/>
      <c r="W347" s="70"/>
      <c r="X347" s="70"/>
      <c r="Y347" s="70"/>
      <c r="Z347" s="70"/>
      <c r="AA347" s="70"/>
      <c r="AB347" s="70"/>
      <c r="AC347" s="70"/>
      <c r="AD347" s="70"/>
      <c r="AE347" s="70"/>
      <c r="AF347" s="70"/>
    </row>
    <row r="348" spans="18:32" s="14" customFormat="1" x14ac:dyDescent="0.25">
      <c r="R348" s="11"/>
      <c r="S348" s="11"/>
      <c r="T348" s="11"/>
      <c r="V348" s="70"/>
      <c r="W348" s="70"/>
      <c r="X348" s="70"/>
      <c r="Y348" s="70"/>
      <c r="Z348" s="70"/>
      <c r="AA348" s="70"/>
      <c r="AB348" s="70"/>
      <c r="AC348" s="70"/>
      <c r="AD348" s="70"/>
      <c r="AE348" s="70"/>
      <c r="AF348" s="70"/>
    </row>
    <row r="349" spans="18:32" s="14" customFormat="1" x14ac:dyDescent="0.25">
      <c r="R349" s="11"/>
      <c r="S349" s="11"/>
      <c r="T349" s="11"/>
      <c r="V349" s="70"/>
      <c r="W349" s="70"/>
      <c r="X349" s="70"/>
      <c r="Y349" s="70"/>
      <c r="Z349" s="70"/>
      <c r="AA349" s="70"/>
      <c r="AB349" s="70"/>
      <c r="AC349" s="70"/>
      <c r="AD349" s="70"/>
      <c r="AE349" s="70"/>
      <c r="AF349" s="70"/>
    </row>
    <row r="350" spans="18:32" s="14" customFormat="1" x14ac:dyDescent="0.25">
      <c r="R350" s="11"/>
      <c r="S350" s="11"/>
      <c r="T350" s="11"/>
      <c r="V350" s="70"/>
      <c r="W350" s="70"/>
      <c r="X350" s="70"/>
      <c r="Y350" s="70"/>
      <c r="Z350" s="70"/>
      <c r="AA350" s="70"/>
      <c r="AB350" s="70"/>
      <c r="AC350" s="70"/>
      <c r="AD350" s="70"/>
      <c r="AE350" s="70"/>
      <c r="AF350" s="70"/>
    </row>
    <row r="351" spans="18:32" s="14" customFormat="1" x14ac:dyDescent="0.25">
      <c r="R351" s="11"/>
      <c r="S351" s="11"/>
      <c r="T351" s="11"/>
      <c r="V351" s="70"/>
      <c r="W351" s="70"/>
      <c r="X351" s="70"/>
      <c r="Y351" s="70"/>
      <c r="Z351" s="70"/>
      <c r="AA351" s="70"/>
      <c r="AB351" s="70"/>
      <c r="AC351" s="70"/>
      <c r="AD351" s="70"/>
      <c r="AE351" s="70"/>
      <c r="AF351" s="70"/>
    </row>
    <row r="352" spans="18:32" s="14" customFormat="1" x14ac:dyDescent="0.25">
      <c r="R352" s="11"/>
      <c r="S352" s="11"/>
      <c r="T352" s="11"/>
      <c r="V352" s="70"/>
      <c r="W352" s="70"/>
      <c r="X352" s="70"/>
      <c r="Y352" s="70"/>
      <c r="Z352" s="70"/>
      <c r="AA352" s="70"/>
      <c r="AB352" s="70"/>
      <c r="AC352" s="70"/>
      <c r="AD352" s="70"/>
      <c r="AE352" s="70"/>
      <c r="AF352" s="70"/>
    </row>
    <row r="353" spans="18:32" s="14" customFormat="1" x14ac:dyDescent="0.25">
      <c r="R353" s="11"/>
      <c r="S353" s="11"/>
      <c r="T353" s="11"/>
      <c r="V353" s="70"/>
      <c r="W353" s="70"/>
      <c r="X353" s="70"/>
      <c r="Y353" s="70"/>
      <c r="Z353" s="70"/>
      <c r="AA353" s="70"/>
      <c r="AB353" s="70"/>
      <c r="AC353" s="70"/>
      <c r="AD353" s="70"/>
      <c r="AE353" s="70"/>
      <c r="AF353" s="70"/>
    </row>
    <row r="354" spans="18:32" s="14" customFormat="1" x14ac:dyDescent="0.25">
      <c r="R354" s="11"/>
      <c r="S354" s="11"/>
      <c r="T354" s="11"/>
      <c r="V354" s="70"/>
      <c r="W354" s="70"/>
      <c r="X354" s="70"/>
      <c r="Y354" s="70"/>
      <c r="Z354" s="70"/>
      <c r="AA354" s="70"/>
      <c r="AB354" s="70"/>
      <c r="AC354" s="70"/>
      <c r="AD354" s="70"/>
      <c r="AE354" s="70"/>
      <c r="AF354" s="70"/>
    </row>
    <row r="355" spans="18:32" s="14" customFormat="1" x14ac:dyDescent="0.25">
      <c r="R355" s="11"/>
      <c r="S355" s="11"/>
      <c r="T355" s="11"/>
      <c r="V355" s="70"/>
      <c r="W355" s="70"/>
      <c r="X355" s="70"/>
      <c r="Y355" s="70"/>
      <c r="Z355" s="70"/>
      <c r="AA355" s="70"/>
      <c r="AB355" s="70"/>
      <c r="AC355" s="70"/>
      <c r="AD355" s="70"/>
      <c r="AE355" s="70"/>
      <c r="AF355" s="70"/>
    </row>
    <row r="356" spans="18:32" s="14" customFormat="1" x14ac:dyDescent="0.25">
      <c r="R356" s="11"/>
      <c r="S356" s="11"/>
      <c r="T356" s="11"/>
      <c r="V356" s="70"/>
      <c r="W356" s="70"/>
      <c r="X356" s="70"/>
      <c r="Y356" s="70"/>
      <c r="Z356" s="70"/>
      <c r="AA356" s="70"/>
      <c r="AB356" s="70"/>
      <c r="AC356" s="70"/>
      <c r="AD356" s="70"/>
      <c r="AE356" s="70"/>
      <c r="AF356" s="70"/>
    </row>
    <row r="357" spans="18:32" s="14" customFormat="1" x14ac:dyDescent="0.25">
      <c r="R357" s="11"/>
      <c r="S357" s="11"/>
      <c r="T357" s="11"/>
      <c r="V357" s="70"/>
      <c r="W357" s="70"/>
      <c r="X357" s="70"/>
      <c r="Y357" s="70"/>
      <c r="Z357" s="70"/>
      <c r="AA357" s="70"/>
      <c r="AB357" s="70"/>
      <c r="AC357" s="70"/>
      <c r="AD357" s="70"/>
      <c r="AE357" s="70"/>
      <c r="AF357" s="70"/>
    </row>
    <row r="358" spans="18:32" s="14" customFormat="1" x14ac:dyDescent="0.25">
      <c r="R358" s="11"/>
      <c r="S358" s="11"/>
      <c r="T358" s="11"/>
      <c r="V358" s="70"/>
      <c r="W358" s="70"/>
      <c r="X358" s="70"/>
      <c r="Y358" s="70"/>
      <c r="Z358" s="70"/>
      <c r="AA358" s="70"/>
      <c r="AB358" s="70"/>
      <c r="AC358" s="70"/>
      <c r="AD358" s="70"/>
      <c r="AE358" s="70"/>
      <c r="AF358" s="70"/>
    </row>
    <row r="359" spans="18:32" s="14" customFormat="1" x14ac:dyDescent="0.25">
      <c r="R359" s="11"/>
      <c r="S359" s="11"/>
      <c r="T359" s="11"/>
      <c r="V359" s="70"/>
      <c r="W359" s="70"/>
      <c r="X359" s="70"/>
      <c r="Y359" s="70"/>
      <c r="Z359" s="70"/>
      <c r="AA359" s="70"/>
      <c r="AB359" s="70"/>
      <c r="AC359" s="70"/>
      <c r="AD359" s="70"/>
      <c r="AE359" s="70"/>
      <c r="AF359" s="70"/>
    </row>
    <row r="360" spans="18:32" s="14" customFormat="1" x14ac:dyDescent="0.25">
      <c r="R360" s="11"/>
      <c r="S360" s="11"/>
      <c r="T360" s="11"/>
      <c r="V360" s="70"/>
      <c r="W360" s="70"/>
      <c r="X360" s="70"/>
      <c r="Y360" s="70"/>
      <c r="Z360" s="70"/>
      <c r="AA360" s="70"/>
      <c r="AB360" s="70"/>
      <c r="AC360" s="70"/>
      <c r="AD360" s="70"/>
      <c r="AE360" s="70"/>
      <c r="AF360" s="70"/>
    </row>
    <row r="361" spans="18:32" s="14" customFormat="1" x14ac:dyDescent="0.25">
      <c r="R361" s="11"/>
      <c r="S361" s="11"/>
      <c r="T361" s="11"/>
      <c r="V361" s="70"/>
      <c r="W361" s="70"/>
      <c r="X361" s="70"/>
      <c r="Y361" s="70"/>
      <c r="Z361" s="70"/>
      <c r="AA361" s="70"/>
      <c r="AB361" s="70"/>
      <c r="AC361" s="70"/>
      <c r="AD361" s="70"/>
      <c r="AE361" s="70"/>
      <c r="AF361" s="70"/>
    </row>
    <row r="362" spans="18:32" s="14" customFormat="1" x14ac:dyDescent="0.25">
      <c r="R362" s="11"/>
      <c r="S362" s="11"/>
      <c r="T362" s="11"/>
      <c r="V362" s="70"/>
      <c r="W362" s="70"/>
      <c r="X362" s="70"/>
      <c r="Y362" s="70"/>
      <c r="Z362" s="70"/>
      <c r="AA362" s="70"/>
      <c r="AB362" s="70"/>
      <c r="AC362" s="70"/>
      <c r="AD362" s="70"/>
      <c r="AE362" s="70"/>
      <c r="AF362" s="70"/>
    </row>
    <row r="363" spans="18:32" s="14" customFormat="1" x14ac:dyDescent="0.25">
      <c r="R363" s="11"/>
      <c r="S363" s="11"/>
      <c r="T363" s="11"/>
      <c r="V363" s="70"/>
      <c r="W363" s="70"/>
      <c r="X363" s="70"/>
      <c r="Y363" s="70"/>
      <c r="Z363" s="70"/>
      <c r="AA363" s="70"/>
      <c r="AB363" s="70"/>
      <c r="AC363" s="70"/>
      <c r="AD363" s="70"/>
      <c r="AE363" s="70"/>
      <c r="AF363" s="70"/>
    </row>
    <row r="364" spans="18:32" s="14" customFormat="1" x14ac:dyDescent="0.25">
      <c r="R364" s="11"/>
      <c r="S364" s="11"/>
      <c r="T364" s="11"/>
      <c r="V364" s="70"/>
      <c r="W364" s="70"/>
      <c r="X364" s="70"/>
      <c r="Y364" s="70"/>
      <c r="Z364" s="70"/>
      <c r="AA364" s="70"/>
      <c r="AB364" s="70"/>
      <c r="AC364" s="70"/>
      <c r="AD364" s="70"/>
      <c r="AE364" s="70"/>
      <c r="AF364" s="70"/>
    </row>
    <row r="365" spans="18:32" s="14" customFormat="1" x14ac:dyDescent="0.25">
      <c r="R365" s="11"/>
      <c r="S365" s="11"/>
      <c r="T365" s="11"/>
      <c r="V365" s="70"/>
      <c r="W365" s="70"/>
      <c r="X365" s="70"/>
      <c r="Y365" s="70"/>
      <c r="Z365" s="70"/>
      <c r="AA365" s="70"/>
      <c r="AB365" s="70"/>
      <c r="AC365" s="70"/>
      <c r="AD365" s="70"/>
      <c r="AE365" s="70"/>
      <c r="AF365" s="70"/>
    </row>
    <row r="366" spans="18:32" s="14" customFormat="1" x14ac:dyDescent="0.25">
      <c r="R366" s="11"/>
      <c r="S366" s="11"/>
      <c r="T366" s="11"/>
      <c r="V366" s="70"/>
      <c r="W366" s="70"/>
      <c r="X366" s="70"/>
      <c r="Y366" s="70"/>
      <c r="Z366" s="70"/>
      <c r="AA366" s="70"/>
      <c r="AB366" s="70"/>
      <c r="AC366" s="70"/>
      <c r="AD366" s="70"/>
      <c r="AE366" s="70"/>
      <c r="AF366" s="70"/>
    </row>
    <row r="367" spans="18:32" s="14" customFormat="1" x14ac:dyDescent="0.25">
      <c r="R367" s="11"/>
      <c r="S367" s="11"/>
      <c r="T367" s="11"/>
      <c r="V367" s="70"/>
      <c r="W367" s="70"/>
      <c r="X367" s="70"/>
      <c r="Y367" s="70"/>
      <c r="Z367" s="70"/>
      <c r="AA367" s="70"/>
      <c r="AB367" s="70"/>
      <c r="AC367" s="70"/>
      <c r="AD367" s="70"/>
      <c r="AE367" s="70"/>
      <c r="AF367" s="70"/>
    </row>
    <row r="368" spans="18:32" s="14" customFormat="1" x14ac:dyDescent="0.25">
      <c r="R368" s="11"/>
      <c r="S368" s="11"/>
      <c r="T368" s="11"/>
      <c r="V368" s="70"/>
      <c r="W368" s="70"/>
      <c r="X368" s="70"/>
      <c r="Y368" s="70"/>
      <c r="Z368" s="70"/>
      <c r="AA368" s="70"/>
      <c r="AB368" s="70"/>
      <c r="AC368" s="70"/>
      <c r="AD368" s="70"/>
      <c r="AE368" s="70"/>
      <c r="AF368" s="70"/>
    </row>
    <row r="369" spans="18:32" s="14" customFormat="1" x14ac:dyDescent="0.25">
      <c r="R369" s="11"/>
      <c r="S369" s="11"/>
      <c r="T369" s="11"/>
      <c r="V369" s="70"/>
      <c r="W369" s="70"/>
      <c r="X369" s="70"/>
      <c r="Y369" s="70"/>
      <c r="Z369" s="70"/>
      <c r="AA369" s="70"/>
      <c r="AB369" s="70"/>
      <c r="AC369" s="70"/>
      <c r="AD369" s="70"/>
      <c r="AE369" s="70"/>
      <c r="AF369" s="70"/>
    </row>
    <row r="370" spans="18:32" s="14" customFormat="1" x14ac:dyDescent="0.25">
      <c r="R370" s="11"/>
      <c r="S370" s="11"/>
      <c r="T370" s="11"/>
      <c r="V370" s="70"/>
      <c r="W370" s="70"/>
      <c r="X370" s="70"/>
      <c r="Y370" s="70"/>
      <c r="Z370" s="70"/>
      <c r="AA370" s="70"/>
      <c r="AB370" s="70"/>
      <c r="AC370" s="70"/>
      <c r="AD370" s="70"/>
      <c r="AE370" s="70"/>
      <c r="AF370" s="70"/>
    </row>
    <row r="371" spans="18:32" s="14" customFormat="1" x14ac:dyDescent="0.25">
      <c r="R371" s="11"/>
      <c r="S371" s="11"/>
      <c r="T371" s="11"/>
      <c r="V371" s="70"/>
      <c r="W371" s="70"/>
      <c r="X371" s="70"/>
      <c r="Y371" s="70"/>
      <c r="Z371" s="70"/>
      <c r="AA371" s="70"/>
      <c r="AB371" s="70"/>
      <c r="AC371" s="70"/>
      <c r="AD371" s="70"/>
      <c r="AE371" s="70"/>
      <c r="AF371" s="70"/>
    </row>
    <row r="372" spans="18:32" s="14" customFormat="1" x14ac:dyDescent="0.25">
      <c r="R372" s="11"/>
      <c r="S372" s="11"/>
      <c r="T372" s="11"/>
      <c r="V372" s="70"/>
      <c r="W372" s="70"/>
      <c r="X372" s="70"/>
      <c r="Y372" s="70"/>
      <c r="Z372" s="70"/>
      <c r="AA372" s="70"/>
      <c r="AB372" s="70"/>
      <c r="AC372" s="70"/>
      <c r="AD372" s="70"/>
      <c r="AE372" s="70"/>
      <c r="AF372" s="70"/>
    </row>
    <row r="373" spans="18:32" s="14" customFormat="1" x14ac:dyDescent="0.25">
      <c r="R373" s="11"/>
      <c r="S373" s="11"/>
      <c r="T373" s="11"/>
      <c r="V373" s="70"/>
      <c r="W373" s="70"/>
      <c r="X373" s="70"/>
      <c r="Y373" s="70"/>
      <c r="Z373" s="70"/>
      <c r="AA373" s="70"/>
      <c r="AB373" s="70"/>
      <c r="AC373" s="70"/>
      <c r="AD373" s="70"/>
      <c r="AE373" s="70"/>
      <c r="AF373" s="70"/>
    </row>
    <row r="374" spans="18:32" s="14" customFormat="1" x14ac:dyDescent="0.25">
      <c r="R374" s="11"/>
      <c r="S374" s="11"/>
      <c r="T374" s="11"/>
      <c r="V374" s="70"/>
      <c r="W374" s="70"/>
      <c r="X374" s="70"/>
      <c r="Y374" s="70"/>
      <c r="Z374" s="70"/>
      <c r="AA374" s="70"/>
      <c r="AB374" s="70"/>
      <c r="AC374" s="70"/>
      <c r="AD374" s="70"/>
      <c r="AE374" s="70"/>
      <c r="AF374" s="70"/>
    </row>
    <row r="375" spans="18:32" s="14" customFormat="1" x14ac:dyDescent="0.25">
      <c r="R375" s="11"/>
      <c r="S375" s="11"/>
      <c r="T375" s="11"/>
      <c r="V375" s="70"/>
      <c r="W375" s="70"/>
      <c r="X375" s="70"/>
      <c r="Y375" s="70"/>
      <c r="Z375" s="70"/>
      <c r="AA375" s="70"/>
      <c r="AB375" s="70"/>
      <c r="AC375" s="70"/>
      <c r="AD375" s="70"/>
      <c r="AE375" s="70"/>
      <c r="AF375" s="70"/>
    </row>
    <row r="376" spans="18:32" s="14" customFormat="1" x14ac:dyDescent="0.25">
      <c r="R376" s="11"/>
      <c r="S376" s="11"/>
      <c r="T376" s="11"/>
      <c r="V376" s="70"/>
      <c r="W376" s="70"/>
      <c r="X376" s="70"/>
      <c r="Y376" s="70"/>
      <c r="Z376" s="70"/>
      <c r="AA376" s="70"/>
      <c r="AB376" s="70"/>
      <c r="AC376" s="70"/>
      <c r="AD376" s="70"/>
      <c r="AE376" s="70"/>
      <c r="AF376" s="70"/>
    </row>
    <row r="377" spans="18:32" s="14" customFormat="1" x14ac:dyDescent="0.25">
      <c r="R377" s="11"/>
      <c r="S377" s="11"/>
      <c r="T377" s="11"/>
      <c r="V377" s="70"/>
      <c r="W377" s="70"/>
      <c r="X377" s="70"/>
      <c r="Y377" s="70"/>
      <c r="Z377" s="70"/>
      <c r="AA377" s="70"/>
      <c r="AB377" s="70"/>
      <c r="AC377" s="70"/>
      <c r="AD377" s="70"/>
      <c r="AE377" s="70"/>
      <c r="AF377" s="70"/>
    </row>
    <row r="378" spans="18:32" s="14" customFormat="1" x14ac:dyDescent="0.25">
      <c r="R378" s="11"/>
      <c r="S378" s="11"/>
      <c r="T378" s="11"/>
      <c r="V378" s="70"/>
      <c r="W378" s="70"/>
      <c r="X378" s="70"/>
      <c r="Y378" s="70"/>
      <c r="Z378" s="70"/>
      <c r="AA378" s="70"/>
      <c r="AB378" s="70"/>
      <c r="AC378" s="70"/>
      <c r="AD378" s="70"/>
      <c r="AE378" s="70"/>
      <c r="AF378" s="70"/>
    </row>
    <row r="379" spans="18:32" s="14" customFormat="1" x14ac:dyDescent="0.25">
      <c r="R379" s="11"/>
      <c r="S379" s="11"/>
      <c r="T379" s="11"/>
      <c r="V379" s="70"/>
      <c r="W379" s="70"/>
      <c r="X379" s="70"/>
      <c r="Y379" s="70"/>
      <c r="Z379" s="70"/>
      <c r="AA379" s="70"/>
      <c r="AB379" s="70"/>
      <c r="AC379" s="70"/>
      <c r="AD379" s="70"/>
      <c r="AE379" s="70"/>
      <c r="AF379" s="70"/>
    </row>
    <row r="380" spans="18:32" s="14" customFormat="1" x14ac:dyDescent="0.25">
      <c r="R380" s="11"/>
      <c r="S380" s="11"/>
      <c r="T380" s="11"/>
      <c r="V380" s="70"/>
      <c r="W380" s="70"/>
      <c r="X380" s="70"/>
      <c r="Y380" s="70"/>
      <c r="Z380" s="70"/>
      <c r="AA380" s="70"/>
      <c r="AB380" s="70"/>
      <c r="AC380" s="70"/>
      <c r="AD380" s="70"/>
      <c r="AE380" s="70"/>
      <c r="AF380" s="70"/>
    </row>
    <row r="381" spans="18:32" s="14" customFormat="1" x14ac:dyDescent="0.25">
      <c r="R381" s="11"/>
      <c r="S381" s="11"/>
      <c r="T381" s="11"/>
      <c r="V381" s="70"/>
      <c r="W381" s="70"/>
      <c r="X381" s="70"/>
      <c r="Y381" s="70"/>
      <c r="Z381" s="70"/>
      <c r="AA381" s="70"/>
      <c r="AB381" s="70"/>
      <c r="AC381" s="70"/>
      <c r="AD381" s="70"/>
      <c r="AE381" s="70"/>
      <c r="AF381" s="70"/>
    </row>
    <row r="382" spans="18:32" s="14" customFormat="1" x14ac:dyDescent="0.25">
      <c r="R382" s="11"/>
      <c r="S382" s="11"/>
      <c r="T382" s="11"/>
      <c r="V382" s="70"/>
      <c r="W382" s="70"/>
      <c r="X382" s="70"/>
      <c r="Y382" s="70"/>
      <c r="Z382" s="70"/>
      <c r="AA382" s="70"/>
      <c r="AB382" s="70"/>
      <c r="AC382" s="70"/>
      <c r="AD382" s="70"/>
      <c r="AE382" s="70"/>
      <c r="AF382" s="70"/>
    </row>
    <row r="383" spans="18:32" s="14" customFormat="1" x14ac:dyDescent="0.25">
      <c r="R383" s="11"/>
      <c r="S383" s="11"/>
      <c r="T383" s="11"/>
      <c r="V383" s="70"/>
      <c r="W383" s="70"/>
      <c r="X383" s="70"/>
      <c r="Y383" s="70"/>
      <c r="Z383" s="70"/>
      <c r="AA383" s="70"/>
      <c r="AB383" s="70"/>
      <c r="AC383" s="70"/>
      <c r="AD383" s="70"/>
      <c r="AE383" s="70"/>
      <c r="AF383" s="70"/>
    </row>
    <row r="384" spans="18:32" s="14" customFormat="1" x14ac:dyDescent="0.25">
      <c r="R384" s="11"/>
      <c r="S384" s="11"/>
      <c r="T384" s="11"/>
      <c r="V384" s="70"/>
      <c r="W384" s="70"/>
      <c r="X384" s="70"/>
      <c r="Y384" s="70"/>
      <c r="Z384" s="70"/>
      <c r="AA384" s="70"/>
      <c r="AB384" s="70"/>
      <c r="AC384" s="70"/>
      <c r="AD384" s="70"/>
      <c r="AE384" s="70"/>
      <c r="AF384" s="70"/>
    </row>
    <row r="385" spans="18:32" s="14" customFormat="1" x14ac:dyDescent="0.25">
      <c r="R385" s="11"/>
      <c r="S385" s="11"/>
      <c r="T385" s="11"/>
      <c r="V385" s="70"/>
      <c r="W385" s="70"/>
      <c r="X385" s="70"/>
      <c r="Y385" s="70"/>
      <c r="Z385" s="70"/>
      <c r="AA385" s="70"/>
      <c r="AB385" s="70"/>
      <c r="AC385" s="70"/>
      <c r="AD385" s="70"/>
      <c r="AE385" s="70"/>
      <c r="AF385" s="70"/>
    </row>
    <row r="386" spans="18:32" s="14" customFormat="1" x14ac:dyDescent="0.25">
      <c r="R386" s="11"/>
      <c r="S386" s="11"/>
      <c r="T386" s="11"/>
      <c r="V386" s="70"/>
      <c r="W386" s="70"/>
      <c r="X386" s="70"/>
      <c r="Y386" s="70"/>
      <c r="Z386" s="70"/>
      <c r="AA386" s="70"/>
      <c r="AB386" s="70"/>
      <c r="AC386" s="70"/>
      <c r="AD386" s="70"/>
      <c r="AE386" s="70"/>
      <c r="AF386" s="70"/>
    </row>
    <row r="387" spans="18:32" s="14" customFormat="1" x14ac:dyDescent="0.25">
      <c r="R387" s="11"/>
      <c r="S387" s="11"/>
      <c r="T387" s="11"/>
      <c r="V387" s="70"/>
      <c r="W387" s="70"/>
      <c r="X387" s="70"/>
      <c r="Y387" s="70"/>
      <c r="Z387" s="70"/>
      <c r="AA387" s="70"/>
      <c r="AB387" s="70"/>
      <c r="AC387" s="70"/>
      <c r="AD387" s="70"/>
      <c r="AE387" s="70"/>
      <c r="AF387" s="70"/>
    </row>
    <row r="388" spans="18:32" s="14" customFormat="1" x14ac:dyDescent="0.25">
      <c r="R388" s="11"/>
      <c r="S388" s="11"/>
      <c r="T388" s="11"/>
      <c r="V388" s="70"/>
      <c r="W388" s="70"/>
      <c r="X388" s="70"/>
      <c r="Y388" s="70"/>
      <c r="Z388" s="70"/>
      <c r="AA388" s="70"/>
      <c r="AB388" s="70"/>
      <c r="AC388" s="70"/>
      <c r="AD388" s="70"/>
      <c r="AE388" s="70"/>
      <c r="AF388" s="70"/>
    </row>
    <row r="389" spans="18:32" s="14" customFormat="1" x14ac:dyDescent="0.25">
      <c r="R389" s="11"/>
      <c r="S389" s="11"/>
      <c r="T389" s="11"/>
      <c r="V389" s="70"/>
      <c r="W389" s="70"/>
      <c r="X389" s="70"/>
      <c r="Y389" s="70"/>
      <c r="Z389" s="70"/>
      <c r="AA389" s="70"/>
      <c r="AB389" s="70"/>
      <c r="AC389" s="70"/>
      <c r="AD389" s="70"/>
      <c r="AE389" s="70"/>
      <c r="AF389" s="70"/>
    </row>
    <row r="390" spans="18:32" s="14" customFormat="1" x14ac:dyDescent="0.25">
      <c r="R390" s="11"/>
      <c r="S390" s="11"/>
      <c r="T390" s="11"/>
      <c r="V390" s="70"/>
      <c r="W390" s="70"/>
      <c r="X390" s="70"/>
      <c r="Y390" s="70"/>
      <c r="Z390" s="70"/>
      <c r="AA390" s="70"/>
      <c r="AB390" s="70"/>
      <c r="AC390" s="70"/>
      <c r="AD390" s="70"/>
      <c r="AE390" s="70"/>
      <c r="AF390" s="70"/>
    </row>
    <row r="391" spans="18:32" s="14" customFormat="1" x14ac:dyDescent="0.25">
      <c r="R391" s="11"/>
      <c r="S391" s="11"/>
      <c r="T391" s="11"/>
      <c r="V391" s="70"/>
      <c r="W391" s="70"/>
      <c r="X391" s="70"/>
      <c r="Y391" s="70"/>
      <c r="Z391" s="70"/>
      <c r="AA391" s="70"/>
      <c r="AB391" s="70"/>
      <c r="AC391" s="70"/>
      <c r="AD391" s="70"/>
      <c r="AE391" s="70"/>
      <c r="AF391" s="70"/>
    </row>
    <row r="392" spans="18:32" s="14" customFormat="1" x14ac:dyDescent="0.25">
      <c r="R392" s="11"/>
      <c r="S392" s="11"/>
      <c r="T392" s="11"/>
      <c r="V392" s="70"/>
      <c r="W392" s="70"/>
      <c r="X392" s="70"/>
      <c r="Y392" s="70"/>
      <c r="Z392" s="70"/>
      <c r="AA392" s="70"/>
      <c r="AB392" s="70"/>
      <c r="AC392" s="70"/>
      <c r="AD392" s="70"/>
      <c r="AE392" s="70"/>
      <c r="AF392" s="70"/>
    </row>
    <row r="393" spans="18:32" s="14" customFormat="1" x14ac:dyDescent="0.25">
      <c r="R393" s="11"/>
      <c r="S393" s="11"/>
      <c r="T393" s="11"/>
      <c r="V393" s="70"/>
      <c r="W393" s="70"/>
      <c r="X393" s="70"/>
      <c r="Y393" s="70"/>
      <c r="Z393" s="70"/>
      <c r="AA393" s="70"/>
      <c r="AB393" s="70"/>
      <c r="AC393" s="70"/>
      <c r="AD393" s="70"/>
      <c r="AE393" s="70"/>
      <c r="AF393" s="70"/>
    </row>
    <row r="394" spans="18:32" s="14" customFormat="1" x14ac:dyDescent="0.25">
      <c r="R394" s="11"/>
      <c r="S394" s="11"/>
      <c r="T394" s="11"/>
      <c r="V394" s="70"/>
      <c r="W394" s="70"/>
      <c r="X394" s="70"/>
      <c r="Y394" s="70"/>
      <c r="Z394" s="70"/>
      <c r="AA394" s="70"/>
      <c r="AB394" s="70"/>
      <c r="AC394" s="70"/>
      <c r="AD394" s="70"/>
      <c r="AE394" s="70"/>
      <c r="AF394" s="70"/>
    </row>
    <row r="395" spans="18:32" s="14" customFormat="1" x14ac:dyDescent="0.25">
      <c r="R395" s="11"/>
      <c r="S395" s="11"/>
      <c r="T395" s="11"/>
      <c r="V395" s="70"/>
      <c r="W395" s="70"/>
      <c r="X395" s="70"/>
      <c r="Y395" s="70"/>
      <c r="Z395" s="70"/>
      <c r="AA395" s="70"/>
      <c r="AB395" s="70"/>
      <c r="AC395" s="70"/>
      <c r="AD395" s="70"/>
      <c r="AE395" s="70"/>
      <c r="AF395" s="70"/>
    </row>
    <row r="396" spans="18:32" s="14" customFormat="1" x14ac:dyDescent="0.25">
      <c r="R396" s="11"/>
      <c r="S396" s="11"/>
      <c r="T396" s="11"/>
      <c r="V396" s="70"/>
      <c r="W396" s="70"/>
      <c r="X396" s="70"/>
      <c r="Y396" s="70"/>
      <c r="Z396" s="70"/>
      <c r="AA396" s="70"/>
      <c r="AB396" s="70"/>
      <c r="AC396" s="70"/>
      <c r="AD396" s="70"/>
      <c r="AE396" s="70"/>
      <c r="AF396" s="70"/>
    </row>
    <row r="397" spans="18:32" s="14" customFormat="1" x14ac:dyDescent="0.25">
      <c r="R397" s="11"/>
      <c r="S397" s="11"/>
      <c r="T397" s="11"/>
      <c r="V397" s="70"/>
      <c r="W397" s="70"/>
      <c r="X397" s="70"/>
      <c r="Y397" s="70"/>
      <c r="Z397" s="70"/>
      <c r="AA397" s="70"/>
      <c r="AB397" s="70"/>
      <c r="AC397" s="70"/>
      <c r="AD397" s="70"/>
      <c r="AE397" s="70"/>
      <c r="AF397" s="70"/>
    </row>
    <row r="398" spans="18:32" s="14" customFormat="1" x14ac:dyDescent="0.25">
      <c r="R398" s="11"/>
      <c r="S398" s="11"/>
      <c r="T398" s="11"/>
      <c r="V398" s="70"/>
      <c r="W398" s="70"/>
      <c r="X398" s="70"/>
      <c r="Y398" s="70"/>
      <c r="Z398" s="70"/>
      <c r="AA398" s="70"/>
      <c r="AB398" s="70"/>
      <c r="AC398" s="70"/>
      <c r="AD398" s="70"/>
      <c r="AE398" s="70"/>
      <c r="AF398" s="70"/>
    </row>
    <row r="399" spans="18:32" s="14" customFormat="1" x14ac:dyDescent="0.25">
      <c r="R399" s="11"/>
      <c r="S399" s="11"/>
      <c r="T399" s="11"/>
      <c r="V399" s="70"/>
      <c r="W399" s="70"/>
      <c r="X399" s="70"/>
      <c r="Y399" s="70"/>
      <c r="Z399" s="70"/>
      <c r="AA399" s="70"/>
      <c r="AB399" s="70"/>
      <c r="AC399" s="70"/>
      <c r="AD399" s="70"/>
      <c r="AE399" s="70"/>
      <c r="AF399" s="70"/>
    </row>
    <row r="400" spans="18:32" s="14" customFormat="1" x14ac:dyDescent="0.25">
      <c r="R400" s="11"/>
      <c r="S400" s="11"/>
      <c r="T400" s="11"/>
      <c r="V400" s="70"/>
      <c r="W400" s="70"/>
      <c r="X400" s="70"/>
      <c r="Y400" s="70"/>
      <c r="Z400" s="70"/>
      <c r="AA400" s="70"/>
      <c r="AB400" s="70"/>
      <c r="AC400" s="70"/>
      <c r="AD400" s="70"/>
      <c r="AE400" s="70"/>
      <c r="AF400" s="70"/>
    </row>
    <row r="401" spans="18:32" s="14" customFormat="1" x14ac:dyDescent="0.25">
      <c r="R401" s="11"/>
      <c r="S401" s="11"/>
      <c r="T401" s="11"/>
      <c r="V401" s="70"/>
      <c r="W401" s="70"/>
      <c r="X401" s="70"/>
      <c r="Y401" s="70"/>
      <c r="Z401" s="70"/>
      <c r="AA401" s="70"/>
      <c r="AB401" s="70"/>
      <c r="AC401" s="70"/>
      <c r="AD401" s="70"/>
      <c r="AE401" s="70"/>
      <c r="AF401" s="70"/>
    </row>
    <row r="402" spans="18:32" s="14" customFormat="1" x14ac:dyDescent="0.25">
      <c r="R402" s="11"/>
      <c r="S402" s="11"/>
      <c r="T402" s="11"/>
      <c r="V402" s="70"/>
      <c r="W402" s="70"/>
      <c r="X402" s="70"/>
      <c r="Y402" s="70"/>
      <c r="Z402" s="70"/>
      <c r="AA402" s="70"/>
      <c r="AB402" s="70"/>
      <c r="AC402" s="70"/>
      <c r="AD402" s="70"/>
      <c r="AE402" s="70"/>
      <c r="AF402" s="70"/>
    </row>
    <row r="403" spans="18:32" s="14" customFormat="1" x14ac:dyDescent="0.25">
      <c r="R403" s="11"/>
      <c r="S403" s="11"/>
      <c r="T403" s="11"/>
      <c r="V403" s="70"/>
      <c r="W403" s="70"/>
      <c r="X403" s="70"/>
      <c r="Y403" s="70"/>
      <c r="Z403" s="70"/>
      <c r="AA403" s="70"/>
      <c r="AB403" s="70"/>
      <c r="AC403" s="70"/>
      <c r="AD403" s="70"/>
      <c r="AE403" s="70"/>
      <c r="AF403" s="70"/>
    </row>
    <row r="404" spans="18:32" s="14" customFormat="1" x14ac:dyDescent="0.25">
      <c r="R404" s="11"/>
      <c r="S404" s="11"/>
      <c r="T404" s="11"/>
      <c r="V404" s="70"/>
      <c r="W404" s="70"/>
      <c r="X404" s="70"/>
      <c r="Y404" s="70"/>
      <c r="Z404" s="70"/>
      <c r="AA404" s="70"/>
      <c r="AB404" s="70"/>
      <c r="AC404" s="70"/>
      <c r="AD404" s="70"/>
      <c r="AE404" s="70"/>
      <c r="AF404" s="70"/>
    </row>
    <row r="405" spans="18:32" s="14" customFormat="1" x14ac:dyDescent="0.25">
      <c r="R405" s="11"/>
      <c r="S405" s="11"/>
      <c r="T405" s="11"/>
      <c r="V405" s="70"/>
      <c r="W405" s="70"/>
      <c r="X405" s="70"/>
      <c r="Y405" s="70"/>
      <c r="Z405" s="70"/>
      <c r="AA405" s="70"/>
      <c r="AB405" s="70"/>
      <c r="AC405" s="70"/>
      <c r="AD405" s="70"/>
      <c r="AE405" s="70"/>
      <c r="AF405" s="70"/>
    </row>
    <row r="406" spans="18:32" s="14" customFormat="1" x14ac:dyDescent="0.25">
      <c r="R406" s="11"/>
      <c r="S406" s="11"/>
      <c r="T406" s="11"/>
      <c r="V406" s="70"/>
      <c r="W406" s="70"/>
      <c r="X406" s="70"/>
      <c r="Y406" s="70"/>
      <c r="Z406" s="70"/>
      <c r="AA406" s="70"/>
      <c r="AB406" s="70"/>
      <c r="AC406" s="70"/>
      <c r="AD406" s="70"/>
      <c r="AE406" s="70"/>
      <c r="AF406" s="70"/>
    </row>
    <row r="407" spans="18:32" s="14" customFormat="1" x14ac:dyDescent="0.25">
      <c r="R407" s="11"/>
      <c r="S407" s="11"/>
      <c r="T407" s="11"/>
      <c r="V407" s="70"/>
      <c r="W407" s="70"/>
      <c r="X407" s="70"/>
      <c r="Y407" s="70"/>
      <c r="Z407" s="70"/>
      <c r="AA407" s="70"/>
      <c r="AB407" s="70"/>
      <c r="AC407" s="70"/>
      <c r="AD407" s="70"/>
      <c r="AE407" s="70"/>
      <c r="AF407" s="70"/>
    </row>
    <row r="408" spans="18:32" s="14" customFormat="1" x14ac:dyDescent="0.25">
      <c r="R408" s="11"/>
      <c r="S408" s="11"/>
      <c r="T408" s="11"/>
      <c r="V408" s="70"/>
      <c r="W408" s="70"/>
      <c r="X408" s="70"/>
      <c r="Y408" s="70"/>
      <c r="Z408" s="70"/>
      <c r="AA408" s="70"/>
      <c r="AB408" s="70"/>
      <c r="AC408" s="70"/>
      <c r="AD408" s="70"/>
      <c r="AE408" s="70"/>
      <c r="AF408" s="70"/>
    </row>
    <row r="409" spans="18:32" s="14" customFormat="1" x14ac:dyDescent="0.25">
      <c r="R409" s="11"/>
      <c r="S409" s="11"/>
      <c r="T409" s="11"/>
      <c r="V409" s="70"/>
      <c r="W409" s="70"/>
      <c r="X409" s="70"/>
      <c r="Y409" s="70"/>
      <c r="Z409" s="70"/>
      <c r="AA409" s="70"/>
      <c r="AB409" s="70"/>
      <c r="AC409" s="70"/>
      <c r="AD409" s="70"/>
      <c r="AE409" s="70"/>
      <c r="AF409" s="70"/>
    </row>
    <row r="410" spans="18:32" s="14" customFormat="1" x14ac:dyDescent="0.25">
      <c r="R410" s="11"/>
      <c r="S410" s="11"/>
      <c r="T410" s="11"/>
      <c r="V410" s="70"/>
      <c r="W410" s="70"/>
      <c r="X410" s="70"/>
      <c r="Y410" s="70"/>
      <c r="Z410" s="70"/>
      <c r="AA410" s="70"/>
      <c r="AB410" s="70"/>
      <c r="AC410" s="70"/>
      <c r="AD410" s="70"/>
      <c r="AE410" s="70"/>
      <c r="AF410" s="70"/>
    </row>
    <row r="411" spans="18:32" s="14" customFormat="1" x14ac:dyDescent="0.25">
      <c r="R411" s="11"/>
      <c r="S411" s="11"/>
      <c r="T411" s="11"/>
      <c r="V411" s="70"/>
      <c r="W411" s="70"/>
      <c r="X411" s="70"/>
      <c r="Y411" s="70"/>
      <c r="Z411" s="70"/>
      <c r="AA411" s="70"/>
      <c r="AB411" s="70"/>
      <c r="AC411" s="70"/>
      <c r="AD411" s="70"/>
      <c r="AE411" s="70"/>
      <c r="AF411" s="70"/>
    </row>
    <row r="412" spans="18:32" s="14" customFormat="1" x14ac:dyDescent="0.25">
      <c r="R412" s="11"/>
      <c r="S412" s="11"/>
      <c r="T412" s="11"/>
      <c r="V412" s="70"/>
      <c r="W412" s="70"/>
      <c r="X412" s="70"/>
      <c r="Y412" s="70"/>
      <c r="Z412" s="70"/>
      <c r="AA412" s="70"/>
      <c r="AB412" s="70"/>
      <c r="AC412" s="70"/>
      <c r="AD412" s="70"/>
      <c r="AE412" s="70"/>
      <c r="AF412" s="70"/>
    </row>
    <row r="413" spans="18:32" s="14" customFormat="1" x14ac:dyDescent="0.25">
      <c r="R413" s="11"/>
      <c r="S413" s="11"/>
      <c r="T413" s="11"/>
      <c r="V413" s="70"/>
      <c r="W413" s="70"/>
      <c r="X413" s="70"/>
      <c r="Y413" s="70"/>
      <c r="Z413" s="70"/>
      <c r="AA413" s="70"/>
      <c r="AB413" s="70"/>
      <c r="AC413" s="70"/>
      <c r="AD413" s="70"/>
      <c r="AE413" s="70"/>
      <c r="AF413" s="70"/>
    </row>
    <row r="414" spans="18:32" s="14" customFormat="1" x14ac:dyDescent="0.25">
      <c r="R414" s="11"/>
      <c r="S414" s="11"/>
      <c r="T414" s="11"/>
      <c r="V414" s="70"/>
      <c r="W414" s="70"/>
      <c r="X414" s="70"/>
      <c r="Y414" s="70"/>
      <c r="Z414" s="70"/>
      <c r="AA414" s="70"/>
      <c r="AB414" s="70"/>
      <c r="AC414" s="70"/>
      <c r="AD414" s="70"/>
      <c r="AE414" s="70"/>
      <c r="AF414" s="70"/>
    </row>
    <row r="415" spans="18:32" s="14" customFormat="1" x14ac:dyDescent="0.25">
      <c r="R415" s="11"/>
      <c r="S415" s="11"/>
      <c r="T415" s="11"/>
      <c r="V415" s="70"/>
      <c r="W415" s="70"/>
      <c r="X415" s="70"/>
      <c r="Y415" s="70"/>
      <c r="Z415" s="70"/>
      <c r="AA415" s="70"/>
      <c r="AB415" s="70"/>
      <c r="AC415" s="70"/>
      <c r="AD415" s="70"/>
      <c r="AE415" s="70"/>
      <c r="AF415" s="70"/>
    </row>
    <row r="416" spans="18:32" s="14" customFormat="1" x14ac:dyDescent="0.25">
      <c r="R416" s="11"/>
      <c r="S416" s="11"/>
      <c r="T416" s="11"/>
      <c r="V416" s="70"/>
      <c r="W416" s="70"/>
      <c r="X416" s="70"/>
      <c r="Y416" s="70"/>
      <c r="Z416" s="70"/>
      <c r="AA416" s="70"/>
      <c r="AB416" s="70"/>
      <c r="AC416" s="70"/>
      <c r="AD416" s="70"/>
      <c r="AE416" s="70"/>
      <c r="AF416" s="70"/>
    </row>
    <row r="417" spans="18:32" s="14" customFormat="1" x14ac:dyDescent="0.25">
      <c r="R417" s="11"/>
      <c r="S417" s="11"/>
      <c r="T417" s="11"/>
      <c r="V417" s="70"/>
      <c r="W417" s="70"/>
      <c r="X417" s="70"/>
      <c r="Y417" s="70"/>
      <c r="Z417" s="70"/>
      <c r="AA417" s="70"/>
      <c r="AB417" s="70"/>
      <c r="AC417" s="70"/>
      <c r="AD417" s="70"/>
      <c r="AE417" s="70"/>
      <c r="AF417" s="70"/>
    </row>
    <row r="418" spans="18:32" s="14" customFormat="1" x14ac:dyDescent="0.25">
      <c r="R418" s="11"/>
      <c r="S418" s="11"/>
      <c r="T418" s="11"/>
      <c r="V418" s="70"/>
      <c r="W418" s="70"/>
      <c r="X418" s="70"/>
      <c r="Y418" s="70"/>
      <c r="Z418" s="70"/>
      <c r="AA418" s="70"/>
      <c r="AB418" s="70"/>
      <c r="AC418" s="70"/>
      <c r="AD418" s="70"/>
      <c r="AE418" s="70"/>
      <c r="AF418" s="70"/>
    </row>
    <row r="419" spans="18:32" s="14" customFormat="1" x14ac:dyDescent="0.25">
      <c r="R419" s="11"/>
      <c r="S419" s="11"/>
      <c r="T419" s="11"/>
      <c r="V419" s="70"/>
      <c r="W419" s="70"/>
      <c r="X419" s="70"/>
      <c r="Y419" s="70"/>
      <c r="Z419" s="70"/>
      <c r="AA419" s="70"/>
      <c r="AB419" s="70"/>
      <c r="AC419" s="70"/>
      <c r="AD419" s="70"/>
      <c r="AE419" s="70"/>
      <c r="AF419" s="70"/>
    </row>
    <row r="420" spans="18:32" s="14" customFormat="1" x14ac:dyDescent="0.25">
      <c r="R420" s="11"/>
      <c r="S420" s="11"/>
      <c r="T420" s="11"/>
      <c r="V420" s="70"/>
      <c r="W420" s="70"/>
      <c r="X420" s="70"/>
      <c r="Y420" s="70"/>
      <c r="Z420" s="70"/>
      <c r="AA420" s="70"/>
      <c r="AB420" s="70"/>
      <c r="AC420" s="70"/>
      <c r="AD420" s="70"/>
      <c r="AE420" s="70"/>
      <c r="AF420" s="70"/>
    </row>
    <row r="421" spans="18:32" s="14" customFormat="1" x14ac:dyDescent="0.25">
      <c r="R421" s="11"/>
      <c r="S421" s="11"/>
      <c r="T421" s="11"/>
      <c r="V421" s="70"/>
      <c r="W421" s="70"/>
      <c r="X421" s="70"/>
      <c r="Y421" s="70"/>
      <c r="Z421" s="70"/>
      <c r="AA421" s="70"/>
      <c r="AB421" s="70"/>
      <c r="AC421" s="70"/>
      <c r="AD421" s="70"/>
      <c r="AE421" s="70"/>
      <c r="AF421" s="70"/>
    </row>
    <row r="422" spans="18:32" s="14" customFormat="1" x14ac:dyDescent="0.25">
      <c r="R422" s="11"/>
      <c r="S422" s="11"/>
      <c r="T422" s="11"/>
      <c r="V422" s="70"/>
      <c r="W422" s="70"/>
      <c r="X422" s="70"/>
      <c r="Y422" s="70"/>
      <c r="Z422" s="70"/>
      <c r="AA422" s="70"/>
      <c r="AB422" s="70"/>
      <c r="AC422" s="70"/>
      <c r="AD422" s="70"/>
      <c r="AE422" s="70"/>
      <c r="AF422" s="70"/>
    </row>
    <row r="423" spans="18:32" s="14" customFormat="1" x14ac:dyDescent="0.25">
      <c r="R423" s="11"/>
      <c r="S423" s="11"/>
      <c r="T423" s="11"/>
      <c r="V423" s="70"/>
      <c r="W423" s="70"/>
      <c r="X423" s="70"/>
      <c r="Y423" s="70"/>
      <c r="Z423" s="70"/>
      <c r="AA423" s="70"/>
      <c r="AB423" s="70"/>
      <c r="AC423" s="70"/>
      <c r="AD423" s="70"/>
      <c r="AE423" s="70"/>
      <c r="AF423" s="70"/>
    </row>
    <row r="424" spans="18:32" s="14" customFormat="1" x14ac:dyDescent="0.25">
      <c r="R424" s="11"/>
      <c r="S424" s="11"/>
      <c r="T424" s="11"/>
      <c r="V424" s="70"/>
      <c r="W424" s="70"/>
      <c r="X424" s="70"/>
      <c r="Y424" s="70"/>
      <c r="Z424" s="70"/>
      <c r="AA424" s="70"/>
      <c r="AB424" s="70"/>
      <c r="AC424" s="70"/>
      <c r="AD424" s="70"/>
      <c r="AE424" s="70"/>
      <c r="AF424" s="70"/>
    </row>
    <row r="425" spans="18:32" s="14" customFormat="1" x14ac:dyDescent="0.25">
      <c r="R425" s="11"/>
      <c r="S425" s="11"/>
      <c r="T425" s="11"/>
      <c r="V425" s="70"/>
      <c r="W425" s="70"/>
      <c r="X425" s="70"/>
      <c r="Y425" s="70"/>
      <c r="Z425" s="70"/>
      <c r="AA425" s="70"/>
      <c r="AB425" s="70"/>
      <c r="AC425" s="70"/>
      <c r="AD425" s="70"/>
      <c r="AE425" s="70"/>
      <c r="AF425" s="70"/>
    </row>
    <row r="426" spans="18:32" s="14" customFormat="1" x14ac:dyDescent="0.25">
      <c r="R426" s="11"/>
      <c r="S426" s="11"/>
      <c r="T426" s="11"/>
      <c r="V426" s="70"/>
      <c r="W426" s="70"/>
      <c r="X426" s="70"/>
      <c r="Y426" s="70"/>
      <c r="Z426" s="70"/>
      <c r="AA426" s="70"/>
      <c r="AB426" s="70"/>
      <c r="AC426" s="70"/>
      <c r="AD426" s="70"/>
      <c r="AE426" s="70"/>
      <c r="AF426" s="70"/>
    </row>
    <row r="427" spans="18:32" s="14" customFormat="1" x14ac:dyDescent="0.25">
      <c r="R427" s="11"/>
      <c r="S427" s="11"/>
      <c r="T427" s="11"/>
      <c r="V427" s="70"/>
      <c r="W427" s="70"/>
      <c r="X427" s="70"/>
      <c r="Y427" s="70"/>
      <c r="Z427" s="70"/>
      <c r="AA427" s="70"/>
      <c r="AB427" s="70"/>
      <c r="AC427" s="70"/>
      <c r="AD427" s="70"/>
      <c r="AE427" s="70"/>
      <c r="AF427" s="70"/>
    </row>
    <row r="428" spans="18:32" s="14" customFormat="1" x14ac:dyDescent="0.25">
      <c r="R428" s="11"/>
      <c r="S428" s="11"/>
      <c r="T428" s="11"/>
      <c r="V428" s="70"/>
      <c r="W428" s="70"/>
      <c r="X428" s="70"/>
      <c r="Y428" s="70"/>
      <c r="Z428" s="70"/>
      <c r="AA428" s="70"/>
      <c r="AB428" s="70"/>
      <c r="AC428" s="70"/>
      <c r="AD428" s="70"/>
      <c r="AE428" s="70"/>
      <c r="AF428" s="70"/>
    </row>
    <row r="429" spans="18:32" s="14" customFormat="1" x14ac:dyDescent="0.25">
      <c r="R429" s="11"/>
      <c r="S429" s="11"/>
      <c r="T429" s="11"/>
      <c r="V429" s="70"/>
      <c r="W429" s="70"/>
      <c r="X429" s="70"/>
      <c r="Y429" s="70"/>
      <c r="Z429" s="70"/>
      <c r="AA429" s="70"/>
      <c r="AB429" s="70"/>
      <c r="AC429" s="70"/>
      <c r="AD429" s="70"/>
      <c r="AE429" s="70"/>
      <c r="AF429" s="70"/>
    </row>
    <row r="430" spans="18:32" s="14" customFormat="1" x14ac:dyDescent="0.25">
      <c r="R430" s="11"/>
      <c r="S430" s="11"/>
      <c r="T430" s="11"/>
      <c r="V430" s="70"/>
      <c r="W430" s="70"/>
      <c r="X430" s="70"/>
      <c r="Y430" s="70"/>
      <c r="Z430" s="70"/>
      <c r="AA430" s="70"/>
      <c r="AB430" s="70"/>
      <c r="AC430" s="70"/>
      <c r="AD430" s="70"/>
      <c r="AE430" s="70"/>
      <c r="AF430" s="70"/>
    </row>
    <row r="431" spans="18:32" s="14" customFormat="1" x14ac:dyDescent="0.25">
      <c r="R431" s="11"/>
      <c r="S431" s="11"/>
      <c r="T431" s="11"/>
      <c r="V431" s="70"/>
      <c r="W431" s="70"/>
      <c r="X431" s="70"/>
      <c r="Y431" s="70"/>
      <c r="Z431" s="70"/>
      <c r="AA431" s="70"/>
      <c r="AB431" s="70"/>
      <c r="AC431" s="70"/>
      <c r="AD431" s="70"/>
      <c r="AE431" s="70"/>
      <c r="AF431" s="70"/>
    </row>
    <row r="432" spans="18:32" s="14" customFormat="1" x14ac:dyDescent="0.25">
      <c r="R432" s="11"/>
      <c r="S432" s="11"/>
      <c r="T432" s="11"/>
      <c r="V432" s="70"/>
      <c r="W432" s="70"/>
      <c r="X432" s="70"/>
      <c r="Y432" s="70"/>
      <c r="Z432" s="70"/>
      <c r="AA432" s="70"/>
      <c r="AB432" s="70"/>
      <c r="AC432" s="70"/>
      <c r="AD432" s="70"/>
      <c r="AE432" s="70"/>
      <c r="AF432" s="70"/>
    </row>
    <row r="433" spans="18:32" s="14" customFormat="1" x14ac:dyDescent="0.25">
      <c r="R433" s="11"/>
      <c r="S433" s="11"/>
      <c r="T433" s="11"/>
      <c r="V433" s="70"/>
      <c r="W433" s="70"/>
      <c r="X433" s="70"/>
      <c r="Y433" s="70"/>
      <c r="Z433" s="70"/>
      <c r="AA433" s="70"/>
      <c r="AB433" s="70"/>
      <c r="AC433" s="70"/>
      <c r="AD433" s="70"/>
      <c r="AE433" s="70"/>
      <c r="AF433" s="70"/>
    </row>
    <row r="434" spans="18:32" s="14" customFormat="1" x14ac:dyDescent="0.25">
      <c r="R434" s="11"/>
      <c r="S434" s="11"/>
      <c r="T434" s="11"/>
      <c r="V434" s="70"/>
      <c r="W434" s="70"/>
      <c r="X434" s="70"/>
      <c r="Y434" s="70"/>
      <c r="Z434" s="70"/>
      <c r="AA434" s="70"/>
      <c r="AB434" s="70"/>
      <c r="AC434" s="70"/>
      <c r="AD434" s="70"/>
      <c r="AE434" s="70"/>
      <c r="AF434" s="70"/>
    </row>
    <row r="435" spans="18:32" s="14" customFormat="1" x14ac:dyDescent="0.25">
      <c r="R435" s="11"/>
      <c r="S435" s="11"/>
      <c r="T435" s="11"/>
      <c r="V435" s="70"/>
      <c r="W435" s="70"/>
      <c r="X435" s="70"/>
      <c r="Y435" s="70"/>
      <c r="Z435" s="70"/>
      <c r="AA435" s="70"/>
      <c r="AB435" s="70"/>
      <c r="AC435" s="70"/>
      <c r="AD435" s="70"/>
      <c r="AE435" s="70"/>
      <c r="AF435" s="70"/>
    </row>
    <row r="436" spans="18:32" s="14" customFormat="1" x14ac:dyDescent="0.25">
      <c r="R436" s="11"/>
      <c r="S436" s="11"/>
      <c r="T436" s="11"/>
      <c r="V436" s="70"/>
      <c r="W436" s="70"/>
      <c r="X436" s="70"/>
      <c r="Y436" s="70"/>
      <c r="Z436" s="70"/>
      <c r="AA436" s="70"/>
      <c r="AB436" s="70"/>
      <c r="AC436" s="70"/>
      <c r="AD436" s="70"/>
      <c r="AE436" s="70"/>
      <c r="AF436" s="70"/>
    </row>
    <row r="437" spans="18:32" s="14" customFormat="1" x14ac:dyDescent="0.25">
      <c r="R437" s="11"/>
      <c r="S437" s="11"/>
      <c r="T437" s="11"/>
      <c r="V437" s="70"/>
      <c r="W437" s="70"/>
      <c r="X437" s="70"/>
      <c r="Y437" s="70"/>
      <c r="Z437" s="70"/>
      <c r="AA437" s="70"/>
      <c r="AB437" s="70"/>
      <c r="AC437" s="70"/>
      <c r="AD437" s="70"/>
      <c r="AE437" s="70"/>
      <c r="AF437" s="70"/>
    </row>
    <row r="438" spans="18:32" s="14" customFormat="1" x14ac:dyDescent="0.25">
      <c r="R438" s="11"/>
      <c r="S438" s="11"/>
      <c r="T438" s="11"/>
      <c r="V438" s="70"/>
      <c r="W438" s="70"/>
      <c r="X438" s="70"/>
      <c r="Y438" s="70"/>
      <c r="Z438" s="70"/>
      <c r="AA438" s="70"/>
      <c r="AB438" s="70"/>
      <c r="AC438" s="70"/>
      <c r="AD438" s="70"/>
      <c r="AE438" s="70"/>
      <c r="AF438" s="70"/>
    </row>
    <row r="439" spans="18:32" s="14" customFormat="1" x14ac:dyDescent="0.25">
      <c r="R439" s="11"/>
      <c r="S439" s="11"/>
      <c r="T439" s="11"/>
      <c r="V439" s="70"/>
      <c r="W439" s="70"/>
      <c r="X439" s="70"/>
      <c r="Y439" s="70"/>
      <c r="Z439" s="70"/>
      <c r="AA439" s="70"/>
      <c r="AB439" s="70"/>
      <c r="AC439" s="70"/>
      <c r="AD439" s="70"/>
      <c r="AE439" s="70"/>
      <c r="AF439" s="70"/>
    </row>
    <row r="440" spans="18:32" s="14" customFormat="1" x14ac:dyDescent="0.25">
      <c r="R440" s="11"/>
      <c r="S440" s="11"/>
      <c r="T440" s="11"/>
      <c r="V440" s="70"/>
      <c r="W440" s="70"/>
      <c r="X440" s="70"/>
      <c r="Y440" s="70"/>
      <c r="Z440" s="70"/>
      <c r="AA440" s="70"/>
      <c r="AB440" s="70"/>
      <c r="AC440" s="70"/>
      <c r="AD440" s="70"/>
      <c r="AE440" s="70"/>
      <c r="AF440" s="70"/>
    </row>
    <row r="441" spans="18:32" s="14" customFormat="1" x14ac:dyDescent="0.25">
      <c r="R441" s="11"/>
      <c r="S441" s="11"/>
      <c r="T441" s="11"/>
      <c r="V441" s="70"/>
      <c r="W441" s="70"/>
      <c r="X441" s="70"/>
      <c r="Y441" s="70"/>
      <c r="Z441" s="70"/>
      <c r="AA441" s="70"/>
      <c r="AB441" s="70"/>
      <c r="AC441" s="70"/>
      <c r="AD441" s="70"/>
      <c r="AE441" s="70"/>
      <c r="AF441" s="70"/>
    </row>
  </sheetData>
  <mergeCells count="1">
    <mergeCell ref="A1:AF1"/>
  </mergeCells>
  <pageMargins left="0.70866141732283472" right="0.70866141732283472" top="0.74803149606299213" bottom="0.74803149606299213" header="0.31496062992125984" footer="0.31496062992125984"/>
  <pageSetup scale="65" orientation="landscape" horizontalDpi="0" verticalDpi="0" r:id="rId1"/>
  <colBreaks count="1" manualBreakCount="1">
    <brk id="32" max="1048575" man="1"/>
  </colBreaks>
  <ignoredErrors>
    <ignoredError sqref="AC16:AD16 V34:AE34"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Edu</vt:lpstr>
      <vt:lpstr>Edu!Print_Area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2021-12-13T21:38:58Z</cp:lastPrinted>
  <dcterms:created xsi:type="dcterms:W3CDTF">2019-05-14T08:05:18Z</dcterms:created>
  <dcterms:modified xsi:type="dcterms:W3CDTF">2021-12-13T22:18:03Z</dcterms:modified>
</cp:coreProperties>
</file>