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Annual nationa accounts" sheetId="23" r:id="rId1"/>
  </sheets>
  <externalReferences>
    <externalReference r:id="rId2"/>
  </externalReferences>
  <definedNames>
    <definedName name="_xlnm.Print_Area" localSheetId="0">'Annual nationa accounts'!$A$1:$L$34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23" l="1"/>
  <c r="K13" i="23"/>
  <c r="J13" i="23"/>
  <c r="I13" i="23"/>
  <c r="H13" i="23"/>
  <c r="G13" i="23"/>
  <c r="F13" i="23"/>
  <c r="E13" i="23"/>
  <c r="D13" i="23"/>
  <c r="C13" i="23"/>
  <c r="B13" i="23"/>
  <c r="BE18" i="23"/>
  <c r="BD18" i="23"/>
  <c r="BC18" i="23"/>
  <c r="BB18" i="23"/>
  <c r="BA18" i="23"/>
  <c r="AZ18" i="23"/>
  <c r="AY18" i="23"/>
  <c r="AX18" i="23"/>
  <c r="AW18" i="23"/>
  <c r="AV18" i="23"/>
  <c r="AU18" i="23"/>
  <c r="BL17" i="23"/>
  <c r="BK17" i="23"/>
  <c r="BJ17" i="23"/>
  <c r="BI17" i="23"/>
  <c r="BH17" i="23"/>
  <c r="BG17" i="23"/>
  <c r="BH18" i="23" s="1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BK18" i="23" l="1"/>
  <c r="BF18" i="23"/>
  <c r="BL18" i="23"/>
  <c r="BI18" i="23"/>
  <c r="BJ18" i="23"/>
  <c r="BG18" i="23"/>
</calcChain>
</file>

<file path=xl/sharedStrings.xml><?xml version="1.0" encoding="utf-8"?>
<sst xmlns="http://schemas.openxmlformats.org/spreadsheetml/2006/main" count="18" uniqueCount="18">
  <si>
    <t xml:space="preserve">NATIONAL ACCOUNTS </t>
  </si>
  <si>
    <t>(Gross Domestic Product - G.D.P at market prices)</t>
  </si>
  <si>
    <t>G.D.P at 2014 Constant Prices ( million MVR)</t>
  </si>
  <si>
    <t>G.D.P at 2014 Constant Prices (million US$)</t>
  </si>
  <si>
    <t>G.D.P Growth Rates</t>
  </si>
  <si>
    <t xml:space="preserve">G.D.P  </t>
  </si>
  <si>
    <t>GDP per Capita at 2014 Constant prices (MVR)</t>
  </si>
  <si>
    <t xml:space="preserve"> Growth Rates</t>
  </si>
  <si>
    <t>GDP per Capita at 2014 Constant Prices (US$)</t>
  </si>
  <si>
    <r>
      <t>GDP at  Current Prices (million US$)</t>
    </r>
    <r>
      <rPr>
        <vertAlign val="superscript"/>
        <sz val="11"/>
        <rFont val="Calibri"/>
        <family val="2"/>
        <scheme val="minor"/>
      </rPr>
      <t xml:space="preserve"> </t>
    </r>
  </si>
  <si>
    <t>GDP at  Current Prices (million MVR)</t>
  </si>
  <si>
    <t>GDP per Capita at Current Prices (MVR)</t>
  </si>
  <si>
    <t>GDP per Capita at Current Prices (US$)</t>
  </si>
  <si>
    <t>1_/ Revised on 29th September 2020</t>
  </si>
  <si>
    <t>2_/ Revised on 27th September 2021</t>
  </si>
  <si>
    <r>
      <t>2017</t>
    </r>
    <r>
      <rPr>
        <b/>
        <vertAlign val="superscript"/>
        <sz val="12"/>
        <rFont val="Calibri"/>
        <family val="2"/>
        <scheme val="minor"/>
      </rPr>
      <t>1_/</t>
    </r>
  </si>
  <si>
    <r>
      <t>2018</t>
    </r>
    <r>
      <rPr>
        <b/>
        <vertAlign val="superscript"/>
        <sz val="12"/>
        <rFont val="Calibri"/>
        <family val="2"/>
        <scheme val="minor"/>
      </rPr>
      <t>2_/</t>
    </r>
  </si>
  <si>
    <r>
      <t>2019</t>
    </r>
    <r>
      <rPr>
        <b/>
        <vertAlign val="superscript"/>
        <sz val="12"/>
        <rFont val="Calibri"/>
        <family val="2"/>
        <scheme val="minor"/>
      </rPr>
      <t>2_/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</si>
</sst>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8" formatCode="#,##0.0"/>
    <numFmt numFmtId="169" formatCode="General_)"/>
    <numFmt numFmtId="171" formatCode="0.0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name val="Calibri"/>
      <family val="2"/>
    </font>
    <font>
      <sz val="10"/>
      <name val="Candara"/>
      <family val="2"/>
    </font>
    <font>
      <b/>
      <sz val="9"/>
      <color rgb="FFFF0000"/>
      <name val="Arial"/>
      <family val="2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</font>
    <font>
      <vertAlign val="superscript"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sz val="12"/>
      <name val="Calibri"/>
      <family val="2"/>
    </font>
    <font>
      <b/>
      <sz val="12"/>
      <color theme="0"/>
      <name val="Candara"/>
      <family val="2"/>
    </font>
    <font>
      <b/>
      <sz val="22"/>
      <color theme="0"/>
      <name val="Candara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6" fillId="0" borderId="0"/>
    <xf numFmtId="43" fontId="11" fillId="0" borderId="0" applyFont="0" applyFill="0" applyBorder="0" applyAlignment="0" applyProtection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6" fillId="4" borderId="0" applyNumberFormat="0" applyBorder="0" applyAlignment="0" applyProtection="0"/>
    <xf numFmtId="0" fontId="17" fillId="21" borderId="1" applyNumberFormat="0" applyAlignment="0" applyProtection="0"/>
    <xf numFmtId="0" fontId="18" fillId="22" borderId="2" applyNumberFormat="0" applyAlignment="0" applyProtection="0"/>
    <xf numFmtId="40" fontId="1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1" applyNumberFormat="0" applyAlignment="0" applyProtection="0"/>
    <xf numFmtId="0" fontId="25" fillId="0" borderId="6" applyNumberFormat="0" applyFill="0" applyAlignment="0" applyProtection="0"/>
    <xf numFmtId="0" fontId="26" fillId="23" borderId="0" applyNumberFormat="0" applyBorder="0" applyAlignment="0" applyProtection="0"/>
    <xf numFmtId="171" fontId="13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169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4" fillId="24" borderId="7" applyNumberFormat="0" applyFont="0" applyAlignment="0" applyProtection="0"/>
    <xf numFmtId="0" fontId="27" fillId="21" borderId="8" applyNumberFormat="0" applyAlignment="0" applyProtection="0"/>
    <xf numFmtId="9" fontId="1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29" fillId="0" borderId="0" applyNumberFormat="0" applyFill="0" applyBorder="0" applyAlignment="0" applyProtection="0"/>
    <xf numFmtId="169" fontId="6" fillId="0" borderId="0"/>
    <xf numFmtId="169" fontId="6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169" fontId="6" fillId="0" borderId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</cellStyleXfs>
  <cellXfs count="46">
    <xf numFmtId="0" fontId="0" fillId="0" borderId="0" xfId="0"/>
    <xf numFmtId="0" fontId="2" fillId="2" borderId="0" xfId="71" applyFont="1" applyFill="1"/>
    <xf numFmtId="0" fontId="2" fillId="0" borderId="0" xfId="71" applyFont="1" applyFill="1"/>
    <xf numFmtId="0" fontId="31" fillId="2" borderId="0" xfId="71" applyFont="1" applyFill="1" applyAlignment="1">
      <alignment vertical="center"/>
    </xf>
    <xf numFmtId="0" fontId="30" fillId="2" borderId="0" xfId="71" applyFont="1" applyFill="1" applyAlignment="1">
      <alignment horizontal="right" vertical="center"/>
    </xf>
    <xf numFmtId="0" fontId="7" fillId="2" borderId="0" xfId="71" applyFont="1" applyFill="1" applyAlignment="1">
      <alignment horizontal="right"/>
    </xf>
    <xf numFmtId="0" fontId="2" fillId="25" borderId="0" xfId="71" applyFont="1" applyFill="1"/>
    <xf numFmtId="0" fontId="5" fillId="2" borderId="0" xfId="71" applyFont="1" applyFill="1" applyAlignment="1">
      <alignment vertical="center"/>
    </xf>
    <xf numFmtId="0" fontId="9" fillId="2" borderId="0" xfId="71" applyFont="1" applyFill="1"/>
    <xf numFmtId="0" fontId="9" fillId="25" borderId="0" xfId="71" applyFont="1" applyFill="1"/>
    <xf numFmtId="0" fontId="8" fillId="2" borderId="0" xfId="71" applyFont="1" applyFill="1"/>
    <xf numFmtId="0" fontId="9" fillId="0" borderId="0" xfId="71" applyFont="1" applyFill="1"/>
    <xf numFmtId="0" fontId="8" fillId="2" borderId="0" xfId="71" applyFont="1" applyFill="1" applyAlignment="1">
      <alignment horizontal="right" vertical="center"/>
    </xf>
    <xf numFmtId="3" fontId="32" fillId="2" borderId="0" xfId="71" applyNumberFormat="1" applyFont="1" applyFill="1" applyAlignment="1">
      <alignment vertical="center"/>
    </xf>
    <xf numFmtId="168" fontId="32" fillId="2" borderId="0" xfId="71" applyNumberFormat="1" applyFont="1" applyFill="1" applyAlignment="1">
      <alignment vertical="center"/>
    </xf>
    <xf numFmtId="0" fontId="9" fillId="26" borderId="0" xfId="71" applyFont="1" applyFill="1"/>
    <xf numFmtId="165" fontId="9" fillId="2" borderId="0" xfId="71" applyNumberFormat="1" applyFont="1" applyFill="1"/>
    <xf numFmtId="0" fontId="2" fillId="2" borderId="0" xfId="72" applyFill="1"/>
    <xf numFmtId="0" fontId="2" fillId="0" borderId="0" xfId="72"/>
    <xf numFmtId="169" fontId="7" fillId="2" borderId="0" xfId="70" applyFont="1" applyFill="1" applyBorder="1" applyAlignment="1" applyProtection="1">
      <alignment vertical="center"/>
    </xf>
    <xf numFmtId="169" fontId="3" fillId="2" borderId="0" xfId="70" applyFont="1" applyFill="1" applyAlignment="1">
      <alignment horizontal="left" vertical="center" indent="1"/>
    </xf>
    <xf numFmtId="3" fontId="37" fillId="28" borderId="0" xfId="1" applyNumberFormat="1" applyFont="1" applyFill="1" applyBorder="1" applyAlignment="1">
      <alignment horizontal="right" vertical="center"/>
    </xf>
    <xf numFmtId="0" fontId="40" fillId="27" borderId="0" xfId="4" applyFont="1" applyFill="1" applyAlignment="1">
      <alignment vertical="center"/>
    </xf>
    <xf numFmtId="0" fontId="35" fillId="2" borderId="0" xfId="71" applyFont="1" applyFill="1" applyAlignment="1">
      <alignment horizontal="right" vertical="center"/>
    </xf>
    <xf numFmtId="0" fontId="33" fillId="28" borderId="0" xfId="71" applyFont="1" applyFill="1" applyAlignment="1">
      <alignment vertical="center"/>
    </xf>
    <xf numFmtId="0" fontId="33" fillId="2" borderId="0" xfId="71" applyFont="1" applyFill="1" applyAlignment="1">
      <alignment horizontal="right" vertical="center"/>
    </xf>
    <xf numFmtId="3" fontId="37" fillId="28" borderId="0" xfId="71" applyNumberFormat="1" applyFont="1" applyFill="1" applyBorder="1" applyAlignment="1">
      <alignment horizontal="right" vertical="center"/>
    </xf>
    <xf numFmtId="3" fontId="37" fillId="2" borderId="0" xfId="71" applyNumberFormat="1" applyFont="1" applyFill="1" applyBorder="1" applyAlignment="1">
      <alignment horizontal="right" vertical="center"/>
    </xf>
    <xf numFmtId="168" fontId="37" fillId="28" borderId="0" xfId="71" applyNumberFormat="1" applyFont="1" applyFill="1" applyBorder="1" applyAlignment="1">
      <alignment horizontal="right" vertical="center"/>
    </xf>
    <xf numFmtId="3" fontId="37" fillId="2" borderId="0" xfId="1" applyNumberFormat="1" applyFont="1" applyFill="1" applyBorder="1" applyAlignment="1">
      <alignment horizontal="right" vertical="center"/>
    </xf>
    <xf numFmtId="166" fontId="35" fillId="2" borderId="0" xfId="1" applyNumberFormat="1" applyFont="1" applyFill="1" applyBorder="1" applyAlignment="1">
      <alignment horizontal="right" vertical="center"/>
    </xf>
    <xf numFmtId="165" fontId="39" fillId="2" borderId="0" xfId="72" applyNumberFormat="1" applyFont="1" applyFill="1" applyBorder="1" applyAlignment="1">
      <alignment horizontal="right"/>
    </xf>
    <xf numFmtId="0" fontId="34" fillId="2" borderId="0" xfId="72" applyFont="1" applyFill="1" applyBorder="1"/>
    <xf numFmtId="1" fontId="34" fillId="2" borderId="0" xfId="72" applyNumberFormat="1" applyFont="1" applyFill="1" applyBorder="1" applyAlignment="1">
      <alignment horizontal="right"/>
    </xf>
    <xf numFmtId="0" fontId="34" fillId="2" borderId="0" xfId="72" applyFont="1" applyFill="1" applyAlignment="1">
      <alignment horizontal="right"/>
    </xf>
    <xf numFmtId="0" fontId="34" fillId="2" borderId="0" xfId="72" applyFont="1" applyFill="1"/>
    <xf numFmtId="164" fontId="34" fillId="2" borderId="0" xfId="1" applyFont="1" applyFill="1" applyAlignment="1">
      <alignment horizontal="right"/>
    </xf>
    <xf numFmtId="1" fontId="34" fillId="2" borderId="0" xfId="72" applyNumberFormat="1" applyFont="1" applyFill="1" applyAlignment="1">
      <alignment horizontal="right"/>
    </xf>
    <xf numFmtId="1" fontId="34" fillId="2" borderId="0" xfId="72" applyNumberFormat="1" applyFont="1" applyFill="1"/>
    <xf numFmtId="3" fontId="34" fillId="2" borderId="0" xfId="72" applyNumberFormat="1" applyFont="1" applyFill="1" applyAlignment="1">
      <alignment horizontal="right"/>
    </xf>
    <xf numFmtId="0" fontId="34" fillId="0" borderId="0" xfId="72" applyFont="1" applyFill="1" applyAlignment="1">
      <alignment horizontal="right"/>
    </xf>
    <xf numFmtId="0" fontId="34" fillId="0" borderId="0" xfId="72" applyFont="1" applyFill="1"/>
    <xf numFmtId="0" fontId="5" fillId="28" borderId="0" xfId="71" applyFont="1" applyFill="1" applyAlignment="1">
      <alignment horizontal="left" vertical="center" indent="1"/>
    </xf>
    <xf numFmtId="0" fontId="5" fillId="2" borderId="0" xfId="71" applyFont="1" applyFill="1" applyAlignment="1">
      <alignment horizontal="left" vertical="center" indent="1"/>
    </xf>
    <xf numFmtId="0" fontId="4" fillId="28" borderId="0" xfId="71" applyFont="1" applyFill="1" applyAlignment="1">
      <alignment horizontal="left" vertical="center" indent="1"/>
    </xf>
    <xf numFmtId="0" fontId="41" fillId="27" borderId="0" xfId="4" applyFont="1" applyFill="1" applyAlignment="1">
      <alignment vertical="center"/>
    </xf>
  </cellXfs>
  <cellStyles count="80">
    <cellStyle name="1" xfId="2"/>
    <cellStyle name="1 3" xfId="4"/>
    <cellStyle name="1_Indicators2007 2" xfId="71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4"/>
    <cellStyle name="Comma 3" xfId="6"/>
    <cellStyle name="Comma 3 2" xfId="38"/>
    <cellStyle name="Comma 3 3" xfId="75"/>
    <cellStyle name="Comma 4" xfId="69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2"/>
    <cellStyle name="Normal 2 2 4" xfId="73"/>
    <cellStyle name="Normal 2 2 5" xfId="78"/>
    <cellStyle name="Normal 2 3" xfId="79"/>
    <cellStyle name="Normal 3" xfId="53"/>
    <cellStyle name="Normal 3 2" xfId="77"/>
    <cellStyle name="Normal 3 3" xfId="76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XII-1 (Commerce)" xfId="70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51858487748911E-2"/>
          <c:y val="0.15703787026621674"/>
          <c:w val="0.8828898109293225"/>
          <c:h val="0.7173775877353079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numRef>
              <c:f>'Annual nationa accounts'!$BB$16:$BL$16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'Annual nationa accounts'!$B$13:$L$13</c:f>
              <c:numCache>
                <c:formatCode>#,##0</c:formatCode>
                <c:ptCount val="11"/>
                <c:pt idx="0">
                  <c:v>6576.0181168954177</c:v>
                </c:pt>
                <c:pt idx="1">
                  <c:v>6842.3365773095393</c:v>
                </c:pt>
                <c:pt idx="2">
                  <c:v>6891.4401854373837</c:v>
                </c:pt>
                <c:pt idx="3">
                  <c:v>7660.0081178787968</c:v>
                </c:pt>
                <c:pt idx="4">
                  <c:v>8428.7118745966709</c:v>
                </c:pt>
                <c:pt idx="5">
                  <c:v>9011.45921255967</c:v>
                </c:pt>
                <c:pt idx="6">
                  <c:v>9238.4470006953434</c:v>
                </c:pt>
                <c:pt idx="7">
                  <c:v>9650.3435586995129</c:v>
                </c:pt>
                <c:pt idx="8">
                  <c:v>10333.077480184509</c:v>
                </c:pt>
                <c:pt idx="9">
                  <c:v>10476.697968410526</c:v>
                </c:pt>
                <c:pt idx="10">
                  <c:v>6697.5273409755255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EA3-4C42-9C38-7BA4DEDC1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732680"/>
        <c:axId val="392733856"/>
      </c:barChart>
      <c:catAx>
        <c:axId val="392732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392733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9273385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US$</a:t>
                </a:r>
              </a:p>
            </c:rich>
          </c:tx>
          <c:layout>
            <c:manualLayout>
              <c:xMode val="edge"/>
              <c:yMode val="edge"/>
              <c:x val="2.3741123412872885E-2"/>
              <c:y val="5.178808531286530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9273268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/>
          <a:lstStyle/>
          <a:p>
            <a:pPr>
              <a:defRPr sz="1200">
                <a:latin typeface="Candara" pitchFamily="34" charset="0"/>
              </a:defRPr>
            </a:pPr>
            <a:r>
              <a:rPr lang="en-US" sz="1200">
                <a:latin typeface="Candara" pitchFamily="34" charset="0"/>
              </a:rPr>
              <a:t>GDP and GDP growth rates, 2010 - 2020</a:t>
            </a:r>
          </a:p>
        </c:rich>
      </c:tx>
      <c:layout>
        <c:manualLayout>
          <c:xMode val="edge"/>
          <c:yMode val="edge"/>
          <c:x val="0.28246401851920377"/>
          <c:y val="4.835385267563203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5505975287720234E-2"/>
          <c:y val="0.19302720637228407"/>
          <c:w val="0.84514858056536035"/>
          <c:h val="0.66813432271583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'Annual nationa accounts'!$AT$17</c:f>
              <c:strCache>
                <c:ptCount val="1"/>
                <c:pt idx="0">
                  <c:v>G.D.P 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'Annual nationa accounts'!$BB$16:$BL$16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'Annual nationa accounts'!$BB$17:$BL$17</c:f>
              <c:numCache>
                <c:formatCode>#,##0</c:formatCode>
                <c:ptCount val="11"/>
                <c:pt idx="0">
                  <c:v>44373.263009045702</c:v>
                </c:pt>
                <c:pt idx="1">
                  <c:v>48174.602246722294</c:v>
                </c:pt>
                <c:pt idx="2">
                  <c:v>49387.341903578039</c:v>
                </c:pt>
                <c:pt idx="3">
                  <c:v>52983.270832843715</c:v>
                </c:pt>
                <c:pt idx="4">
                  <c:v>56866.746459796508</c:v>
                </c:pt>
                <c:pt idx="5">
                  <c:v>58507.095409109577</c:v>
                </c:pt>
                <c:pt idx="6">
                  <c:v>62215.450950118036</c:v>
                </c:pt>
                <c:pt idx="7">
                  <c:v>66701.129096139601</c:v>
                </c:pt>
                <c:pt idx="8">
                  <c:v>72119.347812321037</c:v>
                </c:pt>
                <c:pt idx="9">
                  <c:v>77083.819263393671</c:v>
                </c:pt>
                <c:pt idx="10">
                  <c:v>51260.815289149716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E5A-4927-B909-CF1E104A2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734640"/>
        <c:axId val="392731112"/>
      </c:barChart>
      <c:lineChart>
        <c:grouping val="standard"/>
        <c:varyColors val="0"/>
        <c:ser>
          <c:idx val="0"/>
          <c:order val="1"/>
          <c:tx>
            <c:strRef>
              <c:f>'Annual nationa accounts'!$AT$18</c:f>
              <c:strCache>
                <c:ptCount val="1"/>
                <c:pt idx="0">
                  <c:v> Growth Rates</c:v>
                </c:pt>
              </c:strCache>
            </c:strRef>
          </c:tx>
          <c:spPr>
            <a:ln w="25400">
              <a:solidFill>
                <a:srgbClr val="33CCCC"/>
              </a:solidFill>
            </a:ln>
          </c:spPr>
          <c:marker>
            <c:symbol val="diamond"/>
            <c:size val="6"/>
            <c:spPr>
              <a:solidFill>
                <a:srgbClr val="33CCCC"/>
              </a:solidFill>
              <a:ln w="12700">
                <a:solidFill>
                  <a:srgbClr val="196563"/>
                </a:solidFill>
              </a:ln>
            </c:spPr>
          </c:marker>
          <c:cat>
            <c:numRef>
              <c:f>'Annual nationa accounts'!$BB$16:$BL$16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'Annual nationa accounts'!$BB$18:$BL$18</c:f>
              <c:numCache>
                <c:formatCode>#,##0.0</c:formatCode>
                <c:ptCount val="11"/>
                <c:pt idx="0">
                  <c:v>7.2651291881888458</c:v>
                </c:pt>
                <c:pt idx="1">
                  <c:v>8.5667336136665782</c:v>
                </c:pt>
                <c:pt idx="2">
                  <c:v>2.5173838501972412</c:v>
                </c:pt>
                <c:pt idx="3">
                  <c:v>7.2810740377285965</c:v>
                </c:pt>
                <c:pt idx="4">
                  <c:v>7.3296260610348662</c:v>
                </c:pt>
                <c:pt idx="5">
                  <c:v>2.8845486183612712</c:v>
                </c:pt>
                <c:pt idx="6">
                  <c:v>6.3383005344529009</c:v>
                </c:pt>
                <c:pt idx="7">
                  <c:v>7.2099102032034068</c:v>
                </c:pt>
                <c:pt idx="8">
                  <c:v>8.1231289329029011</c:v>
                </c:pt>
                <c:pt idx="9">
                  <c:v>6.8836887765428401</c:v>
                </c:pt>
                <c:pt idx="10">
                  <c:v>-33.49990208192375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E5A-4927-B909-CF1E104A2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731504"/>
        <c:axId val="392731896"/>
      </c:lineChart>
      <c:catAx>
        <c:axId val="3927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3927311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73111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5.9961186886249044E-3"/>
              <c:y val="8.2080255431988533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92734640"/>
        <c:crosses val="autoZero"/>
        <c:crossBetween val="between"/>
      </c:valAx>
      <c:catAx>
        <c:axId val="39273150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0.89463264766322814"/>
              <c:y val="8.385643152630611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92731896"/>
        <c:crosses val="autoZero"/>
        <c:auto val="0"/>
        <c:lblAlgn val="ctr"/>
        <c:lblOffset val="100"/>
        <c:noMultiLvlLbl val="0"/>
      </c:catAx>
      <c:valAx>
        <c:axId val="392731896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92731504"/>
        <c:crosses val="max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051502832355895"/>
          <c:y val="0.21382827059608861"/>
          <c:w val="0.40109351198403537"/>
          <c:h val="7.3529601903210368E-2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89296</xdr:colOff>
      <xdr:row>15</xdr:row>
      <xdr:rowOff>90715</xdr:rowOff>
    </xdr:from>
    <xdr:to>
      <xdr:col>11</xdr:col>
      <xdr:colOff>674688</xdr:colOff>
      <xdr:row>32</xdr:row>
      <xdr:rowOff>147411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126150</xdr:colOff>
      <xdr:row>15</xdr:row>
      <xdr:rowOff>106759</xdr:rowOff>
    </xdr:from>
    <xdr:to>
      <xdr:col>3</xdr:col>
      <xdr:colOff>674688</xdr:colOff>
      <xdr:row>32</xdr:row>
      <xdr:rowOff>125809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0.18782</cdr:x>
      <cdr:y>0.08235</cdr:y>
    </cdr:from>
    <cdr:to>
      <cdr:x>0.83883</cdr:x>
      <cdr:y>0.21681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27760" y="186690"/>
          <a:ext cx="390906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0.22913</cdr:x>
      <cdr:y>0.03198</cdr:y>
    </cdr:from>
    <cdr:to>
      <cdr:x>0.81804</cdr:x>
      <cdr:y>0.13295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79924" y="104302"/>
          <a:ext cx="3289662" cy="3293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andara" pitchFamily="34" charset="0"/>
            </a:rPr>
            <a:t>GDP per capita (at current price),  2010 - 2020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A110"/>
  <sheetViews>
    <sheetView tabSelected="1" zoomScale="96" zoomScaleNormal="96" workbookViewId="0">
      <selection activeCell="O18" sqref="O18:P18"/>
    </sheetView>
  </sheetViews>
  <sheetFormatPr defaultColWidth="9.140625" defaultRowHeight="15" x14ac:dyDescent="0.2"/>
  <cols>
    <col min="1" max="1" width="48.5703125" style="18" customWidth="1"/>
    <col min="2" max="3" width="10.7109375" style="40" customWidth="1"/>
    <col min="4" max="5" width="10.7109375" style="41" customWidth="1"/>
    <col min="6" max="12" width="10.7109375" style="35" customWidth="1"/>
    <col min="13" max="157" width="9.140625" style="17"/>
    <col min="158" max="16384" width="9.140625" style="18"/>
  </cols>
  <sheetData>
    <row r="1" spans="1:157" s="2" customFormat="1" ht="30.75" customHeight="1" x14ac:dyDescent="0.2">
      <c r="A1" s="45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</row>
    <row r="2" spans="1:157" s="2" customFormat="1" ht="15.75" x14ac:dyDescent="0.2">
      <c r="A2" s="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</row>
    <row r="3" spans="1:157" s="6" customFormat="1" ht="21" customHeight="1" x14ac:dyDescent="0.2">
      <c r="A3" s="4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</row>
    <row r="4" spans="1:157" s="2" customFormat="1" ht="15.75" customHeight="1" x14ac:dyDescent="0.2">
      <c r="A4" s="7"/>
      <c r="B4" s="25">
        <v>2010</v>
      </c>
      <c r="C4" s="25">
        <v>2011</v>
      </c>
      <c r="D4" s="25">
        <v>2012</v>
      </c>
      <c r="E4" s="25">
        <v>2013</v>
      </c>
      <c r="F4" s="25">
        <v>2014</v>
      </c>
      <c r="G4" s="25">
        <v>2015</v>
      </c>
      <c r="H4" s="25">
        <v>2016</v>
      </c>
      <c r="I4" s="25" t="s">
        <v>15</v>
      </c>
      <c r="J4" s="25" t="s">
        <v>16</v>
      </c>
      <c r="K4" s="25" t="s">
        <v>17</v>
      </c>
      <c r="L4" s="25">
        <v>2020</v>
      </c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</row>
    <row r="5" spans="1:157" s="9" customFormat="1" ht="20.25" customHeight="1" x14ac:dyDescent="0.2">
      <c r="A5" s="42" t="s">
        <v>2</v>
      </c>
      <c r="B5" s="26">
        <v>44373.263009045702</v>
      </c>
      <c r="C5" s="26">
        <v>48174.602246722294</v>
      </c>
      <c r="D5" s="26">
        <v>49387.341903578039</v>
      </c>
      <c r="E5" s="26">
        <v>52983.270832843715</v>
      </c>
      <c r="F5" s="26">
        <v>56866.746459796508</v>
      </c>
      <c r="G5" s="26">
        <v>58507.095409109577</v>
      </c>
      <c r="H5" s="26">
        <v>62215.450950118036</v>
      </c>
      <c r="I5" s="26">
        <v>66701.129096139601</v>
      </c>
      <c r="J5" s="26">
        <v>72119.347812321037</v>
      </c>
      <c r="K5" s="26">
        <v>77083.819263393671</v>
      </c>
      <c r="L5" s="26">
        <v>51260.815289149716</v>
      </c>
      <c r="M5" s="5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</row>
    <row r="6" spans="1:157" s="11" customFormat="1" ht="20.25" customHeight="1" x14ac:dyDescent="0.2">
      <c r="A6" s="43" t="s">
        <v>3</v>
      </c>
      <c r="B6" s="27">
        <v>3466.6611725816952</v>
      </c>
      <c r="C6" s="27">
        <v>3306.4243134332391</v>
      </c>
      <c r="D6" s="27">
        <v>3202.8107589869028</v>
      </c>
      <c r="E6" s="27">
        <v>3436.0097816370762</v>
      </c>
      <c r="F6" s="27">
        <v>3687.8564500516541</v>
      </c>
      <c r="G6" s="27">
        <v>3794.2344623287663</v>
      </c>
      <c r="H6" s="27">
        <v>4034.7244455329464</v>
      </c>
      <c r="I6" s="27">
        <v>4325.6244550025685</v>
      </c>
      <c r="J6" s="27">
        <v>4677.0005066356052</v>
      </c>
      <c r="K6" s="27">
        <v>4998.9506655897321</v>
      </c>
      <c r="L6" s="27">
        <v>3324.3070874934965</v>
      </c>
      <c r="M6" s="5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</row>
    <row r="7" spans="1:157" s="9" customFormat="1" ht="20.25" customHeight="1" x14ac:dyDescent="0.2">
      <c r="A7" s="42" t="s">
        <v>4</v>
      </c>
      <c r="B7" s="28">
        <v>7.2651291881888458</v>
      </c>
      <c r="C7" s="28">
        <v>8.5667336136665782</v>
      </c>
      <c r="D7" s="28">
        <v>2.5173838501972412</v>
      </c>
      <c r="E7" s="28">
        <v>7.2810740377285965</v>
      </c>
      <c r="F7" s="28">
        <v>7.3296260610348662</v>
      </c>
      <c r="G7" s="28">
        <v>2.8845486183612712</v>
      </c>
      <c r="H7" s="28">
        <v>6.3383005344529009</v>
      </c>
      <c r="I7" s="28">
        <v>7.2099102032034068</v>
      </c>
      <c r="J7" s="28">
        <v>8.1231289329029011</v>
      </c>
      <c r="K7" s="28">
        <v>6.8836887765428401</v>
      </c>
      <c r="L7" s="28">
        <v>-33.49990208192375</v>
      </c>
      <c r="M7" s="5"/>
      <c r="N7" s="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</row>
    <row r="8" spans="1:157" s="15" customFormat="1" ht="20.25" customHeight="1" x14ac:dyDescent="0.2">
      <c r="A8" s="43" t="s">
        <v>6</v>
      </c>
      <c r="B8" s="29">
        <v>112743.25040791331</v>
      </c>
      <c r="C8" s="29">
        <v>118551.82793225275</v>
      </c>
      <c r="D8" s="29">
        <v>118348.051403494</v>
      </c>
      <c r="E8" s="29">
        <v>123598.96587524533</v>
      </c>
      <c r="F8" s="29">
        <v>129970.73710628068</v>
      </c>
      <c r="G8" s="29">
        <v>128747.16884539835</v>
      </c>
      <c r="H8" s="29">
        <v>131693.53763453988</v>
      </c>
      <c r="I8" s="29">
        <v>135684.78067657788</v>
      </c>
      <c r="J8" s="29">
        <v>140847.74894467555</v>
      </c>
      <c r="K8" s="29">
        <v>144367.55236551689</v>
      </c>
      <c r="L8" s="29">
        <v>91959.838338811343</v>
      </c>
      <c r="M8" s="5"/>
      <c r="N8" s="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</row>
    <row r="9" spans="1:157" s="9" customFormat="1" ht="20.25" customHeight="1" x14ac:dyDescent="0.2">
      <c r="A9" s="42" t="s">
        <v>8</v>
      </c>
      <c r="B9" s="21">
        <v>8808.0664381182269</v>
      </c>
      <c r="C9" s="21">
        <v>8136.7074764758236</v>
      </c>
      <c r="D9" s="21">
        <v>7674.9709081383917</v>
      </c>
      <c r="E9" s="21">
        <v>8015.4971384724595</v>
      </c>
      <c r="F9" s="21">
        <v>8428.7118745966709</v>
      </c>
      <c r="G9" s="21">
        <v>8349.3624413358211</v>
      </c>
      <c r="H9" s="21">
        <v>8540.4369412801479</v>
      </c>
      <c r="I9" s="21">
        <v>8799.2724174175019</v>
      </c>
      <c r="J9" s="21">
        <v>9134.0952623006197</v>
      </c>
      <c r="K9" s="21">
        <v>9362.357481551031</v>
      </c>
      <c r="L9" s="21">
        <v>5963.6730440214878</v>
      </c>
      <c r="M9" s="5"/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</row>
    <row r="10" spans="1:157" s="15" customFormat="1" ht="17.25" x14ac:dyDescent="0.2">
      <c r="A10" s="43" t="s">
        <v>9</v>
      </c>
      <c r="B10" s="29">
        <v>2588.1760584114645</v>
      </c>
      <c r="C10" s="29">
        <v>2780.4450492189267</v>
      </c>
      <c r="D10" s="29">
        <v>2875.8387536594887</v>
      </c>
      <c r="E10" s="29">
        <v>3283.622009434941</v>
      </c>
      <c r="F10" s="29">
        <v>3687.8564500516541</v>
      </c>
      <c r="G10" s="29">
        <v>4095.1137695123948</v>
      </c>
      <c r="H10" s="29">
        <v>4364.4825444819508</v>
      </c>
      <c r="I10" s="29">
        <v>4744.0015624540138</v>
      </c>
      <c r="J10" s="29">
        <v>5290.9245220369548</v>
      </c>
      <c r="K10" s="29">
        <v>5593.9432333758741</v>
      </c>
      <c r="L10" s="29">
        <v>3733.3766361666062</v>
      </c>
      <c r="M10" s="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</row>
    <row r="11" spans="1:157" s="9" customFormat="1" ht="20.25" customHeight="1" x14ac:dyDescent="0.2">
      <c r="A11" s="42" t="s">
        <v>10</v>
      </c>
      <c r="B11" s="21">
        <v>33128.653547666749</v>
      </c>
      <c r="C11" s="21">
        <v>40511.084367119765</v>
      </c>
      <c r="D11" s="21">
        <v>44345.433581429315</v>
      </c>
      <c r="E11" s="21">
        <v>50633.451385486791</v>
      </c>
      <c r="F11" s="21">
        <v>56866.746459796508</v>
      </c>
      <c r="G11" s="21">
        <v>63146.654325881129</v>
      </c>
      <c r="H11" s="21">
        <v>67300.320835911683</v>
      </c>
      <c r="I11" s="21">
        <v>73152.504093040887</v>
      </c>
      <c r="J11" s="21">
        <v>81586.056129809847</v>
      </c>
      <c r="K11" s="21">
        <v>86258.604658655982</v>
      </c>
      <c r="L11" s="21">
        <v>57568.66772968907</v>
      </c>
      <c r="M11" s="5"/>
      <c r="N11" s="8"/>
      <c r="O11" s="8"/>
      <c r="P11" s="8"/>
      <c r="Q11" s="8"/>
      <c r="R11" s="16"/>
      <c r="S11" s="16"/>
      <c r="T11" s="16"/>
      <c r="U11" s="16"/>
      <c r="V11" s="16"/>
      <c r="W11" s="16"/>
      <c r="X11" s="16"/>
      <c r="Y11" s="16"/>
      <c r="Z11" s="16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</row>
    <row r="12" spans="1:157" s="15" customFormat="1" ht="20.25" customHeight="1" x14ac:dyDescent="0.2">
      <c r="A12" s="43" t="s">
        <v>11</v>
      </c>
      <c r="B12" s="29">
        <v>84173.031896261353</v>
      </c>
      <c r="C12" s="29">
        <v>99692.843931399984</v>
      </c>
      <c r="D12" s="29">
        <v>106266.00765944445</v>
      </c>
      <c r="E12" s="29">
        <v>118117.32517769105</v>
      </c>
      <c r="F12" s="29">
        <v>129970.73710628068</v>
      </c>
      <c r="G12" s="29">
        <v>138956.70105767011</v>
      </c>
      <c r="H12" s="29">
        <v>142456.8527507222</v>
      </c>
      <c r="I12" s="29">
        <v>148808.29767514649</v>
      </c>
      <c r="J12" s="29">
        <v>159336.05474444514</v>
      </c>
      <c r="K12" s="29">
        <v>161550.68267289031</v>
      </c>
      <c r="L12" s="29">
        <v>103275.8715978426</v>
      </c>
      <c r="M12" s="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</row>
    <row r="13" spans="1:157" s="9" customFormat="1" ht="20.25" customHeight="1" x14ac:dyDescent="0.2">
      <c r="A13" s="42" t="s">
        <v>12</v>
      </c>
      <c r="B13" s="26">
        <f t="shared" ref="B13" si="0">B12/12.8</f>
        <v>6576.0181168954177</v>
      </c>
      <c r="C13" s="26">
        <f>C12/14.57</f>
        <v>6842.3365773095393</v>
      </c>
      <c r="D13" s="26">
        <f>D12/15.42</f>
        <v>6891.4401854373837</v>
      </c>
      <c r="E13" s="26">
        <f t="shared" ref="E13:L13" si="1">E12/15.42</f>
        <v>7660.0081178787968</v>
      </c>
      <c r="F13" s="26">
        <f t="shared" si="1"/>
        <v>8428.7118745966709</v>
      </c>
      <c r="G13" s="26">
        <f t="shared" si="1"/>
        <v>9011.45921255967</v>
      </c>
      <c r="H13" s="26">
        <f t="shared" si="1"/>
        <v>9238.4470006953434</v>
      </c>
      <c r="I13" s="26">
        <f t="shared" si="1"/>
        <v>9650.3435586995129</v>
      </c>
      <c r="J13" s="26">
        <f t="shared" si="1"/>
        <v>10333.077480184509</v>
      </c>
      <c r="K13" s="26">
        <f t="shared" si="1"/>
        <v>10476.697968410526</v>
      </c>
      <c r="L13" s="26">
        <f t="shared" si="1"/>
        <v>6697.5273409755255</v>
      </c>
      <c r="M13" s="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</row>
    <row r="14" spans="1:157" s="8" customFormat="1" ht="15" customHeight="1" x14ac:dyDescent="0.2">
      <c r="A14" s="19" t="s">
        <v>13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5"/>
    </row>
    <row r="15" spans="1:157" ht="15.75" customHeight="1" x14ac:dyDescent="0.25">
      <c r="A15" s="19" t="s">
        <v>14</v>
      </c>
      <c r="B15" s="31"/>
      <c r="C15" s="31"/>
      <c r="D15" s="31"/>
      <c r="E15" s="31"/>
      <c r="F15" s="31"/>
      <c r="G15" s="31"/>
      <c r="H15" s="32"/>
      <c r="I15" s="32"/>
      <c r="J15" s="32"/>
      <c r="K15" s="32"/>
      <c r="L15" s="32"/>
      <c r="M15" s="5"/>
    </row>
    <row r="16" spans="1:157" s="17" customFormat="1" x14ac:dyDescent="0.2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AT16" s="8"/>
      <c r="AU16" s="10">
        <v>2003</v>
      </c>
      <c r="AV16" s="10">
        <v>2004</v>
      </c>
      <c r="AW16" s="10">
        <v>2005</v>
      </c>
      <c r="AX16" s="10">
        <v>2006</v>
      </c>
      <c r="AY16" s="10">
        <v>2007</v>
      </c>
      <c r="AZ16" s="10">
        <v>2008</v>
      </c>
      <c r="BA16" s="10">
        <v>2009</v>
      </c>
      <c r="BB16" s="10">
        <v>2010</v>
      </c>
      <c r="BC16" s="10">
        <v>2011</v>
      </c>
      <c r="BD16" s="10">
        <v>2012</v>
      </c>
      <c r="BE16" s="10">
        <v>2013</v>
      </c>
      <c r="BF16" s="10">
        <v>2014</v>
      </c>
      <c r="BG16" s="10">
        <v>2015</v>
      </c>
      <c r="BH16" s="10">
        <v>2016</v>
      </c>
      <c r="BI16" s="10">
        <v>2017</v>
      </c>
      <c r="BJ16" s="10">
        <v>2018</v>
      </c>
      <c r="BK16" s="10">
        <v>2019</v>
      </c>
      <c r="BL16" s="8">
        <v>2020</v>
      </c>
      <c r="BM16" s="8"/>
    </row>
    <row r="17" spans="2:65" s="17" customFormat="1" x14ac:dyDescent="0.2">
      <c r="B17" s="34"/>
      <c r="C17" s="34"/>
      <c r="D17" s="35"/>
      <c r="E17" s="35"/>
      <c r="F17" s="35"/>
      <c r="G17" s="35"/>
      <c r="H17" s="35"/>
      <c r="I17" s="35"/>
      <c r="J17" s="35"/>
      <c r="K17" s="35"/>
      <c r="L17" s="35"/>
      <c r="AT17" s="12" t="s">
        <v>5</v>
      </c>
      <c r="AU17" s="13" t="e">
        <f>#REF!</f>
        <v>#REF!</v>
      </c>
      <c r="AV17" s="13" t="e">
        <f>#REF!</f>
        <v>#REF!</v>
      </c>
      <c r="AW17" s="13" t="e">
        <f>#REF!</f>
        <v>#REF!</v>
      </c>
      <c r="AX17" s="13" t="e">
        <f>#REF!</f>
        <v>#REF!</v>
      </c>
      <c r="AY17" s="13" t="e">
        <f>#REF!</f>
        <v>#REF!</v>
      </c>
      <c r="AZ17" s="13" t="e">
        <f>#REF!</f>
        <v>#REF!</v>
      </c>
      <c r="BA17" s="13" t="e">
        <f>#REF!</f>
        <v>#REF!</v>
      </c>
      <c r="BB17" s="13">
        <f t="shared" ref="BB17:BL17" si="2">B5</f>
        <v>44373.263009045702</v>
      </c>
      <c r="BC17" s="13">
        <f t="shared" si="2"/>
        <v>48174.602246722294</v>
      </c>
      <c r="BD17" s="13">
        <f t="shared" si="2"/>
        <v>49387.341903578039</v>
      </c>
      <c r="BE17" s="13">
        <f t="shared" si="2"/>
        <v>52983.270832843715</v>
      </c>
      <c r="BF17" s="13">
        <f t="shared" si="2"/>
        <v>56866.746459796508</v>
      </c>
      <c r="BG17" s="13">
        <f t="shared" si="2"/>
        <v>58507.095409109577</v>
      </c>
      <c r="BH17" s="13">
        <f t="shared" si="2"/>
        <v>62215.450950118036</v>
      </c>
      <c r="BI17" s="13">
        <f t="shared" si="2"/>
        <v>66701.129096139601</v>
      </c>
      <c r="BJ17" s="13">
        <f t="shared" si="2"/>
        <v>72119.347812321037</v>
      </c>
      <c r="BK17" s="13">
        <f t="shared" si="2"/>
        <v>77083.819263393671</v>
      </c>
      <c r="BL17" s="13">
        <f t="shared" si="2"/>
        <v>51260.815289149716</v>
      </c>
      <c r="BM17" s="8"/>
    </row>
    <row r="18" spans="2:65" s="17" customFormat="1" x14ac:dyDescent="0.2">
      <c r="B18" s="34"/>
      <c r="C18" s="34"/>
      <c r="D18" s="35"/>
      <c r="E18" s="35"/>
      <c r="F18" s="35"/>
      <c r="G18" s="35"/>
      <c r="H18" s="35"/>
      <c r="I18" s="35"/>
      <c r="J18" s="35"/>
      <c r="K18" s="35"/>
      <c r="L18" s="35"/>
      <c r="AT18" s="12" t="s">
        <v>7</v>
      </c>
      <c r="AU18" s="14" t="e">
        <f>#REF!</f>
        <v>#REF!</v>
      </c>
      <c r="AV18" s="14" t="e">
        <f>#REF!</f>
        <v>#REF!</v>
      </c>
      <c r="AW18" s="14" t="e">
        <f>#REF!</f>
        <v>#REF!</v>
      </c>
      <c r="AX18" s="14" t="e">
        <f>#REF!</f>
        <v>#REF!</v>
      </c>
      <c r="AY18" s="14" t="e">
        <f>#REF!</f>
        <v>#REF!</v>
      </c>
      <c r="AZ18" s="14" t="e">
        <f>#REF!</f>
        <v>#REF!</v>
      </c>
      <c r="BA18" s="14" t="e">
        <f>#REF!</f>
        <v>#REF!</v>
      </c>
      <c r="BB18" s="14">
        <f>B7</f>
        <v>7.2651291881888458</v>
      </c>
      <c r="BC18" s="14">
        <f>C7</f>
        <v>8.5667336136665782</v>
      </c>
      <c r="BD18" s="14">
        <f>D7</f>
        <v>2.5173838501972412</v>
      </c>
      <c r="BE18" s="14">
        <f>E7</f>
        <v>7.2810740377285965</v>
      </c>
      <c r="BF18" s="14">
        <f>(BF17/BE17-1)*100</f>
        <v>7.3296260610348662</v>
      </c>
      <c r="BG18" s="14">
        <f>(BG17/BF17-1)*100</f>
        <v>2.8845486183612712</v>
      </c>
      <c r="BH18" s="14">
        <f t="shared" ref="BH18:BL18" si="3">(BH17/BG17-1)*100</f>
        <v>6.3383005344529009</v>
      </c>
      <c r="BI18" s="14">
        <f t="shared" si="3"/>
        <v>7.2099102032034068</v>
      </c>
      <c r="BJ18" s="14">
        <f t="shared" si="3"/>
        <v>8.1231289329029011</v>
      </c>
      <c r="BK18" s="14">
        <f t="shared" si="3"/>
        <v>6.8836887765428401</v>
      </c>
      <c r="BL18" s="14">
        <f t="shared" si="3"/>
        <v>-33.49990208192375</v>
      </c>
      <c r="BM18" s="8"/>
    </row>
    <row r="19" spans="2:65" s="17" customFormat="1" x14ac:dyDescent="0.2">
      <c r="B19" s="34"/>
      <c r="C19" s="34"/>
      <c r="D19" s="35"/>
      <c r="E19" s="35"/>
      <c r="F19" s="35"/>
      <c r="G19" s="35"/>
      <c r="H19" s="35"/>
      <c r="I19" s="35"/>
      <c r="J19" s="35"/>
      <c r="K19" s="35"/>
      <c r="L19" s="35"/>
    </row>
    <row r="20" spans="2:65" s="17" customFormat="1" x14ac:dyDescent="0.2">
      <c r="B20" s="34"/>
      <c r="C20" s="34"/>
      <c r="D20" s="35"/>
      <c r="E20" s="35"/>
      <c r="F20" s="35"/>
      <c r="G20" s="35"/>
      <c r="H20" s="35"/>
      <c r="I20" s="35"/>
      <c r="J20" s="35"/>
      <c r="K20" s="35"/>
      <c r="L20" s="35"/>
    </row>
    <row r="21" spans="2:65" s="17" customFormat="1" x14ac:dyDescent="0.2">
      <c r="B21" s="34"/>
      <c r="C21" s="34"/>
      <c r="D21" s="35"/>
      <c r="E21" s="35"/>
      <c r="F21" s="35"/>
      <c r="G21" s="35"/>
      <c r="H21" s="35"/>
      <c r="I21" s="35"/>
      <c r="J21" s="35"/>
      <c r="K21" s="35"/>
      <c r="L21" s="35"/>
    </row>
    <row r="22" spans="2:65" s="17" customFormat="1" x14ac:dyDescent="0.2">
      <c r="B22" s="34"/>
      <c r="C22" s="34"/>
      <c r="D22" s="35"/>
      <c r="E22" s="35"/>
      <c r="F22" s="35"/>
      <c r="G22" s="35"/>
      <c r="H22" s="35"/>
      <c r="I22" s="35"/>
      <c r="J22" s="35"/>
      <c r="K22" s="35"/>
      <c r="L22" s="35"/>
    </row>
    <row r="23" spans="2:65" s="17" customFormat="1" x14ac:dyDescent="0.2">
      <c r="B23" s="34"/>
      <c r="C23" s="34"/>
      <c r="D23" s="35"/>
      <c r="E23" s="35"/>
      <c r="F23" s="35"/>
      <c r="G23" s="35"/>
      <c r="H23" s="35"/>
      <c r="I23" s="35"/>
      <c r="J23" s="35"/>
      <c r="K23" s="35"/>
      <c r="L23" s="35"/>
    </row>
    <row r="24" spans="2:65" s="17" customFormat="1" x14ac:dyDescent="0.2">
      <c r="B24" s="34"/>
      <c r="C24" s="34"/>
      <c r="D24" s="35"/>
      <c r="E24" s="35"/>
      <c r="F24" s="35"/>
      <c r="G24" s="35"/>
      <c r="H24" s="35"/>
      <c r="I24" s="35"/>
      <c r="J24" s="35"/>
      <c r="K24" s="35"/>
      <c r="L24" s="35"/>
    </row>
    <row r="25" spans="2:65" s="17" customFormat="1" x14ac:dyDescent="0.2">
      <c r="B25" s="34"/>
      <c r="C25" s="34"/>
      <c r="D25" s="35"/>
      <c r="E25" s="35"/>
      <c r="F25" s="35"/>
      <c r="G25" s="35"/>
      <c r="H25" s="35"/>
      <c r="I25" s="35"/>
      <c r="J25" s="35"/>
      <c r="K25" s="35"/>
      <c r="L25" s="35"/>
    </row>
    <row r="26" spans="2:65" s="17" customFormat="1" x14ac:dyDescent="0.2"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</row>
    <row r="27" spans="2:65" s="17" customFormat="1" x14ac:dyDescent="0.2">
      <c r="B27" s="34"/>
      <c r="C27" s="34"/>
      <c r="D27" s="35"/>
      <c r="E27" s="35"/>
      <c r="F27" s="35"/>
      <c r="G27" s="35"/>
      <c r="H27" s="35"/>
      <c r="I27" s="35"/>
      <c r="J27" s="35"/>
      <c r="K27" s="35"/>
      <c r="L27" s="35"/>
    </row>
    <row r="28" spans="2:65" s="17" customFormat="1" x14ac:dyDescent="0.2">
      <c r="B28" s="34"/>
      <c r="C28" s="34"/>
      <c r="D28" s="35"/>
      <c r="E28" s="35"/>
      <c r="F28" s="35"/>
      <c r="G28" s="35"/>
      <c r="H28" s="35"/>
      <c r="I28" s="35"/>
      <c r="J28" s="35"/>
      <c r="K28" s="35"/>
      <c r="L28" s="35"/>
    </row>
    <row r="29" spans="2:65" s="17" customFormat="1" x14ac:dyDescent="0.2">
      <c r="B29" s="34"/>
      <c r="C29" s="34"/>
      <c r="D29" s="35"/>
      <c r="E29" s="35"/>
      <c r="F29" s="35"/>
      <c r="G29" s="35"/>
      <c r="H29" s="35"/>
      <c r="I29" s="35"/>
      <c r="J29" s="35"/>
      <c r="K29" s="35"/>
      <c r="L29" s="35"/>
    </row>
    <row r="30" spans="2:65" s="17" customFormat="1" x14ac:dyDescent="0.2">
      <c r="B30" s="34"/>
      <c r="C30" s="34"/>
      <c r="D30" s="35"/>
      <c r="E30" s="35"/>
      <c r="F30" s="35"/>
      <c r="G30" s="35"/>
      <c r="H30" s="35"/>
      <c r="I30" s="35"/>
      <c r="J30" s="35"/>
      <c r="K30" s="35"/>
      <c r="L30" s="35"/>
    </row>
    <row r="31" spans="2:65" s="17" customFormat="1" x14ac:dyDescent="0.2">
      <c r="B31" s="34"/>
      <c r="C31" s="34"/>
      <c r="D31" s="35"/>
      <c r="E31" s="35"/>
      <c r="F31" s="35"/>
      <c r="G31" s="35"/>
      <c r="H31" s="35"/>
      <c r="I31" s="35"/>
      <c r="J31" s="35"/>
      <c r="K31" s="35"/>
      <c r="L31" s="35"/>
    </row>
    <row r="32" spans="2:65" s="17" customFormat="1" x14ac:dyDescent="0.2">
      <c r="B32" s="34"/>
      <c r="C32" s="34"/>
      <c r="D32" s="35"/>
      <c r="E32" s="35"/>
      <c r="F32" s="35"/>
      <c r="G32" s="35"/>
      <c r="H32" s="35"/>
      <c r="I32" s="35"/>
      <c r="J32" s="35"/>
      <c r="K32" s="35"/>
      <c r="L32" s="35"/>
    </row>
    <row r="33" spans="1:12" s="17" customFormat="1" x14ac:dyDescent="0.2">
      <c r="B33" s="34"/>
      <c r="C33" s="34"/>
      <c r="D33" s="35"/>
      <c r="E33" s="35"/>
      <c r="F33" s="35"/>
      <c r="G33" s="35"/>
      <c r="H33" s="35"/>
      <c r="I33" s="35"/>
      <c r="J33" s="35"/>
      <c r="K33" s="35"/>
      <c r="L33" s="35"/>
    </row>
    <row r="34" spans="1:12" s="17" customFormat="1" x14ac:dyDescent="0.2">
      <c r="B34" s="34"/>
      <c r="C34" s="34"/>
      <c r="D34" s="35"/>
      <c r="E34" s="35"/>
      <c r="F34" s="35"/>
      <c r="G34" s="35"/>
      <c r="H34" s="35"/>
      <c r="I34" s="35"/>
      <c r="J34" s="35"/>
      <c r="K34" s="35"/>
      <c r="L34" s="35"/>
    </row>
    <row r="35" spans="1:12" s="17" customFormat="1" x14ac:dyDescent="0.2">
      <c r="A35" s="20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 s="17" customFormat="1" x14ac:dyDescent="0.2">
      <c r="B36" s="34"/>
      <c r="C36" s="34"/>
      <c r="D36" s="35"/>
      <c r="E36" s="35"/>
      <c r="F36" s="35"/>
      <c r="G36" s="35"/>
      <c r="H36" s="35"/>
      <c r="I36" s="35"/>
      <c r="J36" s="35"/>
      <c r="K36" s="35"/>
      <c r="L36" s="35"/>
    </row>
    <row r="37" spans="1:12" s="17" customFormat="1" x14ac:dyDescent="0.2">
      <c r="A37" s="20"/>
      <c r="B37" s="34"/>
      <c r="C37" s="34"/>
      <c r="D37" s="35"/>
      <c r="E37" s="35"/>
      <c r="F37" s="35"/>
      <c r="G37" s="35"/>
      <c r="H37" s="35"/>
      <c r="I37" s="35"/>
      <c r="J37" s="35"/>
      <c r="K37" s="35"/>
      <c r="L37" s="35"/>
    </row>
    <row r="38" spans="1:12" s="17" customFormat="1" x14ac:dyDescent="0.2">
      <c r="B38" s="34"/>
      <c r="C38" s="34"/>
      <c r="D38" s="35"/>
      <c r="E38" s="35"/>
      <c r="F38" s="35"/>
      <c r="G38" s="35"/>
      <c r="H38" s="35"/>
      <c r="I38" s="35"/>
      <c r="J38" s="35"/>
      <c r="K38" s="35"/>
      <c r="L38" s="35"/>
    </row>
    <row r="39" spans="1:12" s="17" customFormat="1" x14ac:dyDescent="0.2">
      <c r="A39" s="20"/>
      <c r="B39" s="34"/>
      <c r="C39" s="34"/>
      <c r="D39" s="35"/>
      <c r="E39" s="35"/>
      <c r="F39" s="35"/>
      <c r="G39" s="35"/>
      <c r="H39" s="35"/>
      <c r="I39" s="35"/>
      <c r="J39" s="35"/>
      <c r="K39" s="35"/>
      <c r="L39" s="35"/>
    </row>
    <row r="40" spans="1:12" s="17" customFormat="1" x14ac:dyDescent="0.2">
      <c r="A40" s="20"/>
      <c r="B40" s="34"/>
      <c r="C40" s="34"/>
      <c r="D40" s="35"/>
      <c r="E40" s="35"/>
      <c r="F40" s="35"/>
      <c r="G40" s="35"/>
      <c r="H40" s="35"/>
      <c r="I40" s="35"/>
      <c r="J40" s="35"/>
      <c r="K40" s="35"/>
      <c r="L40" s="35"/>
    </row>
    <row r="41" spans="1:12" s="17" customFormat="1" x14ac:dyDescent="0.2">
      <c r="B41" s="34"/>
      <c r="C41" s="34"/>
      <c r="D41" s="35"/>
      <c r="E41" s="35"/>
      <c r="F41" s="35"/>
      <c r="G41" s="35"/>
      <c r="H41" s="35"/>
      <c r="I41" s="35"/>
      <c r="J41" s="35"/>
      <c r="K41" s="35"/>
      <c r="L41" s="35"/>
    </row>
    <row r="42" spans="1:12" s="17" customFormat="1" x14ac:dyDescent="0.2">
      <c r="B42" s="34"/>
      <c r="C42" s="34"/>
      <c r="D42" s="35"/>
      <c r="E42" s="35"/>
      <c r="F42" s="35"/>
      <c r="G42" s="35"/>
      <c r="H42" s="35"/>
      <c r="I42" s="35"/>
      <c r="J42" s="35"/>
      <c r="K42" s="35"/>
      <c r="L42" s="35"/>
    </row>
    <row r="43" spans="1:12" s="17" customFormat="1" x14ac:dyDescent="0.2">
      <c r="B43" s="34"/>
      <c r="C43" s="34"/>
      <c r="D43" s="35"/>
      <c r="E43" s="35"/>
      <c r="F43" s="35"/>
      <c r="G43" s="35"/>
      <c r="H43" s="35"/>
      <c r="I43" s="35"/>
      <c r="J43" s="35"/>
      <c r="K43" s="35"/>
      <c r="L43" s="35"/>
    </row>
    <row r="44" spans="1:12" s="17" customFormat="1" x14ac:dyDescent="0.2">
      <c r="B44" s="34"/>
      <c r="C44" s="34"/>
      <c r="D44" s="35"/>
      <c r="E44" s="35"/>
      <c r="F44" s="35"/>
      <c r="G44" s="35"/>
      <c r="H44" s="35"/>
      <c r="I44" s="35"/>
      <c r="J44" s="35"/>
      <c r="K44" s="35"/>
      <c r="L44" s="35"/>
    </row>
    <row r="45" spans="1:12" s="17" customFormat="1" x14ac:dyDescent="0.2">
      <c r="B45" s="34"/>
      <c r="C45" s="34"/>
      <c r="D45" s="35"/>
      <c r="E45" s="35"/>
      <c r="F45" s="35"/>
      <c r="G45" s="35"/>
      <c r="H45" s="35"/>
      <c r="I45" s="35"/>
      <c r="J45" s="35"/>
      <c r="K45" s="35"/>
      <c r="L45" s="35"/>
    </row>
    <row r="46" spans="1:12" s="17" customFormat="1" x14ac:dyDescent="0.2">
      <c r="B46" s="34"/>
      <c r="C46" s="34"/>
      <c r="D46" s="35"/>
      <c r="E46" s="35"/>
      <c r="F46" s="35"/>
      <c r="G46" s="35"/>
      <c r="H46" s="35"/>
      <c r="I46" s="35"/>
      <c r="J46" s="35"/>
      <c r="K46" s="35"/>
      <c r="L46" s="35"/>
    </row>
    <row r="47" spans="1:12" s="17" customFormat="1" x14ac:dyDescent="0.2">
      <c r="B47" s="34"/>
      <c r="C47" s="34"/>
      <c r="D47" s="35"/>
      <c r="E47" s="35"/>
      <c r="F47" s="35"/>
      <c r="G47" s="35"/>
      <c r="H47" s="35"/>
      <c r="I47" s="35"/>
      <c r="J47" s="35"/>
      <c r="K47" s="35"/>
      <c r="L47" s="35"/>
    </row>
    <row r="48" spans="1:12" s="17" customFormat="1" x14ac:dyDescent="0.2">
      <c r="B48" s="34"/>
      <c r="C48" s="34"/>
      <c r="D48" s="35"/>
      <c r="E48" s="35"/>
      <c r="F48" s="35"/>
      <c r="G48" s="35"/>
      <c r="H48" s="35"/>
      <c r="I48" s="35"/>
      <c r="J48" s="35"/>
      <c r="K48" s="35"/>
      <c r="L48" s="35"/>
    </row>
    <row r="49" spans="2:12" s="17" customFormat="1" x14ac:dyDescent="0.2">
      <c r="B49" s="34"/>
      <c r="C49" s="34"/>
      <c r="D49" s="35"/>
      <c r="E49" s="35"/>
      <c r="F49" s="35"/>
      <c r="G49" s="35"/>
      <c r="H49" s="35"/>
      <c r="I49" s="35"/>
      <c r="J49" s="35"/>
      <c r="K49" s="35"/>
      <c r="L49" s="35"/>
    </row>
    <row r="50" spans="2:12" s="17" customFormat="1" x14ac:dyDescent="0.2">
      <c r="B50" s="34"/>
      <c r="C50" s="34"/>
      <c r="D50" s="35"/>
      <c r="E50" s="35"/>
      <c r="F50" s="35"/>
      <c r="G50" s="35"/>
      <c r="H50" s="35"/>
      <c r="I50" s="35"/>
      <c r="J50" s="35"/>
      <c r="K50" s="35"/>
      <c r="L50" s="35"/>
    </row>
    <row r="51" spans="2:12" s="17" customFormat="1" x14ac:dyDescent="0.2">
      <c r="B51" s="34"/>
      <c r="C51" s="34"/>
      <c r="D51" s="35"/>
      <c r="E51" s="35"/>
      <c r="F51" s="35"/>
      <c r="G51" s="35"/>
      <c r="H51" s="35"/>
      <c r="I51" s="35"/>
      <c r="J51" s="35"/>
      <c r="K51" s="35"/>
      <c r="L51" s="35"/>
    </row>
    <row r="52" spans="2:12" s="17" customFormat="1" x14ac:dyDescent="0.2">
      <c r="B52" s="34"/>
      <c r="C52" s="34"/>
      <c r="D52" s="35"/>
      <c r="E52" s="35"/>
      <c r="F52" s="35"/>
      <c r="G52" s="35"/>
      <c r="H52" s="35"/>
      <c r="I52" s="35"/>
      <c r="J52" s="35"/>
      <c r="K52" s="35"/>
      <c r="L52" s="35"/>
    </row>
    <row r="53" spans="2:12" s="17" customFormat="1" x14ac:dyDescent="0.2">
      <c r="B53" s="34"/>
      <c r="C53" s="34"/>
      <c r="D53" s="35"/>
      <c r="E53" s="35"/>
      <c r="F53" s="35"/>
      <c r="G53" s="35"/>
      <c r="H53" s="35"/>
      <c r="I53" s="35"/>
      <c r="J53" s="35"/>
      <c r="K53" s="35"/>
      <c r="L53" s="35"/>
    </row>
    <row r="54" spans="2:12" s="17" customFormat="1" x14ac:dyDescent="0.2">
      <c r="B54" s="34"/>
      <c r="C54" s="34"/>
      <c r="D54" s="35"/>
      <c r="E54" s="35"/>
      <c r="F54" s="35"/>
      <c r="G54" s="35"/>
      <c r="H54" s="35"/>
      <c r="I54" s="35"/>
      <c r="J54" s="35"/>
      <c r="K54" s="35"/>
      <c r="L54" s="35"/>
    </row>
    <row r="55" spans="2:12" s="17" customFormat="1" x14ac:dyDescent="0.2">
      <c r="B55" s="34"/>
      <c r="C55" s="34"/>
      <c r="D55" s="35"/>
      <c r="E55" s="35"/>
      <c r="F55" s="35"/>
      <c r="G55" s="35"/>
      <c r="H55" s="35"/>
      <c r="I55" s="35"/>
      <c r="J55" s="35"/>
      <c r="K55" s="35"/>
      <c r="L55" s="35"/>
    </row>
    <row r="56" spans="2:12" s="17" customFormat="1" x14ac:dyDescent="0.2">
      <c r="B56" s="34"/>
      <c r="C56" s="34"/>
      <c r="D56" s="35"/>
      <c r="E56" s="35"/>
      <c r="F56" s="35"/>
      <c r="G56" s="35"/>
      <c r="H56" s="35"/>
      <c r="I56" s="35"/>
      <c r="J56" s="35"/>
      <c r="K56" s="35"/>
      <c r="L56" s="35"/>
    </row>
    <row r="57" spans="2:12" s="17" customFormat="1" x14ac:dyDescent="0.2">
      <c r="B57" s="34"/>
      <c r="C57" s="34"/>
      <c r="D57" s="35"/>
      <c r="E57" s="35"/>
      <c r="F57" s="35"/>
      <c r="G57" s="35"/>
      <c r="H57" s="35"/>
      <c r="I57" s="35"/>
      <c r="J57" s="35"/>
      <c r="K57" s="35"/>
      <c r="L57" s="35"/>
    </row>
    <row r="58" spans="2:12" s="17" customFormat="1" x14ac:dyDescent="0.2">
      <c r="B58" s="34"/>
      <c r="C58" s="34"/>
      <c r="D58" s="35"/>
      <c r="E58" s="35"/>
      <c r="F58" s="35"/>
      <c r="G58" s="35"/>
      <c r="H58" s="35"/>
      <c r="I58" s="35"/>
      <c r="J58" s="35"/>
      <c r="K58" s="35"/>
      <c r="L58" s="35"/>
    </row>
    <row r="59" spans="2:12" s="17" customFormat="1" x14ac:dyDescent="0.2">
      <c r="B59" s="37"/>
      <c r="C59" s="37"/>
      <c r="D59" s="38"/>
      <c r="E59" s="38"/>
      <c r="F59" s="38"/>
      <c r="G59" s="38"/>
      <c r="H59" s="38"/>
      <c r="I59" s="38"/>
      <c r="J59" s="38"/>
      <c r="K59" s="38"/>
      <c r="L59" s="38"/>
    </row>
    <row r="60" spans="2:12" s="17" customFormat="1" x14ac:dyDescent="0.2">
      <c r="B60" s="37"/>
      <c r="C60" s="37"/>
      <c r="D60" s="38"/>
      <c r="E60" s="38"/>
      <c r="F60" s="38"/>
      <c r="G60" s="38"/>
      <c r="H60" s="38"/>
      <c r="I60" s="38"/>
      <c r="J60" s="38"/>
      <c r="K60" s="38"/>
      <c r="L60" s="38"/>
    </row>
    <row r="61" spans="2:12" s="17" customFormat="1" x14ac:dyDescent="0.2">
      <c r="B61" s="37"/>
      <c r="C61" s="37"/>
      <c r="D61" s="38"/>
      <c r="E61" s="38"/>
      <c r="F61" s="38"/>
      <c r="G61" s="38"/>
      <c r="H61" s="38"/>
      <c r="I61" s="38"/>
      <c r="J61" s="38"/>
      <c r="K61" s="38"/>
      <c r="L61" s="38"/>
    </row>
    <row r="62" spans="2:12" s="17" customFormat="1" x14ac:dyDescent="0.2">
      <c r="B62" s="37"/>
      <c r="C62" s="37"/>
      <c r="D62" s="38"/>
      <c r="E62" s="38"/>
      <c r="F62" s="38"/>
      <c r="G62" s="38"/>
      <c r="H62" s="38"/>
      <c r="I62" s="38"/>
      <c r="J62" s="38"/>
      <c r="K62" s="38"/>
      <c r="L62" s="38"/>
    </row>
    <row r="63" spans="2:12" s="17" customFormat="1" x14ac:dyDescent="0.2">
      <c r="B63" s="37"/>
      <c r="C63" s="37"/>
      <c r="D63" s="38"/>
      <c r="E63" s="38"/>
      <c r="F63" s="38"/>
      <c r="G63" s="38"/>
      <c r="H63" s="38"/>
      <c r="I63" s="38"/>
      <c r="J63" s="38"/>
      <c r="K63" s="38"/>
      <c r="L63" s="38"/>
    </row>
    <row r="64" spans="2:12" s="17" customFormat="1" x14ac:dyDescent="0.2">
      <c r="B64" s="37"/>
      <c r="C64" s="37"/>
      <c r="D64" s="38"/>
      <c r="E64" s="38"/>
      <c r="F64" s="38"/>
      <c r="G64" s="38"/>
      <c r="H64" s="38"/>
      <c r="I64" s="38"/>
      <c r="J64" s="38"/>
      <c r="K64" s="38"/>
      <c r="L64" s="38"/>
    </row>
    <row r="65" spans="2:12" s="17" customFormat="1" x14ac:dyDescent="0.2">
      <c r="B65" s="37"/>
      <c r="C65" s="37"/>
      <c r="D65" s="38"/>
      <c r="E65" s="38"/>
      <c r="F65" s="38"/>
      <c r="G65" s="38"/>
      <c r="H65" s="38"/>
      <c r="I65" s="38"/>
      <c r="J65" s="38"/>
      <c r="K65" s="38"/>
      <c r="L65" s="38"/>
    </row>
    <row r="66" spans="2:12" s="17" customFormat="1" x14ac:dyDescent="0.2">
      <c r="B66" s="37"/>
      <c r="C66" s="37"/>
      <c r="D66" s="38"/>
      <c r="E66" s="38"/>
      <c r="F66" s="38"/>
      <c r="G66" s="38"/>
      <c r="H66" s="38"/>
      <c r="I66" s="38"/>
      <c r="J66" s="38"/>
      <c r="K66" s="38"/>
      <c r="L66" s="38"/>
    </row>
    <row r="67" spans="2:12" s="17" customFormat="1" x14ac:dyDescent="0.2">
      <c r="B67" s="37"/>
      <c r="C67" s="37"/>
      <c r="D67" s="38"/>
      <c r="E67" s="38"/>
      <c r="F67" s="38"/>
      <c r="G67" s="38"/>
      <c r="H67" s="38"/>
      <c r="I67" s="38"/>
      <c r="J67" s="38"/>
      <c r="K67" s="38"/>
      <c r="L67" s="38"/>
    </row>
    <row r="68" spans="2:12" s="17" customFormat="1" x14ac:dyDescent="0.2">
      <c r="B68" s="34"/>
      <c r="C68" s="34"/>
      <c r="D68" s="35"/>
      <c r="E68" s="35"/>
      <c r="F68" s="35"/>
      <c r="G68" s="35"/>
      <c r="H68" s="35"/>
      <c r="I68" s="35"/>
      <c r="J68" s="35"/>
      <c r="K68" s="35"/>
      <c r="L68" s="35"/>
    </row>
    <row r="69" spans="2:12" s="17" customFormat="1" x14ac:dyDescent="0.2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2:12" s="17" customFormat="1" x14ac:dyDescent="0.2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2:12" s="17" customFormat="1" x14ac:dyDescent="0.2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2:12" s="17" customFormat="1" x14ac:dyDescent="0.2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2:12" s="17" customFormat="1" x14ac:dyDescent="0.2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2:12" s="17" customFormat="1" x14ac:dyDescent="0.2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2:12" s="17" customFormat="1" x14ac:dyDescent="0.2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2:12" s="17" customFormat="1" x14ac:dyDescent="0.2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2:12" s="17" customFormat="1" x14ac:dyDescent="0.2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2:12" s="17" customFormat="1" x14ac:dyDescent="0.2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2:12" s="17" customFormat="1" x14ac:dyDescent="0.2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2:12" s="17" customFormat="1" x14ac:dyDescent="0.2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 spans="2:12" s="17" customFormat="1" x14ac:dyDescent="0.2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2:12" s="17" customFormat="1" x14ac:dyDescent="0.2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2:12" s="17" customFormat="1" x14ac:dyDescent="0.2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2:12" s="17" customFormat="1" x14ac:dyDescent="0.2">
      <c r="B84" s="34"/>
      <c r="C84" s="34"/>
      <c r="D84" s="35"/>
      <c r="E84" s="35"/>
      <c r="F84" s="35"/>
      <c r="G84" s="35"/>
      <c r="H84" s="35"/>
      <c r="I84" s="35"/>
      <c r="J84" s="35"/>
      <c r="K84" s="35"/>
      <c r="L84" s="35"/>
    </row>
    <row r="85" spans="2:12" s="17" customFormat="1" x14ac:dyDescent="0.2">
      <c r="B85" s="34"/>
      <c r="C85" s="34"/>
      <c r="D85" s="35"/>
      <c r="E85" s="35"/>
      <c r="F85" s="35"/>
      <c r="G85" s="35"/>
      <c r="H85" s="35"/>
      <c r="I85" s="35"/>
      <c r="J85" s="35"/>
      <c r="K85" s="35"/>
      <c r="L85" s="35"/>
    </row>
    <row r="86" spans="2:12" s="17" customFormat="1" x14ac:dyDescent="0.2">
      <c r="B86" s="34"/>
      <c r="C86" s="34"/>
      <c r="D86" s="35"/>
      <c r="E86" s="35"/>
      <c r="F86" s="35"/>
      <c r="G86" s="35"/>
      <c r="H86" s="35"/>
      <c r="I86" s="35"/>
      <c r="J86" s="35"/>
      <c r="K86" s="35"/>
      <c r="L86" s="35"/>
    </row>
    <row r="87" spans="2:12" s="17" customFormat="1" x14ac:dyDescent="0.2">
      <c r="B87" s="34"/>
      <c r="C87" s="34"/>
      <c r="D87" s="35"/>
      <c r="E87" s="35"/>
      <c r="F87" s="35"/>
      <c r="G87" s="35"/>
      <c r="H87" s="35"/>
      <c r="I87" s="35"/>
      <c r="J87" s="35"/>
      <c r="K87" s="35"/>
      <c r="L87" s="35"/>
    </row>
    <row r="88" spans="2:12" s="17" customFormat="1" x14ac:dyDescent="0.2">
      <c r="B88" s="34"/>
      <c r="C88" s="34"/>
      <c r="D88" s="35"/>
      <c r="E88" s="35"/>
      <c r="F88" s="35"/>
      <c r="G88" s="35"/>
      <c r="H88" s="35"/>
      <c r="I88" s="35"/>
      <c r="J88" s="35"/>
      <c r="K88" s="35"/>
      <c r="L88" s="35"/>
    </row>
    <row r="89" spans="2:12" s="17" customFormat="1" x14ac:dyDescent="0.2">
      <c r="B89" s="34"/>
      <c r="C89" s="34"/>
      <c r="D89" s="35"/>
      <c r="E89" s="35"/>
      <c r="F89" s="35"/>
      <c r="G89" s="35"/>
      <c r="H89" s="35"/>
      <c r="I89" s="35"/>
      <c r="J89" s="35"/>
      <c r="K89" s="35"/>
      <c r="L89" s="35"/>
    </row>
    <row r="90" spans="2:12" s="17" customFormat="1" x14ac:dyDescent="0.2">
      <c r="B90" s="34"/>
      <c r="C90" s="34"/>
      <c r="D90" s="35"/>
      <c r="E90" s="35"/>
      <c r="F90" s="35"/>
      <c r="G90" s="35"/>
      <c r="H90" s="35"/>
      <c r="I90" s="35"/>
      <c r="J90" s="35"/>
      <c r="K90" s="35"/>
      <c r="L90" s="35"/>
    </row>
    <row r="91" spans="2:12" s="17" customFormat="1" x14ac:dyDescent="0.2">
      <c r="B91" s="34"/>
      <c r="C91" s="34"/>
      <c r="D91" s="35"/>
      <c r="E91" s="35"/>
      <c r="F91" s="35"/>
      <c r="G91" s="35"/>
      <c r="H91" s="35"/>
      <c r="I91" s="35"/>
      <c r="J91" s="35"/>
      <c r="K91" s="35"/>
      <c r="L91" s="35"/>
    </row>
    <row r="92" spans="2:12" s="17" customFormat="1" x14ac:dyDescent="0.2">
      <c r="B92" s="34"/>
      <c r="C92" s="34"/>
      <c r="D92" s="35"/>
      <c r="E92" s="35"/>
      <c r="F92" s="35"/>
      <c r="G92" s="35"/>
      <c r="H92" s="35"/>
      <c r="I92" s="35"/>
      <c r="J92" s="35"/>
      <c r="K92" s="35"/>
      <c r="L92" s="35"/>
    </row>
    <row r="93" spans="2:12" s="17" customFormat="1" x14ac:dyDescent="0.2">
      <c r="B93" s="34"/>
      <c r="C93" s="34"/>
      <c r="D93" s="35"/>
      <c r="E93" s="35"/>
      <c r="F93" s="35"/>
      <c r="G93" s="35"/>
      <c r="H93" s="35"/>
      <c r="I93" s="35"/>
      <c r="J93" s="35"/>
      <c r="K93" s="35"/>
      <c r="L93" s="35"/>
    </row>
    <row r="94" spans="2:12" s="17" customFormat="1" x14ac:dyDescent="0.2">
      <c r="B94" s="34"/>
      <c r="C94" s="34"/>
      <c r="D94" s="35"/>
      <c r="E94" s="35"/>
      <c r="F94" s="35"/>
      <c r="G94" s="35"/>
      <c r="H94" s="35"/>
      <c r="I94" s="35"/>
      <c r="J94" s="35"/>
      <c r="K94" s="35"/>
      <c r="L94" s="35"/>
    </row>
    <row r="95" spans="2:12" s="17" customFormat="1" x14ac:dyDescent="0.2">
      <c r="B95" s="34"/>
      <c r="C95" s="34"/>
      <c r="D95" s="35"/>
      <c r="E95" s="35"/>
      <c r="F95" s="35"/>
      <c r="G95" s="35"/>
      <c r="H95" s="35"/>
      <c r="I95" s="35"/>
      <c r="J95" s="35"/>
      <c r="K95" s="35"/>
      <c r="L95" s="35"/>
    </row>
    <row r="96" spans="2:12" s="17" customFormat="1" x14ac:dyDescent="0.2">
      <c r="B96" s="34"/>
      <c r="C96" s="34"/>
      <c r="D96" s="35"/>
      <c r="E96" s="35"/>
      <c r="F96" s="35"/>
      <c r="G96" s="35"/>
      <c r="H96" s="35"/>
      <c r="I96" s="35"/>
      <c r="J96" s="35"/>
      <c r="K96" s="35"/>
      <c r="L96" s="35"/>
    </row>
    <row r="97" spans="2:12" s="17" customFormat="1" x14ac:dyDescent="0.2">
      <c r="B97" s="34"/>
      <c r="C97" s="34"/>
      <c r="D97" s="35"/>
      <c r="E97" s="35"/>
      <c r="F97" s="35"/>
      <c r="G97" s="35"/>
      <c r="H97" s="35"/>
      <c r="I97" s="35"/>
      <c r="J97" s="35"/>
      <c r="K97" s="35"/>
      <c r="L97" s="35"/>
    </row>
    <row r="98" spans="2:12" s="17" customFormat="1" x14ac:dyDescent="0.2">
      <c r="B98" s="34"/>
      <c r="C98" s="34"/>
      <c r="D98" s="35"/>
      <c r="E98" s="35"/>
      <c r="F98" s="35"/>
      <c r="G98" s="35"/>
      <c r="H98" s="35"/>
      <c r="I98" s="35"/>
      <c r="J98" s="35"/>
      <c r="K98" s="35"/>
      <c r="L98" s="35"/>
    </row>
    <row r="99" spans="2:12" s="17" customFormat="1" x14ac:dyDescent="0.2">
      <c r="B99" s="34"/>
      <c r="C99" s="34"/>
      <c r="D99" s="35"/>
      <c r="E99" s="35"/>
      <c r="F99" s="35"/>
      <c r="G99" s="35"/>
      <c r="H99" s="35"/>
      <c r="I99" s="35"/>
      <c r="J99" s="35"/>
      <c r="K99" s="35"/>
      <c r="L99" s="35"/>
    </row>
    <row r="100" spans="2:12" s="17" customFormat="1" x14ac:dyDescent="0.2">
      <c r="B100" s="34"/>
      <c r="C100" s="34"/>
      <c r="D100" s="35"/>
      <c r="E100" s="35"/>
      <c r="F100" s="35"/>
      <c r="G100" s="35"/>
      <c r="H100" s="35"/>
      <c r="I100" s="35"/>
      <c r="J100" s="35"/>
      <c r="K100" s="35"/>
      <c r="L100" s="35"/>
    </row>
    <row r="101" spans="2:12" s="17" customFormat="1" x14ac:dyDescent="0.2">
      <c r="B101" s="34"/>
      <c r="C101" s="34"/>
      <c r="D101" s="35"/>
      <c r="E101" s="35"/>
      <c r="F101" s="35"/>
      <c r="G101" s="35"/>
      <c r="H101" s="35"/>
      <c r="I101" s="35"/>
      <c r="J101" s="35"/>
      <c r="K101" s="35"/>
      <c r="L101" s="35"/>
    </row>
    <row r="102" spans="2:12" s="17" customFormat="1" x14ac:dyDescent="0.2">
      <c r="B102" s="34"/>
      <c r="C102" s="34"/>
      <c r="D102" s="35"/>
      <c r="E102" s="35"/>
      <c r="F102" s="35"/>
      <c r="G102" s="35"/>
      <c r="H102" s="35"/>
      <c r="I102" s="35"/>
      <c r="J102" s="35"/>
      <c r="K102" s="35"/>
      <c r="L102" s="35"/>
    </row>
    <row r="103" spans="2:12" s="17" customFormat="1" x14ac:dyDescent="0.2">
      <c r="B103" s="34"/>
      <c r="C103" s="34"/>
      <c r="D103" s="35"/>
      <c r="E103" s="35"/>
      <c r="F103" s="35"/>
      <c r="G103" s="35"/>
      <c r="H103" s="35"/>
      <c r="I103" s="35"/>
      <c r="J103" s="35"/>
      <c r="K103" s="35"/>
      <c r="L103" s="35"/>
    </row>
    <row r="104" spans="2:12" s="17" customFormat="1" x14ac:dyDescent="0.2">
      <c r="B104" s="34"/>
      <c r="C104" s="34"/>
      <c r="D104" s="35"/>
      <c r="E104" s="35"/>
      <c r="F104" s="35"/>
      <c r="G104" s="35"/>
      <c r="H104" s="35"/>
      <c r="I104" s="35"/>
      <c r="J104" s="35"/>
      <c r="K104" s="35"/>
      <c r="L104" s="35"/>
    </row>
    <row r="105" spans="2:12" s="17" customFormat="1" x14ac:dyDescent="0.2">
      <c r="B105" s="34"/>
      <c r="C105" s="34"/>
      <c r="D105" s="35"/>
      <c r="E105" s="35"/>
      <c r="F105" s="35"/>
      <c r="G105" s="35"/>
      <c r="H105" s="35"/>
      <c r="I105" s="35"/>
      <c r="J105" s="35"/>
      <c r="K105" s="35"/>
      <c r="L105" s="35"/>
    </row>
    <row r="106" spans="2:12" s="17" customFormat="1" x14ac:dyDescent="0.2">
      <c r="B106" s="34"/>
      <c r="C106" s="34"/>
      <c r="D106" s="35"/>
      <c r="E106" s="35"/>
      <c r="F106" s="35"/>
      <c r="G106" s="35"/>
      <c r="H106" s="35"/>
      <c r="I106" s="35"/>
      <c r="J106" s="35"/>
      <c r="K106" s="35"/>
      <c r="L106" s="35"/>
    </row>
    <row r="107" spans="2:12" s="17" customFormat="1" x14ac:dyDescent="0.2">
      <c r="B107" s="34"/>
      <c r="C107" s="34"/>
      <c r="D107" s="35"/>
      <c r="E107" s="35"/>
      <c r="F107" s="35"/>
      <c r="G107" s="35"/>
      <c r="H107" s="35"/>
      <c r="I107" s="35"/>
      <c r="J107" s="35"/>
      <c r="K107" s="35"/>
      <c r="L107" s="35"/>
    </row>
    <row r="108" spans="2:12" s="17" customFormat="1" x14ac:dyDescent="0.2">
      <c r="B108" s="34"/>
      <c r="C108" s="34"/>
      <c r="D108" s="35"/>
      <c r="E108" s="35"/>
      <c r="F108" s="35"/>
      <c r="G108" s="35"/>
      <c r="H108" s="35"/>
      <c r="I108" s="35"/>
      <c r="J108" s="35"/>
      <c r="K108" s="35"/>
      <c r="L108" s="35"/>
    </row>
    <row r="109" spans="2:12" s="17" customFormat="1" x14ac:dyDescent="0.2">
      <c r="B109" s="34"/>
      <c r="C109" s="34"/>
      <c r="D109" s="35"/>
      <c r="E109" s="35"/>
      <c r="F109" s="35"/>
      <c r="G109" s="35"/>
      <c r="H109" s="35"/>
      <c r="I109" s="35"/>
      <c r="J109" s="35"/>
      <c r="K109" s="35"/>
      <c r="L109" s="35"/>
    </row>
    <row r="110" spans="2:12" s="17" customFormat="1" x14ac:dyDescent="0.2">
      <c r="B110" s="34"/>
      <c r="C110" s="34"/>
      <c r="D110" s="35"/>
      <c r="E110" s="35"/>
      <c r="F110" s="35"/>
      <c r="G110" s="35"/>
      <c r="H110" s="35"/>
      <c r="I110" s="35"/>
      <c r="J110" s="35"/>
      <c r="K110" s="35"/>
      <c r="L110" s="35"/>
    </row>
  </sheetData>
  <pageMargins left="0.70866141732283472" right="0.70866141732283472" top="0.74803149606299213" bottom="0.74803149606299213" header="0.31496062992125984" footer="0.31496062992125984"/>
  <pageSetup scale="70" orientation="landscape" r:id="rId1"/>
  <colBreaks count="1" manualBreakCount="1">
    <brk id="12" max="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 nationa accounts</vt:lpstr>
      <vt:lpstr>'Annual nationa accounts'!Print_Area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2021-12-13T23:16:19Z</cp:lastPrinted>
  <dcterms:created xsi:type="dcterms:W3CDTF">2019-05-14T08:05:18Z</dcterms:created>
  <dcterms:modified xsi:type="dcterms:W3CDTF">2021-12-14T00:07:21Z</dcterms:modified>
</cp:coreProperties>
</file>