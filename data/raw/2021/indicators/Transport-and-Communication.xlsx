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ml.chartshapes+xml"/>
  <Override PartName="/xl/charts/chart5.xml" ContentType="application/vnd.openxmlformats-officedocument.drawingml.chart+xml"/>
  <Override PartName="/xl/charts/chart6.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8.xml" ContentType="application/vnd.openxmlformats-officedocument.drawing+xml"/>
  <Override PartName="/xl/charts/chart10.xml" ContentType="application/vnd.openxmlformats-officedocument.drawingml.chart+xml"/>
  <Override PartName="/xl/drawings/drawing9.xml" ContentType="application/vnd.openxmlformats-officedocument.drawingml.chartshapes+xml"/>
  <Override PartName="/xl/charts/chart11.xml" ContentType="application/vnd.openxmlformats-officedocument.drawingml.chart+xml"/>
  <Override PartName="/xl/drawings/drawing10.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1.xml" ContentType="application/vnd.openxmlformats-officedocument.drawing+xml"/>
  <Override PartName="/xl/charts/chart15.xml" ContentType="application/vnd.openxmlformats-officedocument.drawingml.chart+xml"/>
  <Override PartName="/xl/drawings/drawing12.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drawings/drawing13.xml" ContentType="application/vnd.openxmlformats-officedocument.drawing+xml"/>
  <Override PartName="/xl/charts/chart18.xml" ContentType="application/vnd.openxmlformats-officedocument.drawingml.chart+xml"/>
  <Override PartName="/xl/drawings/drawing14.xml" ContentType="application/vnd.openxmlformats-officedocument.drawingml.chartshapes+xml"/>
  <Override PartName="/xl/charts/chart19.xml" ContentType="application/vnd.openxmlformats-officedocument.drawingml.chart+xml"/>
  <Override PartName="/xl/charts/chart20.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5.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6.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7.xml" ContentType="application/vnd.openxmlformats-officedocument.drawing+xml"/>
  <Override PartName="/xl/charts/chart25.xml" ContentType="application/vnd.openxmlformats-officedocument.drawingml.chart+xml"/>
  <Override PartName="/xl/drawings/drawing18.xml" ContentType="application/vnd.openxmlformats-officedocument.drawingml.chartshapes+xml"/>
  <Override PartName="/xl/charts/chart26.xml" ContentType="application/vnd.openxmlformats-officedocument.drawingml.chart+xml"/>
  <Override PartName="/xl/drawings/drawing19.xml" ContentType="application/vnd.openxmlformats-officedocument.drawing+xml"/>
  <Override PartName="/xl/charts/chart27.xml" ContentType="application/vnd.openxmlformats-officedocument.drawingml.chart+xml"/>
  <Override PartName="/xl/drawings/drawing20.xml" ContentType="application/vnd.openxmlformats-officedocument.drawing+xml"/>
  <Override PartName="/xl/charts/chart28.xml" ContentType="application/vnd.openxmlformats-officedocument.drawingml.chart+xml"/>
  <Override PartName="/xl/drawings/drawing21.xml" ContentType="application/vnd.openxmlformats-officedocument.drawingml.chartshapes+xml"/>
  <Override PartName="/xl/charts/chart29.xml" ContentType="application/vnd.openxmlformats-officedocument.drawingml.chart+xml"/>
  <Override PartName="/xl/drawings/drawing22.xml" ContentType="application/vnd.openxmlformats-officedocument.drawing+xml"/>
  <Override PartName="/xl/charts/chart30.xml" ContentType="application/vnd.openxmlformats-officedocument.drawingml.chart+xml"/>
  <Override PartName="/xl/drawings/drawing23.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4.xml" ContentType="application/vnd.openxmlformats-officedocument.drawing+xml"/>
  <Override PartName="/xl/charts/chart34.xml" ContentType="application/vnd.openxmlformats-officedocument.drawingml.chart+xml"/>
  <Override PartName="/xl/drawings/drawing2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April 2021\YEARBOOK 2021_ Work from Home\CHECKING\FINAL TABLES\web\New folder\"/>
    </mc:Choice>
  </mc:AlternateContent>
  <bookViews>
    <workbookView xWindow="-105" yWindow="-105" windowWidth="19425" windowHeight="10425" tabRatio="838" firstSheet="5" activeTab="17"/>
  </bookViews>
  <sheets>
    <sheet name="1 Geo" sheetId="1" r:id="rId1"/>
    <sheet name="2 Popu" sheetId="2" r:id="rId2"/>
    <sheet name="Eploymt" sheetId="3" r:id="rId3"/>
    <sheet name="Health" sheetId="4" r:id="rId4"/>
    <sheet name="Edu" sheetId="5" r:id="rId5"/>
    <sheet name="Law &amp; order" sheetId="6" r:id="rId6"/>
    <sheet name="fish agri" sheetId="7" r:id="rId7"/>
    <sheet name="Tourism" sheetId="8" r:id="rId8"/>
    <sheet name="Transp" sheetId="9" r:id="rId9"/>
    <sheet name="Elec &amp; water" sheetId="10" r:id="rId10"/>
    <sheet name="Finance" sheetId="11" r:id="rId11"/>
    <sheet name="Money n BAnking" sheetId="22" r:id="rId12"/>
    <sheet name="Foerign trade &amp; BOP" sheetId="13" r:id="rId13"/>
    <sheet name="Annual nationa accounts" sheetId="23" r:id="rId14"/>
    <sheet name="Prices" sheetId="15" r:id="rId15"/>
    <sheet name="Political parties &amp; Elections" sheetId="16" r:id="rId16"/>
    <sheet name="Poverty" sheetId="17" r:id="rId17"/>
    <sheet name="Social Protection" sheetId="18" r:id="rId18"/>
  </sheets>
  <externalReferences>
    <externalReference r:id="rId19"/>
    <externalReference r:id="rId20"/>
    <externalReference r:id="rId21"/>
  </externalReferences>
  <definedNames>
    <definedName name="_xlnm.Print_Area" localSheetId="0">'1 Geo'!$A$1:$Z$52</definedName>
    <definedName name="_xlnm.Print_Area" localSheetId="1">'2 Popu'!$A$1:$V$53</definedName>
    <definedName name="_xlnm.Print_Area" localSheetId="13">'Annual nationa accounts'!$A$1:$L$34</definedName>
    <definedName name="_xlnm.Print_Area" localSheetId="4">Edu!$A$1:$AF$62</definedName>
    <definedName name="_xlnm.Print_Area" localSheetId="9">'Elec &amp; water'!$A$1:$P$42</definedName>
    <definedName name="_xlnm.Print_Area" localSheetId="2">Eploymt!$A$1:$O$40</definedName>
    <definedName name="_xlnm.Print_Area" localSheetId="10">Finance!$A$1:$M$55</definedName>
    <definedName name="_xlnm.Print_Area" localSheetId="6">'fish agri'!$A$1:$AB$35</definedName>
    <definedName name="_xlnm.Print_Area" localSheetId="12">'Foerign trade &amp; BOP'!$A$1:$L$56</definedName>
    <definedName name="_xlnm.Print_Area" localSheetId="3">Health!$A$1:$AA$30</definedName>
    <definedName name="_xlnm.Print_Area" localSheetId="5">'Law &amp; order'!$A$1:$AG$55</definedName>
    <definedName name="_xlnm.Print_Area" localSheetId="11">'Money n BAnking'!$A$1:$T$47</definedName>
    <definedName name="_xlnm.Print_Area" localSheetId="15">'Political parties &amp; Elections'!$A$1:$M$64</definedName>
    <definedName name="_xlnm.Print_Area" localSheetId="16">Poverty!$A$1:$F$24</definedName>
    <definedName name="_xlnm.Print_Area" localSheetId="14">Prices!$A$1:$L$35</definedName>
    <definedName name="_xlnm.Print_Area" localSheetId="17">'Social Protection'!$A$1:$K$60</definedName>
    <definedName name="_xlnm.Print_Area" localSheetId="7">Tourism!$A$1:$AI$46</definedName>
    <definedName name="_xlnm.Print_Area" localSheetId="8">Transp!$A$1:$O$83</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A44" i="11" l="1"/>
  <c r="AA45" i="11"/>
  <c r="L16" i="13" l="1"/>
  <c r="J33" i="13" l="1"/>
  <c r="K33" i="13"/>
  <c r="L33" i="13"/>
  <c r="AK43" i="11"/>
  <c r="AL43" i="11"/>
  <c r="L30" i="11"/>
  <c r="M30" i="11"/>
  <c r="L31" i="11"/>
  <c r="M31" i="11"/>
  <c r="L21" i="11"/>
  <c r="M21" i="11"/>
  <c r="K21" i="11"/>
  <c r="AK44" i="11" l="1"/>
  <c r="AL44" i="11"/>
  <c r="M26" i="11"/>
  <c r="M27" i="11"/>
  <c r="M28" i="11"/>
  <c r="M29" i="11"/>
  <c r="M25" i="11"/>
  <c r="L28" i="11"/>
  <c r="L27" i="11"/>
  <c r="BI10" i="15" l="1"/>
  <c r="BI9" i="15"/>
  <c r="L13" i="23"/>
  <c r="K13" i="23"/>
  <c r="J13" i="23"/>
  <c r="I13" i="23"/>
  <c r="H13" i="23"/>
  <c r="G13" i="23"/>
  <c r="F13" i="23"/>
  <c r="E13" i="23"/>
  <c r="D13" i="23"/>
  <c r="C13" i="23"/>
  <c r="B13" i="23"/>
  <c r="BE18" i="23"/>
  <c r="BD18" i="23"/>
  <c r="BC18" i="23"/>
  <c r="BB18" i="23"/>
  <c r="BA18" i="23"/>
  <c r="AZ18" i="23"/>
  <c r="AY18" i="23"/>
  <c r="AX18" i="23"/>
  <c r="AW18" i="23"/>
  <c r="AV18" i="23"/>
  <c r="AU18" i="23"/>
  <c r="BL17" i="23"/>
  <c r="BK17" i="23"/>
  <c r="BJ17" i="23"/>
  <c r="BI17" i="23"/>
  <c r="BH17" i="23"/>
  <c r="BG17" i="23"/>
  <c r="BH18" i="23" s="1"/>
  <c r="BF17" i="23"/>
  <c r="BE17" i="23"/>
  <c r="BD17" i="23"/>
  <c r="BC17" i="23"/>
  <c r="BB17" i="23"/>
  <c r="BA17" i="23"/>
  <c r="AZ17" i="23"/>
  <c r="AY17" i="23"/>
  <c r="AX17" i="23"/>
  <c r="AW17" i="23"/>
  <c r="AV17" i="23"/>
  <c r="AU17" i="23"/>
  <c r="BK18" i="23" l="1"/>
  <c r="BF18" i="23"/>
  <c r="BL18" i="23"/>
  <c r="BI18" i="23"/>
  <c r="BJ18" i="23"/>
  <c r="BG18" i="23"/>
  <c r="L15" i="13" l="1"/>
  <c r="L10" i="13"/>
  <c r="L8" i="13"/>
  <c r="L11" i="13" s="1"/>
  <c r="L6" i="13"/>
  <c r="BK44" i="13" l="1"/>
  <c r="BK43" i="13"/>
  <c r="BA19" i="10" l="1"/>
  <c r="BA20" i="10"/>
  <c r="BA21" i="10"/>
  <c r="P22" i="10"/>
  <c r="P23" i="10"/>
  <c r="P24" i="10"/>
  <c r="P4" i="10"/>
  <c r="AL42" i="11" l="1"/>
  <c r="AL45" i="11"/>
  <c r="AF40" i="5" l="1"/>
  <c r="AF34" i="5"/>
  <c r="AI17" i="8" l="1"/>
  <c r="AI14" i="8"/>
  <c r="E13" i="16" l="1"/>
  <c r="L13" i="16"/>
  <c r="X14" i="16"/>
  <c r="W14" i="16"/>
  <c r="K16" i="13" l="1"/>
  <c r="J16" i="13"/>
  <c r="K15" i="13"/>
  <c r="J15" i="13"/>
  <c r="I15" i="13"/>
  <c r="J12" i="13"/>
  <c r="J10" i="13"/>
  <c r="J8" i="13"/>
  <c r="J11" i="13" s="1"/>
  <c r="K5" i="13"/>
  <c r="K12" i="13" l="1"/>
  <c r="L12" i="13"/>
  <c r="K6" i="13"/>
  <c r="K8" i="13"/>
  <c r="K11" i="13" s="1"/>
  <c r="K10" i="13"/>
  <c r="AH17" i="8" l="1"/>
  <c r="AH14" i="8"/>
  <c r="AA68" i="10" l="1"/>
  <c r="AB68" i="10"/>
  <c r="AC68" i="10"/>
  <c r="AA69" i="10"/>
  <c r="AB69" i="10"/>
  <c r="AC69" i="10"/>
  <c r="AA70" i="10"/>
  <c r="AB70" i="10"/>
  <c r="AC70" i="10"/>
  <c r="AA71" i="10"/>
  <c r="AB71" i="10"/>
  <c r="AC71" i="10"/>
  <c r="AA72" i="10"/>
  <c r="AB72" i="10"/>
  <c r="AC72" i="10"/>
  <c r="AA73" i="10"/>
  <c r="AB73" i="10"/>
  <c r="AC73" i="10"/>
  <c r="AA74" i="10"/>
  <c r="AB74" i="10"/>
  <c r="AC74" i="10"/>
  <c r="AA75" i="10"/>
  <c r="AB75" i="10"/>
  <c r="AC75" i="10"/>
  <c r="AA76" i="10"/>
  <c r="AB76" i="10"/>
  <c r="AC76" i="10"/>
  <c r="AA77" i="10"/>
  <c r="AB77" i="10"/>
  <c r="AC77" i="10"/>
  <c r="AA78" i="10"/>
  <c r="AB78" i="10"/>
  <c r="AC78" i="10"/>
  <c r="AC67" i="10"/>
  <c r="AB67" i="10"/>
  <c r="AA67" i="10"/>
  <c r="E32" i="13" l="1"/>
  <c r="D32" i="13"/>
  <c r="F32" i="13"/>
  <c r="G32" i="13"/>
  <c r="H32" i="13"/>
  <c r="I32" i="13"/>
  <c r="H33" i="13"/>
  <c r="I33" i="13"/>
  <c r="P10" i="10" l="1"/>
  <c r="O11" i="10" l="1"/>
  <c r="P11" i="10"/>
  <c r="O12" i="10"/>
  <c r="P12" i="10"/>
  <c r="O10" i="10"/>
  <c r="AB45" i="11"/>
  <c r="AC45" i="11"/>
  <c r="AD45" i="11"/>
  <c r="AE45" i="11"/>
  <c r="AF45" i="11"/>
  <c r="AG45" i="11"/>
  <c r="AH45" i="11"/>
  <c r="AI45" i="11"/>
  <c r="AJ45" i="11"/>
  <c r="AK45" i="11"/>
  <c r="AB44" i="11"/>
  <c r="AC44" i="11"/>
  <c r="AD44" i="11"/>
  <c r="AE44" i="11"/>
  <c r="AF44" i="11"/>
  <c r="AG44" i="11"/>
  <c r="AH44" i="11"/>
  <c r="AI44" i="11"/>
  <c r="AJ44" i="11"/>
  <c r="AK42" i="11"/>
  <c r="I31" i="11" l="1"/>
  <c r="J31" i="11"/>
  <c r="K31" i="11"/>
  <c r="I30" i="11"/>
  <c r="J30" i="11"/>
  <c r="K30" i="11"/>
  <c r="I29" i="11"/>
  <c r="J29" i="11"/>
  <c r="K29" i="11"/>
  <c r="L29" i="11"/>
  <c r="I28" i="11"/>
  <c r="J28" i="11"/>
  <c r="K28" i="11"/>
  <c r="I27" i="11"/>
  <c r="J27" i="11"/>
  <c r="K27" i="11"/>
  <c r="I26" i="11"/>
  <c r="J26" i="11"/>
  <c r="K26" i="11"/>
  <c r="L26" i="11"/>
  <c r="I25" i="11"/>
  <c r="J25" i="11"/>
  <c r="K25" i="11"/>
  <c r="L25" i="11"/>
  <c r="BJ44" i="13" l="1"/>
  <c r="BJ43" i="13"/>
  <c r="BI43" i="13"/>
  <c r="G33" i="13"/>
  <c r="AZ21" i="10"/>
  <c r="AZ20" i="10"/>
  <c r="AZ19" i="10"/>
  <c r="O22" i="10"/>
  <c r="O23" i="10"/>
  <c r="O24" i="10"/>
  <c r="O4" i="10"/>
  <c r="AE11" i="6"/>
  <c r="AF11" i="6"/>
  <c r="BH10" i="15"/>
  <c r="BH9" i="15"/>
  <c r="AE16" i="5"/>
  <c r="AA34" i="5"/>
  <c r="AB34" i="5"/>
  <c r="AC34" i="5"/>
  <c r="AD34" i="5"/>
  <c r="AE34" i="5"/>
  <c r="AE15" i="5" s="1"/>
  <c r="Z34" i="5"/>
  <c r="Y34" i="5"/>
  <c r="X34" i="5"/>
  <c r="W34" i="5"/>
  <c r="V34" i="5"/>
  <c r="AE40" i="5"/>
  <c r="L5" i="3"/>
  <c r="M5" i="3"/>
  <c r="N8" i="3" s="1"/>
  <c r="G11" i="10"/>
  <c r="H11" i="10"/>
  <c r="I11" i="10"/>
  <c r="J11" i="10"/>
  <c r="K11" i="10"/>
  <c r="L11" i="10"/>
  <c r="M11" i="10"/>
  <c r="N11" i="10"/>
  <c r="G12" i="10"/>
  <c r="H12" i="10"/>
  <c r="I12" i="10"/>
  <c r="J12" i="10"/>
  <c r="K12" i="10"/>
  <c r="L12" i="10"/>
  <c r="M12" i="10"/>
  <c r="N12" i="10"/>
  <c r="G23" i="10"/>
  <c r="H23" i="10"/>
  <c r="I23" i="10"/>
  <c r="J23" i="10"/>
  <c r="K23" i="10"/>
  <c r="L23" i="10"/>
  <c r="M23" i="10"/>
  <c r="N23" i="10"/>
  <c r="G24" i="10"/>
  <c r="H24" i="10"/>
  <c r="I24" i="10"/>
  <c r="J24" i="10"/>
  <c r="K24" i="10"/>
  <c r="L24" i="10"/>
  <c r="M24" i="10"/>
  <c r="N24" i="10"/>
  <c r="G9" i="16"/>
  <c r="AB43" i="11"/>
  <c r="AC43" i="11"/>
  <c r="AD43" i="11"/>
  <c r="AE43" i="11"/>
  <c r="AF43" i="11"/>
  <c r="AG43" i="11"/>
  <c r="AH43" i="11"/>
  <c r="AI43" i="11"/>
  <c r="AJ43" i="11"/>
  <c r="AJ42" i="11"/>
  <c r="Z18" i="7"/>
  <c r="Y18" i="7"/>
  <c r="X40" i="5"/>
  <c r="Y40" i="5"/>
  <c r="Z40" i="5"/>
  <c r="AA40" i="5"/>
  <c r="AB40" i="5"/>
  <c r="AC40" i="5"/>
  <c r="AD40" i="5"/>
  <c r="W40" i="5"/>
  <c r="V40" i="5"/>
  <c r="U40" i="5"/>
  <c r="T40" i="5"/>
  <c r="S40" i="5"/>
  <c r="R40" i="5"/>
  <c r="BG9" i="15"/>
  <c r="BG10" i="15"/>
  <c r="BF10" i="15"/>
  <c r="BE10" i="15"/>
  <c r="BF9" i="15"/>
  <c r="BE9" i="15"/>
  <c r="E7" i="15"/>
  <c r="D7" i="15"/>
  <c r="BG44" i="13"/>
  <c r="BH43" i="13"/>
  <c r="BH44" i="13"/>
  <c r="BI44" i="13"/>
  <c r="BG43" i="13"/>
  <c r="BF44" i="13"/>
  <c r="BE44" i="13"/>
  <c r="BD44" i="13"/>
  <c r="BC44" i="13"/>
  <c r="BB44" i="13"/>
  <c r="BF43" i="13"/>
  <c r="BE43" i="13"/>
  <c r="BD43" i="13"/>
  <c r="BC43" i="13"/>
  <c r="BB43" i="13"/>
  <c r="F33" i="13"/>
  <c r="E33" i="13"/>
  <c r="D33" i="13"/>
  <c r="C33" i="13"/>
  <c r="C32" i="13"/>
  <c r="H16" i="13"/>
  <c r="G16" i="13"/>
  <c r="F16" i="13"/>
  <c r="E16" i="13"/>
  <c r="D16" i="13"/>
  <c r="C16" i="13"/>
  <c r="H12" i="13"/>
  <c r="G12" i="13"/>
  <c r="F12" i="13"/>
  <c r="E12" i="13"/>
  <c r="D12" i="13"/>
  <c r="C12" i="13"/>
  <c r="D32" i="11"/>
  <c r="D31" i="11" s="1"/>
  <c r="C32" i="11"/>
  <c r="C25" i="11" s="1"/>
  <c r="H31" i="11"/>
  <c r="G31" i="11"/>
  <c r="F31" i="11"/>
  <c r="E31" i="11"/>
  <c r="H30" i="11"/>
  <c r="G30" i="11"/>
  <c r="F30" i="11"/>
  <c r="E30" i="11"/>
  <c r="H29" i="11"/>
  <c r="G29" i="11"/>
  <c r="F29" i="11"/>
  <c r="E29" i="11"/>
  <c r="H28" i="11"/>
  <c r="G28" i="11"/>
  <c r="F28" i="11"/>
  <c r="E28" i="11"/>
  <c r="H27" i="11"/>
  <c r="G27" i="11"/>
  <c r="F27" i="11"/>
  <c r="E27" i="11"/>
  <c r="H26" i="11"/>
  <c r="G26" i="11"/>
  <c r="F26" i="11"/>
  <c r="E26" i="11"/>
  <c r="H25" i="11"/>
  <c r="G25" i="11"/>
  <c r="F25" i="11"/>
  <c r="E25" i="11"/>
  <c r="N4" i="10"/>
  <c r="N10" i="10"/>
  <c r="N22" i="10"/>
  <c r="M22" i="10"/>
  <c r="L22" i="10"/>
  <c r="K22" i="10"/>
  <c r="J22" i="10"/>
  <c r="I22" i="10"/>
  <c r="H22" i="10"/>
  <c r="G22" i="10"/>
  <c r="M10" i="10"/>
  <c r="L10" i="10"/>
  <c r="K10" i="10"/>
  <c r="J10" i="10"/>
  <c r="I10" i="10"/>
  <c r="H10" i="10"/>
  <c r="G10" i="10"/>
  <c r="M4" i="10"/>
  <c r="L4" i="10"/>
  <c r="K4" i="10"/>
  <c r="J4" i="10"/>
  <c r="I4" i="10"/>
  <c r="H4" i="10"/>
  <c r="G4" i="10"/>
  <c r="K14" i="9"/>
  <c r="J14" i="9"/>
  <c r="I14" i="9"/>
  <c r="H14" i="9"/>
  <c r="G14" i="9"/>
  <c r="F14" i="9"/>
  <c r="E14" i="9"/>
  <c r="K9" i="9"/>
  <c r="J9" i="9"/>
  <c r="I9" i="9"/>
  <c r="H9" i="9"/>
  <c r="G9" i="9"/>
  <c r="F9" i="9"/>
  <c r="E9" i="9"/>
  <c r="AG17" i="8"/>
  <c r="AF14" i="8"/>
  <c r="AG14" i="8"/>
  <c r="AF17" i="8"/>
  <c r="AE17" i="8"/>
  <c r="AD17" i="8"/>
  <c r="AC17" i="8"/>
  <c r="AB17" i="8"/>
  <c r="AA17" i="8"/>
  <c r="Z17" i="8"/>
  <c r="Y17" i="8"/>
  <c r="X17" i="8"/>
  <c r="W17" i="8"/>
  <c r="V17" i="8"/>
  <c r="T17" i="8"/>
  <c r="S17" i="8"/>
  <c r="R17" i="8"/>
  <c r="Q17" i="8"/>
  <c r="P17" i="8"/>
  <c r="O17" i="8"/>
  <c r="N17" i="8"/>
  <c r="M17" i="8"/>
  <c r="L17" i="8"/>
  <c r="AE14" i="8"/>
  <c r="AD14" i="8"/>
  <c r="AC14" i="8"/>
  <c r="AB14" i="8"/>
  <c r="AA14" i="8"/>
  <c r="Z14" i="8"/>
  <c r="Y14" i="8"/>
  <c r="X14" i="8"/>
  <c r="W14" i="8"/>
  <c r="V14" i="8"/>
  <c r="T14" i="8"/>
  <c r="S14" i="8"/>
  <c r="R14" i="8"/>
  <c r="Q14" i="8"/>
  <c r="P14" i="8"/>
  <c r="O14" i="8"/>
  <c r="N14" i="8"/>
  <c r="M14" i="8"/>
  <c r="L14" i="8"/>
  <c r="I14" i="8"/>
  <c r="H14" i="8"/>
  <c r="G14" i="8"/>
  <c r="F14" i="8"/>
  <c r="T9" i="8"/>
  <c r="S9" i="8"/>
  <c r="J9" i="8"/>
  <c r="T7" i="8"/>
  <c r="S7" i="8"/>
  <c r="R7" i="8"/>
  <c r="Q7" i="8"/>
  <c r="P7" i="8"/>
  <c r="O7" i="8"/>
  <c r="N7" i="8"/>
  <c r="M7" i="8"/>
  <c r="L7" i="8"/>
  <c r="AE6" i="8"/>
  <c r="AD6" i="8"/>
  <c r="AC6" i="8"/>
  <c r="AB6" i="8"/>
  <c r="AA6" i="8"/>
  <c r="Z6" i="8"/>
  <c r="Y6" i="8"/>
  <c r="X6" i="8"/>
  <c r="W6" i="8"/>
  <c r="V6" i="8"/>
  <c r="U6" i="8"/>
  <c r="AD15" i="6"/>
  <c r="Q15" i="6"/>
  <c r="H15" i="6"/>
  <c r="E15" i="6"/>
  <c r="D15" i="6"/>
  <c r="C15" i="6"/>
  <c r="AD11" i="6"/>
  <c r="Q11" i="6"/>
  <c r="H11" i="6"/>
  <c r="E11" i="6"/>
  <c r="D11" i="6"/>
  <c r="C11" i="6"/>
  <c r="F5" i="6"/>
  <c r="E5" i="6"/>
  <c r="D5" i="6"/>
  <c r="C5" i="6"/>
  <c r="AD16" i="5"/>
  <c r="Q40" i="5"/>
  <c r="P40" i="5"/>
  <c r="O40" i="5"/>
  <c r="N40" i="5"/>
  <c r="M40" i="5"/>
  <c r="L40" i="5"/>
  <c r="K40" i="5"/>
  <c r="J40" i="5"/>
  <c r="I40" i="5"/>
  <c r="H40" i="5"/>
  <c r="G40" i="5"/>
  <c r="F40" i="5"/>
  <c r="E40" i="5"/>
  <c r="D40" i="5"/>
  <c r="C40" i="5"/>
  <c r="AC16" i="5"/>
  <c r="P4" i="5"/>
  <c r="O4" i="5"/>
  <c r="N4" i="5"/>
  <c r="M4" i="5"/>
  <c r="L4" i="5"/>
  <c r="K4" i="5"/>
  <c r="J4" i="5"/>
  <c r="I4" i="5"/>
  <c r="H4" i="5"/>
  <c r="G4" i="5"/>
  <c r="F4" i="5"/>
  <c r="E4" i="5"/>
  <c r="D4" i="5"/>
  <c r="C4" i="5"/>
  <c r="K5" i="3"/>
  <c r="J5" i="3"/>
  <c r="I5" i="3"/>
  <c r="H5" i="3"/>
  <c r="G5" i="3"/>
  <c r="F5" i="3"/>
  <c r="E5" i="3"/>
  <c r="D5" i="3"/>
  <c r="J14" i="2"/>
  <c r="I14" i="2"/>
  <c r="H14" i="2"/>
  <c r="O3" i="2"/>
  <c r="N3" i="2"/>
  <c r="M3" i="2"/>
  <c r="L3" i="2"/>
  <c r="K3" i="2"/>
  <c r="J3" i="2"/>
  <c r="I3" i="2"/>
  <c r="H3" i="2"/>
  <c r="G8" i="3" l="1"/>
  <c r="E8" i="3"/>
  <c r="D29" i="11"/>
  <c r="D26" i="11"/>
  <c r="M8" i="3"/>
  <c r="J8" i="3"/>
  <c r="C30" i="11"/>
  <c r="K8" i="3"/>
  <c r="L8" i="3"/>
  <c r="F8" i="3"/>
  <c r="H8" i="3"/>
  <c r="I8" i="3"/>
  <c r="C31" i="11"/>
  <c r="C29" i="11"/>
  <c r="D30" i="11"/>
  <c r="D25" i="11"/>
  <c r="C26" i="11"/>
</calcChain>
</file>

<file path=xl/sharedStrings.xml><?xml version="1.0" encoding="utf-8"?>
<sst xmlns="http://schemas.openxmlformats.org/spreadsheetml/2006/main" count="775" uniqueCount="471">
  <si>
    <t>GEOGRAPHY</t>
  </si>
  <si>
    <t>Location</t>
  </si>
  <si>
    <t>Area</t>
  </si>
  <si>
    <t xml:space="preserve">    Latitude</t>
  </si>
  <si>
    <t>7°   6'  35" N  to   0° 42" 24" S</t>
  </si>
  <si>
    <t>Area (including sea)</t>
  </si>
  <si>
    <t>115,300 sq. km</t>
  </si>
  <si>
    <t xml:space="preserve">    Longitude</t>
  </si>
  <si>
    <t>72° 33' 19" E to 73°  46'  13" E</t>
  </si>
  <si>
    <t>E.E.Z</t>
  </si>
  <si>
    <t>859,000 sq. km</t>
  </si>
  <si>
    <t xml:space="preserve">Land Area </t>
  </si>
  <si>
    <t>Male'</t>
  </si>
  <si>
    <t>Exclusive Economic Zone (EEZ)</t>
  </si>
  <si>
    <t>859,000 sq. kms</t>
  </si>
  <si>
    <t>HDh.Hanimaadhoo</t>
  </si>
  <si>
    <t>Hulhumale'</t>
  </si>
  <si>
    <t>L.Kadhdhoo</t>
  </si>
  <si>
    <t>Villimale'</t>
  </si>
  <si>
    <t>GDh.Kaadedhdhoo</t>
  </si>
  <si>
    <t>S.Gan</t>
  </si>
  <si>
    <t xml:space="preserve">       Uninhabited </t>
  </si>
  <si>
    <t>Climate : (Male')</t>
  </si>
  <si>
    <t xml:space="preserve">    Annual Rainfall (millimeters)</t>
  </si>
  <si>
    <t xml:space="preserve">    Total duration of sunshine (hours)</t>
  </si>
  <si>
    <t xml:space="preserve">    Annual average of daily</t>
  </si>
  <si>
    <t xml:space="preserve">       - maximum temperature (degree Celsius)</t>
  </si>
  <si>
    <t xml:space="preserve">       - minimum temperature (degree Celsius)</t>
  </si>
  <si>
    <t>POPULATION</t>
  </si>
  <si>
    <t>na</t>
  </si>
  <si>
    <t>Mortality Rate (under 5) / '000 Live Births</t>
  </si>
  <si>
    <t>Crude Birth Rate / '000 Population</t>
  </si>
  <si>
    <t xml:space="preserve">Crude Death Rate / '000 Population </t>
  </si>
  <si>
    <t xml:space="preserve">Still Birth Rate / '000 Live Births </t>
  </si>
  <si>
    <t>Total Fertility Rate (Censuses) ,  (Children per Woman)</t>
  </si>
  <si>
    <t xml:space="preserve">  </t>
  </si>
  <si>
    <t>Marriages</t>
  </si>
  <si>
    <t>Divorces</t>
  </si>
  <si>
    <t>Male</t>
  </si>
  <si>
    <t>Female</t>
  </si>
  <si>
    <t xml:space="preserve">            3_/: Foreigners were not included in population census and projection prior to 2014</t>
  </si>
  <si>
    <t>Births</t>
  </si>
  <si>
    <t>Deaths</t>
  </si>
  <si>
    <t>EMPLOYMENT</t>
  </si>
  <si>
    <t>Both Sexes</t>
  </si>
  <si>
    <t>Percent change over previous year</t>
  </si>
  <si>
    <t>Employment (Resident Maldivian population)</t>
  </si>
  <si>
    <t>Census 2014</t>
  </si>
  <si>
    <t>15+ Population</t>
  </si>
  <si>
    <t>Employed Population</t>
  </si>
  <si>
    <t>Unemployed Population (ILO defintion)/Seeking and available</t>
  </si>
  <si>
    <t>Unemployment Rate (ILO definition) (%)</t>
  </si>
  <si>
    <r>
      <rPr>
        <sz val="10"/>
        <rFont val="Calibri"/>
        <family val="2"/>
        <scheme val="minor"/>
      </rPr>
      <t xml:space="preserve">1_/ </t>
    </r>
    <r>
      <rPr>
        <i/>
        <sz val="10"/>
        <rFont val="Calibri"/>
        <family val="2"/>
        <scheme val="minor"/>
      </rPr>
      <t>With the formation of civil service in 2008, government employees figures includes civil servants only</t>
    </r>
  </si>
  <si>
    <r>
      <rPr>
        <sz val="10"/>
        <rFont val="Calibri"/>
        <family val="2"/>
        <scheme val="minor"/>
      </rPr>
      <t xml:space="preserve">2_/ </t>
    </r>
    <r>
      <rPr>
        <i/>
        <sz val="10"/>
        <rFont val="Calibri"/>
        <family val="2"/>
        <scheme val="minor"/>
      </rPr>
      <t xml:space="preserve">Due to change in the border control system used to generate the immigration data with new system established in November 2012, there is a discontinuity in consistent records. </t>
    </r>
  </si>
  <si>
    <r>
      <rPr>
        <sz val="10"/>
        <rFont val="Calibri"/>
        <family val="2"/>
        <scheme val="minor"/>
      </rPr>
      <t xml:space="preserve">3_/ </t>
    </r>
    <r>
      <rPr>
        <i/>
        <sz val="10"/>
        <rFont val="Calibri"/>
        <family val="2"/>
        <scheme val="minor"/>
      </rPr>
      <t>Employment Approval (EA) is a written statement by immigration, giving permission for foreigners to work in Maldives. Resident permit/work visa is issued based on this EA for those who apply for work visa.</t>
    </r>
  </si>
  <si>
    <t>HEALTH</t>
  </si>
  <si>
    <t>Number of Doctors in Male'</t>
  </si>
  <si>
    <t>Number of Doctors in Atolls</t>
  </si>
  <si>
    <t>-</t>
  </si>
  <si>
    <t>Average Duration of Stay at IGMH (Days)</t>
  </si>
  <si>
    <t>Average Occupancy Ratio at IGMH (%)</t>
  </si>
  <si>
    <t>No. of Thalassemia Cases registered</t>
  </si>
  <si>
    <t>No. of New Thalassemia Cases</t>
  </si>
  <si>
    <t>No. of Tuberculosis Cases Under Treatment</t>
  </si>
  <si>
    <t>Note:</t>
  </si>
  <si>
    <t xml:space="preserve"> Inpatients at the main public hospital in Male' (IGMH),   do not show the full picture as it covers 69% of inpatient  hospital beds in Male'.</t>
  </si>
  <si>
    <t xml:space="preserve">IGMH: Indhiraa Gandhi Memorial Hospital </t>
  </si>
  <si>
    <t>EDUCATION</t>
  </si>
  <si>
    <t>Student Enrolment in Maldives</t>
  </si>
  <si>
    <t>Government Schools</t>
  </si>
  <si>
    <t>Private Schools</t>
  </si>
  <si>
    <t>Community Schools</t>
  </si>
  <si>
    <r>
      <t>9,845</t>
    </r>
    <r>
      <rPr>
        <vertAlign val="superscript"/>
        <sz val="10"/>
        <rFont val="Calibri"/>
        <family val="2"/>
      </rPr>
      <t xml:space="preserve"> 1_/</t>
    </r>
    <r>
      <rPr>
        <sz val="10"/>
        <rFont val="Calibri"/>
        <family val="2"/>
      </rPr>
      <t xml:space="preserve"> </t>
    </r>
  </si>
  <si>
    <t>Student Enrolment by Level</t>
  </si>
  <si>
    <t>Pre - Primary Enrolment (NURS, LKG, UKG)</t>
  </si>
  <si>
    <t>Primary Enrolment (Grades 1 - 7)</t>
  </si>
  <si>
    <t>Lower Secondary Enrolment (Grades 8 - 10)</t>
  </si>
  <si>
    <t>Higher Secondary Enrolment (Grades 11 - 12)</t>
  </si>
  <si>
    <t>Special Classes **</t>
  </si>
  <si>
    <t>*</t>
  </si>
  <si>
    <t>15**</t>
  </si>
  <si>
    <t>12**</t>
  </si>
  <si>
    <t>Education Expenditure as % of National Budget</t>
  </si>
  <si>
    <t>Republic</t>
  </si>
  <si>
    <t xml:space="preserve">Student / Teacher Ratio </t>
  </si>
  <si>
    <t>Teachers</t>
  </si>
  <si>
    <t>Atolls</t>
  </si>
  <si>
    <t>Local</t>
  </si>
  <si>
    <t>Foreign</t>
  </si>
  <si>
    <t>Trained</t>
  </si>
  <si>
    <t>Untrained</t>
  </si>
  <si>
    <t xml:space="preserve">Gross Primary Enrolment Ratio </t>
  </si>
  <si>
    <t xml:space="preserve">Gross Lower Secondary Enrolment Ratio </t>
  </si>
  <si>
    <t xml:space="preserve">Gross Higher Secondary Enrolment Ratio </t>
  </si>
  <si>
    <t xml:space="preserve">Net Primary Enrolment Ratio </t>
  </si>
  <si>
    <t xml:space="preserve">Net Lower Secondary Enrolment Ratio </t>
  </si>
  <si>
    <t xml:space="preserve">Net Higher Secondary Enrolment Ratio </t>
  </si>
  <si>
    <t>Enrolment by Sex</t>
  </si>
  <si>
    <t>Both sexes</t>
  </si>
  <si>
    <t>Educational Institutions</t>
  </si>
  <si>
    <t xml:space="preserve">Note: </t>
  </si>
  <si>
    <t>LAW AND ORDER</t>
  </si>
  <si>
    <t>No. of cases logged with Police</t>
  </si>
  <si>
    <t>No. of Cases dealt by Judicial Courts</t>
  </si>
  <si>
    <t>Cases handled by the High Court</t>
  </si>
  <si>
    <t>Cases logged</t>
  </si>
  <si>
    <t>Cases dealt</t>
  </si>
  <si>
    <t>Cases awaiting trial</t>
  </si>
  <si>
    <t>Number of Detainees</t>
  </si>
  <si>
    <t>Persons sentenced</t>
  </si>
  <si>
    <t>FISHERIES AND AGRICULTURE</t>
  </si>
  <si>
    <t>Total Catch ('000 metric tons)</t>
  </si>
  <si>
    <t>Yellow fin</t>
  </si>
  <si>
    <t xml:space="preserve">            Skipjack</t>
  </si>
  <si>
    <t xml:space="preserve">Growth in Fish Catch (%) </t>
  </si>
  <si>
    <t>Composition of Fish Catch: (in  metric tons)</t>
  </si>
  <si>
    <t xml:space="preserve">            Total</t>
  </si>
  <si>
    <t xml:space="preserve">            Yellow fin</t>
  </si>
  <si>
    <t xml:space="preserve">            Local Consumption</t>
  </si>
  <si>
    <t xml:space="preserve">            Exports</t>
  </si>
  <si>
    <t xml:space="preserve">            Stock (of current year)</t>
  </si>
  <si>
    <t xml:space="preserve">            Other Tuna Related Species</t>
  </si>
  <si>
    <t xml:space="preserve">            Other Marine Fish</t>
  </si>
  <si>
    <t>No. of Fisherman</t>
  </si>
  <si>
    <t>NA</t>
  </si>
  <si>
    <t>Imports of Fresh Agricultural Crops Mainly 
Produced In Maldives (in '000 MVR)</t>
  </si>
  <si>
    <t>No. of Islands leased for agriculture purpose</t>
  </si>
  <si>
    <t>Total Annual Lease of Uninhabited Islands(in'000 MVR)</t>
  </si>
  <si>
    <t>fish catch</t>
  </si>
  <si>
    <t xml:space="preserve">TOURISM </t>
  </si>
  <si>
    <t>No. of Tourist Resorts (Including Marinas)</t>
  </si>
  <si>
    <t>Tourist Arrivals</t>
  </si>
  <si>
    <t>Tourist Arrivals ('000)</t>
  </si>
  <si>
    <t>Growth in Tourist Arrivals (%)</t>
  </si>
  <si>
    <t>Beds in operation (annual average)</t>
  </si>
  <si>
    <t>Total Registered Bed Capacity (end year)</t>
  </si>
  <si>
    <t>Resorts (including marinas)</t>
  </si>
  <si>
    <t>Hotels</t>
  </si>
  <si>
    <t>Guest Houses</t>
  </si>
  <si>
    <t>Safari Vessels</t>
  </si>
  <si>
    <t>Increase in Bed Capacity  of Resorts % (over previous yr)</t>
  </si>
  <si>
    <t>Total Tourist Bed-nights  ('000)</t>
  </si>
  <si>
    <t>Increase in Tourist Bed-nights</t>
  </si>
  <si>
    <t>Average Duration of Stay (days)</t>
  </si>
  <si>
    <t xml:space="preserve">Tourism Tax (In Million MVR) 2_/ </t>
  </si>
  <si>
    <t xml:space="preserve">Tourism Revenue (In Million MVR) </t>
  </si>
  <si>
    <t>Tourism Receipts (In million US$)</t>
  </si>
  <si>
    <r>
      <rPr>
        <vertAlign val="superscript"/>
        <sz val="10"/>
        <rFont val="Candara"/>
        <family val="2"/>
      </rPr>
      <t>1_/</t>
    </r>
    <r>
      <rPr>
        <i/>
        <vertAlign val="superscript"/>
        <sz val="9"/>
        <rFont val="Candara"/>
        <family val="2"/>
      </rPr>
      <t xml:space="preserve">  </t>
    </r>
    <r>
      <rPr>
        <i/>
        <sz val="9"/>
        <rFont val="Candara"/>
        <family val="2"/>
      </rPr>
      <t xml:space="preserve">From 2010 onwards Includes resorts/hotels/guest houses &amp; safari vessels and prior that only resorts and Hotels </t>
    </r>
  </si>
  <si>
    <r>
      <rPr>
        <sz val="9"/>
        <rFont val="Candara"/>
        <family val="2"/>
      </rPr>
      <t xml:space="preserve">2_/  </t>
    </r>
    <r>
      <rPr>
        <i/>
        <sz val="9"/>
        <rFont val="Candara"/>
        <family val="2"/>
      </rPr>
      <t xml:space="preserve">Tourist tax terminated from end of Nov 2014 with an ammendment to Maldives Tourism Act. </t>
    </r>
  </si>
  <si>
    <r>
      <rPr>
        <sz val="9"/>
        <rFont val="Candara"/>
        <family val="2"/>
      </rPr>
      <t xml:space="preserve">3_/  </t>
    </r>
    <r>
      <rPr>
        <i/>
        <sz val="9"/>
        <rFont val="Candara"/>
        <family val="2"/>
      </rPr>
      <t>2016 data are revised estimates and other years are actuals</t>
    </r>
  </si>
  <si>
    <t xml:space="preserve">TRANSPORT AND COMMUNICATION </t>
  </si>
  <si>
    <t>Aircraft Movement at Velanaa  International Airport</t>
  </si>
  <si>
    <t>Total Number of International Flights</t>
  </si>
  <si>
    <t>Scheduled Flights</t>
  </si>
  <si>
    <t>Arrivals</t>
  </si>
  <si>
    <t>Chartered Flights</t>
  </si>
  <si>
    <t>Non Scheduled Flights</t>
  </si>
  <si>
    <t>Passenger Movement of International Flights ('000)</t>
  </si>
  <si>
    <t>Passenger Movement of International Flights</t>
  </si>
  <si>
    <t>Departures</t>
  </si>
  <si>
    <t>Direct Transit</t>
  </si>
  <si>
    <t>Passenger Movement of Domestic Flights ('000)</t>
  </si>
  <si>
    <t>Passenger Movement of Domestic Flights</t>
  </si>
  <si>
    <t>Number of Motor Cars</t>
  </si>
  <si>
    <t>Number of Motor Cycles/Auto Cycles</t>
  </si>
  <si>
    <t xml:space="preserve">Sea Transport </t>
  </si>
  <si>
    <t>Number of Launches</t>
  </si>
  <si>
    <t>Number of Boats</t>
  </si>
  <si>
    <t>Land Transport</t>
  </si>
  <si>
    <t>Phone Calls ( '000 minutes)</t>
  </si>
  <si>
    <t>International telephone calls</t>
  </si>
  <si>
    <t>National telephone calls</t>
  </si>
  <si>
    <t>Mobile calls</t>
  </si>
  <si>
    <t xml:space="preserve">Phone lines </t>
  </si>
  <si>
    <t>Fixed telephone lines</t>
  </si>
  <si>
    <t>Mobile phone subscriptions</t>
  </si>
  <si>
    <t>Post-paid</t>
  </si>
  <si>
    <t>Pre-paid</t>
  </si>
  <si>
    <t>On 1st January 2017 INIA was rebranded to Velanaa International Airport</t>
  </si>
  <si>
    <t>1_/: Data have been revised from 2010 - 2017</t>
  </si>
  <si>
    <t>ELECTRICITY</t>
  </si>
  <si>
    <t>% Change in Electricity Utilization</t>
  </si>
  <si>
    <t>% Change in Electricity production</t>
  </si>
  <si>
    <t>WATER</t>
  </si>
  <si>
    <t>% Change in Water Distribution</t>
  </si>
  <si>
    <t>VilliMale'</t>
  </si>
  <si>
    <r>
      <t>Registered  Vehicles / Vessels</t>
    </r>
    <r>
      <rPr>
        <b/>
        <vertAlign val="superscript"/>
        <sz val="11"/>
        <rFont val="Candara"/>
        <family val="2"/>
      </rPr>
      <t>1_/</t>
    </r>
  </si>
  <si>
    <r>
      <t>Electricity Utilization in Male' ( in ' 000 Kwh)</t>
    </r>
    <r>
      <rPr>
        <vertAlign val="superscript"/>
        <sz val="11"/>
        <rFont val="Candara"/>
        <family val="2"/>
      </rPr>
      <t>1_/</t>
    </r>
  </si>
  <si>
    <t xml:space="preserve">PUBLIC FINANCE </t>
  </si>
  <si>
    <t>(In million rufiyaa)</t>
  </si>
  <si>
    <t>actual</t>
  </si>
  <si>
    <t>revised</t>
  </si>
  <si>
    <t>Revenue and Grants</t>
  </si>
  <si>
    <t xml:space="preserve">Revenue </t>
  </si>
  <si>
    <t>Tax Revenue</t>
  </si>
  <si>
    <t>Expenditure and Net Lending</t>
  </si>
  <si>
    <t>Total Expenditure</t>
  </si>
  <si>
    <t>Current Expenditure</t>
  </si>
  <si>
    <t xml:space="preserve">Capital Expenditure </t>
  </si>
  <si>
    <t>Net Lending</t>
  </si>
  <si>
    <t>Financing</t>
  </si>
  <si>
    <t>Foreign financing</t>
  </si>
  <si>
    <t xml:space="preserve">Domestic financing </t>
  </si>
  <si>
    <t xml:space="preserve">Total Debt </t>
  </si>
  <si>
    <t>Foreign Debt</t>
  </si>
  <si>
    <t xml:space="preserve">Domestic Debt </t>
  </si>
  <si>
    <t>Revenue as percent of GDP</t>
  </si>
  <si>
    <t>Total Expenditure as pecent of GDP</t>
  </si>
  <si>
    <t>Overall Balance as pecent of GDP</t>
  </si>
  <si>
    <t>Primary Balance as pecent of GDP</t>
  </si>
  <si>
    <t>Total Debt as pecent of GDP</t>
  </si>
  <si>
    <t>Foreign debt as pecent of GDP</t>
  </si>
  <si>
    <t>Domestic debt as pecent of GDP</t>
  </si>
  <si>
    <r>
      <rPr>
        <vertAlign val="superscript"/>
        <sz val="11"/>
        <rFont val="Calibri"/>
        <family val="2"/>
      </rPr>
      <t>1_/</t>
    </r>
    <r>
      <rPr>
        <i/>
        <vertAlign val="superscript"/>
        <sz val="11"/>
        <rFont val="Calibri"/>
        <family val="2"/>
      </rPr>
      <t xml:space="preserve">    </t>
    </r>
    <r>
      <rPr>
        <i/>
        <sz val="11"/>
        <rFont val="Calibri"/>
        <family val="2"/>
      </rPr>
      <t>Includes capital revenue</t>
    </r>
  </si>
  <si>
    <r>
      <rPr>
        <vertAlign val="superscript"/>
        <sz val="11"/>
        <rFont val="Calibri"/>
        <family val="2"/>
      </rPr>
      <t>4_/</t>
    </r>
    <r>
      <rPr>
        <i/>
        <vertAlign val="superscript"/>
        <sz val="11"/>
        <rFont val="Calibri"/>
        <family val="2"/>
      </rPr>
      <t xml:space="preserve">    </t>
    </r>
    <r>
      <rPr>
        <i/>
        <sz val="11"/>
        <rFont val="Calibri"/>
        <family val="2"/>
      </rPr>
      <t>Primary Balance is excluding Loan repayment</t>
    </r>
  </si>
  <si>
    <r>
      <rPr>
        <vertAlign val="superscript"/>
        <sz val="11"/>
        <rFont val="Calibri"/>
        <family val="2"/>
      </rPr>
      <t>2_/</t>
    </r>
    <r>
      <rPr>
        <i/>
        <vertAlign val="superscript"/>
        <sz val="11"/>
        <rFont val="Calibri"/>
        <family val="2"/>
      </rPr>
      <t xml:space="preserve">    </t>
    </r>
    <r>
      <rPr>
        <i/>
        <sz val="11"/>
        <rFont val="Calibri"/>
        <family val="2"/>
      </rPr>
      <t>Excludes grants for direct expenditure by donors</t>
    </r>
  </si>
  <si>
    <r>
      <rPr>
        <vertAlign val="superscript"/>
        <sz val="11"/>
        <rFont val="Calibri"/>
        <family val="2"/>
      </rPr>
      <t>3_/</t>
    </r>
    <r>
      <rPr>
        <i/>
        <vertAlign val="superscript"/>
        <sz val="11"/>
        <rFont val="Calibri"/>
        <family val="2"/>
      </rPr>
      <t xml:space="preserve">    </t>
    </r>
    <r>
      <rPr>
        <i/>
        <sz val="11"/>
        <rFont val="Calibri"/>
        <family val="2"/>
      </rPr>
      <t xml:space="preserve">Overall Balance including Grants </t>
    </r>
  </si>
  <si>
    <t>MONEY AND BANKING</t>
  </si>
  <si>
    <t>(In million Rufiyaa, end of period)</t>
  </si>
  <si>
    <t>Tourism</t>
  </si>
  <si>
    <t>Commerce</t>
  </si>
  <si>
    <t>Construction</t>
  </si>
  <si>
    <t xml:space="preserve">Net foreign assets </t>
  </si>
  <si>
    <t>Central bank</t>
  </si>
  <si>
    <t>Other depository corporations</t>
  </si>
  <si>
    <t>Domestic claims</t>
  </si>
  <si>
    <t>Net claims on central government</t>
  </si>
  <si>
    <t>Claims on other sectors</t>
  </si>
  <si>
    <t xml:space="preserve">     of which Claims on private sector</t>
  </si>
  <si>
    <t>Broad money</t>
  </si>
  <si>
    <t>Narrow money</t>
  </si>
  <si>
    <t>Quasi money</t>
  </si>
  <si>
    <t>Private sector loans and Advances</t>
  </si>
  <si>
    <t>Agriculture</t>
  </si>
  <si>
    <t>Fishing</t>
  </si>
  <si>
    <t>Manufacturing</t>
  </si>
  <si>
    <t>Transport and Communication</t>
  </si>
  <si>
    <t xml:space="preserve">FOREIGN TRADE </t>
  </si>
  <si>
    <t>EXPORTS</t>
  </si>
  <si>
    <t>Total exports (f.o.b value '000 in MVR )</t>
  </si>
  <si>
    <t>Total exports (f.o.b value in '000 US$)</t>
  </si>
  <si>
    <t xml:space="preserve">  Marine Products</t>
  </si>
  <si>
    <t xml:space="preserve">  Other Products</t>
  </si>
  <si>
    <t>Total (in %)</t>
  </si>
  <si>
    <t xml:space="preserve">  Marine products</t>
  </si>
  <si>
    <t xml:space="preserve">  Other products</t>
  </si>
  <si>
    <t>% Change in exports</t>
  </si>
  <si>
    <t>IMPORTS</t>
  </si>
  <si>
    <t>Total Imports (c.i.f value in '000 MVR)</t>
  </si>
  <si>
    <t>Total Imports (c.i.f value in '000 US$)</t>
  </si>
  <si>
    <t>% Change in imports</t>
  </si>
  <si>
    <t>EXCHANGE RATE</t>
  </si>
  <si>
    <t>Average Exchange Rate (MVR per US$)</t>
  </si>
  <si>
    <t xml:space="preserve">BALANCE OF PAYMENTS </t>
  </si>
  <si>
    <t>(In million US$)</t>
  </si>
  <si>
    <t>Balance on goods</t>
  </si>
  <si>
    <t>Current Account Balance</t>
  </si>
  <si>
    <t>Balance on services</t>
  </si>
  <si>
    <t>Exports</t>
  </si>
  <si>
    <t>Imports</t>
  </si>
  <si>
    <t>Financial Account as a percentage of GDP</t>
  </si>
  <si>
    <t>Note:   1_/:   Positive sign indicates net landing  and negative sign indicates net borrowing.</t>
  </si>
  <si>
    <t xml:space="preserve">             BOP Series has been compiled in accordance with BPM6 methodologies from 2011 onwards based on information available as of 16 April 2017</t>
  </si>
  <si>
    <t xml:space="preserve">NATIONAL ACCOUNTS </t>
  </si>
  <si>
    <t>(Gross Domestic Product - G.D.P at market prices)</t>
  </si>
  <si>
    <t>G.D.P at 2014 Constant Prices ( million MVR)</t>
  </si>
  <si>
    <t>G.D.P at 2014 Constant Prices (million US$)</t>
  </si>
  <si>
    <t>G.D.P Growth Rates</t>
  </si>
  <si>
    <t xml:space="preserve">G.D.P  </t>
  </si>
  <si>
    <t>GDP per Capita at 2014 Constant prices (MVR)</t>
  </si>
  <si>
    <t xml:space="preserve"> Growth Rates</t>
  </si>
  <si>
    <t>GDP per Capita at 2014 Constant Prices (US$)</t>
  </si>
  <si>
    <r>
      <t>GDP at  Current Prices (million US$)</t>
    </r>
    <r>
      <rPr>
        <vertAlign val="superscript"/>
        <sz val="11"/>
        <rFont val="Calibri"/>
        <family val="2"/>
        <scheme val="minor"/>
      </rPr>
      <t xml:space="preserve"> </t>
    </r>
  </si>
  <si>
    <t>GDP at  Current Prices (million MVR)</t>
  </si>
  <si>
    <t>GDP per Capita at Current Prices (MVR)</t>
  </si>
  <si>
    <t>GDP per Capita at Current Prices (US$)</t>
  </si>
  <si>
    <t>PRICES</t>
  </si>
  <si>
    <t>Consumer Price Index (CPI), June 2012 = 100</t>
  </si>
  <si>
    <t>Total National CPI</t>
  </si>
  <si>
    <t>% change in CPI ( Inflation Rate) - National</t>
  </si>
  <si>
    <t>Food and non- alchoholic beverages- National</t>
  </si>
  <si>
    <t>% change in food and non-alchoholic beverages - National</t>
  </si>
  <si>
    <t>Fuel Prices ( Open Market Rate) at year end</t>
  </si>
  <si>
    <t>Note:  1_/: In April 2011, the exchange rate regime was changed from a fixed rate regime to a band of 20 percent around a central parity of MVR 12.8 per US dollar</t>
  </si>
  <si>
    <t>over all</t>
  </si>
  <si>
    <t>Food and non-alchoholic beverages</t>
  </si>
  <si>
    <t>POLITICAL PARTIES</t>
  </si>
  <si>
    <t>Number of People Registered under Political Parties</t>
  </si>
  <si>
    <t>Money given by the Government to the Political Parties (MVR)</t>
  </si>
  <si>
    <t>ELECTIONS</t>
  </si>
  <si>
    <t xml:space="preserve">                                     Presidential  Election, 2008</t>
  </si>
  <si>
    <t>Parliamentary 
Election, 2009</t>
  </si>
  <si>
    <t>Local Council Election, 2011</t>
  </si>
  <si>
    <t>Presidential Election, 2013</t>
  </si>
  <si>
    <t>Parliamentary election, 2014</t>
  </si>
  <si>
    <t xml:space="preserve">Local Council elections, 2017 </t>
  </si>
  <si>
    <t>Total</t>
  </si>
  <si>
    <t>Expenditure (MVR)</t>
  </si>
  <si>
    <t>First Round</t>
  </si>
  <si>
    <t>Second Round</t>
  </si>
  <si>
    <t>Eligible voters</t>
  </si>
  <si>
    <t>Number voted</t>
  </si>
  <si>
    <t>Voter turnout</t>
  </si>
  <si>
    <t>1_/: revised</t>
  </si>
  <si>
    <t xml:space="preserve"> Presidential  Election, 2008</t>
  </si>
  <si>
    <t>POVERTY INDICATORS</t>
  </si>
  <si>
    <r>
      <t xml:space="preserve">Poverty &amp; inequality measures (using Consumption Aggregate) </t>
    </r>
    <r>
      <rPr>
        <b/>
        <vertAlign val="superscript"/>
        <sz val="10"/>
        <rFont val="Candara"/>
        <family val="2"/>
      </rPr>
      <t>1_/</t>
    </r>
  </si>
  <si>
    <t xml:space="preserve">Male' </t>
  </si>
  <si>
    <r>
      <t xml:space="preserve">Headcount ratios (population below the defined poverty line) </t>
    </r>
    <r>
      <rPr>
        <b/>
        <vertAlign val="superscript"/>
        <sz val="10"/>
        <rFont val="Candara"/>
        <family val="2"/>
      </rPr>
      <t>2_/</t>
    </r>
  </si>
  <si>
    <t>National Poverty Line</t>
  </si>
  <si>
    <t xml:space="preserve">  Half the median of total expenditure per person per day (MVR 74)</t>
  </si>
  <si>
    <t>High Poverty Line</t>
  </si>
  <si>
    <t xml:space="preserve">  Median of total expenditure per person per day (MVR 148)</t>
  </si>
  <si>
    <t xml:space="preserve">    International poverty line of $5.5</t>
  </si>
  <si>
    <t xml:space="preserve"> $-a-day poverty line for Upper Middle Income Countries (MVR 70)</t>
  </si>
  <si>
    <r>
      <t xml:space="preserve">Poverty Gap ratios (population below the defined poverty line) </t>
    </r>
    <r>
      <rPr>
        <b/>
        <vertAlign val="superscript"/>
        <sz val="10"/>
        <rFont val="Candara"/>
        <family val="2"/>
      </rPr>
      <t>3_/</t>
    </r>
  </si>
  <si>
    <t xml:space="preserve">    International poverty line of $5.5 </t>
  </si>
  <si>
    <r>
      <t xml:space="preserve">Inequality Measures  </t>
    </r>
    <r>
      <rPr>
        <b/>
        <vertAlign val="superscript"/>
        <sz val="10"/>
        <rFont val="Calibri"/>
        <family val="2"/>
        <scheme val="minor"/>
      </rPr>
      <t>4_/</t>
    </r>
  </si>
  <si>
    <t xml:space="preserve">    Gini Coefficient</t>
  </si>
  <si>
    <t>Source: Household Income and Expenditure Survey 2016</t>
  </si>
  <si>
    <t>1/ Consumption aggregate is the measure of welfare adopted to assess population's living standard based on household expenditure. It is derived by aggregating households’ expenditures on goods and services that contribute to the welfare of the population and excludes lumpy expenditures such as on weddings, housing constructions, health.</t>
  </si>
  <si>
    <t>2/ National Poverty Line is set at half the median of total Expenditure in the Consumption Aggregate (which is MVR 74)</t>
  </si>
  <si>
    <t>2/ High Poverty Line is set at median of total Expenditure in the Consumption Aggregate (which is MVR 148)</t>
  </si>
  <si>
    <t>2/ International Poverty Line takes the value given for Upper Middle-income country of $5.50 (After adjustment for PPP and inflation gives MVR 70)</t>
  </si>
  <si>
    <t>2/ Poverty rate or the headcount ratio is the percentage of population living below a given poverty line (the % of poor people)</t>
  </si>
  <si>
    <t>3/ Poverty Gap Index measures the depth of poverty by determining the gap between the actual state of an individual and the poverty line(how far the poor are from a given poverty line)</t>
  </si>
  <si>
    <t>4/ Inequality is measured using Gini Coefficient. Gini Coefficient measures the extent to which the distribution of consumption among individuals/households differs from a perfectly equal one. Gini coefficient takes the value between 0 and 1. A value of 0 represents absolute equality with everybody consuming the same amount. A value of 1 represent inequality where all consumption is concentrated in one person.</t>
  </si>
  <si>
    <t>SOCIAL PROTECTION</t>
  </si>
  <si>
    <t>No. of persons</t>
  </si>
  <si>
    <t>Single Parent Allowance</t>
  </si>
  <si>
    <t>Foster Parent Allowance</t>
  </si>
  <si>
    <t>Emergency Medical Welfare</t>
  </si>
  <si>
    <t>Disability Allowance</t>
  </si>
  <si>
    <t>Food Subsidy</t>
  </si>
  <si>
    <t>PENSION</t>
  </si>
  <si>
    <t>Basic Pension</t>
  </si>
  <si>
    <t>Retirement Pension</t>
  </si>
  <si>
    <t>Retirement Pension Scheme</t>
  </si>
  <si>
    <t>Employers (end year)</t>
  </si>
  <si>
    <t>Employees (end year)</t>
  </si>
  <si>
    <t>1_/ Other pension includes pension to state employees with 20 - 40 years of service. Also includes various benefits paid by state.</t>
  </si>
  <si>
    <t>1_/: number of hospital beds are given according to the number on end of the year at IGMH</t>
  </si>
  <si>
    <t>Presidential election, 2018</t>
  </si>
  <si>
    <t>Local Council elections, 2014</t>
  </si>
  <si>
    <t xml:space="preserve"> In 135 community schools were converted to government schools in 2005 due to educational policy change</t>
  </si>
  <si>
    <t>Number of Dhoni</t>
  </si>
  <si>
    <t>Number of Safari Vessel</t>
  </si>
  <si>
    <t>Mobile subscriptions per 100 people</t>
  </si>
  <si>
    <t>Landlines per 100 people</t>
  </si>
  <si>
    <r>
      <t>Teledensity</t>
    </r>
    <r>
      <rPr>
        <b/>
        <vertAlign val="superscript"/>
        <sz val="11"/>
        <color theme="1"/>
        <rFont val="Calibri"/>
        <family val="2"/>
        <scheme val="minor"/>
      </rPr>
      <t>2</t>
    </r>
  </si>
  <si>
    <r>
      <t xml:space="preserve"> Male'</t>
    </r>
    <r>
      <rPr>
        <sz val="10"/>
        <rFont val="Candara"/>
        <family val="2"/>
      </rPr>
      <t xml:space="preserve"> </t>
    </r>
  </si>
  <si>
    <t xml:space="preserve"> Vilimale'</t>
  </si>
  <si>
    <t xml:space="preserve"> Hulhumale</t>
  </si>
  <si>
    <r>
      <t>Water distribution</t>
    </r>
    <r>
      <rPr>
        <b/>
        <sz val="10"/>
        <rFont val="Candara"/>
        <family val="2"/>
      </rPr>
      <t xml:space="preserve"> (in ' 000 metric tones)</t>
    </r>
  </si>
  <si>
    <r>
      <t xml:space="preserve"> Male'</t>
    </r>
    <r>
      <rPr>
        <b/>
        <sz val="10"/>
        <rFont val="Candara"/>
        <family val="2"/>
      </rPr>
      <t xml:space="preserve"> </t>
    </r>
  </si>
  <si>
    <t xml:space="preserve"> Hulhumale'</t>
  </si>
  <si>
    <t xml:space="preserve"> Male' </t>
  </si>
  <si>
    <t>Note: Electricity production by Utility companies not included</t>
  </si>
  <si>
    <t>Electricity production ( in ' 000 Kwh)</t>
  </si>
  <si>
    <t>2_/: Covers all the 6 rounds including the ones that got cancelled</t>
  </si>
  <si>
    <t>Male' (Capital)</t>
  </si>
  <si>
    <t xml:space="preserve">Number of Islands: </t>
  </si>
  <si>
    <t>(including capital Male'- which includes Hulhumale' and Villimale' islands as its wards)</t>
  </si>
  <si>
    <t>No. of Beneficiaries (end year)</t>
  </si>
  <si>
    <t>Universal Health Insurance (Usage)</t>
  </si>
  <si>
    <t>Universal Health Insuarance Scheme named "Aasandha" was introduced in January 2012 and replaced the existing schemes "Madhana" and "Madhana Plus" (covers all Maldivians).</t>
  </si>
  <si>
    <t>Government Expenditure (MVR)</t>
  </si>
  <si>
    <t>Tourism Contribution to GDP (%) at constant price</t>
  </si>
  <si>
    <t>2_/ Senior Citizen Allowance was introduced in February 2014.Those pensioners receiving less than 5,000 mvr is given the balance amount to reach 5,000 mvr under this scheme  and discontinued in March 2019.</t>
  </si>
  <si>
    <r>
      <t xml:space="preserve">Note:  </t>
    </r>
    <r>
      <rPr>
        <i/>
        <sz val="9"/>
        <rFont val="Calibri"/>
        <family val="2"/>
        <scheme val="minor"/>
      </rPr>
      <t>1_/: Population projection prior to 2014 include Maldivians. From 2014 onwards the population includes  resident Maldivians and resident Foreigners</t>
    </r>
  </si>
  <si>
    <t xml:space="preserve">            2_/:  Maldivians living abroad were included prior to 2014. From 2014 onwards only resident Maldivians are  included.</t>
  </si>
  <si>
    <t>Island</t>
  </si>
  <si>
    <t>Month</t>
  </si>
  <si>
    <t>Power (kwh)</t>
  </si>
  <si>
    <t>Fuel (L)</t>
  </si>
  <si>
    <t>Lube (L)</t>
  </si>
  <si>
    <t>Jan</t>
  </si>
  <si>
    <t>Feb</t>
  </si>
  <si>
    <t>Mar</t>
  </si>
  <si>
    <t>Apr</t>
  </si>
  <si>
    <t>May</t>
  </si>
  <si>
    <t>Jun</t>
  </si>
  <si>
    <t>Jul</t>
  </si>
  <si>
    <t>Aug</t>
  </si>
  <si>
    <t>Sep</t>
  </si>
  <si>
    <t>Oct</t>
  </si>
  <si>
    <t>Nov</t>
  </si>
  <si>
    <t>Dec</t>
  </si>
  <si>
    <t>Hulhumale</t>
  </si>
  <si>
    <t>Villingili</t>
  </si>
  <si>
    <t>Rev Est</t>
  </si>
  <si>
    <t>Neonatal Mortality Rate (NMR)/’000 live births (0-27days)</t>
  </si>
  <si>
    <t>Note:   2_/:   Revised from 2015 - 2018</t>
  </si>
  <si>
    <t>Vilingili</t>
  </si>
  <si>
    <t>GST on Tourism</t>
  </si>
  <si>
    <t xml:space="preserve"> 6_/:  Interpolation has been done to derive life expectancy at birth for inter-censal years</t>
  </si>
  <si>
    <t xml:space="preserve">           5_/:  In 2013 no maternal death  occurred in the country</t>
  </si>
  <si>
    <t xml:space="preserve">         7_/: prior to 2006  include Maldivians abroad </t>
  </si>
  <si>
    <t>Parliamentary election, 2019</t>
  </si>
  <si>
    <t>205.5 Ha</t>
  </si>
  <si>
    <t>413.5 Ha</t>
  </si>
  <si>
    <t>32.5 Ha</t>
  </si>
  <si>
    <t xml:space="preserve">Net Domestic assets </t>
  </si>
  <si>
    <t>Other Items (net)</t>
  </si>
  <si>
    <t>Real Estate</t>
  </si>
  <si>
    <t>n.a</t>
  </si>
  <si>
    <t>Electricity,Gas, Water And Sanitary Services</t>
  </si>
  <si>
    <t>Other Loans And Advances Not Adequately Described</t>
  </si>
  <si>
    <t>Fixed Broadband penetration</t>
  </si>
  <si>
    <t>Mobile Broadband penetration</t>
  </si>
  <si>
    <t xml:space="preserve">2 _/- Telecom densities are calculated based on projected mid-year populations </t>
  </si>
  <si>
    <t>Prior to October 2011, ‘Fixed Lines’ data that we collected included DID’s (Direct Inward Dialling) Numbers.  From October 2011,  DID’s are not included as they are not considered as direct lines.</t>
  </si>
  <si>
    <t>Internet subscriptions from year 2010 inclusive of mobile internet customers</t>
  </si>
  <si>
    <r>
      <t xml:space="preserve">Bed Capacity Utilization Rate (%) </t>
    </r>
    <r>
      <rPr>
        <vertAlign val="superscript"/>
        <sz val="11"/>
        <rFont val="Calibri"/>
        <family val="2"/>
      </rPr>
      <t>1_/</t>
    </r>
  </si>
  <si>
    <r>
      <t xml:space="preserve">Tourism Expenditure (In Million MVR) </t>
    </r>
    <r>
      <rPr>
        <i/>
        <sz val="11"/>
        <rFont val="Calibri"/>
        <family val="2"/>
      </rPr>
      <t>(Revised Estimates)</t>
    </r>
    <r>
      <rPr>
        <i/>
        <vertAlign val="superscript"/>
        <sz val="11"/>
        <rFont val="Calibri"/>
        <family val="2"/>
      </rPr>
      <t>3_/</t>
    </r>
  </si>
  <si>
    <t>Note:   Data has been revised from 2002 - 2019</t>
  </si>
  <si>
    <r>
      <t>Parliamentary 
Election, 2009</t>
    </r>
    <r>
      <rPr>
        <b/>
        <vertAlign val="superscript"/>
        <sz val="10"/>
        <rFont val="Calibri"/>
        <family val="2"/>
        <scheme val="minor"/>
      </rPr>
      <t>1_/</t>
    </r>
  </si>
  <si>
    <r>
      <t>*Presidential Election, 2013</t>
    </r>
    <r>
      <rPr>
        <b/>
        <vertAlign val="superscript"/>
        <sz val="10"/>
        <rFont val="Calibri"/>
        <family val="2"/>
        <scheme val="minor"/>
      </rPr>
      <t>2_/</t>
    </r>
  </si>
  <si>
    <r>
      <t>Parliamentary election, 2014</t>
    </r>
    <r>
      <rPr>
        <b/>
        <vertAlign val="superscript"/>
        <sz val="10"/>
        <rFont val="Calibri"/>
        <family val="2"/>
        <scheme val="minor"/>
      </rPr>
      <t>1_/</t>
    </r>
  </si>
  <si>
    <t>Pension Paid Out (in million MVR)</t>
  </si>
  <si>
    <t>Contributions (in million MVR)</t>
  </si>
  <si>
    <t xml:space="preserve"> Councils</t>
  </si>
  <si>
    <t xml:space="preserve">Republic                      މުޅިރާއްޖެ </t>
  </si>
  <si>
    <t>Total Local Council members</t>
  </si>
  <si>
    <t>Atoll councils</t>
  </si>
  <si>
    <t>Island councils</t>
  </si>
  <si>
    <t>City councils</t>
  </si>
  <si>
    <t>Parliament member</t>
  </si>
  <si>
    <t>Local Councillors</t>
  </si>
  <si>
    <t>1_/ Revised on 29th September 2020</t>
  </si>
  <si>
    <t>2_/ Revised on 27th September 2021</t>
  </si>
  <si>
    <r>
      <rPr>
        <vertAlign val="superscript"/>
        <sz val="11"/>
        <rFont val="Calibri"/>
        <family val="2"/>
      </rPr>
      <t>5_/</t>
    </r>
    <r>
      <rPr>
        <i/>
        <vertAlign val="superscript"/>
        <sz val="11"/>
        <rFont val="Calibri"/>
        <family val="2"/>
      </rPr>
      <t xml:space="preserve"> </t>
    </r>
    <r>
      <rPr>
        <i/>
        <sz val="11"/>
        <rFont val="Calibri"/>
        <family val="2"/>
      </rPr>
      <t xml:space="preserve"> revised </t>
    </r>
    <r>
      <rPr>
        <sz val="11"/>
        <color theme="1"/>
        <rFont val="Calibri"/>
        <family val="2"/>
        <scheme val="minor"/>
      </rPr>
      <t/>
    </r>
  </si>
  <si>
    <r>
      <t>2019</t>
    </r>
    <r>
      <rPr>
        <b/>
        <vertAlign val="superscript"/>
        <sz val="12"/>
        <rFont val="Calibri"/>
        <family val="2"/>
      </rPr>
      <t>5_/</t>
    </r>
  </si>
  <si>
    <t xml:space="preserve">       Inhabited </t>
  </si>
  <si>
    <t xml:space="preserve"> Farukolhufushi  area is not included in Hulhumale' </t>
  </si>
  <si>
    <r>
      <rPr>
        <b/>
        <sz val="12"/>
        <rFont val="Calibri"/>
        <family val="2"/>
        <scheme val="minor"/>
      </rPr>
      <t>No. of Tourist Resorts</t>
    </r>
    <r>
      <rPr>
        <sz val="12"/>
        <rFont val="Calibri"/>
        <family val="2"/>
        <scheme val="minor"/>
      </rPr>
      <t xml:space="preserve"> (Including Marinas)</t>
    </r>
  </si>
  <si>
    <t xml:space="preserve">           4_/: Vital statistics for 2020 are  tentative figures. This is expected to change.  </t>
  </si>
  <si>
    <t>2017 - 2020  Birth and Death data are revised  (includes both Maldivian and foreigners)</t>
  </si>
  <si>
    <t xml:space="preserve">2017 to 2020 Crude Birth Rate and Crude Death Rate calculated using the resident population </t>
  </si>
  <si>
    <t>HIES 2019</t>
  </si>
  <si>
    <t>1/ HIES coverage is limited to households in administrative islands only. (excludes: tourist resorts, industrial islands, collective living quarters)</t>
  </si>
  <si>
    <r>
      <t xml:space="preserve">Government Employees </t>
    </r>
    <r>
      <rPr>
        <b/>
        <vertAlign val="superscript"/>
        <sz val="12"/>
        <rFont val="Calibri"/>
        <family val="2"/>
        <scheme val="minor"/>
      </rPr>
      <t>1_/</t>
    </r>
  </si>
  <si>
    <r>
      <t>Expatriate Employment</t>
    </r>
    <r>
      <rPr>
        <vertAlign val="superscript"/>
        <sz val="12"/>
        <rFont val="Calibri"/>
        <family val="2"/>
        <scheme val="minor"/>
      </rPr>
      <t xml:space="preserve">2_/ </t>
    </r>
  </si>
  <si>
    <r>
      <t>Employment Approvals Issued</t>
    </r>
    <r>
      <rPr>
        <sz val="12"/>
        <rFont val="Calibri"/>
        <family val="2"/>
        <scheme val="minor"/>
      </rPr>
      <t xml:space="preserve"> </t>
    </r>
    <r>
      <rPr>
        <vertAlign val="superscript"/>
        <sz val="12"/>
        <rFont val="Calibri"/>
        <family val="2"/>
        <scheme val="minor"/>
      </rPr>
      <t>3_/</t>
    </r>
  </si>
  <si>
    <r>
      <t>Total  Population</t>
    </r>
    <r>
      <rPr>
        <b/>
        <vertAlign val="superscript"/>
        <sz val="12"/>
        <rFont val="Calibri"/>
        <family val="2"/>
      </rPr>
      <t>1_/</t>
    </r>
  </si>
  <si>
    <r>
      <t xml:space="preserve"> Maldivian population</t>
    </r>
    <r>
      <rPr>
        <vertAlign val="superscript"/>
        <sz val="12"/>
        <rFont val="Calibri"/>
        <family val="2"/>
      </rPr>
      <t>2_/</t>
    </r>
  </si>
  <si>
    <r>
      <t>Foreign Resident population</t>
    </r>
    <r>
      <rPr>
        <vertAlign val="superscript"/>
        <sz val="12"/>
        <rFont val="Calibri"/>
        <family val="2"/>
      </rPr>
      <t>3_/</t>
    </r>
  </si>
  <si>
    <r>
      <t xml:space="preserve">(Vital statistics)  </t>
    </r>
    <r>
      <rPr>
        <b/>
        <vertAlign val="superscript"/>
        <sz val="12"/>
        <rFont val="Calibri"/>
        <family val="2"/>
      </rPr>
      <t>4_/</t>
    </r>
  </si>
  <si>
    <r>
      <t>Infant Mortality Rate (under 1</t>
    </r>
    <r>
      <rPr>
        <i/>
        <sz val="12"/>
        <rFont val="Calibri"/>
        <family val="2"/>
      </rPr>
      <t>)</t>
    </r>
    <r>
      <rPr>
        <sz val="12"/>
        <rFont val="Calibri"/>
        <family val="2"/>
      </rPr>
      <t xml:space="preserve"> / '000 Live Births</t>
    </r>
  </si>
  <si>
    <r>
      <t xml:space="preserve">Maternal Mortality Rate / 000 Live Births </t>
    </r>
    <r>
      <rPr>
        <vertAlign val="superscript"/>
        <sz val="12"/>
        <color rgb="FFFF0000"/>
        <rFont val="Calibri"/>
        <family val="2"/>
      </rPr>
      <t>1_/</t>
    </r>
  </si>
  <si>
    <r>
      <t xml:space="preserve">Maternal Mortality Ratio (MMR)/100,000  live births </t>
    </r>
    <r>
      <rPr>
        <vertAlign val="superscript"/>
        <sz val="12"/>
        <rFont val="Calibri"/>
        <family val="2"/>
      </rPr>
      <t>5_/</t>
    </r>
  </si>
  <si>
    <r>
      <t xml:space="preserve">Improved Male Life Expectancy at birth (Years) </t>
    </r>
    <r>
      <rPr>
        <vertAlign val="superscript"/>
        <sz val="12"/>
        <color theme="1"/>
        <rFont val="Calibri"/>
        <family val="2"/>
      </rPr>
      <t>6_/</t>
    </r>
  </si>
  <si>
    <r>
      <t xml:space="preserve">Improved Female Life Expectancy at birth (Years) </t>
    </r>
    <r>
      <rPr>
        <vertAlign val="superscript"/>
        <sz val="12"/>
        <color theme="1"/>
        <rFont val="Calibri"/>
        <family val="2"/>
      </rPr>
      <t>6_/</t>
    </r>
  </si>
  <si>
    <r>
      <t>Number of hospital beds</t>
    </r>
    <r>
      <rPr>
        <vertAlign val="superscript"/>
        <sz val="12"/>
        <rFont val="Calibri"/>
        <family val="2"/>
        <scheme val="minor"/>
      </rPr>
      <t>1_/</t>
    </r>
  </si>
  <si>
    <r>
      <t xml:space="preserve">Inpatients at </t>
    </r>
    <r>
      <rPr>
        <sz val="12"/>
        <color indexed="8"/>
        <rFont val="Candara"/>
        <family val="2"/>
      </rPr>
      <t>IGMH</t>
    </r>
  </si>
  <si>
    <r>
      <t xml:space="preserve">Non-tax Revenue </t>
    </r>
    <r>
      <rPr>
        <vertAlign val="superscript"/>
        <sz val="12"/>
        <rFont val="Calibri"/>
        <family val="2"/>
        <scheme val="minor"/>
      </rPr>
      <t>1_/</t>
    </r>
  </si>
  <si>
    <r>
      <t xml:space="preserve"> Grants </t>
    </r>
    <r>
      <rPr>
        <b/>
        <vertAlign val="superscript"/>
        <sz val="12"/>
        <rFont val="Calibri"/>
        <family val="2"/>
        <scheme val="minor"/>
      </rPr>
      <t>2_/</t>
    </r>
  </si>
  <si>
    <r>
      <t xml:space="preserve">Overall Balance </t>
    </r>
    <r>
      <rPr>
        <b/>
        <vertAlign val="superscript"/>
        <sz val="12"/>
        <rFont val="Calibri"/>
        <family val="2"/>
        <scheme val="minor"/>
      </rPr>
      <t>3_/</t>
    </r>
  </si>
  <si>
    <r>
      <t xml:space="preserve">Primary Balance </t>
    </r>
    <r>
      <rPr>
        <vertAlign val="superscript"/>
        <sz val="12"/>
        <rFont val="Calibri"/>
        <family val="2"/>
        <scheme val="minor"/>
      </rPr>
      <t>4_/</t>
    </r>
  </si>
  <si>
    <t>GDP (at 2014 current prices in millions MVR ) 5_/</t>
  </si>
  <si>
    <r>
      <t>Financial Account</t>
    </r>
    <r>
      <rPr>
        <vertAlign val="superscript"/>
        <sz val="12"/>
        <rFont val="Calibri"/>
        <family val="2"/>
        <scheme val="minor"/>
      </rPr>
      <t>1_/</t>
    </r>
  </si>
  <si>
    <r>
      <t xml:space="preserve">Current Account as a percentage of GDP </t>
    </r>
    <r>
      <rPr>
        <i/>
        <vertAlign val="superscript"/>
        <sz val="12"/>
        <rFont val="Calibri"/>
        <family val="2"/>
        <scheme val="minor"/>
      </rPr>
      <t>2_/</t>
    </r>
  </si>
  <si>
    <r>
      <t xml:space="preserve">GDP (  in millions of USD at  2014 current prices) </t>
    </r>
    <r>
      <rPr>
        <i/>
        <vertAlign val="superscript"/>
        <sz val="12"/>
        <rFont val="Calibri"/>
        <family val="2"/>
        <scheme val="minor"/>
      </rPr>
      <t>2_/</t>
    </r>
  </si>
  <si>
    <r>
      <t>2017</t>
    </r>
    <r>
      <rPr>
        <b/>
        <vertAlign val="superscript"/>
        <sz val="12"/>
        <rFont val="Calibri"/>
        <family val="2"/>
        <scheme val="minor"/>
      </rPr>
      <t>1_/</t>
    </r>
  </si>
  <si>
    <r>
      <t>2018</t>
    </r>
    <r>
      <rPr>
        <b/>
        <vertAlign val="superscript"/>
        <sz val="12"/>
        <rFont val="Calibri"/>
        <family val="2"/>
        <scheme val="minor"/>
      </rPr>
      <t>2_/</t>
    </r>
  </si>
  <si>
    <r>
      <t>2019</t>
    </r>
    <r>
      <rPr>
        <b/>
        <vertAlign val="superscript"/>
        <sz val="12"/>
        <rFont val="Calibri"/>
        <family val="2"/>
        <scheme val="minor"/>
      </rPr>
      <t>2_/</t>
    </r>
  </si>
  <si>
    <r>
      <t>Exchange Rate of US Dollars (end of each year)</t>
    </r>
    <r>
      <rPr>
        <vertAlign val="superscript"/>
        <sz val="12"/>
        <rFont val="Candara"/>
        <family val="2"/>
      </rPr>
      <t xml:space="preserve"> 1_/</t>
    </r>
  </si>
  <si>
    <r>
      <t xml:space="preserve">Other Pension </t>
    </r>
    <r>
      <rPr>
        <b/>
        <vertAlign val="superscript"/>
        <sz val="12"/>
        <rFont val="Candara"/>
        <family val="2"/>
      </rPr>
      <t>1_/</t>
    </r>
  </si>
  <si>
    <r>
      <t xml:space="preserve">Senior Citizen Allowance </t>
    </r>
    <r>
      <rPr>
        <b/>
        <vertAlign val="superscript"/>
        <sz val="12"/>
        <rFont val="Candara"/>
        <family val="2"/>
      </rPr>
      <t>2_/</t>
    </r>
  </si>
  <si>
    <t>* students enrolled in special classes, for children with special needs. The decrease in 2018 is due as per the developments in the special needs students, they have been included in the normal classes</t>
  </si>
  <si>
    <t>The drop in NER  for 2020 in  certain education levels is due to population movement due to Covid 19 outbreak during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</si>
</sst>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15">
    <numFmt numFmtId="43" formatCode="_-* #,##0.00\ _ރ_._-;_-* #,##0.00\ _ރ_.\-;_-* &quot;-&quot;??\ _ރ_._-;_-@_-"/>
    <numFmt numFmtId="164" formatCode="_(* #,##0.00_);_(* \(#,##0.00\);_(* &quot;-&quot;??_);_(@_)"/>
    <numFmt numFmtId="165" formatCode="0.0"/>
    <numFmt numFmtId="166" formatCode="_(* #,##0_);_(* \(#,##0\);_(* &quot;-&quot;??_);_(@_)"/>
    <numFmt numFmtId="167" formatCode="_(* #,##0.0_);_(* \(#,##0.0\);_(* &quot;-&quot;??_);_(@_)"/>
    <numFmt numFmtId="168" formatCode="#,##0.0"/>
    <numFmt numFmtId="169" formatCode="General_)"/>
    <numFmt numFmtId="170" formatCode="0_);\(0\)"/>
    <numFmt numFmtId="171" formatCode="0.00_)"/>
    <numFmt numFmtId="172" formatCode="#,##0;[Red]#,##0"/>
    <numFmt numFmtId="173" formatCode="_(* #,##0.0_);_(* \(#,##0.0\);_(* &quot;-&quot;_);_(@_)"/>
    <numFmt numFmtId="174" formatCode="_-* #,##0.0_-;\-* #,##0.0_-;_-* &quot;-&quot;??_-;_-@_-"/>
    <numFmt numFmtId="176" formatCode="0.0%"/>
    <numFmt numFmtId="177" formatCode="0.000"/>
    <numFmt numFmtId="178" formatCode="#,##0.0_);\(#,##0.0\)"/>
  </numFmts>
  <fonts count="151">
    <font>
      <sz val="11"/>
      <color theme="1"/>
      <name val="Calibri"/>
      <family val="2"/>
      <scheme val="minor"/>
    </font>
    <font>
      <sz val="11"/>
      <color theme="1"/>
      <name val="Calibri"/>
      <family val="2"/>
      <scheme val="minor"/>
    </font>
    <font>
      <sz val="10"/>
      <name val="Arial"/>
      <family val="2"/>
    </font>
    <font>
      <b/>
      <sz val="20"/>
      <color theme="0"/>
      <name val="Candara"/>
      <family val="2"/>
    </font>
    <font>
      <b/>
      <sz val="16"/>
      <color theme="1"/>
      <name val="Calibri"/>
      <family val="2"/>
      <scheme val="minor"/>
    </font>
    <font>
      <sz val="10"/>
      <name val="Calibri"/>
      <family val="2"/>
      <scheme val="minor"/>
    </font>
    <font>
      <b/>
      <sz val="11"/>
      <name val="Calibri"/>
      <family val="2"/>
      <scheme val="minor"/>
    </font>
    <font>
      <b/>
      <sz val="10"/>
      <name val="Calibri"/>
      <family val="2"/>
      <scheme val="minor"/>
    </font>
    <font>
      <sz val="11"/>
      <name val="Calibri"/>
      <family val="2"/>
      <scheme val="minor"/>
    </font>
    <font>
      <sz val="10"/>
      <color theme="1"/>
      <name val="Calibri"/>
      <family val="2"/>
      <scheme val="minor"/>
    </font>
    <font>
      <i/>
      <sz val="9"/>
      <name val="Calibri"/>
      <family val="2"/>
      <scheme val="minor"/>
    </font>
    <font>
      <sz val="10"/>
      <name val="Courier"/>
      <family val="3"/>
    </font>
    <font>
      <sz val="10"/>
      <name val="Calibri"/>
      <family val="2"/>
    </font>
    <font>
      <sz val="11"/>
      <name val="Calibri"/>
      <family val="2"/>
    </font>
    <font>
      <b/>
      <sz val="11"/>
      <name val="Calibri"/>
      <family val="2"/>
    </font>
    <font>
      <b/>
      <sz val="16"/>
      <color theme="1"/>
      <name val="Calibri"/>
      <family val="2"/>
    </font>
    <font>
      <b/>
      <sz val="10"/>
      <name val="Calibri"/>
      <family val="2"/>
    </font>
    <font>
      <b/>
      <sz val="10"/>
      <name val="Arial"/>
      <family val="2"/>
    </font>
    <font>
      <vertAlign val="superscript"/>
      <sz val="11"/>
      <name val="Calibri"/>
      <family val="2"/>
    </font>
    <font>
      <i/>
      <sz val="11"/>
      <name val="Calibri"/>
      <family val="2"/>
    </font>
    <font>
      <sz val="11"/>
      <color rgb="FFFF0000"/>
      <name val="Calibri"/>
      <family val="2"/>
    </font>
    <font>
      <sz val="10"/>
      <color rgb="FFFF0000"/>
      <name val="Calibri"/>
      <family val="2"/>
    </font>
    <font>
      <sz val="10"/>
      <color rgb="FFFF0000"/>
      <name val="Arial"/>
      <family val="2"/>
    </font>
    <font>
      <vertAlign val="superscript"/>
      <sz val="10"/>
      <name val="Calibri"/>
      <family val="2"/>
    </font>
    <font>
      <b/>
      <i/>
      <sz val="10"/>
      <name val="Calibri"/>
      <family val="2"/>
      <scheme val="minor"/>
    </font>
    <font>
      <sz val="9"/>
      <name val="Calibri"/>
      <family val="2"/>
    </font>
    <font>
      <i/>
      <sz val="9"/>
      <name val="Calibri"/>
      <family val="2"/>
    </font>
    <font>
      <sz val="11.5"/>
      <name val="Calibri"/>
      <family val="2"/>
    </font>
    <font>
      <b/>
      <sz val="11"/>
      <name val="Candara"/>
      <family val="2"/>
    </font>
    <font>
      <b/>
      <i/>
      <sz val="10"/>
      <color rgb="FFFF0000"/>
      <name val="Calibri"/>
      <family val="2"/>
      <scheme val="minor"/>
    </font>
    <font>
      <i/>
      <sz val="9"/>
      <color rgb="FFFF0000"/>
      <name val="Calibri"/>
      <family val="2"/>
    </font>
    <font>
      <b/>
      <sz val="9"/>
      <name val="Arial"/>
      <family val="2"/>
    </font>
    <font>
      <sz val="11"/>
      <name val="Arial"/>
      <family val="2"/>
    </font>
    <font>
      <i/>
      <sz val="10"/>
      <name val="Calibri"/>
      <family val="2"/>
      <scheme val="minor"/>
    </font>
    <font>
      <sz val="9"/>
      <name val="Arial"/>
      <family val="2"/>
    </font>
    <font>
      <b/>
      <sz val="11"/>
      <color theme="1"/>
      <name val="Calibri"/>
      <family val="2"/>
      <scheme val="minor"/>
    </font>
    <font>
      <vertAlign val="superscript"/>
      <sz val="12"/>
      <name val="Calibri"/>
      <family val="2"/>
      <scheme val="minor"/>
    </font>
    <font>
      <sz val="9"/>
      <name val="Calibri"/>
      <family val="2"/>
      <scheme val="minor"/>
    </font>
    <font>
      <b/>
      <sz val="10"/>
      <color theme="1"/>
      <name val="Calibri"/>
      <family val="2"/>
      <scheme val="minor"/>
    </font>
    <font>
      <i/>
      <sz val="8"/>
      <name val="Calibri"/>
      <family val="2"/>
      <scheme val="minor"/>
    </font>
    <font>
      <i/>
      <sz val="8"/>
      <color theme="1"/>
      <name val="Calibri"/>
      <family val="2"/>
      <scheme val="minor"/>
    </font>
    <font>
      <sz val="8"/>
      <name val="Arial"/>
      <family val="2"/>
    </font>
    <font>
      <sz val="8"/>
      <color theme="1"/>
      <name val="Arial"/>
      <family val="2"/>
    </font>
    <font>
      <b/>
      <sz val="11"/>
      <color indexed="8"/>
      <name val="Calibri"/>
      <family val="2"/>
    </font>
    <font>
      <sz val="11"/>
      <color theme="1"/>
      <name val="Calibri"/>
      <family val="2"/>
      <charset val="1"/>
      <scheme val="minor"/>
    </font>
    <font>
      <sz val="10"/>
      <name val="MS Sans Serif"/>
      <family val="2"/>
    </font>
    <font>
      <b/>
      <i/>
      <sz val="16"/>
      <name val="Helv"/>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i/>
      <sz val="9"/>
      <color theme="1"/>
      <name val="Calibri"/>
      <family val="2"/>
      <scheme val="minor"/>
    </font>
    <font>
      <b/>
      <sz val="9"/>
      <name val="Calibri"/>
      <family val="2"/>
      <scheme val="minor"/>
    </font>
    <font>
      <i/>
      <sz val="11"/>
      <name val="Calibri"/>
      <family val="2"/>
      <scheme val="minor"/>
    </font>
    <font>
      <b/>
      <i/>
      <sz val="9"/>
      <name val="Calibri"/>
      <family val="2"/>
    </font>
    <font>
      <b/>
      <sz val="9"/>
      <name val="Calibri"/>
      <family val="2"/>
    </font>
    <font>
      <i/>
      <sz val="8"/>
      <name val="Arial"/>
      <family val="2"/>
    </font>
    <font>
      <b/>
      <i/>
      <sz val="11"/>
      <name val="Calibri"/>
      <family val="2"/>
      <scheme val="minor"/>
    </font>
    <font>
      <i/>
      <vertAlign val="superscript"/>
      <sz val="9"/>
      <name val="Arial"/>
      <family val="2"/>
    </font>
    <font>
      <b/>
      <sz val="9"/>
      <color indexed="9"/>
      <name val="Arial"/>
      <family val="2"/>
    </font>
    <font>
      <sz val="10"/>
      <name val="Candara"/>
      <family val="2"/>
    </font>
    <font>
      <sz val="9"/>
      <name val="Candara"/>
      <family val="2"/>
    </font>
    <font>
      <b/>
      <sz val="9"/>
      <name val="Candara"/>
      <family val="2"/>
    </font>
    <font>
      <sz val="9"/>
      <color rgb="FFFF0000"/>
      <name val="Calibri"/>
      <family val="2"/>
    </font>
    <font>
      <sz val="10"/>
      <color rgb="FFFF0000"/>
      <name val="Calibri"/>
      <family val="2"/>
      <scheme val="minor"/>
    </font>
    <font>
      <b/>
      <sz val="10"/>
      <color rgb="FFFF0000"/>
      <name val="Calibri"/>
      <family val="2"/>
    </font>
    <font>
      <b/>
      <sz val="9"/>
      <color rgb="FFFF0000"/>
      <name val="Arial"/>
      <family val="2"/>
    </font>
    <font>
      <sz val="10"/>
      <color indexed="8"/>
      <name val="Calibri"/>
      <family val="2"/>
      <scheme val="minor"/>
    </font>
    <font>
      <sz val="9"/>
      <color indexed="10"/>
      <name val="Calibri"/>
      <family val="2"/>
    </font>
    <font>
      <sz val="10"/>
      <color indexed="10"/>
      <name val="Arial"/>
      <family val="2"/>
    </font>
    <font>
      <sz val="10"/>
      <color theme="1"/>
      <name val="Arial"/>
      <family val="2"/>
    </font>
    <font>
      <sz val="12"/>
      <name val="Candara"/>
      <family val="2"/>
    </font>
    <font>
      <sz val="9"/>
      <color indexed="8"/>
      <name val="Calibri"/>
      <family val="2"/>
    </font>
    <font>
      <sz val="10"/>
      <color indexed="8"/>
      <name val="Calibri"/>
      <family val="2"/>
    </font>
    <font>
      <sz val="10"/>
      <color rgb="FFFFFF00"/>
      <name val="Arial"/>
      <family val="2"/>
    </font>
    <font>
      <i/>
      <sz val="9"/>
      <name val="Candara"/>
      <family val="2"/>
    </font>
    <font>
      <vertAlign val="superscript"/>
      <sz val="10"/>
      <name val="Candara"/>
      <family val="2"/>
    </font>
    <font>
      <i/>
      <vertAlign val="superscript"/>
      <sz val="9"/>
      <name val="Candara"/>
      <family val="2"/>
    </font>
    <font>
      <sz val="14"/>
      <name val="Arial"/>
      <family val="2"/>
    </font>
    <font>
      <b/>
      <sz val="14"/>
      <name val="Candara"/>
      <family val="2"/>
    </font>
    <font>
      <b/>
      <sz val="12"/>
      <name val="Candara"/>
      <family val="2"/>
    </font>
    <font>
      <sz val="12"/>
      <name val="Calibri"/>
      <family val="2"/>
      <scheme val="minor"/>
    </font>
    <font>
      <b/>
      <sz val="12"/>
      <name val="Calibri"/>
      <family val="2"/>
      <scheme val="minor"/>
    </font>
    <font>
      <sz val="12"/>
      <name val="Arial"/>
      <family val="2"/>
    </font>
    <font>
      <sz val="12"/>
      <color rgb="FFFF0000"/>
      <name val="Candara"/>
      <family val="2"/>
    </font>
    <font>
      <sz val="12"/>
      <color rgb="FFFF0000"/>
      <name val="Calibri"/>
      <family val="2"/>
      <scheme val="minor"/>
    </font>
    <font>
      <b/>
      <u/>
      <sz val="12"/>
      <name val="Candara"/>
      <family val="2"/>
    </font>
    <font>
      <i/>
      <sz val="10"/>
      <color theme="1"/>
      <name val="Calibri"/>
      <family val="2"/>
      <scheme val="minor"/>
    </font>
    <font>
      <sz val="11"/>
      <name val="Candara"/>
      <family val="2"/>
    </font>
    <font>
      <b/>
      <vertAlign val="superscript"/>
      <sz val="11"/>
      <name val="Candara"/>
      <family val="2"/>
    </font>
    <font>
      <vertAlign val="superscript"/>
      <sz val="11"/>
      <name val="Candara"/>
      <family val="2"/>
    </font>
    <font>
      <b/>
      <sz val="12"/>
      <name val="Calibri"/>
      <family val="2"/>
    </font>
    <font>
      <vertAlign val="superscript"/>
      <sz val="11"/>
      <name val="Calibri"/>
      <family val="2"/>
      <scheme val="minor"/>
    </font>
    <font>
      <sz val="9"/>
      <color theme="1"/>
      <name val="Calibri"/>
      <family val="2"/>
    </font>
    <font>
      <sz val="10"/>
      <color theme="1"/>
      <name val="Calibri"/>
      <family val="2"/>
    </font>
    <font>
      <sz val="11"/>
      <color theme="1"/>
      <name val="Calibri"/>
      <family val="2"/>
    </font>
    <font>
      <i/>
      <vertAlign val="superscript"/>
      <sz val="11"/>
      <name val="Calibri"/>
      <family val="2"/>
    </font>
    <font>
      <b/>
      <vertAlign val="superscript"/>
      <sz val="12"/>
      <name val="Calibri"/>
      <family val="2"/>
    </font>
    <font>
      <b/>
      <sz val="16"/>
      <name val="Candara"/>
      <family val="2"/>
    </font>
    <font>
      <sz val="10.5"/>
      <name val="Calibri"/>
      <family val="2"/>
    </font>
    <font>
      <b/>
      <vertAlign val="superscript"/>
      <sz val="10"/>
      <name val="Calibri"/>
      <family val="2"/>
      <scheme val="minor"/>
    </font>
    <font>
      <sz val="9"/>
      <color theme="1"/>
      <name val="Calibri"/>
      <family val="2"/>
      <scheme val="minor"/>
    </font>
    <font>
      <b/>
      <vertAlign val="superscript"/>
      <sz val="10"/>
      <name val="Candara"/>
      <family val="2"/>
    </font>
    <font>
      <b/>
      <sz val="10"/>
      <name val="Candara"/>
      <family val="2"/>
    </font>
    <font>
      <i/>
      <sz val="8"/>
      <name val="Calibri"/>
      <family val="2"/>
    </font>
    <font>
      <i/>
      <sz val="9"/>
      <name val="Arial"/>
      <family val="2"/>
    </font>
    <font>
      <b/>
      <vertAlign val="superscript"/>
      <sz val="11"/>
      <color theme="1"/>
      <name val="Calibri"/>
      <family val="2"/>
      <scheme val="minor"/>
    </font>
    <font>
      <sz val="15"/>
      <color theme="1"/>
      <name val="Arial"/>
      <family val="2"/>
    </font>
    <font>
      <b/>
      <sz val="11"/>
      <color rgb="FF000000"/>
      <name val="Calibri"/>
      <family val="2"/>
    </font>
    <font>
      <i/>
      <sz val="9"/>
      <color theme="1"/>
      <name val="Calibri"/>
      <family val="2"/>
    </font>
    <font>
      <b/>
      <sz val="11"/>
      <color rgb="FFFF0000"/>
      <name val="Calibri"/>
      <family val="2"/>
      <scheme val="minor"/>
    </font>
    <font>
      <sz val="12"/>
      <color theme="1"/>
      <name val="Calibri"/>
      <family val="2"/>
      <scheme val="minor"/>
    </font>
    <font>
      <b/>
      <sz val="12"/>
      <color theme="1"/>
      <name val="Calibri"/>
      <family val="2"/>
      <scheme val="minor"/>
    </font>
    <font>
      <b/>
      <u/>
      <sz val="12"/>
      <name val="Calibri"/>
      <family val="2"/>
      <scheme val="minor"/>
    </font>
    <font>
      <b/>
      <sz val="12"/>
      <name val="Arial"/>
      <family val="2"/>
    </font>
    <font>
      <b/>
      <vertAlign val="superscript"/>
      <sz val="12"/>
      <name val="Calibri"/>
      <family val="2"/>
      <scheme val="minor"/>
    </font>
    <font>
      <sz val="12"/>
      <name val="Calibri"/>
      <family val="2"/>
    </font>
    <font>
      <sz val="12"/>
      <color theme="1"/>
      <name val="Calibri"/>
      <family val="2"/>
    </font>
    <font>
      <vertAlign val="superscript"/>
      <sz val="12"/>
      <name val="Calibri"/>
      <family val="2"/>
    </font>
    <font>
      <i/>
      <sz val="12"/>
      <name val="Calibri"/>
      <family val="2"/>
    </font>
    <font>
      <sz val="12"/>
      <color rgb="FFFF0000"/>
      <name val="Calibri"/>
      <family val="2"/>
    </font>
    <font>
      <vertAlign val="superscript"/>
      <sz val="12"/>
      <color rgb="FFFF0000"/>
      <name val="Calibri"/>
      <family val="2"/>
    </font>
    <font>
      <sz val="12"/>
      <color rgb="FFFF0000"/>
      <name val="Arial"/>
      <family val="2"/>
    </font>
    <font>
      <vertAlign val="superscript"/>
      <sz val="12"/>
      <color theme="1"/>
      <name val="Calibri"/>
      <family val="2"/>
    </font>
    <font>
      <i/>
      <sz val="12"/>
      <color theme="1"/>
      <name val="Calibri"/>
      <family val="2"/>
      <scheme val="minor"/>
    </font>
    <font>
      <sz val="12"/>
      <color indexed="8"/>
      <name val="Candara"/>
      <family val="2"/>
    </font>
    <font>
      <sz val="12"/>
      <color theme="1"/>
      <name val="Courier"/>
      <family val="3"/>
    </font>
    <font>
      <b/>
      <sz val="12"/>
      <name val="A_Waheed"/>
    </font>
    <font>
      <sz val="12"/>
      <color indexed="8"/>
      <name val="Calibri"/>
      <family val="2"/>
      <scheme val="minor"/>
    </font>
    <font>
      <sz val="12"/>
      <color indexed="10"/>
      <name val="Arial"/>
      <family val="2"/>
    </font>
    <font>
      <b/>
      <sz val="12"/>
      <color theme="1"/>
      <name val="Calibri"/>
      <family val="2"/>
    </font>
    <font>
      <sz val="12"/>
      <color theme="1"/>
      <name val="Calibri"/>
      <family val="2"/>
      <charset val="1"/>
      <scheme val="minor"/>
    </font>
    <font>
      <b/>
      <sz val="12"/>
      <color theme="0"/>
      <name val="Candara"/>
      <family val="2"/>
    </font>
    <font>
      <i/>
      <sz val="12"/>
      <name val="Calibri"/>
      <family val="2"/>
      <scheme val="minor"/>
    </font>
    <font>
      <i/>
      <vertAlign val="superscript"/>
      <sz val="12"/>
      <name val="Calibri"/>
      <family val="2"/>
      <scheme val="minor"/>
    </font>
    <font>
      <vertAlign val="superscript"/>
      <sz val="12"/>
      <name val="Candara"/>
      <family val="2"/>
    </font>
    <font>
      <b/>
      <sz val="24"/>
      <color theme="0"/>
      <name val="Candara"/>
      <family val="2"/>
    </font>
    <font>
      <b/>
      <sz val="22"/>
      <color theme="0"/>
      <name val="Candara"/>
      <family val="2"/>
    </font>
    <font>
      <b/>
      <vertAlign val="superscript"/>
      <sz val="12"/>
      <name val="Candara"/>
      <family val="2"/>
    </font>
  </fonts>
  <fills count="44">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indexed="29"/>
        <bgColor indexed="64"/>
      </patternFill>
    </fill>
    <fill>
      <patternFill patternType="solid">
        <fgColor rgb="FFC9F3F1"/>
        <bgColor indexed="64"/>
      </patternFill>
    </fill>
    <fill>
      <patternFill patternType="solid">
        <fgColor indexed="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FFE7B7"/>
        <bgColor indexed="64"/>
      </patternFill>
    </fill>
    <fill>
      <patternFill patternType="solid">
        <fgColor theme="0" tint="-0.249977111117893"/>
        <bgColor indexed="64"/>
      </patternFill>
    </fill>
    <fill>
      <patternFill patternType="solid">
        <fgColor rgb="FFFFFF00"/>
        <bgColor indexed="64"/>
      </patternFill>
    </fill>
    <fill>
      <patternFill patternType="solid">
        <fgColor rgb="FFFF000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rgb="FF33CCCC"/>
        <bgColor indexed="64"/>
      </patternFill>
    </fill>
    <fill>
      <patternFill patternType="solid">
        <fgColor rgb="FFEAFAFA"/>
        <bgColor indexed="64"/>
      </patternFill>
    </fill>
    <fill>
      <patternFill patternType="solid">
        <fgColor rgb="FFFF9900"/>
        <bgColor indexed="64"/>
      </patternFill>
    </fill>
    <fill>
      <patternFill patternType="solid">
        <fgColor rgb="FF196563"/>
        <bgColor indexed="64"/>
      </patternFill>
    </fill>
    <fill>
      <patternFill patternType="solid">
        <fgColor rgb="FF249390"/>
        <bgColor indexed="64"/>
      </patternFill>
    </fill>
    <fill>
      <patternFill patternType="solid">
        <fgColor rgb="FFC8F4F2"/>
        <bgColor indexed="64"/>
      </patternFill>
    </fill>
    <fill>
      <patternFill patternType="solid">
        <fgColor rgb="FFE0F9F8"/>
        <bgColor indexed="64"/>
      </patternFill>
    </fill>
  </fills>
  <borders count="27">
    <border>
      <left/>
      <right/>
      <top/>
      <bottom/>
      <diagonal/>
    </border>
    <border>
      <left style="thin">
        <color theme="0"/>
      </left>
      <right style="thin">
        <color theme="0"/>
      </right>
      <top style="thin">
        <color theme="0"/>
      </top>
      <bottom style="thin">
        <color theme="0"/>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style="thin">
        <color theme="0"/>
      </left>
      <right style="thin">
        <color theme="0"/>
      </right>
      <top/>
      <bottom style="thin">
        <color theme="0"/>
      </bottom>
      <diagonal/>
    </border>
    <border>
      <left/>
      <right/>
      <top style="thin">
        <color indexed="64"/>
      </top>
      <bottom/>
      <diagonal/>
    </border>
    <border>
      <left style="thin">
        <color theme="0"/>
      </left>
      <right/>
      <top style="thin">
        <color theme="0"/>
      </top>
      <bottom style="thin">
        <color theme="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s>
  <cellStyleXfs count="89">
    <xf numFmtId="0" fontId="0" fillId="0" borderId="0"/>
    <xf numFmtId="164" fontId="1" fillId="0" borderId="0" applyFont="0" applyFill="0" applyBorder="0" applyAlignment="0" applyProtection="0"/>
    <xf numFmtId="0" fontId="2" fillId="0" borderId="0"/>
    <xf numFmtId="0" fontId="2" fillId="0" borderId="0"/>
    <xf numFmtId="169" fontId="11" fillId="0" borderId="0"/>
    <xf numFmtId="0" fontId="2" fillId="0" borderId="0"/>
    <xf numFmtId="0" fontId="1" fillId="0" borderId="0"/>
    <xf numFmtId="164" fontId="1" fillId="0" borderId="0" applyFont="0" applyFill="0" applyBorder="0" applyAlignment="0" applyProtection="0"/>
    <xf numFmtId="0" fontId="1" fillId="0" borderId="0"/>
    <xf numFmtId="169" fontId="11" fillId="0" borderId="0"/>
    <xf numFmtId="43" fontId="44" fillId="0" borderId="0" applyFont="0" applyFill="0" applyBorder="0" applyAlignment="0" applyProtection="0"/>
    <xf numFmtId="0" fontId="44" fillId="0" borderId="0"/>
    <xf numFmtId="0" fontId="47" fillId="9" borderId="0" applyNumberFormat="0" applyBorder="0" applyAlignment="0" applyProtection="0"/>
    <xf numFmtId="0" fontId="47" fillId="10" borderId="0" applyNumberFormat="0" applyBorder="0" applyAlignment="0" applyProtection="0"/>
    <xf numFmtId="0" fontId="47" fillId="11" borderId="0" applyNumberFormat="0" applyBorder="0" applyAlignment="0" applyProtection="0"/>
    <xf numFmtId="0" fontId="47" fillId="12" borderId="0" applyNumberFormat="0" applyBorder="0" applyAlignment="0" applyProtection="0"/>
    <xf numFmtId="0" fontId="47" fillId="13" borderId="0" applyNumberFormat="0" applyBorder="0" applyAlignment="0" applyProtection="0"/>
    <xf numFmtId="0" fontId="47" fillId="14" borderId="0" applyNumberFormat="0" applyBorder="0" applyAlignment="0" applyProtection="0"/>
    <xf numFmtId="0" fontId="47" fillId="15" borderId="0" applyNumberFormat="0" applyBorder="0" applyAlignment="0" applyProtection="0"/>
    <xf numFmtId="0" fontId="47" fillId="16" borderId="0" applyNumberFormat="0" applyBorder="0" applyAlignment="0" applyProtection="0"/>
    <xf numFmtId="0" fontId="47" fillId="17" borderId="0" applyNumberFormat="0" applyBorder="0" applyAlignment="0" applyProtection="0"/>
    <xf numFmtId="0" fontId="47" fillId="12" borderId="0" applyNumberFormat="0" applyBorder="0" applyAlignment="0" applyProtection="0"/>
    <xf numFmtId="0" fontId="47" fillId="15" borderId="0" applyNumberFormat="0" applyBorder="0" applyAlignment="0" applyProtection="0"/>
    <xf numFmtId="0" fontId="47" fillId="18" borderId="0" applyNumberFormat="0" applyBorder="0" applyAlignment="0" applyProtection="0"/>
    <xf numFmtId="0" fontId="48" fillId="19" borderId="0" applyNumberFormat="0" applyBorder="0" applyAlignment="0" applyProtection="0"/>
    <xf numFmtId="0" fontId="48" fillId="16" borderId="0" applyNumberFormat="0" applyBorder="0" applyAlignment="0" applyProtection="0"/>
    <xf numFmtId="0" fontId="48" fillId="17" borderId="0" applyNumberFormat="0" applyBorder="0" applyAlignment="0" applyProtection="0"/>
    <xf numFmtId="0" fontId="48" fillId="20" borderId="0" applyNumberFormat="0" applyBorder="0" applyAlignment="0" applyProtection="0"/>
    <xf numFmtId="0" fontId="48" fillId="21" borderId="0" applyNumberFormat="0" applyBorder="0" applyAlignment="0" applyProtection="0"/>
    <xf numFmtId="0" fontId="48" fillId="22" borderId="0" applyNumberFormat="0" applyBorder="0" applyAlignment="0" applyProtection="0"/>
    <xf numFmtId="0" fontId="48" fillId="23" borderId="0" applyNumberFormat="0" applyBorder="0" applyAlignment="0" applyProtection="0"/>
    <xf numFmtId="0" fontId="48" fillId="24" borderId="0" applyNumberFormat="0" applyBorder="0" applyAlignment="0" applyProtection="0"/>
    <xf numFmtId="0" fontId="48" fillId="25" borderId="0" applyNumberFormat="0" applyBorder="0" applyAlignment="0" applyProtection="0"/>
    <xf numFmtId="0" fontId="48" fillId="20" borderId="0" applyNumberFormat="0" applyBorder="0" applyAlignment="0" applyProtection="0"/>
    <xf numFmtId="0" fontId="48" fillId="21" borderId="0" applyNumberFormat="0" applyBorder="0" applyAlignment="0" applyProtection="0"/>
    <xf numFmtId="0" fontId="48" fillId="26" borderId="0" applyNumberFormat="0" applyBorder="0" applyAlignment="0" applyProtection="0"/>
    <xf numFmtId="0" fontId="49" fillId="10" borderId="0" applyNumberFormat="0" applyBorder="0" applyAlignment="0" applyProtection="0"/>
    <xf numFmtId="0" fontId="50" fillId="27" borderId="5" applyNumberFormat="0" applyAlignment="0" applyProtection="0"/>
    <xf numFmtId="0" fontId="51" fillId="28" borderId="6" applyNumberFormat="0" applyAlignment="0" applyProtection="0"/>
    <xf numFmtId="40" fontId="45" fillId="0" borderId="0" applyFont="0" applyFill="0" applyBorder="0" applyAlignment="0" applyProtection="0"/>
    <xf numFmtId="0" fontId="52" fillId="0" borderId="0" applyNumberFormat="0" applyFill="0" applyBorder="0" applyAlignment="0" applyProtection="0"/>
    <xf numFmtId="0" fontId="53" fillId="11" borderId="0" applyNumberFormat="0" applyBorder="0" applyAlignment="0" applyProtection="0"/>
    <xf numFmtId="0" fontId="54" fillId="0" borderId="7" applyNumberFormat="0" applyFill="0" applyAlignment="0" applyProtection="0"/>
    <xf numFmtId="0" fontId="55" fillId="0" borderId="8" applyNumberFormat="0" applyFill="0" applyAlignment="0" applyProtection="0"/>
    <xf numFmtId="0" fontId="56" fillId="0" borderId="9" applyNumberFormat="0" applyFill="0" applyAlignment="0" applyProtection="0"/>
    <xf numFmtId="0" fontId="56" fillId="0" borderId="0" applyNumberFormat="0" applyFill="0" applyBorder="0" applyAlignment="0" applyProtection="0"/>
    <xf numFmtId="0" fontId="57" fillId="14" borderId="5" applyNumberFormat="0" applyAlignment="0" applyProtection="0"/>
    <xf numFmtId="0" fontId="58" fillId="0" borderId="10" applyNumberFormat="0" applyFill="0" applyAlignment="0" applyProtection="0"/>
    <xf numFmtId="0" fontId="59" fillId="29" borderId="0" applyNumberFormat="0" applyBorder="0" applyAlignment="0" applyProtection="0"/>
    <xf numFmtId="171" fontId="46" fillId="0" borderId="0"/>
    <xf numFmtId="0" fontId="44" fillId="0" borderId="0"/>
    <xf numFmtId="0" fontId="44" fillId="0" borderId="0"/>
    <xf numFmtId="0" fontId="44" fillId="0" borderId="0"/>
    <xf numFmtId="0" fontId="2" fillId="0" borderId="0"/>
    <xf numFmtId="169" fontId="11" fillId="0" borderId="0"/>
    <xf numFmtId="0" fontId="2" fillId="0" borderId="0"/>
    <xf numFmtId="0" fontId="2" fillId="0" borderId="0"/>
    <xf numFmtId="0" fontId="2" fillId="0" borderId="0"/>
    <xf numFmtId="0" fontId="2" fillId="0" borderId="0"/>
    <xf numFmtId="0" fontId="44" fillId="0" borderId="0"/>
    <xf numFmtId="0" fontId="47" fillId="30" borderId="11" applyNumberFormat="0" applyFont="0" applyAlignment="0" applyProtection="0"/>
    <xf numFmtId="0" fontId="60" fillId="27" borderId="12" applyNumberFormat="0" applyAlignment="0" applyProtection="0"/>
    <xf numFmtId="9" fontId="45" fillId="0" borderId="0" applyFont="0" applyFill="0" applyBorder="0" applyAlignment="0" applyProtection="0"/>
    <xf numFmtId="0" fontId="61" fillId="0" borderId="0" applyNumberFormat="0" applyFill="0" applyBorder="0" applyAlignment="0" applyProtection="0"/>
    <xf numFmtId="0" fontId="43" fillId="0" borderId="13" applyNumberFormat="0" applyFill="0" applyAlignment="0" applyProtection="0"/>
    <xf numFmtId="0" fontId="62" fillId="0" borderId="0" applyNumberFormat="0" applyFill="0" applyBorder="0" applyAlignment="0" applyProtection="0"/>
    <xf numFmtId="169" fontId="11" fillId="0" borderId="0"/>
    <xf numFmtId="169" fontId="11" fillId="0" borderId="0"/>
    <xf numFmtId="0" fontId="1" fillId="0" borderId="0"/>
    <xf numFmtId="0" fontId="11" fillId="0" borderId="0"/>
    <xf numFmtId="0" fontId="2" fillId="0" borderId="0"/>
    <xf numFmtId="169" fontId="11" fillId="0" borderId="0"/>
    <xf numFmtId="169" fontId="11" fillId="0" borderId="0"/>
    <xf numFmtId="165" fontId="11" fillId="0" borderId="0" applyFont="0" applyFill="0" applyBorder="0" applyAlignment="0" applyProtection="0"/>
    <xf numFmtId="0" fontId="2" fillId="0" borderId="0"/>
    <xf numFmtId="169" fontId="11" fillId="0" borderId="0"/>
    <xf numFmtId="165" fontId="11" fillId="0" borderId="0"/>
    <xf numFmtId="169" fontId="11" fillId="0" borderId="0"/>
    <xf numFmtId="9" fontId="1" fillId="0" borderId="0" applyFont="0" applyFill="0" applyBorder="0" applyAlignment="0" applyProtection="0"/>
    <xf numFmtId="0" fontId="2" fillId="0" borderId="0"/>
    <xf numFmtId="0" fontId="2" fillId="0" borderId="0"/>
    <xf numFmtId="0" fontId="2" fillId="0" borderId="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44" fillId="0" borderId="0"/>
    <xf numFmtId="0" fontId="1" fillId="0" borderId="0"/>
  </cellStyleXfs>
  <cellXfs count="1036">
    <xf numFmtId="0" fontId="0" fillId="0" borderId="0" xfId="0"/>
    <xf numFmtId="0" fontId="5" fillId="2" borderId="0" xfId="0" applyFont="1" applyFill="1" applyAlignment="1">
      <alignment horizontal="left" vertical="center"/>
    </xf>
    <xf numFmtId="0" fontId="5" fillId="2" borderId="0" xfId="0" applyFont="1" applyFill="1" applyAlignment="1">
      <alignment horizontal="right" vertical="center"/>
    </xf>
    <xf numFmtId="0" fontId="8" fillId="2" borderId="0" xfId="2" applyFont="1" applyFill="1" applyAlignment="1">
      <alignment horizontal="left" vertical="center" indent="1"/>
    </xf>
    <xf numFmtId="0" fontId="8" fillId="2" borderId="0" xfId="2" applyFont="1" applyFill="1" applyAlignment="1">
      <alignment horizontal="left" vertical="center"/>
    </xf>
    <xf numFmtId="0" fontId="5" fillId="2" borderId="0" xfId="2" applyFont="1" applyFill="1" applyAlignment="1">
      <alignment horizontal="left" vertical="center"/>
    </xf>
    <xf numFmtId="166" fontId="5" fillId="2" borderId="0" xfId="1" applyNumberFormat="1" applyFont="1" applyFill="1" applyAlignment="1">
      <alignment horizontal="right" vertical="center"/>
    </xf>
    <xf numFmtId="0" fontId="5" fillId="2" borderId="0" xfId="2" applyFont="1" applyFill="1" applyAlignment="1">
      <alignment horizontal="left" vertical="center" indent="1"/>
    </xf>
    <xf numFmtId="0" fontId="6" fillId="2" borderId="0" xfId="2" applyFont="1" applyFill="1" applyAlignment="1">
      <alignment horizontal="left" vertical="center" indent="1"/>
    </xf>
    <xf numFmtId="0" fontId="5" fillId="2" borderId="0" xfId="0" applyFont="1" applyFill="1" applyAlignment="1">
      <alignment horizontal="center"/>
    </xf>
    <xf numFmtId="167" fontId="5" fillId="2" borderId="0" xfId="1" applyNumberFormat="1" applyFont="1" applyFill="1" applyAlignment="1">
      <alignment horizontal="right" vertical="center"/>
    </xf>
    <xf numFmtId="0" fontId="10" fillId="2" borderId="0" xfId="2" applyFont="1" applyFill="1" applyAlignment="1">
      <alignment horizontal="left" vertical="center"/>
    </xf>
    <xf numFmtId="0" fontId="8" fillId="2" borderId="0" xfId="2" applyFont="1" applyFill="1"/>
    <xf numFmtId="168" fontId="8" fillId="2" borderId="0" xfId="2" applyNumberFormat="1" applyFont="1" applyFill="1"/>
    <xf numFmtId="0" fontId="5" fillId="2" borderId="0" xfId="0" applyFont="1" applyFill="1"/>
    <xf numFmtId="0" fontId="8" fillId="2" borderId="0" xfId="2" applyFont="1" applyFill="1" applyBorder="1" applyAlignment="1">
      <alignment horizontal="left"/>
    </xf>
    <xf numFmtId="0" fontId="8" fillId="2" borderId="0" xfId="2" applyFont="1" applyFill="1" applyBorder="1"/>
    <xf numFmtId="0" fontId="0" fillId="2" borderId="0" xfId="0" applyFill="1"/>
    <xf numFmtId="0" fontId="4" fillId="2" borderId="0" xfId="2" applyFont="1" applyFill="1" applyAlignment="1">
      <alignment vertical="center"/>
    </xf>
    <xf numFmtId="0" fontId="7" fillId="2" borderId="0" xfId="2" applyFont="1" applyFill="1" applyAlignment="1">
      <alignment horizontal="left" vertical="center" indent="1"/>
    </xf>
    <xf numFmtId="165" fontId="8" fillId="2" borderId="0" xfId="2" applyNumberFormat="1" applyFont="1" applyFill="1" applyBorder="1" applyAlignment="1">
      <alignment horizontal="right"/>
    </xf>
    <xf numFmtId="0" fontId="8" fillId="2" borderId="0" xfId="0" applyFont="1" applyFill="1"/>
    <xf numFmtId="0" fontId="1" fillId="2" borderId="0" xfId="3" applyFont="1" applyFill="1"/>
    <xf numFmtId="0" fontId="8" fillId="2" borderId="0" xfId="3" applyFont="1" applyFill="1"/>
    <xf numFmtId="165" fontId="8" fillId="2" borderId="0" xfId="3" applyNumberFormat="1" applyFont="1" applyFill="1"/>
    <xf numFmtId="0" fontId="0" fillId="2" borderId="0" xfId="0" applyFill="1" applyBorder="1"/>
    <xf numFmtId="169" fontId="12" fillId="2" borderId="0" xfId="4" applyFont="1" applyFill="1" applyBorder="1" applyAlignment="1">
      <alignment vertical="top"/>
    </xf>
    <xf numFmtId="49" fontId="13" fillId="2" borderId="0" xfId="4" applyNumberFormat="1" applyFont="1" applyFill="1" applyBorder="1" applyAlignment="1" applyProtection="1">
      <alignment horizontal="center" vertical="center"/>
    </xf>
    <xf numFmtId="165" fontId="5" fillId="3" borderId="0" xfId="2" applyNumberFormat="1" applyFont="1" applyFill="1" applyAlignment="1">
      <alignment horizontal="right" vertical="center"/>
    </xf>
    <xf numFmtId="0" fontId="6" fillId="2" borderId="0" xfId="0" applyFont="1" applyFill="1" applyBorder="1" applyAlignment="1" applyProtection="1">
      <alignment horizontal="left" vertical="center"/>
      <protection hidden="1"/>
    </xf>
    <xf numFmtId="166" fontId="5" fillId="2" borderId="0" xfId="2" applyNumberFormat="1" applyFont="1" applyFill="1" applyAlignment="1">
      <alignment horizontal="left" vertical="center" indent="1"/>
    </xf>
    <xf numFmtId="166" fontId="5" fillId="2" borderId="0" xfId="0" applyNumberFormat="1" applyFont="1" applyFill="1" applyAlignment="1">
      <alignment horizontal="center"/>
    </xf>
    <xf numFmtId="0" fontId="15" fillId="2" borderId="0" xfId="2" applyFont="1" applyFill="1" applyAlignment="1">
      <alignment vertical="center"/>
    </xf>
    <xf numFmtId="0" fontId="12" fillId="2" borderId="0" xfId="0" applyFont="1" applyFill="1"/>
    <xf numFmtId="0" fontId="17" fillId="2" borderId="0" xfId="0" applyFont="1" applyFill="1"/>
    <xf numFmtId="0" fontId="2" fillId="2" borderId="0" xfId="0" applyFont="1" applyFill="1"/>
    <xf numFmtId="166" fontId="12" fillId="2" borderId="0" xfId="1" applyNumberFormat="1" applyFont="1" applyFill="1" applyAlignment="1">
      <alignment horizontal="right" vertical="center"/>
    </xf>
    <xf numFmtId="0" fontId="6" fillId="2" borderId="0" xfId="5" applyFont="1" applyFill="1" applyAlignment="1">
      <alignment horizontal="left" vertical="center" indent="1"/>
    </xf>
    <xf numFmtId="0" fontId="12" fillId="2" borderId="0" xfId="2" applyFont="1" applyFill="1"/>
    <xf numFmtId="0" fontId="2" fillId="2" borderId="0" xfId="0" applyFont="1" applyFill="1" applyBorder="1"/>
    <xf numFmtId="0" fontId="25" fillId="2" borderId="0" xfId="5" applyFont="1" applyFill="1" applyAlignment="1">
      <alignment horizontal="left" vertical="center" indent="1"/>
    </xf>
    <xf numFmtId="165" fontId="25" fillId="2" borderId="0" xfId="2" applyNumberFormat="1" applyFont="1" applyFill="1"/>
    <xf numFmtId="0" fontId="0" fillId="0" borderId="0" xfId="0" applyFill="1"/>
    <xf numFmtId="0" fontId="25" fillId="2" borderId="0" xfId="5" applyFont="1" applyFill="1" applyAlignment="1">
      <alignment vertical="center"/>
    </xf>
    <xf numFmtId="0" fontId="25" fillId="2" borderId="0" xfId="5" applyFont="1" applyFill="1" applyBorder="1" applyAlignment="1">
      <alignment vertical="center"/>
    </xf>
    <xf numFmtId="166" fontId="25" fillId="2" borderId="0" xfId="5" applyNumberFormat="1" applyFont="1" applyFill="1" applyBorder="1" applyAlignment="1">
      <alignment vertical="center"/>
    </xf>
    <xf numFmtId="0" fontId="25" fillId="2" borderId="0" xfId="2" applyFont="1" applyFill="1" applyAlignment="1">
      <alignment vertical="center"/>
    </xf>
    <xf numFmtId="0" fontId="0" fillId="2" borderId="0" xfId="0" applyFill="1" applyAlignment="1">
      <alignment vertical="center"/>
    </xf>
    <xf numFmtId="0" fontId="26" fillId="2" borderId="0" xfId="5" applyFont="1" applyFill="1" applyAlignment="1">
      <alignment vertical="center"/>
    </xf>
    <xf numFmtId="0" fontId="25" fillId="2" borderId="0" xfId="5" applyFont="1" applyFill="1"/>
    <xf numFmtId="0" fontId="25" fillId="2" borderId="0" xfId="2" applyFont="1" applyFill="1"/>
    <xf numFmtId="168" fontId="27" fillId="2" borderId="0" xfId="2" applyNumberFormat="1" applyFont="1" applyFill="1" applyBorder="1" applyAlignment="1">
      <alignment horizontal="right" vertical="center"/>
    </xf>
    <xf numFmtId="0" fontId="25" fillId="2" borderId="0" xfId="2" applyFont="1" applyFill="1" applyAlignment="1">
      <alignment horizontal="left" vertical="top"/>
    </xf>
    <xf numFmtId="168" fontId="27" fillId="2" borderId="0" xfId="2" applyNumberFormat="1" applyFont="1" applyFill="1" applyBorder="1" applyAlignment="1">
      <alignment horizontal="left" vertical="top"/>
    </xf>
    <xf numFmtId="0" fontId="2" fillId="2" borderId="0" xfId="2" applyFont="1" applyFill="1"/>
    <xf numFmtId="0" fontId="2" fillId="2" borderId="0" xfId="2" applyFont="1" applyFill="1" applyBorder="1"/>
    <xf numFmtId="3" fontId="14" fillId="8" borderId="0" xfId="0" applyNumberFormat="1" applyFont="1" applyFill="1" applyBorder="1" applyAlignment="1" applyProtection="1">
      <alignment vertical="center"/>
      <protection hidden="1"/>
    </xf>
    <xf numFmtId="3" fontId="0" fillId="2" borderId="0" xfId="0" applyNumberFormat="1" applyFill="1"/>
    <xf numFmtId="0" fontId="29" fillId="2" borderId="0" xfId="0" applyFont="1" applyFill="1" applyAlignment="1">
      <alignment vertical="center"/>
    </xf>
    <xf numFmtId="0" fontId="22" fillId="2" borderId="0" xfId="0" applyFont="1" applyFill="1"/>
    <xf numFmtId="0" fontId="30" fillId="2" borderId="0" xfId="5" applyFont="1" applyFill="1" applyAlignment="1">
      <alignment vertical="center"/>
    </xf>
    <xf numFmtId="0" fontId="31" fillId="2" borderId="0" xfId="2" applyFont="1" applyFill="1" applyBorder="1"/>
    <xf numFmtId="0" fontId="32" fillId="2" borderId="0" xfId="0" applyFont="1" applyFill="1"/>
    <xf numFmtId="0" fontId="2" fillId="0" borderId="0" xfId="2" applyFont="1" applyFill="1"/>
    <xf numFmtId="0" fontId="17" fillId="0" borderId="0" xfId="0" applyFont="1" applyFill="1"/>
    <xf numFmtId="0" fontId="33" fillId="2" borderId="0" xfId="0" applyFont="1" applyFill="1" applyAlignment="1">
      <alignment vertical="center"/>
    </xf>
    <xf numFmtId="0" fontId="5" fillId="2" borderId="0" xfId="0" applyFont="1" applyFill="1" applyAlignment="1">
      <alignment vertical="center"/>
    </xf>
    <xf numFmtId="0" fontId="5" fillId="2" borderId="0" xfId="5" applyFont="1" applyFill="1"/>
    <xf numFmtId="0" fontId="34" fillId="2" borderId="0" xfId="5" applyFont="1" applyFill="1"/>
    <xf numFmtId="0" fontId="34" fillId="2" borderId="0" xfId="2" applyFont="1" applyFill="1"/>
    <xf numFmtId="0" fontId="0" fillId="2" borderId="0" xfId="2" applyFont="1" applyFill="1"/>
    <xf numFmtId="0" fontId="0" fillId="0" borderId="0" xfId="2" applyFont="1" applyFill="1"/>
    <xf numFmtId="0" fontId="0" fillId="2" borderId="0" xfId="5" applyFont="1" applyFill="1"/>
    <xf numFmtId="2" fontId="0" fillId="2" borderId="0" xfId="2" applyNumberFormat="1" applyFont="1" applyFill="1"/>
    <xf numFmtId="0" fontId="1" fillId="2" borderId="0" xfId="6" applyFont="1" applyFill="1"/>
    <xf numFmtId="165" fontId="5" fillId="2" borderId="0" xfId="2" applyNumberFormat="1" applyFont="1" applyFill="1" applyAlignment="1">
      <alignment horizontal="right" vertical="center"/>
    </xf>
    <xf numFmtId="0" fontId="40" fillId="2" borderId="0" xfId="6" applyFont="1" applyFill="1" applyAlignment="1">
      <alignment vertical="center"/>
    </xf>
    <xf numFmtId="0" fontId="41" fillId="2" borderId="0" xfId="0" applyFont="1" applyFill="1" applyAlignment="1">
      <alignment vertical="center"/>
    </xf>
    <xf numFmtId="0" fontId="42" fillId="2" borderId="0" xfId="6" applyFont="1" applyFill="1" applyAlignment="1">
      <alignment vertical="center"/>
    </xf>
    <xf numFmtId="0" fontId="0" fillId="0" borderId="0" xfId="0"/>
    <xf numFmtId="0" fontId="0" fillId="2" borderId="0" xfId="0" applyFill="1"/>
    <xf numFmtId="3" fontId="1" fillId="2" borderId="0" xfId="0" applyNumberFormat="1" applyFont="1" applyFill="1" applyAlignment="1">
      <alignment horizontal="right" vertical="center"/>
    </xf>
    <xf numFmtId="165" fontId="0" fillId="2" borderId="0" xfId="0" applyNumberFormat="1" applyFill="1" applyAlignment="1">
      <alignment vertical="center"/>
    </xf>
    <xf numFmtId="3" fontId="6" fillId="2" borderId="0" xfId="7" applyNumberFormat="1" applyFont="1" applyFill="1" applyAlignment="1">
      <alignment horizontal="right" vertical="center"/>
    </xf>
    <xf numFmtId="0" fontId="8" fillId="31" borderId="0" xfId="2" applyFont="1" applyFill="1" applyAlignment="1">
      <alignment horizontal="left" vertical="center" indent="1"/>
    </xf>
    <xf numFmtId="3" fontId="8" fillId="31" borderId="0" xfId="7" applyNumberFormat="1" applyFont="1" applyFill="1" applyAlignment="1">
      <alignment horizontal="right" vertical="center"/>
    </xf>
    <xf numFmtId="3" fontId="8" fillId="2" borderId="0" xfId="7" applyNumberFormat="1" applyFont="1" applyFill="1" applyAlignment="1">
      <alignment horizontal="right" vertical="center"/>
    </xf>
    <xf numFmtId="0" fontId="2" fillId="0" borderId="0" xfId="0" applyFont="1" applyFill="1"/>
    <xf numFmtId="0" fontId="0" fillId="2" borderId="0" xfId="0" applyFill="1" applyAlignment="1">
      <alignment horizontal="left" vertical="center" indent="1"/>
    </xf>
    <xf numFmtId="3" fontId="0" fillId="2" borderId="0" xfId="7" applyNumberFormat="1" applyFont="1" applyFill="1" applyAlignment="1">
      <alignment horizontal="right" vertical="center"/>
    </xf>
    <xf numFmtId="0" fontId="5" fillId="2" borderId="0" xfId="0" applyFont="1" applyFill="1" applyAlignment="1">
      <alignment horizontal="left" vertical="center" indent="1"/>
    </xf>
    <xf numFmtId="3" fontId="5" fillId="2" borderId="0" xfId="7" applyNumberFormat="1" applyFont="1" applyFill="1" applyAlignment="1">
      <alignment horizontal="right" vertical="center"/>
    </xf>
    <xf numFmtId="0" fontId="35" fillId="2" borderId="0" xfId="0" applyFont="1" applyFill="1"/>
    <xf numFmtId="0" fontId="35" fillId="0" borderId="0" xfId="0" applyFont="1" applyFill="1"/>
    <xf numFmtId="0" fontId="65" fillId="2" borderId="0" xfId="2" applyFont="1" applyFill="1" applyAlignment="1">
      <alignment horizontal="left" vertical="center" indent="3"/>
    </xf>
    <xf numFmtId="3" fontId="0" fillId="2" borderId="0" xfId="0" applyNumberFormat="1" applyFont="1" applyFill="1" applyAlignment="1">
      <alignment horizontal="right" vertical="center"/>
    </xf>
    <xf numFmtId="0" fontId="8" fillId="2" borderId="0" xfId="2" applyFont="1" applyFill="1" applyAlignment="1">
      <alignment horizontal="left" vertical="center" indent="2"/>
    </xf>
    <xf numFmtId="3" fontId="1" fillId="2" borderId="0" xfId="0" applyNumberFormat="1" applyFont="1" applyFill="1"/>
    <xf numFmtId="0" fontId="5" fillId="2" borderId="0" xfId="0" applyFont="1" applyFill="1" applyAlignment="1">
      <alignment horizontal="left" vertical="center" indent="2"/>
    </xf>
    <xf numFmtId="0" fontId="12" fillId="2" borderId="0" xfId="2" applyFont="1" applyFill="1" applyAlignment="1">
      <alignment horizontal="left" vertical="center" indent="1"/>
    </xf>
    <xf numFmtId="166" fontId="12" fillId="2" borderId="0" xfId="7" applyNumberFormat="1" applyFont="1" applyFill="1"/>
    <xf numFmtId="3" fontId="12" fillId="2" borderId="0" xfId="0" applyNumberFormat="1" applyFont="1" applyFill="1" applyAlignment="1">
      <alignment horizontal="right"/>
    </xf>
    <xf numFmtId="0" fontId="17" fillId="2" borderId="0" xfId="2" applyFont="1" applyFill="1"/>
    <xf numFmtId="0" fontId="17" fillId="0" borderId="0" xfId="2" applyFont="1" applyFill="1"/>
    <xf numFmtId="0" fontId="8" fillId="2" borderId="0" xfId="2" applyFont="1" applyFill="1" applyAlignment="1">
      <alignment horizontal="left" vertical="center" indent="6"/>
    </xf>
    <xf numFmtId="0" fontId="66" fillId="2" borderId="0" xfId="2" applyFont="1" applyFill="1" applyAlignment="1">
      <alignment vertical="center"/>
    </xf>
    <xf numFmtId="166" fontId="8" fillId="2" borderId="0" xfId="7" applyNumberFormat="1" applyFont="1" applyFill="1" applyAlignment="1">
      <alignment horizontal="left" vertical="center" indent="1"/>
    </xf>
    <xf numFmtId="0" fontId="26" fillId="2" borderId="0" xfId="2" applyFont="1" applyFill="1"/>
    <xf numFmtId="0" fontId="67" fillId="2" borderId="0" xfId="2" applyFont="1" applyFill="1"/>
    <xf numFmtId="166" fontId="67" fillId="2" borderId="0" xfId="7" applyNumberFormat="1" applyFont="1" applyFill="1"/>
    <xf numFmtId="166" fontId="25" fillId="2" borderId="0" xfId="7" applyNumberFormat="1" applyFont="1" applyFill="1"/>
    <xf numFmtId="169" fontId="68" fillId="2" borderId="0" xfId="0" applyNumberFormat="1" applyFont="1" applyFill="1"/>
    <xf numFmtId="166" fontId="0" fillId="2" borderId="0" xfId="7" applyNumberFormat="1" applyFont="1" applyFill="1"/>
    <xf numFmtId="169" fontId="63" fillId="2" borderId="0" xfId="0" applyNumberFormat="1" applyFont="1" applyFill="1" applyAlignment="1">
      <alignment vertical="center"/>
    </xf>
    <xf numFmtId="0" fontId="16" fillId="2" borderId="0" xfId="2" applyFont="1" applyFill="1" applyAlignment="1">
      <alignment vertical="center"/>
    </xf>
    <xf numFmtId="0" fontId="0" fillId="0" borderId="0" xfId="0" applyFill="1" applyAlignment="1">
      <alignment vertical="center"/>
    </xf>
    <xf numFmtId="37" fontId="8" fillId="2" borderId="0" xfId="1" applyNumberFormat="1" applyFont="1" applyFill="1" applyAlignment="1">
      <alignment horizontal="right" vertical="center"/>
    </xf>
    <xf numFmtId="3" fontId="8" fillId="2" borderId="0" xfId="2" applyNumberFormat="1" applyFont="1" applyFill="1" applyAlignment="1">
      <alignment horizontal="right" vertical="center"/>
    </xf>
    <xf numFmtId="166" fontId="12" fillId="2" borderId="0" xfId="1" applyNumberFormat="1" applyFont="1" applyFill="1" applyAlignment="1">
      <alignment vertical="center"/>
    </xf>
    <xf numFmtId="166" fontId="8" fillId="2" borderId="0" xfId="1" applyNumberFormat="1" applyFont="1" applyFill="1" applyAlignment="1">
      <alignment horizontal="right" vertical="center" indent="1"/>
    </xf>
    <xf numFmtId="0" fontId="65" fillId="2" borderId="0" xfId="2" applyFont="1" applyFill="1" applyAlignment="1">
      <alignment horizontal="left" vertical="center" indent="2"/>
    </xf>
    <xf numFmtId="1" fontId="8" fillId="2" borderId="0" xfId="2" applyNumberFormat="1" applyFont="1" applyFill="1" applyAlignment="1">
      <alignment horizontal="right" vertical="center"/>
    </xf>
    <xf numFmtId="0" fontId="12" fillId="2" borderId="0" xfId="0" applyFont="1" applyFill="1" applyAlignment="1">
      <alignment horizontal="right" vertical="center"/>
    </xf>
    <xf numFmtId="166" fontId="8" fillId="2" borderId="0" xfId="1" applyNumberFormat="1" applyFont="1" applyFill="1" applyAlignment="1">
      <alignment horizontal="right" vertical="center"/>
    </xf>
    <xf numFmtId="172" fontId="25" fillId="2" borderId="0" xfId="5" applyNumberFormat="1" applyFont="1" applyFill="1" applyAlignment="1">
      <alignment vertical="center"/>
    </xf>
    <xf numFmtId="166" fontId="25" fillId="2" borderId="0" xfId="1" applyNumberFormat="1" applyFont="1" applyFill="1" applyAlignment="1">
      <alignment vertical="center"/>
    </xf>
    <xf numFmtId="0" fontId="67" fillId="2" borderId="0" xfId="5" applyFont="1" applyFill="1" applyAlignment="1">
      <alignment vertical="center"/>
    </xf>
    <xf numFmtId="172" fontId="67" fillId="2" borderId="0" xfId="5" applyNumberFormat="1" applyFont="1" applyFill="1" applyAlignment="1">
      <alignment vertical="center"/>
    </xf>
    <xf numFmtId="166" fontId="67" fillId="2" borderId="0" xfId="1" applyNumberFormat="1" applyFont="1" applyFill="1" applyAlignment="1">
      <alignment vertical="center"/>
    </xf>
    <xf numFmtId="166" fontId="6" fillId="2" borderId="0" xfId="1" applyNumberFormat="1" applyFont="1" applyFill="1" applyAlignment="1">
      <alignment horizontal="right" vertical="center" indent="1"/>
    </xf>
    <xf numFmtId="0" fontId="2" fillId="2" borderId="0" xfId="0" applyFont="1" applyFill="1" applyAlignment="1">
      <alignment vertical="center"/>
    </xf>
    <xf numFmtId="0" fontId="70" fillId="2" borderId="0" xfId="70" applyFont="1" applyFill="1" applyAlignment="1">
      <alignment horizontal="left" vertical="center" indent="1"/>
    </xf>
    <xf numFmtId="0" fontId="2" fillId="2" borderId="0" xfId="0" applyFont="1" applyFill="1" applyAlignment="1">
      <alignment horizontal="right" vertical="center"/>
    </xf>
    <xf numFmtId="166" fontId="8" fillId="2" borderId="0" xfId="1" applyNumberFormat="1" applyFont="1" applyFill="1" applyAlignment="1">
      <alignment horizontal="center" vertical="center"/>
    </xf>
    <xf numFmtId="0" fontId="3" fillId="2" borderId="0" xfId="2" applyFont="1" applyFill="1" applyAlignment="1">
      <alignment vertical="center"/>
    </xf>
    <xf numFmtId="0" fontId="6" fillId="2" borderId="0" xfId="2" applyFont="1" applyFill="1" applyAlignment="1">
      <alignment horizontal="right" vertical="center" indent="1"/>
    </xf>
    <xf numFmtId="0" fontId="34" fillId="2" borderId="0" xfId="2" applyFont="1" applyFill="1" applyAlignment="1">
      <alignment vertical="center"/>
    </xf>
    <xf numFmtId="1" fontId="31" fillId="2" borderId="0" xfId="2" applyNumberFormat="1" applyFont="1" applyFill="1" applyAlignment="1">
      <alignment vertical="center"/>
    </xf>
    <xf numFmtId="166" fontId="8" fillId="2" borderId="0" xfId="1" applyNumberFormat="1" applyFont="1" applyFill="1" applyAlignment="1">
      <alignment horizontal="left" vertical="center" indent="1"/>
    </xf>
    <xf numFmtId="0" fontId="71" fillId="2" borderId="0" xfId="2" applyFont="1" applyFill="1" applyAlignment="1">
      <alignment vertical="center"/>
    </xf>
    <xf numFmtId="3" fontId="34" fillId="2" borderId="0" xfId="2" applyNumberFormat="1" applyFont="1" applyFill="1" applyAlignment="1">
      <alignment horizontal="right" vertical="center"/>
    </xf>
    <xf numFmtId="166" fontId="34" fillId="2" borderId="0" xfId="10" applyNumberFormat="1" applyFont="1" applyFill="1" applyAlignment="1">
      <alignment vertical="center"/>
    </xf>
    <xf numFmtId="167" fontId="8" fillId="2" borderId="0" xfId="1" applyNumberFormat="1" applyFont="1" applyFill="1" applyAlignment="1">
      <alignment horizontal="left" vertical="center" indent="1"/>
    </xf>
    <xf numFmtId="166" fontId="6" fillId="2" borderId="0" xfId="1" applyNumberFormat="1" applyFont="1" applyFill="1" applyAlignment="1">
      <alignment horizontal="left" vertical="center" indent="1"/>
    </xf>
    <xf numFmtId="0" fontId="8" fillId="2" borderId="0" xfId="1" applyNumberFormat="1" applyFont="1" applyFill="1" applyAlignment="1">
      <alignment horizontal="center" vertical="center"/>
    </xf>
    <xf numFmtId="0" fontId="6" fillId="7" borderId="0" xfId="2" applyFont="1" applyFill="1" applyAlignment="1">
      <alignment horizontal="left" vertical="center" indent="1"/>
    </xf>
    <xf numFmtId="166" fontId="6" fillId="7" borderId="0" xfId="1" applyNumberFormat="1" applyFont="1" applyFill="1" applyAlignment="1">
      <alignment horizontal="center" vertical="center"/>
    </xf>
    <xf numFmtId="3" fontId="8" fillId="2" borderId="0" xfId="1" applyNumberFormat="1" applyFont="1" applyFill="1" applyAlignment="1">
      <alignment horizontal="center" vertical="center"/>
    </xf>
    <xf numFmtId="165" fontId="0" fillId="2" borderId="0" xfId="0" applyNumberFormat="1" applyFill="1"/>
    <xf numFmtId="0" fontId="5" fillId="7" borderId="0" xfId="0" applyFont="1" applyFill="1" applyAlignment="1">
      <alignment horizontal="left" vertical="center"/>
    </xf>
    <xf numFmtId="166" fontId="5" fillId="7" borderId="0" xfId="1" applyNumberFormat="1" applyFont="1" applyFill="1" applyAlignment="1">
      <alignment horizontal="left" vertical="center"/>
    </xf>
    <xf numFmtId="166" fontId="5" fillId="2" borderId="0" xfId="1" applyNumberFormat="1" applyFont="1" applyFill="1" applyAlignment="1">
      <alignment horizontal="left" vertical="center"/>
    </xf>
    <xf numFmtId="165" fontId="0" fillId="2" borderId="0" xfId="2" applyNumberFormat="1" applyFont="1" applyFill="1"/>
    <xf numFmtId="165" fontId="0" fillId="2" borderId="0" xfId="2" applyNumberFormat="1" applyFont="1" applyFill="1" applyAlignment="1">
      <alignment vertical="center"/>
    </xf>
    <xf numFmtId="0" fontId="5" fillId="2" borderId="0" xfId="2" applyFont="1" applyFill="1" applyBorder="1"/>
    <xf numFmtId="165" fontId="0" fillId="2" borderId="0" xfId="2" applyNumberFormat="1" applyFont="1" applyFill="1" applyBorder="1"/>
    <xf numFmtId="0" fontId="0" fillId="2" borderId="0" xfId="2" applyFont="1" applyFill="1" applyBorder="1"/>
    <xf numFmtId="0" fontId="37" fillId="2" borderId="0" xfId="2" applyFont="1" applyFill="1"/>
    <xf numFmtId="164" fontId="0" fillId="2" borderId="0" xfId="0" applyNumberFormat="1" applyFill="1"/>
    <xf numFmtId="0" fontId="72" fillId="2" borderId="0" xfId="2" applyFont="1" applyFill="1" applyAlignment="1">
      <alignment vertical="center"/>
    </xf>
    <xf numFmtId="1" fontId="64" fillId="2" borderId="0" xfId="2" applyNumberFormat="1" applyFont="1" applyFill="1" applyAlignment="1">
      <alignment horizontal="right" vertical="center"/>
    </xf>
    <xf numFmtId="1" fontId="7" fillId="2" borderId="0" xfId="2" applyNumberFormat="1" applyFont="1" applyFill="1" applyAlignment="1">
      <alignment vertical="center"/>
    </xf>
    <xf numFmtId="0" fontId="73" fillId="2" borderId="0" xfId="2" applyFont="1" applyFill="1" applyBorder="1" applyAlignment="1">
      <alignment vertical="center"/>
    </xf>
    <xf numFmtId="3" fontId="37" fillId="2" borderId="0" xfId="2" applyNumberFormat="1" applyFont="1" applyFill="1" applyBorder="1" applyAlignment="1">
      <alignment horizontal="right" vertical="center"/>
    </xf>
    <xf numFmtId="3" fontId="5" fillId="2" borderId="0" xfId="2" applyNumberFormat="1" applyFont="1" applyFill="1" applyBorder="1" applyAlignment="1">
      <alignment vertical="center"/>
    </xf>
    <xf numFmtId="3" fontId="5" fillId="2" borderId="0" xfId="2" applyNumberFormat="1" applyFont="1" applyFill="1" applyBorder="1" applyAlignment="1">
      <alignment horizontal="right" vertical="center"/>
    </xf>
    <xf numFmtId="0" fontId="74" fillId="2" borderId="0" xfId="2" applyFont="1" applyFill="1" applyAlignment="1">
      <alignment vertical="center"/>
    </xf>
    <xf numFmtId="1" fontId="67" fillId="2" borderId="0" xfId="2" applyNumberFormat="1" applyFont="1" applyFill="1"/>
    <xf numFmtId="0" fontId="0" fillId="32" borderId="0" xfId="0" applyFill="1"/>
    <xf numFmtId="0" fontId="12" fillId="2" borderId="0" xfId="2" applyFont="1" applyFill="1" applyAlignment="1">
      <alignment horizontal="right" vertical="center"/>
    </xf>
    <xf numFmtId="0" fontId="12" fillId="2" borderId="0" xfId="2" applyFont="1" applyFill="1" applyBorder="1" applyAlignment="1">
      <alignment horizontal="right" vertical="center"/>
    </xf>
    <xf numFmtId="3" fontId="12" fillId="2" borderId="0" xfId="2" applyNumberFormat="1" applyFont="1" applyFill="1" applyAlignment="1">
      <alignment horizontal="right" vertical="center"/>
    </xf>
    <xf numFmtId="3" fontId="5" fillId="2" borderId="0" xfId="2" applyNumberFormat="1" applyFont="1" applyFill="1" applyAlignment="1">
      <alignment horizontal="right" vertical="center"/>
    </xf>
    <xf numFmtId="1" fontId="16" fillId="2" borderId="0" xfId="2" applyNumberFormat="1" applyFont="1" applyFill="1" applyAlignment="1">
      <alignment horizontal="right" vertical="center"/>
    </xf>
    <xf numFmtId="0" fontId="31" fillId="2" borderId="0" xfId="2" applyFont="1" applyFill="1"/>
    <xf numFmtId="0" fontId="75" fillId="31" borderId="0" xfId="2" applyFont="1" applyFill="1" applyAlignment="1">
      <alignment vertical="center"/>
    </xf>
    <xf numFmtId="3" fontId="75" fillId="31" borderId="0" xfId="2" applyNumberFormat="1" applyFont="1" applyFill="1" applyAlignment="1">
      <alignment vertical="center"/>
    </xf>
    <xf numFmtId="3" fontId="21" fillId="31" borderId="0" xfId="2" applyNumberFormat="1" applyFont="1" applyFill="1" applyAlignment="1">
      <alignment horizontal="right" vertical="center"/>
    </xf>
    <xf numFmtId="3" fontId="76" fillId="31" borderId="0" xfId="2" applyNumberFormat="1" applyFont="1" applyFill="1" applyAlignment="1">
      <alignment horizontal="right" vertical="center"/>
    </xf>
    <xf numFmtId="165" fontId="75" fillId="2" borderId="0" xfId="2" applyNumberFormat="1" applyFont="1" applyFill="1"/>
    <xf numFmtId="0" fontId="22" fillId="0" borderId="0" xfId="2" applyFont="1" applyFill="1"/>
    <xf numFmtId="1" fontId="77" fillId="2" borderId="0" xfId="2" applyNumberFormat="1" applyFont="1" applyFill="1" applyAlignment="1">
      <alignment horizontal="right" vertical="center"/>
    </xf>
    <xf numFmtId="0" fontId="22" fillId="2" borderId="0" xfId="2" applyFont="1" applyFill="1"/>
    <xf numFmtId="166" fontId="25" fillId="2" borderId="0" xfId="1" applyNumberFormat="1" applyFont="1" applyFill="1"/>
    <xf numFmtId="165" fontId="25" fillId="2" borderId="0" xfId="2" applyNumberFormat="1" applyFont="1" applyFill="1" applyAlignment="1">
      <alignment vertical="center"/>
    </xf>
    <xf numFmtId="165" fontId="12" fillId="2" borderId="0" xfId="2" applyNumberFormat="1" applyFont="1" applyFill="1" applyAlignment="1">
      <alignment horizontal="right" vertical="center"/>
    </xf>
    <xf numFmtId="165" fontId="79" fillId="2" borderId="0" xfId="2" applyNumberFormat="1" applyFont="1" applyFill="1" applyAlignment="1">
      <alignment horizontal="right" vertical="center"/>
    </xf>
    <xf numFmtId="164" fontId="0" fillId="2" borderId="0" xfId="2" applyNumberFormat="1" applyFont="1" applyFill="1"/>
    <xf numFmtId="0" fontId="81" fillId="2" borderId="0" xfId="2" applyFont="1" applyFill="1"/>
    <xf numFmtId="0" fontId="81" fillId="32" borderId="0" xfId="2" applyFont="1" applyFill="1"/>
    <xf numFmtId="3" fontId="25" fillId="2" borderId="0" xfId="2" applyNumberFormat="1" applyFont="1" applyFill="1" applyAlignment="1">
      <alignment vertical="center"/>
    </xf>
    <xf numFmtId="0" fontId="0" fillId="32" borderId="0" xfId="2" applyFont="1" applyFill="1"/>
    <xf numFmtId="3" fontId="12" fillId="2" borderId="0" xfId="2" applyNumberFormat="1" applyFont="1" applyFill="1" applyBorder="1" applyAlignment="1">
      <alignment horizontal="right" vertical="center"/>
    </xf>
    <xf numFmtId="4" fontId="12" fillId="2" borderId="0" xfId="2" applyNumberFormat="1" applyFont="1" applyFill="1" applyAlignment="1">
      <alignment horizontal="right" vertical="center"/>
    </xf>
    <xf numFmtId="165" fontId="12" fillId="2" borderId="0" xfId="2" applyNumberFormat="1" applyFont="1" applyFill="1" applyBorder="1" applyAlignment="1">
      <alignment horizontal="right" vertical="center"/>
    </xf>
    <xf numFmtId="168" fontId="12" fillId="2" borderId="0" xfId="2" applyNumberFormat="1" applyFont="1" applyFill="1" applyAlignment="1">
      <alignment horizontal="right" vertical="center"/>
    </xf>
    <xf numFmtId="0" fontId="5" fillId="2" borderId="0" xfId="2" applyFont="1" applyFill="1" applyAlignment="1">
      <alignment horizontal="right" vertical="center"/>
    </xf>
    <xf numFmtId="0" fontId="84" fillId="2" borderId="0" xfId="2" applyFont="1" applyFill="1" applyAlignment="1">
      <alignment vertical="center"/>
    </xf>
    <xf numFmtId="165" fontId="84" fillId="2" borderId="0" xfId="2" applyNumberFormat="1" applyFont="1" applyFill="1" applyAlignment="1">
      <alignment horizontal="right" vertical="center"/>
    </xf>
    <xf numFmtId="165" fontId="84" fillId="2" borderId="0" xfId="2" applyNumberFormat="1" applyFont="1" applyFill="1" applyAlignment="1">
      <alignment vertical="center"/>
    </xf>
    <xf numFmtId="165" fontId="85" fillId="2" borderId="0" xfId="2" applyNumberFormat="1" applyFont="1" applyFill="1" applyAlignment="1">
      <alignment horizontal="right" vertical="center"/>
    </xf>
    <xf numFmtId="165" fontId="25" fillId="2" borderId="0" xfId="2" applyNumberFormat="1" applyFont="1" applyFill="1" applyAlignment="1">
      <alignment horizontal="right" vertical="center"/>
    </xf>
    <xf numFmtId="0" fontId="86" fillId="2" borderId="0" xfId="2" applyFont="1" applyFill="1"/>
    <xf numFmtId="4" fontId="25" fillId="2" borderId="0" xfId="2" applyNumberFormat="1" applyFont="1" applyFill="1" applyAlignment="1">
      <alignment horizontal="right" vertical="center"/>
    </xf>
    <xf numFmtId="168" fontId="25" fillId="2" borderId="0" xfId="2" applyNumberFormat="1" applyFont="1" applyFill="1" applyAlignment="1">
      <alignment vertical="center"/>
    </xf>
    <xf numFmtId="0" fontId="87" fillId="2" borderId="0" xfId="2" applyFont="1" applyFill="1" applyAlignment="1">
      <alignment vertical="center"/>
    </xf>
    <xf numFmtId="168" fontId="25" fillId="2" borderId="0" xfId="2" applyNumberFormat="1" applyFont="1" applyFill="1" applyAlignment="1">
      <alignment horizontal="right" vertical="center"/>
    </xf>
    <xf numFmtId="165" fontId="25" fillId="2" borderId="0" xfId="2" applyNumberFormat="1" applyFont="1" applyFill="1" applyBorder="1" applyAlignment="1">
      <alignment horizontal="right" vertical="center"/>
    </xf>
    <xf numFmtId="165" fontId="25" fillId="2" borderId="0" xfId="0" applyNumberFormat="1" applyFont="1" applyFill="1" applyAlignment="1">
      <alignment vertical="center"/>
    </xf>
    <xf numFmtId="165" fontId="37" fillId="2" borderId="0" xfId="72" applyNumberFormat="1" applyFont="1" applyFill="1" applyBorder="1" applyAlignment="1">
      <alignment vertical="center"/>
    </xf>
    <xf numFmtId="0" fontId="0" fillId="2" borderId="0" xfId="2" applyFont="1" applyFill="1" applyAlignment="1">
      <alignment vertical="center"/>
    </xf>
    <xf numFmtId="0" fontId="34" fillId="2" borderId="0" xfId="2" applyNumberFormat="1" applyFont="1" applyFill="1"/>
    <xf numFmtId="166" fontId="9" fillId="2" borderId="0" xfId="1" applyNumberFormat="1" applyFont="1" applyFill="1" applyBorder="1" applyAlignment="1">
      <alignment horizontal="right" vertical="center"/>
    </xf>
    <xf numFmtId="165" fontId="25" fillId="2" borderId="0" xfId="72" applyNumberFormat="1" applyFont="1" applyFill="1" applyBorder="1" applyAlignment="1">
      <alignment vertical="center"/>
    </xf>
    <xf numFmtId="1" fontId="0" fillId="2" borderId="0" xfId="0" applyNumberFormat="1" applyFill="1"/>
    <xf numFmtId="0" fontId="25" fillId="3" borderId="0" xfId="2" applyFont="1" applyFill="1" applyAlignment="1">
      <alignment vertical="center"/>
    </xf>
    <xf numFmtId="165" fontId="25" fillId="3" borderId="0" xfId="2" applyNumberFormat="1" applyFont="1" applyFill="1" applyAlignment="1">
      <alignment vertical="center"/>
    </xf>
    <xf numFmtId="165" fontId="12" fillId="3" borderId="0" xfId="2" applyNumberFormat="1" applyFont="1" applyFill="1" applyAlignment="1">
      <alignment horizontal="right" vertical="center"/>
    </xf>
    <xf numFmtId="0" fontId="12" fillId="3" borderId="0" xfId="2" applyFont="1" applyFill="1" applyAlignment="1">
      <alignment horizontal="right" vertical="center"/>
    </xf>
    <xf numFmtId="165" fontId="12" fillId="3" borderId="0" xfId="2" applyNumberFormat="1" applyFont="1" applyFill="1" applyBorder="1" applyAlignment="1">
      <alignment horizontal="right" vertical="center"/>
    </xf>
    <xf numFmtId="0" fontId="90" fillId="2" borderId="0" xfId="2" applyFont="1" applyFill="1"/>
    <xf numFmtId="0" fontId="91" fillId="2" borderId="0" xfId="2" applyFont="1" applyFill="1" applyAlignment="1">
      <alignment vertical="center"/>
    </xf>
    <xf numFmtId="0" fontId="64" fillId="2" borderId="0" xfId="2" applyFont="1" applyFill="1" applyBorder="1" applyAlignment="1">
      <alignment vertical="center"/>
    </xf>
    <xf numFmtId="0" fontId="90" fillId="2" borderId="0" xfId="2" applyFont="1" applyFill="1" applyAlignment="1"/>
    <xf numFmtId="0" fontId="0" fillId="2" borderId="0" xfId="0" applyFill="1" applyAlignment="1"/>
    <xf numFmtId="0" fontId="92" fillId="2" borderId="0" xfId="2" applyFont="1" applyFill="1" applyBorder="1" applyAlignment="1">
      <alignment vertical="center"/>
    </xf>
    <xf numFmtId="0" fontId="94" fillId="2" borderId="0" xfId="2" applyFont="1" applyFill="1" applyBorder="1" applyAlignment="1">
      <alignment vertical="center"/>
    </xf>
    <xf numFmtId="0" fontId="93" fillId="2" borderId="0" xfId="2" applyFont="1" applyFill="1" applyAlignment="1">
      <alignment vertical="center"/>
    </xf>
    <xf numFmtId="0" fontId="93" fillId="2" borderId="0" xfId="0" applyFont="1" applyFill="1" applyAlignment="1">
      <alignment vertical="center"/>
    </xf>
    <xf numFmtId="0" fontId="95" fillId="2" borderId="0" xfId="0" applyFont="1" applyFill="1" applyAlignment="1"/>
    <xf numFmtId="0" fontId="83" fillId="2" borderId="0" xfId="2" applyFont="1" applyFill="1" applyBorder="1" applyAlignment="1">
      <alignment horizontal="left" vertical="center" indent="1"/>
    </xf>
    <xf numFmtId="0" fontId="93" fillId="2" borderId="0" xfId="2" applyFont="1" applyFill="1" applyBorder="1" applyAlignment="1">
      <alignment vertical="center"/>
    </xf>
    <xf numFmtId="3" fontId="93" fillId="2" borderId="0" xfId="2" applyNumberFormat="1" applyFont="1" applyFill="1" applyAlignment="1">
      <alignment horizontal="right" vertical="center"/>
    </xf>
    <xf numFmtId="3" fontId="0" fillId="2" borderId="0" xfId="0" applyNumberFormat="1" applyFill="1" applyAlignment="1"/>
    <xf numFmtId="0" fontId="83" fillId="7" borderId="0" xfId="2" applyFont="1" applyFill="1" applyAlignment="1">
      <alignment horizontal="left" vertical="center" indent="1"/>
    </xf>
    <xf numFmtId="0" fontId="93" fillId="7" borderId="0" xfId="2" applyFont="1" applyFill="1" applyAlignment="1">
      <alignment vertical="center"/>
    </xf>
    <xf numFmtId="3" fontId="93" fillId="7" borderId="0" xfId="2" applyNumberFormat="1" applyFont="1" applyFill="1" applyAlignment="1">
      <alignment horizontal="right" vertical="center"/>
    </xf>
    <xf numFmtId="0" fontId="83" fillId="2" borderId="0" xfId="2" applyFont="1" applyFill="1" applyAlignment="1">
      <alignment horizontal="left" vertical="center" indent="1"/>
    </xf>
    <xf numFmtId="0" fontId="96" fillId="2" borderId="0" xfId="2" applyFont="1" applyFill="1" applyAlignment="1">
      <alignment horizontal="left" vertical="center" indent="1"/>
    </xf>
    <xf numFmtId="0" fontId="97" fillId="2" borderId="0" xfId="2" applyFont="1" applyFill="1" applyAlignment="1">
      <alignment vertical="center"/>
    </xf>
    <xf numFmtId="3" fontId="97" fillId="2" borderId="0" xfId="2" applyNumberFormat="1" applyFont="1" applyFill="1" applyAlignment="1">
      <alignment horizontal="right" vertical="center"/>
    </xf>
    <xf numFmtId="0" fontId="22" fillId="2" borderId="0" xfId="0" applyFont="1" applyFill="1" applyAlignment="1"/>
    <xf numFmtId="0" fontId="96" fillId="31" borderId="0" xfId="2" applyFont="1" applyFill="1" applyAlignment="1">
      <alignment horizontal="left" vertical="center" indent="1"/>
    </xf>
    <xf numFmtId="0" fontId="97" fillId="31" borderId="0" xfId="2" applyFont="1" applyFill="1" applyAlignment="1">
      <alignment vertical="center"/>
    </xf>
    <xf numFmtId="3" fontId="97" fillId="31" borderId="0" xfId="2" applyNumberFormat="1" applyFont="1" applyFill="1" applyAlignment="1">
      <alignment horizontal="right" vertical="center"/>
    </xf>
    <xf numFmtId="0" fontId="83" fillId="7" borderId="0" xfId="2" applyFont="1" applyFill="1" applyBorder="1" applyAlignment="1">
      <alignment vertical="center"/>
    </xf>
    <xf numFmtId="0" fontId="93" fillId="7" borderId="0" xfId="2" applyFont="1" applyFill="1" applyBorder="1" applyAlignment="1">
      <alignment vertical="center"/>
    </xf>
    <xf numFmtId="0" fontId="83" fillId="2" borderId="0" xfId="2" applyFont="1" applyFill="1" applyAlignment="1">
      <alignment vertical="center"/>
    </xf>
    <xf numFmtId="0" fontId="0" fillId="2" borderId="0" xfId="2" applyFont="1" applyFill="1" applyAlignment="1"/>
    <xf numFmtId="0" fontId="65" fillId="2" borderId="0" xfId="2" applyFont="1" applyFill="1" applyBorder="1" applyAlignment="1">
      <alignment vertical="center"/>
    </xf>
    <xf numFmtId="0" fontId="99" fillId="2" borderId="0" xfId="0" applyFont="1" applyFill="1"/>
    <xf numFmtId="0" fontId="100" fillId="2" borderId="0" xfId="5" applyFont="1" applyFill="1" applyAlignment="1">
      <alignment vertical="center"/>
    </xf>
    <xf numFmtId="0" fontId="6" fillId="2" borderId="0" xfId="5" applyFont="1" applyFill="1" applyAlignment="1"/>
    <xf numFmtId="3" fontId="8" fillId="2" borderId="0" xfId="5" applyNumberFormat="1" applyFont="1" applyFill="1" applyAlignment="1" applyProtection="1">
      <alignment horizontal="right"/>
    </xf>
    <xf numFmtId="0" fontId="8" fillId="2" borderId="0" xfId="5" applyFont="1" applyFill="1" applyAlignment="1"/>
    <xf numFmtId="3" fontId="8" fillId="2" borderId="0" xfId="5" applyNumberFormat="1" applyFont="1" applyFill="1" applyAlignment="1">
      <alignment vertical="center"/>
    </xf>
    <xf numFmtId="166" fontId="0" fillId="2" borderId="0" xfId="1" applyNumberFormat="1" applyFont="1" applyFill="1"/>
    <xf numFmtId="166" fontId="37" fillId="2" borderId="0" xfId="1" applyNumberFormat="1" applyFont="1" applyFill="1"/>
    <xf numFmtId="3" fontId="37" fillId="2" borderId="0" xfId="5" applyNumberFormat="1" applyFont="1" applyFill="1" applyAlignment="1">
      <alignment vertical="center"/>
    </xf>
    <xf numFmtId="3" fontId="34" fillId="2" borderId="0" xfId="5" applyNumberFormat="1" applyFont="1" applyFill="1"/>
    <xf numFmtId="165" fontId="0" fillId="2" borderId="0" xfId="5" applyNumberFormat="1" applyFont="1" applyFill="1"/>
    <xf numFmtId="0" fontId="0" fillId="0" borderId="0" xfId="0" applyAlignment="1">
      <alignment horizontal="right" vertical="center"/>
    </xf>
    <xf numFmtId="3" fontId="38" fillId="2" borderId="0" xfId="1" applyNumberFormat="1" applyFont="1" applyFill="1" applyAlignment="1">
      <alignment horizontal="right" vertical="center"/>
    </xf>
    <xf numFmtId="3" fontId="0" fillId="0" borderId="0" xfId="0" applyNumberFormat="1" applyAlignment="1">
      <alignment horizontal="right" vertical="center"/>
    </xf>
    <xf numFmtId="3" fontId="31" fillId="2" borderId="0" xfId="0" applyNumberFormat="1" applyFont="1" applyFill="1" applyAlignment="1" applyProtection="1">
      <alignment horizontal="right" vertical="center"/>
    </xf>
    <xf numFmtId="0" fontId="28" fillId="2" borderId="0" xfId="2" applyFont="1" applyFill="1" applyBorder="1" applyAlignment="1"/>
    <xf numFmtId="1" fontId="38" fillId="2" borderId="14" xfId="0" applyNumberFormat="1" applyFont="1" applyFill="1" applyBorder="1" applyAlignment="1">
      <alignment horizontal="right" vertical="center"/>
    </xf>
    <xf numFmtId="0" fontId="2" fillId="2" borderId="0" xfId="70" applyFont="1" applyFill="1"/>
    <xf numFmtId="0" fontId="91" fillId="2" borderId="0" xfId="5" applyFont="1" applyFill="1"/>
    <xf numFmtId="0" fontId="72" fillId="2" borderId="0" xfId="70" applyFont="1" applyFill="1"/>
    <xf numFmtId="0" fontId="12" fillId="2" borderId="0" xfId="70" applyFont="1" applyFill="1"/>
    <xf numFmtId="0" fontId="103" fillId="4" borderId="0" xfId="70" applyFont="1" applyFill="1" applyBorder="1" applyAlignment="1">
      <alignment horizontal="right" vertical="center"/>
    </xf>
    <xf numFmtId="0" fontId="16" fillId="2" borderId="0" xfId="70" applyFont="1" applyFill="1" applyAlignment="1">
      <alignment horizontal="right" vertical="center"/>
    </xf>
    <xf numFmtId="0" fontId="2" fillId="2" borderId="0" xfId="70" applyFont="1" applyFill="1" applyAlignment="1">
      <alignment vertical="center"/>
    </xf>
    <xf numFmtId="0" fontId="8" fillId="2" borderId="0" xfId="70" applyFont="1" applyFill="1" applyBorder="1" applyAlignment="1">
      <alignment vertical="center"/>
    </xf>
    <xf numFmtId="0" fontId="12" fillId="2" borderId="0" xfId="0" applyFont="1" applyFill="1" applyAlignment="1">
      <alignment vertical="center"/>
    </xf>
    <xf numFmtId="173" fontId="16" fillId="2" borderId="0" xfId="70" applyNumberFormat="1" applyFont="1" applyFill="1" applyAlignment="1">
      <alignment vertical="center"/>
    </xf>
    <xf numFmtId="173" fontId="12" fillId="2" borderId="0" xfId="1" applyNumberFormat="1" applyFont="1" applyFill="1" applyAlignment="1">
      <alignment vertical="center"/>
    </xf>
    <xf numFmtId="173" fontId="13" fillId="2" borderId="0" xfId="0" applyNumberFormat="1" applyFont="1" applyFill="1" applyBorder="1" applyAlignment="1">
      <alignment vertical="center"/>
    </xf>
    <xf numFmtId="173" fontId="12" fillId="2" borderId="0" xfId="0" applyNumberFormat="1" applyFont="1" applyFill="1" applyBorder="1" applyAlignment="1">
      <alignment vertical="center"/>
    </xf>
    <xf numFmtId="168" fontId="34" fillId="2" borderId="0" xfId="70" applyNumberFormat="1" applyFont="1" applyFill="1" applyAlignment="1">
      <alignment vertical="center"/>
    </xf>
    <xf numFmtId="167" fontId="34" fillId="2" borderId="0" xfId="1" applyNumberFormat="1" applyFont="1" applyFill="1" applyAlignment="1">
      <alignment vertical="center"/>
    </xf>
    <xf numFmtId="167" fontId="34" fillId="2" borderId="0" xfId="1" applyNumberFormat="1" applyFont="1" applyFill="1" applyAlignment="1">
      <alignment horizontal="right" vertical="center"/>
    </xf>
    <xf numFmtId="173" fontId="16" fillId="2" borderId="0" xfId="70" applyNumberFormat="1" applyFont="1" applyFill="1" applyAlignment="1">
      <alignment horizontal="right" vertical="center"/>
    </xf>
    <xf numFmtId="173" fontId="16" fillId="2" borderId="0" xfId="1" applyNumberFormat="1" applyFont="1" applyFill="1" applyAlignment="1">
      <alignment horizontal="right" vertical="center"/>
    </xf>
    <xf numFmtId="173" fontId="12" fillId="2" borderId="0" xfId="70" applyNumberFormat="1" applyFont="1" applyFill="1" applyBorder="1" applyAlignment="1">
      <alignment horizontal="right" vertical="center"/>
    </xf>
    <xf numFmtId="168" fontId="34" fillId="2" borderId="0" xfId="74" applyNumberFormat="1" applyFont="1" applyFill="1" applyAlignment="1" applyProtection="1">
      <alignment horizontal="right" vertical="center"/>
      <protection locked="0"/>
    </xf>
    <xf numFmtId="164" fontId="2" fillId="2" borderId="0" xfId="70" applyNumberFormat="1" applyFont="1" applyFill="1" applyAlignment="1">
      <alignment vertical="center"/>
    </xf>
    <xf numFmtId="49" fontId="2" fillId="2" borderId="0" xfId="70" applyNumberFormat="1" applyFont="1" applyFill="1" applyAlignment="1">
      <alignment vertical="center"/>
    </xf>
    <xf numFmtId="173" fontId="13" fillId="2" borderId="0" xfId="70" applyNumberFormat="1" applyFont="1" applyFill="1" applyBorder="1" applyAlignment="1">
      <alignment vertical="center"/>
    </xf>
    <xf numFmtId="173" fontId="12" fillId="2" borderId="0" xfId="70" applyNumberFormat="1" applyFont="1" applyFill="1" applyAlignment="1">
      <alignment vertical="center"/>
    </xf>
    <xf numFmtId="165" fontId="34" fillId="2" borderId="0" xfId="70" applyNumberFormat="1" applyFont="1" applyFill="1" applyAlignment="1">
      <alignment vertical="center"/>
    </xf>
    <xf numFmtId="0" fontId="2" fillId="2" borderId="0" xfId="70" applyFont="1" applyFill="1" applyBorder="1" applyAlignment="1">
      <alignment vertical="center"/>
    </xf>
    <xf numFmtId="165" fontId="34" fillId="2" borderId="0" xfId="70" applyNumberFormat="1" applyFont="1" applyFill="1" applyBorder="1" applyAlignment="1">
      <alignment vertical="center"/>
    </xf>
    <xf numFmtId="173" fontId="12" fillId="2" borderId="0" xfId="0" applyNumberFormat="1" applyFont="1" applyFill="1" applyAlignment="1">
      <alignment vertical="center"/>
    </xf>
    <xf numFmtId="173" fontId="13" fillId="4" borderId="0" xfId="70" applyNumberFormat="1" applyFont="1" applyFill="1" applyBorder="1" applyAlignment="1">
      <alignment vertical="center"/>
    </xf>
    <xf numFmtId="164" fontId="2" fillId="2" borderId="0" xfId="70" applyNumberFormat="1" applyFont="1" applyFill="1" applyBorder="1" applyAlignment="1">
      <alignment vertical="center"/>
    </xf>
    <xf numFmtId="0" fontId="0" fillId="2" borderId="0" xfId="0" applyFill="1" applyBorder="1" applyAlignment="1">
      <alignment vertical="center"/>
    </xf>
    <xf numFmtId="0" fontId="0" fillId="2" borderId="0" xfId="0" applyFill="1" applyBorder="1" applyAlignment="1">
      <alignment vertical="center" wrapText="1"/>
    </xf>
    <xf numFmtId="173" fontId="106" fillId="2" borderId="0" xfId="70" applyNumberFormat="1" applyFont="1" applyFill="1" applyBorder="1" applyAlignment="1">
      <alignment vertical="center"/>
    </xf>
    <xf numFmtId="0" fontId="82" fillId="2" borderId="0" xfId="0" applyFont="1" applyFill="1" applyAlignment="1">
      <alignment vertical="center"/>
    </xf>
    <xf numFmtId="0" fontId="82" fillId="2" borderId="0" xfId="70" applyFont="1" applyFill="1" applyBorder="1" applyAlignment="1">
      <alignment vertical="center"/>
    </xf>
    <xf numFmtId="173" fontId="105" fillId="2" borderId="0" xfId="70" applyNumberFormat="1" applyFont="1" applyFill="1" applyBorder="1" applyAlignment="1">
      <alignment vertical="center"/>
    </xf>
    <xf numFmtId="0" fontId="82" fillId="2" borderId="0" xfId="0" applyFont="1" applyFill="1" applyBorder="1" applyAlignment="1">
      <alignment vertical="center"/>
    </xf>
    <xf numFmtId="174" fontId="82" fillId="2" borderId="0" xfId="1" applyNumberFormat="1" applyFont="1" applyFill="1" applyBorder="1" applyAlignment="1">
      <alignment vertical="center"/>
    </xf>
    <xf numFmtId="173" fontId="106" fillId="2" borderId="0" xfId="75" applyNumberFormat="1" applyFont="1" applyFill="1" applyBorder="1" applyAlignment="1">
      <alignment horizontal="right" vertical="center"/>
    </xf>
    <xf numFmtId="0" fontId="19" fillId="2" borderId="0" xfId="70" applyFont="1" applyFill="1" applyAlignment="1">
      <alignment vertical="center"/>
    </xf>
    <xf numFmtId="0" fontId="13" fillId="2" borderId="0" xfId="70" applyFont="1" applyFill="1" applyAlignment="1">
      <alignment vertical="center"/>
    </xf>
    <xf numFmtId="174" fontId="0" fillId="2" borderId="0" xfId="1" applyNumberFormat="1" applyFont="1" applyFill="1" applyBorder="1" applyAlignment="1">
      <alignment vertical="center"/>
    </xf>
    <xf numFmtId="0" fontId="108" fillId="2" borderId="0" xfId="70" applyFont="1" applyFill="1" applyAlignment="1">
      <alignment vertical="center"/>
    </xf>
    <xf numFmtId="168" fontId="31" fillId="2" borderId="0" xfId="70" applyNumberFormat="1" applyFont="1" applyFill="1" applyBorder="1"/>
    <xf numFmtId="0" fontId="2" fillId="2" borderId="0" xfId="70" applyFill="1" applyBorder="1"/>
    <xf numFmtId="0" fontId="2" fillId="2" borderId="0" xfId="5" applyFont="1" applyFill="1" applyBorder="1" applyAlignment="1">
      <alignment horizontal="left"/>
    </xf>
    <xf numFmtId="0" fontId="31" fillId="2" borderId="0" xfId="5" applyNumberFormat="1" applyFont="1" applyFill="1" applyBorder="1" applyAlignment="1" applyProtection="1">
      <alignment horizontal="right"/>
    </xf>
    <xf numFmtId="0" fontId="2" fillId="2" borderId="0" xfId="5" applyFont="1" applyFill="1"/>
    <xf numFmtId="0" fontId="2" fillId="2" borderId="0" xfId="5" applyFont="1" applyFill="1" applyBorder="1"/>
    <xf numFmtId="168" fontId="25" fillId="2" borderId="0" xfId="0" applyNumberFormat="1" applyFont="1" applyFill="1" applyAlignment="1">
      <alignment horizontal="right" vertical="center"/>
    </xf>
    <xf numFmtId="0" fontId="12" fillId="2" borderId="0" xfId="70" applyFont="1" applyFill="1" applyAlignment="1">
      <alignment horizontal="right" vertical="center"/>
    </xf>
    <xf numFmtId="2" fontId="2" fillId="2" borderId="0" xfId="70" applyNumberFormat="1" applyFont="1" applyFill="1"/>
    <xf numFmtId="168" fontId="67" fillId="2" borderId="0" xfId="0" applyNumberFormat="1" applyFont="1" applyFill="1" applyAlignment="1">
      <alignment horizontal="right" vertical="center"/>
    </xf>
    <xf numFmtId="0" fontId="0" fillId="2" borderId="0" xfId="0" applyFill="1" applyAlignment="1">
      <alignment horizontal="right" vertical="center"/>
    </xf>
    <xf numFmtId="0" fontId="91" fillId="2" borderId="0" xfId="2" applyFont="1" applyFill="1"/>
    <xf numFmtId="166" fontId="2" fillId="2" borderId="0" xfId="1" applyNumberFormat="1" applyFont="1" applyFill="1"/>
    <xf numFmtId="3" fontId="2" fillId="2" borderId="0" xfId="70" applyNumberFormat="1" applyFont="1" applyFill="1"/>
    <xf numFmtId="0" fontId="1" fillId="2" borderId="0" xfId="2" applyFont="1" applyFill="1"/>
    <xf numFmtId="0" fontId="1" fillId="2" borderId="0" xfId="2" applyFont="1" applyFill="1" applyAlignment="1">
      <alignment vertical="center"/>
    </xf>
    <xf numFmtId="165" fontId="1" fillId="2" borderId="0" xfId="2" applyNumberFormat="1" applyFont="1" applyFill="1"/>
    <xf numFmtId="0" fontId="65" fillId="2" borderId="0" xfId="2" applyFont="1" applyFill="1" applyBorder="1" applyAlignment="1" applyProtection="1">
      <alignment horizontal="left"/>
    </xf>
    <xf numFmtId="0" fontId="33" fillId="2" borderId="0" xfId="70" applyFont="1" applyFill="1"/>
    <xf numFmtId="0" fontId="2" fillId="2" borderId="0" xfId="70" applyFont="1" applyFill="1" applyAlignment="1"/>
    <xf numFmtId="0" fontId="16" fillId="2" borderId="0" xfId="2" applyFont="1" applyFill="1" applyAlignment="1">
      <alignment horizontal="right" vertical="center"/>
    </xf>
    <xf numFmtId="0" fontId="72" fillId="2" borderId="0" xfId="2" applyFont="1" applyFill="1"/>
    <xf numFmtId="165" fontId="2" fillId="2" borderId="0" xfId="70" applyNumberFormat="1" applyFont="1" applyFill="1"/>
    <xf numFmtId="1" fontId="2" fillId="2" borderId="0" xfId="70" applyNumberFormat="1" applyFont="1" applyFill="1" applyAlignment="1"/>
    <xf numFmtId="1" fontId="2" fillId="2" borderId="0" xfId="70" applyNumberFormat="1" applyFont="1" applyFill="1"/>
    <xf numFmtId="166" fontId="44" fillId="2" borderId="0" xfId="10" applyNumberFormat="1" applyFill="1"/>
    <xf numFmtId="0" fontId="2" fillId="2" borderId="0" xfId="79" applyFont="1" applyFill="1"/>
    <xf numFmtId="0" fontId="2" fillId="0" borderId="0" xfId="79" applyFont="1" applyFill="1"/>
    <xf numFmtId="0" fontId="72" fillId="2" borderId="0" xfId="79" applyFont="1" applyFill="1" applyAlignment="1">
      <alignment vertical="center"/>
    </xf>
    <xf numFmtId="0" fontId="67" fillId="2" borderId="0" xfId="79" applyFont="1" applyFill="1" applyAlignment="1">
      <alignment horizontal="right" vertical="center"/>
    </xf>
    <xf numFmtId="0" fontId="12" fillId="2" borderId="0" xfId="79" applyFont="1" applyFill="1" applyAlignment="1">
      <alignment horizontal="right"/>
    </xf>
    <xf numFmtId="0" fontId="2" fillId="32" borderId="0" xfId="79" applyFont="1" applyFill="1"/>
    <xf numFmtId="0" fontId="8" fillId="2" borderId="0" xfId="79" applyFont="1" applyFill="1" applyAlignment="1">
      <alignment vertical="center"/>
    </xf>
    <xf numFmtId="0" fontId="34" fillId="2" borderId="0" xfId="79" applyFont="1" applyFill="1"/>
    <xf numFmtId="0" fontId="34" fillId="32" borderId="0" xfId="79" applyFont="1" applyFill="1"/>
    <xf numFmtId="0" fontId="31" fillId="2" borderId="0" xfId="79" applyFont="1" applyFill="1"/>
    <xf numFmtId="0" fontId="34" fillId="0" borderId="0" xfId="79" applyFont="1" applyFill="1"/>
    <xf numFmtId="0" fontId="31" fillId="2" borderId="0" xfId="79" applyFont="1" applyFill="1" applyAlignment="1">
      <alignment horizontal="right" vertical="center"/>
    </xf>
    <xf numFmtId="3" fontId="78" fillId="2" borderId="0" xfId="79" applyNumberFormat="1" applyFont="1" applyFill="1" applyAlignment="1">
      <alignment vertical="center"/>
    </xf>
    <xf numFmtId="168" fontId="78" fillId="2" borderId="0" xfId="79" applyNumberFormat="1" applyFont="1" applyFill="1" applyAlignment="1">
      <alignment vertical="center"/>
    </xf>
    <xf numFmtId="0" fontId="34" fillId="33" borderId="0" xfId="79" applyFont="1" applyFill="1"/>
    <xf numFmtId="165" fontId="34" fillId="2" borderId="0" xfId="79" applyNumberFormat="1" applyFont="1" applyFill="1"/>
    <xf numFmtId="0" fontId="2" fillId="2" borderId="0" xfId="80" applyFill="1"/>
    <xf numFmtId="0" fontId="2" fillId="0" borderId="0" xfId="80"/>
    <xf numFmtId="0" fontId="110" fillId="2" borderId="0" xfId="2" applyFont="1" applyFill="1"/>
    <xf numFmtId="0" fontId="33" fillId="2" borderId="0" xfId="81" applyFont="1" applyFill="1" applyBorder="1" applyAlignment="1">
      <alignment horizontal="left" vertical="center"/>
    </xf>
    <xf numFmtId="0" fontId="72" fillId="2" borderId="0" xfId="0" applyFont="1" applyFill="1"/>
    <xf numFmtId="165" fontId="2" fillId="2" borderId="0" xfId="2" applyNumberFormat="1" applyFont="1" applyFill="1"/>
    <xf numFmtId="165" fontId="111" fillId="2" borderId="0" xfId="2" applyNumberFormat="1" applyFont="1" applyFill="1" applyAlignment="1">
      <alignment vertical="center"/>
    </xf>
    <xf numFmtId="165" fontId="2" fillId="2" borderId="0" xfId="10" applyNumberFormat="1" applyFont="1" applyFill="1"/>
    <xf numFmtId="2" fontId="2" fillId="2" borderId="0" xfId="10" applyNumberFormat="1" applyFont="1" applyFill="1"/>
    <xf numFmtId="2" fontId="2" fillId="2" borderId="0" xfId="2" applyNumberFormat="1" applyFont="1" applyFill="1"/>
    <xf numFmtId="2" fontId="0" fillId="2" borderId="0" xfId="0" applyNumberFormat="1" applyFill="1"/>
    <xf numFmtId="0" fontId="7" fillId="2" borderId="0" xfId="0" applyFont="1" applyFill="1"/>
    <xf numFmtId="0" fontId="7" fillId="2" borderId="0" xfId="0" applyFont="1" applyFill="1" applyAlignment="1">
      <alignment horizontal="right" vertical="center"/>
    </xf>
    <xf numFmtId="3" fontId="12" fillId="2" borderId="0" xfId="0" applyNumberFormat="1" applyFont="1" applyFill="1" applyAlignment="1">
      <alignment vertical="center"/>
    </xf>
    <xf numFmtId="0" fontId="72" fillId="2" borderId="0" xfId="0" applyFont="1" applyFill="1" applyAlignment="1">
      <alignment horizontal="left"/>
    </xf>
    <xf numFmtId="168" fontId="12" fillId="2" borderId="0" xfId="0" applyNumberFormat="1" applyFont="1" applyFill="1" applyAlignment="1">
      <alignment vertical="center"/>
    </xf>
    <xf numFmtId="0" fontId="0" fillId="2" borderId="0" xfId="0" applyFont="1" applyFill="1"/>
    <xf numFmtId="0" fontId="0" fillId="2" borderId="0" xfId="0" applyFont="1" applyFill="1" applyBorder="1"/>
    <xf numFmtId="0" fontId="35" fillId="2" borderId="0" xfId="0" applyFont="1" applyFill="1" applyBorder="1" applyAlignment="1">
      <alignment horizontal="center" vertical="center"/>
    </xf>
    <xf numFmtId="0" fontId="113" fillId="2" borderId="0" xfId="0" applyFont="1" applyFill="1" applyBorder="1"/>
    <xf numFmtId="0" fontId="113" fillId="2" borderId="0" xfId="0" applyFont="1" applyFill="1"/>
    <xf numFmtId="168" fontId="16" fillId="2" borderId="0" xfId="0" applyNumberFormat="1" applyFont="1" applyFill="1" applyAlignment="1">
      <alignment horizontal="right" vertical="center"/>
    </xf>
    <xf numFmtId="0" fontId="0" fillId="2" borderId="0" xfId="0" applyFont="1" applyFill="1" applyBorder="1" applyAlignment="1">
      <alignment horizontal="center"/>
    </xf>
    <xf numFmtId="168" fontId="73" fillId="2" borderId="0" xfId="0" applyNumberFormat="1" applyFont="1" applyFill="1" applyAlignment="1">
      <alignment vertical="center"/>
    </xf>
    <xf numFmtId="0" fontId="31" fillId="2" borderId="0" xfId="0" applyFont="1" applyFill="1" applyAlignment="1">
      <alignment horizontal="center" vertical="center" wrapText="1"/>
    </xf>
    <xf numFmtId="0" fontId="31" fillId="2" borderId="0" xfId="0" applyFont="1" applyFill="1" applyAlignment="1">
      <alignment horizontal="right" wrapText="1"/>
    </xf>
    <xf numFmtId="0" fontId="72" fillId="0" borderId="0" xfId="0" applyFont="1"/>
    <xf numFmtId="0" fontId="0" fillId="2" borderId="0" xfId="0" applyFont="1" applyFill="1" applyAlignment="1">
      <alignment vertical="center"/>
    </xf>
    <xf numFmtId="0" fontId="0" fillId="0" borderId="0" xfId="0" applyFont="1" applyAlignment="1">
      <alignment vertical="center"/>
    </xf>
    <xf numFmtId="0" fontId="0" fillId="32" borderId="0" xfId="0" applyFill="1" applyAlignment="1">
      <alignment vertical="center"/>
    </xf>
    <xf numFmtId="0" fontId="115" fillId="2" borderId="0" xfId="0" applyFont="1" applyFill="1" applyAlignment="1">
      <alignment vertical="center"/>
    </xf>
    <xf numFmtId="166" fontId="16" fillId="2" borderId="0" xfId="1" applyNumberFormat="1" applyFont="1" applyFill="1" applyBorder="1" applyAlignment="1">
      <alignment horizontal="right" vertical="center"/>
    </xf>
    <xf numFmtId="176" fontId="12" fillId="2" borderId="0" xfId="78" applyNumberFormat="1" applyFont="1" applyFill="1" applyBorder="1" applyAlignment="1">
      <alignment horizontal="right" vertical="center"/>
    </xf>
    <xf numFmtId="0" fontId="72" fillId="2" borderId="0" xfId="0" applyFont="1" applyFill="1" applyAlignment="1">
      <alignment vertical="center"/>
    </xf>
    <xf numFmtId="177" fontId="12" fillId="2" borderId="0" xfId="78" applyNumberFormat="1" applyFont="1" applyFill="1" applyBorder="1" applyAlignment="1">
      <alignment horizontal="right" vertical="center"/>
    </xf>
    <xf numFmtId="0" fontId="116" fillId="2" borderId="0" xfId="0" applyFont="1" applyFill="1" applyAlignment="1">
      <alignment vertical="center"/>
    </xf>
    <xf numFmtId="166" fontId="26" fillId="2" borderId="0" xfId="1" applyNumberFormat="1" applyFont="1" applyFill="1" applyAlignment="1">
      <alignment vertical="center"/>
    </xf>
    <xf numFmtId="0" fontId="117" fillId="2" borderId="0" xfId="0" applyFont="1" applyFill="1" applyAlignment="1">
      <alignment vertical="center"/>
    </xf>
    <xf numFmtId="0" fontId="0" fillId="0" borderId="0" xfId="0" applyAlignment="1"/>
    <xf numFmtId="0" fontId="0" fillId="0" borderId="0" xfId="0" applyBorder="1"/>
    <xf numFmtId="0" fontId="34" fillId="2" borderId="0" xfId="0" applyFont="1" applyFill="1" applyBorder="1"/>
    <xf numFmtId="0" fontId="34" fillId="2" borderId="0" xfId="0" applyFont="1" applyFill="1"/>
    <xf numFmtId="0" fontId="34" fillId="0" borderId="0" xfId="0" applyFont="1"/>
    <xf numFmtId="0" fontId="63" fillId="2" borderId="0" xfId="0" applyFont="1" applyFill="1" applyBorder="1" applyAlignment="1">
      <alignment vertical="center"/>
    </xf>
    <xf numFmtId="166" fontId="64" fillId="2" borderId="0" xfId="1" applyNumberFormat="1" applyFont="1" applyFill="1"/>
    <xf numFmtId="0" fontId="0" fillId="0" borderId="0" xfId="0" applyAlignment="1">
      <alignment vertical="center"/>
    </xf>
    <xf numFmtId="166" fontId="0" fillId="2" borderId="0" xfId="0" applyNumberFormat="1" applyFill="1" applyBorder="1" applyAlignment="1">
      <alignment vertical="center"/>
    </xf>
    <xf numFmtId="0" fontId="9" fillId="2" borderId="0" xfId="0" applyFont="1" applyFill="1" applyAlignment="1">
      <alignment horizontal="center" vertical="center"/>
    </xf>
    <xf numFmtId="0" fontId="9" fillId="2" borderId="0" xfId="0" applyFont="1" applyFill="1" applyBorder="1" applyAlignment="1">
      <alignment horizontal="center" vertical="center"/>
    </xf>
    <xf numFmtId="167" fontId="9" fillId="2" borderId="0" xfId="1" applyNumberFormat="1" applyFont="1" applyFill="1" applyAlignment="1">
      <alignment horizontal="right" vertical="center"/>
    </xf>
    <xf numFmtId="167" fontId="9" fillId="2" borderId="0" xfId="1" applyNumberFormat="1" applyFont="1" applyFill="1" applyBorder="1" applyAlignment="1">
      <alignment horizontal="right" vertical="center"/>
    </xf>
    <xf numFmtId="167" fontId="76" fillId="2" borderId="0" xfId="1" applyNumberFormat="1" applyFont="1" applyFill="1" applyBorder="1" applyAlignment="1">
      <alignment horizontal="right" vertical="center"/>
    </xf>
    <xf numFmtId="0" fontId="76" fillId="2" borderId="0" xfId="0" applyFont="1" applyFill="1" applyBorder="1" applyAlignment="1">
      <alignment horizontal="center" vertical="center"/>
    </xf>
    <xf numFmtId="167" fontId="9" fillId="0" borderId="0" xfId="1" applyNumberFormat="1" applyFont="1" applyFill="1" applyAlignment="1">
      <alignment horizontal="right" vertical="center"/>
    </xf>
    <xf numFmtId="167" fontId="9" fillId="0" borderId="0" xfId="1" applyNumberFormat="1" applyFont="1" applyFill="1" applyBorder="1" applyAlignment="1">
      <alignment horizontal="right" vertical="center"/>
    </xf>
    <xf numFmtId="0" fontId="31" fillId="2" borderId="0" xfId="0" applyFont="1" applyFill="1" applyAlignment="1">
      <alignment vertical="center"/>
    </xf>
    <xf numFmtId="0" fontId="31" fillId="2" borderId="0" xfId="0" applyFont="1" applyFill="1" applyAlignment="1">
      <alignment horizontal="right" vertical="center"/>
    </xf>
    <xf numFmtId="0" fontId="87" fillId="2" borderId="0" xfId="0" applyFont="1" applyFill="1" applyAlignment="1">
      <alignment vertical="center"/>
    </xf>
    <xf numFmtId="0" fontId="98" fillId="2" borderId="0" xfId="2" applyFont="1" applyFill="1" applyBorder="1" applyAlignment="1">
      <alignment horizontal="left" vertical="center" indent="1"/>
    </xf>
    <xf numFmtId="0" fontId="83" fillId="2" borderId="0" xfId="2" applyFont="1" applyFill="1" applyAlignment="1">
      <alignment horizontal="left" vertical="center" indent="5"/>
    </xf>
    <xf numFmtId="0" fontId="100" fillId="2" borderId="0" xfId="5" applyFont="1" applyFill="1" applyAlignment="1">
      <alignment horizontal="left" vertical="center" indent="1"/>
    </xf>
    <xf numFmtId="0" fontId="6" fillId="2" borderId="0" xfId="5" applyFont="1" applyFill="1" applyAlignment="1">
      <alignment horizontal="right" vertical="center"/>
    </xf>
    <xf numFmtId="0" fontId="28" fillId="2" borderId="0" xfId="5" applyFont="1" applyFill="1" applyAlignment="1">
      <alignment vertical="center"/>
    </xf>
    <xf numFmtId="168" fontId="8" fillId="2" borderId="0" xfId="5" applyNumberFormat="1" applyFont="1" applyFill="1" applyAlignment="1">
      <alignment vertical="center"/>
    </xf>
    <xf numFmtId="3" fontId="34" fillId="2" borderId="0" xfId="5" applyNumberFormat="1" applyFont="1" applyFill="1" applyAlignment="1">
      <alignment vertical="center"/>
    </xf>
    <xf numFmtId="0" fontId="6" fillId="2" borderId="0" xfId="5" applyFont="1" applyFill="1" applyAlignment="1">
      <alignment horizontal="left" vertical="center"/>
    </xf>
    <xf numFmtId="0" fontId="28" fillId="2" borderId="0" xfId="5" applyFont="1" applyFill="1" applyAlignment="1">
      <alignment horizontal="left" vertical="center" indent="1"/>
    </xf>
    <xf numFmtId="0" fontId="100" fillId="2" borderId="0" xfId="5" applyFont="1" applyFill="1" applyAlignment="1">
      <alignment horizontal="left" vertical="center" indent="3"/>
    </xf>
    <xf numFmtId="0" fontId="1" fillId="2" borderId="0" xfId="0" applyFont="1" applyFill="1"/>
    <xf numFmtId="168" fontId="13" fillId="2" borderId="0" xfId="70" applyNumberFormat="1" applyFont="1" applyFill="1" applyAlignment="1">
      <alignment vertical="center"/>
    </xf>
    <xf numFmtId="0" fontId="10" fillId="2" borderId="0" xfId="2" applyFont="1" applyFill="1" applyBorder="1" applyAlignment="1">
      <alignment vertical="center"/>
    </xf>
    <xf numFmtId="0" fontId="94" fillId="2" borderId="0" xfId="2" applyFont="1" applyFill="1" applyAlignment="1">
      <alignment horizontal="right" vertical="center"/>
    </xf>
    <xf numFmtId="3" fontId="94" fillId="2" borderId="0" xfId="2" applyNumberFormat="1" applyFont="1" applyFill="1" applyAlignment="1">
      <alignment horizontal="right" vertical="center"/>
    </xf>
    <xf numFmtId="9" fontId="0" fillId="2" borderId="0" xfId="78" applyFont="1" applyFill="1"/>
    <xf numFmtId="167" fontId="40" fillId="2" borderId="0" xfId="0" applyNumberFormat="1" applyFont="1" applyFill="1" applyBorder="1" applyAlignment="1">
      <alignment vertical="center"/>
    </xf>
    <xf numFmtId="165" fontId="25" fillId="3" borderId="0" xfId="2" applyNumberFormat="1" applyFont="1" applyFill="1" applyAlignment="1">
      <alignment horizontal="right" vertical="center"/>
    </xf>
    <xf numFmtId="0" fontId="0" fillId="2" borderId="0" xfId="0" applyFill="1" applyAlignment="1">
      <alignment horizontal="left"/>
    </xf>
    <xf numFmtId="0" fontId="2" fillId="2" borderId="0" xfId="0" applyFont="1" applyFill="1" applyBorder="1" applyAlignment="1" applyProtection="1">
      <alignment vertical="center"/>
      <protection hidden="1"/>
    </xf>
    <xf numFmtId="0" fontId="5" fillId="2" borderId="0" xfId="2" applyFont="1" applyFill="1" applyAlignment="1">
      <alignment vertical="center"/>
    </xf>
    <xf numFmtId="166" fontId="5" fillId="2" borderId="0" xfId="2" applyNumberFormat="1" applyFont="1" applyFill="1" applyAlignment="1">
      <alignment vertical="center"/>
    </xf>
    <xf numFmtId="0" fontId="5" fillId="2" borderId="0" xfId="0" applyFont="1" applyFill="1" applyAlignment="1"/>
    <xf numFmtId="166" fontId="5" fillId="2" borderId="0" xfId="0" applyNumberFormat="1" applyFont="1" applyFill="1" applyAlignment="1"/>
    <xf numFmtId="0" fontId="5" fillId="2" borderId="0" xfId="0" applyFont="1" applyFill="1" applyAlignment="1">
      <alignment horizontal="right"/>
    </xf>
    <xf numFmtId="0" fontId="8" fillId="33" borderId="0" xfId="2" applyFont="1" applyFill="1" applyAlignment="1">
      <alignment horizontal="left" vertical="center" indent="1"/>
    </xf>
    <xf numFmtId="166" fontId="5" fillId="33" borderId="0" xfId="0" applyNumberFormat="1" applyFont="1" applyFill="1" applyAlignment="1">
      <alignment vertical="center"/>
    </xf>
    <xf numFmtId="0" fontId="119" fillId="0" borderId="0" xfId="0" applyFont="1"/>
    <xf numFmtId="168" fontId="7" fillId="2" borderId="0" xfId="76" applyNumberFormat="1" applyFont="1" applyFill="1" applyBorder="1" applyAlignment="1">
      <alignment vertical="center"/>
    </xf>
    <xf numFmtId="1" fontId="75" fillId="2" borderId="0" xfId="2" applyNumberFormat="1" applyFont="1" applyFill="1"/>
    <xf numFmtId="173" fontId="0" fillId="2" borderId="0" xfId="0" applyNumberFormat="1" applyFill="1"/>
    <xf numFmtId="0" fontId="0" fillId="35" borderId="18" xfId="0" applyFill="1" applyBorder="1" applyAlignment="1">
      <alignment horizontal="center" vertical="center"/>
    </xf>
    <xf numFmtId="0" fontId="0" fillId="35" borderId="19" xfId="0" applyFill="1" applyBorder="1" applyAlignment="1">
      <alignment horizontal="center" vertical="center"/>
    </xf>
    <xf numFmtId="3" fontId="0" fillId="35" borderId="19" xfId="0" applyNumberFormat="1" applyFill="1" applyBorder="1" applyAlignment="1">
      <alignment horizontal="center" vertical="center"/>
    </xf>
    <xf numFmtId="3" fontId="0" fillId="35" borderId="20" xfId="0" applyNumberFormat="1" applyFill="1" applyBorder="1" applyAlignment="1">
      <alignment horizontal="center" vertical="center"/>
    </xf>
    <xf numFmtId="0" fontId="0" fillId="0" borderId="21" xfId="0" applyBorder="1"/>
    <xf numFmtId="0" fontId="0" fillId="0" borderId="3" xfId="0" applyBorder="1"/>
    <xf numFmtId="3" fontId="0" fillId="0" borderId="3" xfId="0" applyNumberFormat="1" applyBorder="1" applyAlignment="1">
      <alignment horizontal="center" vertical="center"/>
    </xf>
    <xf numFmtId="3" fontId="0" fillId="0" borderId="22" xfId="0" applyNumberFormat="1" applyBorder="1" applyAlignment="1">
      <alignment horizontal="center" vertical="center"/>
    </xf>
    <xf numFmtId="0" fontId="0" fillId="36" borderId="23" xfId="0" applyFill="1" applyBorder="1"/>
    <xf numFmtId="0" fontId="0" fillId="36" borderId="24" xfId="0" applyFill="1" applyBorder="1"/>
    <xf numFmtId="3" fontId="0" fillId="36" borderId="24" xfId="0" applyNumberFormat="1" applyFill="1" applyBorder="1" applyAlignment="1">
      <alignment horizontal="center" vertical="center"/>
    </xf>
    <xf numFmtId="3" fontId="0" fillId="36" borderId="25" xfId="0" applyNumberFormat="1" applyFill="1" applyBorder="1" applyAlignment="1">
      <alignment horizontal="center" vertical="center"/>
    </xf>
    <xf numFmtId="0" fontId="0" fillId="0" borderId="26" xfId="0" applyBorder="1"/>
    <xf numFmtId="3" fontId="0" fillId="0" borderId="26" xfId="0" applyNumberFormat="1" applyBorder="1" applyAlignment="1">
      <alignment horizontal="center" vertical="center"/>
    </xf>
    <xf numFmtId="0" fontId="0" fillId="0" borderId="18" xfId="0" applyBorder="1"/>
    <xf numFmtId="0" fontId="0" fillId="0" borderId="19" xfId="0" applyBorder="1"/>
    <xf numFmtId="3" fontId="0" fillId="0" borderId="19" xfId="0" applyNumberFormat="1" applyBorder="1" applyAlignment="1">
      <alignment horizontal="center" vertical="center"/>
    </xf>
    <xf numFmtId="3" fontId="0" fillId="0" borderId="20" xfId="0" applyNumberFormat="1" applyBorder="1" applyAlignment="1">
      <alignment horizontal="center" vertical="center"/>
    </xf>
    <xf numFmtId="164" fontId="120" fillId="2" borderId="0" xfId="1" applyFont="1" applyFill="1" applyAlignment="1">
      <alignment horizontal="right" vertical="center"/>
    </xf>
    <xf numFmtId="168" fontId="5" fillId="2" borderId="0" xfId="5" applyNumberFormat="1" applyFont="1" applyFill="1" applyAlignment="1">
      <alignment horizontal="right" vertical="center"/>
    </xf>
    <xf numFmtId="169" fontId="11" fillId="8" borderId="0" xfId="4" applyFont="1" applyFill="1"/>
    <xf numFmtId="0" fontId="99" fillId="0" borderId="0" xfId="0" applyFont="1" applyAlignment="1">
      <alignment horizontal="left" vertical="center" indent="3"/>
    </xf>
    <xf numFmtId="0" fontId="121" fillId="2" borderId="0" xfId="5" applyFont="1" applyFill="1" applyAlignment="1">
      <alignment vertical="center"/>
    </xf>
    <xf numFmtId="1" fontId="0" fillId="2" borderId="0" xfId="0" applyNumberFormat="1" applyFont="1" applyFill="1" applyBorder="1"/>
    <xf numFmtId="0" fontId="122" fillId="2" borderId="0" xfId="0" applyFont="1" applyFill="1"/>
    <xf numFmtId="10" fontId="0" fillId="2" borderId="0" xfId="0" applyNumberFormat="1" applyFill="1"/>
    <xf numFmtId="167" fontId="8" fillId="2" borderId="0" xfId="1" applyNumberFormat="1" applyFont="1" applyFill="1" applyBorder="1" applyAlignment="1" applyProtection="1">
      <alignment vertical="center"/>
      <protection locked="0"/>
    </xf>
    <xf numFmtId="167" fontId="8" fillId="37" borderId="0" xfId="1" applyNumberFormat="1" applyFont="1" applyFill="1" applyBorder="1" applyAlignment="1" applyProtection="1">
      <alignment vertical="center"/>
      <protection locked="0"/>
    </xf>
    <xf numFmtId="167" fontId="8" fillId="38" borderId="0" xfId="1" applyNumberFormat="1" applyFont="1" applyFill="1" applyBorder="1" applyAlignment="1" applyProtection="1">
      <alignment vertical="center"/>
      <protection locked="0"/>
    </xf>
    <xf numFmtId="167" fontId="8" fillId="39" borderId="0" xfId="1" applyNumberFormat="1" applyFont="1" applyFill="1" applyBorder="1" applyAlignment="1" applyProtection="1">
      <alignment vertical="center"/>
      <protection locked="0"/>
    </xf>
    <xf numFmtId="167" fontId="8" fillId="40" borderId="0" xfId="1" applyNumberFormat="1" applyFont="1" applyFill="1" applyBorder="1" applyAlignment="1" applyProtection="1">
      <alignment vertical="center"/>
      <protection locked="0"/>
    </xf>
    <xf numFmtId="167" fontId="8" fillId="41" borderId="0" xfId="1" applyNumberFormat="1" applyFont="1" applyFill="1" applyBorder="1" applyAlignment="1" applyProtection="1">
      <alignment vertical="center"/>
      <protection locked="0"/>
    </xf>
    <xf numFmtId="0" fontId="6" fillId="42" borderId="0" xfId="2" applyFont="1" applyFill="1" applyAlignment="1">
      <alignment horizontal="left" vertical="center" indent="1"/>
    </xf>
    <xf numFmtId="0" fontId="8" fillId="42" borderId="0" xfId="2" applyFont="1" applyFill="1" applyAlignment="1">
      <alignment horizontal="left" vertical="center" indent="1"/>
    </xf>
    <xf numFmtId="166" fontId="8" fillId="42" borderId="0" xfId="1" applyNumberFormat="1" applyFont="1" applyFill="1" applyAlignment="1">
      <alignment horizontal="right" vertical="center"/>
    </xf>
    <xf numFmtId="168" fontId="12" fillId="42" borderId="0" xfId="0" applyNumberFormat="1" applyFont="1" applyFill="1" applyAlignment="1">
      <alignment vertical="center"/>
    </xf>
    <xf numFmtId="0" fontId="0" fillId="42" borderId="0" xfId="0" applyFill="1"/>
    <xf numFmtId="0" fontId="72" fillId="42" borderId="0" xfId="0" applyFont="1" applyFill="1"/>
    <xf numFmtId="9" fontId="12" fillId="42" borderId="0" xfId="0" applyNumberFormat="1" applyFont="1" applyFill="1" applyAlignment="1">
      <alignment vertical="center"/>
    </xf>
    <xf numFmtId="166" fontId="16" fillId="42" borderId="0" xfId="1" applyNumberFormat="1" applyFont="1" applyFill="1" applyBorder="1" applyAlignment="1">
      <alignment vertical="center"/>
    </xf>
    <xf numFmtId="0" fontId="7" fillId="42" borderId="0" xfId="5" applyFont="1" applyFill="1" applyAlignment="1">
      <alignment horizontal="left" vertical="center"/>
    </xf>
    <xf numFmtId="166" fontId="16" fillId="42" borderId="0" xfId="1" applyNumberFormat="1" applyFont="1" applyFill="1" applyBorder="1" applyAlignment="1">
      <alignment horizontal="right" vertical="center"/>
    </xf>
    <xf numFmtId="170" fontId="14" fillId="42" borderId="0" xfId="1" applyNumberFormat="1" applyFont="1" applyFill="1" applyBorder="1" applyAlignment="1">
      <alignment vertical="center"/>
    </xf>
    <xf numFmtId="0" fontId="72" fillId="42" borderId="0" xfId="0" applyFont="1" applyFill="1" applyAlignment="1">
      <alignment vertical="center"/>
    </xf>
    <xf numFmtId="9" fontId="12" fillId="42" borderId="0" xfId="78" applyFont="1" applyFill="1" applyBorder="1" applyAlignment="1">
      <alignment horizontal="right" vertical="center"/>
    </xf>
    <xf numFmtId="0" fontId="5" fillId="42" borderId="0" xfId="0" applyFont="1" applyFill="1" applyAlignment="1">
      <alignment horizontal="left" vertical="center" indent="2"/>
    </xf>
    <xf numFmtId="0" fontId="5" fillId="42" borderId="0" xfId="0" applyFont="1" applyFill="1" applyAlignment="1">
      <alignment vertical="center"/>
    </xf>
    <xf numFmtId="176" fontId="12" fillId="42" borderId="0" xfId="78" applyNumberFormat="1" applyFont="1" applyFill="1" applyBorder="1" applyAlignment="1">
      <alignment horizontal="right" vertical="center"/>
    </xf>
    <xf numFmtId="0" fontId="0" fillId="2" borderId="0" xfId="0" applyFill="1" applyAlignment="1">
      <alignment horizontal="center" vertical="center"/>
    </xf>
    <xf numFmtId="0" fontId="7" fillId="42" borderId="0" xfId="2" applyFont="1" applyFill="1" applyAlignment="1">
      <alignment horizontal="left" vertical="center" indent="1"/>
    </xf>
    <xf numFmtId="3" fontId="5" fillId="42" borderId="0" xfId="2" applyNumberFormat="1" applyFont="1" applyFill="1" applyAlignment="1">
      <alignment horizontal="right" vertical="center"/>
    </xf>
    <xf numFmtId="165" fontId="5" fillId="42" borderId="0" xfId="2" applyNumberFormat="1" applyFont="1" applyFill="1" applyAlignment="1">
      <alignment horizontal="right" vertical="center"/>
    </xf>
    <xf numFmtId="0" fontId="39" fillId="42" borderId="0" xfId="0" applyFont="1" applyFill="1" applyAlignment="1">
      <alignment horizontal="left" vertical="center"/>
    </xf>
    <xf numFmtId="1" fontId="6" fillId="2" borderId="0" xfId="2" applyNumberFormat="1" applyFont="1" applyFill="1" applyAlignment="1">
      <alignment horizontal="right" vertical="center"/>
    </xf>
    <xf numFmtId="165" fontId="19" fillId="2" borderId="0" xfId="0" applyNumberFormat="1" applyFont="1" applyFill="1" applyAlignment="1">
      <alignment horizontal="left" vertical="center" indent="2"/>
    </xf>
    <xf numFmtId="1" fontId="6" fillId="42" borderId="0" xfId="2" applyNumberFormat="1" applyFont="1" applyFill="1" applyAlignment="1">
      <alignment horizontal="right" vertical="center"/>
    </xf>
    <xf numFmtId="3" fontId="8" fillId="42" borderId="0" xfId="7" applyNumberFormat="1" applyFont="1" applyFill="1" applyAlignment="1">
      <alignment horizontal="right" vertical="center"/>
    </xf>
    <xf numFmtId="0" fontId="7" fillId="42" borderId="0" xfId="0" applyFont="1" applyFill="1" applyAlignment="1">
      <alignment horizontal="left" vertical="center" indent="1"/>
    </xf>
    <xf numFmtId="0" fontId="7" fillId="42" borderId="0" xfId="0" applyFont="1" applyFill="1" applyAlignment="1">
      <alignment horizontal="left" vertical="center"/>
    </xf>
    <xf numFmtId="3" fontId="6" fillId="42" borderId="0" xfId="7" applyNumberFormat="1" applyFont="1" applyFill="1" applyAlignment="1">
      <alignment horizontal="right" vertical="center"/>
    </xf>
    <xf numFmtId="0" fontId="65" fillId="42" borderId="0" xfId="2" applyFont="1" applyFill="1" applyAlignment="1">
      <alignment horizontal="left" vertical="center" indent="3"/>
    </xf>
    <xf numFmtId="0" fontId="5" fillId="42" borderId="0" xfId="0" applyFont="1" applyFill="1" applyAlignment="1">
      <alignment horizontal="left" vertical="center" indent="1"/>
    </xf>
    <xf numFmtId="0" fontId="5" fillId="42" borderId="0" xfId="0" applyFont="1" applyFill="1" applyAlignment="1">
      <alignment horizontal="left" vertical="center"/>
    </xf>
    <xf numFmtId="3" fontId="0" fillId="42" borderId="0" xfId="0" applyNumberFormat="1" applyFont="1" applyFill="1" applyAlignment="1">
      <alignment horizontal="right" vertical="center"/>
    </xf>
    <xf numFmtId="3" fontId="1" fillId="42" borderId="0" xfId="0" applyNumberFormat="1" applyFont="1" applyFill="1" applyAlignment="1">
      <alignment horizontal="right" vertical="center"/>
    </xf>
    <xf numFmtId="0" fontId="8" fillId="42" borderId="0" xfId="2" applyFont="1" applyFill="1" applyAlignment="1">
      <alignment horizontal="left" vertical="center" indent="2"/>
    </xf>
    <xf numFmtId="3" fontId="1" fillId="42" borderId="0" xfId="0" applyNumberFormat="1" applyFont="1" applyFill="1"/>
    <xf numFmtId="0" fontId="8" fillId="42" borderId="0" xfId="2" applyFont="1" applyFill="1" applyAlignment="1">
      <alignment horizontal="left" vertical="center" indent="6"/>
    </xf>
    <xf numFmtId="0" fontId="12" fillId="42" borderId="0" xfId="2" applyFont="1" applyFill="1" applyBorder="1" applyAlignment="1">
      <alignment horizontal="left" vertical="center" indent="1"/>
    </xf>
    <xf numFmtId="0" fontId="12" fillId="42" borderId="0" xfId="2" applyFont="1" applyFill="1" applyBorder="1"/>
    <xf numFmtId="166" fontId="12" fillId="42" borderId="0" xfId="7" applyNumberFormat="1" applyFont="1" applyFill="1" applyAlignment="1">
      <alignment horizontal="right"/>
    </xf>
    <xf numFmtId="3" fontId="12" fillId="42" borderId="0" xfId="0" applyNumberFormat="1" applyFont="1" applyFill="1" applyAlignment="1">
      <alignment horizontal="right"/>
    </xf>
    <xf numFmtId="0" fontId="74" fillId="42" borderId="0" xfId="2" applyFont="1" applyFill="1" applyAlignment="1">
      <alignment vertical="center"/>
    </xf>
    <xf numFmtId="0" fontId="67" fillId="42" borderId="0" xfId="2" applyFont="1" applyFill="1" applyAlignment="1">
      <alignment vertical="center"/>
    </xf>
    <xf numFmtId="3" fontId="67" fillId="42" borderId="0" xfId="2" applyNumberFormat="1" applyFont="1" applyFill="1" applyAlignment="1">
      <alignment horizontal="right" vertical="center"/>
    </xf>
    <xf numFmtId="3" fontId="67" fillId="42" borderId="0" xfId="2" applyNumberFormat="1" applyFont="1" applyFill="1" applyAlignment="1">
      <alignment vertical="center"/>
    </xf>
    <xf numFmtId="1" fontId="67" fillId="42" borderId="0" xfId="2" applyNumberFormat="1" applyFont="1" applyFill="1" applyAlignment="1">
      <alignment horizontal="right" vertical="center"/>
    </xf>
    <xf numFmtId="1" fontId="67" fillId="42" borderId="0" xfId="2" applyNumberFormat="1" applyFont="1" applyFill="1" applyAlignment="1">
      <alignment vertical="center"/>
    </xf>
    <xf numFmtId="1" fontId="16" fillId="42" borderId="0" xfId="2" applyNumberFormat="1" applyFont="1" applyFill="1" applyAlignment="1">
      <alignment horizontal="right" vertical="center"/>
    </xf>
    <xf numFmtId="0" fontId="25" fillId="42" borderId="0" xfId="2" applyFont="1" applyFill="1" applyAlignment="1">
      <alignment vertical="center"/>
    </xf>
    <xf numFmtId="3" fontId="25" fillId="42" borderId="0" xfId="2" applyNumberFormat="1" applyFont="1" applyFill="1" applyAlignment="1">
      <alignment vertical="center"/>
    </xf>
    <xf numFmtId="3" fontId="12" fillId="42" borderId="0" xfId="2" applyNumberFormat="1" applyFont="1" applyFill="1" applyAlignment="1">
      <alignment horizontal="right" vertical="center"/>
    </xf>
    <xf numFmtId="0" fontId="80" fillId="42" borderId="0" xfId="2" applyFont="1" applyFill="1" applyAlignment="1">
      <alignment vertical="center"/>
    </xf>
    <xf numFmtId="3" fontId="80" fillId="42" borderId="0" xfId="2" applyNumberFormat="1" applyFont="1" applyFill="1" applyAlignment="1">
      <alignment vertical="center"/>
    </xf>
    <xf numFmtId="3" fontId="80" fillId="42" borderId="0" xfId="2" applyNumberFormat="1" applyFont="1" applyFill="1" applyBorder="1" applyAlignment="1">
      <alignment horizontal="right" vertical="center"/>
    </xf>
    <xf numFmtId="3" fontId="25" fillId="42" borderId="0" xfId="2" applyNumberFormat="1" applyFont="1" applyFill="1" applyAlignment="1">
      <alignment horizontal="right" vertical="center"/>
    </xf>
    <xf numFmtId="3" fontId="12" fillId="42" borderId="0" xfId="2" applyNumberFormat="1" applyFont="1" applyFill="1" applyBorder="1" applyAlignment="1">
      <alignment horizontal="right" vertical="center"/>
    </xf>
    <xf numFmtId="3" fontId="12" fillId="42" borderId="0" xfId="1" applyNumberFormat="1" applyFont="1" applyFill="1" applyAlignment="1">
      <alignment horizontal="right" vertical="center"/>
    </xf>
    <xf numFmtId="4" fontId="25" fillId="42" borderId="0" xfId="2" applyNumberFormat="1" applyFont="1" applyFill="1" applyAlignment="1">
      <alignment vertical="center"/>
    </xf>
    <xf numFmtId="4" fontId="12" fillId="42" borderId="0" xfId="2" applyNumberFormat="1" applyFont="1" applyFill="1" applyAlignment="1">
      <alignment horizontal="right" vertical="center"/>
    </xf>
    <xf numFmtId="168" fontId="5" fillId="42" borderId="0" xfId="2" applyNumberFormat="1" applyFont="1" applyFill="1" applyAlignment="1">
      <alignment horizontal="right" vertical="center"/>
    </xf>
    <xf numFmtId="165" fontId="25" fillId="42" borderId="0" xfId="2" applyNumberFormat="1" applyFont="1" applyFill="1" applyAlignment="1">
      <alignment vertical="center"/>
    </xf>
    <xf numFmtId="165" fontId="12" fillId="42" borderId="0" xfId="2" applyNumberFormat="1" applyFont="1" applyFill="1" applyAlignment="1">
      <alignment horizontal="right" vertical="center"/>
    </xf>
    <xf numFmtId="0" fontId="12" fillId="42" borderId="0" xfId="2" applyFont="1" applyFill="1" applyAlignment="1">
      <alignment horizontal="right" vertical="center"/>
    </xf>
    <xf numFmtId="0" fontId="75" fillId="42" borderId="0" xfId="2" applyFont="1" applyFill="1" applyAlignment="1">
      <alignment vertical="center"/>
    </xf>
    <xf numFmtId="168" fontId="75" fillId="42" borderId="0" xfId="2" applyNumberFormat="1" applyFont="1" applyFill="1" applyAlignment="1">
      <alignment vertical="center"/>
    </xf>
    <xf numFmtId="168" fontId="21" fillId="42" borderId="0" xfId="2" applyNumberFormat="1" applyFont="1" applyFill="1" applyAlignment="1">
      <alignment horizontal="right" vertical="center"/>
    </xf>
    <xf numFmtId="0" fontId="21" fillId="42" borderId="0" xfId="2" applyFont="1" applyFill="1" applyAlignment="1">
      <alignment horizontal="right" vertical="center"/>
    </xf>
    <xf numFmtId="166" fontId="9" fillId="42" borderId="0" xfId="1" applyNumberFormat="1" applyFont="1" applyFill="1" applyAlignment="1">
      <alignment horizontal="right" vertical="center"/>
    </xf>
    <xf numFmtId="168" fontId="25" fillId="42" borderId="0" xfId="2" applyNumberFormat="1" applyFont="1" applyFill="1" applyAlignment="1">
      <alignment vertical="center"/>
    </xf>
    <xf numFmtId="168" fontId="25" fillId="42" borderId="0" xfId="2" applyNumberFormat="1" applyFont="1" applyFill="1" applyAlignment="1">
      <alignment horizontal="right" vertical="center"/>
    </xf>
    <xf numFmtId="168" fontId="12" fillId="42" borderId="0" xfId="2" applyNumberFormat="1" applyFont="1" applyFill="1" applyAlignment="1">
      <alignment horizontal="right" vertical="center"/>
    </xf>
    <xf numFmtId="165" fontId="12" fillId="42" borderId="0" xfId="2" applyNumberFormat="1" applyFont="1" applyFill="1" applyBorder="1" applyAlignment="1">
      <alignment horizontal="right" vertical="center"/>
    </xf>
    <xf numFmtId="165" fontId="12" fillId="42" borderId="0" xfId="0" applyNumberFormat="1" applyFont="1" applyFill="1" applyAlignment="1">
      <alignment horizontal="right" vertical="center"/>
    </xf>
    <xf numFmtId="0" fontId="6" fillId="42" borderId="0" xfId="2" applyFont="1" applyFill="1" applyAlignment="1">
      <alignment horizontal="right" vertical="center" indent="1"/>
    </xf>
    <xf numFmtId="37" fontId="8" fillId="42" borderId="0" xfId="1" applyNumberFormat="1" applyFont="1" applyFill="1" applyAlignment="1">
      <alignment horizontal="right" vertical="center"/>
    </xf>
    <xf numFmtId="3" fontId="8" fillId="42" borderId="0" xfId="2" applyNumberFormat="1" applyFont="1" applyFill="1" applyAlignment="1">
      <alignment horizontal="right" vertical="center"/>
    </xf>
    <xf numFmtId="0" fontId="65" fillId="42" borderId="0" xfId="2" applyFont="1" applyFill="1" applyAlignment="1">
      <alignment horizontal="left" vertical="center" indent="2"/>
    </xf>
    <xf numFmtId="166" fontId="6" fillId="42" borderId="0" xfId="1" applyNumberFormat="1" applyFont="1" applyFill="1" applyAlignment="1">
      <alignment horizontal="right" vertical="center" indent="1"/>
    </xf>
    <xf numFmtId="1" fontId="8" fillId="42" borderId="0" xfId="2" applyNumberFormat="1" applyFont="1" applyFill="1" applyAlignment="1">
      <alignment horizontal="right" vertical="center"/>
    </xf>
    <xf numFmtId="166" fontId="8" fillId="42" borderId="0" xfId="1" applyNumberFormat="1" applyFont="1" applyFill="1" applyAlignment="1">
      <alignment horizontal="right" vertical="center" indent="1"/>
    </xf>
    <xf numFmtId="0" fontId="69" fillId="42" borderId="0" xfId="2" applyFont="1" applyFill="1" applyAlignment="1">
      <alignment horizontal="left" vertical="center" indent="2"/>
    </xf>
    <xf numFmtId="166" fontId="6" fillId="42" borderId="0" xfId="1" applyNumberFormat="1" applyFont="1" applyFill="1" applyAlignment="1">
      <alignment horizontal="right" vertical="center"/>
    </xf>
    <xf numFmtId="3" fontId="6" fillId="42" borderId="0" xfId="2" applyNumberFormat="1" applyFont="1" applyFill="1" applyAlignment="1">
      <alignment horizontal="right" vertical="center"/>
    </xf>
    <xf numFmtId="0" fontId="25" fillId="42" borderId="0" xfId="5" applyFont="1" applyFill="1" applyAlignment="1">
      <alignment vertical="center"/>
    </xf>
    <xf numFmtId="3" fontId="25" fillId="42" borderId="0" xfId="5" applyNumberFormat="1" applyFont="1" applyFill="1" applyAlignment="1">
      <alignment horizontal="right" vertical="center"/>
    </xf>
    <xf numFmtId="3" fontId="25" fillId="42" borderId="0" xfId="5" applyNumberFormat="1" applyFont="1" applyFill="1" applyAlignment="1">
      <alignment vertical="center"/>
    </xf>
    <xf numFmtId="166" fontId="25" fillId="42" borderId="0" xfId="1" applyNumberFormat="1" applyFont="1" applyFill="1" applyAlignment="1">
      <alignment horizontal="right" vertical="center"/>
    </xf>
    <xf numFmtId="166" fontId="25" fillId="42" borderId="0" xfId="1" applyNumberFormat="1" applyFont="1" applyFill="1" applyAlignment="1">
      <alignment vertical="center"/>
    </xf>
    <xf numFmtId="1" fontId="17" fillId="42" borderId="0" xfId="70" applyNumberFormat="1" applyFont="1" applyFill="1" applyAlignment="1">
      <alignment horizontal="right" vertical="center"/>
    </xf>
    <xf numFmtId="167" fontId="8" fillId="42" borderId="0" xfId="1" applyNumberFormat="1" applyFont="1" applyFill="1" applyAlignment="1">
      <alignment horizontal="left" vertical="center" indent="1"/>
    </xf>
    <xf numFmtId="166" fontId="6" fillId="42" borderId="0" xfId="1" applyNumberFormat="1" applyFont="1" applyFill="1" applyAlignment="1">
      <alignment horizontal="center" vertical="center"/>
    </xf>
    <xf numFmtId="166" fontId="8" fillId="42" borderId="0" xfId="1" applyNumberFormat="1" applyFont="1" applyFill="1" applyAlignment="1">
      <alignment horizontal="center" vertical="center"/>
    </xf>
    <xf numFmtId="0" fontId="8" fillId="42" borderId="0" xfId="2" applyFont="1" applyFill="1" applyAlignment="1">
      <alignment horizontal="left" vertical="center" wrapText="1" indent="1"/>
    </xf>
    <xf numFmtId="169" fontId="1" fillId="2" borderId="0" xfId="54" applyNumberFormat="1" applyFont="1" applyFill="1" applyAlignment="1">
      <alignment horizontal="left" vertical="center" indent="4"/>
    </xf>
    <xf numFmtId="169" fontId="1" fillId="2" borderId="2" xfId="54" applyNumberFormat="1" applyFont="1" applyFill="1" applyBorder="1" applyAlignment="1">
      <alignment horizontal="left" vertical="center" indent="4"/>
    </xf>
    <xf numFmtId="9" fontId="93" fillId="2" borderId="0" xfId="2" applyNumberFormat="1" applyFont="1" applyFill="1" applyAlignment="1">
      <alignment horizontal="right" vertical="center"/>
    </xf>
    <xf numFmtId="0" fontId="93" fillId="42" borderId="0" xfId="2" applyFont="1" applyFill="1" applyAlignment="1">
      <alignment vertical="center"/>
    </xf>
    <xf numFmtId="0" fontId="94" fillId="42" borderId="0" xfId="2" applyFont="1" applyFill="1" applyAlignment="1">
      <alignment vertical="center"/>
    </xf>
    <xf numFmtId="0" fontId="92" fillId="42" borderId="0" xfId="2" applyFont="1" applyFill="1" applyAlignment="1">
      <alignment vertical="center"/>
    </xf>
    <xf numFmtId="0" fontId="83" fillId="42" borderId="0" xfId="2" applyFont="1" applyFill="1" applyAlignment="1">
      <alignment horizontal="left" vertical="center" indent="1"/>
    </xf>
    <xf numFmtId="3" fontId="93" fillId="42" borderId="0" xfId="2" applyNumberFormat="1" applyFont="1" applyFill="1" applyAlignment="1">
      <alignment horizontal="right" vertical="center"/>
    </xf>
    <xf numFmtId="0" fontId="98" fillId="42" borderId="0" xfId="2" applyFont="1" applyFill="1" applyAlignment="1">
      <alignment horizontal="left" vertical="center" indent="1"/>
    </xf>
    <xf numFmtId="0" fontId="94" fillId="42" borderId="0" xfId="2" applyFont="1" applyFill="1" applyAlignment="1">
      <alignment horizontal="right" vertical="center"/>
    </xf>
    <xf numFmtId="3" fontId="94" fillId="42" borderId="0" xfId="2" applyNumberFormat="1" applyFont="1" applyFill="1" applyAlignment="1">
      <alignment horizontal="right" vertical="center"/>
    </xf>
    <xf numFmtId="0" fontId="83" fillId="42" borderId="0" xfId="2" applyFont="1" applyFill="1" applyBorder="1" applyAlignment="1">
      <alignment horizontal="left" vertical="center" indent="1"/>
    </xf>
    <xf numFmtId="0" fontId="93" fillId="42" borderId="0" xfId="2" applyFont="1" applyFill="1" applyBorder="1" applyAlignment="1">
      <alignment vertical="center"/>
    </xf>
    <xf numFmtId="0" fontId="83" fillId="42" borderId="0" xfId="2" applyFont="1" applyFill="1" applyBorder="1" applyAlignment="1">
      <alignment vertical="center"/>
    </xf>
    <xf numFmtId="0" fontId="92" fillId="42" borderId="0" xfId="2" applyFont="1" applyFill="1" applyBorder="1" applyAlignment="1">
      <alignment vertical="center"/>
    </xf>
    <xf numFmtId="0" fontId="83" fillId="42" borderId="0" xfId="2" applyFont="1" applyFill="1" applyAlignment="1">
      <alignment horizontal="left" vertical="center" indent="5"/>
    </xf>
    <xf numFmtId="169" fontId="1" fillId="42" borderId="0" xfId="54" applyNumberFormat="1" applyFont="1" applyFill="1" applyAlignment="1">
      <alignment horizontal="left" vertical="center" indent="4"/>
    </xf>
    <xf numFmtId="168" fontId="93" fillId="42" borderId="0" xfId="2" applyNumberFormat="1" applyFont="1" applyFill="1" applyAlignment="1">
      <alignment horizontal="right" vertical="center"/>
    </xf>
    <xf numFmtId="9" fontId="93" fillId="42" borderId="0" xfId="2" applyNumberFormat="1" applyFont="1" applyFill="1" applyAlignment="1">
      <alignment horizontal="right" vertical="center"/>
    </xf>
    <xf numFmtId="0" fontId="8" fillId="42" borderId="0" xfId="2" applyFont="1" applyFill="1" applyBorder="1" applyAlignment="1">
      <alignment vertical="center"/>
    </xf>
    <xf numFmtId="0" fontId="8" fillId="2" borderId="2" xfId="2" applyFont="1" applyFill="1" applyBorder="1" applyAlignment="1">
      <alignment vertical="center"/>
    </xf>
    <xf numFmtId="9" fontId="93" fillId="2" borderId="2" xfId="2" applyNumberFormat="1" applyFont="1" applyFill="1" applyBorder="1" applyAlignment="1">
      <alignment horizontal="right" vertical="center"/>
    </xf>
    <xf numFmtId="0" fontId="13" fillId="2" borderId="0" xfId="2" applyFont="1" applyFill="1" applyAlignment="1">
      <alignment horizontal="left" vertical="center" indent="1"/>
    </xf>
    <xf numFmtId="0" fontId="20" fillId="31" borderId="0" xfId="2" applyFont="1" applyFill="1" applyAlignment="1">
      <alignment horizontal="left" vertical="center" indent="1"/>
    </xf>
    <xf numFmtId="0" fontId="13" fillId="42" borderId="0" xfId="2" applyFont="1" applyFill="1" applyAlignment="1">
      <alignment horizontal="left" vertical="center" indent="1"/>
    </xf>
    <xf numFmtId="0" fontId="13" fillId="2" borderId="0" xfId="2" applyFont="1" applyFill="1" applyAlignment="1">
      <alignment horizontal="left" indent="1"/>
    </xf>
    <xf numFmtId="0" fontId="13" fillId="3" borderId="0" xfId="2" applyFont="1" applyFill="1" applyAlignment="1">
      <alignment horizontal="left" vertical="center" indent="1"/>
    </xf>
    <xf numFmtId="0" fontId="107" fillId="42" borderId="0" xfId="2" applyFont="1" applyFill="1" applyAlignment="1">
      <alignment horizontal="left" vertical="center" indent="1"/>
    </xf>
    <xf numFmtId="0" fontId="3" fillId="41" borderId="0" xfId="2" applyFont="1" applyFill="1" applyAlignment="1">
      <alignment vertical="center"/>
    </xf>
    <xf numFmtId="0" fontId="6" fillId="43" borderId="0" xfId="5" applyFont="1" applyFill="1" applyAlignment="1">
      <alignment horizontal="left" vertical="center" indent="1"/>
    </xf>
    <xf numFmtId="0" fontId="6" fillId="43" borderId="0" xfId="5" applyFont="1" applyFill="1" applyAlignment="1">
      <alignment horizontal="right" vertical="center"/>
    </xf>
    <xf numFmtId="0" fontId="0" fillId="43" borderId="0" xfId="0" applyFill="1"/>
    <xf numFmtId="0" fontId="100" fillId="43" borderId="0" xfId="5" applyFont="1" applyFill="1" applyAlignment="1">
      <alignment horizontal="left" vertical="center" indent="1"/>
    </xf>
    <xf numFmtId="0" fontId="100" fillId="43" borderId="0" xfId="5" applyFont="1" applyFill="1" applyAlignment="1">
      <alignment vertical="center"/>
    </xf>
    <xf numFmtId="168" fontId="13" fillId="43" borderId="0" xfId="70" applyNumberFormat="1" applyFont="1" applyFill="1" applyAlignment="1">
      <alignment vertical="center"/>
    </xf>
    <xf numFmtId="0" fontId="100" fillId="43" borderId="0" xfId="5" applyFont="1" applyFill="1" applyAlignment="1">
      <alignment horizontal="left" vertical="center" indent="3"/>
    </xf>
    <xf numFmtId="3" fontId="8" fillId="43" borderId="0" xfId="5" applyNumberFormat="1" applyFont="1" applyFill="1" applyAlignment="1">
      <alignment vertical="center"/>
    </xf>
    <xf numFmtId="0" fontId="6" fillId="43" borderId="0" xfId="5" applyFont="1" applyFill="1" applyAlignment="1">
      <alignment horizontal="left" vertical="center"/>
    </xf>
    <xf numFmtId="0" fontId="28" fillId="43" borderId="0" xfId="5" applyFont="1" applyFill="1" applyAlignment="1">
      <alignment vertical="center"/>
    </xf>
    <xf numFmtId="168" fontId="8" fillId="43" borderId="0" xfId="5" applyNumberFormat="1" applyFont="1" applyFill="1" applyAlignment="1">
      <alignment vertical="center"/>
    </xf>
    <xf numFmtId="0" fontId="7" fillId="43" borderId="0" xfId="0" applyFont="1" applyFill="1" applyAlignment="1">
      <alignment vertical="center"/>
    </xf>
    <xf numFmtId="0" fontId="7" fillId="43" borderId="0" xfId="5" applyFont="1" applyFill="1" applyAlignment="1">
      <alignment vertical="center"/>
    </xf>
    <xf numFmtId="3" fontId="123" fillId="2" borderId="0" xfId="2" applyNumberFormat="1" applyFont="1" applyFill="1" applyAlignment="1">
      <alignment horizontal="right" vertical="center"/>
    </xf>
    <xf numFmtId="3" fontId="12" fillId="2" borderId="0" xfId="0" applyNumberFormat="1" applyFont="1" applyFill="1" applyAlignment="1">
      <alignment vertical="center"/>
    </xf>
    <xf numFmtId="3" fontId="12" fillId="42" borderId="0" xfId="0" applyNumberFormat="1" applyFont="1" applyFill="1" applyAlignment="1">
      <alignment vertical="center"/>
    </xf>
    <xf numFmtId="168" fontId="72" fillId="42" borderId="0" xfId="0" applyNumberFormat="1" applyFont="1" applyFill="1" applyAlignment="1">
      <alignment vertical="center" wrapText="1"/>
    </xf>
    <xf numFmtId="0" fontId="9" fillId="42" borderId="0" xfId="0" applyFont="1" applyFill="1"/>
    <xf numFmtId="168" fontId="72" fillId="2" borderId="0" xfId="0" applyNumberFormat="1" applyFont="1" applyFill="1" applyAlignment="1">
      <alignment vertical="center" wrapText="1"/>
    </xf>
    <xf numFmtId="0" fontId="9" fillId="2" borderId="0" xfId="0" applyFont="1" applyFill="1"/>
    <xf numFmtId="0" fontId="9" fillId="0" borderId="0" xfId="0" applyFont="1"/>
    <xf numFmtId="0" fontId="7" fillId="2" borderId="0" xfId="0" applyFont="1" applyFill="1" applyAlignment="1">
      <alignment horizontal="right" vertical="center" wrapText="1"/>
    </xf>
    <xf numFmtId="168" fontId="72" fillId="42" borderId="0" xfId="0" applyNumberFormat="1" applyFont="1" applyFill="1" applyAlignment="1">
      <alignment vertical="center"/>
    </xf>
    <xf numFmtId="168" fontId="115" fillId="2" borderId="0" xfId="0" applyNumberFormat="1" applyFont="1" applyFill="1" applyAlignment="1">
      <alignment vertical="center"/>
    </xf>
    <xf numFmtId="168" fontId="72" fillId="2" borderId="0" xfId="0" applyNumberFormat="1" applyFont="1" applyFill="1" applyAlignment="1">
      <alignment vertical="center"/>
    </xf>
    <xf numFmtId="166" fontId="13" fillId="2" borderId="0" xfId="1" applyNumberFormat="1" applyFont="1" applyFill="1" applyAlignment="1">
      <alignment horizontal="left" vertical="center" indent="3"/>
    </xf>
    <xf numFmtId="3" fontId="12" fillId="42" borderId="0" xfId="0" applyNumberFormat="1" applyFont="1" applyFill="1" applyAlignment="1">
      <alignment vertical="center"/>
    </xf>
    <xf numFmtId="169" fontId="12" fillId="2" borderId="0" xfId="75" applyFont="1" applyFill="1" applyBorder="1" applyAlignment="1" applyProtection="1">
      <alignment vertical="center"/>
    </xf>
    <xf numFmtId="169" fontId="5" fillId="2" borderId="0" xfId="75" applyFont="1" applyFill="1" applyAlignment="1">
      <alignment horizontal="left" vertical="center" indent="1"/>
    </xf>
    <xf numFmtId="3" fontId="124" fillId="42" borderId="0" xfId="2" applyNumberFormat="1" applyFont="1" applyFill="1" applyAlignment="1">
      <alignment horizontal="right" vertical="center"/>
    </xf>
    <xf numFmtId="3" fontId="123" fillId="42" borderId="0" xfId="2" applyNumberFormat="1" applyFont="1" applyFill="1" applyAlignment="1">
      <alignment horizontal="right" vertical="center"/>
    </xf>
    <xf numFmtId="0" fontId="13" fillId="2" borderId="0" xfId="2" applyFont="1" applyFill="1" applyAlignment="1">
      <alignment horizontal="left" vertical="center"/>
    </xf>
    <xf numFmtId="165" fontId="13" fillId="2" borderId="0" xfId="0" applyNumberFormat="1" applyFont="1" applyFill="1" applyAlignment="1">
      <alignment horizontal="left" vertical="center"/>
    </xf>
    <xf numFmtId="0" fontId="103" fillId="43" borderId="0" xfId="70" applyFont="1" applyFill="1" applyBorder="1" applyAlignment="1">
      <alignment horizontal="right" vertical="center"/>
    </xf>
    <xf numFmtId="0" fontId="93" fillId="2" borderId="0" xfId="0" applyFont="1" applyFill="1" applyAlignment="1">
      <alignment horizontal="left" vertical="center"/>
    </xf>
    <xf numFmtId="0" fontId="94" fillId="42" borderId="0" xfId="2" applyFont="1" applyFill="1" applyAlignment="1">
      <alignment horizontal="left" vertical="center" indent="1"/>
    </xf>
    <xf numFmtId="0" fontId="95" fillId="42" borderId="0" xfId="0" applyFont="1" applyFill="1" applyBorder="1" applyAlignment="1" applyProtection="1">
      <alignment vertical="center"/>
      <protection hidden="1"/>
    </xf>
    <xf numFmtId="0" fontId="93" fillId="2" borderId="0" xfId="2" applyFont="1" applyFill="1" applyAlignment="1">
      <alignment horizontal="left" vertical="center" indent="1"/>
    </xf>
    <xf numFmtId="0" fontId="93" fillId="2" borderId="0" xfId="2" applyFont="1" applyFill="1" applyAlignment="1">
      <alignment horizontal="left" vertical="center"/>
    </xf>
    <xf numFmtId="0" fontId="93" fillId="2" borderId="0" xfId="0" applyFont="1" applyFill="1" applyAlignment="1">
      <alignment horizontal="right" vertical="center"/>
    </xf>
    <xf numFmtId="0" fontId="93" fillId="42" borderId="0" xfId="2" applyFont="1" applyFill="1" applyAlignment="1">
      <alignment horizontal="left" vertical="center" indent="1"/>
    </xf>
    <xf numFmtId="0" fontId="93" fillId="42" borderId="0" xfId="2" applyFont="1" applyFill="1" applyAlignment="1">
      <alignment horizontal="left" vertical="center"/>
    </xf>
    <xf numFmtId="0" fontId="93" fillId="42" borderId="0" xfId="0" applyFont="1" applyFill="1" applyAlignment="1">
      <alignment horizontal="right" vertical="center"/>
    </xf>
    <xf numFmtId="0" fontId="125" fillId="2" borderId="0" xfId="2" applyFont="1" applyFill="1" applyAlignment="1">
      <alignment horizontal="left" vertical="center"/>
    </xf>
    <xf numFmtId="0" fontId="94" fillId="42" borderId="0" xfId="2" applyFont="1" applyFill="1" applyAlignment="1">
      <alignment horizontal="left" vertical="center"/>
    </xf>
    <xf numFmtId="165" fontId="93" fillId="42" borderId="0" xfId="2" applyNumberFormat="1" applyFont="1" applyFill="1" applyAlignment="1">
      <alignment horizontal="left" vertical="center"/>
    </xf>
    <xf numFmtId="165" fontId="93" fillId="2" borderId="0" xfId="2" applyNumberFormat="1" applyFont="1" applyFill="1" applyAlignment="1">
      <alignment horizontal="left" vertical="center"/>
    </xf>
    <xf numFmtId="166" fontId="94" fillId="42" borderId="0" xfId="1" applyNumberFormat="1" applyFont="1" applyFill="1" applyAlignment="1">
      <alignment horizontal="right" vertical="center"/>
    </xf>
    <xf numFmtId="166" fontId="94" fillId="42" borderId="0" xfId="1" applyNumberFormat="1" applyFont="1" applyFill="1" applyAlignment="1">
      <alignment horizontal="center" vertical="center"/>
    </xf>
    <xf numFmtId="166" fontId="93" fillId="42" borderId="0" xfId="2" applyNumberFormat="1" applyFont="1" applyFill="1" applyAlignment="1">
      <alignment horizontal="left" vertical="center" indent="1"/>
    </xf>
    <xf numFmtId="166" fontId="93" fillId="2" borderId="0" xfId="1" applyNumberFormat="1" applyFont="1" applyFill="1" applyAlignment="1">
      <alignment horizontal="right" vertical="center"/>
    </xf>
    <xf numFmtId="166" fontId="123" fillId="2" borderId="0" xfId="1" applyNumberFormat="1" applyFont="1" applyFill="1" applyAlignment="1">
      <alignment horizontal="right" vertical="center"/>
    </xf>
    <xf numFmtId="166" fontId="93" fillId="2" borderId="0" xfId="2" applyNumberFormat="1" applyFont="1" applyFill="1" applyAlignment="1">
      <alignment horizontal="left" vertical="center"/>
    </xf>
    <xf numFmtId="166" fontId="93" fillId="42" borderId="0" xfId="1" applyNumberFormat="1" applyFont="1" applyFill="1" applyAlignment="1">
      <alignment horizontal="right" vertical="center"/>
    </xf>
    <xf numFmtId="166" fontId="93" fillId="2" borderId="0" xfId="2" applyNumberFormat="1" applyFont="1" applyFill="1" applyAlignment="1">
      <alignment horizontal="left" vertical="center" indent="1"/>
    </xf>
    <xf numFmtId="0" fontId="94" fillId="2" borderId="0" xfId="2" applyFont="1" applyFill="1" applyAlignment="1">
      <alignment horizontal="left" vertical="center" indent="1"/>
    </xf>
    <xf numFmtId="0" fontId="94" fillId="2" borderId="0" xfId="2" applyFont="1" applyFill="1" applyAlignment="1">
      <alignment horizontal="left" vertical="center"/>
    </xf>
    <xf numFmtId="166" fontId="93" fillId="2" borderId="0" xfId="0" applyNumberFormat="1" applyFont="1" applyFill="1" applyAlignment="1">
      <alignment horizontal="center"/>
    </xf>
    <xf numFmtId="167" fontId="93" fillId="2" borderId="0" xfId="1" applyNumberFormat="1" applyFont="1" applyFill="1" applyAlignment="1">
      <alignment horizontal="right" vertical="center"/>
    </xf>
    <xf numFmtId="167" fontId="93" fillId="42" borderId="0" xfId="1" applyNumberFormat="1" applyFont="1" applyFill="1" applyAlignment="1">
      <alignment horizontal="right" vertical="center"/>
    </xf>
    <xf numFmtId="0" fontId="99" fillId="2" borderId="0" xfId="0" applyFont="1" applyFill="1" applyAlignment="1">
      <alignment horizontal="left" indent="3"/>
    </xf>
    <xf numFmtId="0" fontId="65" fillId="42" borderId="0" xfId="2" applyFont="1" applyFill="1" applyAlignment="1">
      <alignment horizontal="left" vertical="center" indent="1"/>
    </xf>
    <xf numFmtId="0" fontId="35" fillId="2" borderId="0" xfId="0" applyFont="1" applyFill="1" applyBorder="1" applyAlignment="1">
      <alignment horizontal="left"/>
    </xf>
    <xf numFmtId="0" fontId="0" fillId="2" borderId="0" xfId="0" applyFont="1" applyFill="1" applyBorder="1" applyAlignment="1"/>
    <xf numFmtId="165" fontId="0" fillId="2" borderId="0" xfId="0" applyNumberFormat="1" applyFont="1" applyFill="1" applyBorder="1" applyAlignment="1"/>
    <xf numFmtId="0" fontId="9" fillId="2" borderId="0" xfId="0" applyFont="1" applyFill="1" applyBorder="1" applyAlignment="1">
      <alignment horizontal="left" vertical="center" indent="1"/>
    </xf>
    <xf numFmtId="0" fontId="35" fillId="2" borderId="0" xfId="0" applyFont="1" applyFill="1" applyBorder="1" applyAlignment="1">
      <alignment horizontal="right" vertical="center"/>
    </xf>
    <xf numFmtId="0" fontId="6" fillId="2" borderId="0" xfId="0" applyFont="1" applyFill="1" applyBorder="1" applyAlignment="1"/>
    <xf numFmtId="0" fontId="123" fillId="2" borderId="0" xfId="0" applyFont="1" applyFill="1"/>
    <xf numFmtId="0" fontId="123" fillId="0" borderId="0" xfId="0" applyFont="1" applyFill="1"/>
    <xf numFmtId="0" fontId="94" fillId="42" borderId="0" xfId="5" applyFont="1" applyFill="1" applyAlignment="1">
      <alignment horizontal="left" vertical="center" indent="1"/>
    </xf>
    <xf numFmtId="1" fontId="103" fillId="42" borderId="0" xfId="2" applyNumberFormat="1" applyFont="1" applyFill="1" applyAlignment="1">
      <alignment horizontal="right" vertical="center"/>
    </xf>
    <xf numFmtId="0" fontId="94" fillId="2" borderId="0" xfId="5" applyFont="1" applyFill="1" applyAlignment="1">
      <alignment horizontal="left" vertical="center" indent="1"/>
    </xf>
    <xf numFmtId="0" fontId="93" fillId="2" borderId="0" xfId="5" applyFont="1" applyFill="1" applyAlignment="1">
      <alignment horizontal="left" vertical="center" indent="1"/>
    </xf>
    <xf numFmtId="0" fontId="95" fillId="2" borderId="0" xfId="0" applyFont="1" applyFill="1"/>
    <xf numFmtId="0" fontId="93" fillId="42" borderId="0" xfId="5" applyFont="1" applyFill="1" applyAlignment="1">
      <alignment horizontal="left" vertical="center" indent="1"/>
    </xf>
    <xf numFmtId="3" fontId="128" fillId="42" borderId="0" xfId="2" applyNumberFormat="1" applyFont="1" applyFill="1" applyAlignment="1">
      <alignment horizontal="right" vertical="center"/>
    </xf>
    <xf numFmtId="3" fontId="128" fillId="2" borderId="0" xfId="2" applyNumberFormat="1" applyFont="1" applyFill="1" applyAlignment="1">
      <alignment horizontal="right" vertical="center"/>
    </xf>
    <xf numFmtId="165" fontId="128" fillId="2" borderId="0" xfId="2" applyNumberFormat="1" applyFont="1" applyFill="1" applyAlignment="1">
      <alignment horizontal="right" vertical="center"/>
    </xf>
    <xf numFmtId="0" fontId="95" fillId="2" borderId="0" xfId="2" applyFont="1" applyFill="1"/>
    <xf numFmtId="0" fontId="95" fillId="0" borderId="0" xfId="2" applyFont="1" applyFill="1"/>
    <xf numFmtId="0" fontId="94" fillId="42" borderId="0" xfId="5" applyFont="1" applyFill="1" applyAlignment="1">
      <alignment horizontal="left" indent="1"/>
    </xf>
    <xf numFmtId="3" fontId="129" fillId="42" borderId="0" xfId="2" applyNumberFormat="1" applyFont="1" applyFill="1" applyAlignment="1">
      <alignment horizontal="right" vertical="center"/>
    </xf>
    <xf numFmtId="3" fontId="129" fillId="2" borderId="0" xfId="2" applyNumberFormat="1" applyFont="1" applyFill="1" applyAlignment="1">
      <alignment horizontal="right" vertical="center"/>
    </xf>
    <xf numFmtId="0" fontId="94" fillId="42" borderId="0" xfId="5" applyFont="1" applyFill="1" applyAlignment="1">
      <alignment horizontal="center" vertical="center"/>
    </xf>
    <xf numFmtId="0" fontId="126" fillId="42" borderId="0" xfId="0" applyFont="1" applyFill="1"/>
    <xf numFmtId="0" fontId="126" fillId="2" borderId="0" xfId="0" applyFont="1" applyFill="1"/>
    <xf numFmtId="0" fontId="126" fillId="0" borderId="0" xfId="0" applyFont="1" applyFill="1"/>
    <xf numFmtId="166" fontId="93" fillId="2" borderId="0" xfId="1" applyNumberFormat="1" applyFont="1" applyFill="1" applyAlignment="1">
      <alignment horizontal="left" vertical="center"/>
    </xf>
    <xf numFmtId="166" fontId="93" fillId="42" borderId="0" xfId="1" applyNumberFormat="1" applyFont="1" applyFill="1" applyAlignment="1">
      <alignment horizontal="left" vertical="center"/>
    </xf>
    <xf numFmtId="0" fontId="95" fillId="42" borderId="0" xfId="0" applyFont="1" applyFill="1"/>
    <xf numFmtId="0" fontId="123" fillId="42" borderId="0" xfId="0" applyFont="1" applyFill="1"/>
    <xf numFmtId="168" fontId="128" fillId="42" borderId="0" xfId="2" applyNumberFormat="1" applyFont="1" applyFill="1" applyAlignment="1">
      <alignment horizontal="right" vertical="center"/>
    </xf>
    <xf numFmtId="168" fontId="93" fillId="42" borderId="0" xfId="1" applyNumberFormat="1" applyFont="1" applyFill="1" applyAlignment="1">
      <alignment horizontal="left" vertical="center"/>
    </xf>
    <xf numFmtId="168" fontId="93" fillId="42" borderId="0" xfId="5" applyNumberFormat="1" applyFont="1" applyFill="1" applyAlignment="1">
      <alignment horizontal="left" vertical="center" indent="1"/>
    </xf>
    <xf numFmtId="170" fontId="103" fillId="42" borderId="0" xfId="1" applyNumberFormat="1" applyFont="1" applyFill="1" applyAlignment="1">
      <alignment horizontal="right" vertical="center"/>
    </xf>
    <xf numFmtId="0" fontId="103" fillId="42" borderId="0" xfId="0" applyFont="1" applyFill="1"/>
    <xf numFmtId="0" fontId="128" fillId="2" borderId="0" xfId="0" applyFont="1" applyFill="1"/>
    <xf numFmtId="0" fontId="123" fillId="0" borderId="0" xfId="0" applyFont="1"/>
    <xf numFmtId="0" fontId="103" fillId="2" borderId="0" xfId="5" applyFont="1" applyFill="1" applyAlignment="1">
      <alignment horizontal="left" vertical="center" indent="1"/>
    </xf>
    <xf numFmtId="166" fontId="103" fillId="2" borderId="0" xfId="1" applyNumberFormat="1" applyFont="1" applyFill="1" applyAlignment="1">
      <alignment horizontal="right" vertical="center"/>
    </xf>
    <xf numFmtId="0" fontId="126" fillId="5" borderId="0" xfId="0" applyFont="1" applyFill="1"/>
    <xf numFmtId="0" fontId="128" fillId="42" borderId="0" xfId="5" applyFont="1" applyFill="1" applyAlignment="1">
      <alignment horizontal="left" indent="2"/>
    </xf>
    <xf numFmtId="0" fontId="128" fillId="42" borderId="0" xfId="5" applyFont="1" applyFill="1" applyAlignment="1">
      <alignment horizontal="left" vertical="center" indent="1"/>
    </xf>
    <xf numFmtId="166" fontId="128" fillId="42" borderId="0" xfId="1" applyNumberFormat="1" applyFont="1" applyFill="1" applyAlignment="1">
      <alignment horizontal="right" vertical="center"/>
    </xf>
    <xf numFmtId="0" fontId="95" fillId="6" borderId="0" xfId="0" applyFont="1" applyFill="1"/>
    <xf numFmtId="0" fontId="128" fillId="2" borderId="0" xfId="5" applyFont="1" applyFill="1" applyAlignment="1">
      <alignment horizontal="left" indent="2"/>
    </xf>
    <xf numFmtId="0" fontId="128" fillId="2" borderId="0" xfId="5" applyFont="1" applyFill="1" applyAlignment="1">
      <alignment horizontal="right" vertical="center"/>
    </xf>
    <xf numFmtId="166" fontId="128" fillId="2" borderId="0" xfId="1" applyNumberFormat="1" applyFont="1" applyFill="1" applyAlignment="1">
      <alignment horizontal="right" vertical="center"/>
    </xf>
    <xf numFmtId="0" fontId="103" fillId="42" borderId="0" xfId="5" applyFont="1" applyFill="1" applyAlignment="1">
      <alignment horizontal="left" vertical="center" indent="1"/>
    </xf>
    <xf numFmtId="0" fontId="128" fillId="42" borderId="0" xfId="0" applyFont="1" applyFill="1"/>
    <xf numFmtId="0" fontId="93" fillId="2" borderId="0" xfId="0" applyFont="1" applyFill="1" applyAlignment="1">
      <alignment horizontal="left" vertical="center" indent="2"/>
    </xf>
    <xf numFmtId="0" fontId="93" fillId="42" borderId="0" xfId="0" applyFont="1" applyFill="1" applyAlignment="1">
      <alignment horizontal="left" vertical="center" indent="2"/>
    </xf>
    <xf numFmtId="0" fontId="128" fillId="2" borderId="0" xfId="5" applyFont="1" applyFill="1" applyAlignment="1">
      <alignment horizontal="left" vertical="center" indent="2"/>
    </xf>
    <xf numFmtId="0" fontId="128" fillId="2" borderId="0" xfId="5" applyFont="1" applyFill="1" applyAlignment="1">
      <alignment horizontal="left" vertical="center" indent="1"/>
    </xf>
    <xf numFmtId="0" fontId="95" fillId="0" borderId="0" xfId="0" applyFont="1"/>
    <xf numFmtId="0" fontId="128" fillId="42" borderId="0" xfId="5" applyFont="1" applyFill="1" applyAlignment="1">
      <alignment horizontal="left" vertical="center" indent="2"/>
    </xf>
    <xf numFmtId="0" fontId="128" fillId="42" borderId="0" xfId="5" applyFont="1" applyFill="1" applyAlignment="1">
      <alignment horizontal="right" vertical="center"/>
    </xf>
    <xf numFmtId="1" fontId="128" fillId="42" borderId="0" xfId="5" applyNumberFormat="1" applyFont="1" applyFill="1" applyAlignment="1">
      <alignment horizontal="right" vertical="center"/>
    </xf>
    <xf numFmtId="1" fontId="128" fillId="2" borderId="0" xfId="5" applyNumberFormat="1" applyFont="1" applyFill="1" applyAlignment="1">
      <alignment horizontal="right" vertical="center"/>
    </xf>
    <xf numFmtId="0" fontId="132" fillId="2" borderId="0" xfId="5" applyFont="1" applyFill="1" applyAlignment="1">
      <alignment horizontal="left" vertical="center" indent="2"/>
    </xf>
    <xf numFmtId="0" fontId="132" fillId="2" borderId="0" xfId="5" applyFont="1" applyFill="1" applyAlignment="1">
      <alignment horizontal="left" vertical="center" indent="1"/>
    </xf>
    <xf numFmtId="165" fontId="132" fillId="2" borderId="0" xfId="5" applyNumberFormat="1" applyFont="1" applyFill="1" applyAlignment="1">
      <alignment horizontal="right" vertical="center"/>
    </xf>
    <xf numFmtId="0" fontId="134" fillId="2" borderId="0" xfId="0" applyFont="1" applyFill="1" applyAlignment="1">
      <alignment horizontal="left" vertical="top"/>
    </xf>
    <xf numFmtId="0" fontId="134" fillId="6" borderId="0" xfId="0" applyFont="1" applyFill="1" applyAlignment="1">
      <alignment horizontal="left" vertical="top"/>
    </xf>
    <xf numFmtId="0" fontId="95" fillId="2" borderId="0" xfId="0" applyFont="1" applyFill="1" applyAlignment="1">
      <alignment horizontal="left" vertical="top"/>
    </xf>
    <xf numFmtId="165" fontId="128" fillId="2" borderId="0" xfId="5" applyNumberFormat="1" applyFont="1" applyFill="1" applyAlignment="1">
      <alignment horizontal="right" vertical="center"/>
    </xf>
    <xf numFmtId="0" fontId="128" fillId="34" borderId="0" xfId="5" applyFont="1" applyFill="1" applyAlignment="1">
      <alignment horizontal="left" vertical="center" indent="2"/>
    </xf>
    <xf numFmtId="0" fontId="128" fillId="34" borderId="0" xfId="5" applyFont="1" applyFill="1" applyAlignment="1">
      <alignment horizontal="left" vertical="center" indent="1"/>
    </xf>
    <xf numFmtId="2" fontId="128" fillId="34" borderId="0" xfId="5" applyNumberFormat="1" applyFont="1" applyFill="1" applyAlignment="1">
      <alignment horizontal="right" vertical="center"/>
    </xf>
    <xf numFmtId="0" fontId="128" fillId="34" borderId="0" xfId="5" applyFont="1" applyFill="1" applyAlignment="1">
      <alignment horizontal="right" vertical="center"/>
    </xf>
    <xf numFmtId="0" fontId="123" fillId="34" borderId="0" xfId="0" applyFont="1" applyFill="1"/>
    <xf numFmtId="0" fontId="129" fillId="42" borderId="0" xfId="5" applyFont="1" applyFill="1" applyAlignment="1">
      <alignment horizontal="left" vertical="center" indent="2"/>
    </xf>
    <xf numFmtId="0" fontId="129" fillId="42" borderId="0" xfId="5" applyFont="1" applyFill="1" applyAlignment="1">
      <alignment horizontal="left" vertical="center" indent="1"/>
    </xf>
    <xf numFmtId="165" fontId="129" fillId="42" borderId="0" xfId="5" applyNumberFormat="1" applyFont="1" applyFill="1" applyAlignment="1">
      <alignment horizontal="right" vertical="center"/>
    </xf>
    <xf numFmtId="0" fontId="129" fillId="42" borderId="0" xfId="5" applyFont="1" applyFill="1" applyAlignment="1">
      <alignment horizontal="right" vertical="center"/>
    </xf>
    <xf numFmtId="0" fontId="129" fillId="2" borderId="0" xfId="5" applyFont="1" applyFill="1" applyAlignment="1">
      <alignment horizontal="left" vertical="center" indent="2"/>
    </xf>
    <xf numFmtId="0" fontId="129" fillId="2" borderId="0" xfId="5" applyFont="1" applyFill="1" applyAlignment="1">
      <alignment horizontal="left" vertical="center" indent="1"/>
    </xf>
    <xf numFmtId="165" fontId="129" fillId="2" borderId="0" xfId="5" applyNumberFormat="1" applyFont="1" applyFill="1" applyAlignment="1">
      <alignment horizontal="right" vertical="center"/>
    </xf>
    <xf numFmtId="0" fontId="129" fillId="2" borderId="0" xfId="5" applyFont="1" applyFill="1" applyAlignment="1">
      <alignment horizontal="right" vertical="center"/>
    </xf>
    <xf numFmtId="166" fontId="128" fillId="42" borderId="0" xfId="1" applyNumberFormat="1" applyFont="1" applyFill="1" applyBorder="1" applyAlignment="1">
      <alignment horizontal="right" vertical="center"/>
    </xf>
    <xf numFmtId="166" fontId="128" fillId="2" borderId="4" xfId="1" applyNumberFormat="1" applyFont="1" applyFill="1" applyBorder="1" applyAlignment="1">
      <alignment horizontal="right" vertical="center"/>
    </xf>
    <xf numFmtId="0" fontId="123" fillId="2" borderId="0" xfId="0" applyFont="1" applyFill="1" applyBorder="1"/>
    <xf numFmtId="0" fontId="124" fillId="42" borderId="0" xfId="6" applyFont="1" applyFill="1" applyAlignment="1">
      <alignment vertical="center"/>
    </xf>
    <xf numFmtId="0" fontId="94" fillId="42" borderId="0" xfId="2" applyFont="1" applyFill="1" applyAlignment="1">
      <alignment horizontal="right" vertical="center" indent="1"/>
    </xf>
    <xf numFmtId="1" fontId="94" fillId="42" borderId="0" xfId="2" applyNumberFormat="1" applyFont="1" applyFill="1" applyAlignment="1">
      <alignment vertical="center"/>
    </xf>
    <xf numFmtId="166" fontId="93" fillId="2" borderId="0" xfId="1" applyNumberFormat="1" applyFont="1" applyFill="1" applyAlignment="1">
      <alignment vertical="center"/>
    </xf>
    <xf numFmtId="0" fontId="93" fillId="2" borderId="0" xfId="2" applyFont="1" applyFill="1" applyAlignment="1">
      <alignment horizontal="right" vertical="center" indent="1"/>
    </xf>
    <xf numFmtId="1" fontId="93" fillId="2" borderId="0" xfId="2" applyNumberFormat="1" applyFont="1" applyFill="1" applyAlignment="1">
      <alignment horizontal="right" vertical="center"/>
    </xf>
    <xf numFmtId="0" fontId="93" fillId="42" borderId="0" xfId="2" applyFont="1" applyFill="1" applyAlignment="1">
      <alignment horizontal="right" vertical="center" indent="1"/>
    </xf>
    <xf numFmtId="1" fontId="93" fillId="42" borderId="0" xfId="2" applyNumberFormat="1" applyFont="1" applyFill="1" applyAlignment="1">
      <alignment horizontal="right" vertical="center"/>
    </xf>
    <xf numFmtId="166" fontId="124" fillId="2" borderId="0" xfId="6" applyNumberFormat="1" applyFont="1" applyFill="1" applyAlignment="1">
      <alignment vertical="center"/>
    </xf>
    <xf numFmtId="38" fontId="93" fillId="2" borderId="0" xfId="1" applyNumberFormat="1" applyFont="1" applyFill="1" applyBorder="1" applyAlignment="1">
      <alignment horizontal="right" vertical="center"/>
    </xf>
    <xf numFmtId="166" fontId="123" fillId="42" borderId="0" xfId="7" applyNumberFormat="1" applyFont="1" applyFill="1" applyAlignment="1">
      <alignment vertical="center"/>
    </xf>
    <xf numFmtId="165" fontId="123" fillId="2" borderId="0" xfId="6" applyNumberFormat="1" applyFont="1" applyFill="1" applyAlignment="1">
      <alignment vertical="center"/>
    </xf>
    <xf numFmtId="165" fontId="93" fillId="2" borderId="0" xfId="2" applyNumberFormat="1" applyFont="1" applyFill="1" applyAlignment="1">
      <alignment horizontal="right" vertical="center"/>
    </xf>
    <xf numFmtId="0" fontId="123" fillId="42" borderId="0" xfId="6" applyFont="1" applyFill="1" applyAlignment="1">
      <alignment vertical="center"/>
    </xf>
    <xf numFmtId="165" fontId="93" fillId="42" borderId="0" xfId="2" applyNumberFormat="1" applyFont="1" applyFill="1" applyAlignment="1">
      <alignment horizontal="right" vertical="center"/>
    </xf>
    <xf numFmtId="0" fontId="123" fillId="2" borderId="0" xfId="6" applyFont="1" applyFill="1" applyAlignment="1">
      <alignment horizontal="right" vertical="center"/>
    </xf>
    <xf numFmtId="0" fontId="123" fillId="2" borderId="0" xfId="6" applyFont="1" applyFill="1" applyAlignment="1">
      <alignment vertical="center"/>
    </xf>
    <xf numFmtId="0" fontId="123" fillId="42" borderId="0" xfId="6" applyFont="1" applyFill="1" applyAlignment="1">
      <alignment horizontal="right" vertical="center"/>
    </xf>
    <xf numFmtId="1" fontId="123" fillId="2" borderId="0" xfId="2" applyNumberFormat="1" applyFont="1" applyFill="1" applyAlignment="1">
      <alignment horizontal="right" vertical="center"/>
    </xf>
    <xf numFmtId="1" fontId="94" fillId="42" borderId="0" xfId="2" applyNumberFormat="1" applyFont="1" applyFill="1" applyAlignment="1">
      <alignment horizontal="right" vertical="center"/>
    </xf>
    <xf numFmtId="3" fontId="94" fillId="2" borderId="0" xfId="7" applyNumberFormat="1" applyFont="1" applyFill="1" applyAlignment="1">
      <alignment horizontal="right" vertical="center"/>
    </xf>
    <xf numFmtId="3" fontId="93" fillId="31" borderId="0" xfId="7" applyNumberFormat="1" applyFont="1" applyFill="1" applyAlignment="1">
      <alignment horizontal="right" vertical="center"/>
    </xf>
    <xf numFmtId="3" fontId="93" fillId="2" borderId="0" xfId="7" applyNumberFormat="1" applyFont="1" applyFill="1" applyAlignment="1">
      <alignment horizontal="right" vertical="center"/>
    </xf>
    <xf numFmtId="0" fontId="95" fillId="0" borderId="0" xfId="0" applyFont="1" applyFill="1"/>
    <xf numFmtId="3" fontId="93" fillId="42" borderId="0" xfId="7" applyNumberFormat="1" applyFont="1" applyFill="1" applyAlignment="1">
      <alignment horizontal="right" vertical="center"/>
    </xf>
    <xf numFmtId="3" fontId="123" fillId="2" borderId="0" xfId="7" applyNumberFormat="1" applyFont="1" applyFill="1" applyAlignment="1">
      <alignment horizontal="right" vertical="center"/>
    </xf>
    <xf numFmtId="3" fontId="94" fillId="42" borderId="0" xfId="7" applyNumberFormat="1" applyFont="1" applyFill="1" applyAlignment="1">
      <alignment horizontal="right" vertical="center"/>
    </xf>
    <xf numFmtId="3" fontId="123" fillId="2" borderId="0" xfId="0" applyNumberFormat="1" applyFont="1" applyFill="1" applyAlignment="1">
      <alignment horizontal="right" vertical="center"/>
    </xf>
    <xf numFmtId="3" fontId="123" fillId="42" borderId="0" xfId="0" applyNumberFormat="1" applyFont="1" applyFill="1" applyAlignment="1">
      <alignment horizontal="right" vertical="center"/>
    </xf>
    <xf numFmtId="3" fontId="123" fillId="2" borderId="0" xfId="0" applyNumberFormat="1" applyFont="1" applyFill="1"/>
    <xf numFmtId="3" fontId="123" fillId="42" borderId="0" xfId="0" applyNumberFormat="1" applyFont="1" applyFill="1"/>
    <xf numFmtId="166" fontId="128" fillId="2" borderId="0" xfId="7" applyNumberFormat="1" applyFont="1" applyFill="1"/>
    <xf numFmtId="166" fontId="93" fillId="2" borderId="0" xfId="7" applyNumberFormat="1" applyFont="1" applyFill="1" applyAlignment="1">
      <alignment horizontal="left" vertical="center" indent="1"/>
    </xf>
    <xf numFmtId="166" fontId="123" fillId="2" borderId="0" xfId="7" applyNumberFormat="1" applyFont="1" applyFill="1"/>
    <xf numFmtId="166" fontId="93" fillId="2" borderId="0" xfId="1" applyNumberFormat="1" applyFont="1" applyFill="1" applyAlignment="1">
      <alignment horizontal="right" vertical="center" indent="1"/>
    </xf>
    <xf numFmtId="166" fontId="128" fillId="2" borderId="0" xfId="1" applyNumberFormat="1" applyFont="1" applyFill="1" applyAlignment="1">
      <alignment vertical="center"/>
    </xf>
    <xf numFmtId="0" fontId="95" fillId="2" borderId="0" xfId="0" applyFont="1" applyFill="1" applyAlignment="1">
      <alignment vertical="center"/>
    </xf>
    <xf numFmtId="37" fontId="93" fillId="2" borderId="0" xfId="1" applyNumberFormat="1" applyFont="1" applyFill="1" applyAlignment="1">
      <alignment horizontal="right" vertical="center" indent="1"/>
    </xf>
    <xf numFmtId="0" fontId="134" fillId="2" borderId="0" xfId="0" applyFont="1" applyFill="1"/>
    <xf numFmtId="169" fontId="138" fillId="2" borderId="0" xfId="0" applyNumberFormat="1" applyFont="1" applyFill="1"/>
    <xf numFmtId="169" fontId="123" fillId="2" borderId="0" xfId="0" applyNumberFormat="1" applyFont="1" applyFill="1"/>
    <xf numFmtId="166" fontId="93" fillId="2" borderId="0" xfId="1" applyNumberFormat="1" applyFont="1" applyFill="1" applyAlignment="1">
      <alignment horizontal="left" vertical="center" indent="1"/>
    </xf>
    <xf numFmtId="167" fontId="93" fillId="42" borderId="0" xfId="1" applyNumberFormat="1" applyFont="1" applyFill="1" applyAlignment="1">
      <alignment horizontal="left" vertical="center" indent="1"/>
    </xf>
    <xf numFmtId="166" fontId="93" fillId="2" borderId="0" xfId="1" applyNumberFormat="1" applyFont="1" applyFill="1" applyAlignment="1">
      <alignment horizontal="center" vertical="center"/>
    </xf>
    <xf numFmtId="166" fontId="93" fillId="42" borderId="0" xfId="1" applyNumberFormat="1" applyFont="1" applyFill="1" applyAlignment="1">
      <alignment horizontal="center" vertical="center"/>
    </xf>
    <xf numFmtId="0" fontId="93" fillId="2" borderId="0" xfId="1" applyNumberFormat="1" applyFont="1" applyFill="1" applyAlignment="1">
      <alignment horizontal="center" vertical="center"/>
    </xf>
    <xf numFmtId="166" fontId="94" fillId="2" borderId="0" xfId="1" applyNumberFormat="1" applyFont="1" applyFill="1" applyAlignment="1">
      <alignment horizontal="left" vertical="center" indent="1"/>
    </xf>
    <xf numFmtId="166" fontId="94" fillId="7" borderId="0" xfId="1" applyNumberFormat="1" applyFont="1" applyFill="1" applyAlignment="1">
      <alignment horizontal="center" vertical="center"/>
    </xf>
    <xf numFmtId="3" fontId="93" fillId="2" borderId="0" xfId="1" applyNumberFormat="1" applyFont="1" applyFill="1" applyAlignment="1">
      <alignment horizontal="center" vertical="center"/>
    </xf>
    <xf numFmtId="178" fontId="94" fillId="2" borderId="0" xfId="0" applyNumberFormat="1" applyFont="1" applyFill="1" applyBorder="1" applyAlignment="1">
      <alignment horizontal="right" vertical="center" indent="3"/>
    </xf>
    <xf numFmtId="166" fontId="93" fillId="7" borderId="0" xfId="1" applyNumberFormat="1" applyFont="1" applyFill="1" applyAlignment="1">
      <alignment horizontal="left" vertical="center"/>
    </xf>
    <xf numFmtId="164" fontId="94" fillId="2" borderId="0" xfId="1" applyNumberFormat="1" applyFont="1" applyFill="1" applyAlignment="1">
      <alignment horizontal="left" vertical="center" indent="1"/>
    </xf>
    <xf numFmtId="164" fontId="93" fillId="2" borderId="0" xfId="1" applyNumberFormat="1" applyFont="1" applyFill="1" applyAlignment="1">
      <alignment horizontal="left" vertical="center" indent="1"/>
    </xf>
    <xf numFmtId="164" fontId="123" fillId="2" borderId="0" xfId="0" applyNumberFormat="1" applyFont="1" applyFill="1"/>
    <xf numFmtId="0" fontId="123" fillId="2" borderId="0" xfId="0" applyFont="1" applyFill="1" applyAlignment="1">
      <alignment vertical="center"/>
    </xf>
    <xf numFmtId="0" fontId="93" fillId="2" borderId="0" xfId="2" applyFont="1" applyFill="1" applyBorder="1"/>
    <xf numFmtId="0" fontId="93" fillId="2" borderId="0" xfId="0" applyFont="1" applyFill="1"/>
    <xf numFmtId="166" fontId="126" fillId="2" borderId="0" xfId="10" applyNumberFormat="1" applyFont="1" applyFill="1" applyAlignment="1"/>
    <xf numFmtId="169" fontId="139" fillId="2" borderId="0" xfId="71" applyFont="1" applyFill="1" applyAlignment="1">
      <alignment horizontal="right" vertical="center"/>
    </xf>
    <xf numFmtId="169" fontId="139" fillId="2" borderId="0" xfId="0" applyNumberFormat="1" applyFont="1" applyFill="1" applyAlignment="1">
      <alignment horizontal="right" vertical="center"/>
    </xf>
    <xf numFmtId="1" fontId="94" fillId="2" borderId="0" xfId="2" applyNumberFormat="1" applyFont="1" applyFill="1" applyAlignment="1">
      <alignment vertical="center"/>
    </xf>
    <xf numFmtId="3" fontId="93" fillId="2" borderId="0" xfId="2" applyNumberFormat="1" applyFont="1" applyFill="1" applyBorder="1" applyAlignment="1">
      <alignment horizontal="right" vertical="center"/>
    </xf>
    <xf numFmtId="1" fontId="94" fillId="42" borderId="0" xfId="70" applyNumberFormat="1" applyFont="1" applyFill="1" applyAlignment="1">
      <alignment horizontal="right" vertical="center"/>
    </xf>
    <xf numFmtId="0" fontId="128" fillId="2" borderId="0" xfId="2" applyFont="1" applyFill="1"/>
    <xf numFmtId="0" fontId="123" fillId="2" borderId="0" xfId="2" applyFont="1" applyFill="1"/>
    <xf numFmtId="166" fontId="97" fillId="31" borderId="0" xfId="1" applyNumberFormat="1" applyFont="1" applyFill="1" applyAlignment="1">
      <alignment horizontal="right" vertical="center"/>
    </xf>
    <xf numFmtId="165" fontId="132" fillId="2" borderId="0" xfId="2" applyNumberFormat="1" applyFont="1" applyFill="1"/>
    <xf numFmtId="165" fontId="140" fillId="2" borderId="0" xfId="2" applyNumberFormat="1" applyFont="1" applyFill="1" applyAlignment="1">
      <alignment horizontal="right" vertical="center"/>
    </xf>
    <xf numFmtId="0" fontId="93" fillId="2" borderId="0" xfId="2" applyFont="1" applyFill="1" applyAlignment="1">
      <alignment horizontal="right" vertical="center"/>
    </xf>
    <xf numFmtId="165" fontId="93" fillId="3" borderId="0" xfId="2" applyNumberFormat="1" applyFont="1" applyFill="1" applyAlignment="1">
      <alignment horizontal="right" vertical="center"/>
    </xf>
    <xf numFmtId="166" fontId="123" fillId="42" borderId="0" xfId="1" applyNumberFormat="1" applyFont="1" applyFill="1" applyAlignment="1">
      <alignment horizontal="right" vertical="center"/>
    </xf>
    <xf numFmtId="168" fontId="123" fillId="42" borderId="0" xfId="2" applyNumberFormat="1" applyFont="1" applyFill="1" applyAlignment="1">
      <alignment horizontal="right" vertical="center"/>
    </xf>
    <xf numFmtId="1" fontId="123" fillId="2" borderId="0" xfId="2" applyNumberFormat="1" applyFont="1" applyFill="1" applyAlignment="1">
      <alignment vertical="center"/>
    </xf>
    <xf numFmtId="167" fontId="124" fillId="2" borderId="0" xfId="1" applyNumberFormat="1" applyFont="1" applyFill="1" applyBorder="1" applyAlignment="1">
      <alignment horizontal="right" vertical="center"/>
    </xf>
    <xf numFmtId="0" fontId="123" fillId="2" borderId="0" xfId="2" applyFont="1" applyFill="1" applyAlignment="1">
      <alignment vertical="center"/>
    </xf>
    <xf numFmtId="166" fontId="124" fillId="2" borderId="0" xfId="7" applyNumberFormat="1" applyFont="1" applyFill="1" applyBorder="1" applyAlignment="1">
      <alignment horizontal="right" vertical="center"/>
    </xf>
    <xf numFmtId="165" fontId="124" fillId="2" borderId="0" xfId="7" applyNumberFormat="1" applyFont="1" applyFill="1" applyBorder="1" applyAlignment="1">
      <alignment horizontal="right" vertical="center"/>
    </xf>
    <xf numFmtId="165" fontId="123" fillId="2" borderId="0" xfId="2" applyNumberFormat="1" applyFont="1" applyFill="1" applyAlignment="1">
      <alignment vertical="center"/>
    </xf>
    <xf numFmtId="0" fontId="141" fillId="2" borderId="0" xfId="2" applyFont="1" applyFill="1"/>
    <xf numFmtId="168" fontId="93" fillId="2" borderId="0" xfId="5" applyNumberFormat="1" applyFont="1" applyFill="1" applyAlignment="1">
      <alignment horizontal="right" vertical="center"/>
    </xf>
    <xf numFmtId="166" fontId="123" fillId="2" borderId="0" xfId="1" applyNumberFormat="1" applyFont="1" applyFill="1" applyBorder="1" applyAlignment="1">
      <alignment horizontal="right" vertical="center"/>
    </xf>
    <xf numFmtId="165" fontId="128" fillId="2" borderId="0" xfId="72" applyNumberFormat="1" applyFont="1" applyFill="1" applyBorder="1" applyAlignment="1">
      <alignment vertical="center"/>
    </xf>
    <xf numFmtId="1" fontId="123" fillId="2" borderId="0" xfId="0" applyNumberFormat="1" applyFont="1" applyFill="1"/>
    <xf numFmtId="3" fontId="124" fillId="2" borderId="0" xfId="0" applyNumberFormat="1" applyFont="1" applyFill="1" applyBorder="1" applyAlignment="1" applyProtection="1">
      <alignment horizontal="right" vertical="center"/>
    </xf>
    <xf numFmtId="3" fontId="123" fillId="2" borderId="0" xfId="0" applyNumberFormat="1" applyFont="1" applyFill="1" applyAlignment="1">
      <alignment vertical="center"/>
    </xf>
    <xf numFmtId="0" fontId="95" fillId="2" borderId="0" xfId="2" applyFont="1" applyFill="1" applyAlignment="1"/>
    <xf numFmtId="0" fontId="123" fillId="2" borderId="0" xfId="0" applyFont="1" applyFill="1" applyAlignment="1"/>
    <xf numFmtId="0" fontId="134" fillId="2" borderId="0" xfId="0" applyFont="1" applyFill="1" applyAlignment="1"/>
    <xf numFmtId="0" fontId="123" fillId="42" borderId="0" xfId="2" applyFont="1" applyFill="1" applyAlignment="1"/>
    <xf numFmtId="166" fontId="123" fillId="42" borderId="0" xfId="1" applyNumberFormat="1" applyFont="1" applyFill="1" applyAlignment="1"/>
    <xf numFmtId="0" fontId="123" fillId="2" borderId="0" xfId="2" applyFont="1" applyFill="1" applyAlignment="1"/>
    <xf numFmtId="0" fontId="95" fillId="2" borderId="0" xfId="70" applyFont="1" applyFill="1"/>
    <xf numFmtId="0" fontId="131" fillId="2" borderId="0" xfId="0" applyFont="1" applyFill="1" applyAlignment="1">
      <alignment horizontal="right" vertical="center"/>
    </xf>
    <xf numFmtId="0" fontId="128" fillId="2" borderId="0" xfId="0" applyFont="1" applyFill="1" applyBorder="1" applyAlignment="1">
      <alignment vertical="center"/>
    </xf>
    <xf numFmtId="0" fontId="103" fillId="2" borderId="0" xfId="0" applyFont="1" applyFill="1" applyBorder="1" applyAlignment="1">
      <alignment horizontal="right" vertical="center"/>
    </xf>
    <xf numFmtId="173" fontId="103" fillId="43" borderId="0" xfId="70" applyNumberFormat="1" applyFont="1" applyFill="1" applyBorder="1" applyAlignment="1">
      <alignment vertical="center"/>
    </xf>
    <xf numFmtId="173" fontId="103" fillId="2" borderId="0" xfId="70" applyNumberFormat="1" applyFont="1" applyFill="1" applyBorder="1" applyAlignment="1">
      <alignment vertical="center"/>
    </xf>
    <xf numFmtId="173" fontId="128" fillId="43" borderId="0" xfId="1" applyNumberFormat="1" applyFont="1" applyFill="1" applyBorder="1" applyAlignment="1">
      <alignment vertical="center"/>
    </xf>
    <xf numFmtId="173" fontId="128" fillId="2" borderId="0" xfId="0" applyNumberFormat="1" applyFont="1" applyFill="1" applyBorder="1" applyAlignment="1">
      <alignment vertical="center"/>
    </xf>
    <xf numFmtId="173" fontId="103" fillId="2" borderId="0" xfId="70" applyNumberFormat="1" applyFont="1" applyFill="1" applyBorder="1" applyAlignment="1">
      <alignment horizontal="right" vertical="center"/>
    </xf>
    <xf numFmtId="173" fontId="103" fillId="43" borderId="0" xfId="1" applyNumberFormat="1" applyFont="1" applyFill="1" applyBorder="1" applyAlignment="1">
      <alignment horizontal="right" vertical="center"/>
    </xf>
    <xf numFmtId="173" fontId="128" fillId="2" borderId="0" xfId="1" applyNumberFormat="1" applyFont="1" applyFill="1" applyBorder="1" applyAlignment="1">
      <alignment vertical="center"/>
    </xf>
    <xf numFmtId="173" fontId="128" fillId="2" borderId="0" xfId="70" applyNumberFormat="1" applyFont="1" applyFill="1" applyBorder="1" applyAlignment="1">
      <alignment vertical="center"/>
    </xf>
    <xf numFmtId="173" fontId="128" fillId="38" borderId="0" xfId="70" applyNumberFormat="1" applyFont="1" applyFill="1" applyBorder="1" applyAlignment="1">
      <alignment horizontal="right" vertical="center"/>
    </xf>
    <xf numFmtId="173" fontId="128" fillId="43" borderId="0" xfId="70" applyNumberFormat="1" applyFont="1" applyFill="1" applyBorder="1" applyAlignment="1">
      <alignment horizontal="right" vertical="center"/>
    </xf>
    <xf numFmtId="173" fontId="128" fillId="38" borderId="0" xfId="1" applyNumberFormat="1" applyFont="1" applyFill="1" applyBorder="1" applyAlignment="1">
      <alignment vertical="center"/>
    </xf>
    <xf numFmtId="173" fontId="129" fillId="43" borderId="0" xfId="70" applyNumberFormat="1" applyFont="1" applyFill="1" applyBorder="1" applyAlignment="1">
      <alignment vertical="center"/>
    </xf>
    <xf numFmtId="173" fontId="129" fillId="2" borderId="0" xfId="70" applyNumberFormat="1" applyFont="1" applyFill="1" applyBorder="1" applyAlignment="1">
      <alignment vertical="center"/>
    </xf>
    <xf numFmtId="173" fontId="129" fillId="38" borderId="0" xfId="70" applyNumberFormat="1" applyFont="1" applyFill="1" applyBorder="1" applyAlignment="1">
      <alignment vertical="center"/>
    </xf>
    <xf numFmtId="173" fontId="128" fillId="2" borderId="0" xfId="75" applyNumberFormat="1" applyFont="1" applyFill="1" applyBorder="1" applyAlignment="1">
      <alignment horizontal="right" vertical="center"/>
    </xf>
    <xf numFmtId="173" fontId="128" fillId="43" borderId="0" xfId="75" applyNumberFormat="1" applyFont="1" applyFill="1" applyBorder="1" applyAlignment="1">
      <alignment horizontal="right" vertical="center"/>
    </xf>
    <xf numFmtId="0" fontId="128" fillId="2" borderId="0" xfId="0" applyFont="1" applyFill="1" applyAlignment="1">
      <alignment vertical="center"/>
    </xf>
    <xf numFmtId="0" fontId="95" fillId="2" borderId="0" xfId="70" applyFont="1" applyFill="1" applyAlignment="1">
      <alignment vertical="center"/>
    </xf>
    <xf numFmtId="3" fontId="123" fillId="42" borderId="0" xfId="1" applyNumberFormat="1" applyFont="1" applyFill="1" applyBorder="1" applyAlignment="1">
      <alignment horizontal="right" vertical="center"/>
    </xf>
    <xf numFmtId="173" fontId="128" fillId="4" borderId="0" xfId="70" applyNumberFormat="1" applyFont="1" applyFill="1" applyBorder="1" applyAlignment="1">
      <alignment vertical="center"/>
    </xf>
    <xf numFmtId="173" fontId="123" fillId="2" borderId="0" xfId="0" applyNumberFormat="1" applyFont="1" applyFill="1"/>
    <xf numFmtId="0" fontId="95" fillId="2" borderId="0" xfId="5" applyFont="1" applyFill="1" applyBorder="1"/>
    <xf numFmtId="0" fontId="83" fillId="43" borderId="0" xfId="70" applyFont="1" applyFill="1" applyBorder="1" applyAlignment="1">
      <alignment vertical="center"/>
    </xf>
    <xf numFmtId="0" fontId="93" fillId="2" borderId="0" xfId="70" applyFont="1" applyFill="1" applyBorder="1" applyAlignment="1">
      <alignment vertical="center"/>
    </xf>
    <xf numFmtId="0" fontId="94" fillId="43" borderId="0" xfId="70" applyFont="1" applyFill="1" applyBorder="1" applyAlignment="1">
      <alignment vertical="center"/>
    </xf>
    <xf numFmtId="0" fontId="93" fillId="43" borderId="0" xfId="70" applyFont="1" applyFill="1" applyBorder="1" applyAlignment="1">
      <alignment vertical="center"/>
    </xf>
    <xf numFmtId="0" fontId="94" fillId="2" borderId="0" xfId="70" applyFont="1" applyFill="1" applyBorder="1" applyAlignment="1">
      <alignment vertical="center"/>
    </xf>
    <xf numFmtId="0" fontId="94" fillId="38" borderId="0" xfId="70" applyFont="1" applyFill="1" applyBorder="1" applyAlignment="1">
      <alignment vertical="center"/>
    </xf>
    <xf numFmtId="0" fontId="93" fillId="38" borderId="0" xfId="70" applyFont="1" applyFill="1" applyBorder="1" applyAlignment="1">
      <alignment vertical="center"/>
    </xf>
    <xf numFmtId="0" fontId="124" fillId="43" borderId="0" xfId="70" applyFont="1" applyFill="1" applyBorder="1" applyAlignment="1">
      <alignment vertical="center"/>
    </xf>
    <xf numFmtId="0" fontId="124" fillId="2" borderId="0" xfId="70" applyFont="1" applyFill="1" applyBorder="1" applyAlignment="1">
      <alignment vertical="center"/>
    </xf>
    <xf numFmtId="0" fontId="123" fillId="2" borderId="0" xfId="70" applyFont="1" applyFill="1" applyBorder="1" applyAlignment="1">
      <alignment vertical="center"/>
    </xf>
    <xf numFmtId="0" fontId="124" fillId="38" borderId="0" xfId="70" applyFont="1" applyFill="1" applyBorder="1" applyAlignment="1">
      <alignment vertical="center"/>
    </xf>
    <xf numFmtId="0" fontId="123" fillId="43" borderId="0" xfId="70" applyFont="1" applyFill="1" applyBorder="1" applyAlignment="1">
      <alignment vertical="center"/>
    </xf>
    <xf numFmtId="0" fontId="136" fillId="43" borderId="0" xfId="5" applyFont="1" applyFill="1" applyBorder="1" applyAlignment="1" applyProtection="1">
      <alignment horizontal="left" vertical="center" indent="1"/>
    </xf>
    <xf numFmtId="0" fontId="93" fillId="2" borderId="0" xfId="70" applyFont="1" applyFill="1" applyBorder="1" applyAlignment="1">
      <alignment horizontal="left" vertical="center"/>
    </xf>
    <xf numFmtId="0" fontId="93" fillId="43" borderId="0" xfId="70" applyFont="1" applyFill="1" applyBorder="1" applyAlignment="1">
      <alignment horizontal="left" vertical="center"/>
    </xf>
    <xf numFmtId="0" fontId="123" fillId="2" borderId="0" xfId="70" applyFont="1" applyFill="1" applyBorder="1" applyAlignment="1">
      <alignment horizontal="left" vertical="center"/>
    </xf>
    <xf numFmtId="0" fontId="123" fillId="43" borderId="0" xfId="70" applyFont="1" applyFill="1" applyBorder="1" applyAlignment="1">
      <alignment horizontal="left" vertical="center"/>
    </xf>
    <xf numFmtId="0" fontId="136" fillId="2" borderId="0" xfId="5" applyFont="1" applyFill="1" applyBorder="1" applyAlignment="1" applyProtection="1">
      <alignment horizontal="left" vertical="center"/>
    </xf>
    <xf numFmtId="165" fontId="14" fillId="43" borderId="0" xfId="0" applyNumberFormat="1" applyFont="1" applyFill="1" applyAlignment="1">
      <alignment horizontal="left" vertical="center" indent="1"/>
    </xf>
    <xf numFmtId="165" fontId="13" fillId="2" borderId="0" xfId="0" applyNumberFormat="1" applyFont="1" applyFill="1" applyAlignment="1">
      <alignment horizontal="left" vertical="center" indent="1"/>
    </xf>
    <xf numFmtId="165" fontId="13" fillId="43" borderId="0" xfId="0" applyNumberFormat="1" applyFont="1" applyFill="1" applyAlignment="1">
      <alignment horizontal="left" vertical="center" indent="1"/>
    </xf>
    <xf numFmtId="165" fontId="14" fillId="2" borderId="0" xfId="0" applyNumberFormat="1" applyFont="1" applyFill="1" applyAlignment="1">
      <alignment horizontal="left" vertical="center" indent="1"/>
    </xf>
    <xf numFmtId="0" fontId="69" fillId="43" borderId="0" xfId="2" applyFont="1" applyFill="1" applyAlignment="1">
      <alignment horizontal="left" vertical="center" indent="1"/>
    </xf>
    <xf numFmtId="0" fontId="128" fillId="2" borderId="0" xfId="70" applyFont="1" applyFill="1"/>
    <xf numFmtId="0" fontId="103" fillId="43" borderId="0" xfId="70" applyFont="1" applyFill="1" applyAlignment="1">
      <alignment horizontal="right" vertical="center"/>
    </xf>
    <xf numFmtId="0" fontId="103" fillId="2" borderId="0" xfId="70" applyFont="1" applyFill="1" applyAlignment="1">
      <alignment horizontal="right" vertical="center"/>
    </xf>
    <xf numFmtId="0" fontId="128" fillId="2" borderId="0" xfId="70" applyFont="1" applyFill="1" applyAlignment="1">
      <alignment horizontal="right" vertical="center"/>
    </xf>
    <xf numFmtId="168" fontId="103" fillId="43" borderId="0" xfId="0" applyNumberFormat="1" applyFont="1" applyFill="1" applyAlignment="1">
      <alignment horizontal="right" vertical="center"/>
    </xf>
    <xf numFmtId="168" fontId="103" fillId="2" borderId="0" xfId="0" applyNumberFormat="1" applyFont="1" applyFill="1" applyAlignment="1">
      <alignment horizontal="right" vertical="center"/>
    </xf>
    <xf numFmtId="168" fontId="128" fillId="2" borderId="0" xfId="0" applyNumberFormat="1" applyFont="1" applyFill="1" applyAlignment="1">
      <alignment horizontal="right" vertical="center"/>
    </xf>
    <xf numFmtId="168" fontId="128" fillId="43" borderId="0" xfId="0" applyNumberFormat="1" applyFont="1" applyFill="1" applyAlignment="1">
      <alignment horizontal="right" vertical="center"/>
    </xf>
    <xf numFmtId="164" fontId="123" fillId="2" borderId="0" xfId="1" applyFont="1" applyFill="1"/>
    <xf numFmtId="165" fontId="13" fillId="43" borderId="0" xfId="0" applyNumberFormat="1" applyFont="1" applyFill="1" applyAlignment="1">
      <alignment horizontal="left" vertical="center" wrapText="1" indent="1"/>
    </xf>
    <xf numFmtId="165" fontId="13" fillId="2" borderId="0" xfId="0" applyNumberFormat="1" applyFont="1" applyFill="1" applyAlignment="1">
      <alignment horizontal="left" vertical="center" wrapText="1" indent="1"/>
    </xf>
    <xf numFmtId="0" fontId="103" fillId="43" borderId="0" xfId="70" applyFont="1" applyFill="1" applyAlignment="1">
      <alignment vertical="center"/>
    </xf>
    <xf numFmtId="3" fontId="128" fillId="2" borderId="0" xfId="70" applyNumberFormat="1" applyFont="1" applyFill="1" applyAlignment="1">
      <alignment vertical="center"/>
    </xf>
    <xf numFmtId="3" fontId="128" fillId="43" borderId="0" xfId="1" applyNumberFormat="1" applyFont="1" applyFill="1" applyAlignment="1">
      <alignment vertical="center"/>
    </xf>
    <xf numFmtId="166" fontId="95" fillId="2" borderId="0" xfId="1" applyNumberFormat="1" applyFont="1" applyFill="1"/>
    <xf numFmtId="3" fontId="128" fillId="2" borderId="0" xfId="1" applyNumberFormat="1" applyFont="1" applyFill="1" applyAlignment="1">
      <alignment vertical="center"/>
    </xf>
    <xf numFmtId="3" fontId="128" fillId="43" borderId="0" xfId="70" applyNumberFormat="1" applyFont="1" applyFill="1" applyAlignment="1">
      <alignment vertical="center"/>
    </xf>
    <xf numFmtId="0" fontId="95" fillId="43" borderId="0" xfId="70" applyFont="1" applyFill="1"/>
    <xf numFmtId="4" fontId="128" fillId="2" borderId="0" xfId="70" applyNumberFormat="1" applyFont="1" applyFill="1" applyAlignment="1">
      <alignment vertical="center"/>
    </xf>
    <xf numFmtId="0" fontId="128" fillId="43" borderId="0" xfId="70" applyFont="1" applyFill="1" applyAlignment="1">
      <alignment vertical="center"/>
    </xf>
    <xf numFmtId="0" fontId="129" fillId="2" borderId="0" xfId="2" applyFont="1" applyFill="1"/>
    <xf numFmtId="0" fontId="103" fillId="43" borderId="0" xfId="2" applyFont="1" applyFill="1" applyAlignment="1">
      <alignment horizontal="right" vertical="center"/>
    </xf>
    <xf numFmtId="0" fontId="142" fillId="43" borderId="0" xfId="2" applyFont="1" applyFill="1" applyAlignment="1">
      <alignment horizontal="right" vertical="center" wrapText="1"/>
    </xf>
    <xf numFmtId="0" fontId="142" fillId="43" borderId="0" xfId="2" applyFont="1" applyFill="1" applyAlignment="1">
      <alignment horizontal="right" vertical="center"/>
    </xf>
    <xf numFmtId="0" fontId="123" fillId="43" borderId="0" xfId="2" applyFont="1" applyFill="1" applyAlignment="1">
      <alignment vertical="center"/>
    </xf>
    <xf numFmtId="168" fontId="124" fillId="2" borderId="1" xfId="1" applyNumberFormat="1" applyFont="1" applyFill="1" applyBorder="1" applyAlignment="1">
      <alignment vertical="center"/>
    </xf>
    <xf numFmtId="168" fontId="129" fillId="43" borderId="0" xfId="1" applyNumberFormat="1" applyFont="1" applyFill="1"/>
    <xf numFmtId="168" fontId="129" fillId="43" borderId="0" xfId="1" applyNumberFormat="1" applyFont="1" applyFill="1" applyAlignment="1">
      <alignment vertical="center"/>
    </xf>
    <xf numFmtId="168" fontId="129" fillId="2" borderId="0" xfId="1" applyNumberFormat="1" applyFont="1" applyFill="1"/>
    <xf numFmtId="168" fontId="129" fillId="2" borderId="0" xfId="1" applyNumberFormat="1" applyFont="1" applyFill="1" applyAlignment="1">
      <alignment vertical="center"/>
    </xf>
    <xf numFmtId="168" fontId="93" fillId="43" borderId="0" xfId="75" applyNumberFormat="1" applyFont="1" applyFill="1" applyBorder="1" applyAlignment="1">
      <alignment horizontal="right"/>
    </xf>
    <xf numFmtId="168" fontId="123" fillId="43" borderId="0" xfId="1" applyNumberFormat="1" applyFont="1" applyFill="1" applyBorder="1" applyAlignment="1">
      <alignment vertical="center"/>
    </xf>
    <xf numFmtId="168" fontId="123" fillId="2" borderId="1" xfId="7" applyNumberFormat="1" applyFont="1" applyFill="1" applyBorder="1" applyAlignment="1">
      <alignment vertical="center"/>
    </xf>
    <xf numFmtId="168" fontId="123" fillId="2" borderId="17" xfId="7" applyNumberFormat="1" applyFont="1" applyFill="1" applyBorder="1" applyAlignment="1">
      <alignment vertical="center"/>
    </xf>
    <xf numFmtId="168" fontId="128" fillId="43" borderId="0" xfId="1" applyNumberFormat="1" applyFont="1" applyFill="1"/>
    <xf numFmtId="168" fontId="128" fillId="2" borderId="0" xfId="1" applyNumberFormat="1" applyFont="1" applyFill="1"/>
    <xf numFmtId="165" fontId="123" fillId="2" borderId="0" xfId="2" applyNumberFormat="1" applyFont="1" applyFill="1"/>
    <xf numFmtId="3" fontId="93" fillId="43" borderId="0" xfId="75" applyNumberFormat="1" applyFont="1" applyFill="1" applyBorder="1" applyAlignment="1">
      <alignment horizontal="right"/>
    </xf>
    <xf numFmtId="3" fontId="123" fillId="43" borderId="0" xfId="75" applyNumberFormat="1" applyFont="1" applyFill="1" applyBorder="1" applyAlignment="1">
      <alignment horizontal="right" vertical="center"/>
    </xf>
    <xf numFmtId="3" fontId="93" fillId="2" borderId="0" xfId="75" applyNumberFormat="1" applyFont="1" applyFill="1" applyBorder="1" applyAlignment="1">
      <alignment horizontal="right"/>
    </xf>
    <xf numFmtId="3" fontId="124" fillId="2" borderId="15" xfId="1" applyNumberFormat="1" applyFont="1" applyFill="1" applyBorder="1" applyAlignment="1">
      <alignment vertical="center"/>
    </xf>
    <xf numFmtId="168" fontId="124" fillId="2" borderId="15" xfId="1" applyNumberFormat="1" applyFont="1" applyFill="1" applyBorder="1" applyAlignment="1">
      <alignment vertical="center"/>
    </xf>
    <xf numFmtId="1" fontId="95" fillId="2" borderId="0" xfId="70" applyNumberFormat="1" applyFont="1" applyFill="1"/>
    <xf numFmtId="169" fontId="95" fillId="2" borderId="0" xfId="77" applyFont="1" applyFill="1" applyBorder="1" applyAlignment="1">
      <alignment vertical="center"/>
    </xf>
    <xf numFmtId="3" fontId="95" fillId="2" borderId="0" xfId="70" applyNumberFormat="1" applyFont="1" applyFill="1"/>
    <xf numFmtId="0" fontId="103" fillId="2" borderId="0" xfId="2" applyFont="1" applyFill="1" applyAlignment="1">
      <alignment horizontal="right" vertical="center"/>
    </xf>
    <xf numFmtId="0" fontId="142" fillId="2" borderId="0" xfId="2" applyFont="1" applyFill="1" applyAlignment="1">
      <alignment horizontal="right" vertical="center" wrapText="1"/>
    </xf>
    <xf numFmtId="165" fontId="95" fillId="2" borderId="0" xfId="70" applyNumberFormat="1" applyFont="1" applyFill="1"/>
    <xf numFmtId="168" fontId="95" fillId="2" borderId="0" xfId="70" applyNumberFormat="1" applyFont="1" applyFill="1"/>
    <xf numFmtId="167" fontId="143" fillId="2" borderId="0" xfId="10" applyNumberFormat="1" applyFont="1" applyFill="1"/>
    <xf numFmtId="166" fontId="95" fillId="2" borderId="0" xfId="10" applyNumberFormat="1" applyFont="1" applyFill="1" applyAlignment="1"/>
    <xf numFmtId="2" fontId="95" fillId="2" borderId="0" xfId="70" applyNumberFormat="1" applyFont="1" applyFill="1"/>
    <xf numFmtId="166" fontId="143" fillId="2" borderId="0" xfId="10" applyNumberFormat="1" applyFont="1" applyFill="1"/>
    <xf numFmtId="0" fontId="95" fillId="2" borderId="0" xfId="70" applyFont="1" applyFill="1" applyAlignment="1"/>
    <xf numFmtId="0" fontId="93" fillId="43" borderId="0" xfId="2" applyFont="1" applyFill="1"/>
    <xf numFmtId="0" fontId="94" fillId="2" borderId="0" xfId="2" applyFont="1" applyFill="1"/>
    <xf numFmtId="166" fontId="93" fillId="43" borderId="0" xfId="1" applyNumberFormat="1" applyFont="1" applyFill="1"/>
    <xf numFmtId="166" fontId="93" fillId="2" borderId="0" xfId="1" applyNumberFormat="1" applyFont="1" applyFill="1"/>
    <xf numFmtId="166" fontId="93" fillId="43" borderId="0" xfId="1" applyNumberFormat="1" applyFont="1" applyFill="1" applyAlignment="1">
      <alignment horizontal="left" indent="2"/>
    </xf>
    <xf numFmtId="166" fontId="93" fillId="2" borderId="0" xfId="1" applyNumberFormat="1" applyFont="1" applyFill="1" applyAlignment="1">
      <alignment horizontal="left" indent="2"/>
    </xf>
    <xf numFmtId="0" fontId="93" fillId="2" borderId="0" xfId="2" applyFont="1" applyFill="1" applyAlignment="1">
      <alignment horizontal="left" indent="2"/>
    </xf>
    <xf numFmtId="0" fontId="93" fillId="43" borderId="0" xfId="2" applyFont="1" applyFill="1" applyAlignment="1">
      <alignment horizontal="left" indent="2"/>
    </xf>
    <xf numFmtId="0" fontId="93" fillId="2" borderId="0" xfId="2" applyFont="1" applyFill="1"/>
    <xf numFmtId="0" fontId="94" fillId="43" borderId="0" xfId="2" applyFont="1" applyFill="1"/>
    <xf numFmtId="0" fontId="94" fillId="43" borderId="0" xfId="2" applyFont="1" applyFill="1" applyBorder="1"/>
    <xf numFmtId="0" fontId="93" fillId="43" borderId="0" xfId="70" applyFont="1" applyFill="1"/>
    <xf numFmtId="0" fontId="83" fillId="2" borderId="0" xfId="70" applyFont="1" applyFill="1"/>
    <xf numFmtId="0" fontId="92" fillId="2" borderId="0" xfId="2" applyFont="1" applyFill="1"/>
    <xf numFmtId="169" fontId="145" fillId="43" borderId="0" xfId="2" applyNumberFormat="1" applyFont="1" applyFill="1" applyAlignment="1" applyProtection="1">
      <alignment horizontal="left"/>
    </xf>
    <xf numFmtId="169" fontId="145" fillId="2" borderId="0" xfId="2" applyNumberFormat="1" applyFont="1" applyFill="1" applyAlignment="1" applyProtection="1">
      <alignment horizontal="left"/>
    </xf>
    <xf numFmtId="0" fontId="145" fillId="43" borderId="0" xfId="2" applyFont="1" applyFill="1" applyBorder="1" applyAlignment="1" applyProtection="1">
      <alignment horizontal="left"/>
    </xf>
    <xf numFmtId="0" fontId="144" fillId="41" borderId="0" xfId="5" applyFont="1" applyFill="1" applyAlignment="1">
      <alignment vertical="center"/>
    </xf>
    <xf numFmtId="0" fontId="103" fillId="2" borderId="0" xfId="79" applyFont="1" applyFill="1" applyAlignment="1">
      <alignment horizontal="right" vertical="center"/>
    </xf>
    <xf numFmtId="0" fontId="94" fillId="42" borderId="0" xfId="79" applyFont="1" applyFill="1" applyAlignment="1">
      <alignment vertical="center"/>
    </xf>
    <xf numFmtId="0" fontId="94" fillId="2" borderId="0" xfId="79" applyFont="1" applyFill="1" applyAlignment="1">
      <alignment horizontal="right" vertical="center"/>
    </xf>
    <xf numFmtId="3" fontId="123" fillId="42" borderId="0" xfId="79" applyNumberFormat="1" applyFont="1" applyFill="1" applyBorder="1" applyAlignment="1">
      <alignment horizontal="right" vertical="center"/>
    </xf>
    <xf numFmtId="3" fontId="123" fillId="2" borderId="0" xfId="79" applyNumberFormat="1" applyFont="1" applyFill="1" applyBorder="1" applyAlignment="1">
      <alignment horizontal="right" vertical="center"/>
    </xf>
    <xf numFmtId="168" fontId="123" fillId="42" borderId="0" xfId="79" applyNumberFormat="1" applyFont="1" applyFill="1" applyBorder="1" applyAlignment="1">
      <alignment horizontal="right" vertical="center"/>
    </xf>
    <xf numFmtId="3" fontId="123" fillId="2" borderId="0" xfId="1" applyNumberFormat="1" applyFont="1" applyFill="1" applyBorder="1" applyAlignment="1">
      <alignment horizontal="right" vertical="center"/>
    </xf>
    <xf numFmtId="166" fontId="103" fillId="2" borderId="0" xfId="1" applyNumberFormat="1" applyFont="1" applyFill="1" applyBorder="1" applyAlignment="1">
      <alignment horizontal="right" vertical="center"/>
    </xf>
    <xf numFmtId="165" fontId="128" fillId="2" borderId="0" xfId="80" applyNumberFormat="1" applyFont="1" applyFill="1" applyBorder="1" applyAlignment="1">
      <alignment horizontal="right"/>
    </xf>
    <xf numFmtId="0" fontId="95" fillId="2" borderId="0" xfId="80" applyFont="1" applyFill="1" applyBorder="1"/>
    <xf numFmtId="1" fontId="95" fillId="2" borderId="0" xfId="80" applyNumberFormat="1" applyFont="1" applyFill="1" applyBorder="1" applyAlignment="1">
      <alignment horizontal="right"/>
    </xf>
    <xf numFmtId="0" fontId="95" fillId="2" borderId="0" xfId="80" applyFont="1" applyFill="1" applyAlignment="1">
      <alignment horizontal="right"/>
    </xf>
    <xf numFmtId="0" fontId="95" fillId="2" borderId="0" xfId="80" applyFont="1" applyFill="1"/>
    <xf numFmtId="164" fontId="95" fillId="2" borderId="0" xfId="1" applyFont="1" applyFill="1" applyAlignment="1">
      <alignment horizontal="right"/>
    </xf>
    <xf numFmtId="1" fontId="95" fillId="2" borderId="0" xfId="80" applyNumberFormat="1" applyFont="1" applyFill="1" applyAlignment="1">
      <alignment horizontal="right"/>
    </xf>
    <xf numFmtId="1" fontId="95" fillId="2" borderId="0" xfId="80" applyNumberFormat="1" applyFont="1" applyFill="1"/>
    <xf numFmtId="3" fontId="95" fillId="2" borderId="0" xfId="80" applyNumberFormat="1" applyFont="1" applyFill="1" applyAlignment="1">
      <alignment horizontal="right"/>
    </xf>
    <xf numFmtId="0" fontId="95" fillId="0" borderId="0" xfId="80" applyFont="1" applyFill="1" applyAlignment="1">
      <alignment horizontal="right"/>
    </xf>
    <xf numFmtId="0" fontId="95" fillId="0" borderId="0" xfId="80" applyFont="1" applyFill="1"/>
    <xf numFmtId="0" fontId="8" fillId="42" borderId="0" xfId="79" applyFont="1" applyFill="1" applyAlignment="1">
      <alignment horizontal="left" vertical="center" indent="1"/>
    </xf>
    <xf numFmtId="0" fontId="8" fillId="2" borderId="0" xfId="79" applyFont="1" applyFill="1" applyAlignment="1">
      <alignment horizontal="left" vertical="center" indent="1"/>
    </xf>
    <xf numFmtId="0" fontId="6" fillId="42" borderId="0" xfId="79" applyFont="1" applyFill="1" applyAlignment="1">
      <alignment horizontal="left" vertical="center" indent="1"/>
    </xf>
    <xf numFmtId="0" fontId="103" fillId="42" borderId="0" xfId="2" applyFont="1" applyFill="1" applyAlignment="1">
      <alignment vertical="center"/>
    </xf>
    <xf numFmtId="165" fontId="128" fillId="2" borderId="0" xfId="2" applyNumberFormat="1" applyFont="1" applyFill="1" applyAlignment="1">
      <alignment vertical="center"/>
    </xf>
    <xf numFmtId="0" fontId="128" fillId="2" borderId="0" xfId="2" applyFont="1" applyFill="1" applyAlignment="1">
      <alignment vertical="center"/>
    </xf>
    <xf numFmtId="0" fontId="83" fillId="42" borderId="0" xfId="2" applyFont="1" applyFill="1" applyAlignment="1">
      <alignment vertical="center"/>
    </xf>
    <xf numFmtId="165" fontId="128" fillId="42" borderId="0" xfId="2" applyNumberFormat="1" applyFont="1" applyFill="1" applyAlignment="1">
      <alignment vertical="center"/>
    </xf>
    <xf numFmtId="0" fontId="128" fillId="42" borderId="0" xfId="2" applyFont="1" applyFill="1" applyAlignment="1">
      <alignment vertical="center"/>
    </xf>
    <xf numFmtId="2" fontId="128" fillId="2" borderId="0" xfId="2" applyNumberFormat="1" applyFont="1" applyFill="1" applyAlignment="1">
      <alignment horizontal="right" vertical="center"/>
    </xf>
    <xf numFmtId="2" fontId="128" fillId="2" borderId="0" xfId="2" applyNumberFormat="1" applyFont="1" applyFill="1" applyAlignment="1">
      <alignment vertical="center"/>
    </xf>
    <xf numFmtId="0" fontId="149" fillId="41" borderId="0" xfId="2" applyFont="1" applyFill="1" applyAlignment="1">
      <alignment vertical="center"/>
    </xf>
    <xf numFmtId="0" fontId="149" fillId="41" borderId="0" xfId="5" applyFont="1" applyFill="1" applyAlignment="1">
      <alignment vertical="center"/>
    </xf>
    <xf numFmtId="0" fontId="92" fillId="2" borderId="0" xfId="0" applyFont="1" applyFill="1" applyAlignment="1">
      <alignment horizontal="left" vertical="center"/>
    </xf>
    <xf numFmtId="0" fontId="94" fillId="2" borderId="0" xfId="0" applyFont="1" applyFill="1" applyBorder="1" applyAlignment="1">
      <alignment vertical="center"/>
    </xf>
    <xf numFmtId="0" fontId="94" fillId="2" borderId="0" xfId="0" applyFont="1" applyFill="1" applyBorder="1" applyAlignment="1">
      <alignment horizontal="right"/>
    </xf>
    <xf numFmtId="0" fontId="94" fillId="2" borderId="0" xfId="0" applyFont="1" applyFill="1" applyBorder="1"/>
    <xf numFmtId="0" fontId="92" fillId="43" borderId="0" xfId="0" applyFont="1" applyFill="1" applyAlignment="1">
      <alignment vertical="center"/>
    </xf>
    <xf numFmtId="0" fontId="92" fillId="43" borderId="0" xfId="0" applyFont="1" applyFill="1" applyBorder="1" applyAlignment="1">
      <alignment vertical="center"/>
    </xf>
    <xf numFmtId="0" fontId="123" fillId="43" borderId="0" xfId="0" applyFont="1" applyFill="1" applyBorder="1" applyAlignment="1">
      <alignment vertical="center"/>
    </xf>
    <xf numFmtId="0" fontId="93" fillId="2" borderId="0" xfId="0" applyFont="1" applyFill="1" applyBorder="1" applyAlignment="1">
      <alignment horizontal="left" vertical="center" indent="1"/>
    </xf>
    <xf numFmtId="167" fontId="128" fillId="2" borderId="0" xfId="1" applyNumberFormat="1" applyFont="1" applyFill="1" applyAlignment="1">
      <alignment vertical="center"/>
    </xf>
    <xf numFmtId="166" fontId="128" fillId="2" borderId="0" xfId="1" applyNumberFormat="1" applyFont="1" applyFill="1" applyBorder="1" applyAlignment="1">
      <alignment vertical="center"/>
    </xf>
    <xf numFmtId="0" fontId="98" fillId="43" borderId="0" xfId="0" applyFont="1" applyFill="1" applyAlignment="1">
      <alignment vertical="center"/>
    </xf>
    <xf numFmtId="0" fontId="145" fillId="2" borderId="0" xfId="0" applyFont="1" applyFill="1" applyBorder="1" applyAlignment="1">
      <alignment horizontal="left" vertical="center" indent="1"/>
    </xf>
    <xf numFmtId="0" fontId="145" fillId="2" borderId="2" xfId="0" applyFont="1" applyFill="1" applyBorder="1" applyAlignment="1">
      <alignment horizontal="left" vertical="center" indent="1"/>
    </xf>
    <xf numFmtId="166" fontId="128" fillId="2" borderId="2" xfId="1" applyNumberFormat="1" applyFont="1" applyFill="1" applyBorder="1" applyAlignment="1">
      <alignment vertical="center"/>
    </xf>
    <xf numFmtId="0" fontId="95" fillId="43" borderId="0" xfId="0" applyFont="1" applyFill="1" applyAlignment="1">
      <alignment horizontal="right" vertical="center"/>
    </xf>
    <xf numFmtId="0" fontId="123" fillId="43" borderId="0" xfId="0" applyFont="1" applyFill="1"/>
    <xf numFmtId="0" fontId="123" fillId="43" borderId="0" xfId="0" applyFont="1" applyFill="1" applyBorder="1"/>
    <xf numFmtId="3" fontId="93" fillId="2" borderId="0" xfId="0" applyNumberFormat="1" applyFont="1" applyFill="1" applyAlignment="1">
      <alignment horizontal="right" vertical="center"/>
    </xf>
    <xf numFmtId="3" fontId="94" fillId="43" borderId="0" xfId="1" applyNumberFormat="1" applyFont="1" applyFill="1" applyAlignment="1">
      <alignment horizontal="right" vertical="center"/>
    </xf>
    <xf numFmtId="3" fontId="93" fillId="2" borderId="0" xfId="0" applyNumberFormat="1" applyFont="1" applyFill="1"/>
    <xf numFmtId="3" fontId="93" fillId="2" borderId="0" xfId="0" applyNumberFormat="1" applyFont="1" applyFill="1" applyBorder="1" applyAlignment="1">
      <alignment horizontal="right" vertical="center"/>
    </xf>
    <xf numFmtId="3" fontId="93" fillId="2" borderId="0" xfId="0" applyNumberFormat="1" applyFont="1" applyFill="1" applyBorder="1"/>
    <xf numFmtId="3" fontId="94" fillId="43" borderId="0" xfId="1" applyNumberFormat="1" applyFont="1" applyFill="1" applyBorder="1" applyAlignment="1">
      <alignment horizontal="right" vertical="center"/>
    </xf>
    <xf numFmtId="0" fontId="93" fillId="2" borderId="2" xfId="0" applyFont="1" applyFill="1" applyBorder="1" applyAlignment="1">
      <alignment horizontal="left" vertical="center" indent="1"/>
    </xf>
    <xf numFmtId="3" fontId="93" fillId="2" borderId="2" xfId="0" applyNumberFormat="1" applyFont="1" applyFill="1" applyBorder="1"/>
    <xf numFmtId="165" fontId="123" fillId="2" borderId="0" xfId="0" applyNumberFormat="1" applyFont="1" applyFill="1"/>
    <xf numFmtId="0" fontId="24" fillId="2" borderId="0" xfId="0" applyFont="1" applyFill="1" applyBorder="1" applyAlignment="1">
      <alignment vertical="center"/>
    </xf>
    <xf numFmtId="0" fontId="128" fillId="2" borderId="4" xfId="5" applyFont="1" applyFill="1" applyBorder="1" applyAlignment="1">
      <alignment horizontal="left" vertical="center" indent="1"/>
    </xf>
    <xf numFmtId="0" fontId="94" fillId="42" borderId="4" xfId="5" applyFont="1" applyFill="1" applyBorder="1" applyAlignment="1">
      <alignment horizontal="left" vertical="center" indent="1"/>
    </xf>
    <xf numFmtId="0" fontId="93" fillId="42" borderId="4" xfId="5" applyFont="1" applyFill="1" applyBorder="1" applyAlignment="1">
      <alignment horizontal="left" vertical="center" indent="1"/>
    </xf>
    <xf numFmtId="3" fontId="128" fillId="42" borderId="4" xfId="2" applyNumberFormat="1" applyFont="1" applyFill="1" applyBorder="1" applyAlignment="1">
      <alignment horizontal="right" vertical="center"/>
    </xf>
    <xf numFmtId="3" fontId="129" fillId="42" borderId="4" xfId="2" applyNumberFormat="1" applyFont="1" applyFill="1" applyBorder="1" applyAlignment="1">
      <alignment horizontal="right" vertical="center"/>
    </xf>
    <xf numFmtId="0" fontId="26" fillId="2" borderId="0" xfId="2" applyFont="1" applyFill="1" applyAlignment="1">
      <alignment horizontal="left" vertical="center" indent="1"/>
    </xf>
    <xf numFmtId="0" fontId="149" fillId="41" borderId="0" xfId="2" applyFont="1" applyFill="1" applyAlignment="1">
      <alignment horizontal="left" vertical="center"/>
    </xf>
    <xf numFmtId="3" fontId="12" fillId="2" borderId="0" xfId="0" applyNumberFormat="1" applyFont="1" applyFill="1" applyAlignment="1">
      <alignment vertical="center"/>
    </xf>
    <xf numFmtId="3" fontId="12" fillId="42" borderId="0" xfId="0" applyNumberFormat="1" applyFont="1" applyFill="1" applyAlignment="1">
      <alignment vertical="center"/>
    </xf>
    <xf numFmtId="0" fontId="4" fillId="41" borderId="0" xfId="2" applyFont="1" applyFill="1" applyAlignment="1">
      <alignment vertical="center"/>
    </xf>
    <xf numFmtId="0" fontId="148" fillId="41" borderId="0" xfId="0" applyFont="1" applyFill="1" applyBorder="1" applyAlignment="1" applyProtection="1">
      <alignment horizontal="left" vertical="center"/>
      <protection hidden="1"/>
    </xf>
    <xf numFmtId="166" fontId="94" fillId="42" borderId="0" xfId="1" applyNumberFormat="1" applyFont="1" applyFill="1" applyAlignment="1">
      <alignment horizontal="center" vertical="center"/>
    </xf>
    <xf numFmtId="0" fontId="148" fillId="41" borderId="0" xfId="5" applyFont="1" applyFill="1" applyAlignment="1">
      <alignment horizontal="left" vertical="center"/>
    </xf>
    <xf numFmtId="0" fontId="149" fillId="41" borderId="0" xfId="5" applyFont="1" applyFill="1" applyAlignment="1">
      <alignment horizontal="left" vertical="center"/>
    </xf>
    <xf numFmtId="0" fontId="0" fillId="0" borderId="0" xfId="0" applyAlignment="1">
      <alignment horizontal="left" wrapText="1"/>
    </xf>
    <xf numFmtId="0" fontId="149" fillId="41" borderId="0" xfId="2" applyFont="1" applyFill="1" applyAlignment="1">
      <alignment horizontal="left" vertical="center"/>
    </xf>
    <xf numFmtId="0" fontId="94" fillId="2" borderId="0" xfId="70" applyFont="1" applyFill="1" applyBorder="1" applyAlignment="1">
      <alignment horizontal="left" vertical="center"/>
    </xf>
    <xf numFmtId="0" fontId="94" fillId="43" borderId="0" xfId="70" applyFont="1" applyFill="1" applyBorder="1" applyAlignment="1">
      <alignment horizontal="left" vertical="center"/>
    </xf>
    <xf numFmtId="0" fontId="94" fillId="43" borderId="0" xfId="2" applyFont="1" applyFill="1" applyAlignment="1">
      <alignment horizontal="left" vertical="center"/>
    </xf>
    <xf numFmtId="0" fontId="31" fillId="2" borderId="0" xfId="0" applyFont="1" applyFill="1" applyAlignment="1">
      <alignment horizontal="right" vertical="center" wrapText="1"/>
    </xf>
    <xf numFmtId="3" fontId="12" fillId="2" borderId="0" xfId="0" applyNumberFormat="1" applyFont="1" applyFill="1" applyAlignment="1">
      <alignment vertical="center"/>
    </xf>
    <xf numFmtId="0" fontId="7" fillId="2" borderId="0" xfId="0" applyFont="1" applyFill="1" applyAlignment="1">
      <alignment horizontal="right" vertical="center" wrapText="1"/>
    </xf>
    <xf numFmtId="3" fontId="12" fillId="42" borderId="0" xfId="0" applyNumberFormat="1" applyFont="1" applyFill="1" applyAlignment="1">
      <alignment vertical="center"/>
    </xf>
    <xf numFmtId="0" fontId="31" fillId="2" borderId="0" xfId="0" applyFont="1" applyFill="1" applyAlignment="1">
      <alignment horizontal="center" vertical="center" wrapText="1"/>
    </xf>
    <xf numFmtId="0" fontId="116" fillId="2" borderId="0" xfId="0" applyFont="1" applyFill="1" applyAlignment="1">
      <alignment horizontal="left" vertical="center" wrapText="1"/>
    </xf>
    <xf numFmtId="0" fontId="63" fillId="2" borderId="0" xfId="0" applyFont="1" applyFill="1" applyBorder="1" applyAlignment="1">
      <alignment horizontal="left" vertical="center" wrapText="1"/>
    </xf>
    <xf numFmtId="0" fontId="63" fillId="2" borderId="16" xfId="0" applyFont="1" applyFill="1" applyBorder="1" applyAlignment="1">
      <alignment horizontal="left" vertical="center" wrapText="1"/>
    </xf>
    <xf numFmtId="0" fontId="63" fillId="2" borderId="0" xfId="0" applyFont="1" applyFill="1" applyBorder="1" applyAlignment="1">
      <alignment horizontal="left" vertical="center"/>
    </xf>
  </cellXfs>
  <cellStyles count="89">
    <cellStyle name="1" xfId="2"/>
    <cellStyle name="1 3" xfId="5"/>
    <cellStyle name="1_Indicators2007 2" xfId="79"/>
    <cellStyle name="20% - Accent1 2" xfId="12"/>
    <cellStyle name="20% - Accent2 2" xfId="13"/>
    <cellStyle name="20% - Accent3 2" xfId="14"/>
    <cellStyle name="20% - Accent4 2" xfId="15"/>
    <cellStyle name="20% - Accent5 2" xfId="16"/>
    <cellStyle name="20% - Accent6 2" xfId="17"/>
    <cellStyle name="40% - Accent1 2" xfId="18"/>
    <cellStyle name="40% - Accent2 2" xfId="19"/>
    <cellStyle name="40% - Accent3 2" xfId="20"/>
    <cellStyle name="40% - Accent4 2" xfId="21"/>
    <cellStyle name="40% - Accent5 2" xfId="22"/>
    <cellStyle name="40% - Accent6 2" xfId="23"/>
    <cellStyle name="60% - Accent1 2" xfId="24"/>
    <cellStyle name="60% - Accent2 2" xfId="25"/>
    <cellStyle name="60% - Accent3 2" xfId="26"/>
    <cellStyle name="60% - Accent4 2" xfId="27"/>
    <cellStyle name="60% - Accent5 2" xfId="28"/>
    <cellStyle name="60% - Accent6 2" xfId="29"/>
    <cellStyle name="Accent1 2" xfId="30"/>
    <cellStyle name="Accent2 2" xfId="31"/>
    <cellStyle name="Accent3 2" xfId="32"/>
    <cellStyle name="Accent4 2" xfId="33"/>
    <cellStyle name="Accent5 2" xfId="34"/>
    <cellStyle name="Accent6 2" xfId="35"/>
    <cellStyle name="Bad 2" xfId="36"/>
    <cellStyle name="Calculation 2" xfId="37"/>
    <cellStyle name="Check Cell 2" xfId="38"/>
    <cellStyle name="Comma" xfId="1" builtinId="3"/>
    <cellStyle name="Comma 2" xfId="10"/>
    <cellStyle name="Comma 2 2" xfId="83"/>
    <cellStyle name="Comma 3" xfId="7"/>
    <cellStyle name="Comma 3 2" xfId="39"/>
    <cellStyle name="Comma 3 3" xfId="84"/>
    <cellStyle name="Comma 4" xfId="73"/>
    <cellStyle name="Explanatory Text 2" xfId="40"/>
    <cellStyle name="Good 2" xfId="41"/>
    <cellStyle name="Heading 1 2" xfId="42"/>
    <cellStyle name="Heading 2 2" xfId="43"/>
    <cellStyle name="Heading 3 2" xfId="44"/>
    <cellStyle name="Heading 4 2" xfId="45"/>
    <cellStyle name="Input 2" xfId="46"/>
    <cellStyle name="Linked Cell 2" xfId="47"/>
    <cellStyle name="Neutral 2" xfId="48"/>
    <cellStyle name="Normal" xfId="0" builtinId="0"/>
    <cellStyle name="Normal - Style1" xfId="49"/>
    <cellStyle name="Normal 10" xfId="50"/>
    <cellStyle name="Normal 11" xfId="51"/>
    <cellStyle name="Normal 12" xfId="52"/>
    <cellStyle name="Normal 13" xfId="11"/>
    <cellStyle name="Normal 14" xfId="66"/>
    <cellStyle name="Normal 15" xfId="67"/>
    <cellStyle name="Normal 17" xfId="68"/>
    <cellStyle name="Normal 2" xfId="8"/>
    <cellStyle name="Normal 2 2" xfId="53"/>
    <cellStyle name="Normal 2 2 2" xfId="69"/>
    <cellStyle name="Normal 2 2 3" xfId="80"/>
    <cellStyle name="Normal 2 2 4" xfId="82"/>
    <cellStyle name="Normal 2 2 5" xfId="87"/>
    <cellStyle name="Normal 2 3" xfId="88"/>
    <cellStyle name="Normal 3" xfId="54"/>
    <cellStyle name="Normal 3 2" xfId="86"/>
    <cellStyle name="Normal 3 3" xfId="85"/>
    <cellStyle name="Normal 4" xfId="55"/>
    <cellStyle name="Normal 5" xfId="6"/>
    <cellStyle name="Normal 5 2" xfId="3"/>
    <cellStyle name="Normal 6" xfId="56"/>
    <cellStyle name="Normal 7" xfId="57"/>
    <cellStyle name="Normal 8" xfId="58"/>
    <cellStyle name="Normal 9" xfId="9"/>
    <cellStyle name="Normal 9 2" xfId="59"/>
    <cellStyle name="Normal_13 Public Finance_done" xfId="74"/>
    <cellStyle name="Normal_17 Prices_done_14 - Money and Banking" xfId="81"/>
    <cellStyle name="Normal_3 Population." xfId="4"/>
    <cellStyle name="Normal_Finance - XI" xfId="76"/>
    <cellStyle name="Normal_Fish &amp;  Agri - 8" xfId="71"/>
    <cellStyle name="Normal_Indicators" xfId="70"/>
    <cellStyle name="Normal_XII-1 (Commerce)" xfId="75"/>
    <cellStyle name="Normal_XII-13(Commerce)" xfId="77"/>
    <cellStyle name="Normal_XII-3 (Commerce)" xfId="72"/>
    <cellStyle name="Note 2" xfId="60"/>
    <cellStyle name="Output 2" xfId="61"/>
    <cellStyle name="Percent" xfId="78" builtinId="5"/>
    <cellStyle name="Percent 2" xfId="62"/>
    <cellStyle name="Title 2" xfId="63"/>
    <cellStyle name="Total 2" xfId="64"/>
    <cellStyle name="Warning Text 2" xfId="65"/>
  </cellStyles>
  <dxfs count="0"/>
  <tableStyles count="0" defaultTableStyle="TableStyleMedium2" defaultPivotStyle="PivotStyleLight16"/>
  <colors>
    <mruColors>
      <color rgb="FFC8F4F2"/>
      <color rgb="FF249390"/>
      <color rgb="FFFFBD5D"/>
      <color rgb="FF33CCCC"/>
      <color rgb="FF196563"/>
      <color rgb="FFEAFAFA"/>
      <color rgb="FFE0F9F8"/>
      <color rgb="FFDDDDDD"/>
      <color rgb="FFFF9900"/>
      <color rgb="FF66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1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20.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2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28.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3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7536065686124043E-2"/>
          <c:y val="0.2233879067003417"/>
          <c:w val="0.83305086769592007"/>
          <c:h val="0.67401501453338286"/>
        </c:manualLayout>
      </c:layout>
      <c:lineChart>
        <c:grouping val="standard"/>
        <c:varyColors val="0"/>
        <c:ser>
          <c:idx val="1"/>
          <c:order val="0"/>
          <c:tx>
            <c:strRef>
              <c:f>'1 Geo'!$A$16</c:f>
              <c:strCache>
                <c:ptCount val="1"/>
                <c:pt idx="0">
                  <c:v>    Annual Rainfall (millimeters)</c:v>
                </c:pt>
              </c:strCache>
            </c:strRef>
          </c:tx>
          <c:spPr>
            <a:ln w="34925" cap="rnd">
              <a:solidFill>
                <a:srgbClr val="249390"/>
              </a:solidFill>
              <a:round/>
            </a:ln>
            <a:effectLst>
              <a:outerShdw blurRad="40000" dist="23000" dir="5400000" rotWithShape="0">
                <a:srgbClr val="000000">
                  <a:alpha val="35000"/>
                </a:srgbClr>
              </a:outerShdw>
            </a:effectLst>
          </c:spPr>
          <c:marker>
            <c:symbol val="none"/>
          </c:marker>
          <c:cat>
            <c:numRef>
              <c:f>'1 Geo'!$O$14:$Y$14</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'1 Geo'!$O$16:$Y$16</c:f>
              <c:numCache>
                <c:formatCode>_(* #,##0_);_(* \(#,##0\);_(* "-"??_);_(@_)</c:formatCode>
                <c:ptCount val="11"/>
                <c:pt idx="0">
                  <c:v>2017.8999999999999</c:v>
                </c:pt>
                <c:pt idx="1">
                  <c:v>1333.3</c:v>
                </c:pt>
                <c:pt idx="2">
                  <c:v>1664.1</c:v>
                </c:pt>
                <c:pt idx="3">
                  <c:v>2081.8000000000002</c:v>
                </c:pt>
                <c:pt idx="4">
                  <c:v>1996</c:v>
                </c:pt>
                <c:pt idx="5">
                  <c:v>2173.6</c:v>
                </c:pt>
                <c:pt idx="6">
                  <c:v>2204.6999999999998</c:v>
                </c:pt>
                <c:pt idx="7">
                  <c:v>1664.4</c:v>
                </c:pt>
                <c:pt idx="8">
                  <c:v>2121.1</c:v>
                </c:pt>
                <c:pt idx="9">
                  <c:v>2183.4</c:v>
                </c:pt>
                <c:pt idx="10">
                  <c:v>1826.3000000000002</c:v>
                </c:pt>
              </c:numCache>
            </c:numRef>
          </c:val>
          <c:smooth val="1"/>
          <c:extLst xmlns:c16r2="http://schemas.microsoft.com/office/drawing/2015/06/chart">
            <c:ext xmlns:c16="http://schemas.microsoft.com/office/drawing/2014/chart" uri="{C3380CC4-5D6E-409C-BE32-E72D297353CC}">
              <c16:uniqueId val="{00000000-A8CB-4D68-8C3A-E3AA3B2D7556}"/>
            </c:ext>
          </c:extLst>
        </c:ser>
        <c:dLbls>
          <c:showLegendKey val="0"/>
          <c:showVal val="0"/>
          <c:showCatName val="0"/>
          <c:showSerName val="0"/>
          <c:showPercent val="0"/>
          <c:showBubbleSize val="0"/>
        </c:dLbls>
        <c:marker val="1"/>
        <c:smooth val="0"/>
        <c:axId val="495691112"/>
        <c:axId val="495689152"/>
      </c:lineChart>
      <c:lineChart>
        <c:grouping val="standard"/>
        <c:varyColors val="0"/>
        <c:ser>
          <c:idx val="0"/>
          <c:order val="1"/>
          <c:tx>
            <c:strRef>
              <c:f>'1 Geo'!$A$17</c:f>
              <c:strCache>
                <c:ptCount val="1"/>
                <c:pt idx="0">
                  <c:v>    Total duration of sunshine (hours)</c:v>
                </c:pt>
              </c:strCache>
            </c:strRef>
          </c:tx>
          <c:spPr>
            <a:ln w="34925" cap="rnd">
              <a:solidFill>
                <a:srgbClr val="FF9900"/>
              </a:solidFill>
              <a:round/>
            </a:ln>
            <a:effectLst>
              <a:outerShdw blurRad="57150" dist="19050" dir="5400000" algn="ctr" rotWithShape="0">
                <a:srgbClr val="000000">
                  <a:alpha val="63000"/>
                </a:srgbClr>
              </a:outerShdw>
            </a:effectLst>
          </c:spPr>
          <c:marker>
            <c:symbol val="none"/>
          </c:marker>
          <c:val>
            <c:numRef>
              <c:f>'1 Geo'!$O$17:$Y$17</c:f>
              <c:numCache>
                <c:formatCode>_(* #,##0_);_(* \(#,##0\);_(* "-"??_);_(@_)</c:formatCode>
                <c:ptCount val="11"/>
                <c:pt idx="0">
                  <c:v>2764.6000000000004</c:v>
                </c:pt>
                <c:pt idx="1">
                  <c:v>2934.6000000000004</c:v>
                </c:pt>
                <c:pt idx="2">
                  <c:v>2796.8</c:v>
                </c:pt>
                <c:pt idx="3">
                  <c:v>2796.3</c:v>
                </c:pt>
                <c:pt idx="4">
                  <c:v>2812</c:v>
                </c:pt>
                <c:pt idx="5">
                  <c:v>2926.3</c:v>
                </c:pt>
                <c:pt idx="6">
                  <c:v>2763.8999999999996</c:v>
                </c:pt>
                <c:pt idx="7">
                  <c:v>2972.9</c:v>
                </c:pt>
                <c:pt idx="8">
                  <c:v>2731.7</c:v>
                </c:pt>
                <c:pt idx="9">
                  <c:v>2643.7</c:v>
                </c:pt>
                <c:pt idx="10">
                  <c:v>2732</c:v>
                </c:pt>
              </c:numCache>
            </c:numRef>
          </c:val>
          <c:smooth val="1"/>
          <c:extLst xmlns:c16r2="http://schemas.microsoft.com/office/drawing/2015/06/chart">
            <c:ext xmlns:c16="http://schemas.microsoft.com/office/drawing/2014/chart" uri="{C3380CC4-5D6E-409C-BE32-E72D297353CC}">
              <c16:uniqueId val="{00000001-A8CB-4D68-8C3A-E3AA3B2D7556}"/>
            </c:ext>
          </c:extLst>
        </c:ser>
        <c:dLbls>
          <c:showLegendKey val="0"/>
          <c:showVal val="0"/>
          <c:showCatName val="0"/>
          <c:showSerName val="0"/>
          <c:showPercent val="0"/>
          <c:showBubbleSize val="0"/>
        </c:dLbls>
        <c:marker val="1"/>
        <c:smooth val="0"/>
        <c:axId val="495683664"/>
        <c:axId val="495687192"/>
      </c:lineChart>
      <c:catAx>
        <c:axId val="4956911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crossAx val="495689152"/>
        <c:crosses val="autoZero"/>
        <c:auto val="0"/>
        <c:lblAlgn val="ctr"/>
        <c:lblOffset val="100"/>
        <c:tickLblSkip val="1"/>
        <c:tickMarkSkip val="1"/>
        <c:noMultiLvlLbl val="0"/>
      </c:catAx>
      <c:valAx>
        <c:axId val="495689152"/>
        <c:scaling>
          <c:orientation val="minMax"/>
          <c:max val="4000"/>
        </c:scaling>
        <c:delete val="0"/>
        <c:axPos val="l"/>
        <c:majorGridlines>
          <c:spPr>
            <a:ln w="9525" cap="flat" cmpd="sng" algn="ctr">
              <a:solidFill>
                <a:srgbClr val="C8F4F2"/>
              </a:solidFill>
              <a:round/>
            </a:ln>
            <a:effectLst/>
          </c:spPr>
        </c:majorGridlines>
        <c:title>
          <c:tx>
            <c:rich>
              <a:bodyPr rot="0" spcFirstLastPara="1" vertOverflow="ellipsis" wrap="square" anchor="ctr" anchorCtr="1"/>
              <a:lstStyle/>
              <a:p>
                <a:pPr>
                  <a:defRPr sz="800" b="1" i="0" u="none" strike="noStrike" kern="1200" cap="all" baseline="0">
                    <a:solidFill>
                      <a:schemeClr val="tx1"/>
                    </a:solidFill>
                    <a:latin typeface="+mn-lt"/>
                    <a:ea typeface="+mn-ea"/>
                    <a:cs typeface="+mn-cs"/>
                  </a:defRPr>
                </a:pPr>
                <a:r>
                  <a:rPr lang="en-US" sz="800">
                    <a:solidFill>
                      <a:schemeClr val="tx1"/>
                    </a:solidFill>
                  </a:rPr>
                  <a:t>rainfall ( in mm)</a:t>
                </a:r>
              </a:p>
            </c:rich>
          </c:tx>
          <c:layout>
            <c:manualLayout>
              <c:xMode val="edge"/>
              <c:yMode val="edge"/>
              <c:x val="9.9354599216713892E-3"/>
              <c:y val="0.14113514263687901"/>
            </c:manualLayout>
          </c:layout>
          <c:overlay val="0"/>
          <c:spPr>
            <a:noFill/>
            <a:ln>
              <a:noFill/>
            </a:ln>
            <a:effectLst/>
          </c:spPr>
          <c:txPr>
            <a:bodyPr rot="0" spcFirstLastPara="1" vertOverflow="ellipsis" wrap="square" anchor="ctr" anchorCtr="1"/>
            <a:lstStyle/>
            <a:p>
              <a:pPr>
                <a:defRPr sz="800" b="1" i="0" u="none" strike="noStrike" kern="1200" cap="all" baseline="0">
                  <a:solidFill>
                    <a:schemeClr val="tx1"/>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crossAx val="495691112"/>
        <c:crosses val="autoZero"/>
        <c:crossBetween val="between"/>
        <c:majorUnit val="1000"/>
        <c:minorUnit val="500"/>
      </c:valAx>
      <c:catAx>
        <c:axId val="495683664"/>
        <c:scaling>
          <c:orientation val="minMax"/>
        </c:scaling>
        <c:delete val="1"/>
        <c:axPos val="b"/>
        <c:numFmt formatCode="General" sourceLinked="1"/>
        <c:majorTickMark val="none"/>
        <c:minorTickMark val="none"/>
        <c:tickLblPos val="nextTo"/>
        <c:crossAx val="495687192"/>
        <c:crosses val="autoZero"/>
        <c:auto val="0"/>
        <c:lblAlgn val="ctr"/>
        <c:lblOffset val="100"/>
        <c:noMultiLvlLbl val="0"/>
      </c:catAx>
      <c:valAx>
        <c:axId val="495687192"/>
        <c:scaling>
          <c:orientation val="minMax"/>
          <c:max val="4000"/>
          <c:min val="0"/>
        </c:scaling>
        <c:delete val="0"/>
        <c:axPos val="r"/>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crossAx val="495683664"/>
        <c:crosses val="max"/>
        <c:crossBetween val="between"/>
        <c:majorUnit val="1000"/>
      </c:valAx>
      <c:spPr>
        <a:solidFill>
          <a:srgbClr val="EAFAFA"/>
        </a:solidFill>
        <a:ln>
          <a:solidFill>
            <a:srgbClr val="C8F4F2"/>
          </a:solidFill>
        </a:ln>
        <a:effectLst/>
      </c:spPr>
    </c:plotArea>
    <c:legend>
      <c:legendPos val="b"/>
      <c:layout>
        <c:manualLayout>
          <c:xMode val="edge"/>
          <c:yMode val="edge"/>
          <c:x val="0.10405528414789417"/>
          <c:y val="0.76080978556925671"/>
          <c:w val="0.78698556021147592"/>
          <c:h val="9.336164929591271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a:solidFill>
        <a:schemeClr val="bg1">
          <a:lumMod val="50000"/>
        </a:schemeClr>
      </a:solidFill>
    </a:ln>
    <a:effectLst/>
  </c:spPr>
  <c:txPr>
    <a:bodyPr/>
    <a:lstStyle/>
    <a:p>
      <a:pPr>
        <a:defRPr/>
      </a:pPr>
      <a:endParaRPr lang="en-US"/>
    </a:p>
  </c:txPr>
  <c:printSettings>
    <c:headerFooter alignWithMargins="0">
      <c:oddHeader>&amp;A</c:oddHeader>
      <c:oddFooter>Page &amp;P</c:oddFooter>
    </c:headerFooter>
    <c:pageMargins b="1" l="0.75" r="0.75" t="1" header="0.5" footer="0.5"/>
    <c:pageSetup orientation="landscape" horizontalDpi="300" verticalDpi="300"/>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ndara" panose="020E0502030303020204" pitchFamily="34" charset="0"/>
                <a:ea typeface="+mn-ea"/>
                <a:cs typeface="+mn-cs"/>
              </a:defRPr>
            </a:pPr>
            <a:r>
              <a:rPr lang="en-US" sz="1100" b="1" i="0" baseline="0">
                <a:effectLst/>
                <a:latin typeface="Candara" panose="020E0502030303020204" pitchFamily="34" charset="0"/>
              </a:rPr>
              <a:t>Annual average daily temperature, 2010 - 2020</a:t>
            </a:r>
            <a:endParaRPr lang="en-US">
              <a:effectLst/>
              <a:latin typeface="Candara" panose="020E0502030303020204" pitchFamily="34" charset="0"/>
            </a:endParaRPr>
          </a:p>
        </c:rich>
      </c:tx>
      <c:layout>
        <c:manualLayout>
          <c:xMode val="edge"/>
          <c:yMode val="edge"/>
          <c:x val="0.21525339320440567"/>
          <c:y val="2.66359226203494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ndara" panose="020E0502030303020204" pitchFamily="34" charset="0"/>
              <a:ea typeface="+mn-ea"/>
              <a:cs typeface="+mn-cs"/>
            </a:defRPr>
          </a:pPr>
          <a:endParaRPr lang="en-US"/>
        </a:p>
      </c:txPr>
    </c:title>
    <c:autoTitleDeleted val="0"/>
    <c:plotArea>
      <c:layout>
        <c:manualLayout>
          <c:layoutTarget val="inner"/>
          <c:xMode val="edge"/>
          <c:yMode val="edge"/>
          <c:x val="8.2197414412345113E-2"/>
          <c:y val="0.12701558082032019"/>
          <c:w val="0.89473194107307275"/>
          <c:h val="0.76714078254415929"/>
        </c:manualLayout>
      </c:layout>
      <c:barChart>
        <c:barDir val="col"/>
        <c:grouping val="clustered"/>
        <c:varyColors val="0"/>
        <c:ser>
          <c:idx val="0"/>
          <c:order val="0"/>
          <c:tx>
            <c:v> maximum</c:v>
          </c:tx>
          <c:spPr>
            <a:solidFill>
              <a:srgbClr val="FF9900"/>
            </a:solidFill>
            <a:ln>
              <a:noFill/>
            </a:ln>
            <a:effectLst/>
          </c:spPr>
          <c:invertIfNegative val="0"/>
          <c:cat>
            <c:numRef>
              <c:f>'1 Geo'!$O$14:$Y$14</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'1 Geo'!$O$19:$Y$19</c:f>
              <c:numCache>
                <c:formatCode>_(* #,##0.0_);_(* \(#,##0.0\);_(* "-"??_);_(@_)</c:formatCode>
                <c:ptCount val="11"/>
                <c:pt idx="0">
                  <c:v>30.88661802355351</c:v>
                </c:pt>
                <c:pt idx="1">
                  <c:v>30.909690860215051</c:v>
                </c:pt>
                <c:pt idx="2">
                  <c:v>31.2</c:v>
                </c:pt>
                <c:pt idx="3">
                  <c:v>31.2</c:v>
                </c:pt>
                <c:pt idx="4">
                  <c:v>31.3</c:v>
                </c:pt>
                <c:pt idx="5">
                  <c:v>31.3</c:v>
                </c:pt>
                <c:pt idx="6">
                  <c:v>31.2</c:v>
                </c:pt>
                <c:pt idx="7">
                  <c:v>31.125210573476704</c:v>
                </c:pt>
                <c:pt idx="8">
                  <c:v>30.988287890424989</c:v>
                </c:pt>
                <c:pt idx="9">
                  <c:v>31.456913082437271</c:v>
                </c:pt>
                <c:pt idx="10">
                  <c:v>31.724655790384379</c:v>
                </c:pt>
              </c:numCache>
            </c:numRef>
          </c:val>
          <c:extLst xmlns:c16r2="http://schemas.microsoft.com/office/drawing/2015/06/chart">
            <c:ext xmlns:c16="http://schemas.microsoft.com/office/drawing/2014/chart" uri="{C3380CC4-5D6E-409C-BE32-E72D297353CC}">
              <c16:uniqueId val="{00000000-DB52-489F-8263-7BEA37F233F2}"/>
            </c:ext>
          </c:extLst>
        </c:ser>
        <c:ser>
          <c:idx val="1"/>
          <c:order val="1"/>
          <c:tx>
            <c:v>minimum</c:v>
          </c:tx>
          <c:spPr>
            <a:solidFill>
              <a:srgbClr val="33CCCC"/>
            </a:solidFill>
            <a:ln>
              <a:noFill/>
            </a:ln>
            <a:effectLst/>
          </c:spPr>
          <c:invertIfNegative val="0"/>
          <c:cat>
            <c:numRef>
              <c:f>'1 Geo'!$O$14:$Y$14</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'1 Geo'!$O$20:$Y$20</c:f>
              <c:numCache>
                <c:formatCode>_(* #,##0.0_);_(* \(#,##0.0\);_(* "-"??_);_(@_)</c:formatCode>
                <c:ptCount val="11"/>
                <c:pt idx="0">
                  <c:v>26.4696121351767</c:v>
                </c:pt>
                <c:pt idx="1">
                  <c:v>26.3509472606247</c:v>
                </c:pt>
                <c:pt idx="2">
                  <c:v>26.4</c:v>
                </c:pt>
                <c:pt idx="3">
                  <c:v>26.3</c:v>
                </c:pt>
                <c:pt idx="4">
                  <c:v>25.8</c:v>
                </c:pt>
                <c:pt idx="5">
                  <c:v>26.5</c:v>
                </c:pt>
                <c:pt idx="6">
                  <c:v>26.6</c:v>
                </c:pt>
                <c:pt idx="7">
                  <c:v>26.602403353814648</c:v>
                </c:pt>
                <c:pt idx="8">
                  <c:v>26.392532002048128</c:v>
                </c:pt>
                <c:pt idx="9">
                  <c:v>26.730381464413725</c:v>
                </c:pt>
                <c:pt idx="10">
                  <c:v>26.749106723519962</c:v>
                </c:pt>
              </c:numCache>
            </c:numRef>
          </c:val>
          <c:extLst xmlns:c16r2="http://schemas.microsoft.com/office/drawing/2015/06/chart">
            <c:ext xmlns:c16="http://schemas.microsoft.com/office/drawing/2014/chart" uri="{C3380CC4-5D6E-409C-BE32-E72D297353CC}">
              <c16:uniqueId val="{00000001-DB52-489F-8263-7BEA37F233F2}"/>
            </c:ext>
          </c:extLst>
        </c:ser>
        <c:dLbls>
          <c:showLegendKey val="0"/>
          <c:showVal val="0"/>
          <c:showCatName val="0"/>
          <c:showSerName val="0"/>
          <c:showPercent val="0"/>
          <c:showBubbleSize val="0"/>
        </c:dLbls>
        <c:gapWidth val="150"/>
        <c:axId val="495685624"/>
        <c:axId val="495684840"/>
      </c:barChart>
      <c:catAx>
        <c:axId val="495685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684840"/>
        <c:crosses val="autoZero"/>
        <c:auto val="1"/>
        <c:lblAlgn val="ctr"/>
        <c:lblOffset val="100"/>
        <c:noMultiLvlLbl val="0"/>
      </c:catAx>
      <c:valAx>
        <c:axId val="495684840"/>
        <c:scaling>
          <c:orientation val="minMax"/>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685624"/>
        <c:crosses val="autoZero"/>
        <c:crossBetween val="between"/>
      </c:valAx>
      <c:spPr>
        <a:solidFill>
          <a:srgbClr val="EAFAFA"/>
        </a:solidFill>
        <a:ln>
          <a:solidFill>
            <a:srgbClr val="C8F4F2"/>
          </a:solidFill>
        </a:ln>
        <a:effectLst/>
      </c:spPr>
    </c:plotArea>
    <c:legend>
      <c:legendPos val="b"/>
      <c:layout>
        <c:manualLayout>
          <c:xMode val="edge"/>
          <c:yMode val="edge"/>
          <c:x val="0.30897086114038463"/>
          <c:y val="0.14331771328988632"/>
          <c:w val="0.30861335278481949"/>
          <c:h val="5.531787946892952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Average relative humidity, 2020</a:t>
            </a:r>
            <a:endParaRPr lang="en-US" sz="1100">
              <a:effectLst/>
            </a:endParaRPr>
          </a:p>
        </c:rich>
      </c:tx>
      <c:layout>
        <c:manualLayout>
          <c:xMode val="edge"/>
          <c:yMode val="edge"/>
          <c:x val="0.34980580489650542"/>
          <c:y val="5.5660962978487057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5699048022847196E-2"/>
          <c:y val="0.18767864698837136"/>
          <c:w val="0.88896995608724916"/>
          <c:h val="0.70503395039839223"/>
        </c:manualLayout>
      </c:layout>
      <c:barChart>
        <c:barDir val="col"/>
        <c:grouping val="clustered"/>
        <c:varyColors val="0"/>
        <c:ser>
          <c:idx val="0"/>
          <c:order val="0"/>
          <c:spPr>
            <a:solidFill>
              <a:srgbClr val="33CCCC"/>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Geo'!$AN$6:$AN$10</c:f>
              <c:strCache>
                <c:ptCount val="5"/>
                <c:pt idx="0">
                  <c:v>S.Gan</c:v>
                </c:pt>
                <c:pt idx="1">
                  <c:v>HDh.Hanimaadhoo</c:v>
                </c:pt>
                <c:pt idx="2">
                  <c:v>L.Kadhdhoo</c:v>
                </c:pt>
                <c:pt idx="3">
                  <c:v>GDh.Kaadedhdhoo</c:v>
                </c:pt>
                <c:pt idx="4">
                  <c:v>Male'</c:v>
                </c:pt>
              </c:strCache>
            </c:strRef>
          </c:cat>
          <c:val>
            <c:numRef>
              <c:f>'1 Geo'!$AO$6:$AO$10</c:f>
              <c:numCache>
                <c:formatCode>General</c:formatCode>
                <c:ptCount val="5"/>
                <c:pt idx="0">
                  <c:v>81.054134480698721</c:v>
                </c:pt>
                <c:pt idx="1">
                  <c:v>80.958214502739665</c:v>
                </c:pt>
                <c:pt idx="2">
                  <c:v>80.382382431096275</c:v>
                </c:pt>
                <c:pt idx="3">
                  <c:v>80.382382431096275</c:v>
                </c:pt>
                <c:pt idx="4">
                  <c:v>78.097173042063204</c:v>
                </c:pt>
              </c:numCache>
            </c:numRef>
          </c:val>
          <c:extLst xmlns:c16r2="http://schemas.microsoft.com/office/drawing/2015/06/chart">
            <c:ext xmlns:c16="http://schemas.microsoft.com/office/drawing/2014/chart" uri="{C3380CC4-5D6E-409C-BE32-E72D297353CC}">
              <c16:uniqueId val="{00000000-7233-4A3E-AB17-9191977B825F}"/>
            </c:ext>
          </c:extLst>
        </c:ser>
        <c:dLbls>
          <c:showLegendKey val="0"/>
          <c:showVal val="0"/>
          <c:showCatName val="0"/>
          <c:showSerName val="0"/>
          <c:showPercent val="0"/>
          <c:showBubbleSize val="0"/>
        </c:dLbls>
        <c:gapWidth val="66"/>
        <c:overlap val="-27"/>
        <c:axId val="495686408"/>
        <c:axId val="495686800"/>
      </c:barChart>
      <c:catAx>
        <c:axId val="495686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1000" b="0" i="0" u="none" strike="noStrike" kern="1200" baseline="0">
                <a:solidFill>
                  <a:schemeClr val="tx1">
                    <a:lumMod val="65000"/>
                    <a:lumOff val="35000"/>
                  </a:schemeClr>
                </a:solidFill>
                <a:latin typeface="+mn-lt"/>
                <a:ea typeface="+mn-ea"/>
                <a:cs typeface="+mn-cs"/>
              </a:defRPr>
            </a:pPr>
            <a:endParaRPr lang="en-US"/>
          </a:p>
        </c:txPr>
        <c:crossAx val="495686800"/>
        <c:crosses val="autoZero"/>
        <c:auto val="1"/>
        <c:lblAlgn val="ctr"/>
        <c:lblOffset val="100"/>
        <c:noMultiLvlLbl val="0"/>
      </c:catAx>
      <c:valAx>
        <c:axId val="495686800"/>
        <c:scaling>
          <c:orientation val="minMax"/>
          <c:max val="90"/>
          <c:min val="0"/>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686408"/>
        <c:crosses val="autoZero"/>
        <c:crossBetween val="between"/>
      </c:valAx>
      <c:spPr>
        <a:solidFill>
          <a:srgbClr val="EAFAFA"/>
        </a:solidFill>
        <a:ln>
          <a:solidFill>
            <a:srgbClr val="C8F4F2"/>
          </a:solidFill>
        </a:ln>
        <a:effectLst/>
      </c:spPr>
    </c:plotArea>
    <c:plotVisOnly val="1"/>
    <c:dispBlanksAs val="gap"/>
    <c:showDLblsOverMax val="0"/>
  </c:chart>
  <c:spPr>
    <a:no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manualLayout>
          <c:layoutTarget val="inner"/>
          <c:xMode val="edge"/>
          <c:yMode val="edge"/>
          <c:x val="6.3065232903120813E-2"/>
          <c:y val="0.15857856160290387"/>
          <c:w val="0.91413826053937219"/>
          <c:h val="0.73107556677366548"/>
        </c:manualLayout>
      </c:layout>
      <c:lineChart>
        <c:grouping val="standard"/>
        <c:varyColors val="0"/>
        <c:ser>
          <c:idx val="0"/>
          <c:order val="0"/>
          <c:spPr>
            <a:ln w="25400">
              <a:solidFill>
                <a:srgbClr val="196563"/>
              </a:solidFill>
            </a:ln>
          </c:spPr>
          <c:marker>
            <c:spPr>
              <a:solidFill>
                <a:srgbClr val="D3A77B"/>
              </a:solidFill>
              <a:ln>
                <a:solidFill>
                  <a:srgbClr val="996633"/>
                </a:solidFill>
              </a:ln>
            </c:spPr>
          </c:marker>
          <c:cat>
            <c:numRef>
              <c:f>'2 Popu'!$H$2:$V$2</c:f>
              <c:numCache>
                <c:formatCode>0_);\(0\)</c:formatCode>
                <c:ptCount val="11"/>
                <c:pt idx="0">
                  <c:v>2010</c:v>
                </c:pt>
                <c:pt idx="1">
                  <c:v>2011</c:v>
                </c:pt>
                <c:pt idx="2">
                  <c:v>2012</c:v>
                </c:pt>
                <c:pt idx="3">
                  <c:v>2013</c:v>
                </c:pt>
                <c:pt idx="4">
                  <c:v>2014</c:v>
                </c:pt>
                <c:pt idx="5">
                  <c:v>2015</c:v>
                </c:pt>
                <c:pt idx="6">
                  <c:v>2016</c:v>
                </c:pt>
                <c:pt idx="7">
                  <c:v>2017</c:v>
                </c:pt>
                <c:pt idx="8">
                  <c:v>2018</c:v>
                </c:pt>
                <c:pt idx="9">
                  <c:v>2019</c:v>
                </c:pt>
                <c:pt idx="10" formatCode="General">
                  <c:v>2020</c:v>
                </c:pt>
              </c:numCache>
            </c:numRef>
          </c:cat>
          <c:val>
            <c:numRef>
              <c:f>'2 Popu'!$H$9:$V$9</c:f>
              <c:numCache>
                <c:formatCode>General</c:formatCode>
                <c:ptCount val="11"/>
                <c:pt idx="0">
                  <c:v>11</c:v>
                </c:pt>
                <c:pt idx="1">
                  <c:v>9</c:v>
                </c:pt>
                <c:pt idx="2">
                  <c:v>9</c:v>
                </c:pt>
                <c:pt idx="3">
                  <c:v>6</c:v>
                </c:pt>
                <c:pt idx="4">
                  <c:v>8</c:v>
                </c:pt>
                <c:pt idx="5">
                  <c:v>9</c:v>
                </c:pt>
                <c:pt idx="6">
                  <c:v>8</c:v>
                </c:pt>
                <c:pt idx="7">
                  <c:v>10</c:v>
                </c:pt>
                <c:pt idx="8">
                  <c:v>7</c:v>
                </c:pt>
                <c:pt idx="9">
                  <c:v>7</c:v>
                </c:pt>
                <c:pt idx="10">
                  <c:v>7</c:v>
                </c:pt>
              </c:numCache>
            </c:numRef>
          </c:val>
          <c:smooth val="1"/>
          <c:extLst xmlns:c16r2="http://schemas.microsoft.com/office/drawing/2015/06/chart">
            <c:ext xmlns:c16="http://schemas.microsoft.com/office/drawing/2014/chart" uri="{C3380CC4-5D6E-409C-BE32-E72D297353CC}">
              <c16:uniqueId val="{0000000A-CEDE-4181-AE94-B0593B2AA7C1}"/>
            </c:ext>
          </c:extLst>
        </c:ser>
        <c:dLbls>
          <c:showLegendKey val="0"/>
          <c:showVal val="0"/>
          <c:showCatName val="0"/>
          <c:showSerName val="0"/>
          <c:showPercent val="0"/>
          <c:showBubbleSize val="0"/>
        </c:dLbls>
        <c:marker val="1"/>
        <c:smooth val="0"/>
        <c:axId val="495684448"/>
        <c:axId val="495689544"/>
      </c:lineChart>
      <c:catAx>
        <c:axId val="495684448"/>
        <c:scaling>
          <c:orientation val="minMax"/>
        </c:scaling>
        <c:delete val="0"/>
        <c:axPos val="b"/>
        <c:numFmt formatCode="0_);\(0\)" sourceLinked="1"/>
        <c:majorTickMark val="none"/>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495689544"/>
        <c:crosses val="autoZero"/>
        <c:auto val="1"/>
        <c:lblAlgn val="ctr"/>
        <c:lblOffset val="100"/>
        <c:tickLblSkip val="1"/>
        <c:tickMarkSkip val="1"/>
        <c:noMultiLvlLbl val="0"/>
      </c:catAx>
      <c:valAx>
        <c:axId val="495689544"/>
        <c:scaling>
          <c:orientation val="minMax"/>
        </c:scaling>
        <c:delete val="0"/>
        <c:axPos val="l"/>
        <c:majorGridlines>
          <c:spPr>
            <a:ln w="3175">
              <a:solidFill>
                <a:srgbClr val="33CCCC"/>
              </a:solidFill>
              <a:prstDash val="sysDot"/>
            </a:ln>
          </c:spPr>
        </c:majorGridlines>
        <c:title>
          <c:tx>
            <c:rich>
              <a:bodyPr rot="0" vert="horz"/>
              <a:lstStyle/>
              <a:p>
                <a:pPr algn="ctr">
                  <a:defRPr sz="900" b="1" i="0" u="none" strike="noStrike" baseline="0">
                    <a:solidFill>
                      <a:srgbClr val="000000"/>
                    </a:solidFill>
                    <a:latin typeface="Calibri"/>
                    <a:ea typeface="Calibri"/>
                    <a:cs typeface="Calibri"/>
                  </a:defRPr>
                </a:pPr>
                <a:r>
                  <a:rPr lang="en-US" sz="900"/>
                  <a:t>Per 1000 live births</a:t>
                </a:r>
              </a:p>
            </c:rich>
          </c:tx>
          <c:layout>
            <c:manualLayout>
              <c:xMode val="edge"/>
              <c:yMode val="edge"/>
              <c:x val="8.0216584621075285E-3"/>
              <c:y val="6.25254231884982E-2"/>
            </c:manualLayout>
          </c:layout>
          <c:overlay val="0"/>
          <c:spPr>
            <a:noFill/>
            <a:ln w="25400">
              <a:noFill/>
            </a:ln>
          </c:spPr>
        </c:title>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95684448"/>
        <c:crosses val="autoZero"/>
        <c:crossBetween val="between"/>
      </c:valAx>
      <c:spPr>
        <a:solidFill>
          <a:srgbClr val="EAFAFA"/>
        </a:solidFill>
        <a:ln>
          <a:solidFill>
            <a:srgbClr val="33CCCC"/>
          </a:solid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orientation="landscape"/>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100421241024066E-2"/>
          <c:y val="0.14364199185722451"/>
          <c:w val="0.89380341974239874"/>
          <c:h val="0.74505511987320361"/>
        </c:manualLayout>
      </c:layout>
      <c:barChart>
        <c:barDir val="col"/>
        <c:grouping val="clustered"/>
        <c:varyColors val="0"/>
        <c:ser>
          <c:idx val="0"/>
          <c:order val="0"/>
          <c:tx>
            <c:strRef>
              <c:f>'2 Popu'!$A$7</c:f>
              <c:strCache>
                <c:ptCount val="1"/>
                <c:pt idx="0">
                  <c:v>Births</c:v>
                </c:pt>
              </c:strCache>
            </c:strRef>
          </c:tx>
          <c:spPr>
            <a:solidFill>
              <a:srgbClr val="33CCCC"/>
            </a:solidFill>
          </c:spPr>
          <c:invertIfNegative val="0"/>
          <c:cat>
            <c:numRef>
              <c:f>'2 Popu'!$L$2:$V$2</c:f>
              <c:numCache>
                <c:formatCode>0_);\(0\)</c:formatCode>
                <c:ptCount val="11"/>
                <c:pt idx="0">
                  <c:v>2010</c:v>
                </c:pt>
                <c:pt idx="1">
                  <c:v>2011</c:v>
                </c:pt>
                <c:pt idx="2">
                  <c:v>2012</c:v>
                </c:pt>
                <c:pt idx="3">
                  <c:v>2013</c:v>
                </c:pt>
                <c:pt idx="4">
                  <c:v>2014</c:v>
                </c:pt>
                <c:pt idx="5">
                  <c:v>2015</c:v>
                </c:pt>
                <c:pt idx="6">
                  <c:v>2016</c:v>
                </c:pt>
                <c:pt idx="7">
                  <c:v>2017</c:v>
                </c:pt>
                <c:pt idx="8">
                  <c:v>2018</c:v>
                </c:pt>
                <c:pt idx="9">
                  <c:v>2019</c:v>
                </c:pt>
                <c:pt idx="10" formatCode="General">
                  <c:v>2020</c:v>
                </c:pt>
              </c:numCache>
            </c:numRef>
          </c:cat>
          <c:val>
            <c:numRef>
              <c:f>'2 Popu'!$L$7:$V$7</c:f>
              <c:numCache>
                <c:formatCode>_(* #,##0_);_(* \(#,##0\);_(* "-"??_);_(@_)</c:formatCode>
                <c:ptCount val="11"/>
                <c:pt idx="0">
                  <c:v>7115</c:v>
                </c:pt>
                <c:pt idx="1">
                  <c:v>7182</c:v>
                </c:pt>
                <c:pt idx="2">
                  <c:v>7431</c:v>
                </c:pt>
                <c:pt idx="3">
                  <c:v>7153</c:v>
                </c:pt>
                <c:pt idx="4">
                  <c:v>7245</c:v>
                </c:pt>
                <c:pt idx="5">
                  <c:v>6986</c:v>
                </c:pt>
                <c:pt idx="6">
                  <c:v>6756</c:v>
                </c:pt>
                <c:pt idx="7">
                  <c:v>6723</c:v>
                </c:pt>
                <c:pt idx="8">
                  <c:v>6586</c:v>
                </c:pt>
                <c:pt idx="9">
                  <c:v>6153</c:v>
                </c:pt>
                <c:pt idx="10">
                  <c:v>6293</c:v>
                </c:pt>
              </c:numCache>
            </c:numRef>
          </c:val>
          <c:extLst xmlns:c16r2="http://schemas.microsoft.com/office/drawing/2015/06/chart">
            <c:ext xmlns:c16="http://schemas.microsoft.com/office/drawing/2014/chart" uri="{C3380CC4-5D6E-409C-BE32-E72D297353CC}">
              <c16:uniqueId val="{00000000-1A16-4E38-835B-2FE3ED68CBDA}"/>
            </c:ext>
          </c:extLst>
        </c:ser>
        <c:ser>
          <c:idx val="1"/>
          <c:order val="1"/>
          <c:tx>
            <c:strRef>
              <c:f>'2 Popu'!$A$8</c:f>
              <c:strCache>
                <c:ptCount val="1"/>
                <c:pt idx="0">
                  <c:v>Deaths</c:v>
                </c:pt>
              </c:strCache>
            </c:strRef>
          </c:tx>
          <c:spPr>
            <a:solidFill>
              <a:srgbClr val="FFC000"/>
            </a:solidFill>
          </c:spPr>
          <c:invertIfNegative val="0"/>
          <c:cat>
            <c:numRef>
              <c:f>'2 Popu'!$L$2:$V$2</c:f>
              <c:numCache>
                <c:formatCode>0_);\(0\)</c:formatCode>
                <c:ptCount val="11"/>
                <c:pt idx="0">
                  <c:v>2010</c:v>
                </c:pt>
                <c:pt idx="1">
                  <c:v>2011</c:v>
                </c:pt>
                <c:pt idx="2">
                  <c:v>2012</c:v>
                </c:pt>
                <c:pt idx="3">
                  <c:v>2013</c:v>
                </c:pt>
                <c:pt idx="4">
                  <c:v>2014</c:v>
                </c:pt>
                <c:pt idx="5">
                  <c:v>2015</c:v>
                </c:pt>
                <c:pt idx="6">
                  <c:v>2016</c:v>
                </c:pt>
                <c:pt idx="7">
                  <c:v>2017</c:v>
                </c:pt>
                <c:pt idx="8">
                  <c:v>2018</c:v>
                </c:pt>
                <c:pt idx="9">
                  <c:v>2019</c:v>
                </c:pt>
                <c:pt idx="10" formatCode="General">
                  <c:v>2020</c:v>
                </c:pt>
              </c:numCache>
            </c:numRef>
          </c:cat>
          <c:val>
            <c:numRef>
              <c:f>'2 Popu'!$L$8:$V$8</c:f>
              <c:numCache>
                <c:formatCode>_(* #,##0_);_(* \(#,##0\);_(* "-"??_);_(@_)</c:formatCode>
                <c:ptCount val="11"/>
                <c:pt idx="0">
                  <c:v>1105</c:v>
                </c:pt>
                <c:pt idx="1">
                  <c:v>1137</c:v>
                </c:pt>
                <c:pt idx="2">
                  <c:v>1135</c:v>
                </c:pt>
                <c:pt idx="3">
                  <c:v>1120</c:v>
                </c:pt>
                <c:pt idx="4">
                  <c:v>1143</c:v>
                </c:pt>
                <c:pt idx="5">
                  <c:v>1130</c:v>
                </c:pt>
                <c:pt idx="6">
                  <c:v>1226</c:v>
                </c:pt>
                <c:pt idx="7">
                  <c:v>1241</c:v>
                </c:pt>
                <c:pt idx="8">
                  <c:v>1300</c:v>
                </c:pt>
                <c:pt idx="9">
                  <c:v>1132</c:v>
                </c:pt>
                <c:pt idx="10">
                  <c:v>1275</c:v>
                </c:pt>
              </c:numCache>
            </c:numRef>
          </c:val>
          <c:extLst xmlns:c16r2="http://schemas.microsoft.com/office/drawing/2015/06/chart">
            <c:ext xmlns:c16="http://schemas.microsoft.com/office/drawing/2014/chart" uri="{C3380CC4-5D6E-409C-BE32-E72D297353CC}">
              <c16:uniqueId val="{00000001-1A16-4E38-835B-2FE3ED68CBDA}"/>
            </c:ext>
          </c:extLst>
        </c:ser>
        <c:dLbls>
          <c:showLegendKey val="0"/>
          <c:showVal val="0"/>
          <c:showCatName val="0"/>
          <c:showSerName val="0"/>
          <c:showPercent val="0"/>
          <c:showBubbleSize val="0"/>
        </c:dLbls>
        <c:gapWidth val="150"/>
        <c:axId val="560644552"/>
        <c:axId val="560645336"/>
      </c:barChart>
      <c:catAx>
        <c:axId val="560644552"/>
        <c:scaling>
          <c:orientation val="minMax"/>
        </c:scaling>
        <c:delete val="0"/>
        <c:axPos val="b"/>
        <c:numFmt formatCode="0_);\(0\)" sourceLinked="1"/>
        <c:majorTickMark val="none"/>
        <c:minorTickMark val="none"/>
        <c:tickLblPos val="nextTo"/>
        <c:crossAx val="560645336"/>
        <c:crosses val="autoZero"/>
        <c:auto val="1"/>
        <c:lblAlgn val="ctr"/>
        <c:lblOffset val="100"/>
        <c:noMultiLvlLbl val="0"/>
      </c:catAx>
      <c:valAx>
        <c:axId val="560645336"/>
        <c:scaling>
          <c:orientation val="minMax"/>
        </c:scaling>
        <c:delete val="0"/>
        <c:axPos val="l"/>
        <c:majorGridlines>
          <c:spPr>
            <a:ln>
              <a:noFill/>
            </a:ln>
          </c:spPr>
        </c:majorGridlines>
        <c:numFmt formatCode="#,##0" sourceLinked="0"/>
        <c:majorTickMark val="none"/>
        <c:minorTickMark val="none"/>
        <c:tickLblPos val="nextTo"/>
        <c:crossAx val="560644552"/>
        <c:crosses val="autoZero"/>
        <c:crossBetween val="between"/>
      </c:valAx>
      <c:spPr>
        <a:solidFill>
          <a:srgbClr val="EAFAFA"/>
        </a:solidFill>
        <a:ln>
          <a:solidFill>
            <a:schemeClr val="bg1">
              <a:lumMod val="75000"/>
            </a:schemeClr>
          </a:solidFill>
        </a:ln>
      </c:spPr>
    </c:plotArea>
    <c:legend>
      <c:legendPos val="r"/>
      <c:layout>
        <c:manualLayout>
          <c:xMode val="edge"/>
          <c:yMode val="edge"/>
          <c:x val="0.7683207105553993"/>
          <c:y val="0.17350814432420639"/>
          <c:w val="0.18738231417459511"/>
          <c:h val="0.11047322655974538"/>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333333"/>
                </a:solidFill>
                <a:latin typeface="Calibri"/>
                <a:ea typeface="Calibri"/>
                <a:cs typeface="Calibri"/>
              </a:defRPr>
            </a:pPr>
            <a:r>
              <a:rPr lang="en-US" sz="800"/>
              <a:t>Figure 3.13: Population Pyramid of</a:t>
            </a:r>
            <a:r>
              <a:rPr lang="en-US" sz="800" baseline="0"/>
              <a:t> </a:t>
            </a:r>
            <a:r>
              <a:rPr lang="en-US" sz="800"/>
              <a:t> Resident Maldivian and Foreigners  in Maldives, 2021 </a:t>
            </a:r>
          </a:p>
        </c:rich>
      </c:tx>
      <c:layout>
        <c:manualLayout>
          <c:xMode val="edge"/>
          <c:yMode val="edge"/>
          <c:x val="0.12281198476723695"/>
          <c:y val="3.6408211173304228E-2"/>
        </c:manualLayout>
      </c:layout>
      <c:overlay val="0"/>
      <c:spPr>
        <a:noFill/>
        <a:ln w="25400">
          <a:noFill/>
        </a:ln>
      </c:spPr>
    </c:title>
    <c:autoTitleDeleted val="0"/>
    <c:plotArea>
      <c:layout>
        <c:manualLayout>
          <c:layoutTarget val="inner"/>
          <c:xMode val="edge"/>
          <c:yMode val="edge"/>
          <c:x val="6.958668795188791E-2"/>
          <c:y val="0.11236303596696279"/>
          <c:w val="0.89809535295920884"/>
          <c:h val="0.80771417550435465"/>
        </c:manualLayout>
      </c:layout>
      <c:barChart>
        <c:barDir val="bar"/>
        <c:grouping val="clustered"/>
        <c:varyColors val="0"/>
        <c:ser>
          <c:idx val="2"/>
          <c:order val="0"/>
          <c:tx>
            <c:strRef>
              <c:f>'[1]3.13'!$AR$5:$AR$6</c:f>
              <c:strCache>
                <c:ptCount val="1"/>
                <c:pt idx="0">
                  <c:v>Residential Maldivian 2021 Male</c:v>
                </c:pt>
              </c:strCache>
            </c:strRef>
          </c:tx>
          <c:spPr>
            <a:solidFill>
              <a:srgbClr val="33CCCC"/>
            </a:solidFill>
            <a:ln w="7620">
              <a:solidFill>
                <a:schemeClr val="bg1"/>
              </a:solidFill>
            </a:ln>
          </c:spPr>
          <c:invertIfNegative val="0"/>
          <c:cat>
            <c:strRef>
              <c:f>'[1]3.13'!$AQ$7:$AQ$22</c:f>
              <c:strCache>
                <c:ptCount val="16"/>
                <c:pt idx="0">
                  <c:v>  0-4</c:v>
                </c:pt>
                <c:pt idx="1">
                  <c:v>  5-9</c:v>
                </c:pt>
                <c:pt idx="2">
                  <c:v> 10-14</c:v>
                </c:pt>
                <c:pt idx="3">
                  <c:v> 15-19</c:v>
                </c:pt>
                <c:pt idx="4">
                  <c:v> 20-24</c:v>
                </c:pt>
                <c:pt idx="5">
                  <c:v> 25-29</c:v>
                </c:pt>
                <c:pt idx="6">
                  <c:v> 30-34</c:v>
                </c:pt>
                <c:pt idx="7">
                  <c:v> 35-39</c:v>
                </c:pt>
                <c:pt idx="8">
                  <c:v> 40-44</c:v>
                </c:pt>
                <c:pt idx="9">
                  <c:v> 45-49</c:v>
                </c:pt>
                <c:pt idx="10">
                  <c:v> 50-54</c:v>
                </c:pt>
                <c:pt idx="11">
                  <c:v> 55-59</c:v>
                </c:pt>
                <c:pt idx="12">
                  <c:v> 60-64</c:v>
                </c:pt>
                <c:pt idx="13">
                  <c:v> 65-69</c:v>
                </c:pt>
                <c:pt idx="14">
                  <c:v> 70-74</c:v>
                </c:pt>
                <c:pt idx="15">
                  <c:v> 75+</c:v>
                </c:pt>
              </c:strCache>
            </c:strRef>
          </c:cat>
          <c:val>
            <c:numRef>
              <c:f>'[1]3.13'!$AR$7:$AR$22</c:f>
              <c:numCache>
                <c:formatCode>General</c:formatCode>
                <c:ptCount val="16"/>
                <c:pt idx="0">
                  <c:v>-19653.598842581639</c:v>
                </c:pt>
                <c:pt idx="1">
                  <c:v>-18841.998070969399</c:v>
                </c:pt>
                <c:pt idx="2">
                  <c:v>-18038.798456775519</c:v>
                </c:pt>
                <c:pt idx="3">
                  <c:v>-14567.301771869137</c:v>
                </c:pt>
                <c:pt idx="4">
                  <c:v>-18968.469354691664</c:v>
                </c:pt>
                <c:pt idx="5">
                  <c:v>-18763.424062945836</c:v>
                </c:pt>
                <c:pt idx="6">
                  <c:v>-18318.569745229473</c:v>
                </c:pt>
                <c:pt idx="7">
                  <c:v>-16462.283405605143</c:v>
                </c:pt>
                <c:pt idx="8">
                  <c:v>-12015.414579685988</c:v>
                </c:pt>
                <c:pt idx="9">
                  <c:v>-9913.5476827974326</c:v>
                </c:pt>
                <c:pt idx="10">
                  <c:v>-8630.4310169193814</c:v>
                </c:pt>
                <c:pt idx="11">
                  <c:v>-7230.5178232964117</c:v>
                </c:pt>
                <c:pt idx="12">
                  <c:v>-6318.5621910002274</c:v>
                </c:pt>
                <c:pt idx="13">
                  <c:v>-3549.3837961429545</c:v>
                </c:pt>
                <c:pt idx="14">
                  <c:v>-2179.794598714318</c:v>
                </c:pt>
                <c:pt idx="15">
                  <c:v>-3981.9980709693991</c:v>
                </c:pt>
              </c:numCache>
            </c:numRef>
          </c:val>
          <c:extLst xmlns:c16r2="http://schemas.microsoft.com/office/drawing/2015/06/chart">
            <c:ext xmlns:c16="http://schemas.microsoft.com/office/drawing/2014/chart" uri="{C3380CC4-5D6E-409C-BE32-E72D297353CC}">
              <c16:uniqueId val="{00000000-A08F-4001-8536-15D10C53EE8F}"/>
            </c:ext>
          </c:extLst>
        </c:ser>
        <c:ser>
          <c:idx val="6"/>
          <c:order val="1"/>
          <c:tx>
            <c:strRef>
              <c:f>'[1]3.13'!$AS$5:$AS$6</c:f>
              <c:strCache>
                <c:ptCount val="1"/>
                <c:pt idx="0">
                  <c:v>Residential Maldivian 2021 Female</c:v>
                </c:pt>
              </c:strCache>
            </c:strRef>
          </c:tx>
          <c:spPr>
            <a:solidFill>
              <a:srgbClr val="FFC000"/>
            </a:solidFill>
            <a:ln w="7620">
              <a:solidFill>
                <a:schemeClr val="bg1"/>
              </a:solidFill>
            </a:ln>
          </c:spPr>
          <c:invertIfNegative val="0"/>
          <c:cat>
            <c:strRef>
              <c:f>'[1]3.13'!$AQ$7:$AQ$22</c:f>
              <c:strCache>
                <c:ptCount val="16"/>
                <c:pt idx="0">
                  <c:v>  0-4</c:v>
                </c:pt>
                <c:pt idx="1">
                  <c:v>  5-9</c:v>
                </c:pt>
                <c:pt idx="2">
                  <c:v> 10-14</c:v>
                </c:pt>
                <c:pt idx="3">
                  <c:v> 15-19</c:v>
                </c:pt>
                <c:pt idx="4">
                  <c:v> 20-24</c:v>
                </c:pt>
                <c:pt idx="5">
                  <c:v> 25-29</c:v>
                </c:pt>
                <c:pt idx="6">
                  <c:v> 30-34</c:v>
                </c:pt>
                <c:pt idx="7">
                  <c:v> 35-39</c:v>
                </c:pt>
                <c:pt idx="8">
                  <c:v> 40-44</c:v>
                </c:pt>
                <c:pt idx="9">
                  <c:v> 45-49</c:v>
                </c:pt>
                <c:pt idx="10">
                  <c:v> 50-54</c:v>
                </c:pt>
                <c:pt idx="11">
                  <c:v> 55-59</c:v>
                </c:pt>
                <c:pt idx="12">
                  <c:v> 60-64</c:v>
                </c:pt>
                <c:pt idx="13">
                  <c:v> 65-69</c:v>
                </c:pt>
                <c:pt idx="14">
                  <c:v> 70-74</c:v>
                </c:pt>
                <c:pt idx="15">
                  <c:v> 75+</c:v>
                </c:pt>
              </c:strCache>
            </c:strRef>
          </c:cat>
          <c:val>
            <c:numRef>
              <c:f>'[1]3.13'!$AS$7:$AS$22</c:f>
              <c:numCache>
                <c:formatCode>General</c:formatCode>
                <c:ptCount val="16"/>
                <c:pt idx="0">
                  <c:v>18119.598842581639</c:v>
                </c:pt>
                <c:pt idx="1">
                  <c:v>17149.19961419388</c:v>
                </c:pt>
                <c:pt idx="2">
                  <c:v>16835.798456775519</c:v>
                </c:pt>
                <c:pt idx="3">
                  <c:v>13002.585339367435</c:v>
                </c:pt>
                <c:pt idx="4">
                  <c:v>14472.938271020779</c:v>
                </c:pt>
                <c:pt idx="5">
                  <c:v>16741.965277449188</c:v>
                </c:pt>
                <c:pt idx="6">
                  <c:v>18679.783024530716</c:v>
                </c:pt>
                <c:pt idx="7">
                  <c:v>17785.792669683717</c:v>
                </c:pt>
                <c:pt idx="8">
                  <c:v>12639.794598714318</c:v>
                </c:pt>
                <c:pt idx="9">
                  <c:v>10450.798456775519</c:v>
                </c:pt>
                <c:pt idx="10">
                  <c:v>9081.9961419387982</c:v>
                </c:pt>
                <c:pt idx="11">
                  <c:v>7641.5988425816395</c:v>
                </c:pt>
                <c:pt idx="12">
                  <c:v>6273.5988425816395</c:v>
                </c:pt>
                <c:pt idx="13">
                  <c:v>3357</c:v>
                </c:pt>
                <c:pt idx="14">
                  <c:v>2222.1996141938798</c:v>
                </c:pt>
                <c:pt idx="15">
                  <c:v>3807.1996141938798</c:v>
                </c:pt>
              </c:numCache>
            </c:numRef>
          </c:val>
          <c:extLst xmlns:c16r2="http://schemas.microsoft.com/office/drawing/2015/06/chart">
            <c:ext xmlns:c16="http://schemas.microsoft.com/office/drawing/2014/chart" uri="{C3380CC4-5D6E-409C-BE32-E72D297353CC}">
              <c16:uniqueId val="{00000001-A08F-4001-8536-15D10C53EE8F}"/>
            </c:ext>
          </c:extLst>
        </c:ser>
        <c:ser>
          <c:idx val="7"/>
          <c:order val="2"/>
          <c:tx>
            <c:strRef>
              <c:f>'[1]3.13'!$AT$5:$AT$6</c:f>
              <c:strCache>
                <c:ptCount val="1"/>
                <c:pt idx="0">
                  <c:v>Resident Foreigners 2021 Male</c:v>
                </c:pt>
              </c:strCache>
            </c:strRef>
          </c:tx>
          <c:spPr>
            <a:noFill/>
            <a:ln>
              <a:solidFill>
                <a:srgbClr val="249390"/>
              </a:solidFill>
            </a:ln>
          </c:spPr>
          <c:invertIfNegative val="0"/>
          <c:cat>
            <c:strRef>
              <c:f>'[1]3.13'!$AQ$7:$AQ$22</c:f>
              <c:strCache>
                <c:ptCount val="16"/>
                <c:pt idx="0">
                  <c:v>  0-4</c:v>
                </c:pt>
                <c:pt idx="1">
                  <c:v>  5-9</c:v>
                </c:pt>
                <c:pt idx="2">
                  <c:v> 10-14</c:v>
                </c:pt>
                <c:pt idx="3">
                  <c:v> 15-19</c:v>
                </c:pt>
                <c:pt idx="4">
                  <c:v> 20-24</c:v>
                </c:pt>
                <c:pt idx="5">
                  <c:v> 25-29</c:v>
                </c:pt>
                <c:pt idx="6">
                  <c:v> 30-34</c:v>
                </c:pt>
                <c:pt idx="7">
                  <c:v> 35-39</c:v>
                </c:pt>
                <c:pt idx="8">
                  <c:v> 40-44</c:v>
                </c:pt>
                <c:pt idx="9">
                  <c:v> 45-49</c:v>
                </c:pt>
                <c:pt idx="10">
                  <c:v> 50-54</c:v>
                </c:pt>
                <c:pt idx="11">
                  <c:v> 55-59</c:v>
                </c:pt>
                <c:pt idx="12">
                  <c:v> 60-64</c:v>
                </c:pt>
                <c:pt idx="13">
                  <c:v> 65-69</c:v>
                </c:pt>
                <c:pt idx="14">
                  <c:v> 70-74</c:v>
                </c:pt>
                <c:pt idx="15">
                  <c:v> 75+</c:v>
                </c:pt>
              </c:strCache>
            </c:strRef>
          </c:cat>
          <c:val>
            <c:numRef>
              <c:f>'[1]3.13'!$AT$7:$AT$22</c:f>
              <c:numCache>
                <c:formatCode>General</c:formatCode>
                <c:ptCount val="16"/>
                <c:pt idx="0">
                  <c:v>-924.62485060178403</c:v>
                </c:pt>
                <c:pt idx="1">
                  <c:v>-535.94486156285018</c:v>
                </c:pt>
                <c:pt idx="2">
                  <c:v>-305.2043868336043</c:v>
                </c:pt>
                <c:pt idx="3">
                  <c:v>-3100.1227821051284</c:v>
                </c:pt>
                <c:pt idx="4">
                  <c:v>-29780.297952413581</c:v>
                </c:pt>
                <c:pt idx="5">
                  <c:v>-48510.091112514026</c:v>
                </c:pt>
                <c:pt idx="6">
                  <c:v>-34027.79818339811</c:v>
                </c:pt>
                <c:pt idx="7">
                  <c:v>-21799.928284217396</c:v>
                </c:pt>
                <c:pt idx="8">
                  <c:v>-13567.541561269449</c:v>
                </c:pt>
                <c:pt idx="9">
                  <c:v>-7747.5254765161826</c:v>
                </c:pt>
                <c:pt idx="10">
                  <c:v>-3662.8756573793116</c:v>
                </c:pt>
                <c:pt idx="11">
                  <c:v>-1443.6715329831309</c:v>
                </c:pt>
                <c:pt idx="12">
                  <c:v>-540.45333359704068</c:v>
                </c:pt>
                <c:pt idx="13">
                  <c:v>-192.69663871311454</c:v>
                </c:pt>
                <c:pt idx="14">
                  <c:v>-91.77459872710034</c:v>
                </c:pt>
                <c:pt idx="15">
                  <c:v>-85.642366765005363</c:v>
                </c:pt>
              </c:numCache>
            </c:numRef>
          </c:val>
          <c:extLst xmlns:c16r2="http://schemas.microsoft.com/office/drawing/2015/06/chart">
            <c:ext xmlns:c16="http://schemas.microsoft.com/office/drawing/2014/chart" uri="{C3380CC4-5D6E-409C-BE32-E72D297353CC}">
              <c16:uniqueId val="{00000002-A08F-4001-8536-15D10C53EE8F}"/>
            </c:ext>
          </c:extLst>
        </c:ser>
        <c:ser>
          <c:idx val="0"/>
          <c:order val="3"/>
          <c:tx>
            <c:strRef>
              <c:f>'[1]3.13'!$AU$5:$AU$6</c:f>
              <c:strCache>
                <c:ptCount val="1"/>
                <c:pt idx="0">
                  <c:v>Resident Foreigners 2021 Female</c:v>
                </c:pt>
              </c:strCache>
            </c:strRef>
          </c:tx>
          <c:spPr>
            <a:noFill/>
            <a:ln>
              <a:solidFill>
                <a:srgbClr val="FF9900"/>
              </a:solidFill>
            </a:ln>
          </c:spPr>
          <c:invertIfNegative val="0"/>
          <c:cat>
            <c:strRef>
              <c:f>'[1]3.13'!$AQ$7:$AQ$22</c:f>
              <c:strCache>
                <c:ptCount val="16"/>
                <c:pt idx="0">
                  <c:v>  0-4</c:v>
                </c:pt>
                <c:pt idx="1">
                  <c:v>  5-9</c:v>
                </c:pt>
                <c:pt idx="2">
                  <c:v> 10-14</c:v>
                </c:pt>
                <c:pt idx="3">
                  <c:v> 15-19</c:v>
                </c:pt>
                <c:pt idx="4">
                  <c:v> 20-24</c:v>
                </c:pt>
                <c:pt idx="5">
                  <c:v> 25-29</c:v>
                </c:pt>
                <c:pt idx="6">
                  <c:v> 30-34</c:v>
                </c:pt>
                <c:pt idx="7">
                  <c:v> 35-39</c:v>
                </c:pt>
                <c:pt idx="8">
                  <c:v> 40-44</c:v>
                </c:pt>
                <c:pt idx="9">
                  <c:v> 45-49</c:v>
                </c:pt>
                <c:pt idx="10">
                  <c:v> 50-54</c:v>
                </c:pt>
                <c:pt idx="11">
                  <c:v> 55-59</c:v>
                </c:pt>
                <c:pt idx="12">
                  <c:v> 60-64</c:v>
                </c:pt>
                <c:pt idx="13">
                  <c:v> 65-69</c:v>
                </c:pt>
                <c:pt idx="14">
                  <c:v> 70-74</c:v>
                </c:pt>
                <c:pt idx="15">
                  <c:v> 75+</c:v>
                </c:pt>
              </c:strCache>
            </c:strRef>
          </c:cat>
          <c:val>
            <c:numRef>
              <c:f>'[1]3.13'!$AU$7:$AU$22</c:f>
              <c:numCache>
                <c:formatCode>General</c:formatCode>
                <c:ptCount val="16"/>
                <c:pt idx="0">
                  <c:v>654.98575209927196</c:v>
                </c:pt>
                <c:pt idx="1">
                  <c:v>309.81212223682661</c:v>
                </c:pt>
                <c:pt idx="2">
                  <c:v>155.96692405774849</c:v>
                </c:pt>
                <c:pt idx="3">
                  <c:v>268.33220420315592</c:v>
                </c:pt>
                <c:pt idx="4">
                  <c:v>1768.5689157368517</c:v>
                </c:pt>
                <c:pt idx="5">
                  <c:v>4339.558146995103</c:v>
                </c:pt>
                <c:pt idx="6">
                  <c:v>3471.6305780861421</c:v>
                </c:pt>
                <c:pt idx="7">
                  <c:v>2312.4214527738513</c:v>
                </c:pt>
                <c:pt idx="8">
                  <c:v>1309.8935777055044</c:v>
                </c:pt>
                <c:pt idx="9">
                  <c:v>858.60295559410304</c:v>
                </c:pt>
                <c:pt idx="10">
                  <c:v>463.46250418330567</c:v>
                </c:pt>
                <c:pt idx="11">
                  <c:v>261.84364295316544</c:v>
                </c:pt>
                <c:pt idx="12">
                  <c:v>114.33115303799846</c:v>
                </c:pt>
                <c:pt idx="13">
                  <c:v>41.570832275550352</c:v>
                </c:pt>
                <c:pt idx="14">
                  <c:v>12.464106420803137</c:v>
                </c:pt>
                <c:pt idx="15">
                  <c:v>6.2417940220315256</c:v>
                </c:pt>
              </c:numCache>
            </c:numRef>
          </c:val>
          <c:extLst xmlns:c16r2="http://schemas.microsoft.com/office/drawing/2015/06/chart">
            <c:ext xmlns:c16="http://schemas.microsoft.com/office/drawing/2014/chart" uri="{C3380CC4-5D6E-409C-BE32-E72D297353CC}">
              <c16:uniqueId val="{00000003-A08F-4001-8536-15D10C53EE8F}"/>
            </c:ext>
          </c:extLst>
        </c:ser>
        <c:dLbls>
          <c:showLegendKey val="0"/>
          <c:showVal val="0"/>
          <c:showCatName val="0"/>
          <c:showSerName val="0"/>
          <c:showPercent val="0"/>
          <c:showBubbleSize val="0"/>
        </c:dLbls>
        <c:gapWidth val="0"/>
        <c:overlap val="100"/>
        <c:axId val="560645728"/>
        <c:axId val="560646512"/>
      </c:barChart>
      <c:catAx>
        <c:axId val="560645728"/>
        <c:scaling>
          <c:orientation val="minMax"/>
        </c:scaling>
        <c:delete val="0"/>
        <c:axPos val="l"/>
        <c:numFmt formatCode="#,##0.00" sourceLinked="0"/>
        <c:majorTickMark val="none"/>
        <c:minorTickMark val="none"/>
        <c:tickLblPos val="low"/>
        <c:spPr>
          <a:noFill/>
          <a:ln w="19050" cap="flat" cmpd="sng" algn="ctr">
            <a:solidFill>
              <a:schemeClr val="bg1">
                <a:lumMod val="65000"/>
              </a:schemeClr>
            </a:solidFill>
            <a:round/>
          </a:ln>
          <a:effectLst/>
        </c:spPr>
        <c:txPr>
          <a:bodyPr rot="0" vert="horz"/>
          <a:lstStyle/>
          <a:p>
            <a:pPr>
              <a:defRPr sz="800" b="0" i="0" u="none" strike="noStrike" baseline="0">
                <a:solidFill>
                  <a:srgbClr val="333333"/>
                </a:solidFill>
                <a:latin typeface="Calibri"/>
                <a:ea typeface="Calibri"/>
                <a:cs typeface="Calibri"/>
              </a:defRPr>
            </a:pPr>
            <a:endParaRPr lang="en-US"/>
          </a:p>
        </c:txPr>
        <c:crossAx val="560646512"/>
        <c:crosses val="autoZero"/>
        <c:auto val="1"/>
        <c:lblAlgn val="ctr"/>
        <c:lblOffset val="50"/>
        <c:noMultiLvlLbl val="0"/>
      </c:catAx>
      <c:valAx>
        <c:axId val="560646512"/>
        <c:scaling>
          <c:orientation val="minMax"/>
          <c:max val="50000"/>
          <c:min val="-50000"/>
        </c:scaling>
        <c:delete val="0"/>
        <c:axPos val="b"/>
        <c:numFmt formatCode="#,##0;[Red]#,##0" sourceLinked="0"/>
        <c:majorTickMark val="none"/>
        <c:minorTickMark val="none"/>
        <c:tickLblPos val="nextTo"/>
        <c:spPr>
          <a:ln w="9525">
            <a:noFill/>
          </a:ln>
        </c:spPr>
        <c:txPr>
          <a:bodyPr rot="0" vert="horz"/>
          <a:lstStyle/>
          <a:p>
            <a:pPr>
              <a:defRPr sz="600" b="0" i="0" u="none" strike="noStrike" baseline="0">
                <a:solidFill>
                  <a:srgbClr val="333333"/>
                </a:solidFill>
                <a:latin typeface="Calibri"/>
                <a:ea typeface="Calibri"/>
                <a:cs typeface="Calibri"/>
              </a:defRPr>
            </a:pPr>
            <a:endParaRPr lang="en-US"/>
          </a:p>
        </c:txPr>
        <c:crossAx val="560645728"/>
        <c:crossesAt val="1"/>
        <c:crossBetween val="between"/>
        <c:majorUnit val="10000"/>
        <c:minorUnit val="2000"/>
      </c:valAx>
      <c:spPr>
        <a:solidFill>
          <a:srgbClr val="EAFAFA"/>
        </a:solidFill>
        <a:ln>
          <a:solidFill>
            <a:schemeClr val="bg1">
              <a:lumMod val="50000"/>
            </a:schemeClr>
          </a:solidFill>
        </a:ln>
        <a:effectLst/>
      </c:spPr>
    </c:plotArea>
    <c:legend>
      <c:legendPos val="b"/>
      <c:layout>
        <c:manualLayout>
          <c:xMode val="edge"/>
          <c:yMode val="edge"/>
          <c:x val="7.186444284840264E-2"/>
          <c:y val="0.27839185261206073"/>
          <c:w val="0.32739426596177312"/>
          <c:h val="0.2239120352674363"/>
        </c:manualLayout>
      </c:layout>
      <c:overlay val="0"/>
      <c:spPr>
        <a:noFill/>
        <a:ln w="25400">
          <a:noFill/>
        </a:ln>
      </c:spPr>
      <c:txPr>
        <a:bodyPr/>
        <a:lstStyle/>
        <a:p>
          <a:pPr>
            <a:defRPr sz="800" b="0" i="0" u="none" strike="noStrike" baseline="0">
              <a:solidFill>
                <a:srgbClr val="333333"/>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0"/>
    <c:plotArea>
      <c:layout>
        <c:manualLayout>
          <c:layoutTarget val="inner"/>
          <c:xMode val="edge"/>
          <c:yMode val="edge"/>
          <c:x val="9.6799231082030243E-2"/>
          <c:y val="0.14744983635193112"/>
          <c:w val="0.87289978189346051"/>
          <c:h val="0.73807559998517513"/>
        </c:manualLayout>
      </c:layout>
      <c:barChart>
        <c:barDir val="col"/>
        <c:grouping val="stacked"/>
        <c:varyColors val="0"/>
        <c:ser>
          <c:idx val="1"/>
          <c:order val="0"/>
          <c:tx>
            <c:strRef>
              <c:f>Eploymt!$B$7</c:f>
              <c:strCache>
                <c:ptCount val="1"/>
                <c:pt idx="0">
                  <c:v>Female</c:v>
                </c:pt>
              </c:strCache>
            </c:strRef>
          </c:tx>
          <c:spPr>
            <a:solidFill>
              <a:srgbClr val="33CCCC"/>
            </a:solidFill>
            <a:ln>
              <a:noFill/>
            </a:ln>
          </c:spPr>
          <c:invertIfNegative val="0"/>
          <c:cat>
            <c:numRef>
              <c:f>Eploymt!$D$3:$N$3</c:f>
              <c:numCache>
                <c:formatCode>0</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Eploymt!$D$7:$N$7</c:f>
              <c:numCache>
                <c:formatCode>#,##0</c:formatCode>
                <c:ptCount val="11"/>
                <c:pt idx="0">
                  <c:v>11381</c:v>
                </c:pt>
                <c:pt idx="1">
                  <c:v>9397</c:v>
                </c:pt>
                <c:pt idx="2">
                  <c:v>9054</c:v>
                </c:pt>
                <c:pt idx="3">
                  <c:v>12988</c:v>
                </c:pt>
                <c:pt idx="4">
                  <c:v>13336</c:v>
                </c:pt>
                <c:pt idx="5">
                  <c:v>13505</c:v>
                </c:pt>
                <c:pt idx="6">
                  <c:v>13620</c:v>
                </c:pt>
                <c:pt idx="7">
                  <c:v>13175</c:v>
                </c:pt>
                <c:pt idx="8">
                  <c:v>14525</c:v>
                </c:pt>
                <c:pt idx="9">
                  <c:v>16079</c:v>
                </c:pt>
                <c:pt idx="10">
                  <c:v>16593</c:v>
                </c:pt>
              </c:numCache>
            </c:numRef>
          </c:val>
          <c:extLst xmlns:c16r2="http://schemas.microsoft.com/office/drawing/2015/06/chart">
            <c:ext xmlns:c16="http://schemas.microsoft.com/office/drawing/2014/chart" uri="{C3380CC4-5D6E-409C-BE32-E72D297353CC}">
              <c16:uniqueId val="{00000002-FE98-4D2E-A3D4-54B6EC1A19EB}"/>
            </c:ext>
          </c:extLst>
        </c:ser>
        <c:ser>
          <c:idx val="0"/>
          <c:order val="1"/>
          <c:tx>
            <c:strRef>
              <c:f>Eploymt!$B$6</c:f>
              <c:strCache>
                <c:ptCount val="1"/>
                <c:pt idx="0">
                  <c:v>Male</c:v>
                </c:pt>
              </c:strCache>
            </c:strRef>
          </c:tx>
          <c:spPr>
            <a:solidFill>
              <a:srgbClr val="FF9900"/>
            </a:solidFill>
            <a:ln>
              <a:noFill/>
            </a:ln>
          </c:spPr>
          <c:invertIfNegative val="0"/>
          <c:cat>
            <c:numRef>
              <c:f>Eploymt!$D$3:$N$3</c:f>
              <c:numCache>
                <c:formatCode>0</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Eploymt!$D$6:$N$6</c:f>
              <c:numCache>
                <c:formatCode>#,##0</c:formatCode>
                <c:ptCount val="11"/>
                <c:pt idx="0">
                  <c:v>10464</c:v>
                </c:pt>
                <c:pt idx="1">
                  <c:v>9728</c:v>
                </c:pt>
                <c:pt idx="2">
                  <c:v>8603</c:v>
                </c:pt>
                <c:pt idx="3">
                  <c:v>11219</c:v>
                </c:pt>
                <c:pt idx="4">
                  <c:v>11547</c:v>
                </c:pt>
                <c:pt idx="5">
                  <c:v>11191</c:v>
                </c:pt>
                <c:pt idx="6">
                  <c:v>10881</c:v>
                </c:pt>
                <c:pt idx="7">
                  <c:v>8907</c:v>
                </c:pt>
                <c:pt idx="8">
                  <c:v>9122</c:v>
                </c:pt>
                <c:pt idx="9">
                  <c:v>9573</c:v>
                </c:pt>
                <c:pt idx="10">
                  <c:v>10075</c:v>
                </c:pt>
              </c:numCache>
            </c:numRef>
          </c:val>
          <c:extLst xmlns:c16r2="http://schemas.microsoft.com/office/drawing/2015/06/chart">
            <c:ext xmlns:c16="http://schemas.microsoft.com/office/drawing/2014/chart" uri="{C3380CC4-5D6E-409C-BE32-E72D297353CC}">
              <c16:uniqueId val="{00000001-FE98-4D2E-A3D4-54B6EC1A19EB}"/>
            </c:ext>
          </c:extLst>
        </c:ser>
        <c:dLbls>
          <c:showLegendKey val="0"/>
          <c:showVal val="0"/>
          <c:showCatName val="0"/>
          <c:showSerName val="0"/>
          <c:showPercent val="0"/>
          <c:showBubbleSize val="0"/>
        </c:dLbls>
        <c:gapWidth val="80"/>
        <c:overlap val="100"/>
        <c:axId val="560646120"/>
        <c:axId val="560644160"/>
      </c:barChart>
      <c:catAx>
        <c:axId val="560646120"/>
        <c:scaling>
          <c:orientation val="minMax"/>
        </c:scaling>
        <c:delete val="0"/>
        <c:axPos val="b"/>
        <c:numFmt formatCode="0" sourceLinked="1"/>
        <c:majorTickMark val="out"/>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560644160"/>
        <c:crosses val="autoZero"/>
        <c:auto val="1"/>
        <c:lblAlgn val="ctr"/>
        <c:lblOffset val="100"/>
        <c:tickLblSkip val="1"/>
        <c:tickMarkSkip val="1"/>
        <c:noMultiLvlLbl val="0"/>
      </c:catAx>
      <c:valAx>
        <c:axId val="560644160"/>
        <c:scaling>
          <c:orientation val="minMax"/>
          <c:max val="30000"/>
        </c:scaling>
        <c:delete val="0"/>
        <c:axPos val="l"/>
        <c:majorGridlines>
          <c:spPr>
            <a:ln>
              <a:solidFill>
                <a:schemeClr val="bg1"/>
              </a:solidFill>
            </a:ln>
          </c:spPr>
        </c:majorGridlines>
        <c:title>
          <c:tx>
            <c:rich>
              <a:bodyPr rot="0" vert="horz"/>
              <a:lstStyle/>
              <a:p>
                <a:pPr algn="ctr">
                  <a:defRPr sz="800" b="1" i="0" u="none" strike="noStrike" baseline="0">
                    <a:solidFill>
                      <a:srgbClr val="000000"/>
                    </a:solidFill>
                    <a:latin typeface="Calibri"/>
                    <a:ea typeface="Calibri"/>
                    <a:cs typeface="Calibri"/>
                  </a:defRPr>
                </a:pPr>
                <a:r>
                  <a:rPr lang="en-US" sz="800"/>
                  <a:t>in numbers</a:t>
                </a:r>
              </a:p>
            </c:rich>
          </c:tx>
          <c:layout>
            <c:manualLayout>
              <c:xMode val="edge"/>
              <c:yMode val="edge"/>
              <c:x val="1.4094118516875531E-2"/>
              <c:y val="6.0626769852739251E-2"/>
            </c:manualLayout>
          </c:layout>
          <c:overlay val="0"/>
        </c:title>
        <c:numFmt formatCode="#,##0" sourceLinked="1"/>
        <c:majorTickMark val="none"/>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560646120"/>
        <c:crosses val="autoZero"/>
        <c:crossBetween val="between"/>
      </c:valAx>
      <c:spPr>
        <a:ln>
          <a:solidFill>
            <a:schemeClr val="bg1">
              <a:lumMod val="50000"/>
            </a:schemeClr>
          </a:solidFill>
        </a:ln>
      </c:spPr>
    </c:plotArea>
    <c:legend>
      <c:legendPos val="r"/>
      <c:layout>
        <c:manualLayout>
          <c:xMode val="edge"/>
          <c:yMode val="edge"/>
          <c:x val="0.10727110341865254"/>
          <c:y val="0.19065680965177925"/>
          <c:w val="0.2749446093963791"/>
          <c:h val="6.1449287106693139E-2"/>
        </c:manualLayout>
      </c:layout>
      <c:overlay val="0"/>
      <c:txPr>
        <a:bodyPr/>
        <a:lstStyle/>
        <a:p>
          <a:pPr>
            <a:defRPr sz="100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000000000000022" r="0.75000000000000022" t="1" header="0.5" footer="0.5"/>
    <c:pageSetup orientation="landscape" horizontalDpi="300" verticalDpi="300"/>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a:lstStyle/>
          <a:p>
            <a:pPr>
              <a:defRPr sz="900" b="1" i="0" u="none" strike="noStrike" baseline="0">
                <a:solidFill>
                  <a:srgbClr val="000000"/>
                </a:solidFill>
                <a:latin typeface="Candara" pitchFamily="34" charset="0"/>
                <a:ea typeface="Calibri"/>
                <a:cs typeface="Calibri"/>
              </a:defRPr>
            </a:pPr>
            <a:r>
              <a:rPr lang="en-US" sz="900">
                <a:latin typeface="Candara" pitchFamily="34" charset="0"/>
              </a:rPr>
              <a:t>Number of Registered Cases for Thalasemia,</a:t>
            </a:r>
            <a:r>
              <a:rPr lang="en-US" sz="900" baseline="0">
                <a:latin typeface="Candara" pitchFamily="34" charset="0"/>
              </a:rPr>
              <a:t>  </a:t>
            </a:r>
            <a:r>
              <a:rPr lang="en-US" sz="900">
                <a:latin typeface="Candara" pitchFamily="34" charset="0"/>
              </a:rPr>
              <a:t>2010 - 2020</a:t>
            </a:r>
          </a:p>
        </c:rich>
      </c:tx>
      <c:layout>
        <c:manualLayout>
          <c:xMode val="edge"/>
          <c:yMode val="edge"/>
          <c:x val="0.26092232340444976"/>
          <c:y val="6.9077258518388543E-2"/>
        </c:manualLayout>
      </c:layout>
      <c:overlay val="0"/>
    </c:title>
    <c:autoTitleDeleted val="0"/>
    <c:plotArea>
      <c:layout>
        <c:manualLayout>
          <c:layoutTarget val="inner"/>
          <c:xMode val="edge"/>
          <c:yMode val="edge"/>
          <c:x val="8.0282609351441048E-2"/>
          <c:y val="0.18302083668112915"/>
          <c:w val="0.88408269464797662"/>
          <c:h val="0.68454230733556665"/>
        </c:manualLayout>
      </c:layout>
      <c:barChart>
        <c:barDir val="col"/>
        <c:grouping val="clustered"/>
        <c:varyColors val="0"/>
        <c:ser>
          <c:idx val="0"/>
          <c:order val="0"/>
          <c:spPr>
            <a:solidFill>
              <a:srgbClr val="33CCCC"/>
            </a:solidFill>
            <a:ln>
              <a:noFill/>
            </a:ln>
          </c:spPr>
          <c:invertIfNegative val="0"/>
          <c:cat>
            <c:numRef>
              <c:f>Health!$M$3:$AA$3</c:f>
              <c:numCache>
                <c:formatCode>0</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Health!$N$10:$AA$10</c:f>
              <c:numCache>
                <c:formatCode>0</c:formatCode>
                <c:ptCount val="11"/>
                <c:pt idx="0">
                  <c:v>716</c:v>
                </c:pt>
                <c:pt idx="1">
                  <c:v>747</c:v>
                </c:pt>
                <c:pt idx="2">
                  <c:v>769</c:v>
                </c:pt>
                <c:pt idx="3">
                  <c:v>787</c:v>
                </c:pt>
                <c:pt idx="4">
                  <c:v>814</c:v>
                </c:pt>
                <c:pt idx="5">
                  <c:v>836</c:v>
                </c:pt>
                <c:pt idx="6">
                  <c:v>850</c:v>
                </c:pt>
                <c:pt idx="7">
                  <c:v>861</c:v>
                </c:pt>
                <c:pt idx="8">
                  <c:v>880</c:v>
                </c:pt>
                <c:pt idx="9">
                  <c:v>891</c:v>
                </c:pt>
                <c:pt idx="10">
                  <c:v>897</c:v>
                </c:pt>
              </c:numCache>
            </c:numRef>
          </c:val>
          <c:extLst xmlns:c16r2="http://schemas.microsoft.com/office/drawing/2015/06/chart">
            <c:ext xmlns:c16="http://schemas.microsoft.com/office/drawing/2014/chart" uri="{C3380CC4-5D6E-409C-BE32-E72D297353CC}">
              <c16:uniqueId val="{00000000-E84E-466C-BB48-60F4F5AD2317}"/>
            </c:ext>
          </c:extLst>
        </c:ser>
        <c:dLbls>
          <c:showLegendKey val="0"/>
          <c:showVal val="0"/>
          <c:showCatName val="0"/>
          <c:showSerName val="0"/>
          <c:showPercent val="0"/>
          <c:showBubbleSize val="0"/>
        </c:dLbls>
        <c:gapWidth val="62"/>
        <c:axId val="495080168"/>
        <c:axId val="495081344"/>
      </c:barChart>
      <c:catAx>
        <c:axId val="495080168"/>
        <c:scaling>
          <c:orientation val="minMax"/>
        </c:scaling>
        <c:delete val="0"/>
        <c:axPos val="b"/>
        <c:numFmt formatCode="0" sourceLinked="1"/>
        <c:majorTickMark val="none"/>
        <c:minorTickMark val="none"/>
        <c:tickLblPos val="nextTo"/>
        <c:txPr>
          <a:bodyPr rot="0" vert="horz"/>
          <a:lstStyle/>
          <a:p>
            <a:pPr>
              <a:defRPr sz="800" b="0" i="0" u="none" strike="noStrike" baseline="0">
                <a:solidFill>
                  <a:srgbClr val="000000"/>
                </a:solidFill>
                <a:latin typeface="Calibri"/>
                <a:ea typeface="Calibri"/>
                <a:cs typeface="Calibri"/>
              </a:defRPr>
            </a:pPr>
            <a:endParaRPr lang="en-US"/>
          </a:p>
        </c:txPr>
        <c:crossAx val="495081344"/>
        <c:crosses val="autoZero"/>
        <c:auto val="1"/>
        <c:lblAlgn val="ctr"/>
        <c:lblOffset val="100"/>
        <c:noMultiLvlLbl val="0"/>
      </c:catAx>
      <c:valAx>
        <c:axId val="495081344"/>
        <c:scaling>
          <c:orientation val="minMax"/>
        </c:scaling>
        <c:delete val="0"/>
        <c:axPos val="l"/>
        <c:majorGridlines>
          <c:spPr>
            <a:ln>
              <a:noFill/>
            </a:ln>
          </c:spPr>
        </c:majorGridlines>
        <c:numFmt formatCode="#,##0" sourceLinked="0"/>
        <c:majorTickMark val="none"/>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495080168"/>
        <c:crosses val="autoZero"/>
        <c:crossBetween val="between"/>
      </c:valAx>
      <c:spPr>
        <a:ln>
          <a:solidFill>
            <a:schemeClr val="bg1">
              <a:lumMod val="50000"/>
            </a:schemeClr>
          </a:solid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a:lstStyle/>
          <a:p>
            <a:pPr>
              <a:defRPr sz="900" b="1" i="0" u="none" strike="noStrike" baseline="0">
                <a:solidFill>
                  <a:srgbClr val="000000"/>
                </a:solidFill>
                <a:latin typeface="Candara" pitchFamily="34" charset="0"/>
                <a:ea typeface="Calibri"/>
                <a:cs typeface="Calibri"/>
              </a:defRPr>
            </a:pPr>
            <a:r>
              <a:rPr lang="en-US" sz="900">
                <a:latin typeface="Candara" pitchFamily="34" charset="0"/>
              </a:rPr>
              <a:t>Number of Inpatients in Indhira Gandhi Memorial Hospital,  2010- 2020</a:t>
            </a:r>
          </a:p>
        </c:rich>
      </c:tx>
      <c:layout>
        <c:manualLayout>
          <c:xMode val="edge"/>
          <c:yMode val="edge"/>
          <c:x val="0.14278047315394668"/>
          <c:y val="4.353197914849976E-2"/>
        </c:manualLayout>
      </c:layout>
      <c:overlay val="0"/>
    </c:title>
    <c:autoTitleDeleted val="0"/>
    <c:plotArea>
      <c:layout>
        <c:manualLayout>
          <c:layoutTarget val="inner"/>
          <c:xMode val="edge"/>
          <c:yMode val="edge"/>
          <c:x val="0.10247071792287928"/>
          <c:y val="0.1836735540705117"/>
          <c:w val="0.87045638258198477"/>
          <c:h val="0.70011846694232882"/>
        </c:manualLayout>
      </c:layout>
      <c:barChart>
        <c:barDir val="col"/>
        <c:grouping val="clustered"/>
        <c:varyColors val="0"/>
        <c:ser>
          <c:idx val="0"/>
          <c:order val="0"/>
          <c:spPr>
            <a:solidFill>
              <a:srgbClr val="FF9900"/>
            </a:solidFill>
          </c:spPr>
          <c:invertIfNegative val="0"/>
          <c:cat>
            <c:numRef>
              <c:f>Health!$M$3:$AA$3</c:f>
              <c:numCache>
                <c:formatCode>0</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Health!$M$7:$AA$7</c:f>
              <c:numCache>
                <c:formatCode>#,##0</c:formatCode>
                <c:ptCount val="11"/>
                <c:pt idx="0">
                  <c:v>13568</c:v>
                </c:pt>
                <c:pt idx="1">
                  <c:v>13996</c:v>
                </c:pt>
                <c:pt idx="2">
                  <c:v>13935</c:v>
                </c:pt>
                <c:pt idx="3">
                  <c:v>13058</c:v>
                </c:pt>
                <c:pt idx="4">
                  <c:v>12590</c:v>
                </c:pt>
                <c:pt idx="5">
                  <c:v>12720</c:v>
                </c:pt>
                <c:pt idx="6">
                  <c:v>12199</c:v>
                </c:pt>
                <c:pt idx="7">
                  <c:v>13247</c:v>
                </c:pt>
                <c:pt idx="8">
                  <c:v>15184</c:v>
                </c:pt>
                <c:pt idx="9">
                  <c:v>15771</c:v>
                </c:pt>
                <c:pt idx="10">
                  <c:v>11626</c:v>
                </c:pt>
              </c:numCache>
            </c:numRef>
          </c:val>
          <c:extLst xmlns:c16r2="http://schemas.microsoft.com/office/drawing/2015/06/chart">
            <c:ext xmlns:c16="http://schemas.microsoft.com/office/drawing/2014/chart" uri="{C3380CC4-5D6E-409C-BE32-E72D297353CC}">
              <c16:uniqueId val="{00000000-F66F-4286-933E-1E5BA7AEF747}"/>
            </c:ext>
          </c:extLst>
        </c:ser>
        <c:dLbls>
          <c:showLegendKey val="0"/>
          <c:showVal val="0"/>
          <c:showCatName val="0"/>
          <c:showSerName val="0"/>
          <c:showPercent val="0"/>
          <c:showBubbleSize val="0"/>
        </c:dLbls>
        <c:gapWidth val="75"/>
        <c:overlap val="-25"/>
        <c:axId val="495081736"/>
        <c:axId val="495080560"/>
      </c:barChart>
      <c:catAx>
        <c:axId val="495081736"/>
        <c:scaling>
          <c:orientation val="minMax"/>
        </c:scaling>
        <c:delete val="0"/>
        <c:axPos val="b"/>
        <c:numFmt formatCode="0" sourceLinked="1"/>
        <c:majorTickMark val="none"/>
        <c:minorTickMark val="none"/>
        <c:tickLblPos val="nextTo"/>
        <c:txPr>
          <a:bodyPr rot="0" vert="horz"/>
          <a:lstStyle/>
          <a:p>
            <a:pPr>
              <a:defRPr sz="800" b="0" i="0" u="none" strike="noStrike" baseline="0">
                <a:solidFill>
                  <a:srgbClr val="000000"/>
                </a:solidFill>
                <a:latin typeface="Calibri"/>
                <a:ea typeface="Calibri"/>
                <a:cs typeface="Calibri"/>
              </a:defRPr>
            </a:pPr>
            <a:endParaRPr lang="en-US"/>
          </a:p>
        </c:txPr>
        <c:crossAx val="495080560"/>
        <c:crosses val="autoZero"/>
        <c:auto val="1"/>
        <c:lblAlgn val="ctr"/>
        <c:lblOffset val="100"/>
        <c:noMultiLvlLbl val="0"/>
      </c:catAx>
      <c:valAx>
        <c:axId val="495080560"/>
        <c:scaling>
          <c:orientation val="minMax"/>
          <c:min val="0"/>
        </c:scaling>
        <c:delete val="0"/>
        <c:axPos val="l"/>
        <c:majorGridlines>
          <c:spPr>
            <a:ln>
              <a:noFill/>
            </a:ln>
          </c:spPr>
        </c:majorGridlines>
        <c:numFmt formatCode="#,##0" sourceLinked="1"/>
        <c:majorTickMark val="none"/>
        <c:minorTickMark val="none"/>
        <c:tickLblPos val="nextTo"/>
        <c:spPr>
          <a:ln w="9525">
            <a:noFill/>
          </a:ln>
        </c:spPr>
        <c:txPr>
          <a:bodyPr rot="0" vert="horz"/>
          <a:lstStyle/>
          <a:p>
            <a:pPr>
              <a:defRPr sz="1000" b="0" i="0" u="none" strike="noStrike" baseline="0">
                <a:solidFill>
                  <a:srgbClr val="000000"/>
                </a:solidFill>
                <a:latin typeface="Calibri"/>
                <a:ea typeface="Calibri"/>
                <a:cs typeface="Calibri"/>
              </a:defRPr>
            </a:pPr>
            <a:endParaRPr lang="en-US"/>
          </a:p>
        </c:txPr>
        <c:crossAx val="495081736"/>
        <c:crosses val="autoZero"/>
        <c:crossBetween val="between"/>
      </c:valAx>
      <c:spPr>
        <a:ln>
          <a:solidFill>
            <a:schemeClr val="bg1">
              <a:lumMod val="50000"/>
            </a:schemeClr>
          </a:solid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a:pPr>
            <a:r>
              <a:rPr lang="en-US" sz="900"/>
              <a:t>In numbers</a:t>
            </a:r>
          </a:p>
        </c:rich>
      </c:tx>
      <c:layout>
        <c:manualLayout>
          <c:xMode val="edge"/>
          <c:yMode val="edge"/>
          <c:x val="1.1029800370005007E-2"/>
          <c:y val="5.1279717091599453E-2"/>
        </c:manualLayout>
      </c:layout>
      <c:overlay val="0"/>
    </c:title>
    <c:autoTitleDeleted val="0"/>
    <c:plotArea>
      <c:layout>
        <c:manualLayout>
          <c:layoutTarget val="inner"/>
          <c:xMode val="edge"/>
          <c:yMode val="edge"/>
          <c:x val="9.7431896513971744E-2"/>
          <c:y val="0.14492374849225886"/>
          <c:w val="0.87799842029424169"/>
          <c:h val="0.7052715695998274"/>
        </c:manualLayout>
      </c:layout>
      <c:barChart>
        <c:barDir val="col"/>
        <c:grouping val="clustered"/>
        <c:varyColors val="0"/>
        <c:ser>
          <c:idx val="0"/>
          <c:order val="0"/>
          <c:tx>
            <c:strRef>
              <c:f>Edu!$A$37</c:f>
              <c:strCache>
                <c:ptCount val="1"/>
                <c:pt idx="0">
                  <c:v>Male'</c:v>
                </c:pt>
              </c:strCache>
            </c:strRef>
          </c:tx>
          <c:spPr>
            <a:solidFill>
              <a:srgbClr val="C8F4F2"/>
            </a:solidFill>
          </c:spPr>
          <c:invertIfNegative val="0"/>
          <c:cat>
            <c:numRef>
              <c:f>Edu!$R$3:$AF$3</c:f>
              <c:numCache>
                <c:formatCode>0</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Edu!$R$37:$AF$37</c:f>
              <c:numCache>
                <c:formatCode>#,##0</c:formatCode>
                <c:ptCount val="11"/>
                <c:pt idx="0">
                  <c:v>25565</c:v>
                </c:pt>
                <c:pt idx="1">
                  <c:v>25064</c:v>
                </c:pt>
                <c:pt idx="2">
                  <c:v>26583</c:v>
                </c:pt>
                <c:pt idx="3">
                  <c:v>27204</c:v>
                </c:pt>
                <c:pt idx="4">
                  <c:v>28507</c:v>
                </c:pt>
                <c:pt idx="5">
                  <c:v>30361</c:v>
                </c:pt>
                <c:pt idx="6">
                  <c:v>31649</c:v>
                </c:pt>
                <c:pt idx="7">
                  <c:v>31487</c:v>
                </c:pt>
                <c:pt idx="8">
                  <c:v>32170</c:v>
                </c:pt>
                <c:pt idx="9">
                  <c:v>33376</c:v>
                </c:pt>
                <c:pt idx="10">
                  <c:v>33757</c:v>
                </c:pt>
              </c:numCache>
            </c:numRef>
          </c:val>
          <c:extLst xmlns:c16r2="http://schemas.microsoft.com/office/drawing/2015/06/chart">
            <c:ext xmlns:c16="http://schemas.microsoft.com/office/drawing/2014/chart" uri="{C3380CC4-5D6E-409C-BE32-E72D297353CC}">
              <c16:uniqueId val="{00000000-7885-473E-A7B1-EA7F087AAA8C}"/>
            </c:ext>
          </c:extLst>
        </c:ser>
        <c:ser>
          <c:idx val="1"/>
          <c:order val="1"/>
          <c:tx>
            <c:strRef>
              <c:f>Edu!$A$38</c:f>
              <c:strCache>
                <c:ptCount val="1"/>
                <c:pt idx="0">
                  <c:v>Atolls</c:v>
                </c:pt>
              </c:strCache>
            </c:strRef>
          </c:tx>
          <c:spPr>
            <a:solidFill>
              <a:srgbClr val="33CCCC"/>
            </a:solidFill>
          </c:spPr>
          <c:invertIfNegative val="0"/>
          <c:cat>
            <c:numRef>
              <c:f>Edu!$R$3:$AF$3</c:f>
              <c:numCache>
                <c:formatCode>0</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Edu!$R$38:$AF$38</c:f>
              <c:numCache>
                <c:formatCode>#,##0</c:formatCode>
                <c:ptCount val="11"/>
                <c:pt idx="0">
                  <c:v>62035</c:v>
                </c:pt>
                <c:pt idx="1">
                  <c:v>61882</c:v>
                </c:pt>
                <c:pt idx="2">
                  <c:v>59927</c:v>
                </c:pt>
                <c:pt idx="3">
                  <c:v>58892</c:v>
                </c:pt>
                <c:pt idx="4">
                  <c:v>58576</c:v>
                </c:pt>
                <c:pt idx="5">
                  <c:v>57980</c:v>
                </c:pt>
                <c:pt idx="6">
                  <c:v>56139</c:v>
                </c:pt>
                <c:pt idx="7">
                  <c:v>56289</c:v>
                </c:pt>
                <c:pt idx="8">
                  <c:v>56041</c:v>
                </c:pt>
                <c:pt idx="9">
                  <c:v>56056</c:v>
                </c:pt>
                <c:pt idx="10">
                  <c:v>56808</c:v>
                </c:pt>
              </c:numCache>
            </c:numRef>
          </c:val>
          <c:extLst xmlns:c16r2="http://schemas.microsoft.com/office/drawing/2015/06/chart">
            <c:ext xmlns:c16="http://schemas.microsoft.com/office/drawing/2014/chart" uri="{C3380CC4-5D6E-409C-BE32-E72D297353CC}">
              <c16:uniqueId val="{00000001-7885-473E-A7B1-EA7F087AAA8C}"/>
            </c:ext>
          </c:extLst>
        </c:ser>
        <c:dLbls>
          <c:showLegendKey val="0"/>
          <c:showVal val="0"/>
          <c:showCatName val="0"/>
          <c:showSerName val="0"/>
          <c:showPercent val="0"/>
          <c:showBubbleSize val="0"/>
        </c:dLbls>
        <c:gapWidth val="75"/>
        <c:axId val="495082520"/>
        <c:axId val="495082912"/>
      </c:barChart>
      <c:catAx>
        <c:axId val="495082520"/>
        <c:scaling>
          <c:orientation val="minMax"/>
        </c:scaling>
        <c:delete val="0"/>
        <c:axPos val="b"/>
        <c:numFmt formatCode="0" sourceLinked="1"/>
        <c:majorTickMark val="none"/>
        <c:minorTickMark val="none"/>
        <c:tickLblPos val="nextTo"/>
        <c:crossAx val="495082912"/>
        <c:crosses val="autoZero"/>
        <c:auto val="1"/>
        <c:lblAlgn val="ctr"/>
        <c:lblOffset val="100"/>
        <c:noMultiLvlLbl val="0"/>
      </c:catAx>
      <c:valAx>
        <c:axId val="495082912"/>
        <c:scaling>
          <c:orientation val="minMax"/>
        </c:scaling>
        <c:delete val="0"/>
        <c:axPos val="l"/>
        <c:majorGridlines>
          <c:spPr>
            <a:ln>
              <a:noFill/>
            </a:ln>
          </c:spPr>
        </c:majorGridlines>
        <c:numFmt formatCode="#,##0" sourceLinked="1"/>
        <c:majorTickMark val="none"/>
        <c:minorTickMark val="none"/>
        <c:tickLblPos val="nextTo"/>
        <c:spPr>
          <a:ln w="9525">
            <a:noFill/>
          </a:ln>
        </c:spPr>
        <c:crossAx val="495082520"/>
        <c:crosses val="autoZero"/>
        <c:crossBetween val="between"/>
      </c:valAx>
      <c:spPr>
        <a:ln>
          <a:solidFill>
            <a:schemeClr val="bg1">
              <a:lumMod val="65000"/>
            </a:schemeClr>
          </a:solidFill>
        </a:ln>
      </c:spPr>
    </c:plotArea>
    <c:legend>
      <c:legendPos val="b"/>
      <c:layout>
        <c:manualLayout>
          <c:xMode val="edge"/>
          <c:yMode val="edge"/>
          <c:x val="0.52853578621733088"/>
          <c:y val="0.18386590792442212"/>
          <c:w val="0.24407286872525394"/>
          <c:h val="6.0478361509378971E-2"/>
        </c:manualLayout>
      </c:layout>
      <c:overlay val="0"/>
      <c:txPr>
        <a:bodyPr/>
        <a:lstStyle/>
        <a:p>
          <a:pPr>
            <a:defRPr b="1"/>
          </a:pPr>
          <a:endParaRPr lang="en-US"/>
        </a:p>
      </c:txPr>
    </c:legend>
    <c:plotVisOnly val="1"/>
    <c:dispBlanksAs val="gap"/>
    <c:showDLblsOverMax val="0"/>
  </c:chart>
  <c:printSettings>
    <c:headerFooter/>
    <c:pageMargins b="0.75" l="0.7" r="0.7" t="0.75" header="0.3" footer="0.3"/>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en-US" sz="1200">
                <a:latin typeface="Candara" pitchFamily="34" charset="0"/>
                <a:cs typeface="Consolas" pitchFamily="49" charset="0"/>
              </a:rPr>
              <a:t>Student Teacher Ratio,</a:t>
            </a:r>
            <a:r>
              <a:rPr lang="en-US" sz="1200" baseline="0">
                <a:latin typeface="Candara" pitchFamily="34" charset="0"/>
                <a:cs typeface="Consolas" pitchFamily="49" charset="0"/>
              </a:rPr>
              <a:t> 2010 - 2020</a:t>
            </a:r>
            <a:r>
              <a:rPr lang="en-US" sz="1200">
                <a:latin typeface="Candara" pitchFamily="34" charset="0"/>
                <a:cs typeface="Consolas" pitchFamily="49" charset="0"/>
              </a:rPr>
              <a:t> </a:t>
            </a:r>
          </a:p>
        </c:rich>
      </c:tx>
      <c:overlay val="0"/>
    </c:title>
    <c:autoTitleDeleted val="0"/>
    <c:plotArea>
      <c:layout>
        <c:manualLayout>
          <c:layoutTarget val="inner"/>
          <c:xMode val="edge"/>
          <c:yMode val="edge"/>
          <c:x val="6.0065566549200325E-2"/>
          <c:y val="0.15615030787407874"/>
          <c:w val="0.92056942938465713"/>
          <c:h val="0.73474662951769587"/>
        </c:manualLayout>
      </c:layout>
      <c:lineChart>
        <c:grouping val="standard"/>
        <c:varyColors val="0"/>
        <c:ser>
          <c:idx val="0"/>
          <c:order val="0"/>
          <c:spPr>
            <a:ln w="25400">
              <a:solidFill>
                <a:srgbClr val="249390"/>
              </a:solidFill>
            </a:ln>
          </c:spPr>
          <c:marker>
            <c:symbol val="diamond"/>
            <c:size val="7"/>
            <c:spPr>
              <a:solidFill>
                <a:srgbClr val="33CCCC"/>
              </a:solidFill>
              <a:ln>
                <a:solidFill>
                  <a:srgbClr val="196563"/>
                </a:solidFill>
              </a:ln>
            </c:spPr>
          </c:marker>
          <c:cat>
            <c:numRef>
              <c:f>Edu!$R$3:$AF$3</c:f>
              <c:numCache>
                <c:formatCode>0</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Edu!$R$15:$AF$15</c:f>
              <c:numCache>
                <c:formatCode>#,##0</c:formatCode>
                <c:ptCount val="11"/>
                <c:pt idx="0">
                  <c:v>11</c:v>
                </c:pt>
                <c:pt idx="1">
                  <c:v>12</c:v>
                </c:pt>
                <c:pt idx="2">
                  <c:v>11</c:v>
                </c:pt>
                <c:pt idx="3">
                  <c:v>10.47</c:v>
                </c:pt>
                <c:pt idx="4">
                  <c:v>10.347997138769671</c:v>
                </c:pt>
                <c:pt idx="5">
                  <c:v>9.9835544969944419</c:v>
                </c:pt>
                <c:pt idx="6">
                  <c:v>9.8010494585240586</c:v>
                </c:pt>
                <c:pt idx="7">
                  <c:v>9</c:v>
                </c:pt>
                <c:pt idx="8">
                  <c:v>9.1709785103275614</c:v>
                </c:pt>
                <c:pt idx="9">
                  <c:v>8.5794320798158097</c:v>
                </c:pt>
                <c:pt idx="10">
                  <c:v>9</c:v>
                </c:pt>
              </c:numCache>
            </c:numRef>
          </c:val>
          <c:smooth val="1"/>
          <c:extLst xmlns:c16r2="http://schemas.microsoft.com/office/drawing/2015/06/chart">
            <c:ext xmlns:c16="http://schemas.microsoft.com/office/drawing/2014/chart" uri="{C3380CC4-5D6E-409C-BE32-E72D297353CC}">
              <c16:uniqueId val="{00000000-85E8-4659-8118-16A755A58ACA}"/>
            </c:ext>
          </c:extLst>
        </c:ser>
        <c:dLbls>
          <c:showLegendKey val="0"/>
          <c:showVal val="0"/>
          <c:showCatName val="0"/>
          <c:showSerName val="0"/>
          <c:showPercent val="0"/>
          <c:showBubbleSize val="0"/>
        </c:dLbls>
        <c:marker val="1"/>
        <c:smooth val="0"/>
        <c:axId val="564285696"/>
        <c:axId val="564287264"/>
      </c:lineChart>
      <c:catAx>
        <c:axId val="564285696"/>
        <c:scaling>
          <c:orientation val="minMax"/>
        </c:scaling>
        <c:delete val="0"/>
        <c:axPos val="b"/>
        <c:numFmt formatCode="0" sourceLinked="1"/>
        <c:majorTickMark val="out"/>
        <c:minorTickMark val="none"/>
        <c:tickLblPos val="nextTo"/>
        <c:txPr>
          <a:bodyPr/>
          <a:lstStyle/>
          <a:p>
            <a:pPr>
              <a:defRPr sz="1050"/>
            </a:pPr>
            <a:endParaRPr lang="en-US"/>
          </a:p>
        </c:txPr>
        <c:crossAx val="564287264"/>
        <c:crosses val="autoZero"/>
        <c:auto val="1"/>
        <c:lblAlgn val="ctr"/>
        <c:lblOffset val="100"/>
        <c:noMultiLvlLbl val="0"/>
      </c:catAx>
      <c:valAx>
        <c:axId val="564287264"/>
        <c:scaling>
          <c:orientation val="minMax"/>
        </c:scaling>
        <c:delete val="0"/>
        <c:axPos val="l"/>
        <c:majorGridlines>
          <c:spPr>
            <a:ln>
              <a:solidFill>
                <a:srgbClr val="C8F4F2"/>
              </a:solidFill>
            </a:ln>
          </c:spPr>
        </c:majorGridlines>
        <c:numFmt formatCode="#,##0" sourceLinked="1"/>
        <c:majorTickMark val="out"/>
        <c:minorTickMark val="none"/>
        <c:tickLblPos val="nextTo"/>
        <c:crossAx val="564285696"/>
        <c:crosses val="autoZero"/>
        <c:crossBetween val="between"/>
        <c:majorUnit val="5"/>
      </c:valAx>
      <c:spPr>
        <a:solidFill>
          <a:srgbClr val="E0F9F8"/>
        </a:solidFill>
        <a:ln>
          <a:solidFill>
            <a:schemeClr val="bg1">
              <a:lumMod val="65000"/>
            </a:schemeClr>
          </a:solidFill>
        </a:ln>
      </c:spPr>
    </c:plotArea>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a:lstStyle/>
          <a:p>
            <a:pPr>
              <a:defRPr sz="1050" b="1" i="0" u="none" strike="noStrike" baseline="0">
                <a:solidFill>
                  <a:srgbClr val="000000"/>
                </a:solidFill>
                <a:latin typeface="Calibri"/>
                <a:ea typeface="Calibri"/>
                <a:cs typeface="Calibri"/>
              </a:defRPr>
            </a:pPr>
            <a:r>
              <a:rPr lang="en-US" sz="1200">
                <a:latin typeface="Candara" pitchFamily="34" charset="0"/>
              </a:rPr>
              <a:t>Cases handled by high court, 2014 - 2020</a:t>
            </a:r>
          </a:p>
        </c:rich>
      </c:tx>
      <c:layout>
        <c:manualLayout>
          <c:xMode val="edge"/>
          <c:yMode val="edge"/>
          <c:x val="0.33188111742243137"/>
          <c:y val="3.7630312550116653E-2"/>
        </c:manualLayout>
      </c:layout>
      <c:overlay val="0"/>
    </c:title>
    <c:autoTitleDeleted val="0"/>
    <c:plotArea>
      <c:layout>
        <c:manualLayout>
          <c:layoutTarget val="inner"/>
          <c:xMode val="edge"/>
          <c:yMode val="edge"/>
          <c:x val="6.7086753297728272E-2"/>
          <c:y val="0.18256727979629864"/>
          <c:w val="0.91752713180626977"/>
          <c:h val="0.70619466797730779"/>
        </c:manualLayout>
      </c:layout>
      <c:barChart>
        <c:barDir val="col"/>
        <c:grouping val="clustered"/>
        <c:varyColors val="0"/>
        <c:ser>
          <c:idx val="0"/>
          <c:order val="0"/>
          <c:tx>
            <c:strRef>
              <c:f>'Law &amp; order'!$A$7</c:f>
              <c:strCache>
                <c:ptCount val="1"/>
                <c:pt idx="0">
                  <c:v>Cases logged</c:v>
                </c:pt>
              </c:strCache>
            </c:strRef>
          </c:tx>
          <c:spPr>
            <a:solidFill>
              <a:srgbClr val="33CCCC"/>
            </a:solidFill>
            <a:ln>
              <a:solidFill>
                <a:srgbClr val="33CCCC"/>
              </a:solidFill>
            </a:ln>
          </c:spPr>
          <c:invertIfNegative val="0"/>
          <c:cat>
            <c:numRef>
              <c:f>'Law &amp; order'!$AA$3:$AG$3</c:f>
              <c:numCache>
                <c:formatCode>0</c:formatCode>
                <c:ptCount val="7"/>
                <c:pt idx="0">
                  <c:v>2014</c:v>
                </c:pt>
                <c:pt idx="1">
                  <c:v>2015</c:v>
                </c:pt>
                <c:pt idx="2">
                  <c:v>2016</c:v>
                </c:pt>
                <c:pt idx="3">
                  <c:v>2017</c:v>
                </c:pt>
                <c:pt idx="4">
                  <c:v>2018</c:v>
                </c:pt>
                <c:pt idx="5">
                  <c:v>2019</c:v>
                </c:pt>
                <c:pt idx="6">
                  <c:v>2020</c:v>
                </c:pt>
              </c:numCache>
            </c:numRef>
          </c:cat>
          <c:val>
            <c:numRef>
              <c:f>'Law &amp; order'!$AA$7:$AG$7</c:f>
              <c:numCache>
                <c:formatCode>0</c:formatCode>
                <c:ptCount val="7"/>
                <c:pt idx="0">
                  <c:v>365</c:v>
                </c:pt>
                <c:pt idx="1">
                  <c:v>413</c:v>
                </c:pt>
                <c:pt idx="2">
                  <c:v>615</c:v>
                </c:pt>
                <c:pt idx="3">
                  <c:v>473</c:v>
                </c:pt>
                <c:pt idx="4">
                  <c:v>484</c:v>
                </c:pt>
                <c:pt idx="5">
                  <c:v>713</c:v>
                </c:pt>
                <c:pt idx="6">
                  <c:v>340</c:v>
                </c:pt>
              </c:numCache>
            </c:numRef>
          </c:val>
          <c:extLst xmlns:c16r2="http://schemas.microsoft.com/office/drawing/2015/06/chart">
            <c:ext xmlns:c16="http://schemas.microsoft.com/office/drawing/2014/chart" uri="{C3380CC4-5D6E-409C-BE32-E72D297353CC}">
              <c16:uniqueId val="{00000000-89F5-4A40-8FD4-5187175872E5}"/>
            </c:ext>
          </c:extLst>
        </c:ser>
        <c:ser>
          <c:idx val="1"/>
          <c:order val="1"/>
          <c:tx>
            <c:strRef>
              <c:f>'Law &amp; order'!$A$8</c:f>
              <c:strCache>
                <c:ptCount val="1"/>
                <c:pt idx="0">
                  <c:v>Cases dealt</c:v>
                </c:pt>
              </c:strCache>
            </c:strRef>
          </c:tx>
          <c:spPr>
            <a:solidFill>
              <a:srgbClr val="C8F4F2"/>
            </a:solidFill>
          </c:spPr>
          <c:invertIfNegative val="0"/>
          <c:cat>
            <c:numRef>
              <c:f>'Law &amp; order'!$AA$3:$AG$3</c:f>
              <c:numCache>
                <c:formatCode>0</c:formatCode>
                <c:ptCount val="7"/>
                <c:pt idx="0">
                  <c:v>2014</c:v>
                </c:pt>
                <c:pt idx="1">
                  <c:v>2015</c:v>
                </c:pt>
                <c:pt idx="2">
                  <c:v>2016</c:v>
                </c:pt>
                <c:pt idx="3">
                  <c:v>2017</c:v>
                </c:pt>
                <c:pt idx="4">
                  <c:v>2018</c:v>
                </c:pt>
                <c:pt idx="5">
                  <c:v>2019</c:v>
                </c:pt>
                <c:pt idx="6">
                  <c:v>2020</c:v>
                </c:pt>
              </c:numCache>
            </c:numRef>
          </c:cat>
          <c:val>
            <c:numRef>
              <c:f>'Law &amp; order'!$AA$8:$AG$8</c:f>
              <c:numCache>
                <c:formatCode>0</c:formatCode>
                <c:ptCount val="7"/>
                <c:pt idx="0">
                  <c:v>414</c:v>
                </c:pt>
                <c:pt idx="1">
                  <c:v>329</c:v>
                </c:pt>
                <c:pt idx="2">
                  <c:v>373</c:v>
                </c:pt>
                <c:pt idx="3">
                  <c:v>552</c:v>
                </c:pt>
                <c:pt idx="4">
                  <c:v>311</c:v>
                </c:pt>
                <c:pt idx="5">
                  <c:v>477</c:v>
                </c:pt>
                <c:pt idx="6">
                  <c:v>443</c:v>
                </c:pt>
              </c:numCache>
            </c:numRef>
          </c:val>
          <c:extLst xmlns:c16r2="http://schemas.microsoft.com/office/drawing/2015/06/chart">
            <c:ext xmlns:c16="http://schemas.microsoft.com/office/drawing/2014/chart" uri="{C3380CC4-5D6E-409C-BE32-E72D297353CC}">
              <c16:uniqueId val="{00000001-89F5-4A40-8FD4-5187175872E5}"/>
            </c:ext>
          </c:extLst>
        </c:ser>
        <c:ser>
          <c:idx val="2"/>
          <c:order val="2"/>
          <c:tx>
            <c:strRef>
              <c:f>'Law &amp; order'!$A$9</c:f>
              <c:strCache>
                <c:ptCount val="1"/>
                <c:pt idx="0">
                  <c:v>Cases awaiting trial</c:v>
                </c:pt>
              </c:strCache>
            </c:strRef>
          </c:tx>
          <c:spPr>
            <a:solidFill>
              <a:srgbClr val="249390"/>
            </a:solidFill>
          </c:spPr>
          <c:invertIfNegative val="0"/>
          <c:cat>
            <c:numRef>
              <c:f>'Law &amp; order'!$AA$3:$AG$3</c:f>
              <c:numCache>
                <c:formatCode>0</c:formatCode>
                <c:ptCount val="7"/>
                <c:pt idx="0">
                  <c:v>2014</c:v>
                </c:pt>
                <c:pt idx="1">
                  <c:v>2015</c:v>
                </c:pt>
                <c:pt idx="2">
                  <c:v>2016</c:v>
                </c:pt>
                <c:pt idx="3">
                  <c:v>2017</c:v>
                </c:pt>
                <c:pt idx="4">
                  <c:v>2018</c:v>
                </c:pt>
                <c:pt idx="5">
                  <c:v>2019</c:v>
                </c:pt>
                <c:pt idx="6">
                  <c:v>2020</c:v>
                </c:pt>
              </c:numCache>
            </c:numRef>
          </c:cat>
          <c:val>
            <c:numRef>
              <c:f>'Law &amp; order'!$AA$9:$AG$9</c:f>
              <c:numCache>
                <c:formatCode>0</c:formatCode>
                <c:ptCount val="7"/>
                <c:pt idx="0">
                  <c:v>238</c:v>
                </c:pt>
                <c:pt idx="1">
                  <c:v>323</c:v>
                </c:pt>
                <c:pt idx="2">
                  <c:v>563</c:v>
                </c:pt>
                <c:pt idx="3">
                  <c:v>484</c:v>
                </c:pt>
                <c:pt idx="4">
                  <c:v>646</c:v>
                </c:pt>
                <c:pt idx="5">
                  <c:v>882</c:v>
                </c:pt>
                <c:pt idx="6">
                  <c:v>779</c:v>
                </c:pt>
              </c:numCache>
            </c:numRef>
          </c:val>
          <c:extLst xmlns:c16r2="http://schemas.microsoft.com/office/drawing/2015/06/chart">
            <c:ext xmlns:c16="http://schemas.microsoft.com/office/drawing/2014/chart" uri="{C3380CC4-5D6E-409C-BE32-E72D297353CC}">
              <c16:uniqueId val="{00000002-89F5-4A40-8FD4-5187175872E5}"/>
            </c:ext>
          </c:extLst>
        </c:ser>
        <c:dLbls>
          <c:showLegendKey val="0"/>
          <c:showVal val="0"/>
          <c:showCatName val="0"/>
          <c:showSerName val="0"/>
          <c:showPercent val="0"/>
          <c:showBubbleSize val="0"/>
        </c:dLbls>
        <c:gapWidth val="150"/>
        <c:axId val="564285304"/>
        <c:axId val="564284912"/>
      </c:barChart>
      <c:catAx>
        <c:axId val="564285304"/>
        <c:scaling>
          <c:orientation val="minMax"/>
        </c:scaling>
        <c:delete val="0"/>
        <c:axPos val="b"/>
        <c:numFmt formatCode="0" sourceLinked="1"/>
        <c:majorTickMark val="out"/>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564284912"/>
        <c:crosses val="autoZero"/>
        <c:auto val="1"/>
        <c:lblAlgn val="ctr"/>
        <c:lblOffset val="100"/>
        <c:tickLblSkip val="1"/>
        <c:tickMarkSkip val="1"/>
        <c:noMultiLvlLbl val="0"/>
      </c:catAx>
      <c:valAx>
        <c:axId val="564284912"/>
        <c:scaling>
          <c:orientation val="minMax"/>
        </c:scaling>
        <c:delete val="0"/>
        <c:axPos val="l"/>
        <c:majorGridlines>
          <c:spPr>
            <a:ln>
              <a:solidFill>
                <a:srgbClr val="C8F4F2"/>
              </a:solidFill>
            </a:ln>
          </c:spPr>
        </c:majorGridlines>
        <c:title>
          <c:tx>
            <c:rich>
              <a:bodyPr rot="0" vert="horz"/>
              <a:lstStyle/>
              <a:p>
                <a:pPr algn="ctr">
                  <a:defRPr sz="1000" b="1" i="0" u="none" strike="noStrike" baseline="0">
                    <a:solidFill>
                      <a:srgbClr val="000000"/>
                    </a:solidFill>
                    <a:latin typeface="Calibri"/>
                    <a:ea typeface="Calibri"/>
                    <a:cs typeface="Calibri"/>
                  </a:defRPr>
                </a:pPr>
                <a:r>
                  <a:rPr lang="en-US"/>
                  <a:t>in numbers</a:t>
                </a:r>
              </a:p>
            </c:rich>
          </c:tx>
          <c:layout>
            <c:manualLayout>
              <c:xMode val="edge"/>
              <c:yMode val="edge"/>
              <c:x val="4.1585000550427888E-2"/>
              <c:y val="8.855760567242528E-2"/>
            </c:manualLayout>
          </c:layout>
          <c:overlay val="0"/>
        </c:title>
        <c:numFmt formatCode="#,##0"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64285304"/>
        <c:crosses val="autoZero"/>
        <c:crossBetween val="between"/>
      </c:valAx>
      <c:spPr>
        <a:solidFill>
          <a:srgbClr val="E0F9F8"/>
        </a:solidFill>
        <a:ln>
          <a:solidFill>
            <a:schemeClr val="bg2">
              <a:lumMod val="90000"/>
            </a:schemeClr>
          </a:solidFill>
        </a:ln>
      </c:spPr>
    </c:plotArea>
    <c:legend>
      <c:legendPos val="r"/>
      <c:layout>
        <c:manualLayout>
          <c:xMode val="edge"/>
          <c:yMode val="edge"/>
          <c:x val="6.5726845364047159E-2"/>
          <c:y val="0.25808412898576832"/>
          <c:w val="0.53456699854345646"/>
          <c:h val="5.8213989362019665E-2"/>
        </c:manualLayout>
      </c:layout>
      <c:overlay val="0"/>
      <c:txPr>
        <a:bodyPr/>
        <a:lstStyle/>
        <a:p>
          <a:pPr>
            <a:defRPr sz="100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orientation="landscape"/>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latin typeface="Consolas" pitchFamily="49" charset="0"/>
                <a:cs typeface="Consolas" pitchFamily="49" charset="0"/>
              </a:defRPr>
            </a:pPr>
            <a:r>
              <a:rPr lang="en-US" sz="1200">
                <a:latin typeface="Candara" pitchFamily="34" charset="0"/>
                <a:cs typeface="Consolas" pitchFamily="49" charset="0"/>
              </a:rPr>
              <a:t>Number of cases logged with police, 2010 - 2020</a:t>
            </a:r>
          </a:p>
        </c:rich>
      </c:tx>
      <c:overlay val="0"/>
    </c:title>
    <c:autoTitleDeleted val="0"/>
    <c:plotArea>
      <c:layout>
        <c:manualLayout>
          <c:layoutTarget val="inner"/>
          <c:xMode val="edge"/>
          <c:yMode val="edge"/>
          <c:x val="0.13957817610261603"/>
          <c:y val="0.15362683767990432"/>
          <c:w val="0.83890880931552014"/>
          <c:h val="0.7356299314007092"/>
        </c:manualLayout>
      </c:layout>
      <c:barChart>
        <c:barDir val="col"/>
        <c:grouping val="clustered"/>
        <c:varyColors val="0"/>
        <c:ser>
          <c:idx val="0"/>
          <c:order val="0"/>
          <c:spPr>
            <a:solidFill>
              <a:srgbClr val="196563"/>
            </a:solidFill>
          </c:spPr>
          <c:invertIfNegative val="0"/>
          <c:cat>
            <c:numRef>
              <c:f>'Law &amp; order'!$U$3:$AG$3</c:f>
              <c:numCache>
                <c:formatCode>0</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'Law &amp; order'!$U$4:$AG$4</c:f>
              <c:numCache>
                <c:formatCode>#,##0</c:formatCode>
                <c:ptCount val="11"/>
                <c:pt idx="0">
                  <c:v>16994</c:v>
                </c:pt>
                <c:pt idx="1">
                  <c:v>17803</c:v>
                </c:pt>
                <c:pt idx="2">
                  <c:v>20512</c:v>
                </c:pt>
                <c:pt idx="3">
                  <c:v>21885</c:v>
                </c:pt>
                <c:pt idx="4">
                  <c:v>18193</c:v>
                </c:pt>
                <c:pt idx="5">
                  <c:v>16362</c:v>
                </c:pt>
                <c:pt idx="6">
                  <c:v>16287</c:v>
                </c:pt>
                <c:pt idx="7">
                  <c:v>15535</c:v>
                </c:pt>
                <c:pt idx="8">
                  <c:v>14811</c:v>
                </c:pt>
                <c:pt idx="9">
                  <c:v>16480</c:v>
                </c:pt>
                <c:pt idx="10">
                  <c:v>12787</c:v>
                </c:pt>
              </c:numCache>
            </c:numRef>
          </c:val>
          <c:extLst xmlns:c16r2="http://schemas.microsoft.com/office/drawing/2015/06/chart">
            <c:ext xmlns:c16="http://schemas.microsoft.com/office/drawing/2014/chart" uri="{C3380CC4-5D6E-409C-BE32-E72D297353CC}">
              <c16:uniqueId val="{00000001-6311-4813-9ACE-181B71C8F047}"/>
            </c:ext>
          </c:extLst>
        </c:ser>
        <c:dLbls>
          <c:showLegendKey val="0"/>
          <c:showVal val="0"/>
          <c:showCatName val="0"/>
          <c:showSerName val="0"/>
          <c:showPercent val="0"/>
          <c:showBubbleSize val="0"/>
        </c:dLbls>
        <c:gapWidth val="150"/>
        <c:axId val="564287656"/>
        <c:axId val="570439072"/>
      </c:barChart>
      <c:catAx>
        <c:axId val="564287656"/>
        <c:scaling>
          <c:orientation val="minMax"/>
        </c:scaling>
        <c:delete val="0"/>
        <c:axPos val="b"/>
        <c:numFmt formatCode="0" sourceLinked="1"/>
        <c:majorTickMark val="none"/>
        <c:minorTickMark val="none"/>
        <c:tickLblPos val="nextTo"/>
        <c:crossAx val="570439072"/>
        <c:crosses val="autoZero"/>
        <c:auto val="1"/>
        <c:lblAlgn val="ctr"/>
        <c:lblOffset val="100"/>
        <c:noMultiLvlLbl val="0"/>
      </c:catAx>
      <c:valAx>
        <c:axId val="570439072"/>
        <c:scaling>
          <c:orientation val="minMax"/>
        </c:scaling>
        <c:delete val="0"/>
        <c:axPos val="l"/>
        <c:majorGridlines>
          <c:spPr>
            <a:ln>
              <a:noFill/>
            </a:ln>
          </c:spPr>
        </c:majorGridlines>
        <c:numFmt formatCode="#,##0" sourceLinked="1"/>
        <c:majorTickMark val="none"/>
        <c:minorTickMark val="none"/>
        <c:tickLblPos val="nextTo"/>
        <c:crossAx val="564287656"/>
        <c:crosses val="autoZero"/>
        <c:crossBetween val="between"/>
      </c:valAx>
      <c:spPr>
        <a:ln>
          <a:solidFill>
            <a:schemeClr val="bg1">
              <a:lumMod val="65000"/>
            </a:schemeClr>
          </a:solidFill>
        </a:ln>
      </c:spPr>
    </c:plotArea>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Number of detainees, 2008 - 2020</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2732664408959526E-2"/>
          <c:y val="0.17171296296296296"/>
          <c:w val="0.9177378193904191"/>
          <c:h val="0.7260954359871683"/>
        </c:manualLayout>
      </c:layout>
      <c:barChart>
        <c:barDir val="col"/>
        <c:grouping val="stacked"/>
        <c:varyColors val="0"/>
        <c:ser>
          <c:idx val="0"/>
          <c:order val="0"/>
          <c:tx>
            <c:strRef>
              <c:f>'Law &amp; order'!$A$12</c:f>
              <c:strCache>
                <c:ptCount val="1"/>
                <c:pt idx="0">
                  <c:v>Male</c:v>
                </c:pt>
              </c:strCache>
            </c:strRef>
          </c:tx>
          <c:spPr>
            <a:solidFill>
              <a:srgbClr val="249390"/>
            </a:solidFill>
            <a:ln>
              <a:noFill/>
            </a:ln>
            <a:effectLst/>
          </c:spPr>
          <c:invertIfNegative val="0"/>
          <c:cat>
            <c:numRef>
              <c:f>'Law &amp; order'!$U$3:$AG$3</c:f>
              <c:numCache>
                <c:formatCode>0</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'Law &amp; order'!$U$12:$AG$12</c:f>
              <c:numCache>
                <c:formatCode>#,##0</c:formatCode>
                <c:ptCount val="11"/>
                <c:pt idx="0">
                  <c:v>4002</c:v>
                </c:pt>
                <c:pt idx="1">
                  <c:v>5110</c:v>
                </c:pt>
                <c:pt idx="2">
                  <c:v>6115</c:v>
                </c:pt>
                <c:pt idx="3">
                  <c:v>6706</c:v>
                </c:pt>
                <c:pt idx="4">
                  <c:v>6709</c:v>
                </c:pt>
                <c:pt idx="5">
                  <c:v>5552</c:v>
                </c:pt>
                <c:pt idx="6">
                  <c:v>5279</c:v>
                </c:pt>
                <c:pt idx="7">
                  <c:v>3811</c:v>
                </c:pt>
                <c:pt idx="8">
                  <c:v>2801</c:v>
                </c:pt>
                <c:pt idx="9">
                  <c:v>3229</c:v>
                </c:pt>
                <c:pt idx="10">
                  <c:v>3758</c:v>
                </c:pt>
              </c:numCache>
            </c:numRef>
          </c:val>
          <c:extLst xmlns:c16r2="http://schemas.microsoft.com/office/drawing/2015/06/chart">
            <c:ext xmlns:c16="http://schemas.microsoft.com/office/drawing/2014/chart" uri="{C3380CC4-5D6E-409C-BE32-E72D297353CC}">
              <c16:uniqueId val="{00000000-221E-4861-BFD2-B2C0266FAE76}"/>
            </c:ext>
          </c:extLst>
        </c:ser>
        <c:ser>
          <c:idx val="1"/>
          <c:order val="1"/>
          <c:tx>
            <c:strRef>
              <c:f>'Law &amp; order'!$A$13</c:f>
              <c:strCache>
                <c:ptCount val="1"/>
                <c:pt idx="0">
                  <c:v>Female</c:v>
                </c:pt>
              </c:strCache>
            </c:strRef>
          </c:tx>
          <c:spPr>
            <a:solidFill>
              <a:srgbClr val="FFBD5D"/>
            </a:solidFill>
            <a:ln>
              <a:noFill/>
            </a:ln>
            <a:effectLst/>
          </c:spPr>
          <c:invertIfNegative val="0"/>
          <c:cat>
            <c:numRef>
              <c:f>'Law &amp; order'!$U$3:$AG$3</c:f>
              <c:numCache>
                <c:formatCode>0</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'Law &amp; order'!$U$13:$AE$13</c:f>
              <c:numCache>
                <c:formatCode>#,##0</c:formatCode>
                <c:ptCount val="9"/>
                <c:pt idx="0">
                  <c:v>139</c:v>
                </c:pt>
                <c:pt idx="1">
                  <c:v>169</c:v>
                </c:pt>
                <c:pt idx="2">
                  <c:v>224</c:v>
                </c:pt>
                <c:pt idx="3">
                  <c:v>275</c:v>
                </c:pt>
                <c:pt idx="4">
                  <c:v>274</c:v>
                </c:pt>
                <c:pt idx="5">
                  <c:v>279</c:v>
                </c:pt>
                <c:pt idx="6">
                  <c:v>232</c:v>
                </c:pt>
                <c:pt idx="7">
                  <c:v>150</c:v>
                </c:pt>
                <c:pt idx="8">
                  <c:v>77</c:v>
                </c:pt>
              </c:numCache>
            </c:numRef>
          </c:val>
          <c:extLst xmlns:c16r2="http://schemas.microsoft.com/office/drawing/2015/06/chart">
            <c:ext xmlns:c16="http://schemas.microsoft.com/office/drawing/2014/chart" uri="{C3380CC4-5D6E-409C-BE32-E72D297353CC}">
              <c16:uniqueId val="{00000001-221E-4861-BFD2-B2C0266FAE76}"/>
            </c:ext>
          </c:extLst>
        </c:ser>
        <c:dLbls>
          <c:showLegendKey val="0"/>
          <c:showVal val="0"/>
          <c:showCatName val="0"/>
          <c:showSerName val="0"/>
          <c:showPercent val="0"/>
          <c:showBubbleSize val="0"/>
        </c:dLbls>
        <c:gapWidth val="150"/>
        <c:overlap val="100"/>
        <c:axId val="570439464"/>
        <c:axId val="570440248"/>
      </c:barChart>
      <c:catAx>
        <c:axId val="57043946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40248"/>
        <c:crosses val="autoZero"/>
        <c:auto val="1"/>
        <c:lblAlgn val="ctr"/>
        <c:lblOffset val="100"/>
        <c:noMultiLvlLbl val="0"/>
      </c:catAx>
      <c:valAx>
        <c:axId val="570440248"/>
        <c:scaling>
          <c:orientation val="minMax"/>
        </c:scaling>
        <c:delete val="0"/>
        <c:axPos val="l"/>
        <c:majorGridlines>
          <c:spPr>
            <a:ln w="9525" cap="flat" cmpd="sng" algn="ctr">
              <a:solidFill>
                <a:srgbClr val="C8F4F2"/>
              </a:solidFill>
              <a:round/>
            </a:ln>
            <a:effectLst/>
          </c:spPr>
        </c:majorGridlines>
        <c:numFmt formatCode="#,##0"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39464"/>
        <c:crosses val="autoZero"/>
        <c:crossBetween val="between"/>
      </c:valAx>
      <c:spPr>
        <a:noFill/>
        <a:ln>
          <a:solidFill>
            <a:schemeClr val="bg1">
              <a:lumMod val="85000"/>
            </a:schemeClr>
          </a:solidFill>
        </a:ln>
        <a:effectLst/>
      </c:spPr>
    </c:plotArea>
    <c:legend>
      <c:legendPos val="b"/>
      <c:layout>
        <c:manualLayout>
          <c:xMode val="edge"/>
          <c:yMode val="edge"/>
          <c:x val="0.67587659497272312"/>
          <c:y val="0.17977741418686299"/>
          <c:w val="0.22660228078326602"/>
          <c:h val="8.1122132460715132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200" b="1" i="0">
                <a:effectLst/>
                <a:latin typeface="Candara" pitchFamily="34" charset="0"/>
              </a:rPr>
              <a:t>Total Fish Catch, 2010 - 2020</a:t>
            </a:r>
            <a:endParaRPr lang="en-US" sz="1200">
              <a:effectLst/>
              <a:latin typeface="Candara" pitchFamily="34" charset="0"/>
            </a:endParaRPr>
          </a:p>
        </c:rich>
      </c:tx>
      <c:layout>
        <c:manualLayout>
          <c:xMode val="edge"/>
          <c:yMode val="edge"/>
          <c:x val="0.43777312347741043"/>
          <c:y val="4.1666666666666664E-2"/>
        </c:manualLayout>
      </c:layout>
      <c:overlay val="0"/>
    </c:title>
    <c:autoTitleDeleted val="0"/>
    <c:plotArea>
      <c:layout>
        <c:manualLayout>
          <c:layoutTarget val="inner"/>
          <c:xMode val="edge"/>
          <c:yMode val="edge"/>
          <c:x val="7.2986213261803809E-2"/>
          <c:y val="0.19480351414406533"/>
          <c:w val="0.90736148366069624"/>
          <c:h val="0.67178477690288718"/>
        </c:manualLayout>
      </c:layout>
      <c:barChart>
        <c:barDir val="col"/>
        <c:grouping val="clustered"/>
        <c:varyColors val="0"/>
        <c:ser>
          <c:idx val="1"/>
          <c:order val="1"/>
          <c:spPr>
            <a:solidFill>
              <a:srgbClr val="249390"/>
            </a:solidFill>
          </c:spPr>
          <c:invertIfNegative val="0"/>
          <c:cat>
            <c:numRef>
              <c:f>'fish agri'!$M$3:$AB$3</c:f>
              <c:numCache>
                <c:formatCode>0</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'fish agri'!$M$4:$AB$4</c:f>
              <c:numCache>
                <c:formatCode>_(* #,##0_);_(* \(#,##0\);_(* "-"??_);_(@_)</c:formatCode>
                <c:ptCount val="11"/>
                <c:pt idx="0">
                  <c:v>122.2</c:v>
                </c:pt>
                <c:pt idx="1">
                  <c:v>120.8</c:v>
                </c:pt>
                <c:pt idx="2">
                  <c:v>120</c:v>
                </c:pt>
                <c:pt idx="3">
                  <c:v>129.80000000000001</c:v>
                </c:pt>
                <c:pt idx="4">
                  <c:v>128.69999999999999</c:v>
                </c:pt>
                <c:pt idx="5">
                  <c:v>127.35057148143278</c:v>
                </c:pt>
                <c:pt idx="6">
                  <c:v>129.17570510655216</c:v>
                </c:pt>
                <c:pt idx="7">
                  <c:v>143.15996433162482</c:v>
                </c:pt>
                <c:pt idx="8">
                  <c:v>151.02432375223387</c:v>
                </c:pt>
                <c:pt idx="9">
                  <c:v>135.0689255701877</c:v>
                </c:pt>
                <c:pt idx="10">
                  <c:v>148.58296918261513</c:v>
                </c:pt>
              </c:numCache>
            </c:numRef>
          </c:val>
          <c:extLst xmlns:c16r2="http://schemas.microsoft.com/office/drawing/2015/06/chart">
            <c:ext xmlns:c16="http://schemas.microsoft.com/office/drawing/2014/chart" uri="{C3380CC4-5D6E-409C-BE32-E72D297353CC}">
              <c16:uniqueId val="{00000000-0280-4F19-89A5-C2747F87ABAB}"/>
            </c:ext>
          </c:extLst>
        </c:ser>
        <c:dLbls>
          <c:showLegendKey val="0"/>
          <c:showVal val="0"/>
          <c:showCatName val="0"/>
          <c:showSerName val="0"/>
          <c:showPercent val="0"/>
          <c:showBubbleSize val="0"/>
        </c:dLbls>
        <c:gapWidth val="150"/>
        <c:axId val="570439856"/>
        <c:axId val="570440640"/>
        <c:extLst xmlns:c16r2="http://schemas.microsoft.com/office/drawing/2015/06/chart">
          <c:ext xmlns:c15="http://schemas.microsoft.com/office/drawing/2012/chart" uri="{02D57815-91ED-43cb-92C2-25804820EDAC}">
            <c15:filteredBarSeries>
              <c15:ser>
                <c:idx val="0"/>
                <c:order val="0"/>
                <c:invertIfNegative val="0"/>
                <c:cat>
                  <c:numRef>
                    <c:extLst xmlns:c16r2="http://schemas.microsoft.com/office/drawing/2015/06/chart">
                      <c:ext uri="{02D57815-91ED-43cb-92C2-25804820EDAC}">
                        <c15:formulaRef>
                          <c15:sqref>'fish agri'!$M$3:$AB$3</c15:sqref>
                        </c15:formulaRef>
                      </c:ext>
                    </c:extLst>
                    <c:numCache>
                      <c:formatCode>0</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extLst xmlns:c16r2="http://schemas.microsoft.com/office/drawing/2015/06/chart">
                      <c:ext uri="{02D57815-91ED-43cb-92C2-25804820EDAC}">
                        <c15:formulaRef>
                          <c15:sqref>'fish agri'!$M$3:$Z$3</c15:sqref>
                        </c15:formulaRef>
                      </c:ext>
                    </c:extLst>
                    <c:numCache>
                      <c:formatCode>0</c:formatCode>
                      <c:ptCount val="9"/>
                      <c:pt idx="0">
                        <c:v>2010</c:v>
                      </c:pt>
                      <c:pt idx="1">
                        <c:v>2011</c:v>
                      </c:pt>
                      <c:pt idx="2">
                        <c:v>2012</c:v>
                      </c:pt>
                      <c:pt idx="3">
                        <c:v>2013</c:v>
                      </c:pt>
                      <c:pt idx="4">
                        <c:v>2014</c:v>
                      </c:pt>
                      <c:pt idx="5">
                        <c:v>2015</c:v>
                      </c:pt>
                      <c:pt idx="6">
                        <c:v>2016</c:v>
                      </c:pt>
                      <c:pt idx="7">
                        <c:v>2017</c:v>
                      </c:pt>
                      <c:pt idx="8">
                        <c:v>2018</c:v>
                      </c:pt>
                    </c:numCache>
                  </c:numRef>
                </c:val>
                <c:extLst xmlns:c16r2="http://schemas.microsoft.com/office/drawing/2015/06/chart">
                  <c:ext xmlns:c16="http://schemas.microsoft.com/office/drawing/2014/chart" uri="{C3380CC4-5D6E-409C-BE32-E72D297353CC}">
                    <c16:uniqueId val="{00000000-C543-4F9F-9502-AB341059FA11}"/>
                  </c:ext>
                </c:extLst>
              </c15:ser>
            </c15:filteredBarSeries>
          </c:ext>
        </c:extLst>
      </c:barChart>
      <c:catAx>
        <c:axId val="570439856"/>
        <c:scaling>
          <c:orientation val="minMax"/>
        </c:scaling>
        <c:delete val="0"/>
        <c:axPos val="b"/>
        <c:numFmt formatCode="0" sourceLinked="1"/>
        <c:majorTickMark val="out"/>
        <c:minorTickMark val="none"/>
        <c:tickLblPos val="nextTo"/>
        <c:txPr>
          <a:bodyPr/>
          <a:lstStyle/>
          <a:p>
            <a:pPr>
              <a:defRPr sz="1000"/>
            </a:pPr>
            <a:endParaRPr lang="en-US"/>
          </a:p>
        </c:txPr>
        <c:crossAx val="570440640"/>
        <c:crosses val="autoZero"/>
        <c:auto val="1"/>
        <c:lblAlgn val="ctr"/>
        <c:lblOffset val="100"/>
        <c:noMultiLvlLbl val="0"/>
      </c:catAx>
      <c:valAx>
        <c:axId val="570440640"/>
        <c:scaling>
          <c:orientation val="minMax"/>
        </c:scaling>
        <c:delete val="0"/>
        <c:axPos val="l"/>
        <c:majorGridlines>
          <c:spPr>
            <a:ln>
              <a:noFill/>
            </a:ln>
          </c:spPr>
        </c:majorGridlines>
        <c:numFmt formatCode="#,##0" sourceLinked="0"/>
        <c:majorTickMark val="out"/>
        <c:minorTickMark val="none"/>
        <c:tickLblPos val="nextTo"/>
        <c:txPr>
          <a:bodyPr/>
          <a:lstStyle/>
          <a:p>
            <a:pPr>
              <a:defRPr sz="1100"/>
            </a:pPr>
            <a:endParaRPr lang="en-US"/>
          </a:p>
        </c:txPr>
        <c:crossAx val="570439856"/>
        <c:crosses val="autoZero"/>
        <c:crossBetween val="between"/>
      </c:valAx>
      <c:spPr>
        <a:ln>
          <a:solidFill>
            <a:schemeClr val="bg1">
              <a:lumMod val="75000"/>
            </a:schemeClr>
          </a:solidFill>
        </a:ln>
      </c:spPr>
    </c:plotArea>
    <c:plotVisOnly val="1"/>
    <c:dispBlanksAs val="gap"/>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a:lstStyle/>
          <a:p>
            <a:pPr>
              <a:defRPr sz="1200" b="1" i="0" u="none" strike="noStrike" baseline="0">
                <a:solidFill>
                  <a:srgbClr val="000000"/>
                </a:solidFill>
                <a:latin typeface="Candara" pitchFamily="34" charset="0"/>
                <a:ea typeface="Calibri"/>
                <a:cs typeface="Calibri"/>
              </a:defRPr>
            </a:pPr>
            <a:r>
              <a:rPr lang="en-US">
                <a:latin typeface="Candara" pitchFamily="34" charset="0"/>
              </a:rPr>
              <a:t>Growth in tourist arrivals, 2010 - 2020</a:t>
            </a:r>
          </a:p>
        </c:rich>
      </c:tx>
      <c:layout>
        <c:manualLayout>
          <c:xMode val="edge"/>
          <c:yMode val="edge"/>
          <c:x val="0.31782867940134735"/>
          <c:y val="3.7633942139078211E-2"/>
        </c:manualLayout>
      </c:layout>
      <c:overlay val="0"/>
    </c:title>
    <c:autoTitleDeleted val="0"/>
    <c:plotArea>
      <c:layout>
        <c:manualLayout>
          <c:layoutTarget val="inner"/>
          <c:xMode val="edge"/>
          <c:yMode val="edge"/>
          <c:x val="7.3038177162440793E-2"/>
          <c:y val="0.17601392437866653"/>
          <c:w val="0.90483157393886904"/>
          <c:h val="0.70626398210290831"/>
        </c:manualLayout>
      </c:layout>
      <c:lineChart>
        <c:grouping val="standard"/>
        <c:varyColors val="0"/>
        <c:ser>
          <c:idx val="0"/>
          <c:order val="0"/>
          <c:tx>
            <c:strRef>
              <c:f>Tourism!$A$7</c:f>
              <c:strCache>
                <c:ptCount val="1"/>
                <c:pt idx="0">
                  <c:v>Growth in Tourist Arrivals (%)</c:v>
                </c:pt>
              </c:strCache>
            </c:strRef>
          </c:tx>
          <c:spPr>
            <a:ln w="22225">
              <a:solidFill>
                <a:srgbClr val="249390"/>
              </a:solidFill>
            </a:ln>
          </c:spPr>
          <c:marker>
            <c:symbol val="circle"/>
            <c:size val="7"/>
            <c:spPr>
              <a:solidFill>
                <a:srgbClr val="33CCCC"/>
              </a:solidFill>
              <a:ln>
                <a:solidFill>
                  <a:srgbClr val="C8F4F2"/>
                </a:solidFill>
              </a:ln>
            </c:spPr>
          </c:marker>
          <c:cat>
            <c:numRef>
              <c:f>Tourism!$U$3:$AI$3</c:f>
              <c:numCache>
                <c:formatCode>0</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Tourism!$U$7:$AI$7</c:f>
              <c:numCache>
                <c:formatCode>0.0</c:formatCode>
                <c:ptCount val="11"/>
                <c:pt idx="0">
                  <c:v>20.746296420533902</c:v>
                </c:pt>
                <c:pt idx="1">
                  <c:v>17.600000000000001</c:v>
                </c:pt>
                <c:pt idx="2">
                  <c:v>2.9</c:v>
                </c:pt>
                <c:pt idx="3">
                  <c:v>17.450170924558336</c:v>
                </c:pt>
                <c:pt idx="4">
                  <c:v>7.1</c:v>
                </c:pt>
                <c:pt idx="5">
                  <c:v>2.4393766231179304</c:v>
                </c:pt>
                <c:pt idx="6">
                  <c:v>4.2039363239802698</c:v>
                </c:pt>
                <c:pt idx="7">
                  <c:v>8.0401357555777579</c:v>
                </c:pt>
                <c:pt idx="8">
                  <c:v>6.8174981396748002</c:v>
                </c:pt>
                <c:pt idx="9">
                  <c:v>14.728614797537382</c:v>
                </c:pt>
                <c:pt idx="10">
                  <c:v>-67.379280010946118</c:v>
                </c:pt>
              </c:numCache>
            </c:numRef>
          </c:val>
          <c:smooth val="0"/>
          <c:extLst xmlns:c16r2="http://schemas.microsoft.com/office/drawing/2015/06/chart">
            <c:ext xmlns:c16="http://schemas.microsoft.com/office/drawing/2014/chart" uri="{C3380CC4-5D6E-409C-BE32-E72D297353CC}">
              <c16:uniqueId val="{00000000-1D05-4D08-A1C1-E9943970D591}"/>
            </c:ext>
          </c:extLst>
        </c:ser>
        <c:dLbls>
          <c:showLegendKey val="0"/>
          <c:showVal val="0"/>
          <c:showCatName val="0"/>
          <c:showSerName val="0"/>
          <c:showPercent val="0"/>
          <c:showBubbleSize val="0"/>
        </c:dLbls>
        <c:marker val="1"/>
        <c:smooth val="0"/>
        <c:axId val="623717552"/>
        <c:axId val="623720688"/>
      </c:lineChart>
      <c:catAx>
        <c:axId val="623717552"/>
        <c:scaling>
          <c:orientation val="minMax"/>
        </c:scaling>
        <c:delete val="0"/>
        <c:axPos val="b"/>
        <c:numFmt formatCode="0" sourceLinked="1"/>
        <c:majorTickMark val="none"/>
        <c:minorTickMark val="out"/>
        <c:tickLblPos val="low"/>
        <c:spPr>
          <a:ln w="22225">
            <a:solidFill>
              <a:srgbClr val="DDDDDD"/>
            </a:solidFill>
          </a:ln>
        </c:spPr>
        <c:txPr>
          <a:bodyPr rot="0" vert="horz"/>
          <a:lstStyle/>
          <a:p>
            <a:pPr>
              <a:defRPr sz="900" b="0" i="0" u="none" strike="noStrike" baseline="0">
                <a:solidFill>
                  <a:srgbClr val="000000"/>
                </a:solidFill>
                <a:latin typeface="Calibri"/>
                <a:ea typeface="Calibri"/>
                <a:cs typeface="Calibri"/>
              </a:defRPr>
            </a:pPr>
            <a:endParaRPr lang="en-US"/>
          </a:p>
        </c:txPr>
        <c:crossAx val="623720688"/>
        <c:crosses val="autoZero"/>
        <c:auto val="1"/>
        <c:lblAlgn val="ctr"/>
        <c:lblOffset val="100"/>
        <c:tickLblSkip val="1"/>
        <c:tickMarkSkip val="1"/>
        <c:noMultiLvlLbl val="0"/>
      </c:catAx>
      <c:valAx>
        <c:axId val="623720688"/>
        <c:scaling>
          <c:orientation val="minMax"/>
        </c:scaling>
        <c:delete val="0"/>
        <c:axPos val="l"/>
        <c:majorGridlines>
          <c:spPr>
            <a:ln w="3175">
              <a:noFill/>
            </a:ln>
          </c:spPr>
        </c:majorGridlines>
        <c:title>
          <c:tx>
            <c:rich>
              <a:bodyPr rot="0" vert="horz"/>
              <a:lstStyle/>
              <a:p>
                <a:pPr algn="ctr">
                  <a:defRPr sz="800" b="0" i="0" u="none" strike="noStrike" baseline="0">
                    <a:solidFill>
                      <a:srgbClr val="000000"/>
                    </a:solidFill>
                    <a:latin typeface="Calibri"/>
                    <a:ea typeface="Calibri"/>
                    <a:cs typeface="Calibri"/>
                  </a:defRPr>
                </a:pPr>
                <a:r>
                  <a:rPr lang="en-US" sz="800"/>
                  <a:t>In percent</a:t>
                </a:r>
              </a:p>
            </c:rich>
          </c:tx>
          <c:layout>
            <c:manualLayout>
              <c:xMode val="edge"/>
              <c:yMode val="edge"/>
              <c:x val="4.5902062956699689E-3"/>
              <c:y val="7.3500502034561113E-2"/>
            </c:manualLayout>
          </c:layout>
          <c:overlay val="0"/>
          <c:spPr>
            <a:noFill/>
            <a:ln w="25400">
              <a:noFill/>
            </a:ln>
          </c:spPr>
        </c:title>
        <c:numFmt formatCode="0" sourceLinked="0"/>
        <c:majorTickMark val="none"/>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623717552"/>
        <c:crosses val="autoZero"/>
        <c:crossBetween val="between"/>
      </c:valAx>
      <c:spPr>
        <a:solidFill>
          <a:srgbClr val="E0F9F8"/>
        </a:solidFill>
        <a:ln>
          <a:solidFill>
            <a:schemeClr val="bg1">
              <a:lumMod val="65000"/>
            </a:schemeClr>
          </a:solid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000000000000022" r="0.75000000000000022" t="1" header="0.5" footer="0.5"/>
    <c:pageSetup orientation="landscape"/>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Candara" pitchFamily="34" charset="0"/>
                <a:ea typeface="Calibri"/>
                <a:cs typeface="Calibri"/>
              </a:defRPr>
            </a:pPr>
            <a:r>
              <a:rPr lang="en-US">
                <a:latin typeface="Candara" pitchFamily="34" charset="0"/>
              </a:rPr>
              <a:t>Tourism Contribution to GDP (%), 2010 - 2020</a:t>
            </a:r>
          </a:p>
        </c:rich>
      </c:tx>
      <c:layout>
        <c:manualLayout>
          <c:xMode val="edge"/>
          <c:yMode val="edge"/>
          <c:x val="0.26265001291387657"/>
          <c:y val="6.5607600425261231E-2"/>
        </c:manualLayout>
      </c:layout>
      <c:overlay val="0"/>
    </c:title>
    <c:autoTitleDeleted val="0"/>
    <c:plotArea>
      <c:layout>
        <c:manualLayout>
          <c:layoutTarget val="inner"/>
          <c:xMode val="edge"/>
          <c:yMode val="edge"/>
          <c:x val="4.6096575150307365E-2"/>
          <c:y val="0.21178025556582744"/>
          <c:w val="0.91633179543068788"/>
          <c:h val="0.66431421207893071"/>
        </c:manualLayout>
      </c:layout>
      <c:lineChart>
        <c:grouping val="standard"/>
        <c:varyColors val="0"/>
        <c:ser>
          <c:idx val="0"/>
          <c:order val="0"/>
          <c:tx>
            <c:strRef>
              <c:f>Tourism!$A$25</c:f>
              <c:strCache>
                <c:ptCount val="1"/>
                <c:pt idx="0">
                  <c:v>Tourism Contribution to GDP (%) at constant price</c:v>
                </c:pt>
              </c:strCache>
            </c:strRef>
          </c:tx>
          <c:spPr>
            <a:ln>
              <a:solidFill>
                <a:srgbClr val="33CCCC"/>
              </a:solidFill>
            </a:ln>
          </c:spPr>
          <c:marker>
            <c:symbol val="diamond"/>
            <c:size val="7"/>
            <c:spPr>
              <a:solidFill>
                <a:srgbClr val="FFBD5D">
                  <a:alpha val="97000"/>
                </a:srgbClr>
              </a:solidFill>
              <a:ln w="9525">
                <a:solidFill>
                  <a:srgbClr val="FFC000"/>
                </a:solidFill>
                <a:prstDash val="solid"/>
              </a:ln>
            </c:spPr>
          </c:marker>
          <c:cat>
            <c:numRef>
              <c:f>Tourism!$U$3:$AI$3</c:f>
              <c:numCache>
                <c:formatCode>0</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Tourism!$U$25:$AI$25</c:f>
              <c:numCache>
                <c:formatCode>#,##0.0</c:formatCode>
                <c:ptCount val="11"/>
                <c:pt idx="0">
                  <c:v>26.33077834477502</c:v>
                </c:pt>
                <c:pt idx="1">
                  <c:v>26.409129691426088</c:v>
                </c:pt>
                <c:pt idx="2">
                  <c:v>25.709637855505868</c:v>
                </c:pt>
                <c:pt idx="3">
                  <c:v>26.380833552063532</c:v>
                </c:pt>
                <c:pt idx="4">
                  <c:v>25.222220343669495</c:v>
                </c:pt>
                <c:pt idx="5">
                  <c:v>23.577265793825415</c:v>
                </c:pt>
                <c:pt idx="6">
                  <c:v>23.776007716906278</c:v>
                </c:pt>
                <c:pt idx="7">
                  <c:v>24.470478687910209</c:v>
                </c:pt>
                <c:pt idx="8">
                  <c:v>24.820645423933822</c:v>
                </c:pt>
                <c:pt idx="9">
                  <c:v>26.267896009992388</c:v>
                </c:pt>
                <c:pt idx="10">
                  <c:v>14.820529248455566</c:v>
                </c:pt>
              </c:numCache>
            </c:numRef>
          </c:val>
          <c:smooth val="1"/>
          <c:extLst xmlns:c16r2="http://schemas.microsoft.com/office/drawing/2015/06/chart">
            <c:ext xmlns:c16="http://schemas.microsoft.com/office/drawing/2014/chart" uri="{C3380CC4-5D6E-409C-BE32-E72D297353CC}">
              <c16:uniqueId val="{00000000-FFC6-44EE-963E-F2CECEBFEBED}"/>
            </c:ext>
          </c:extLst>
        </c:ser>
        <c:dLbls>
          <c:showLegendKey val="0"/>
          <c:showVal val="0"/>
          <c:showCatName val="0"/>
          <c:showSerName val="0"/>
          <c:showPercent val="0"/>
          <c:showBubbleSize val="0"/>
        </c:dLbls>
        <c:marker val="1"/>
        <c:smooth val="0"/>
        <c:axId val="623718336"/>
        <c:axId val="623719120"/>
      </c:lineChart>
      <c:catAx>
        <c:axId val="623718336"/>
        <c:scaling>
          <c:orientation val="minMax"/>
        </c:scaling>
        <c:delete val="0"/>
        <c:axPos val="b"/>
        <c:majorGridlines>
          <c:spPr>
            <a:ln>
              <a:noFill/>
            </a:ln>
          </c:spPr>
        </c:majorGridlines>
        <c:numFmt formatCode="0" sourceLinked="1"/>
        <c:majorTickMark val="none"/>
        <c:minorTickMark val="out"/>
        <c:tickLblPos val="low"/>
        <c:txPr>
          <a:bodyPr rot="0" vert="horz"/>
          <a:lstStyle/>
          <a:p>
            <a:pPr>
              <a:defRPr sz="800" b="0" i="0" u="none" strike="noStrike" baseline="0">
                <a:solidFill>
                  <a:srgbClr val="000000"/>
                </a:solidFill>
                <a:latin typeface="Arial"/>
                <a:ea typeface="Arial"/>
                <a:cs typeface="Arial"/>
              </a:defRPr>
            </a:pPr>
            <a:endParaRPr lang="en-US"/>
          </a:p>
        </c:txPr>
        <c:crossAx val="623719120"/>
        <c:crosses val="autoZero"/>
        <c:auto val="1"/>
        <c:lblAlgn val="ctr"/>
        <c:lblOffset val="100"/>
        <c:tickLblSkip val="1"/>
        <c:tickMarkSkip val="1"/>
        <c:noMultiLvlLbl val="0"/>
      </c:catAx>
      <c:valAx>
        <c:axId val="623719120"/>
        <c:scaling>
          <c:orientation val="minMax"/>
          <c:min val="0"/>
        </c:scaling>
        <c:delete val="0"/>
        <c:axPos val="l"/>
        <c:majorGridlines>
          <c:spPr>
            <a:ln w="3175">
              <a:solidFill>
                <a:srgbClr val="C8F4F2"/>
              </a:solidFill>
            </a:ln>
          </c:spPr>
        </c:majorGridlines>
        <c:title>
          <c:tx>
            <c:rich>
              <a:bodyPr rot="0" vert="horz"/>
              <a:lstStyle/>
              <a:p>
                <a:pPr algn="ctr">
                  <a:defRPr sz="900" b="0" i="0" u="none" strike="noStrike" baseline="0">
                    <a:solidFill>
                      <a:srgbClr val="000000"/>
                    </a:solidFill>
                    <a:latin typeface="Calibri"/>
                    <a:ea typeface="Calibri"/>
                    <a:cs typeface="Calibri"/>
                  </a:defRPr>
                </a:pPr>
                <a:r>
                  <a:rPr lang="en-US"/>
                  <a:t>In percent</a:t>
                </a:r>
              </a:p>
            </c:rich>
          </c:tx>
          <c:layout>
            <c:manualLayout>
              <c:xMode val="edge"/>
              <c:yMode val="edge"/>
              <c:x val="6.7389994427932039E-3"/>
              <c:y val="8.8259224474682485E-2"/>
            </c:manualLayout>
          </c:layout>
          <c:overlay val="0"/>
          <c:spPr>
            <a:noFill/>
            <a:ln w="25400">
              <a:noFill/>
            </a:ln>
          </c:spPr>
        </c:title>
        <c:numFmt formatCode="0" sourceLinked="0"/>
        <c:majorTickMark val="out"/>
        <c:minorTickMark val="none"/>
        <c:tickLblPos val="nextTo"/>
        <c:txPr>
          <a:bodyPr rot="0" vert="horz"/>
          <a:lstStyle/>
          <a:p>
            <a:pPr>
              <a:defRPr sz="800" b="0" i="0" u="none" strike="noStrike" baseline="0">
                <a:solidFill>
                  <a:srgbClr val="000000"/>
                </a:solidFill>
                <a:latin typeface="Arial"/>
                <a:ea typeface="Arial"/>
                <a:cs typeface="Arial"/>
              </a:defRPr>
            </a:pPr>
            <a:endParaRPr lang="en-US"/>
          </a:p>
        </c:txPr>
        <c:crossAx val="623718336"/>
        <c:crosses val="autoZero"/>
        <c:crossBetween val="between"/>
        <c:majorUnit val="10"/>
      </c:valAx>
      <c:spPr>
        <a:solidFill>
          <a:srgbClr val="E0F9F8"/>
        </a:solidFill>
        <a:ln>
          <a:solidFill>
            <a:schemeClr val="bg1">
              <a:lumMod val="65000"/>
            </a:schemeClr>
          </a:solidFill>
        </a:ln>
      </c:spPr>
    </c:plotArea>
    <c:legend>
      <c:legendPos val="r"/>
      <c:layout>
        <c:manualLayout>
          <c:xMode val="edge"/>
          <c:yMode val="edge"/>
          <c:x val="8.7110998219659452E-2"/>
          <c:y val="0.76984199416798349"/>
          <c:w val="0.68128556258596773"/>
          <c:h val="9.0909303003791186E-2"/>
        </c:manualLayout>
      </c:layout>
      <c:overlay val="0"/>
      <c:txPr>
        <a:bodyPr/>
        <a:lstStyle/>
        <a:p>
          <a:pPr>
            <a:defRPr sz="80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000000000000022" r="0.75000000000000022" t="1" header="0.5" footer="0.5"/>
    <c:pageSetup orientation="landscape"/>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manualLayout>
          <c:layoutTarget val="inner"/>
          <c:xMode val="edge"/>
          <c:yMode val="edge"/>
          <c:x val="8.5436797385260652E-2"/>
          <c:y val="0.16103368894782444"/>
          <c:w val="0.88506076586433835"/>
          <c:h val="0.72552479327180874"/>
        </c:manualLayout>
      </c:layout>
      <c:barChart>
        <c:barDir val="col"/>
        <c:grouping val="clustered"/>
        <c:varyColors val="0"/>
        <c:ser>
          <c:idx val="0"/>
          <c:order val="0"/>
          <c:tx>
            <c:strRef>
              <c:f>Transp!$A$9</c:f>
              <c:strCache>
                <c:ptCount val="1"/>
                <c:pt idx="0">
                  <c:v>Passenger Movement of International Flights ('000)</c:v>
                </c:pt>
              </c:strCache>
            </c:strRef>
          </c:tx>
          <c:spPr>
            <a:solidFill>
              <a:srgbClr val="249390"/>
            </a:solidFill>
            <a:ln>
              <a:noFill/>
            </a:ln>
          </c:spPr>
          <c:invertIfNegative val="0"/>
          <c:cat>
            <c:numRef>
              <c:f>Transp!$E$3:$O$3</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Transp!$E$9:$O$9</c:f>
              <c:numCache>
                <c:formatCode>#,##0</c:formatCode>
                <c:ptCount val="11"/>
                <c:pt idx="0">
                  <c:v>2173.6</c:v>
                </c:pt>
                <c:pt idx="1">
                  <c:v>2409.1179999999999</c:v>
                </c:pt>
                <c:pt idx="2">
                  <c:v>2424.9180000000001</c:v>
                </c:pt>
                <c:pt idx="3">
                  <c:v>2863.806</c:v>
                </c:pt>
                <c:pt idx="4">
                  <c:v>3133.0369999999998</c:v>
                </c:pt>
                <c:pt idx="5">
                  <c:v>3174.0169999999998</c:v>
                </c:pt>
                <c:pt idx="6">
                  <c:v>3957.0704000000001</c:v>
                </c:pt>
                <c:pt idx="7">
                  <c:v>3557.2750000000001</c:v>
                </c:pt>
                <c:pt idx="8">
                  <c:v>3731.741</c:v>
                </c:pt>
                <c:pt idx="9">
                  <c:v>4183.8609999999999</c:v>
                </c:pt>
                <c:pt idx="10">
                  <c:v>645.904</c:v>
                </c:pt>
              </c:numCache>
            </c:numRef>
          </c:val>
          <c:extLst xmlns:c16r2="http://schemas.microsoft.com/office/drawing/2015/06/chart">
            <c:ext xmlns:c16="http://schemas.microsoft.com/office/drawing/2014/chart" uri="{C3380CC4-5D6E-409C-BE32-E72D297353CC}">
              <c16:uniqueId val="{00000000-494F-4DB1-9142-1476315591E3}"/>
            </c:ext>
          </c:extLst>
        </c:ser>
        <c:ser>
          <c:idx val="1"/>
          <c:order val="1"/>
          <c:invertIfNegative val="0"/>
          <c:cat>
            <c:numRef>
              <c:f>Transp!$E$3:$O$3</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Transp!$E$10:$M$10</c:f>
            </c:numRef>
          </c:val>
          <c:extLst xmlns:c16r2="http://schemas.microsoft.com/office/drawing/2015/06/chart">
            <c:ext xmlns:c16="http://schemas.microsoft.com/office/drawing/2014/chart" uri="{C3380CC4-5D6E-409C-BE32-E72D297353CC}">
              <c16:uniqueId val="{00000001-494F-4DB1-9142-1476315591E3}"/>
            </c:ext>
          </c:extLst>
        </c:ser>
        <c:ser>
          <c:idx val="2"/>
          <c:order val="2"/>
          <c:invertIfNegative val="0"/>
          <c:cat>
            <c:numRef>
              <c:f>Transp!$E$3:$O$3</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Transp!$E$11:$M$11</c:f>
            </c:numRef>
          </c:val>
          <c:extLst xmlns:c16r2="http://schemas.microsoft.com/office/drawing/2015/06/chart">
            <c:ext xmlns:c16="http://schemas.microsoft.com/office/drawing/2014/chart" uri="{C3380CC4-5D6E-409C-BE32-E72D297353CC}">
              <c16:uniqueId val="{00000002-494F-4DB1-9142-1476315591E3}"/>
            </c:ext>
          </c:extLst>
        </c:ser>
        <c:ser>
          <c:idx val="3"/>
          <c:order val="3"/>
          <c:invertIfNegative val="0"/>
          <c:cat>
            <c:numRef>
              <c:f>Transp!$E$3:$O$3</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Transp!$E$12:$M$12</c:f>
            </c:numRef>
          </c:val>
          <c:extLst xmlns:c16r2="http://schemas.microsoft.com/office/drawing/2015/06/chart">
            <c:ext xmlns:c16="http://schemas.microsoft.com/office/drawing/2014/chart" uri="{C3380CC4-5D6E-409C-BE32-E72D297353CC}">
              <c16:uniqueId val="{00000003-494F-4DB1-9142-1476315591E3}"/>
            </c:ext>
          </c:extLst>
        </c:ser>
        <c:ser>
          <c:idx val="4"/>
          <c:order val="4"/>
          <c:invertIfNegative val="0"/>
          <c:cat>
            <c:numRef>
              <c:f>Transp!$E$3:$O$3</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Transp!$E$13:$M$13</c:f>
            </c:numRef>
          </c:val>
          <c:extLst xmlns:c16r2="http://schemas.microsoft.com/office/drawing/2015/06/chart">
            <c:ext xmlns:c16="http://schemas.microsoft.com/office/drawing/2014/chart" uri="{C3380CC4-5D6E-409C-BE32-E72D297353CC}">
              <c16:uniqueId val="{00000004-494F-4DB1-9142-1476315591E3}"/>
            </c:ext>
          </c:extLst>
        </c:ser>
        <c:ser>
          <c:idx val="5"/>
          <c:order val="5"/>
          <c:tx>
            <c:strRef>
              <c:f>Transp!$A$14</c:f>
              <c:strCache>
                <c:ptCount val="1"/>
                <c:pt idx="0">
                  <c:v>Passenger Movement of Domestic Flights ('000)</c:v>
                </c:pt>
              </c:strCache>
            </c:strRef>
          </c:tx>
          <c:spPr>
            <a:solidFill>
              <a:srgbClr val="33CCCC"/>
            </a:solidFill>
          </c:spPr>
          <c:invertIfNegative val="0"/>
          <c:cat>
            <c:numRef>
              <c:f>Transp!$E$3:$O$3</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Transp!$E$14:$O$14</c:f>
              <c:numCache>
                <c:formatCode>#,##0</c:formatCode>
                <c:ptCount val="11"/>
                <c:pt idx="0">
                  <c:v>1041.204</c:v>
                </c:pt>
                <c:pt idx="1">
                  <c:v>1144.7850000000001</c:v>
                </c:pt>
                <c:pt idx="2">
                  <c:v>796.51900000000001</c:v>
                </c:pt>
                <c:pt idx="3">
                  <c:v>1366.8330000000001</c:v>
                </c:pt>
                <c:pt idx="4">
                  <c:v>1343.6489999999999</c:v>
                </c:pt>
                <c:pt idx="5">
                  <c:v>1642.6379999999999</c:v>
                </c:pt>
                <c:pt idx="6">
                  <c:v>1820.856</c:v>
                </c:pt>
                <c:pt idx="7">
                  <c:v>2025.68</c:v>
                </c:pt>
                <c:pt idx="8">
                  <c:v>2102.8850000000002</c:v>
                </c:pt>
                <c:pt idx="9">
                  <c:v>2385.2040000000002</c:v>
                </c:pt>
                <c:pt idx="10">
                  <c:v>406.06200000000001</c:v>
                </c:pt>
              </c:numCache>
            </c:numRef>
          </c:val>
          <c:extLst xmlns:c16r2="http://schemas.microsoft.com/office/drawing/2015/06/chart">
            <c:ext xmlns:c16="http://schemas.microsoft.com/office/drawing/2014/chart" uri="{C3380CC4-5D6E-409C-BE32-E72D297353CC}">
              <c16:uniqueId val="{00000005-494F-4DB1-9142-1476315591E3}"/>
            </c:ext>
          </c:extLst>
        </c:ser>
        <c:dLbls>
          <c:showLegendKey val="0"/>
          <c:showVal val="0"/>
          <c:showCatName val="0"/>
          <c:showSerName val="0"/>
          <c:showPercent val="0"/>
          <c:showBubbleSize val="0"/>
        </c:dLbls>
        <c:gapWidth val="150"/>
        <c:axId val="623720296"/>
        <c:axId val="623718728"/>
      </c:barChart>
      <c:catAx>
        <c:axId val="623720296"/>
        <c:scaling>
          <c:orientation val="minMax"/>
        </c:scaling>
        <c:delete val="0"/>
        <c:axPos val="b"/>
        <c:numFmt formatCode="General" sourceLinked="1"/>
        <c:majorTickMark val="none"/>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623718728"/>
        <c:crosses val="autoZero"/>
        <c:auto val="1"/>
        <c:lblAlgn val="ctr"/>
        <c:lblOffset val="100"/>
        <c:tickLblSkip val="1"/>
        <c:tickMarkSkip val="1"/>
        <c:noMultiLvlLbl val="0"/>
      </c:catAx>
      <c:valAx>
        <c:axId val="623718728"/>
        <c:scaling>
          <c:orientation val="minMax"/>
        </c:scaling>
        <c:delete val="0"/>
        <c:axPos val="l"/>
        <c:majorGridlines>
          <c:spPr>
            <a:ln>
              <a:noFill/>
            </a:ln>
          </c:spPr>
        </c:majorGridlines>
        <c:numFmt formatCode="#,##0" sourceLinked="1"/>
        <c:majorTickMark val="none"/>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623720296"/>
        <c:crosses val="autoZero"/>
        <c:crossBetween val="between"/>
      </c:valAx>
      <c:spPr>
        <a:noFill/>
        <a:ln>
          <a:solidFill>
            <a:schemeClr val="bg1">
              <a:lumMod val="65000"/>
            </a:schemeClr>
          </a:solidFill>
        </a:ln>
      </c:spPr>
    </c:plotArea>
    <c:legend>
      <c:legendPos val="r"/>
      <c:layout>
        <c:manualLayout>
          <c:xMode val="edge"/>
          <c:yMode val="edge"/>
          <c:x val="9.2763494924580206E-2"/>
          <c:y val="0.19653361038203557"/>
          <c:w val="0.55709198813056382"/>
          <c:h val="0.14334020075447559"/>
        </c:manualLayout>
      </c:layout>
      <c:overlay val="0"/>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000000000000078" r="0.75000000000000078" t="1" header="0.5" footer="0.5"/>
    <c:pageSetup orientation="landscape"/>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230870712401055"/>
          <c:y val="0.15808236060549199"/>
          <c:w val="0.84948882142744209"/>
          <c:h val="0.75022801635805225"/>
        </c:manualLayout>
      </c:layout>
      <c:barChart>
        <c:barDir val="col"/>
        <c:grouping val="clustered"/>
        <c:varyColors val="0"/>
        <c:ser>
          <c:idx val="0"/>
          <c:order val="0"/>
          <c:tx>
            <c:strRef>
              <c:f>Transp!$B$26</c:f>
              <c:strCache>
                <c:ptCount val="1"/>
                <c:pt idx="0">
                  <c:v>Number of Motor Cars</c:v>
                </c:pt>
              </c:strCache>
            </c:strRef>
          </c:tx>
          <c:spPr>
            <a:solidFill>
              <a:srgbClr val="33CCCC"/>
            </a:solidFill>
          </c:spPr>
          <c:invertIfNegative val="0"/>
          <c:cat>
            <c:numRef>
              <c:f>Transp!$E$3:$O$3</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Transp!$E$26:$O$26</c:f>
              <c:numCache>
                <c:formatCode>#,##0</c:formatCode>
                <c:ptCount val="11"/>
                <c:pt idx="0">
                  <c:v>3030</c:v>
                </c:pt>
                <c:pt idx="1">
                  <c:v>3180</c:v>
                </c:pt>
                <c:pt idx="2">
                  <c:v>3385</c:v>
                </c:pt>
                <c:pt idx="3">
                  <c:v>3659</c:v>
                </c:pt>
                <c:pt idx="4">
                  <c:v>4163</c:v>
                </c:pt>
                <c:pt idx="5">
                  <c:v>4931</c:v>
                </c:pt>
                <c:pt idx="6">
                  <c:v>5411</c:v>
                </c:pt>
                <c:pt idx="7">
                  <c:v>5823</c:v>
                </c:pt>
                <c:pt idx="8">
                  <c:v>6325</c:v>
                </c:pt>
                <c:pt idx="9">
                  <c:v>6983</c:v>
                </c:pt>
                <c:pt idx="10">
                  <c:v>7658</c:v>
                </c:pt>
              </c:numCache>
            </c:numRef>
          </c:val>
          <c:extLst xmlns:c16r2="http://schemas.microsoft.com/office/drawing/2015/06/chart">
            <c:ext xmlns:c16="http://schemas.microsoft.com/office/drawing/2014/chart" uri="{C3380CC4-5D6E-409C-BE32-E72D297353CC}">
              <c16:uniqueId val="{00000000-2D61-4BB1-87C2-4B5D0339400A}"/>
            </c:ext>
          </c:extLst>
        </c:ser>
        <c:ser>
          <c:idx val="1"/>
          <c:order val="1"/>
          <c:tx>
            <c:strRef>
              <c:f>Transp!$B$27</c:f>
              <c:strCache>
                <c:ptCount val="1"/>
                <c:pt idx="0">
                  <c:v>Number of Motor Cycles/Auto Cycles</c:v>
                </c:pt>
              </c:strCache>
            </c:strRef>
          </c:tx>
          <c:spPr>
            <a:solidFill>
              <a:srgbClr val="249390"/>
            </a:solidFill>
          </c:spPr>
          <c:invertIfNegative val="0"/>
          <c:cat>
            <c:numRef>
              <c:f>Transp!$E$3:$O$3</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Transp!$E$27:$O$27</c:f>
              <c:numCache>
                <c:formatCode>#,##0</c:formatCode>
                <c:ptCount val="11"/>
                <c:pt idx="0">
                  <c:v>38010</c:v>
                </c:pt>
                <c:pt idx="1">
                  <c:v>41662</c:v>
                </c:pt>
                <c:pt idx="2">
                  <c:v>45499</c:v>
                </c:pt>
                <c:pt idx="3">
                  <c:v>49819</c:v>
                </c:pt>
                <c:pt idx="4">
                  <c:v>55552</c:v>
                </c:pt>
                <c:pt idx="5">
                  <c:v>65520</c:v>
                </c:pt>
                <c:pt idx="6">
                  <c:v>73301</c:v>
                </c:pt>
                <c:pt idx="7">
                  <c:v>80859</c:v>
                </c:pt>
                <c:pt idx="8">
                  <c:v>89897</c:v>
                </c:pt>
                <c:pt idx="9">
                  <c:v>100513</c:v>
                </c:pt>
                <c:pt idx="10">
                  <c:v>106821</c:v>
                </c:pt>
              </c:numCache>
            </c:numRef>
          </c:val>
          <c:extLst xmlns:c16r2="http://schemas.microsoft.com/office/drawing/2015/06/chart">
            <c:ext xmlns:c16="http://schemas.microsoft.com/office/drawing/2014/chart" uri="{C3380CC4-5D6E-409C-BE32-E72D297353CC}">
              <c16:uniqueId val="{00000001-2D61-4BB1-87C2-4B5D0339400A}"/>
            </c:ext>
          </c:extLst>
        </c:ser>
        <c:dLbls>
          <c:showLegendKey val="0"/>
          <c:showVal val="0"/>
          <c:showCatName val="0"/>
          <c:showSerName val="0"/>
          <c:showPercent val="0"/>
          <c:showBubbleSize val="0"/>
        </c:dLbls>
        <c:gapWidth val="150"/>
        <c:axId val="501350488"/>
        <c:axId val="501349704"/>
      </c:barChart>
      <c:catAx>
        <c:axId val="501350488"/>
        <c:scaling>
          <c:orientation val="minMax"/>
        </c:scaling>
        <c:delete val="0"/>
        <c:axPos val="b"/>
        <c:numFmt formatCode="General" sourceLinked="1"/>
        <c:majorTickMark val="out"/>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501349704"/>
        <c:crosses val="autoZero"/>
        <c:auto val="1"/>
        <c:lblAlgn val="ctr"/>
        <c:lblOffset val="100"/>
        <c:noMultiLvlLbl val="0"/>
      </c:catAx>
      <c:valAx>
        <c:axId val="501349704"/>
        <c:scaling>
          <c:orientation val="minMax"/>
        </c:scaling>
        <c:delete val="0"/>
        <c:axPos val="l"/>
        <c:majorGridlines>
          <c:spPr>
            <a:ln>
              <a:noFill/>
            </a:ln>
          </c:spPr>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01350488"/>
        <c:crosses val="autoZero"/>
        <c:crossBetween val="between"/>
      </c:valAx>
      <c:spPr>
        <a:ln>
          <a:solidFill>
            <a:schemeClr val="bg1">
              <a:lumMod val="65000"/>
            </a:schemeClr>
          </a:solidFill>
        </a:ln>
      </c:spPr>
    </c:plotArea>
    <c:legend>
      <c:legendPos val="b"/>
      <c:layout>
        <c:manualLayout>
          <c:xMode val="edge"/>
          <c:yMode val="edge"/>
          <c:x val="0.13040927147051704"/>
          <c:y val="0.2599630263213768"/>
          <c:w val="0.50821473709829201"/>
          <c:h val="0.13138833971524991"/>
        </c:manualLayout>
      </c:layout>
      <c:overlay val="0"/>
      <c:txPr>
        <a:bodyPr/>
        <a:lstStyle/>
        <a:p>
          <a:pPr>
            <a:defRPr sz="90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000000000000078" r="0.75000000000000078" t="1" header="0.5" footer="0.5"/>
    <c:pageSetup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Registered</a:t>
            </a:r>
            <a:r>
              <a:rPr lang="en-US" sz="1400" b="1" baseline="0"/>
              <a:t> vehicles, 2010 -2020</a:t>
            </a:r>
            <a:endParaRPr lang="en-US" sz="1400"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33CCCC"/>
            </a:solidFill>
            <a:ln>
              <a:noFill/>
            </a:ln>
            <a:effectLst/>
          </c:spPr>
          <c:invertIfNegative val="0"/>
          <c:cat>
            <c:numRef>
              <c:f>Transp!$E$3:$O$3</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Transp!$E$25:$O$25</c:f>
              <c:numCache>
                <c:formatCode>#,##0</c:formatCode>
                <c:ptCount val="11"/>
                <c:pt idx="0">
                  <c:v>46028</c:v>
                </c:pt>
                <c:pt idx="1">
                  <c:v>50184</c:v>
                </c:pt>
                <c:pt idx="2">
                  <c:v>54485</c:v>
                </c:pt>
                <c:pt idx="3">
                  <c:v>59332</c:v>
                </c:pt>
                <c:pt idx="4">
                  <c:v>66132</c:v>
                </c:pt>
                <c:pt idx="5">
                  <c:v>77776</c:v>
                </c:pt>
                <c:pt idx="6">
                  <c:v>87126</c:v>
                </c:pt>
                <c:pt idx="7">
                  <c:v>97213</c:v>
                </c:pt>
                <c:pt idx="8">
                  <c:v>108532</c:v>
                </c:pt>
                <c:pt idx="9">
                  <c:v>121700</c:v>
                </c:pt>
                <c:pt idx="10">
                  <c:v>130156</c:v>
                </c:pt>
              </c:numCache>
            </c:numRef>
          </c:val>
          <c:extLst xmlns:c16r2="http://schemas.microsoft.com/office/drawing/2015/06/chart">
            <c:ext xmlns:c16="http://schemas.microsoft.com/office/drawing/2014/chart" uri="{C3380CC4-5D6E-409C-BE32-E72D297353CC}">
              <c16:uniqueId val="{00000000-3951-4CB6-94D1-E8A4AFCAF55B}"/>
            </c:ext>
          </c:extLst>
        </c:ser>
        <c:dLbls>
          <c:showLegendKey val="0"/>
          <c:showVal val="0"/>
          <c:showCatName val="0"/>
          <c:showSerName val="0"/>
          <c:showPercent val="0"/>
          <c:showBubbleSize val="0"/>
        </c:dLbls>
        <c:gapWidth val="150"/>
        <c:axId val="501350880"/>
        <c:axId val="501351272"/>
      </c:barChart>
      <c:catAx>
        <c:axId val="50135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01351272"/>
        <c:crosses val="autoZero"/>
        <c:auto val="1"/>
        <c:lblAlgn val="ctr"/>
        <c:lblOffset val="100"/>
        <c:noMultiLvlLbl val="0"/>
      </c:catAx>
      <c:valAx>
        <c:axId val="501351272"/>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350880"/>
        <c:crosses val="autoZero"/>
        <c:crossBetween val="between"/>
      </c:valAx>
      <c:spPr>
        <a:noFill/>
        <a:ln>
          <a:solidFill>
            <a:schemeClr val="bg2">
              <a:lumMod val="90000"/>
            </a:schemeClr>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Calibri"/>
                <a:ea typeface="Calibri"/>
                <a:cs typeface="Calibri"/>
              </a:defRPr>
            </a:pPr>
            <a:r>
              <a:rPr lang="en-US">
                <a:latin typeface="Candara" pitchFamily="34" charset="0"/>
              </a:rPr>
              <a:t>Electricity Production, Male' 2010- 2020</a:t>
            </a:r>
          </a:p>
        </c:rich>
      </c:tx>
      <c:layout>
        <c:manualLayout>
          <c:xMode val="edge"/>
          <c:yMode val="edge"/>
          <c:x val="0.28246125490341845"/>
          <c:y val="2.6350461133069828E-2"/>
        </c:manualLayout>
      </c:layout>
      <c:overlay val="0"/>
    </c:title>
    <c:autoTitleDeleted val="0"/>
    <c:plotArea>
      <c:layout>
        <c:manualLayout>
          <c:layoutTarget val="inner"/>
          <c:xMode val="edge"/>
          <c:yMode val="edge"/>
          <c:x val="9.8735668659837628E-2"/>
          <c:y val="0.17516648191827175"/>
          <c:w val="0.8505257024308982"/>
          <c:h val="0.70140999834848849"/>
        </c:manualLayout>
      </c:layout>
      <c:barChart>
        <c:barDir val="col"/>
        <c:grouping val="clustered"/>
        <c:varyColors val="0"/>
        <c:ser>
          <c:idx val="0"/>
          <c:order val="0"/>
          <c:spPr>
            <a:solidFill>
              <a:srgbClr val="249390"/>
            </a:solidFill>
          </c:spPr>
          <c:invertIfNegative val="0"/>
          <c:cat>
            <c:numRef>
              <c:f>'Elec &amp; water'!$F$2:$P$2</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'Elec &amp; water'!$F$6:$P$6</c:f>
              <c:numCache>
                <c:formatCode>#,##0</c:formatCode>
                <c:ptCount val="11"/>
                <c:pt idx="0">
                  <c:v>217331</c:v>
                </c:pt>
                <c:pt idx="1">
                  <c:v>231445</c:v>
                </c:pt>
                <c:pt idx="2">
                  <c:v>243768</c:v>
                </c:pt>
                <c:pt idx="3">
                  <c:v>254761.10599999997</c:v>
                </c:pt>
                <c:pt idx="4">
                  <c:v>269868.86499999999</c:v>
                </c:pt>
                <c:pt idx="5">
                  <c:v>308896.36499999999</c:v>
                </c:pt>
                <c:pt idx="6">
                  <c:v>326328.94900000002</c:v>
                </c:pt>
                <c:pt idx="7">
                  <c:v>336961.61200000002</c:v>
                </c:pt>
                <c:pt idx="8">
                  <c:v>355074.59600000002</c:v>
                </c:pt>
                <c:pt idx="9">
                  <c:v>385812.93400000001</c:v>
                </c:pt>
                <c:pt idx="10">
                  <c:v>378693.30499999999</c:v>
                </c:pt>
              </c:numCache>
            </c:numRef>
          </c:val>
          <c:extLst xmlns:c16r2="http://schemas.microsoft.com/office/drawing/2015/06/chart">
            <c:ext xmlns:c16="http://schemas.microsoft.com/office/drawing/2014/chart" uri="{C3380CC4-5D6E-409C-BE32-E72D297353CC}">
              <c16:uniqueId val="{00000000-AD49-4468-B7B5-2DCA5AE65AD7}"/>
            </c:ext>
          </c:extLst>
        </c:ser>
        <c:dLbls>
          <c:showLegendKey val="0"/>
          <c:showVal val="0"/>
          <c:showCatName val="0"/>
          <c:showSerName val="0"/>
          <c:showPercent val="0"/>
          <c:showBubbleSize val="0"/>
        </c:dLbls>
        <c:gapWidth val="69"/>
        <c:overlap val="9"/>
        <c:axId val="501352056"/>
        <c:axId val="612732592"/>
      </c:barChart>
      <c:catAx>
        <c:axId val="501352056"/>
        <c:scaling>
          <c:orientation val="minMax"/>
        </c:scaling>
        <c:delete val="0"/>
        <c:axPos val="b"/>
        <c:numFmt formatCode="General" sourceLinked="1"/>
        <c:majorTickMark val="out"/>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612732592"/>
        <c:crosses val="autoZero"/>
        <c:auto val="1"/>
        <c:lblAlgn val="ctr"/>
        <c:lblOffset val="100"/>
        <c:noMultiLvlLbl val="0"/>
      </c:catAx>
      <c:valAx>
        <c:axId val="612732592"/>
        <c:scaling>
          <c:orientation val="minMax"/>
        </c:scaling>
        <c:delete val="0"/>
        <c:axPos val="l"/>
        <c:majorGridlines>
          <c:spPr>
            <a:ln>
              <a:solidFill>
                <a:srgbClr val="C8F4F2"/>
              </a:solidFill>
            </a:ln>
          </c:spPr>
        </c:majorGridlines>
        <c:title>
          <c:tx>
            <c:rich>
              <a:bodyPr rot="0" vert="horz"/>
              <a:lstStyle/>
              <a:p>
                <a:pPr algn="ctr">
                  <a:defRPr sz="900" b="1" i="0" u="none" strike="noStrike" baseline="0">
                    <a:solidFill>
                      <a:srgbClr val="000000"/>
                    </a:solidFill>
                    <a:latin typeface="Calibri"/>
                    <a:ea typeface="Calibri"/>
                    <a:cs typeface="Calibri"/>
                  </a:defRPr>
                </a:pPr>
                <a:r>
                  <a:rPr lang="en-US"/>
                  <a:t>In '000Kwh</a:t>
                </a:r>
              </a:p>
            </c:rich>
          </c:tx>
          <c:layout>
            <c:manualLayout>
              <c:xMode val="edge"/>
              <c:yMode val="edge"/>
              <c:x val="2.2340578214240077E-2"/>
              <c:y val="7.5927090141400311E-2"/>
            </c:manualLayout>
          </c:layout>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01352056"/>
        <c:crosses val="autoZero"/>
        <c:crossBetween val="between"/>
      </c:valAx>
      <c:spPr>
        <a:solidFill>
          <a:srgbClr val="E0F9F8"/>
        </a:solidFill>
        <a:ln>
          <a:solidFill>
            <a:schemeClr val="bg2">
              <a:lumMod val="90000"/>
            </a:schemeClr>
          </a:solid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orientation="portrait"/>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Water </a:t>
            </a:r>
            <a:r>
              <a:rPr lang="en-GB" sz="1200" b="1" i="0" baseline="0">
                <a:effectLst/>
              </a:rPr>
              <a:t>distribution</a:t>
            </a:r>
            <a:r>
              <a:rPr lang="en-US" sz="1200" b="1" i="0" baseline="0">
                <a:effectLst/>
              </a:rPr>
              <a:t> in Male' , Villimale' and Hulhumale', 2016 - 2020</a:t>
            </a:r>
            <a:endParaRPr lang="en-US" sz="1050">
              <a:effectLst/>
            </a:endParaRPr>
          </a:p>
        </c:rich>
      </c:tx>
      <c:layout>
        <c:manualLayout>
          <c:xMode val="edge"/>
          <c:yMode val="edge"/>
          <c:x val="0.13919790742880692"/>
          <c:y val="3.41880341880341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2704755762185014E-2"/>
          <c:y val="0.16593893411209967"/>
          <c:w val="0.87945804556000462"/>
          <c:h val="0.73854330594068063"/>
        </c:manualLayout>
      </c:layout>
      <c:barChart>
        <c:barDir val="bar"/>
        <c:grouping val="clustered"/>
        <c:varyColors val="0"/>
        <c:ser>
          <c:idx val="0"/>
          <c:order val="0"/>
          <c:tx>
            <c:strRef>
              <c:f>'Elec &amp; water'!$AP$19</c:f>
              <c:strCache>
                <c:ptCount val="1"/>
                <c:pt idx="0">
                  <c:v>Male'</c:v>
                </c:pt>
              </c:strCache>
            </c:strRef>
          </c:tx>
          <c:spPr>
            <a:solidFill>
              <a:srgbClr val="249390"/>
            </a:solidFill>
            <a:ln>
              <a:noFill/>
            </a:ln>
            <a:effectLst/>
          </c:spPr>
          <c:invertIfNegative val="0"/>
          <c:cat>
            <c:numRef>
              <c:f>'Elec &amp; water'!$AW$18:$BA$18</c:f>
              <c:numCache>
                <c:formatCode>0</c:formatCode>
                <c:ptCount val="5"/>
                <c:pt idx="0">
                  <c:v>2016</c:v>
                </c:pt>
                <c:pt idx="1">
                  <c:v>2017</c:v>
                </c:pt>
                <c:pt idx="2">
                  <c:v>2018</c:v>
                </c:pt>
                <c:pt idx="3">
                  <c:v>2019</c:v>
                </c:pt>
                <c:pt idx="4">
                  <c:v>2020</c:v>
                </c:pt>
              </c:numCache>
            </c:numRef>
          </c:cat>
          <c:val>
            <c:numRef>
              <c:f>'Elec &amp; water'!$AW$19:$BA$19</c:f>
              <c:numCache>
                <c:formatCode>#,##0</c:formatCode>
                <c:ptCount val="5"/>
                <c:pt idx="0">
                  <c:v>5805.4536200000002</c:v>
                </c:pt>
                <c:pt idx="1">
                  <c:v>6298.49</c:v>
                </c:pt>
                <c:pt idx="2">
                  <c:v>6824.6389999999992</c:v>
                </c:pt>
                <c:pt idx="3">
                  <c:v>7144.6580999999987</c:v>
                </c:pt>
                <c:pt idx="4">
                  <c:v>7078.3444999999992</c:v>
                </c:pt>
              </c:numCache>
            </c:numRef>
          </c:val>
          <c:extLst xmlns:c16r2="http://schemas.microsoft.com/office/drawing/2015/06/chart">
            <c:ext xmlns:c16="http://schemas.microsoft.com/office/drawing/2014/chart" uri="{C3380CC4-5D6E-409C-BE32-E72D297353CC}">
              <c16:uniqueId val="{00000000-D8A0-489A-B6BF-61A3A263E3E5}"/>
            </c:ext>
          </c:extLst>
        </c:ser>
        <c:ser>
          <c:idx val="1"/>
          <c:order val="1"/>
          <c:tx>
            <c:strRef>
              <c:f>'Elec &amp; water'!$AP$20</c:f>
              <c:strCache>
                <c:ptCount val="1"/>
                <c:pt idx="0">
                  <c:v>VilliMale'</c:v>
                </c:pt>
              </c:strCache>
            </c:strRef>
          </c:tx>
          <c:spPr>
            <a:solidFill>
              <a:srgbClr val="C8F4F2"/>
            </a:solidFill>
            <a:ln>
              <a:noFill/>
            </a:ln>
            <a:effectLst/>
          </c:spPr>
          <c:invertIfNegative val="0"/>
          <c:cat>
            <c:numRef>
              <c:f>'Elec &amp; water'!$AW$18:$BA$18</c:f>
              <c:numCache>
                <c:formatCode>0</c:formatCode>
                <c:ptCount val="5"/>
                <c:pt idx="0">
                  <c:v>2016</c:v>
                </c:pt>
                <c:pt idx="1">
                  <c:v>2017</c:v>
                </c:pt>
                <c:pt idx="2">
                  <c:v>2018</c:v>
                </c:pt>
                <c:pt idx="3">
                  <c:v>2019</c:v>
                </c:pt>
                <c:pt idx="4">
                  <c:v>2020</c:v>
                </c:pt>
              </c:numCache>
            </c:numRef>
          </c:cat>
          <c:val>
            <c:numRef>
              <c:f>'Elec &amp; water'!$AW$20:$BA$20</c:f>
              <c:numCache>
                <c:formatCode>#,##0</c:formatCode>
                <c:ptCount val="5"/>
                <c:pt idx="0">
                  <c:v>232.48755999999997</c:v>
                </c:pt>
                <c:pt idx="1">
                  <c:v>249.613</c:v>
                </c:pt>
                <c:pt idx="2">
                  <c:v>274.12400000000002</c:v>
                </c:pt>
                <c:pt idx="3">
                  <c:v>284.36799999999999</c:v>
                </c:pt>
                <c:pt idx="4">
                  <c:v>287.35700000000003</c:v>
                </c:pt>
              </c:numCache>
            </c:numRef>
          </c:val>
          <c:extLst xmlns:c16r2="http://schemas.microsoft.com/office/drawing/2015/06/chart">
            <c:ext xmlns:c16="http://schemas.microsoft.com/office/drawing/2014/chart" uri="{C3380CC4-5D6E-409C-BE32-E72D297353CC}">
              <c16:uniqueId val="{00000001-D8A0-489A-B6BF-61A3A263E3E5}"/>
            </c:ext>
          </c:extLst>
        </c:ser>
        <c:ser>
          <c:idx val="2"/>
          <c:order val="2"/>
          <c:tx>
            <c:strRef>
              <c:f>'Elec &amp; water'!$AP$21</c:f>
              <c:strCache>
                <c:ptCount val="1"/>
                <c:pt idx="0">
                  <c:v>Hulhumale'</c:v>
                </c:pt>
              </c:strCache>
            </c:strRef>
          </c:tx>
          <c:spPr>
            <a:solidFill>
              <a:srgbClr val="33CCCC"/>
            </a:solidFill>
            <a:ln>
              <a:noFill/>
            </a:ln>
            <a:effectLst/>
          </c:spPr>
          <c:invertIfNegative val="0"/>
          <c:cat>
            <c:numRef>
              <c:f>'Elec &amp; water'!$AW$18:$BA$18</c:f>
              <c:numCache>
                <c:formatCode>0</c:formatCode>
                <c:ptCount val="5"/>
                <c:pt idx="0">
                  <c:v>2016</c:v>
                </c:pt>
                <c:pt idx="1">
                  <c:v>2017</c:v>
                </c:pt>
                <c:pt idx="2">
                  <c:v>2018</c:v>
                </c:pt>
                <c:pt idx="3">
                  <c:v>2019</c:v>
                </c:pt>
                <c:pt idx="4">
                  <c:v>2020</c:v>
                </c:pt>
              </c:numCache>
            </c:numRef>
          </c:cat>
          <c:val>
            <c:numRef>
              <c:f>'Elec &amp; water'!$AW$21:$BA$21</c:f>
              <c:numCache>
                <c:formatCode>#,##0</c:formatCode>
                <c:ptCount val="5"/>
                <c:pt idx="0">
                  <c:v>867.75994000000003</c:v>
                </c:pt>
                <c:pt idx="1">
                  <c:v>1049.0279700000001</c:v>
                </c:pt>
                <c:pt idx="2">
                  <c:v>1510.0730000000001</c:v>
                </c:pt>
                <c:pt idx="3">
                  <c:v>1819.587</c:v>
                </c:pt>
                <c:pt idx="4">
                  <c:v>1984.9509999999998</c:v>
                </c:pt>
              </c:numCache>
            </c:numRef>
          </c:val>
          <c:extLst xmlns:c16r2="http://schemas.microsoft.com/office/drawing/2015/06/chart">
            <c:ext xmlns:c16="http://schemas.microsoft.com/office/drawing/2014/chart" uri="{C3380CC4-5D6E-409C-BE32-E72D297353CC}">
              <c16:uniqueId val="{00000000-55E5-499D-9502-1AE4A7709570}"/>
            </c:ext>
          </c:extLst>
        </c:ser>
        <c:dLbls>
          <c:showLegendKey val="0"/>
          <c:showVal val="0"/>
          <c:showCatName val="0"/>
          <c:showSerName val="0"/>
          <c:showPercent val="0"/>
          <c:showBubbleSize val="0"/>
        </c:dLbls>
        <c:gapWidth val="182"/>
        <c:axId val="612733376"/>
        <c:axId val="612733768"/>
      </c:barChart>
      <c:catAx>
        <c:axId val="612733376"/>
        <c:scaling>
          <c:orientation val="minMax"/>
        </c:scaling>
        <c:delete val="0"/>
        <c:axPos val="l"/>
        <c:numFmt formatCode="0" sourceLinked="1"/>
        <c:majorTickMark val="none"/>
        <c:minorTickMark val="none"/>
        <c:tickLblPos val="nextTo"/>
        <c:spPr>
          <a:noFill/>
          <a:ln w="19050" cap="flat" cmpd="sng" algn="ctr">
            <a:solidFill>
              <a:schemeClr val="bg1">
                <a:lumMod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733768"/>
        <c:crosses val="autoZero"/>
        <c:auto val="1"/>
        <c:lblAlgn val="ctr"/>
        <c:lblOffset val="100"/>
        <c:noMultiLvlLbl val="0"/>
      </c:catAx>
      <c:valAx>
        <c:axId val="612733768"/>
        <c:scaling>
          <c:orientation val="minMax"/>
        </c:scaling>
        <c:delete val="0"/>
        <c:axPos val="b"/>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733376"/>
        <c:crosses val="autoZero"/>
        <c:crossBetween val="between"/>
      </c:valAx>
      <c:spPr>
        <a:noFill/>
        <a:ln>
          <a:solidFill>
            <a:schemeClr val="bg1">
              <a:lumMod val="75000"/>
            </a:schemeClr>
          </a:solidFill>
        </a:ln>
        <a:effectLst/>
      </c:spPr>
    </c:plotArea>
    <c:legend>
      <c:legendPos val="b"/>
      <c:layout>
        <c:manualLayout>
          <c:xMode val="edge"/>
          <c:yMode val="edge"/>
          <c:x val="0.46703686016680918"/>
          <c:y val="0.18904716910386202"/>
          <c:w val="0.39101019985365809"/>
          <c:h val="7.187179419248108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a:lstStyle/>
          <a:p>
            <a:pPr>
              <a:defRPr sz="1200" b="1" i="0" u="none" strike="noStrike" baseline="0">
                <a:solidFill>
                  <a:srgbClr val="000000"/>
                </a:solidFill>
                <a:latin typeface="Candara" panose="020E0502030303020204" pitchFamily="34" charset="0"/>
                <a:ea typeface="Calibri"/>
                <a:cs typeface="Consolas" pitchFamily="49" charset="0"/>
              </a:defRPr>
            </a:pPr>
            <a:r>
              <a:rPr lang="en-US" sz="1200">
                <a:latin typeface="Candara" panose="020E0502030303020204" pitchFamily="34" charset="0"/>
                <a:cs typeface="Consolas" pitchFamily="49" charset="0"/>
              </a:rPr>
              <a:t>Government Finance, 2010 - 2020</a:t>
            </a:r>
          </a:p>
        </c:rich>
      </c:tx>
      <c:layout>
        <c:manualLayout>
          <c:xMode val="edge"/>
          <c:yMode val="edge"/>
          <c:x val="0.30563890040060776"/>
          <c:y val="4.9978560159869602E-2"/>
        </c:manualLayout>
      </c:layout>
      <c:overlay val="0"/>
    </c:title>
    <c:autoTitleDeleted val="0"/>
    <c:plotArea>
      <c:layout>
        <c:manualLayout>
          <c:layoutTarget val="inner"/>
          <c:xMode val="edge"/>
          <c:yMode val="edge"/>
          <c:x val="9.3603425847806579E-2"/>
          <c:y val="0.14597174996541862"/>
          <c:w val="0.8875350205339313"/>
          <c:h val="0.72969116628640807"/>
        </c:manualLayout>
      </c:layout>
      <c:lineChart>
        <c:grouping val="standard"/>
        <c:varyColors val="0"/>
        <c:ser>
          <c:idx val="2"/>
          <c:order val="2"/>
          <c:tx>
            <c:strRef>
              <c:f>Finance!$AA$44</c:f>
              <c:strCache>
                <c:ptCount val="1"/>
                <c:pt idx="0">
                  <c:v>Revenue and Grants</c:v>
                </c:pt>
              </c:strCache>
            </c:strRef>
          </c:tx>
          <c:spPr>
            <a:ln>
              <a:solidFill>
                <a:srgbClr val="249390"/>
              </a:solidFill>
            </a:ln>
          </c:spPr>
          <c:marker>
            <c:spPr>
              <a:solidFill>
                <a:srgbClr val="33CCCC"/>
              </a:solidFill>
              <a:ln w="6350">
                <a:solidFill>
                  <a:srgbClr val="196563"/>
                </a:solidFill>
              </a:ln>
            </c:spPr>
          </c:marker>
          <c:cat>
            <c:numRef>
              <c:f>Finance!$AB$41:$AL$41</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Finance!$AB$44:$AL$44</c:f>
              <c:numCache>
                <c:formatCode>_(* #,##0.0_);_(* \(#,##0.0\);_(* "-"_);_(@_)</c:formatCode>
                <c:ptCount val="11"/>
                <c:pt idx="0">
                  <c:v>6546.9287702799966</c:v>
                </c:pt>
                <c:pt idx="1">
                  <c:v>9904.5614829999995</c:v>
                </c:pt>
                <c:pt idx="2">
                  <c:v>10138.11294952</c:v>
                </c:pt>
                <c:pt idx="3">
                  <c:v>11900.748051729999</c:v>
                </c:pt>
                <c:pt idx="4">
                  <c:v>15164.227912</c:v>
                </c:pt>
                <c:pt idx="5">
                  <c:v>17306.201467370003</c:v>
                </c:pt>
                <c:pt idx="6">
                  <c:v>18578.118781009995</c:v>
                </c:pt>
                <c:pt idx="7">
                  <c:v>20258.636295000004</c:v>
                </c:pt>
                <c:pt idx="8">
                  <c:v>22222.967435000002</c:v>
                </c:pt>
                <c:pt idx="9">
                  <c:v>23231.857586999999</c:v>
                </c:pt>
                <c:pt idx="10">
                  <c:v>14692.808497000002</c:v>
                </c:pt>
              </c:numCache>
            </c:numRef>
          </c:val>
          <c:smooth val="0"/>
          <c:extLst xmlns:c16r2="http://schemas.microsoft.com/office/drawing/2015/06/chart">
            <c:ext xmlns:c16="http://schemas.microsoft.com/office/drawing/2014/chart" uri="{C3380CC4-5D6E-409C-BE32-E72D297353CC}">
              <c16:uniqueId val="{00000000-5099-4967-B362-F7BA2A06948A}"/>
            </c:ext>
          </c:extLst>
        </c:ser>
        <c:ser>
          <c:idx val="3"/>
          <c:order val="3"/>
          <c:tx>
            <c:strRef>
              <c:f>Finance!$AA$45</c:f>
              <c:strCache>
                <c:ptCount val="1"/>
                <c:pt idx="0">
                  <c:v>Expenditure and Net Lending</c:v>
                </c:pt>
              </c:strCache>
            </c:strRef>
          </c:tx>
          <c:spPr>
            <a:ln>
              <a:solidFill>
                <a:srgbClr val="33CCCC"/>
              </a:solidFill>
            </a:ln>
          </c:spPr>
          <c:marker>
            <c:spPr>
              <a:solidFill>
                <a:srgbClr val="C8F4F2"/>
              </a:solidFill>
              <a:ln>
                <a:solidFill>
                  <a:srgbClr val="249390"/>
                </a:solidFill>
              </a:ln>
            </c:spPr>
          </c:marker>
          <c:cat>
            <c:numRef>
              <c:f>Finance!$AB$41:$AL$41</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Finance!$AB$45:$AL$45</c:f>
              <c:numCache>
                <c:formatCode>_(* #,##0.0_);_(* \(#,##0.0\);_(* "-"_);_(@_)</c:formatCode>
                <c:ptCount val="11"/>
                <c:pt idx="0">
                  <c:v>10815.062102899999</c:v>
                </c:pt>
                <c:pt idx="1">
                  <c:v>12264.726665999999</c:v>
                </c:pt>
                <c:pt idx="2">
                  <c:v>13110.002924999999</c:v>
                </c:pt>
                <c:pt idx="3">
                  <c:v>13530.771002489999</c:v>
                </c:pt>
                <c:pt idx="4">
                  <c:v>16417.211596000001</c:v>
                </c:pt>
                <c:pt idx="5">
                  <c:v>21336.878134909999</c:v>
                </c:pt>
                <c:pt idx="6">
                  <c:v>25262.973192969996</c:v>
                </c:pt>
                <c:pt idx="7">
                  <c:v>22420.18677</c:v>
                </c:pt>
                <c:pt idx="8">
                  <c:v>26418.667526999998</c:v>
                </c:pt>
                <c:pt idx="9">
                  <c:v>28919.533213000002</c:v>
                </c:pt>
                <c:pt idx="10">
                  <c:v>30566.561805000001</c:v>
                </c:pt>
              </c:numCache>
            </c:numRef>
          </c:val>
          <c:smooth val="0"/>
          <c:extLst xmlns:c16r2="http://schemas.microsoft.com/office/drawing/2015/06/chart">
            <c:ext xmlns:c16="http://schemas.microsoft.com/office/drawing/2014/chart" uri="{C3380CC4-5D6E-409C-BE32-E72D297353CC}">
              <c16:uniqueId val="{00000001-5099-4967-B362-F7BA2A06948A}"/>
            </c:ext>
          </c:extLst>
        </c:ser>
        <c:dLbls>
          <c:showLegendKey val="0"/>
          <c:showVal val="0"/>
          <c:showCatName val="0"/>
          <c:showSerName val="0"/>
          <c:showPercent val="0"/>
          <c:showBubbleSize val="0"/>
        </c:dLbls>
        <c:marker val="1"/>
        <c:smooth val="0"/>
        <c:axId val="660253448"/>
        <c:axId val="660252664"/>
        <c:extLst xmlns:c16r2="http://schemas.microsoft.com/office/drawing/2015/06/chart">
          <c:ext xmlns:c15="http://schemas.microsoft.com/office/drawing/2012/chart" uri="{02D57815-91ED-43cb-92C2-25804820EDAC}">
            <c15:filteredLineSeries>
              <c15:ser>
                <c:idx val="0"/>
                <c:order val="0"/>
                <c:tx>
                  <c:strRef>
                    <c:extLst xmlns:c16r2="http://schemas.microsoft.com/office/drawing/2015/06/chart">
                      <c:ext uri="{02D57815-91ED-43cb-92C2-25804820EDAC}">
                        <c15:formulaRef>
                          <c15:sqref>Finance!$AA$42</c15:sqref>
                        </c15:formulaRef>
                      </c:ext>
                    </c:extLst>
                    <c:strCache>
                      <c:ptCount val="1"/>
                      <c:pt idx="0">
                        <c:v>Foreign Debt</c:v>
                      </c:pt>
                    </c:strCache>
                  </c:strRef>
                </c:tx>
                <c:marker>
                  <c:symbol val="square"/>
                  <c:size val="7"/>
                  <c:spPr>
                    <a:solidFill>
                      <a:srgbClr val="33CCCC"/>
                    </a:solidFill>
                    <a:ln w="6350">
                      <a:solidFill>
                        <a:srgbClr val="196563"/>
                      </a:solidFill>
                    </a:ln>
                  </c:spPr>
                </c:marker>
                <c:cat>
                  <c:numRef>
                    <c:extLst xmlns:c16r2="http://schemas.microsoft.com/office/drawing/2015/06/chart">
                      <c:ext uri="{02D57815-91ED-43cb-92C2-25804820EDAC}">
                        <c15:formulaRef>
                          <c15:sqref>Finance!$AB$41:$AL$41</c15:sqref>
                        </c15:formulaRef>
                      </c:ext>
                    </c:extLst>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extLst xmlns:c16r2="http://schemas.microsoft.com/office/drawing/2015/06/chart">
                      <c:ext uri="{02D57815-91ED-43cb-92C2-25804820EDAC}">
                        <c15:formulaRef>
                          <c15:sqref>Finance!$AB$42:$AL$42</c15:sqref>
                        </c15:formulaRef>
                      </c:ext>
                    </c:extLst>
                    <c:numCache>
                      <c:formatCode>_(* #,##0.0_);_(* \(#,##0.0\);_(* "-"_);_(@_)</c:formatCode>
                      <c:ptCount val="11"/>
                      <c:pt idx="0">
                        <c:v>7859.3</c:v>
                      </c:pt>
                      <c:pt idx="1">
                        <c:v>10349.700000000001</c:v>
                      </c:pt>
                      <c:pt idx="2">
                        <c:v>11081.6</c:v>
                      </c:pt>
                      <c:pt idx="3">
                        <c:v>11517.8</c:v>
                      </c:pt>
                      <c:pt idx="4">
                        <c:v>10749.2</c:v>
                      </c:pt>
                      <c:pt idx="5">
                        <c:v>10204.200000000001</c:v>
                      </c:pt>
                      <c:pt idx="6">
                        <c:v>11725.9</c:v>
                      </c:pt>
                      <c:pt idx="7">
                        <c:v>17408.400000000001</c:v>
                      </c:pt>
                      <c:pt idx="8">
                        <c:v>81586.056129809847</c:v>
                      </c:pt>
                      <c:pt idx="9">
                        <c:v>86258.604658655982</c:v>
                      </c:pt>
                      <c:pt idx="10">
                        <c:v>57568.66772968907</c:v>
                      </c:pt>
                    </c:numCache>
                  </c:numRef>
                </c:val>
                <c:smooth val="0"/>
                <c:extLst xmlns:c16r2="http://schemas.microsoft.com/office/drawing/2015/06/chart">
                  <c:ext xmlns:c16="http://schemas.microsoft.com/office/drawing/2014/chart" uri="{C3380CC4-5D6E-409C-BE32-E72D297353CC}">
                    <c16:uniqueId val="{00000000-3766-465D-BA0C-79D2338F12F7}"/>
                  </c:ext>
                </c:extLst>
              </c15:ser>
            </c15:filteredLineSeries>
            <c15:filteredLineSeries>
              <c15:ser>
                <c:idx val="1"/>
                <c:order val="1"/>
                <c:tx>
                  <c:strRef>
                    <c:extLst xmlns:c15="http://schemas.microsoft.com/office/drawing/2012/chart" xmlns:c16r2="http://schemas.microsoft.com/office/drawing/2015/06/chart">
                      <c:ext xmlns:c15="http://schemas.microsoft.com/office/drawing/2012/chart" uri="{02D57815-91ED-43cb-92C2-25804820EDAC}">
                        <c15:formulaRef>
                          <c15:sqref>Finance!$AA$43</c15:sqref>
                        </c15:formulaRef>
                      </c:ext>
                    </c:extLst>
                    <c:strCache>
                      <c:ptCount val="1"/>
                      <c:pt idx="0">
                        <c:v>Domestic Debt </c:v>
                      </c:pt>
                    </c:strCache>
                  </c:strRef>
                </c:tx>
                <c:marker>
                  <c:symbol val="diamond"/>
                  <c:size val="8"/>
                  <c:spPr>
                    <a:solidFill>
                      <a:srgbClr val="C8F4F2"/>
                    </a:solidFill>
                    <a:ln>
                      <a:solidFill>
                        <a:srgbClr val="249390"/>
                      </a:solidFill>
                    </a:ln>
                  </c:spPr>
                </c:marker>
                <c:cat>
                  <c:numRef>
                    <c:extLst xmlns:c15="http://schemas.microsoft.com/office/drawing/2012/chart" xmlns:c16r2="http://schemas.microsoft.com/office/drawing/2015/06/chart">
                      <c:ext xmlns:c15="http://schemas.microsoft.com/office/drawing/2012/chart" uri="{02D57815-91ED-43cb-92C2-25804820EDAC}">
                        <c15:formulaRef>
                          <c15:sqref>Finance!$AB$41:$AL$41</c15:sqref>
                        </c15:formulaRef>
                      </c:ext>
                    </c:extLst>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extLst xmlns:c15="http://schemas.microsoft.com/office/drawing/2012/chart" xmlns:c16r2="http://schemas.microsoft.com/office/drawing/2015/06/chart">
                      <c:ext xmlns:c15="http://schemas.microsoft.com/office/drawing/2012/chart" uri="{02D57815-91ED-43cb-92C2-25804820EDAC}">
                        <c15:formulaRef>
                          <c15:sqref>Finance!$AB$43:$AL$43</c15:sqref>
                        </c15:formulaRef>
                      </c:ext>
                    </c:extLst>
                    <c:numCache>
                      <c:formatCode>_(* #,##0.0_);_(* \(#,##0.0\);_(* "-"_);_(@_)</c:formatCode>
                      <c:ptCount val="11"/>
                      <c:pt idx="0">
                        <c:v>9157.6958460000005</c:v>
                      </c:pt>
                      <c:pt idx="1">
                        <c:v>12782.9</c:v>
                      </c:pt>
                      <c:pt idx="2">
                        <c:v>14452.2</c:v>
                      </c:pt>
                      <c:pt idx="3">
                        <c:v>16907.599999999999</c:v>
                      </c:pt>
                      <c:pt idx="4">
                        <c:v>20644.3</c:v>
                      </c:pt>
                      <c:pt idx="5">
                        <c:v>23109.3</c:v>
                      </c:pt>
                      <c:pt idx="6">
                        <c:v>26476</c:v>
                      </c:pt>
                      <c:pt idx="7">
                        <c:v>26570.220323479869</c:v>
                      </c:pt>
                      <c:pt idx="8">
                        <c:v>27664.038056830916</c:v>
                      </c:pt>
                      <c:pt idx="9">
                        <c:v>32226.988934999998</c:v>
                      </c:pt>
                      <c:pt idx="10">
                        <c:v>40408.53</c:v>
                      </c:pt>
                    </c:numCache>
                  </c:numRef>
                </c:val>
                <c:smooth val="0"/>
                <c:extLst xmlns:c15="http://schemas.microsoft.com/office/drawing/2012/chart" xmlns:c16r2="http://schemas.microsoft.com/office/drawing/2015/06/chart">
                  <c:ext xmlns:c16="http://schemas.microsoft.com/office/drawing/2014/chart" uri="{C3380CC4-5D6E-409C-BE32-E72D297353CC}">
                    <c16:uniqueId val="{00000001-3766-465D-BA0C-79D2338F12F7}"/>
                  </c:ext>
                </c:extLst>
              </c15:ser>
            </c15:filteredLineSeries>
          </c:ext>
        </c:extLst>
      </c:lineChart>
      <c:catAx>
        <c:axId val="660253448"/>
        <c:scaling>
          <c:orientation val="minMax"/>
        </c:scaling>
        <c:delete val="0"/>
        <c:axPos val="b"/>
        <c:numFmt formatCode="@"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60252664"/>
        <c:crosses val="autoZero"/>
        <c:auto val="1"/>
        <c:lblAlgn val="ctr"/>
        <c:lblOffset val="100"/>
        <c:noMultiLvlLbl val="0"/>
      </c:catAx>
      <c:valAx>
        <c:axId val="660252664"/>
        <c:scaling>
          <c:orientation val="minMax"/>
        </c:scaling>
        <c:delete val="0"/>
        <c:axPos val="l"/>
        <c:majorGridlines>
          <c:spPr>
            <a:ln>
              <a:solidFill>
                <a:srgbClr val="C8F4F2"/>
              </a:solidFill>
            </a:ln>
          </c:spPr>
        </c:majorGridlines>
        <c:title>
          <c:tx>
            <c:rich>
              <a:bodyPr rot="0" vert="horz"/>
              <a:lstStyle/>
              <a:p>
                <a:pPr algn="ctr">
                  <a:defRPr sz="800" b="1" i="0" u="none" strike="noStrike" baseline="0">
                    <a:solidFill>
                      <a:srgbClr val="000000"/>
                    </a:solidFill>
                    <a:latin typeface="Calibri"/>
                    <a:ea typeface="Calibri"/>
                    <a:cs typeface="Calibri"/>
                  </a:defRPr>
                </a:pPr>
                <a:r>
                  <a:rPr lang="en-US" sz="800"/>
                  <a:t>In million MVR</a:t>
                </a:r>
              </a:p>
            </c:rich>
          </c:tx>
          <c:layout>
            <c:manualLayout>
              <c:xMode val="edge"/>
              <c:yMode val="edge"/>
              <c:x val="1.0461060367454068E-2"/>
              <c:y val="8.5596107055961074E-2"/>
            </c:manualLayout>
          </c:layout>
          <c:overlay val="0"/>
        </c:title>
        <c:numFmt formatCode="#,##0"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60253448"/>
        <c:crosses val="autoZero"/>
        <c:crossBetween val="between"/>
      </c:valAx>
      <c:spPr>
        <a:solidFill>
          <a:srgbClr val="EAFAFA"/>
        </a:solidFill>
        <a:ln>
          <a:solidFill>
            <a:schemeClr val="bg1">
              <a:lumMod val="65000"/>
            </a:schemeClr>
          </a:solidFill>
        </a:ln>
      </c:spPr>
    </c:plotArea>
    <c:legend>
      <c:legendPos val="r"/>
      <c:layout>
        <c:manualLayout>
          <c:xMode val="edge"/>
          <c:yMode val="edge"/>
          <c:x val="0.10086574962419789"/>
          <c:y val="0.16312187224021196"/>
          <c:w val="0.63694325014205833"/>
          <c:h val="8.3436200503162708E-2"/>
        </c:manualLayout>
      </c:layout>
      <c:overlay val="0"/>
      <c:spPr>
        <a:noFill/>
      </c:spPr>
      <c:txPr>
        <a:bodyPr/>
        <a:lstStyle/>
        <a:p>
          <a:pPr>
            <a:defRPr sz="100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488" l="0.70000000000000062" r="0.70000000000000062" t="0.75000000000000488" header="0.30000000000000032" footer="0.30000000000000032"/>
    <c:pageSetup orientation="portrait"/>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a:lstStyle/>
          <a:p>
            <a:pPr>
              <a:defRPr sz="1200" b="1" i="0" u="none" strike="noStrike" baseline="0">
                <a:solidFill>
                  <a:srgbClr val="000000"/>
                </a:solidFill>
                <a:latin typeface="Candara" panose="020E0502030303020204" pitchFamily="34" charset="0"/>
                <a:ea typeface="Calibri"/>
                <a:cs typeface="Consolas" pitchFamily="49" charset="0"/>
              </a:defRPr>
            </a:pPr>
            <a:r>
              <a:rPr lang="en-US" sz="1200">
                <a:latin typeface="Candara" panose="020E0502030303020204" pitchFamily="34" charset="0"/>
                <a:cs typeface="Consolas" pitchFamily="49" charset="0"/>
              </a:rPr>
              <a:t>Government Revenue,</a:t>
            </a:r>
            <a:r>
              <a:rPr lang="en-US" sz="1200" baseline="0">
                <a:latin typeface="Candara" panose="020E0502030303020204" pitchFamily="34" charset="0"/>
                <a:cs typeface="Consolas" pitchFamily="49" charset="0"/>
              </a:rPr>
              <a:t> </a:t>
            </a:r>
            <a:r>
              <a:rPr lang="en-US" sz="1200">
                <a:latin typeface="Candara" panose="020E0502030303020204" pitchFamily="34" charset="0"/>
                <a:cs typeface="Consolas" pitchFamily="49" charset="0"/>
              </a:rPr>
              <a:t>2010</a:t>
            </a:r>
            <a:r>
              <a:rPr lang="en-US" sz="1200" baseline="0">
                <a:latin typeface="Candara" panose="020E0502030303020204" pitchFamily="34" charset="0"/>
                <a:cs typeface="Consolas" pitchFamily="49" charset="0"/>
              </a:rPr>
              <a:t> - </a:t>
            </a:r>
            <a:r>
              <a:rPr lang="en-US" sz="1200">
                <a:latin typeface="Candara" panose="020E0502030303020204" pitchFamily="34" charset="0"/>
                <a:cs typeface="Consolas" pitchFamily="49" charset="0"/>
              </a:rPr>
              <a:t>2020</a:t>
            </a:r>
          </a:p>
        </c:rich>
      </c:tx>
      <c:layout>
        <c:manualLayout>
          <c:xMode val="edge"/>
          <c:yMode val="edge"/>
          <c:x val="0.3254824816458623"/>
          <c:y val="3.1777070972064225E-2"/>
        </c:manualLayout>
      </c:layout>
      <c:overlay val="0"/>
    </c:title>
    <c:autoTitleDeleted val="0"/>
    <c:plotArea>
      <c:layout>
        <c:manualLayout>
          <c:layoutTarget val="inner"/>
          <c:xMode val="edge"/>
          <c:yMode val="edge"/>
          <c:x val="0.10006781696666615"/>
          <c:y val="0.16164642983884608"/>
          <c:w val="0.87789092957606407"/>
          <c:h val="0.6681844563915984"/>
        </c:manualLayout>
      </c:layout>
      <c:barChart>
        <c:barDir val="col"/>
        <c:grouping val="clustered"/>
        <c:varyColors val="0"/>
        <c:ser>
          <c:idx val="0"/>
          <c:order val="0"/>
          <c:tx>
            <c:strRef>
              <c:f>Finance!$B$7</c:f>
              <c:strCache>
                <c:ptCount val="1"/>
                <c:pt idx="0">
                  <c:v>Tax Revenue</c:v>
                </c:pt>
              </c:strCache>
            </c:strRef>
          </c:tx>
          <c:spPr>
            <a:solidFill>
              <a:srgbClr val="249390"/>
            </a:solidFill>
          </c:spPr>
          <c:invertIfNegative val="0"/>
          <c:cat>
            <c:numRef>
              <c:f>Finance!$AB$41:$AL$41</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Finance!$C$7:$M$7</c:f>
              <c:numCache>
                <c:formatCode>_(* #,##0.0_);_(* \(#,##0.0\);_(* "-"_);_(@_)</c:formatCode>
                <c:ptCount val="11"/>
                <c:pt idx="0">
                  <c:v>2931.0472653899988</c:v>
                </c:pt>
                <c:pt idx="1">
                  <c:v>4892.9547389999998</c:v>
                </c:pt>
                <c:pt idx="2">
                  <c:v>6880.0618489999988</c:v>
                </c:pt>
                <c:pt idx="3">
                  <c:v>8872.8437029999986</c:v>
                </c:pt>
                <c:pt idx="4">
                  <c:v>10837.855577</c:v>
                </c:pt>
                <c:pt idx="5">
                  <c:v>12270.646260000001</c:v>
                </c:pt>
                <c:pt idx="6">
                  <c:v>13293.027889009998</c:v>
                </c:pt>
                <c:pt idx="7">
                  <c:v>14742.425677000001</c:v>
                </c:pt>
                <c:pt idx="8">
                  <c:v>15833.907292</c:v>
                </c:pt>
                <c:pt idx="9">
                  <c:v>16530.522525</c:v>
                </c:pt>
                <c:pt idx="10">
                  <c:v>10138.170036000001</c:v>
                </c:pt>
              </c:numCache>
            </c:numRef>
          </c:val>
          <c:extLst xmlns:c16r2="http://schemas.microsoft.com/office/drawing/2015/06/chart">
            <c:ext xmlns:c16="http://schemas.microsoft.com/office/drawing/2014/chart" uri="{C3380CC4-5D6E-409C-BE32-E72D297353CC}">
              <c16:uniqueId val="{00000000-8F5F-4492-A561-C64F88A714CA}"/>
            </c:ext>
          </c:extLst>
        </c:ser>
        <c:ser>
          <c:idx val="1"/>
          <c:order val="1"/>
          <c:tx>
            <c:v>Non-tax Revenue</c:v>
          </c:tx>
          <c:spPr>
            <a:solidFill>
              <a:srgbClr val="33CCCC"/>
            </a:solidFill>
          </c:spPr>
          <c:invertIfNegative val="0"/>
          <c:cat>
            <c:numRef>
              <c:f>Finance!$AB$41:$AL$41</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Finance!$C$8:$M$8</c:f>
              <c:numCache>
                <c:formatCode>_(* #,##0.0_);_(* \(#,##0.0\);_(* "-"_);_(@_)</c:formatCode>
                <c:ptCount val="11"/>
                <c:pt idx="0">
                  <c:v>3411.9841732599989</c:v>
                </c:pt>
                <c:pt idx="1">
                  <c:v>3744.7069500000007</c:v>
                </c:pt>
                <c:pt idx="2">
                  <c:v>2843.3084127999996</c:v>
                </c:pt>
                <c:pt idx="3">
                  <c:v>2642.1310951999999</c:v>
                </c:pt>
                <c:pt idx="4">
                  <c:v>4036.9878939999999</c:v>
                </c:pt>
                <c:pt idx="5">
                  <c:v>4278.3316969999996</c:v>
                </c:pt>
                <c:pt idx="6">
                  <c:v>4162.6040857599965</c:v>
                </c:pt>
                <c:pt idx="7">
                  <c:v>4594.863249</c:v>
                </c:pt>
                <c:pt idx="8">
                  <c:v>5203.0978600000008</c:v>
                </c:pt>
                <c:pt idx="9">
                  <c:v>5491.0517299999992</c:v>
                </c:pt>
                <c:pt idx="10">
                  <c:v>2415.8278</c:v>
                </c:pt>
              </c:numCache>
            </c:numRef>
          </c:val>
          <c:extLst xmlns:c16r2="http://schemas.microsoft.com/office/drawing/2015/06/chart">
            <c:ext xmlns:c16="http://schemas.microsoft.com/office/drawing/2014/chart" uri="{C3380CC4-5D6E-409C-BE32-E72D297353CC}">
              <c16:uniqueId val="{00000001-8F5F-4492-A561-C64F88A714CA}"/>
            </c:ext>
          </c:extLst>
        </c:ser>
        <c:dLbls>
          <c:showLegendKey val="0"/>
          <c:showVal val="0"/>
          <c:showCatName val="0"/>
          <c:showSerName val="0"/>
          <c:showPercent val="0"/>
          <c:showBubbleSize val="0"/>
        </c:dLbls>
        <c:gapWidth val="150"/>
        <c:axId val="660253056"/>
        <c:axId val="660253840"/>
      </c:barChart>
      <c:catAx>
        <c:axId val="660253056"/>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60253840"/>
        <c:crosses val="autoZero"/>
        <c:auto val="1"/>
        <c:lblAlgn val="ctr"/>
        <c:lblOffset val="100"/>
        <c:noMultiLvlLbl val="0"/>
      </c:catAx>
      <c:valAx>
        <c:axId val="660253840"/>
        <c:scaling>
          <c:orientation val="minMax"/>
        </c:scaling>
        <c:delete val="0"/>
        <c:axPos val="l"/>
        <c:majorGridlines>
          <c:spPr>
            <a:ln>
              <a:solidFill>
                <a:srgbClr val="C8F4F2"/>
              </a:solidFill>
            </a:ln>
          </c:spPr>
        </c:majorGridlines>
        <c:title>
          <c:tx>
            <c:rich>
              <a:bodyPr rot="0" vert="horz"/>
              <a:lstStyle/>
              <a:p>
                <a:pPr algn="ctr">
                  <a:defRPr sz="800" b="1" i="0" u="none" strike="noStrike" baseline="0">
                    <a:solidFill>
                      <a:srgbClr val="000000"/>
                    </a:solidFill>
                    <a:latin typeface="Calibri"/>
                    <a:ea typeface="Calibri"/>
                    <a:cs typeface="Calibri"/>
                  </a:defRPr>
                </a:pPr>
                <a:r>
                  <a:rPr lang="en-US" sz="800"/>
                  <a:t>In million MVR</a:t>
                </a:r>
              </a:p>
            </c:rich>
          </c:tx>
          <c:layout>
            <c:manualLayout>
              <c:xMode val="edge"/>
              <c:yMode val="edge"/>
              <c:x val="1.6702907781466842E-2"/>
              <c:y val="8.2447522992375108E-2"/>
            </c:manualLayout>
          </c:layout>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60253056"/>
        <c:crosses val="autoZero"/>
        <c:crossBetween val="between"/>
      </c:valAx>
      <c:spPr>
        <a:solidFill>
          <a:srgbClr val="EAFAFA"/>
        </a:solidFill>
        <a:ln>
          <a:solidFill>
            <a:schemeClr val="bg1">
              <a:lumMod val="65000"/>
            </a:schemeClr>
          </a:solidFill>
        </a:ln>
      </c:spPr>
    </c:plotArea>
    <c:legend>
      <c:legendPos val="r"/>
      <c:layout>
        <c:manualLayout>
          <c:xMode val="edge"/>
          <c:yMode val="edge"/>
          <c:x val="9.4374635347555594E-2"/>
          <c:y val="0.24235828862642514"/>
          <c:w val="0.463083448842385"/>
          <c:h val="8.2443966989588738E-2"/>
        </c:manualLayout>
      </c:layout>
      <c:overlay val="0"/>
      <c:txPr>
        <a:bodyPr/>
        <a:lstStyle/>
        <a:p>
          <a:pPr>
            <a:defRPr sz="110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22" l="0.70000000000000018" r="0.70000000000000018" t="0.75000000000000022" header="0.3000000000000001" footer="0.3000000000000001"/>
    <c:pageSetup orientation="landscape" horizontalDpi="1200" verticalDpi="1200"/>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0"/>
    <c:plotArea>
      <c:layout>
        <c:manualLayout>
          <c:layoutTarget val="inner"/>
          <c:xMode val="edge"/>
          <c:yMode val="edge"/>
          <c:x val="9.4918986190555971E-2"/>
          <c:y val="0.16558355811059947"/>
          <c:w val="0.89229638848335446"/>
          <c:h val="0.73653013372684661"/>
        </c:manualLayout>
      </c:layout>
      <c:barChart>
        <c:barDir val="col"/>
        <c:grouping val="clustered"/>
        <c:varyColors val="0"/>
        <c:ser>
          <c:idx val="0"/>
          <c:order val="0"/>
          <c:tx>
            <c:strRef>
              <c:f>'Money n BAnking'!$A$6</c:f>
              <c:strCache>
                <c:ptCount val="1"/>
                <c:pt idx="0">
                  <c:v>Central bank</c:v>
                </c:pt>
              </c:strCache>
            </c:strRef>
          </c:tx>
          <c:spPr>
            <a:solidFill>
              <a:srgbClr val="33CCCC"/>
            </a:solidFill>
          </c:spPr>
          <c:invertIfNegative val="0"/>
          <c:cat>
            <c:numRef>
              <c:f>'Money n BAnking'!$B$3:$T$3</c:f>
              <c:numCache>
                <c:formatCode>General</c:formatCode>
                <c:ptCount val="19"/>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numCache>
            </c:numRef>
          </c:cat>
          <c:val>
            <c:numRef>
              <c:f>'Money n BAnking'!$B$6:$T$6</c:f>
              <c:numCache>
                <c:formatCode>#,##0.0</c:formatCode>
                <c:ptCount val="19"/>
                <c:pt idx="0">
                  <c:v>1686.4895349675701</c:v>
                </c:pt>
                <c:pt idx="1">
                  <c:v>2035.2701812216201</c:v>
                </c:pt>
                <c:pt idx="2">
                  <c:v>2599.6007043197401</c:v>
                </c:pt>
                <c:pt idx="3">
                  <c:v>2304.1500160027699</c:v>
                </c:pt>
                <c:pt idx="4">
                  <c:v>2814.00604467208</c:v>
                </c:pt>
                <c:pt idx="5">
                  <c:v>3857.0629948656001</c:v>
                </c:pt>
                <c:pt idx="6">
                  <c:v>3022.0421021540001</c:v>
                </c:pt>
                <c:pt idx="7">
                  <c:v>3071.7005852392499</c:v>
                </c:pt>
                <c:pt idx="8">
                  <c:v>4067.6288196843002</c:v>
                </c:pt>
                <c:pt idx="9">
                  <c:v>4725.5225683139197</c:v>
                </c:pt>
                <c:pt idx="10">
                  <c:v>4240.9964138894902</c:v>
                </c:pt>
                <c:pt idx="11">
                  <c:v>5307.9921396443997</c:v>
                </c:pt>
                <c:pt idx="12">
                  <c:v>9109.9561638332307</c:v>
                </c:pt>
                <c:pt idx="13">
                  <c:v>8227.0044467909302</c:v>
                </c:pt>
                <c:pt idx="14">
                  <c:v>5248.0460409778398</c:v>
                </c:pt>
                <c:pt idx="15">
                  <c:v>8622.0204451705595</c:v>
                </c:pt>
                <c:pt idx="16">
                  <c:v>9065.4394520625701</c:v>
                </c:pt>
                <c:pt idx="17">
                  <c:v>11009.887628300199</c:v>
                </c:pt>
                <c:pt idx="18">
                  <c:v>8497.0297695552508</c:v>
                </c:pt>
              </c:numCache>
            </c:numRef>
          </c:val>
          <c:extLst xmlns:c16r2="http://schemas.microsoft.com/office/drawing/2015/06/chart">
            <c:ext xmlns:c16="http://schemas.microsoft.com/office/drawing/2014/chart" uri="{C3380CC4-5D6E-409C-BE32-E72D297353CC}">
              <c16:uniqueId val="{00000000-7491-41B1-BF13-2388873A8EB2}"/>
            </c:ext>
          </c:extLst>
        </c:ser>
        <c:ser>
          <c:idx val="1"/>
          <c:order val="1"/>
          <c:tx>
            <c:strRef>
              <c:f>'Money n BAnking'!$A$7</c:f>
              <c:strCache>
                <c:ptCount val="1"/>
                <c:pt idx="0">
                  <c:v>Other depository corporations</c:v>
                </c:pt>
              </c:strCache>
            </c:strRef>
          </c:tx>
          <c:spPr>
            <a:solidFill>
              <a:srgbClr val="FFBD5D"/>
            </a:solidFill>
          </c:spPr>
          <c:invertIfNegative val="0"/>
          <c:cat>
            <c:numRef>
              <c:f>'Money n BAnking'!$B$3:$T$3</c:f>
              <c:numCache>
                <c:formatCode>General</c:formatCode>
                <c:ptCount val="19"/>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numCache>
            </c:numRef>
          </c:cat>
          <c:val>
            <c:numRef>
              <c:f>'Money n BAnking'!$B$7:$T$7</c:f>
              <c:numCache>
                <c:formatCode>#,##0.0</c:formatCode>
                <c:ptCount val="19"/>
                <c:pt idx="0">
                  <c:v>14.961</c:v>
                </c:pt>
                <c:pt idx="1">
                  <c:v>645.54499999999996</c:v>
                </c:pt>
                <c:pt idx="2">
                  <c:v>794.399</c:v>
                </c:pt>
                <c:pt idx="3">
                  <c:v>-471.87099999999998</c:v>
                </c:pt>
                <c:pt idx="4">
                  <c:v>-1819.6426098300001</c:v>
                </c:pt>
                <c:pt idx="5">
                  <c:v>-4367.5010000000002</c:v>
                </c:pt>
                <c:pt idx="6">
                  <c:v>-4754.1629999999996</c:v>
                </c:pt>
                <c:pt idx="7">
                  <c:v>-4410.3559999999998</c:v>
                </c:pt>
                <c:pt idx="8">
                  <c:v>-3382.0230000000001</c:v>
                </c:pt>
                <c:pt idx="9">
                  <c:v>-1852.4770000000001</c:v>
                </c:pt>
                <c:pt idx="10">
                  <c:v>1017.263</c:v>
                </c:pt>
                <c:pt idx="11">
                  <c:v>3505.4119999999998</c:v>
                </c:pt>
                <c:pt idx="12">
                  <c:v>3409.9569999999999</c:v>
                </c:pt>
                <c:pt idx="13">
                  <c:v>4070.1390000000001</c:v>
                </c:pt>
                <c:pt idx="14">
                  <c:v>2621.3180000000002</c:v>
                </c:pt>
                <c:pt idx="15">
                  <c:v>1731.41</c:v>
                </c:pt>
                <c:pt idx="16">
                  <c:v>753.75599999999997</c:v>
                </c:pt>
                <c:pt idx="17">
                  <c:v>2031.8040000000001</c:v>
                </c:pt>
                <c:pt idx="18">
                  <c:v>-2234.777</c:v>
                </c:pt>
              </c:numCache>
            </c:numRef>
          </c:val>
          <c:extLst xmlns:c16r2="http://schemas.microsoft.com/office/drawing/2015/06/chart">
            <c:ext xmlns:c16="http://schemas.microsoft.com/office/drawing/2014/chart" uri="{C3380CC4-5D6E-409C-BE32-E72D297353CC}">
              <c16:uniqueId val="{00000001-7491-41B1-BF13-2388873A8EB2}"/>
            </c:ext>
          </c:extLst>
        </c:ser>
        <c:dLbls>
          <c:showLegendKey val="0"/>
          <c:showVal val="0"/>
          <c:showCatName val="0"/>
          <c:showSerName val="0"/>
          <c:showPercent val="0"/>
          <c:showBubbleSize val="0"/>
        </c:dLbls>
        <c:gapWidth val="150"/>
        <c:axId val="660254232"/>
        <c:axId val="390380200"/>
      </c:barChart>
      <c:catAx>
        <c:axId val="660254232"/>
        <c:scaling>
          <c:orientation val="minMax"/>
        </c:scaling>
        <c:delete val="0"/>
        <c:axPos val="b"/>
        <c:numFmt formatCode="General" sourceLinked="1"/>
        <c:majorTickMark val="out"/>
        <c:minorTickMark val="none"/>
        <c:tickLblPos val="low"/>
        <c:txPr>
          <a:bodyPr rot="0" vert="horz"/>
          <a:lstStyle/>
          <a:p>
            <a:pPr>
              <a:defRPr sz="900" b="0" i="0" u="none" strike="noStrike" baseline="0">
                <a:solidFill>
                  <a:srgbClr val="000000"/>
                </a:solidFill>
                <a:latin typeface="Calibri"/>
                <a:ea typeface="Calibri"/>
                <a:cs typeface="Calibri"/>
              </a:defRPr>
            </a:pPr>
            <a:endParaRPr lang="en-US"/>
          </a:p>
        </c:txPr>
        <c:crossAx val="390380200"/>
        <c:crosses val="autoZero"/>
        <c:auto val="1"/>
        <c:lblAlgn val="ctr"/>
        <c:lblOffset val="100"/>
        <c:noMultiLvlLbl val="0"/>
      </c:catAx>
      <c:valAx>
        <c:axId val="390380200"/>
        <c:scaling>
          <c:orientation val="minMax"/>
        </c:scaling>
        <c:delete val="0"/>
        <c:axPos val="l"/>
        <c:majorGridlines>
          <c:spPr>
            <a:ln>
              <a:solidFill>
                <a:srgbClr val="C8F4F2"/>
              </a:solidFill>
            </a:ln>
          </c:spPr>
        </c:majorGridlines>
        <c:title>
          <c:tx>
            <c:rich>
              <a:bodyPr rot="0" vert="horz"/>
              <a:lstStyle/>
              <a:p>
                <a:pPr algn="ctr">
                  <a:defRPr sz="900" b="1" i="0" u="none" strike="noStrike" baseline="0">
                    <a:solidFill>
                      <a:srgbClr val="000000"/>
                    </a:solidFill>
                    <a:latin typeface="Calibri"/>
                    <a:ea typeface="Calibri"/>
                    <a:cs typeface="Calibri"/>
                  </a:defRPr>
                </a:pPr>
                <a:r>
                  <a:rPr lang="en-US"/>
                  <a:t>In millions MVR</a:t>
                </a:r>
              </a:p>
            </c:rich>
          </c:tx>
          <c:layout>
            <c:manualLayout>
              <c:xMode val="edge"/>
              <c:yMode val="edge"/>
              <c:x val="1.3997795863328246E-2"/>
              <c:y val="7.0372559647382468E-2"/>
            </c:manualLayout>
          </c:layout>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60254232"/>
        <c:crosses val="autoZero"/>
        <c:crossBetween val="between"/>
      </c:valAx>
      <c:spPr>
        <a:solidFill>
          <a:srgbClr val="EAFAFA"/>
        </a:solidFill>
        <a:ln>
          <a:solidFill>
            <a:schemeClr val="bg1">
              <a:lumMod val="65000"/>
            </a:schemeClr>
          </a:solidFill>
        </a:ln>
      </c:spPr>
    </c:plotArea>
    <c:legend>
      <c:legendPos val="b"/>
      <c:layout>
        <c:manualLayout>
          <c:xMode val="edge"/>
          <c:yMode val="edge"/>
          <c:x val="0.10699840543712537"/>
          <c:y val="0.24710931135997305"/>
          <c:w val="0.49077713348722229"/>
          <c:h val="5.3212529119156048E-2"/>
        </c:manualLayout>
      </c:layout>
      <c:overlay val="0"/>
      <c:txPr>
        <a:bodyPr/>
        <a:lstStyle/>
        <a:p>
          <a:pPr>
            <a:defRPr sz="100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oddFooter>&amp;Ldfdf</c:oddFooter>
    </c:headerFooter>
    <c:pageMargins b="0.75" l="0.7" r="0.7" t="0.75" header="0.3" footer="0.3"/>
    <c:pageSetup orientation="landscape" horizontalDpi="300" verticalDpi="300"/>
  </c:printSettings>
  <c:userShapes r:id="rId1"/>
</c:chartSpace>
</file>

<file path=xl/charts/chart2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0"/>
    <c:plotArea>
      <c:layout>
        <c:manualLayout>
          <c:layoutTarget val="inner"/>
          <c:xMode val="edge"/>
          <c:yMode val="edge"/>
          <c:x val="8.5276259246921907E-2"/>
          <c:y val="0.18465688145824069"/>
          <c:w val="0.88837505119145543"/>
          <c:h val="0.65966073296874417"/>
        </c:manualLayout>
      </c:layout>
      <c:lineChart>
        <c:grouping val="standard"/>
        <c:varyColors val="0"/>
        <c:ser>
          <c:idx val="0"/>
          <c:order val="0"/>
          <c:tx>
            <c:strRef>
              <c:f>'Money n BAnking'!$A$9</c:f>
              <c:strCache>
                <c:ptCount val="1"/>
                <c:pt idx="0">
                  <c:v>Domestic claims</c:v>
                </c:pt>
              </c:strCache>
            </c:strRef>
          </c:tx>
          <c:spPr>
            <a:ln>
              <a:solidFill>
                <a:srgbClr val="33CCCC"/>
              </a:solidFill>
            </a:ln>
          </c:spPr>
          <c:marker>
            <c:symbol val="diamond"/>
            <c:size val="6"/>
            <c:spPr>
              <a:solidFill>
                <a:srgbClr val="196563"/>
              </a:solidFill>
              <a:ln w="3175">
                <a:solidFill>
                  <a:srgbClr val="C8F4F2"/>
                </a:solidFill>
              </a:ln>
            </c:spPr>
          </c:marker>
          <c:cat>
            <c:numRef>
              <c:f>'Money n BAnking'!$H$3:$T$3</c:f>
              <c:numCache>
                <c:formatCode>General</c:formatCod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numCache>
            </c:numRef>
          </c:cat>
          <c:val>
            <c:numRef>
              <c:f>'Money n BAnking'!$H$9:$T$9</c:f>
              <c:numCache>
                <c:formatCode>#,##0.0</c:formatCode>
                <c:ptCount val="13"/>
                <c:pt idx="0">
                  <c:v>18590.094967059998</c:v>
                </c:pt>
                <c:pt idx="1">
                  <c:v>21187.43514157</c:v>
                </c:pt>
                <c:pt idx="2">
                  <c:v>22181.2119404</c:v>
                </c:pt>
                <c:pt idx="3">
                  <c:v>24688.358379099998</c:v>
                </c:pt>
                <c:pt idx="4">
                  <c:v>23893.58283711</c:v>
                </c:pt>
                <c:pt idx="5">
                  <c:v>24963.61071683</c:v>
                </c:pt>
                <c:pt idx="6">
                  <c:v>25817.770621569998</c:v>
                </c:pt>
                <c:pt idx="7">
                  <c:v>30003.98025972</c:v>
                </c:pt>
                <c:pt idx="8">
                  <c:v>35957.697840380002</c:v>
                </c:pt>
                <c:pt idx="9">
                  <c:v>36484.70546746</c:v>
                </c:pt>
                <c:pt idx="10">
                  <c:v>39251.483347989997</c:v>
                </c:pt>
                <c:pt idx="11">
                  <c:v>40580.596932519999</c:v>
                </c:pt>
                <c:pt idx="12">
                  <c:v>55079.191359409997</c:v>
                </c:pt>
              </c:numCache>
            </c:numRef>
          </c:val>
          <c:smooth val="0"/>
          <c:extLst xmlns:c16r2="http://schemas.microsoft.com/office/drawing/2015/06/chart">
            <c:ext xmlns:c16="http://schemas.microsoft.com/office/drawing/2014/chart" uri="{C3380CC4-5D6E-409C-BE32-E72D297353CC}">
              <c16:uniqueId val="{00000000-99C6-4977-BDE3-42450DB5CDD7}"/>
            </c:ext>
          </c:extLst>
        </c:ser>
        <c:ser>
          <c:idx val="1"/>
          <c:order val="1"/>
          <c:tx>
            <c:strRef>
              <c:f>'Money n BAnking'!$A$10</c:f>
              <c:strCache>
                <c:ptCount val="1"/>
                <c:pt idx="0">
                  <c:v>Net claims on central government</c:v>
                </c:pt>
              </c:strCache>
            </c:strRef>
          </c:tx>
          <c:marker>
            <c:symbol val="square"/>
            <c:size val="5"/>
            <c:spPr>
              <a:solidFill>
                <a:schemeClr val="bg1">
                  <a:lumMod val="65000"/>
                </a:schemeClr>
              </a:solidFill>
              <a:ln>
                <a:solidFill>
                  <a:schemeClr val="bg1">
                    <a:lumMod val="50000"/>
                  </a:schemeClr>
                </a:solidFill>
              </a:ln>
            </c:spPr>
          </c:marker>
          <c:cat>
            <c:numRef>
              <c:f>'Money n BAnking'!$H$3:$T$3</c:f>
              <c:numCache>
                <c:formatCode>General</c:formatCod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numCache>
            </c:numRef>
          </c:cat>
          <c:val>
            <c:numRef>
              <c:f>'Money n BAnking'!$H$10:$T$10</c:f>
              <c:numCache>
                <c:formatCode>#,##0.0</c:formatCode>
                <c:ptCount val="13"/>
                <c:pt idx="0">
                  <c:v>896.31084553999995</c:v>
                </c:pt>
                <c:pt idx="1">
                  <c:v>4062.7082169099999</c:v>
                </c:pt>
                <c:pt idx="2">
                  <c:v>5380.7249642999996</c:v>
                </c:pt>
                <c:pt idx="3">
                  <c:v>6830.8823623199996</c:v>
                </c:pt>
                <c:pt idx="4">
                  <c:v>7649.5534109199998</c:v>
                </c:pt>
                <c:pt idx="5">
                  <c:v>8642.0458205899995</c:v>
                </c:pt>
                <c:pt idx="6">
                  <c:v>9145.5234145899994</c:v>
                </c:pt>
                <c:pt idx="7">
                  <c:v>11390.112079459999</c:v>
                </c:pt>
                <c:pt idx="8">
                  <c:v>13393.5470867</c:v>
                </c:pt>
                <c:pt idx="9">
                  <c:v>11789.16906215</c:v>
                </c:pt>
                <c:pt idx="10">
                  <c:v>13004.458511770001</c:v>
                </c:pt>
                <c:pt idx="11">
                  <c:v>13298.025778040001</c:v>
                </c:pt>
                <c:pt idx="12">
                  <c:v>25207.53313765</c:v>
                </c:pt>
              </c:numCache>
            </c:numRef>
          </c:val>
          <c:smooth val="0"/>
          <c:extLst xmlns:c16r2="http://schemas.microsoft.com/office/drawing/2015/06/chart">
            <c:ext xmlns:c16="http://schemas.microsoft.com/office/drawing/2014/chart" uri="{C3380CC4-5D6E-409C-BE32-E72D297353CC}">
              <c16:uniqueId val="{00000001-99C6-4977-BDE3-42450DB5CDD7}"/>
            </c:ext>
          </c:extLst>
        </c:ser>
        <c:ser>
          <c:idx val="2"/>
          <c:order val="2"/>
          <c:tx>
            <c:strRef>
              <c:f>'Money n BAnking'!$A$11</c:f>
              <c:strCache>
                <c:ptCount val="1"/>
                <c:pt idx="0">
                  <c:v>Claims on other sectors</c:v>
                </c:pt>
              </c:strCache>
            </c:strRef>
          </c:tx>
          <c:spPr>
            <a:ln>
              <a:solidFill>
                <a:srgbClr val="249390"/>
              </a:solidFill>
            </a:ln>
          </c:spPr>
          <c:marker>
            <c:symbol val="triangle"/>
            <c:size val="6"/>
            <c:spPr>
              <a:solidFill>
                <a:srgbClr val="C8F4F2"/>
              </a:solidFill>
              <a:ln w="3175">
                <a:solidFill>
                  <a:srgbClr val="33CCCC"/>
                </a:solidFill>
              </a:ln>
            </c:spPr>
          </c:marker>
          <c:cat>
            <c:numRef>
              <c:f>'Money n BAnking'!$H$3:$T$3</c:f>
              <c:numCache>
                <c:formatCode>General</c:formatCod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numCache>
            </c:numRef>
          </c:cat>
          <c:val>
            <c:numRef>
              <c:f>'Money n BAnking'!$H$11:$T$11</c:f>
              <c:numCache>
                <c:formatCode>#,##0.0</c:formatCode>
                <c:ptCount val="13"/>
                <c:pt idx="0">
                  <c:v>17693.784121519999</c:v>
                </c:pt>
                <c:pt idx="1">
                  <c:v>17124.726924660001</c:v>
                </c:pt>
                <c:pt idx="2">
                  <c:v>16800.486976100001</c:v>
                </c:pt>
                <c:pt idx="3">
                  <c:v>17857.476016780001</c:v>
                </c:pt>
                <c:pt idx="4">
                  <c:v>16244.02942619</c:v>
                </c:pt>
                <c:pt idx="5">
                  <c:v>16321.564896239999</c:v>
                </c:pt>
                <c:pt idx="6">
                  <c:v>16672.247206979999</c:v>
                </c:pt>
                <c:pt idx="7">
                  <c:v>18613.86818026</c:v>
                </c:pt>
                <c:pt idx="8">
                  <c:v>22564.150753680002</c:v>
                </c:pt>
                <c:pt idx="9">
                  <c:v>24695.536405309998</c:v>
                </c:pt>
                <c:pt idx="10">
                  <c:v>26247.02483622</c:v>
                </c:pt>
                <c:pt idx="11">
                  <c:v>27282.57115448</c:v>
                </c:pt>
                <c:pt idx="12">
                  <c:v>29871.658221760001</c:v>
                </c:pt>
              </c:numCache>
            </c:numRef>
          </c:val>
          <c:smooth val="0"/>
          <c:extLst xmlns:c16r2="http://schemas.microsoft.com/office/drawing/2015/06/chart">
            <c:ext xmlns:c16="http://schemas.microsoft.com/office/drawing/2014/chart" uri="{C3380CC4-5D6E-409C-BE32-E72D297353CC}">
              <c16:uniqueId val="{00000002-99C6-4977-BDE3-42450DB5CDD7}"/>
            </c:ext>
          </c:extLst>
        </c:ser>
        <c:ser>
          <c:idx val="3"/>
          <c:order val="3"/>
          <c:tx>
            <c:strRef>
              <c:f>'Money n BAnking'!$A$12</c:f>
              <c:strCache>
                <c:ptCount val="1"/>
                <c:pt idx="0">
                  <c:v>     of which Claims on private sector</c:v>
                </c:pt>
              </c:strCache>
            </c:strRef>
          </c:tx>
          <c:spPr>
            <a:ln>
              <a:solidFill>
                <a:srgbClr val="FFC000"/>
              </a:solidFill>
            </a:ln>
          </c:spPr>
          <c:marker>
            <c:symbol val="circle"/>
            <c:size val="5"/>
            <c:spPr>
              <a:solidFill>
                <a:schemeClr val="accent4">
                  <a:lumMod val="40000"/>
                  <a:lumOff val="60000"/>
                </a:schemeClr>
              </a:solidFill>
              <a:ln>
                <a:solidFill>
                  <a:srgbClr val="249390"/>
                </a:solidFill>
              </a:ln>
            </c:spPr>
          </c:marker>
          <c:cat>
            <c:numRef>
              <c:f>'Money n BAnking'!$H$3:$T$3</c:f>
              <c:numCache>
                <c:formatCode>General</c:formatCode>
                <c:ptCount val="13"/>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numCache>
            </c:numRef>
          </c:cat>
          <c:val>
            <c:numRef>
              <c:f>'Money n BAnking'!$H$12:$T$12</c:f>
              <c:numCache>
                <c:formatCode>#,##0.0</c:formatCode>
                <c:ptCount val="13"/>
                <c:pt idx="0">
                  <c:v>16218.546976719999</c:v>
                </c:pt>
                <c:pt idx="1">
                  <c:v>15553.84992466</c:v>
                </c:pt>
                <c:pt idx="2">
                  <c:v>15190.9669761</c:v>
                </c:pt>
                <c:pt idx="3">
                  <c:v>16090.537016779999</c:v>
                </c:pt>
                <c:pt idx="4">
                  <c:v>14505.446426189999</c:v>
                </c:pt>
                <c:pt idx="5">
                  <c:v>14637.904896239999</c:v>
                </c:pt>
                <c:pt idx="6">
                  <c:v>15050.09320698</c:v>
                </c:pt>
                <c:pt idx="7">
                  <c:v>16817.051180260001</c:v>
                </c:pt>
                <c:pt idx="8">
                  <c:v>18583.038155509999</c:v>
                </c:pt>
                <c:pt idx="9">
                  <c:v>20723.370223620001</c:v>
                </c:pt>
                <c:pt idx="10">
                  <c:v>23084.4378173</c:v>
                </c:pt>
                <c:pt idx="11">
                  <c:v>24788.647154480001</c:v>
                </c:pt>
                <c:pt idx="12">
                  <c:v>27142.550221760001</c:v>
                </c:pt>
              </c:numCache>
            </c:numRef>
          </c:val>
          <c:smooth val="0"/>
          <c:extLst xmlns:c16r2="http://schemas.microsoft.com/office/drawing/2015/06/chart">
            <c:ext xmlns:c16="http://schemas.microsoft.com/office/drawing/2014/chart" uri="{C3380CC4-5D6E-409C-BE32-E72D297353CC}">
              <c16:uniqueId val="{00000003-99C6-4977-BDE3-42450DB5CDD7}"/>
            </c:ext>
          </c:extLst>
        </c:ser>
        <c:dLbls>
          <c:showLegendKey val="0"/>
          <c:showVal val="0"/>
          <c:showCatName val="0"/>
          <c:showSerName val="0"/>
          <c:showPercent val="0"/>
          <c:showBubbleSize val="0"/>
        </c:dLbls>
        <c:marker val="1"/>
        <c:smooth val="0"/>
        <c:axId val="390376280"/>
        <c:axId val="390376672"/>
      </c:lineChart>
      <c:catAx>
        <c:axId val="390376280"/>
        <c:scaling>
          <c:orientation val="minMax"/>
        </c:scaling>
        <c:delete val="0"/>
        <c:axPos val="b"/>
        <c:numFmt formatCode="General" sourceLinked="1"/>
        <c:majorTickMark val="none"/>
        <c:minorTickMark val="out"/>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390376672"/>
        <c:crosses val="autoZero"/>
        <c:auto val="1"/>
        <c:lblAlgn val="ctr"/>
        <c:lblOffset val="100"/>
        <c:noMultiLvlLbl val="0"/>
      </c:catAx>
      <c:valAx>
        <c:axId val="390376672"/>
        <c:scaling>
          <c:orientation val="minMax"/>
        </c:scaling>
        <c:delete val="0"/>
        <c:axPos val="l"/>
        <c:majorGridlines>
          <c:spPr>
            <a:ln>
              <a:solidFill>
                <a:srgbClr val="33CCCC"/>
              </a:solidFill>
              <a:prstDash val="sysDot"/>
            </a:ln>
          </c:spPr>
        </c:majorGridlines>
        <c:title>
          <c:tx>
            <c:rich>
              <a:bodyPr rot="0" vert="horz"/>
              <a:lstStyle/>
              <a:p>
                <a:pPr algn="ctr">
                  <a:defRPr sz="800" b="1" i="0" u="none" strike="noStrike" baseline="0">
                    <a:solidFill>
                      <a:srgbClr val="000000"/>
                    </a:solidFill>
                    <a:latin typeface="Calibri"/>
                    <a:ea typeface="Calibri"/>
                    <a:cs typeface="Calibri"/>
                  </a:defRPr>
                </a:pPr>
                <a:r>
                  <a:rPr lang="en-US" sz="800"/>
                  <a:t>In millions MVR</a:t>
                </a:r>
              </a:p>
            </c:rich>
          </c:tx>
          <c:layout>
            <c:manualLayout>
              <c:xMode val="edge"/>
              <c:yMode val="edge"/>
              <c:x val="2.7778055350548239E-2"/>
              <c:y val="8.76817420623002E-2"/>
            </c:manualLayout>
          </c:layout>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390376280"/>
        <c:crosses val="autoZero"/>
        <c:crossBetween val="between"/>
      </c:valAx>
      <c:spPr>
        <a:solidFill>
          <a:srgbClr val="EAFAFA"/>
        </a:solidFill>
        <a:ln>
          <a:solidFill>
            <a:schemeClr val="bg1">
              <a:lumMod val="65000"/>
            </a:schemeClr>
          </a:solidFill>
        </a:ln>
      </c:spPr>
    </c:plotArea>
    <c:legend>
      <c:legendPos val="b"/>
      <c:legendEntry>
        <c:idx val="0"/>
        <c:txPr>
          <a:bodyPr/>
          <a:lstStyle/>
          <a:p>
            <a:pPr>
              <a:defRPr sz="900" b="0" i="0" u="none" strike="noStrike" baseline="0">
                <a:solidFill>
                  <a:srgbClr val="000000"/>
                </a:solidFill>
                <a:latin typeface="Calibri"/>
                <a:ea typeface="Calibri"/>
                <a:cs typeface="Calibri"/>
              </a:defRPr>
            </a:pPr>
            <a:endParaRPr lang="en-US"/>
          </a:p>
        </c:txPr>
      </c:legendEntry>
      <c:legendEntry>
        <c:idx val="1"/>
        <c:txPr>
          <a:bodyPr/>
          <a:lstStyle/>
          <a:p>
            <a:pPr>
              <a:defRPr sz="900" b="0" i="0" u="none" strike="noStrike" baseline="0">
                <a:solidFill>
                  <a:srgbClr val="000000"/>
                </a:solidFill>
                <a:latin typeface="Calibri"/>
                <a:ea typeface="Calibri"/>
                <a:cs typeface="Calibri"/>
              </a:defRPr>
            </a:pPr>
            <a:endParaRPr lang="en-US"/>
          </a:p>
        </c:txPr>
      </c:legendEntry>
      <c:legendEntry>
        <c:idx val="2"/>
        <c:txPr>
          <a:bodyPr/>
          <a:lstStyle/>
          <a:p>
            <a:pPr>
              <a:defRPr sz="900" b="0" i="0" u="none" strike="noStrike" baseline="0">
                <a:solidFill>
                  <a:srgbClr val="000000"/>
                </a:solidFill>
                <a:latin typeface="Calibri"/>
                <a:ea typeface="Calibri"/>
                <a:cs typeface="Calibri"/>
              </a:defRPr>
            </a:pPr>
            <a:endParaRPr lang="en-US"/>
          </a:p>
        </c:txPr>
      </c:legendEntry>
      <c:legendEntry>
        <c:idx val="3"/>
        <c:txPr>
          <a:bodyPr/>
          <a:lstStyle/>
          <a:p>
            <a:pPr>
              <a:defRPr sz="900" b="0" i="0" u="none" strike="noStrike" baseline="0">
                <a:solidFill>
                  <a:srgbClr val="000000"/>
                </a:solidFill>
                <a:latin typeface="Calibri"/>
                <a:ea typeface="Calibri"/>
                <a:cs typeface="Calibri"/>
              </a:defRPr>
            </a:pPr>
            <a:endParaRPr lang="en-US"/>
          </a:p>
        </c:txPr>
      </c:legendEntry>
      <c:layout>
        <c:manualLayout>
          <c:xMode val="edge"/>
          <c:yMode val="edge"/>
          <c:x val="0.10436269321287528"/>
          <c:y val="0.30234428047833478"/>
          <c:w val="0.49776993383171692"/>
          <c:h val="9.7266944357257995E-2"/>
        </c:manualLayout>
      </c:layout>
      <c:overlay val="0"/>
      <c:spPr>
        <a:noFill/>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orientation="landscape" horizontalDpi="1200" verticalDpi="1200"/>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a:lstStyle/>
          <a:p>
            <a:pPr>
              <a:defRPr sz="1400"/>
            </a:pPr>
            <a:r>
              <a:rPr lang="en-US" sz="1200"/>
              <a:t>Balance on Goods and Services, 2010 - 2020</a:t>
            </a:r>
          </a:p>
        </c:rich>
      </c:tx>
      <c:layout>
        <c:manualLayout>
          <c:xMode val="edge"/>
          <c:yMode val="edge"/>
          <c:x val="0.37454999291961272"/>
          <c:y val="4.8061842723993685E-2"/>
        </c:manualLayout>
      </c:layout>
      <c:overlay val="0"/>
    </c:title>
    <c:autoTitleDeleted val="0"/>
    <c:plotArea>
      <c:layout>
        <c:manualLayout>
          <c:layoutTarget val="inner"/>
          <c:xMode val="edge"/>
          <c:yMode val="edge"/>
          <c:x val="7.4041893185382318E-2"/>
          <c:y val="0.14085450242012282"/>
          <c:w val="0.91411857501896454"/>
          <c:h val="0.82400085167323167"/>
        </c:manualLayout>
      </c:layout>
      <c:lineChart>
        <c:grouping val="standard"/>
        <c:varyColors val="0"/>
        <c:ser>
          <c:idx val="2"/>
          <c:order val="0"/>
          <c:tx>
            <c:strRef>
              <c:f>'Foerign trade &amp; BOP'!$AV$43</c:f>
              <c:strCache>
                <c:ptCount val="1"/>
                <c:pt idx="0">
                  <c:v>Balance on goods</c:v>
                </c:pt>
              </c:strCache>
            </c:strRef>
          </c:tx>
          <c:spPr>
            <a:ln w="25400">
              <a:solidFill>
                <a:srgbClr val="33CCCC"/>
              </a:solidFill>
            </a:ln>
          </c:spPr>
          <c:marker>
            <c:spPr>
              <a:solidFill>
                <a:srgbClr val="C8F4F2"/>
              </a:solidFill>
              <a:ln>
                <a:solidFill>
                  <a:srgbClr val="249390"/>
                </a:solidFill>
              </a:ln>
            </c:spPr>
          </c:marker>
          <c:cat>
            <c:numRef>
              <c:f>'Foerign trade &amp; BOP'!$BA$42:$BK$42</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'Foerign trade &amp; BOP'!$BA$43:$BK$43</c:f>
              <c:numCache>
                <c:formatCode>0</c:formatCode>
                <c:ptCount val="11"/>
                <c:pt idx="0">
                  <c:v>-1044.3</c:v>
                </c:pt>
                <c:pt idx="1">
                  <c:v>-1370.4497932458348</c:v>
                </c:pt>
                <c:pt idx="2">
                  <c:v>-1261.3818460941536</c:v>
                </c:pt>
                <c:pt idx="3">
                  <c:v>-1372.0279990268523</c:v>
                </c:pt>
                <c:pt idx="4">
                  <c:v>-1659.9839496319867</c:v>
                </c:pt>
                <c:pt idx="5">
                  <c:v>-1654.7584348513501</c:v>
                </c:pt>
                <c:pt idx="6">
                  <c:v>-1839.4548719095881</c:v>
                </c:pt>
                <c:pt idx="7">
                  <c:v>-1908.1295867368151</c:v>
                </c:pt>
                <c:pt idx="8">
                  <c:v>-2424.9375968742447</c:v>
                </c:pt>
                <c:pt idx="9">
                  <c:v>-2392.3893471110855</c:v>
                </c:pt>
                <c:pt idx="10">
                  <c:v>-1450.6795210327987</c:v>
                </c:pt>
              </c:numCache>
            </c:numRef>
          </c:val>
          <c:smooth val="1"/>
          <c:extLst xmlns:c16r2="http://schemas.microsoft.com/office/drawing/2015/06/chart">
            <c:ext xmlns:c16="http://schemas.microsoft.com/office/drawing/2014/chart" uri="{C3380CC4-5D6E-409C-BE32-E72D297353CC}">
              <c16:uniqueId val="{00000000-4846-4DDF-BCFC-D42A30425492}"/>
            </c:ext>
          </c:extLst>
        </c:ser>
        <c:ser>
          <c:idx val="0"/>
          <c:order val="1"/>
          <c:tx>
            <c:strRef>
              <c:f>'Foerign trade &amp; BOP'!$AV$44</c:f>
              <c:strCache>
                <c:ptCount val="1"/>
                <c:pt idx="0">
                  <c:v>Balance on services</c:v>
                </c:pt>
              </c:strCache>
            </c:strRef>
          </c:tx>
          <c:spPr>
            <a:ln w="25400">
              <a:solidFill>
                <a:srgbClr val="249390"/>
              </a:solidFill>
            </a:ln>
          </c:spPr>
          <c:marker>
            <c:spPr>
              <a:solidFill>
                <a:srgbClr val="33CCCC"/>
              </a:solidFill>
              <a:ln>
                <a:solidFill>
                  <a:srgbClr val="33CCCC"/>
                </a:solidFill>
              </a:ln>
            </c:spPr>
          </c:marker>
          <c:cat>
            <c:numRef>
              <c:f>'Foerign trade &amp; BOP'!$BA$42:$BK$42</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'Foerign trade &amp; BOP'!$BA$44:$BK$44</c:f>
              <c:numCache>
                <c:formatCode>#,##0.0</c:formatCode>
                <c:ptCount val="11"/>
                <c:pt idx="0" formatCode="0">
                  <c:v>1358.5</c:v>
                </c:pt>
                <c:pt idx="1">
                  <c:v>2679.4074919898917</c:v>
                </c:pt>
                <c:pt idx="2">
                  <c:v>2742.1730668283817</c:v>
                </c:pt>
                <c:pt idx="3">
                  <c:v>3273.4959116042182</c:v>
                </c:pt>
                <c:pt idx="4">
                  <c:v>3791.6288966259008</c:v>
                </c:pt>
                <c:pt idx="5">
                  <c:v>3779.961068800013</c:v>
                </c:pt>
                <c:pt idx="6">
                  <c:v>3994.7189518079313</c:v>
                </c:pt>
                <c:pt idx="7">
                  <c:v>4275.6426610765466</c:v>
                </c:pt>
                <c:pt idx="8">
                  <c:v>4582.75135951839</c:v>
                </c:pt>
                <c:pt idx="9">
                  <c:v>4718.8163633556105</c:v>
                </c:pt>
                <c:pt idx="10">
                  <c:v>2242.4372064286263</c:v>
                </c:pt>
              </c:numCache>
            </c:numRef>
          </c:val>
          <c:smooth val="1"/>
          <c:extLst xmlns:c16r2="http://schemas.microsoft.com/office/drawing/2015/06/chart">
            <c:ext xmlns:c16="http://schemas.microsoft.com/office/drawing/2014/chart" uri="{C3380CC4-5D6E-409C-BE32-E72D297353CC}">
              <c16:uniqueId val="{00000001-4846-4DDF-BCFC-D42A30425492}"/>
            </c:ext>
          </c:extLst>
        </c:ser>
        <c:dLbls>
          <c:showLegendKey val="0"/>
          <c:showVal val="0"/>
          <c:showCatName val="0"/>
          <c:showSerName val="0"/>
          <c:showPercent val="0"/>
          <c:showBubbleSize val="0"/>
        </c:dLbls>
        <c:marker val="1"/>
        <c:smooth val="0"/>
        <c:axId val="390377848"/>
        <c:axId val="390379808"/>
      </c:lineChart>
      <c:catAx>
        <c:axId val="390377848"/>
        <c:scaling>
          <c:orientation val="minMax"/>
        </c:scaling>
        <c:delete val="0"/>
        <c:axPos val="b"/>
        <c:majorGridlines>
          <c:spPr>
            <a:ln>
              <a:noFill/>
            </a:ln>
          </c:spPr>
        </c:majorGridlines>
        <c:numFmt formatCode="General" sourceLinked="0"/>
        <c:majorTickMark val="none"/>
        <c:minorTickMark val="out"/>
        <c:tickLblPos val="nextTo"/>
        <c:spPr>
          <a:ln w="25400">
            <a:solidFill>
              <a:schemeClr val="bg1">
                <a:lumMod val="50000"/>
              </a:schemeClr>
            </a:solidFill>
          </a:ln>
        </c:spPr>
        <c:crossAx val="390379808"/>
        <c:crosses val="autoZero"/>
        <c:auto val="1"/>
        <c:lblAlgn val="ctr"/>
        <c:lblOffset val="100"/>
        <c:noMultiLvlLbl val="0"/>
      </c:catAx>
      <c:valAx>
        <c:axId val="390379808"/>
        <c:scaling>
          <c:orientation val="minMax"/>
          <c:max val="7000"/>
        </c:scaling>
        <c:delete val="0"/>
        <c:axPos val="l"/>
        <c:majorGridlines>
          <c:spPr>
            <a:ln>
              <a:noFill/>
            </a:ln>
          </c:spPr>
        </c:majorGridlines>
        <c:numFmt formatCode="#,##0" sourceLinked="0"/>
        <c:majorTickMark val="none"/>
        <c:minorTickMark val="none"/>
        <c:tickLblPos val="nextTo"/>
        <c:crossAx val="390377848"/>
        <c:crosses val="autoZero"/>
        <c:crossBetween val="between"/>
        <c:majorUnit val="1000"/>
      </c:valAx>
      <c:spPr>
        <a:solidFill>
          <a:srgbClr val="EAFAFA"/>
        </a:solidFill>
        <a:ln>
          <a:solidFill>
            <a:schemeClr val="bg1">
              <a:lumMod val="75000"/>
            </a:schemeClr>
          </a:solidFill>
        </a:ln>
      </c:spPr>
    </c:plotArea>
    <c:legend>
      <c:legendPos val="b"/>
      <c:layout>
        <c:manualLayout>
          <c:xMode val="edge"/>
          <c:yMode val="edge"/>
          <c:x val="0.1567903989447009"/>
          <c:y val="0.24396588057032942"/>
          <c:w val="0.38879653078317761"/>
          <c:h val="6.6982641324526873E-2"/>
        </c:manualLayout>
      </c:layout>
      <c:overlay val="0"/>
    </c:legend>
    <c:plotVisOnly val="1"/>
    <c:dispBlanksAs val="gap"/>
    <c:showDLblsOverMax val="0"/>
  </c:chart>
  <c:spPr>
    <a:solidFill>
      <a:schemeClr val="bg1"/>
    </a:solidFill>
  </c:spPr>
  <c:printSettings>
    <c:headerFooter/>
    <c:pageMargins b="0.75" l="0.7" r="0.7" t="0.75" header="0.3" footer="0.3"/>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0"/>
    </mc:Choice>
    <mc:Fallback>
      <c:style val="20"/>
    </mc:Fallback>
  </mc:AlternateContent>
  <c:chart>
    <c:autoTitleDeleted val="1"/>
    <c:plotArea>
      <c:layout>
        <c:manualLayout>
          <c:layoutTarget val="inner"/>
          <c:xMode val="edge"/>
          <c:yMode val="edge"/>
          <c:x val="9.251858487748911E-2"/>
          <c:y val="0.15703787026621674"/>
          <c:w val="0.8828898109293225"/>
          <c:h val="0.71737758773530791"/>
        </c:manualLayout>
      </c:layout>
      <c:barChart>
        <c:barDir val="col"/>
        <c:grouping val="clustered"/>
        <c:varyColors val="0"/>
        <c:ser>
          <c:idx val="0"/>
          <c:order val="0"/>
          <c:spPr>
            <a:solidFill>
              <a:srgbClr val="33CCCC"/>
            </a:solidFill>
          </c:spPr>
          <c:invertIfNegative val="0"/>
          <c:cat>
            <c:numRef>
              <c:f>'Annual nationa accounts'!$BB$16:$BL$16</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'Annual nationa accounts'!$B$13:$L$13</c:f>
              <c:numCache>
                <c:formatCode>#,##0</c:formatCode>
                <c:ptCount val="11"/>
                <c:pt idx="0">
                  <c:v>6576.0181168954177</c:v>
                </c:pt>
                <c:pt idx="1">
                  <c:v>6842.3365773095393</c:v>
                </c:pt>
                <c:pt idx="2">
                  <c:v>6891.4401854373837</c:v>
                </c:pt>
                <c:pt idx="3">
                  <c:v>7660.0081178787968</c:v>
                </c:pt>
                <c:pt idx="4">
                  <c:v>8428.7118745966709</c:v>
                </c:pt>
                <c:pt idx="5">
                  <c:v>9011.45921255967</c:v>
                </c:pt>
                <c:pt idx="6">
                  <c:v>9238.4470006953434</c:v>
                </c:pt>
                <c:pt idx="7">
                  <c:v>9650.3435586995129</c:v>
                </c:pt>
                <c:pt idx="8">
                  <c:v>10333.077480184509</c:v>
                </c:pt>
                <c:pt idx="9">
                  <c:v>10476.697968410526</c:v>
                </c:pt>
                <c:pt idx="10">
                  <c:v>6697.5273409755255</c:v>
                </c:pt>
              </c:numCache>
            </c:numRef>
          </c:val>
          <c:extLst xmlns:c16r2="http://schemas.microsoft.com/office/drawing/2015/06/chart">
            <c:ext xmlns:c16="http://schemas.microsoft.com/office/drawing/2014/chart" uri="{C3380CC4-5D6E-409C-BE32-E72D297353CC}">
              <c16:uniqueId val="{00000000-EEA3-4C42-9C38-7BA4DEDC1655}"/>
            </c:ext>
          </c:extLst>
        </c:ser>
        <c:dLbls>
          <c:showLegendKey val="0"/>
          <c:showVal val="0"/>
          <c:showCatName val="0"/>
          <c:showSerName val="0"/>
          <c:showPercent val="0"/>
          <c:showBubbleSize val="0"/>
        </c:dLbls>
        <c:gapWidth val="150"/>
        <c:axId val="390382552"/>
        <c:axId val="390378240"/>
      </c:barChart>
      <c:catAx>
        <c:axId val="390382552"/>
        <c:scaling>
          <c:orientation val="minMax"/>
        </c:scaling>
        <c:delete val="0"/>
        <c:axPos val="b"/>
        <c:numFmt formatCode="General" sourceLinked="1"/>
        <c:majorTickMark val="out"/>
        <c:minorTickMark val="none"/>
        <c:tickLblPos val="low"/>
        <c:txPr>
          <a:bodyPr rot="0" vert="horz"/>
          <a:lstStyle/>
          <a:p>
            <a:pPr>
              <a:defRPr sz="900"/>
            </a:pPr>
            <a:endParaRPr lang="en-US"/>
          </a:p>
        </c:txPr>
        <c:crossAx val="390378240"/>
        <c:crosses val="autoZero"/>
        <c:auto val="1"/>
        <c:lblAlgn val="ctr"/>
        <c:lblOffset val="100"/>
        <c:tickLblSkip val="1"/>
        <c:tickMarkSkip val="1"/>
        <c:noMultiLvlLbl val="0"/>
      </c:catAx>
      <c:valAx>
        <c:axId val="390378240"/>
        <c:scaling>
          <c:orientation val="minMax"/>
        </c:scaling>
        <c:delete val="0"/>
        <c:axPos val="l"/>
        <c:title>
          <c:tx>
            <c:rich>
              <a:bodyPr rot="0" vert="horz"/>
              <a:lstStyle/>
              <a:p>
                <a:pPr>
                  <a:defRPr/>
                </a:pPr>
                <a:r>
                  <a:rPr lang="en-US"/>
                  <a:t>In US$</a:t>
                </a:r>
              </a:p>
            </c:rich>
          </c:tx>
          <c:layout>
            <c:manualLayout>
              <c:xMode val="edge"/>
              <c:yMode val="edge"/>
              <c:x val="2.3741123412872885E-2"/>
              <c:y val="5.1788085312865301E-2"/>
            </c:manualLayout>
          </c:layout>
          <c:overlay val="0"/>
        </c:title>
        <c:numFmt formatCode="#,##0" sourceLinked="1"/>
        <c:majorTickMark val="out"/>
        <c:minorTickMark val="none"/>
        <c:tickLblPos val="nextTo"/>
        <c:txPr>
          <a:bodyPr rot="0" vert="horz"/>
          <a:lstStyle/>
          <a:p>
            <a:pPr>
              <a:defRPr/>
            </a:pPr>
            <a:endParaRPr lang="en-US"/>
          </a:p>
        </c:txPr>
        <c:crossAx val="390382552"/>
        <c:crosses val="autoZero"/>
        <c:crossBetween val="between"/>
      </c:valAx>
      <c:spPr>
        <a:ln>
          <a:solidFill>
            <a:schemeClr val="bg1">
              <a:lumMod val="75000"/>
            </a:schemeClr>
          </a:solidFill>
        </a:ln>
      </c:spPr>
    </c:plotArea>
    <c:plotVisOnly val="1"/>
    <c:dispBlanksAs val="gap"/>
    <c:showDLblsOverMax val="0"/>
  </c:chart>
  <c:printSettings>
    <c:headerFooter alignWithMargins="0"/>
    <c:pageMargins b="1" l="0.75" r="0.75" t="1" header="0.5" footer="0.5"/>
    <c:pageSetup orientation="landscape" horizontalDpi="300" verticalDpi="300"/>
  </c:printSettings>
  <c:userShapes r:id="rId1"/>
</c:chartSpace>
</file>

<file path=xl/charts/chart2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0"/>
    </mc:Choice>
    <mc:Fallback>
      <c:style val="20"/>
    </mc:Fallback>
  </mc:AlternateContent>
  <c:chart>
    <c:title>
      <c:tx>
        <c:rich>
          <a:bodyPr/>
          <a:lstStyle/>
          <a:p>
            <a:pPr>
              <a:defRPr sz="1200">
                <a:latin typeface="Candara" pitchFamily="34" charset="0"/>
              </a:defRPr>
            </a:pPr>
            <a:r>
              <a:rPr lang="en-US" sz="1200">
                <a:latin typeface="Candara" pitchFamily="34" charset="0"/>
              </a:rPr>
              <a:t>GDP and GDP growth rates, 2010 - 2020</a:t>
            </a:r>
          </a:p>
        </c:rich>
      </c:tx>
      <c:layout>
        <c:manualLayout>
          <c:xMode val="edge"/>
          <c:yMode val="edge"/>
          <c:x val="0.28246401851920377"/>
          <c:y val="4.8353852675632032E-2"/>
        </c:manualLayout>
      </c:layout>
      <c:overlay val="1"/>
    </c:title>
    <c:autoTitleDeleted val="0"/>
    <c:plotArea>
      <c:layout>
        <c:manualLayout>
          <c:layoutTarget val="inner"/>
          <c:xMode val="edge"/>
          <c:yMode val="edge"/>
          <c:x val="8.5505975287720234E-2"/>
          <c:y val="0.19302720637228407"/>
          <c:w val="0.84514858056536035"/>
          <c:h val="0.6681343227158334"/>
        </c:manualLayout>
      </c:layout>
      <c:barChart>
        <c:barDir val="col"/>
        <c:grouping val="clustered"/>
        <c:varyColors val="0"/>
        <c:ser>
          <c:idx val="1"/>
          <c:order val="0"/>
          <c:tx>
            <c:strRef>
              <c:f>'Annual nationa accounts'!$AT$17</c:f>
              <c:strCache>
                <c:ptCount val="1"/>
                <c:pt idx="0">
                  <c:v>G.D.P  </c:v>
                </c:pt>
              </c:strCache>
            </c:strRef>
          </c:tx>
          <c:spPr>
            <a:solidFill>
              <a:srgbClr val="249390"/>
            </a:solidFill>
          </c:spPr>
          <c:invertIfNegative val="0"/>
          <c:cat>
            <c:numRef>
              <c:f>'Annual nationa accounts'!$BB$16:$BL$16</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'Annual nationa accounts'!$BB$17:$BL$17</c:f>
              <c:numCache>
                <c:formatCode>#,##0</c:formatCode>
                <c:ptCount val="11"/>
                <c:pt idx="0">
                  <c:v>44373.263009045702</c:v>
                </c:pt>
                <c:pt idx="1">
                  <c:v>48174.602246722294</c:v>
                </c:pt>
                <c:pt idx="2">
                  <c:v>49387.341903578039</c:v>
                </c:pt>
                <c:pt idx="3">
                  <c:v>52983.270832843715</c:v>
                </c:pt>
                <c:pt idx="4">
                  <c:v>56866.746459796508</c:v>
                </c:pt>
                <c:pt idx="5">
                  <c:v>58507.095409109577</c:v>
                </c:pt>
                <c:pt idx="6">
                  <c:v>62215.450950118036</c:v>
                </c:pt>
                <c:pt idx="7">
                  <c:v>66701.129096139601</c:v>
                </c:pt>
                <c:pt idx="8">
                  <c:v>72119.347812321037</c:v>
                </c:pt>
                <c:pt idx="9">
                  <c:v>77083.819263393671</c:v>
                </c:pt>
                <c:pt idx="10">
                  <c:v>51260.815289149716</c:v>
                </c:pt>
              </c:numCache>
            </c:numRef>
          </c:val>
          <c:extLst xmlns:c16r2="http://schemas.microsoft.com/office/drawing/2015/06/chart">
            <c:ext xmlns:c16="http://schemas.microsoft.com/office/drawing/2014/chart" uri="{C3380CC4-5D6E-409C-BE32-E72D297353CC}">
              <c16:uniqueId val="{00000000-EE5A-4927-B909-CF1E104A2F9B}"/>
            </c:ext>
          </c:extLst>
        </c:ser>
        <c:dLbls>
          <c:showLegendKey val="0"/>
          <c:showVal val="0"/>
          <c:showCatName val="0"/>
          <c:showSerName val="0"/>
          <c:showPercent val="0"/>
          <c:showBubbleSize val="0"/>
        </c:dLbls>
        <c:gapWidth val="150"/>
        <c:axId val="564884968"/>
        <c:axId val="564885360"/>
      </c:barChart>
      <c:lineChart>
        <c:grouping val="standard"/>
        <c:varyColors val="0"/>
        <c:ser>
          <c:idx val="0"/>
          <c:order val="1"/>
          <c:tx>
            <c:strRef>
              <c:f>'Annual nationa accounts'!$AT$18</c:f>
              <c:strCache>
                <c:ptCount val="1"/>
                <c:pt idx="0">
                  <c:v> Growth Rates</c:v>
                </c:pt>
              </c:strCache>
            </c:strRef>
          </c:tx>
          <c:spPr>
            <a:ln w="25400">
              <a:solidFill>
                <a:srgbClr val="33CCCC"/>
              </a:solidFill>
            </a:ln>
          </c:spPr>
          <c:marker>
            <c:symbol val="diamond"/>
            <c:size val="6"/>
            <c:spPr>
              <a:solidFill>
                <a:srgbClr val="33CCCC"/>
              </a:solidFill>
              <a:ln w="12700">
                <a:solidFill>
                  <a:srgbClr val="196563"/>
                </a:solidFill>
              </a:ln>
            </c:spPr>
          </c:marker>
          <c:cat>
            <c:numRef>
              <c:f>'Annual nationa accounts'!$BB$16:$BL$16</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'Annual nationa accounts'!$BB$18:$BL$18</c:f>
              <c:numCache>
                <c:formatCode>#,##0.0</c:formatCode>
                <c:ptCount val="11"/>
                <c:pt idx="0">
                  <c:v>7.2651291881888458</c:v>
                </c:pt>
                <c:pt idx="1">
                  <c:v>8.5667336136665782</c:v>
                </c:pt>
                <c:pt idx="2">
                  <c:v>2.5173838501972412</c:v>
                </c:pt>
                <c:pt idx="3">
                  <c:v>7.2810740377285965</c:v>
                </c:pt>
                <c:pt idx="4">
                  <c:v>7.3296260610348662</c:v>
                </c:pt>
                <c:pt idx="5">
                  <c:v>2.8845486183612712</c:v>
                </c:pt>
                <c:pt idx="6">
                  <c:v>6.3383005344529009</c:v>
                </c:pt>
                <c:pt idx="7">
                  <c:v>7.2099102032034068</c:v>
                </c:pt>
                <c:pt idx="8">
                  <c:v>8.1231289329029011</c:v>
                </c:pt>
                <c:pt idx="9">
                  <c:v>6.8836887765428401</c:v>
                </c:pt>
                <c:pt idx="10">
                  <c:v>-33.49990208192375</c:v>
                </c:pt>
              </c:numCache>
            </c:numRef>
          </c:val>
          <c:smooth val="1"/>
          <c:extLst xmlns:c16r2="http://schemas.microsoft.com/office/drawing/2015/06/chart">
            <c:ext xmlns:c16="http://schemas.microsoft.com/office/drawing/2014/chart" uri="{C3380CC4-5D6E-409C-BE32-E72D297353CC}">
              <c16:uniqueId val="{00000001-EE5A-4927-B909-CF1E104A2F9B}"/>
            </c:ext>
          </c:extLst>
        </c:ser>
        <c:dLbls>
          <c:showLegendKey val="0"/>
          <c:showVal val="0"/>
          <c:showCatName val="0"/>
          <c:showSerName val="0"/>
          <c:showPercent val="0"/>
          <c:showBubbleSize val="0"/>
        </c:dLbls>
        <c:marker val="1"/>
        <c:smooth val="0"/>
        <c:axId val="564889672"/>
        <c:axId val="564890848"/>
      </c:lineChart>
      <c:catAx>
        <c:axId val="564884968"/>
        <c:scaling>
          <c:orientation val="minMax"/>
        </c:scaling>
        <c:delete val="0"/>
        <c:axPos val="b"/>
        <c:numFmt formatCode="General" sourceLinked="1"/>
        <c:majorTickMark val="none"/>
        <c:minorTickMark val="none"/>
        <c:tickLblPos val="nextTo"/>
        <c:txPr>
          <a:bodyPr rot="0" vert="horz"/>
          <a:lstStyle/>
          <a:p>
            <a:pPr>
              <a:defRPr sz="900"/>
            </a:pPr>
            <a:endParaRPr lang="en-US"/>
          </a:p>
        </c:txPr>
        <c:crossAx val="564885360"/>
        <c:crosses val="autoZero"/>
        <c:auto val="0"/>
        <c:lblAlgn val="ctr"/>
        <c:lblOffset val="100"/>
        <c:tickLblSkip val="1"/>
        <c:tickMarkSkip val="1"/>
        <c:noMultiLvlLbl val="0"/>
      </c:catAx>
      <c:valAx>
        <c:axId val="564885360"/>
        <c:scaling>
          <c:orientation val="minMax"/>
        </c:scaling>
        <c:delete val="0"/>
        <c:axPos val="l"/>
        <c:title>
          <c:tx>
            <c:rich>
              <a:bodyPr rot="0" vert="horz"/>
              <a:lstStyle/>
              <a:p>
                <a:pPr>
                  <a:defRPr/>
                </a:pPr>
                <a:r>
                  <a:rPr lang="en-US"/>
                  <a:t>In million MVR</a:t>
                </a:r>
              </a:p>
            </c:rich>
          </c:tx>
          <c:layout>
            <c:manualLayout>
              <c:xMode val="edge"/>
              <c:yMode val="edge"/>
              <c:x val="5.9961186886249044E-3"/>
              <c:y val="8.2080255431988533E-2"/>
            </c:manualLayout>
          </c:layout>
          <c:overlay val="0"/>
        </c:title>
        <c:numFmt formatCode="#,##0" sourceLinked="0"/>
        <c:majorTickMark val="none"/>
        <c:minorTickMark val="none"/>
        <c:tickLblPos val="nextTo"/>
        <c:txPr>
          <a:bodyPr rot="0" vert="horz"/>
          <a:lstStyle/>
          <a:p>
            <a:pPr>
              <a:defRPr/>
            </a:pPr>
            <a:endParaRPr lang="en-US"/>
          </a:p>
        </c:txPr>
        <c:crossAx val="564884968"/>
        <c:crosses val="autoZero"/>
        <c:crossBetween val="between"/>
      </c:valAx>
      <c:catAx>
        <c:axId val="564889672"/>
        <c:scaling>
          <c:orientation val="minMax"/>
        </c:scaling>
        <c:delete val="1"/>
        <c:axPos val="b"/>
        <c:title>
          <c:tx>
            <c:rich>
              <a:bodyPr/>
              <a:lstStyle/>
              <a:p>
                <a:pPr>
                  <a:defRPr/>
                </a:pPr>
                <a:r>
                  <a:rPr lang="en-US"/>
                  <a:t>In percent</a:t>
                </a:r>
              </a:p>
            </c:rich>
          </c:tx>
          <c:layout>
            <c:manualLayout>
              <c:xMode val="edge"/>
              <c:yMode val="edge"/>
              <c:x val="0.89463264766322814"/>
              <c:y val="8.3856431526306119E-2"/>
            </c:manualLayout>
          </c:layout>
          <c:overlay val="0"/>
        </c:title>
        <c:numFmt formatCode="General" sourceLinked="1"/>
        <c:majorTickMark val="out"/>
        <c:minorTickMark val="none"/>
        <c:tickLblPos val="nextTo"/>
        <c:crossAx val="564890848"/>
        <c:crosses val="autoZero"/>
        <c:auto val="0"/>
        <c:lblAlgn val="ctr"/>
        <c:lblOffset val="100"/>
        <c:noMultiLvlLbl val="0"/>
      </c:catAx>
      <c:valAx>
        <c:axId val="564890848"/>
        <c:scaling>
          <c:orientation val="minMax"/>
        </c:scaling>
        <c:delete val="0"/>
        <c:axPos val="r"/>
        <c:numFmt formatCode="0" sourceLinked="0"/>
        <c:majorTickMark val="none"/>
        <c:minorTickMark val="none"/>
        <c:tickLblPos val="nextTo"/>
        <c:txPr>
          <a:bodyPr rot="0" vert="horz"/>
          <a:lstStyle/>
          <a:p>
            <a:pPr>
              <a:defRPr/>
            </a:pPr>
            <a:endParaRPr lang="en-US"/>
          </a:p>
        </c:txPr>
        <c:crossAx val="564889672"/>
        <c:crosses val="max"/>
        <c:crossBetween val="between"/>
      </c:valAx>
      <c:spPr>
        <a:ln>
          <a:solidFill>
            <a:schemeClr val="bg1">
              <a:lumMod val="75000"/>
            </a:schemeClr>
          </a:solidFill>
        </a:ln>
      </c:spPr>
    </c:plotArea>
    <c:legend>
      <c:legendPos val="r"/>
      <c:layout>
        <c:manualLayout>
          <c:xMode val="edge"/>
          <c:yMode val="edge"/>
          <c:x val="0.24051502832355895"/>
          <c:y val="0.21382827059608861"/>
          <c:w val="0.40109351198403537"/>
          <c:h val="7.3529601903210368E-2"/>
        </c:manualLayout>
      </c:layout>
      <c:overlay val="0"/>
    </c:legend>
    <c:plotVisOnly val="1"/>
    <c:dispBlanksAs val="gap"/>
    <c:showDLblsOverMax val="0"/>
  </c:chart>
  <c:printSettings>
    <c:headerFooter alignWithMargins="0">
      <c:oddHeader>&amp;A</c:oddHeader>
      <c:oddFooter>Page &amp;P</c:oddFooter>
    </c:headerFooter>
    <c:pageMargins b="1" l="0.75" r="0.75" t="1" header="0.5" footer="0.5"/>
    <c:pageSetup orientation="landscape"/>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Consolas" pitchFamily="49" charset="0"/>
                <a:ea typeface="Calibri"/>
                <a:cs typeface="Consolas" pitchFamily="49" charset="0"/>
              </a:defRPr>
            </a:pPr>
            <a:r>
              <a:rPr lang="en-US" sz="1400" b="1">
                <a:latin typeface="Consolas" pitchFamily="49" charset="0"/>
                <a:cs typeface="Consolas" pitchFamily="49" charset="0"/>
              </a:rPr>
              <a:t>Inflation Rates, CPI - Male' 2010 - 2020</a:t>
            </a:r>
          </a:p>
        </c:rich>
      </c:tx>
      <c:layout>
        <c:manualLayout>
          <c:xMode val="edge"/>
          <c:yMode val="edge"/>
          <c:x val="0.29964347161682964"/>
          <c:y val="5.2173921974310505E-2"/>
        </c:manualLayout>
      </c:layout>
      <c:overlay val="0"/>
    </c:title>
    <c:autoTitleDeleted val="0"/>
    <c:plotArea>
      <c:layout>
        <c:manualLayout>
          <c:layoutTarget val="inner"/>
          <c:xMode val="edge"/>
          <c:yMode val="edge"/>
          <c:x val="6.1774965474929895E-2"/>
          <c:y val="0.16819457736097521"/>
          <c:w val="0.90939289152604541"/>
          <c:h val="0.73244519543882813"/>
        </c:manualLayout>
      </c:layout>
      <c:lineChart>
        <c:grouping val="standard"/>
        <c:varyColors val="0"/>
        <c:ser>
          <c:idx val="0"/>
          <c:order val="0"/>
          <c:tx>
            <c:strRef>
              <c:f>Prices!$AN$9</c:f>
              <c:strCache>
                <c:ptCount val="1"/>
                <c:pt idx="0">
                  <c:v>over all</c:v>
                </c:pt>
              </c:strCache>
            </c:strRef>
          </c:tx>
          <c:spPr>
            <a:ln w="25400">
              <a:solidFill>
                <a:srgbClr val="33CCCC"/>
              </a:solidFill>
            </a:ln>
          </c:spPr>
          <c:marker>
            <c:symbol val="circle"/>
            <c:size val="7"/>
            <c:spPr>
              <a:solidFill>
                <a:srgbClr val="249390"/>
              </a:solidFill>
              <a:ln>
                <a:solidFill>
                  <a:srgbClr val="33CCCC"/>
                </a:solidFill>
              </a:ln>
            </c:spPr>
          </c:marker>
          <c:cat>
            <c:numRef>
              <c:f>Prices!$AY$8:$BI$8</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Prices!$AY$9:$BI$9</c:f>
              <c:numCache>
                <c:formatCode>General</c:formatCode>
                <c:ptCount val="11"/>
                <c:pt idx="0">
                  <c:v>6.2</c:v>
                </c:pt>
                <c:pt idx="1">
                  <c:v>11.3</c:v>
                </c:pt>
                <c:pt idx="2">
                  <c:v>10.9</c:v>
                </c:pt>
                <c:pt idx="3">
                  <c:v>3.8</c:v>
                </c:pt>
                <c:pt idx="4">
                  <c:v>2.1</c:v>
                </c:pt>
                <c:pt idx="5" formatCode="0.0">
                  <c:v>0.95</c:v>
                </c:pt>
                <c:pt idx="6" formatCode="0.0">
                  <c:v>0.50250941361158485</c:v>
                </c:pt>
                <c:pt idx="7" formatCode="0.0">
                  <c:v>2.8174733823451481</c:v>
                </c:pt>
                <c:pt idx="8" formatCode="0.0">
                  <c:v>-0.13337338611760785</c:v>
                </c:pt>
                <c:pt idx="9" formatCode="0.0">
                  <c:v>0.22002973106536317</c:v>
                </c:pt>
                <c:pt idx="10" formatCode="0.0">
                  <c:v>-1.3697742556980863</c:v>
                </c:pt>
              </c:numCache>
            </c:numRef>
          </c:val>
          <c:smooth val="1"/>
          <c:extLst xmlns:c16r2="http://schemas.microsoft.com/office/drawing/2015/06/chart">
            <c:ext xmlns:c16="http://schemas.microsoft.com/office/drawing/2014/chart" uri="{C3380CC4-5D6E-409C-BE32-E72D297353CC}">
              <c16:uniqueId val="{00000000-4426-4448-ACD8-79CEA529F8A9}"/>
            </c:ext>
          </c:extLst>
        </c:ser>
        <c:ser>
          <c:idx val="1"/>
          <c:order val="1"/>
          <c:tx>
            <c:strRef>
              <c:f>Prices!$AN$10</c:f>
              <c:strCache>
                <c:ptCount val="1"/>
                <c:pt idx="0">
                  <c:v>Food and non-alchoholic beverages</c:v>
                </c:pt>
              </c:strCache>
            </c:strRef>
          </c:tx>
          <c:spPr>
            <a:ln w="28575">
              <a:solidFill>
                <a:srgbClr val="249390"/>
              </a:solidFill>
            </a:ln>
          </c:spPr>
          <c:marker>
            <c:symbol val="square"/>
            <c:size val="7"/>
            <c:spPr>
              <a:solidFill>
                <a:srgbClr val="C8F4F2"/>
              </a:solidFill>
              <a:ln>
                <a:solidFill>
                  <a:srgbClr val="249390"/>
                </a:solidFill>
              </a:ln>
            </c:spPr>
          </c:marker>
          <c:cat>
            <c:numRef>
              <c:f>Prices!$AY$8:$BI$8</c:f>
              <c:numCache>
                <c:formatCode>General</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Prices!$AY$10:$BI$10</c:f>
              <c:numCache>
                <c:formatCode>0.00</c:formatCode>
                <c:ptCount val="11"/>
                <c:pt idx="0">
                  <c:v>7.5</c:v>
                </c:pt>
                <c:pt idx="1">
                  <c:v>19.899999999999999</c:v>
                </c:pt>
                <c:pt idx="2">
                  <c:v>17.625899280575524</c:v>
                </c:pt>
                <c:pt idx="3" formatCode="General">
                  <c:v>7.2</c:v>
                </c:pt>
                <c:pt idx="4" formatCode="General">
                  <c:v>0.7</c:v>
                </c:pt>
                <c:pt idx="5" formatCode="0.0">
                  <c:v>0.48</c:v>
                </c:pt>
                <c:pt idx="6" formatCode="0.0">
                  <c:v>0.57688102083264248</c:v>
                </c:pt>
                <c:pt idx="7" formatCode="0.0">
                  <c:v>5.5990541326304877</c:v>
                </c:pt>
                <c:pt idx="8" formatCode="0.0">
                  <c:v>-1.0835349968147301</c:v>
                </c:pt>
                <c:pt idx="9" formatCode="0.0">
                  <c:v>-0.79052536778502214</c:v>
                </c:pt>
                <c:pt idx="10" formatCode="0.0">
                  <c:v>2.7261932547770762</c:v>
                </c:pt>
              </c:numCache>
            </c:numRef>
          </c:val>
          <c:smooth val="1"/>
          <c:extLst xmlns:c16r2="http://schemas.microsoft.com/office/drawing/2015/06/chart">
            <c:ext xmlns:c16="http://schemas.microsoft.com/office/drawing/2014/chart" uri="{C3380CC4-5D6E-409C-BE32-E72D297353CC}">
              <c16:uniqueId val="{00000001-4426-4448-ACD8-79CEA529F8A9}"/>
            </c:ext>
          </c:extLst>
        </c:ser>
        <c:dLbls>
          <c:showLegendKey val="0"/>
          <c:showVal val="0"/>
          <c:showCatName val="0"/>
          <c:showSerName val="0"/>
          <c:showPercent val="0"/>
          <c:showBubbleSize val="0"/>
        </c:dLbls>
        <c:marker val="1"/>
        <c:smooth val="0"/>
        <c:axId val="564895160"/>
        <c:axId val="564891632"/>
      </c:lineChart>
      <c:catAx>
        <c:axId val="564895160"/>
        <c:scaling>
          <c:orientation val="minMax"/>
        </c:scaling>
        <c:delete val="0"/>
        <c:axPos val="b"/>
        <c:numFmt formatCode="General" sourceLinked="1"/>
        <c:majorTickMark val="none"/>
        <c:minorTickMark val="none"/>
        <c:tickLblPos val="low"/>
        <c:spPr>
          <a:ln w="22225">
            <a:solidFill>
              <a:schemeClr val="bg2">
                <a:lumMod val="75000"/>
              </a:schemeClr>
            </a:solidFill>
          </a:ln>
        </c:spPr>
        <c:txPr>
          <a:bodyPr rot="0" vert="horz"/>
          <a:lstStyle/>
          <a:p>
            <a:pPr>
              <a:defRPr sz="1050" b="0" i="0" u="none" strike="noStrike" baseline="0">
                <a:solidFill>
                  <a:srgbClr val="000000"/>
                </a:solidFill>
                <a:latin typeface="Calibri"/>
                <a:ea typeface="Calibri"/>
                <a:cs typeface="Calibri"/>
              </a:defRPr>
            </a:pPr>
            <a:endParaRPr lang="en-US"/>
          </a:p>
        </c:txPr>
        <c:crossAx val="564891632"/>
        <c:crosses val="autoZero"/>
        <c:auto val="1"/>
        <c:lblAlgn val="ctr"/>
        <c:lblOffset val="100"/>
        <c:noMultiLvlLbl val="0"/>
      </c:catAx>
      <c:valAx>
        <c:axId val="564891632"/>
        <c:scaling>
          <c:orientation val="minMax"/>
        </c:scaling>
        <c:delete val="0"/>
        <c:axPos val="l"/>
        <c:majorGridlines>
          <c:spPr>
            <a:ln>
              <a:solidFill>
                <a:srgbClr val="C8F4F2"/>
              </a:solidFill>
            </a:ln>
          </c:spPr>
        </c:majorGridlines>
        <c:title>
          <c:tx>
            <c:rich>
              <a:bodyPr rot="0" vert="horz"/>
              <a:lstStyle/>
              <a:p>
                <a:pPr algn="ctr">
                  <a:defRPr sz="1050" b="1" i="0" u="none" strike="noStrike" baseline="0">
                    <a:solidFill>
                      <a:srgbClr val="000000"/>
                    </a:solidFill>
                    <a:latin typeface="Calibri"/>
                    <a:ea typeface="Calibri"/>
                    <a:cs typeface="Calibri"/>
                  </a:defRPr>
                </a:pPr>
                <a:r>
                  <a:rPr lang="en-US" sz="1050"/>
                  <a:t>In percent</a:t>
                </a:r>
              </a:p>
            </c:rich>
          </c:tx>
          <c:layout>
            <c:manualLayout>
              <c:xMode val="edge"/>
              <c:yMode val="edge"/>
              <c:x val="1.792693341310829E-2"/>
              <c:y val="7.0413681410187612E-2"/>
            </c:manualLayout>
          </c:layout>
          <c:overlay val="0"/>
        </c:title>
        <c:numFmt formatCode="0" sourceLinked="0"/>
        <c:majorTickMark val="none"/>
        <c:minorTickMark val="none"/>
        <c:tickLblPos val="nextTo"/>
        <c:txPr>
          <a:bodyPr rot="0" vert="horz"/>
          <a:lstStyle/>
          <a:p>
            <a:pPr>
              <a:defRPr sz="1100" b="0" i="0" u="none" strike="noStrike" baseline="0">
                <a:solidFill>
                  <a:srgbClr val="000000"/>
                </a:solidFill>
                <a:latin typeface="Calibri"/>
                <a:ea typeface="Calibri"/>
                <a:cs typeface="Calibri"/>
              </a:defRPr>
            </a:pPr>
            <a:endParaRPr lang="en-US"/>
          </a:p>
        </c:txPr>
        <c:crossAx val="564895160"/>
        <c:crosses val="autoZero"/>
        <c:crossBetween val="between"/>
      </c:valAx>
      <c:spPr>
        <a:solidFill>
          <a:srgbClr val="EAFAFA"/>
        </a:solidFill>
        <a:ln w="9525">
          <a:solidFill>
            <a:schemeClr val="bg1">
              <a:lumMod val="65000"/>
            </a:schemeClr>
          </a:solidFill>
        </a:ln>
      </c:spPr>
    </c:plotArea>
    <c:legend>
      <c:legendPos val="r"/>
      <c:layout>
        <c:manualLayout>
          <c:xMode val="edge"/>
          <c:yMode val="edge"/>
          <c:x val="0.49098037421045487"/>
          <c:y val="0.31446844611304453"/>
          <c:w val="0.45022617964397016"/>
          <c:h val="9.6670863857579073E-2"/>
        </c:manualLayout>
      </c:layout>
      <c:overlay val="0"/>
      <c:txPr>
        <a:bodyPr/>
        <a:lstStyle/>
        <a:p>
          <a:pPr>
            <a:defRPr sz="110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44" l="0.7000000000000004" r="0.7000000000000004" t="0.75000000000000044" header="0.30000000000000021" footer="0.30000000000000021"/>
    <c:pageSetup orientation="landscape" horizontalDpi="1200" verticalDpi="1200"/>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100"/>
              <a:t> Expenditure on elections during, 2008 - 2019</a:t>
            </a:r>
          </a:p>
        </c:rich>
      </c:tx>
      <c:layout>
        <c:manualLayout>
          <c:xMode val="edge"/>
          <c:yMode val="edge"/>
          <c:x val="0.35840340167562651"/>
          <c:y val="3.5805240853835706E-2"/>
        </c:manualLayout>
      </c:layout>
      <c:overlay val="0"/>
    </c:title>
    <c:autoTitleDeleted val="0"/>
    <c:plotArea>
      <c:layout>
        <c:manualLayout>
          <c:layoutTarget val="inner"/>
          <c:xMode val="edge"/>
          <c:yMode val="edge"/>
          <c:x val="0.12614864814152296"/>
          <c:y val="0.1258213298915945"/>
          <c:w val="0.82749308594031212"/>
          <c:h val="0.70326019638298232"/>
        </c:manualLayout>
      </c:layout>
      <c:barChart>
        <c:barDir val="col"/>
        <c:grouping val="clustered"/>
        <c:varyColors val="0"/>
        <c:ser>
          <c:idx val="1"/>
          <c:order val="0"/>
          <c:spPr>
            <a:solidFill>
              <a:srgbClr val="196563"/>
            </a:solidFill>
          </c:spPr>
          <c:invertIfNegative val="0"/>
          <c:dPt>
            <c:idx val="1"/>
            <c:invertIfNegative val="0"/>
            <c:bubble3D val="0"/>
            <c:spPr>
              <a:solidFill>
                <a:srgbClr val="33CCCC"/>
              </a:solidFill>
            </c:spPr>
            <c:extLst xmlns:c16r2="http://schemas.microsoft.com/office/drawing/2015/06/chart">
              <c:ext xmlns:c16="http://schemas.microsoft.com/office/drawing/2014/chart" uri="{C3380CC4-5D6E-409C-BE32-E72D297353CC}">
                <c16:uniqueId val="{00000001-7B1D-4120-8D4E-ECCA61E5C937}"/>
              </c:ext>
            </c:extLst>
          </c:dPt>
          <c:dPt>
            <c:idx val="2"/>
            <c:invertIfNegative val="0"/>
            <c:bubble3D val="0"/>
            <c:spPr>
              <a:solidFill>
                <a:srgbClr val="FF9900"/>
              </a:solidFill>
            </c:spPr>
            <c:extLst xmlns:c16r2="http://schemas.microsoft.com/office/drawing/2015/06/chart">
              <c:ext xmlns:c16="http://schemas.microsoft.com/office/drawing/2014/chart" uri="{C3380CC4-5D6E-409C-BE32-E72D297353CC}">
                <c16:uniqueId val="{00000003-7B1D-4120-8D4E-ECCA61E5C937}"/>
              </c:ext>
            </c:extLst>
          </c:dPt>
          <c:dPt>
            <c:idx val="4"/>
            <c:invertIfNegative val="0"/>
            <c:bubble3D val="0"/>
            <c:spPr>
              <a:solidFill>
                <a:srgbClr val="FF9900"/>
              </a:solidFill>
            </c:spPr>
            <c:extLst xmlns:c16r2="http://schemas.microsoft.com/office/drawing/2015/06/chart">
              <c:ext xmlns:c16="http://schemas.microsoft.com/office/drawing/2014/chart" uri="{C3380CC4-5D6E-409C-BE32-E72D297353CC}">
                <c16:uniqueId val="{00000005-7B1D-4120-8D4E-ECCA61E5C937}"/>
              </c:ext>
            </c:extLst>
          </c:dPt>
          <c:dPt>
            <c:idx val="5"/>
            <c:invertIfNegative val="0"/>
            <c:bubble3D val="0"/>
            <c:spPr>
              <a:solidFill>
                <a:srgbClr val="33CCCC"/>
              </a:solidFill>
            </c:spPr>
            <c:extLst xmlns:c16r2="http://schemas.microsoft.com/office/drawing/2015/06/chart">
              <c:ext xmlns:c16="http://schemas.microsoft.com/office/drawing/2014/chart" uri="{C3380CC4-5D6E-409C-BE32-E72D297353CC}">
                <c16:uniqueId val="{00000007-7B1D-4120-8D4E-ECCA61E5C937}"/>
              </c:ext>
            </c:extLst>
          </c:dPt>
          <c:dPt>
            <c:idx val="6"/>
            <c:invertIfNegative val="0"/>
            <c:bubble3D val="0"/>
            <c:spPr>
              <a:solidFill>
                <a:srgbClr val="FF9900"/>
              </a:solidFill>
            </c:spPr>
            <c:extLst xmlns:c16r2="http://schemas.microsoft.com/office/drawing/2015/06/chart">
              <c:ext xmlns:c16="http://schemas.microsoft.com/office/drawing/2014/chart" uri="{C3380CC4-5D6E-409C-BE32-E72D297353CC}">
                <c16:uniqueId val="{00000009-7B1D-4120-8D4E-ECCA61E5C937}"/>
              </c:ext>
            </c:extLst>
          </c:dPt>
          <c:dPt>
            <c:idx val="8"/>
            <c:invertIfNegative val="0"/>
            <c:bubble3D val="0"/>
            <c:spPr>
              <a:solidFill>
                <a:srgbClr val="33CCCC"/>
              </a:solidFill>
            </c:spPr>
            <c:extLst xmlns:c16r2="http://schemas.microsoft.com/office/drawing/2015/06/chart">
              <c:ext xmlns:c16="http://schemas.microsoft.com/office/drawing/2014/chart" uri="{C3380CC4-5D6E-409C-BE32-E72D297353CC}">
                <c16:uniqueId val="{0000000B-7B1D-4120-8D4E-ECCA61E5C937}"/>
              </c:ext>
            </c:extLst>
          </c:dPt>
          <c:cat>
            <c:strRef>
              <c:f>'Political parties &amp; Elections'!$V$22:$V$30</c:f>
              <c:strCache>
                <c:ptCount val="9"/>
                <c:pt idx="0">
                  <c:v> Presidential  Election, 2008</c:v>
                </c:pt>
                <c:pt idx="1">
                  <c:v>Parliamentary 
Election, 2009</c:v>
                </c:pt>
                <c:pt idx="2">
                  <c:v>Local Council Election, 2011</c:v>
                </c:pt>
                <c:pt idx="3">
                  <c:v>Presidential Election, 2013</c:v>
                </c:pt>
                <c:pt idx="4">
                  <c:v>Local Council elections, 2014</c:v>
                </c:pt>
                <c:pt idx="5">
                  <c:v>Parliamentary election, 2014</c:v>
                </c:pt>
                <c:pt idx="6">
                  <c:v>Local Council elections, 2017 </c:v>
                </c:pt>
                <c:pt idx="7">
                  <c:v>Presidential election, 2018</c:v>
                </c:pt>
                <c:pt idx="8">
                  <c:v>Parliamentary election, 2019</c:v>
                </c:pt>
              </c:strCache>
            </c:strRef>
          </c:cat>
          <c:val>
            <c:numRef>
              <c:f>'Political parties &amp; Elections'!$X$22:$X$30</c:f>
              <c:numCache>
                <c:formatCode>_(* #,##0.0_);_(* \(#,##0.0\);_(* "-"??_);_(@_)</c:formatCode>
                <c:ptCount val="9"/>
                <c:pt idx="0">
                  <c:v>61599484.75</c:v>
                </c:pt>
                <c:pt idx="1">
                  <c:v>22069176.829999998</c:v>
                </c:pt>
                <c:pt idx="2">
                  <c:v>44840129.75</c:v>
                </c:pt>
                <c:pt idx="3">
                  <c:v>76487271</c:v>
                </c:pt>
                <c:pt idx="4">
                  <c:v>29564148</c:v>
                </c:pt>
                <c:pt idx="5">
                  <c:v>25929972</c:v>
                </c:pt>
                <c:pt idx="6">
                  <c:v>46220447</c:v>
                </c:pt>
                <c:pt idx="7">
                  <c:v>65829595</c:v>
                </c:pt>
                <c:pt idx="8">
                  <c:v>45440227</c:v>
                </c:pt>
              </c:numCache>
            </c:numRef>
          </c:val>
          <c:extLst xmlns:c16r2="http://schemas.microsoft.com/office/drawing/2015/06/chart">
            <c:ext xmlns:c16="http://schemas.microsoft.com/office/drawing/2014/chart" uri="{C3380CC4-5D6E-409C-BE32-E72D297353CC}">
              <c16:uniqueId val="{00000000-A1C6-4AB5-A9D8-4869A60A09AA}"/>
            </c:ext>
          </c:extLst>
        </c:ser>
        <c:dLbls>
          <c:showLegendKey val="0"/>
          <c:showVal val="0"/>
          <c:showCatName val="0"/>
          <c:showSerName val="0"/>
          <c:showPercent val="0"/>
          <c:showBubbleSize val="0"/>
        </c:dLbls>
        <c:gapWidth val="150"/>
        <c:axId val="564886536"/>
        <c:axId val="564893592"/>
      </c:barChart>
      <c:catAx>
        <c:axId val="564886536"/>
        <c:scaling>
          <c:orientation val="minMax"/>
        </c:scaling>
        <c:delete val="0"/>
        <c:axPos val="b"/>
        <c:numFmt formatCode="General" sourceLinked="0"/>
        <c:majorTickMark val="out"/>
        <c:minorTickMark val="none"/>
        <c:tickLblPos val="nextTo"/>
        <c:txPr>
          <a:bodyPr/>
          <a:lstStyle/>
          <a:p>
            <a:pPr>
              <a:defRPr sz="900"/>
            </a:pPr>
            <a:endParaRPr lang="en-US"/>
          </a:p>
        </c:txPr>
        <c:crossAx val="564893592"/>
        <c:crosses val="autoZero"/>
        <c:auto val="1"/>
        <c:lblAlgn val="ctr"/>
        <c:lblOffset val="100"/>
        <c:noMultiLvlLbl val="0"/>
      </c:catAx>
      <c:valAx>
        <c:axId val="564893592"/>
        <c:scaling>
          <c:orientation val="minMax"/>
        </c:scaling>
        <c:delete val="0"/>
        <c:axPos val="l"/>
        <c:majorGridlines>
          <c:spPr>
            <a:ln>
              <a:solidFill>
                <a:schemeClr val="bg1"/>
              </a:solidFill>
            </a:ln>
          </c:spPr>
        </c:majorGridlines>
        <c:title>
          <c:tx>
            <c:rich>
              <a:bodyPr rot="-5400000" vert="horz"/>
              <a:lstStyle/>
              <a:p>
                <a:pPr>
                  <a:defRPr/>
                </a:pPr>
                <a:r>
                  <a:rPr lang="en-US"/>
                  <a:t>In MVR</a:t>
                </a:r>
              </a:p>
            </c:rich>
          </c:tx>
          <c:layout>
            <c:manualLayout>
              <c:xMode val="edge"/>
              <c:yMode val="edge"/>
              <c:x val="1.0390336914179671E-2"/>
              <c:y val="0.34262952425888815"/>
            </c:manualLayout>
          </c:layout>
          <c:overlay val="0"/>
        </c:title>
        <c:numFmt formatCode="#,##0" sourceLinked="0"/>
        <c:majorTickMark val="out"/>
        <c:minorTickMark val="none"/>
        <c:tickLblPos val="nextTo"/>
        <c:crossAx val="564886536"/>
        <c:crosses val="autoZero"/>
        <c:crossBetween val="between"/>
      </c:valAx>
      <c:spPr>
        <a:ln>
          <a:solidFill>
            <a:sysClr val="window" lastClr="FFFFFF">
              <a:lumMod val="50000"/>
            </a:sysClr>
          </a:solidFill>
        </a:ln>
      </c:spPr>
    </c:plotArea>
    <c:plotVisOnly val="1"/>
    <c:dispBlanksAs val="gap"/>
    <c:showDLblsOverMax val="0"/>
  </c:chart>
  <c:spPr>
    <a:solidFill>
      <a:sysClr val="window" lastClr="FFFFFF"/>
    </a:solidFill>
  </c:spPr>
  <c:printSettings>
    <c:headerFooter/>
    <c:pageMargins b="0.75000000000000222" l="0.70000000000000062" r="0.70000000000000062" t="0.75000000000000222"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a:lstStyle/>
          <a:p>
            <a:pPr>
              <a:defRPr/>
            </a:pPr>
            <a:r>
              <a:rPr lang="en-US" sz="1200"/>
              <a:t>Percentage of elected parliment</a:t>
            </a:r>
            <a:r>
              <a:rPr lang="en-US" sz="1200" baseline="0"/>
              <a:t> members by sex, 2020</a:t>
            </a:r>
            <a:endParaRPr lang="en-US"/>
          </a:p>
        </c:rich>
      </c:tx>
      <c:layout>
        <c:manualLayout>
          <c:xMode val="edge"/>
          <c:yMode val="edge"/>
          <c:x val="0.1620748319250587"/>
          <c:y val="2.9409380897796614E-2"/>
        </c:manualLayout>
      </c:layout>
      <c:overlay val="0"/>
    </c:title>
    <c:autoTitleDeleted val="0"/>
    <c:plotArea>
      <c:layout>
        <c:manualLayout>
          <c:layoutTarget val="inner"/>
          <c:xMode val="edge"/>
          <c:yMode val="edge"/>
          <c:x val="0.2729275228905364"/>
          <c:y val="0.11768399478361931"/>
          <c:w val="0.49693591426071743"/>
          <c:h val="0.80305993000874887"/>
        </c:manualLayout>
      </c:layout>
      <c:doughnutChart>
        <c:varyColors val="1"/>
        <c:ser>
          <c:idx val="0"/>
          <c:order val="0"/>
          <c:explosion val="14"/>
          <c:dPt>
            <c:idx val="0"/>
            <c:bubble3D val="0"/>
            <c:spPr>
              <a:solidFill>
                <a:srgbClr val="249390"/>
              </a:solidFill>
            </c:spPr>
            <c:extLst xmlns:c16r2="http://schemas.microsoft.com/office/drawing/2015/06/chart">
              <c:ext xmlns:c16="http://schemas.microsoft.com/office/drawing/2014/chart" uri="{C3380CC4-5D6E-409C-BE32-E72D297353CC}">
                <c16:uniqueId val="{00000001-2A0F-4BD9-8097-1D28460682DA}"/>
              </c:ext>
            </c:extLst>
          </c:dPt>
          <c:dPt>
            <c:idx val="1"/>
            <c:bubble3D val="0"/>
            <c:spPr>
              <a:solidFill>
                <a:srgbClr val="FF9900"/>
              </a:solidFill>
            </c:spPr>
            <c:extLst xmlns:c16r2="http://schemas.microsoft.com/office/drawing/2015/06/chart">
              <c:ext xmlns:c16="http://schemas.microsoft.com/office/drawing/2014/chart" uri="{C3380CC4-5D6E-409C-BE32-E72D297353CC}">
                <c16:uniqueId val="{00000001-B369-4B1C-A3FB-7887FCB0CA1E}"/>
              </c:ext>
            </c:extLst>
          </c:dPt>
          <c:dLbls>
            <c:dLbl>
              <c:idx val="1"/>
              <c:layout>
                <c:manualLayout>
                  <c:x val="9.4262599272619124E-2"/>
                  <c:y val="-9.8031269659322046E-3"/>
                </c:manualLayout>
              </c:layout>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1-B369-4B1C-A3FB-7887FCB0CA1E}"/>
                </c:ext>
                <c:ext xmlns:c15="http://schemas.microsoft.com/office/drawing/2012/chart" uri="{CE6537A1-D6FC-4f65-9D91-7224C49458BB}">
                  <c15:layout/>
                </c:ext>
              </c:extLst>
            </c:dLbl>
            <c:spPr>
              <a:noFill/>
              <a:ln>
                <a:noFill/>
              </a:ln>
              <a:effectLst/>
            </c:spPr>
            <c:showLegendKey val="0"/>
            <c:showVal val="0"/>
            <c:showCatName val="1"/>
            <c:showSerName val="0"/>
            <c:showPercent val="1"/>
            <c:showBubbleSize val="0"/>
            <c:showLeaderLines val="0"/>
            <c:extLst xmlns:c16r2="http://schemas.microsoft.com/office/drawing/2015/06/chart">
              <c:ext xmlns:c15="http://schemas.microsoft.com/office/drawing/2012/chart" uri="{CE6537A1-D6FC-4f65-9D91-7224C49458BB}">
                <c15:layout/>
              </c:ext>
            </c:extLst>
          </c:dLbls>
          <c:cat>
            <c:strRef>
              <c:f>'Political parties &amp; Elections'!$W$8:$X$8</c:f>
              <c:strCache>
                <c:ptCount val="2"/>
                <c:pt idx="0">
                  <c:v>Male</c:v>
                </c:pt>
                <c:pt idx="1">
                  <c:v>Female</c:v>
                </c:pt>
              </c:strCache>
            </c:strRef>
          </c:cat>
          <c:val>
            <c:numRef>
              <c:f>'Political parties &amp; Elections'!$W$14:$X$14</c:f>
              <c:numCache>
                <c:formatCode>0</c:formatCode>
                <c:ptCount val="2"/>
                <c:pt idx="0">
                  <c:v>95.402298850574709</c:v>
                </c:pt>
                <c:pt idx="1">
                  <c:v>4.5977011494252871</c:v>
                </c:pt>
              </c:numCache>
            </c:numRef>
          </c:val>
          <c:extLst xmlns:c16r2="http://schemas.microsoft.com/office/drawing/2015/06/chart">
            <c:ext xmlns:c16="http://schemas.microsoft.com/office/drawing/2014/chart" uri="{C3380CC4-5D6E-409C-BE32-E72D297353CC}">
              <c16:uniqueId val="{00000002-B369-4B1C-A3FB-7887FCB0CA1E}"/>
            </c:ext>
          </c:extLst>
        </c:ser>
        <c:dLbls>
          <c:showLegendKey val="0"/>
          <c:showVal val="0"/>
          <c:showCatName val="1"/>
          <c:showSerName val="0"/>
          <c:showPercent val="1"/>
          <c:showBubbleSize val="0"/>
          <c:showLeaderLines val="0"/>
        </c:dLbls>
        <c:firstSliceAng val="80"/>
        <c:holeSize val="50"/>
      </c:doughnutChart>
      <c:spPr>
        <a:solidFill>
          <a:srgbClr val="EAFAFA"/>
        </a:solidFill>
      </c:spPr>
    </c:plotArea>
    <c:plotVisOnly val="1"/>
    <c:dispBlanksAs val="gap"/>
    <c:showDLblsOverMax val="0"/>
  </c:chart>
  <c:spPr>
    <a:solidFill>
      <a:srgbClr val="EAFAFA"/>
    </a:solidFill>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Percentage of parliment and Coucil members by sex, 2020</a:t>
            </a:r>
          </a:p>
        </c:rich>
      </c:tx>
      <c:layout>
        <c:manualLayout>
          <c:xMode val="edge"/>
          <c:yMode val="edge"/>
          <c:x val="0.18381164216351109"/>
          <c:y val="3.0847442394830261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3262567463909727E-2"/>
          <c:y val="0.16302901720820123"/>
          <c:w val="0.9262009435906603"/>
          <c:h val="0.74873845749172818"/>
        </c:manualLayout>
      </c:layout>
      <c:barChart>
        <c:barDir val="col"/>
        <c:grouping val="clustered"/>
        <c:varyColors val="0"/>
        <c:ser>
          <c:idx val="0"/>
          <c:order val="0"/>
          <c:tx>
            <c:strRef>
              <c:f>'Political parties &amp; Elections'!$W$13</c:f>
              <c:strCache>
                <c:ptCount val="1"/>
                <c:pt idx="0">
                  <c:v>Male</c:v>
                </c:pt>
              </c:strCache>
            </c:strRef>
          </c:tx>
          <c:spPr>
            <a:solidFill>
              <a:srgbClr val="249390"/>
            </a:solidFill>
            <a:ln>
              <a:noFill/>
            </a:ln>
            <a:effectLst/>
          </c:spPr>
          <c:invertIfNegative val="0"/>
          <c:dLbls>
            <c:dLbl>
              <c:idx val="0"/>
              <c:layout>
                <c:manualLayout>
                  <c:x val="1.787204460412014E-3"/>
                  <c:y val="0.10185185185185185"/>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5B3D-451A-986E-66977006E1FC}"/>
                </c:ext>
                <c:ext xmlns:c15="http://schemas.microsoft.com/office/drawing/2012/chart" uri="{CE6537A1-D6FC-4f65-9D91-7224C49458BB}">
                  <c15:layout/>
                </c:ext>
              </c:extLst>
            </c:dLbl>
            <c:dLbl>
              <c:idx val="1"/>
              <c:layout>
                <c:manualLayout>
                  <c:x val="5.3616133812360422E-3"/>
                  <c:y val="0.12499999999999996"/>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5B3D-451A-986E-66977006E1FC}"/>
                </c:ex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'Political parties &amp; Elections'!$V$14:$V$15</c:f>
              <c:strCache>
                <c:ptCount val="2"/>
                <c:pt idx="0">
                  <c:v>Parliament member</c:v>
                </c:pt>
                <c:pt idx="1">
                  <c:v>Local Councillors</c:v>
                </c:pt>
              </c:strCache>
            </c:strRef>
          </c:cat>
          <c:val>
            <c:numRef>
              <c:f>'Political parties &amp; Elections'!$W$14:$W$15</c:f>
              <c:numCache>
                <c:formatCode>General</c:formatCode>
                <c:ptCount val="2"/>
                <c:pt idx="0" formatCode="0">
                  <c:v>95.402298850574709</c:v>
                </c:pt>
                <c:pt idx="1">
                  <c:v>94</c:v>
                </c:pt>
              </c:numCache>
            </c:numRef>
          </c:val>
          <c:extLst xmlns:c16r2="http://schemas.microsoft.com/office/drawing/2015/06/chart">
            <c:ext xmlns:c16="http://schemas.microsoft.com/office/drawing/2014/chart" uri="{C3380CC4-5D6E-409C-BE32-E72D297353CC}">
              <c16:uniqueId val="{00000000-5B3D-451A-986E-66977006E1FC}"/>
            </c:ext>
          </c:extLst>
        </c:ser>
        <c:ser>
          <c:idx val="1"/>
          <c:order val="1"/>
          <c:tx>
            <c:strRef>
              <c:f>'Political parties &amp; Elections'!$X$13</c:f>
              <c:strCache>
                <c:ptCount val="1"/>
                <c:pt idx="0">
                  <c:v>Female</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'Political parties &amp; Elections'!$V$14:$V$15</c:f>
              <c:strCache>
                <c:ptCount val="2"/>
                <c:pt idx="0">
                  <c:v>Parliament member</c:v>
                </c:pt>
                <c:pt idx="1">
                  <c:v>Local Councillors</c:v>
                </c:pt>
              </c:strCache>
            </c:strRef>
          </c:cat>
          <c:val>
            <c:numRef>
              <c:f>'Political parties &amp; Elections'!$X$14:$X$15</c:f>
              <c:numCache>
                <c:formatCode>General</c:formatCode>
                <c:ptCount val="2"/>
                <c:pt idx="0" formatCode="0">
                  <c:v>4.5977011494252871</c:v>
                </c:pt>
                <c:pt idx="1">
                  <c:v>6</c:v>
                </c:pt>
              </c:numCache>
            </c:numRef>
          </c:val>
          <c:extLst xmlns:c16r2="http://schemas.microsoft.com/office/drawing/2015/06/chart">
            <c:ext xmlns:c16="http://schemas.microsoft.com/office/drawing/2014/chart" uri="{C3380CC4-5D6E-409C-BE32-E72D297353CC}">
              <c16:uniqueId val="{00000001-5B3D-451A-986E-66977006E1FC}"/>
            </c:ext>
          </c:extLst>
        </c:ser>
        <c:dLbls>
          <c:showLegendKey val="0"/>
          <c:showVal val="0"/>
          <c:showCatName val="0"/>
          <c:showSerName val="0"/>
          <c:showPercent val="0"/>
          <c:showBubbleSize val="0"/>
        </c:dLbls>
        <c:gapWidth val="219"/>
        <c:overlap val="-27"/>
        <c:axId val="564892416"/>
        <c:axId val="564892808"/>
      </c:barChart>
      <c:catAx>
        <c:axId val="56489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892808"/>
        <c:crosses val="autoZero"/>
        <c:auto val="1"/>
        <c:lblAlgn val="ctr"/>
        <c:lblOffset val="100"/>
        <c:noMultiLvlLbl val="0"/>
      </c:catAx>
      <c:valAx>
        <c:axId val="564892808"/>
        <c:scaling>
          <c:orientation val="minMax"/>
          <c:max val="100"/>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892416"/>
        <c:crosses val="autoZero"/>
        <c:crossBetween val="between"/>
      </c:valAx>
      <c:spPr>
        <a:solidFill>
          <a:srgbClr val="E0F9F8"/>
        </a:solidFill>
        <a:ln>
          <a:solidFill>
            <a:schemeClr val="bg2">
              <a:lumMod val="90000"/>
            </a:schemeClr>
          </a:solidFill>
        </a:ln>
        <a:effectLst/>
      </c:spPr>
    </c:plotArea>
    <c:legend>
      <c:legendPos val="b"/>
      <c:layout>
        <c:manualLayout>
          <c:xMode val="edge"/>
          <c:yMode val="edge"/>
          <c:x val="0.406671139514939"/>
          <c:y val="0.2621052704442568"/>
          <c:w val="0.18851468714100664"/>
          <c:h val="8.6759038968578131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manualLayout>
          <c:layoutTarget val="inner"/>
          <c:xMode val="edge"/>
          <c:yMode val="edge"/>
          <c:x val="9.4157512721876752E-2"/>
          <c:y val="0.20577461132423777"/>
          <c:w val="0.85320984441877767"/>
          <c:h val="0.68069194643367537"/>
        </c:manualLayout>
      </c:layout>
      <c:barChart>
        <c:barDir val="col"/>
        <c:grouping val="clustered"/>
        <c:varyColors val="0"/>
        <c:ser>
          <c:idx val="0"/>
          <c:order val="0"/>
          <c:spPr>
            <a:solidFill>
              <a:srgbClr val="33CCCC"/>
            </a:solidFill>
          </c:spPr>
          <c:invertIfNegative val="0"/>
          <c:cat>
            <c:numRef>
              <c:f>'Social Protection'!$B$23:$K$23</c:f>
              <c:numCache>
                <c:formatCode>General</c:formatCode>
                <c:ptCount val="10"/>
                <c:pt idx="0">
                  <c:v>2011</c:v>
                </c:pt>
                <c:pt idx="1">
                  <c:v>2012</c:v>
                </c:pt>
                <c:pt idx="2">
                  <c:v>2013</c:v>
                </c:pt>
                <c:pt idx="3">
                  <c:v>2014</c:v>
                </c:pt>
                <c:pt idx="4">
                  <c:v>2015</c:v>
                </c:pt>
                <c:pt idx="5">
                  <c:v>2016</c:v>
                </c:pt>
                <c:pt idx="6">
                  <c:v>2017</c:v>
                </c:pt>
                <c:pt idx="7">
                  <c:v>2018</c:v>
                </c:pt>
                <c:pt idx="8">
                  <c:v>2019</c:v>
                </c:pt>
                <c:pt idx="9">
                  <c:v>2020</c:v>
                </c:pt>
              </c:numCache>
            </c:numRef>
          </c:cat>
          <c:val>
            <c:numRef>
              <c:f>'Social Protection'!$B$26:$K$26</c:f>
              <c:numCache>
                <c:formatCode>#,##0</c:formatCode>
                <c:ptCount val="10"/>
                <c:pt idx="0">
                  <c:v>212774081.04740971</c:v>
                </c:pt>
                <c:pt idx="1">
                  <c:v>782126477</c:v>
                </c:pt>
                <c:pt idx="2">
                  <c:v>744921545.23043644</c:v>
                </c:pt>
                <c:pt idx="3">
                  <c:v>1063054680.1289001</c:v>
                </c:pt>
                <c:pt idx="4">
                  <c:v>1400609841.9112999</c:v>
                </c:pt>
                <c:pt idx="5">
                  <c:v>1675199186.7771001</c:v>
                </c:pt>
                <c:pt idx="6">
                  <c:v>1797290685.4338</c:v>
                </c:pt>
                <c:pt idx="7">
                  <c:v>2164672440.9019995</c:v>
                </c:pt>
                <c:pt idx="8">
                  <c:v>2433716952.1483998</c:v>
                </c:pt>
                <c:pt idx="9">
                  <c:v>2014669790.0487003</c:v>
                </c:pt>
              </c:numCache>
            </c:numRef>
          </c:val>
          <c:extLst xmlns:c16r2="http://schemas.microsoft.com/office/drawing/2015/06/chart">
            <c:ext xmlns:c16="http://schemas.microsoft.com/office/drawing/2014/chart" uri="{C3380CC4-5D6E-409C-BE32-E72D297353CC}">
              <c16:uniqueId val="{00000000-6DED-4088-8373-0BE9C6E17F6E}"/>
            </c:ext>
          </c:extLst>
        </c:ser>
        <c:dLbls>
          <c:showLegendKey val="0"/>
          <c:showVal val="0"/>
          <c:showCatName val="0"/>
          <c:showSerName val="0"/>
          <c:showPercent val="0"/>
          <c:showBubbleSize val="0"/>
        </c:dLbls>
        <c:gapWidth val="150"/>
        <c:axId val="564899080"/>
        <c:axId val="564897904"/>
      </c:barChart>
      <c:catAx>
        <c:axId val="564899080"/>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64897904"/>
        <c:crosses val="autoZero"/>
        <c:auto val="1"/>
        <c:lblAlgn val="ctr"/>
        <c:lblOffset val="100"/>
        <c:noMultiLvlLbl val="0"/>
      </c:catAx>
      <c:valAx>
        <c:axId val="564897904"/>
        <c:scaling>
          <c:orientation val="minMax"/>
        </c:scaling>
        <c:delete val="0"/>
        <c:axPos val="l"/>
        <c:majorGridlines>
          <c:spPr>
            <a:ln>
              <a:solidFill>
                <a:schemeClr val="bg1"/>
              </a:solidFill>
            </a:ln>
          </c:spPr>
        </c:majorGridlines>
        <c:numFmt formatCode="#,##0" sourceLinked="0"/>
        <c:majorTickMark val="out"/>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564899080"/>
        <c:crosses val="autoZero"/>
        <c:crossBetween val="between"/>
      </c:valAx>
      <c:spPr>
        <a:ln>
          <a:solidFill>
            <a:schemeClr val="bg1">
              <a:lumMod val="65000"/>
            </a:schemeClr>
          </a:solid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22" l="0.70000000000000018" r="0.70000000000000018" t="0.75000000000000022" header="0.3000000000000001" footer="0.3000000000000001"/>
    <c:pageSetup orientation="portrait"/>
  </c:printSettings>
  <c:userShapes r:id="rId1"/>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29.xml"/><Relationship Id="rId1" Type="http://schemas.openxmlformats.org/officeDocument/2006/relationships/chart" Target="../charts/chart28.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3.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4.xml"/></Relationships>
</file>

<file path=xl/drawings/drawing1.xml><?xml version="1.0" encoding="utf-8"?>
<xdr:wsDr xmlns:xdr="http://schemas.openxmlformats.org/drawingml/2006/spreadsheetDrawing" xmlns:a="http://schemas.openxmlformats.org/drawingml/2006/main">
  <xdr:twoCellAnchor>
    <xdr:from>
      <xdr:col>0</xdr:col>
      <xdr:colOff>256859</xdr:colOff>
      <xdr:row>22</xdr:row>
      <xdr:rowOff>12063</xdr:rowOff>
    </xdr:from>
    <xdr:to>
      <xdr:col>17</xdr:col>
      <xdr:colOff>104670</xdr:colOff>
      <xdr:row>36</xdr:row>
      <xdr:rowOff>160421</xdr:rowOff>
    </xdr:to>
    <xdr:graphicFrame macro="">
      <xdr:nvGraphicFramePr>
        <xdr:cNvPr id="19" name="Chart 18">
          <a:extLst>
            <a:ext uri="{FF2B5EF4-FFF2-40B4-BE49-F238E27FC236}">
              <a16:creationId xmlns=""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708654</xdr:colOff>
      <xdr:row>22</xdr:row>
      <xdr:rowOff>142131</xdr:rowOff>
    </xdr:from>
    <xdr:to>
      <xdr:col>16</xdr:col>
      <xdr:colOff>439613</xdr:colOff>
      <xdr:row>23</xdr:row>
      <xdr:rowOff>167472</xdr:rowOff>
    </xdr:to>
    <xdr:sp macro="" textlink="">
      <xdr:nvSpPr>
        <xdr:cNvPr id="20" name="TextBox 19">
          <a:extLst>
            <a:ext uri="{FF2B5EF4-FFF2-40B4-BE49-F238E27FC236}">
              <a16:creationId xmlns="" xmlns:a16="http://schemas.microsoft.com/office/drawing/2014/main" id="{00000000-0008-0000-0000-000014000000}"/>
            </a:ext>
          </a:extLst>
        </xdr:cNvPr>
        <xdr:cNvSpPr txBox="1"/>
      </xdr:nvSpPr>
      <xdr:spPr>
        <a:xfrm>
          <a:off x="1315742" y="4674356"/>
          <a:ext cx="4064311" cy="213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rtl="1" eaLnBrk="1" fontAlgn="auto" latinLnBrk="0" hangingPunct="1">
            <a:lnSpc>
              <a:spcPct val="100000"/>
            </a:lnSpc>
            <a:spcBef>
              <a:spcPts val="0"/>
            </a:spcBef>
            <a:spcAft>
              <a:spcPts val="0"/>
            </a:spcAft>
            <a:buClrTx/>
            <a:buSzTx/>
            <a:buFontTx/>
            <a:buNone/>
            <a:tabLst/>
            <a:defRPr/>
          </a:pPr>
          <a:r>
            <a:rPr lang="en-US" sz="1100" b="1" i="0">
              <a:solidFill>
                <a:schemeClr val="tx1"/>
              </a:solidFill>
              <a:effectLst/>
              <a:latin typeface="Candara" pitchFamily="34" charset="0"/>
              <a:ea typeface="+mn-ea"/>
              <a:cs typeface="Consolas" pitchFamily="49" charset="0"/>
            </a:rPr>
            <a:t>Annual rainfall &amp; total duration of sunshine for Male' 2010 - 2020</a:t>
          </a:r>
          <a:endParaRPr lang="en-US">
            <a:solidFill>
              <a:schemeClr val="tx1"/>
            </a:solidFill>
            <a:effectLst/>
            <a:latin typeface="Candara" pitchFamily="34" charset="0"/>
            <a:cs typeface="Consolas" pitchFamily="49" charset="0"/>
          </a:endParaRPr>
        </a:p>
        <a:p>
          <a:pPr marL="0" marR="0" indent="0" defTabSz="914400" rtl="1" eaLnBrk="1" fontAlgn="auto" latinLnBrk="0" hangingPunct="1">
            <a:lnSpc>
              <a:spcPct val="100000"/>
            </a:lnSpc>
            <a:spcBef>
              <a:spcPts val="0"/>
            </a:spcBef>
            <a:spcAft>
              <a:spcPts val="0"/>
            </a:spcAft>
            <a:buClrTx/>
            <a:buSzTx/>
            <a:buFontTx/>
            <a:buNone/>
            <a:tabLst/>
            <a:defRPr/>
          </a:pPr>
          <a:r>
            <a:rPr lang="en-US" sz="1100" b="1" i="0">
              <a:solidFill>
                <a:schemeClr val="dk1"/>
              </a:solidFill>
              <a:effectLst/>
              <a:latin typeface="Candara" pitchFamily="34" charset="0"/>
              <a:ea typeface="+mn-ea"/>
              <a:cs typeface="+mn-cs"/>
            </a:rPr>
            <a:t> </a:t>
          </a:r>
          <a:endParaRPr lang="en-US">
            <a:effectLst/>
            <a:latin typeface="Candara" pitchFamily="34" charset="0"/>
          </a:endParaRPr>
        </a:p>
        <a:p>
          <a:endParaRPr lang="en-US" sz="1100">
            <a:latin typeface="Candara" pitchFamily="34" charset="0"/>
          </a:endParaRPr>
        </a:p>
      </xdr:txBody>
    </xdr:sp>
    <xdr:clientData/>
  </xdr:twoCellAnchor>
  <xdr:twoCellAnchor>
    <xdr:from>
      <xdr:col>14</xdr:col>
      <xdr:colOff>79812</xdr:colOff>
      <xdr:row>38</xdr:row>
      <xdr:rowOff>55674</xdr:rowOff>
    </xdr:from>
    <xdr:to>
      <xdr:col>21</xdr:col>
      <xdr:colOff>179334</xdr:colOff>
      <xdr:row>51</xdr:row>
      <xdr:rowOff>98361</xdr:rowOff>
    </xdr:to>
    <xdr:graphicFrame macro="">
      <xdr:nvGraphicFramePr>
        <xdr:cNvPr id="23" name="Chart 22">
          <a:extLst>
            <a:ext uri="{FF2B5EF4-FFF2-40B4-BE49-F238E27FC236}">
              <a16:creationId xmlns=""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348647</xdr:colOff>
      <xdr:row>22</xdr:row>
      <xdr:rowOff>44401</xdr:rowOff>
    </xdr:from>
    <xdr:to>
      <xdr:col>25</xdr:col>
      <xdr:colOff>10467</xdr:colOff>
      <xdr:row>37</xdr:row>
      <xdr:rowOff>54426</xdr:rowOff>
    </xdr:to>
    <xdr:graphicFrame macro="">
      <xdr:nvGraphicFramePr>
        <xdr:cNvPr id="24" name="Chart 23">
          <a:extLst>
            <a:ext uri="{FF2B5EF4-FFF2-40B4-BE49-F238E27FC236}">
              <a16:creationId xmlns="" xmlns:a16="http://schemas.microsoft.com/office/drawing/2014/main" id="{00000000-0008-0000-00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408628</xdr:colOff>
      <xdr:row>26</xdr:row>
      <xdr:rowOff>29322</xdr:rowOff>
    </xdr:from>
    <xdr:to>
      <xdr:col>17</xdr:col>
      <xdr:colOff>618177</xdr:colOff>
      <xdr:row>31</xdr:row>
      <xdr:rowOff>175233</xdr:rowOff>
    </xdr:to>
    <xdr:sp macro="" textlink="">
      <xdr:nvSpPr>
        <xdr:cNvPr id="25" name="TextBox 24">
          <a:extLst>
            <a:ext uri="{FF2B5EF4-FFF2-40B4-BE49-F238E27FC236}">
              <a16:creationId xmlns="" xmlns:a16="http://schemas.microsoft.com/office/drawing/2014/main" id="{00000000-0008-0000-0000-000019000000}"/>
            </a:ext>
          </a:extLst>
        </xdr:cNvPr>
        <xdr:cNvSpPr txBox="1"/>
      </xdr:nvSpPr>
      <xdr:spPr>
        <a:xfrm rot="16200000">
          <a:off x="5370420" y="5555497"/>
          <a:ext cx="1087944" cy="209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00" b="0"/>
            <a:t>Yearly average</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0.80276</cdr:x>
      <cdr:y>0.1216</cdr:y>
    </cdr:from>
    <cdr:to>
      <cdr:x>1</cdr:x>
      <cdr:y>0.20788</cdr:y>
    </cdr:to>
    <cdr:sp macro="" textlink="">
      <cdr:nvSpPr>
        <cdr:cNvPr id="2" name="TextBox 1"/>
        <cdr:cNvSpPr txBox="1"/>
      </cdr:nvSpPr>
      <cdr:spPr>
        <a:xfrm xmlns:a="http://schemas.openxmlformats.org/drawingml/2006/main">
          <a:off x="3951687" y="306934"/>
          <a:ext cx="970923" cy="21779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r"/>
          <a:r>
            <a:rPr lang="en-US" sz="800" b="1">
              <a:solidFill>
                <a:schemeClr val="tx1"/>
              </a:solidFill>
              <a:effectLst/>
            </a:rPr>
            <a:t>Shunshine (in </a:t>
          </a:r>
          <a:r>
            <a:rPr lang="en-US" sz="900" b="1">
              <a:solidFill>
                <a:schemeClr val="tx1"/>
              </a:solidFill>
              <a:effectLst/>
            </a:rPr>
            <a:t>hrs)</a:t>
          </a:r>
          <a:endParaRPr lang="en-US" sz="900" b="1">
            <a:solidFill>
              <a:schemeClr val="tx1"/>
            </a:solidFill>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14</xdr:col>
      <xdr:colOff>178017</xdr:colOff>
      <xdr:row>39</xdr:row>
      <xdr:rowOff>154019</xdr:rowOff>
    </xdr:from>
    <xdr:to>
      <xdr:col>20</xdr:col>
      <xdr:colOff>369570</xdr:colOff>
      <xdr:row>52</xdr:row>
      <xdr:rowOff>43352</xdr:rowOff>
    </xdr:to>
    <xdr:graphicFrame macro="">
      <xdr:nvGraphicFramePr>
        <xdr:cNvPr id="2" name="Chart 6">
          <a:extLst>
            <a:ext uri="{FF2B5EF4-FFF2-40B4-BE49-F238E27FC236}">
              <a16:creationId xmlns=""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370341</xdr:colOff>
      <xdr:row>30</xdr:row>
      <xdr:rowOff>117484</xdr:rowOff>
    </xdr:from>
    <xdr:to>
      <xdr:col>13</xdr:col>
      <xdr:colOff>644922</xdr:colOff>
      <xdr:row>42</xdr:row>
      <xdr:rowOff>204853</xdr:rowOff>
    </xdr:to>
    <xdr:graphicFrame macro="">
      <xdr:nvGraphicFramePr>
        <xdr:cNvPr id="3" name="Chart 2">
          <a:extLst>
            <a:ext uri="{FF2B5EF4-FFF2-40B4-BE49-F238E27FC236}">
              <a16:creationId xmlns=""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1458920</xdr:colOff>
      <xdr:row>30</xdr:row>
      <xdr:rowOff>153781</xdr:rowOff>
    </xdr:from>
    <xdr:to>
      <xdr:col>12</xdr:col>
      <xdr:colOff>396875</xdr:colOff>
      <xdr:row>31</xdr:row>
      <xdr:rowOff>194037</xdr:rowOff>
    </xdr:to>
    <xdr:sp macro="" textlink="">
      <xdr:nvSpPr>
        <xdr:cNvPr id="4" name="TextBox 3">
          <a:extLst>
            <a:ext uri="{FF2B5EF4-FFF2-40B4-BE49-F238E27FC236}">
              <a16:creationId xmlns="" xmlns:a16="http://schemas.microsoft.com/office/drawing/2014/main" id="{00000000-0008-0000-0100-000004000000}"/>
            </a:ext>
          </a:extLst>
        </xdr:cNvPr>
        <xdr:cNvSpPr txBox="1"/>
      </xdr:nvSpPr>
      <xdr:spPr>
        <a:xfrm>
          <a:off x="1458920" y="9936750"/>
          <a:ext cx="3591314" cy="258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1" eaLnBrk="1" fontAlgn="auto" latinLnBrk="0" hangingPunct="1">
            <a:lnSpc>
              <a:spcPct val="100000"/>
            </a:lnSpc>
            <a:spcBef>
              <a:spcPts val="0"/>
            </a:spcBef>
            <a:spcAft>
              <a:spcPts val="0"/>
            </a:spcAft>
            <a:buClrTx/>
            <a:buSzTx/>
            <a:buFontTx/>
            <a:buNone/>
            <a:tabLst/>
            <a:defRPr/>
          </a:pPr>
          <a:r>
            <a:rPr lang="en-US" sz="1200" b="1" i="0">
              <a:solidFill>
                <a:schemeClr val="dk1"/>
              </a:solidFill>
              <a:effectLst/>
              <a:latin typeface="Candara" pitchFamily="34" charset="0"/>
              <a:ea typeface="+mn-ea"/>
              <a:cs typeface="+mn-cs"/>
            </a:rPr>
            <a:t>Annual Records of Births and Deaths, 2010 - 2020</a:t>
          </a:r>
          <a:endParaRPr lang="en-US" sz="1200" b="1">
            <a:effectLst/>
            <a:latin typeface="Candara" pitchFamily="34" charset="0"/>
          </a:endParaRPr>
        </a:p>
        <a:p>
          <a:endParaRPr lang="en-US" sz="1200" b="1">
            <a:latin typeface="Candara" pitchFamily="34" charset="0"/>
          </a:endParaRPr>
        </a:p>
      </xdr:txBody>
    </xdr:sp>
    <xdr:clientData/>
  </xdr:twoCellAnchor>
  <xdr:twoCellAnchor>
    <xdr:from>
      <xdr:col>8</xdr:col>
      <xdr:colOff>120314</xdr:colOff>
      <xdr:row>44</xdr:row>
      <xdr:rowOff>120316</xdr:rowOff>
    </xdr:from>
    <xdr:to>
      <xdr:col>9</xdr:col>
      <xdr:colOff>691814</xdr:colOff>
      <xdr:row>45</xdr:row>
      <xdr:rowOff>170446</xdr:rowOff>
    </xdr:to>
    <xdr:sp macro="" textlink="">
      <xdr:nvSpPr>
        <xdr:cNvPr id="11" name="TextBox 10">
          <a:extLst>
            <a:ext uri="{FF2B5EF4-FFF2-40B4-BE49-F238E27FC236}">
              <a16:creationId xmlns="" xmlns:a16="http://schemas.microsoft.com/office/drawing/2014/main" id="{00000000-0008-0000-0100-00000B000000}"/>
            </a:ext>
          </a:extLst>
        </xdr:cNvPr>
        <xdr:cNvSpPr txBox="1"/>
      </xdr:nvSpPr>
      <xdr:spPr>
        <a:xfrm>
          <a:off x="4762498" y="13094369"/>
          <a:ext cx="1353553" cy="270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050" b="1">
              <a:solidFill>
                <a:schemeClr val="dk1"/>
              </a:solidFill>
              <a:effectLst/>
              <a:latin typeface="+mn-lt"/>
              <a:ea typeface="+mn-ea"/>
              <a:cs typeface="+mn-cs"/>
            </a:rPr>
            <a:t>Infant Mortality Rate</a:t>
          </a:r>
          <a:endParaRPr lang="en-US" sz="1050" b="1">
            <a:effectLst/>
          </a:endParaRPr>
        </a:p>
        <a:p>
          <a:endParaRPr lang="en-US" sz="1050" b="1"/>
        </a:p>
      </xdr:txBody>
    </xdr:sp>
    <xdr:clientData/>
  </xdr:twoCellAnchor>
  <xdr:twoCellAnchor>
    <xdr:from>
      <xdr:col>14</xdr:col>
      <xdr:colOff>47625</xdr:colOff>
      <xdr:row>23</xdr:row>
      <xdr:rowOff>38100</xdr:rowOff>
    </xdr:from>
    <xdr:to>
      <xdr:col>20</xdr:col>
      <xdr:colOff>436380</xdr:colOff>
      <xdr:row>37</xdr:row>
      <xdr:rowOff>177771</xdr:rowOff>
    </xdr:to>
    <xdr:graphicFrame macro="">
      <xdr:nvGraphicFramePr>
        <xdr:cNvPr id="13" name="Chart 5">
          <a:extLst>
            <a:ext uri="{FF2B5EF4-FFF2-40B4-BE49-F238E27FC236}">
              <a16:creationId xmlns="" xmlns:a16="http://schemas.microsoft.com/office/drawing/2014/main" id="{00000000-0008-0000-0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409116</xdr:colOff>
      <xdr:row>26</xdr:row>
      <xdr:rowOff>198614</xdr:rowOff>
    </xdr:from>
    <xdr:to>
      <xdr:col>20</xdr:col>
      <xdr:colOff>257175</xdr:colOff>
      <xdr:row>27</xdr:row>
      <xdr:rowOff>0</xdr:rowOff>
    </xdr:to>
    <xdr:cxnSp macro="">
      <xdr:nvCxnSpPr>
        <xdr:cNvPr id="22" name="Straight Connector 21">
          <a:extLst>
            <a:ext uri="{FF2B5EF4-FFF2-40B4-BE49-F238E27FC236}">
              <a16:creationId xmlns="" xmlns:a16="http://schemas.microsoft.com/office/drawing/2014/main" id="{00000000-0008-0000-0C00-000005000000}"/>
            </a:ext>
          </a:extLst>
        </xdr:cNvPr>
        <xdr:cNvCxnSpPr/>
      </xdr:nvCxnSpPr>
      <xdr:spPr>
        <a:xfrm>
          <a:off x="6609891" y="5351639"/>
          <a:ext cx="4534359" cy="20461"/>
        </a:xfrm>
        <a:prstGeom prst="line">
          <a:avLst/>
        </a:prstGeom>
        <a:ln w="9525" cap="flat" cmpd="sng" algn="ctr">
          <a:solidFill>
            <a:schemeClr val="bg1">
              <a:lumMod val="75000"/>
            </a:schemeClr>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18</xdr:col>
      <xdr:colOff>499080</xdr:colOff>
      <xdr:row>25</xdr:row>
      <xdr:rowOff>127504</xdr:rowOff>
    </xdr:from>
    <xdr:to>
      <xdr:col>19</xdr:col>
      <xdr:colOff>586074</xdr:colOff>
      <xdr:row>26</xdr:row>
      <xdr:rowOff>182601</xdr:rowOff>
    </xdr:to>
    <xdr:sp macro="" textlink="">
      <xdr:nvSpPr>
        <xdr:cNvPr id="18" name="TextBox 17"/>
        <xdr:cNvSpPr txBox="1"/>
      </xdr:nvSpPr>
      <xdr:spPr>
        <a:xfrm>
          <a:off x="9824055" y="5061454"/>
          <a:ext cx="868044" cy="274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b="1">
              <a:solidFill>
                <a:srgbClr val="196563"/>
              </a:solidFill>
            </a:rPr>
            <a:t>Elderly</a:t>
          </a:r>
          <a:r>
            <a:rPr lang="en-US" sz="700" b="1">
              <a:solidFill>
                <a:srgbClr val="A85400"/>
              </a:solidFill>
            </a:rPr>
            <a:t> </a:t>
          </a:r>
          <a:r>
            <a:rPr lang="en-US" sz="700" b="1">
              <a:solidFill>
                <a:srgbClr val="196563"/>
              </a:solidFill>
            </a:rPr>
            <a:t>Population</a:t>
          </a:r>
        </a:p>
      </xdr:txBody>
    </xdr:sp>
    <xdr:clientData/>
  </xdr:twoCellAnchor>
  <xdr:twoCellAnchor>
    <xdr:from>
      <xdr:col>18</xdr:col>
      <xdr:colOff>486507</xdr:colOff>
      <xdr:row>30</xdr:row>
      <xdr:rowOff>20692</xdr:rowOff>
    </xdr:from>
    <xdr:to>
      <xdr:col>19</xdr:col>
      <xdr:colOff>699785</xdr:colOff>
      <xdr:row>30</xdr:row>
      <xdr:rowOff>211657</xdr:rowOff>
    </xdr:to>
    <xdr:sp macro="" textlink="">
      <xdr:nvSpPr>
        <xdr:cNvPr id="19" name="TextBox 18">
          <a:extLst>
            <a:ext uri="{FF2B5EF4-FFF2-40B4-BE49-F238E27FC236}">
              <a16:creationId xmlns="" xmlns:a16="http://schemas.microsoft.com/office/drawing/2014/main" id="{00000000-0008-0000-0C00-000008000000}"/>
            </a:ext>
          </a:extLst>
        </xdr:cNvPr>
        <xdr:cNvSpPr txBox="1"/>
      </xdr:nvSpPr>
      <xdr:spPr>
        <a:xfrm>
          <a:off x="9811482" y="6050017"/>
          <a:ext cx="994328" cy="190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b="1">
              <a:solidFill>
                <a:srgbClr val="196563"/>
              </a:solidFill>
            </a:rPr>
            <a:t>Working Population</a:t>
          </a:r>
        </a:p>
      </xdr:txBody>
    </xdr:sp>
    <xdr:clientData/>
  </xdr:twoCellAnchor>
  <xdr:twoCellAnchor>
    <xdr:from>
      <xdr:col>18</xdr:col>
      <xdr:colOff>469984</xdr:colOff>
      <xdr:row>34</xdr:row>
      <xdr:rowOff>156319</xdr:rowOff>
    </xdr:from>
    <xdr:to>
      <xdr:col>19</xdr:col>
      <xdr:colOff>744259</xdr:colOff>
      <xdr:row>36</xdr:row>
      <xdr:rowOff>22956</xdr:rowOff>
    </xdr:to>
    <xdr:sp macro="" textlink="">
      <xdr:nvSpPr>
        <xdr:cNvPr id="20" name="TextBox 19">
          <a:extLst>
            <a:ext uri="{FF2B5EF4-FFF2-40B4-BE49-F238E27FC236}">
              <a16:creationId xmlns="" xmlns:a16="http://schemas.microsoft.com/office/drawing/2014/main" id="{00000000-0008-0000-0C00-000007000000}"/>
            </a:ext>
          </a:extLst>
        </xdr:cNvPr>
        <xdr:cNvSpPr txBox="1"/>
      </xdr:nvSpPr>
      <xdr:spPr>
        <a:xfrm>
          <a:off x="9794959" y="7061944"/>
          <a:ext cx="1055325" cy="304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b="1">
              <a:solidFill>
                <a:srgbClr val="196563"/>
              </a:solidFill>
            </a:rPr>
            <a:t>Child Population</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0.0045</cdr:x>
      <cdr:y>0.003</cdr:y>
    </cdr:from>
    <cdr:to>
      <cdr:x>0.01435</cdr:x>
      <cdr:y>0.003</cdr:y>
    </cdr:to>
    <cdr:sp macro="" textlink="">
      <cdr:nvSpPr>
        <cdr:cNvPr id="53249" name="Text Box 1"/>
        <cdr:cNvSpPr txBox="1">
          <a:spLocks xmlns:a="http://schemas.openxmlformats.org/drawingml/2006/main" noChangeArrowheads="1"/>
        </cdr:cNvSpPr>
      </cdr:nvSpPr>
      <cdr:spPr bwMode="auto">
        <a:xfrm xmlns:a="http://schemas.openxmlformats.org/drawingml/2006/main">
          <a:off x="79613" y="60554"/>
          <a:ext cx="5200769" cy="257251"/>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ctr" rtl="1">
            <a:defRPr sz="1000"/>
          </a:pPr>
          <a:r>
            <a:rPr lang="en-US" sz="1000" b="1" i="0" strike="noStrike">
              <a:solidFill>
                <a:srgbClr val="000000"/>
              </a:solidFill>
              <a:latin typeface="Arial"/>
              <a:cs typeface="Arial"/>
            </a:rPr>
            <a:t> Under five mortality rate, 1995 - 2010</a:t>
          </a:r>
        </a:p>
      </cdr:txBody>
    </cdr:sp>
  </cdr:relSizeAnchor>
  <cdr:relSizeAnchor xmlns:cdr="http://schemas.openxmlformats.org/drawingml/2006/chartDrawing">
    <cdr:from>
      <cdr:x>0.01529</cdr:x>
      <cdr:y>0.0233</cdr:y>
    </cdr:from>
    <cdr:to>
      <cdr:x>1</cdr:x>
      <cdr:y>0.08711</cdr:y>
    </cdr:to>
    <cdr:sp macro="" textlink="">
      <cdr:nvSpPr>
        <cdr:cNvPr id="3" name="Text Box 1"/>
        <cdr:cNvSpPr txBox="1">
          <a:spLocks xmlns:a="http://schemas.openxmlformats.org/drawingml/2006/main" noChangeArrowheads="1"/>
        </cdr:cNvSpPr>
      </cdr:nvSpPr>
      <cdr:spPr bwMode="auto">
        <a:xfrm xmlns:a="http://schemas.openxmlformats.org/drawingml/2006/main">
          <a:off x="91606" y="63695"/>
          <a:ext cx="5899619" cy="174431"/>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square" lIns="27432" tIns="22860" rIns="0" bIns="0" anchor="t"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1">
            <a:defRPr sz="1000"/>
          </a:pPr>
          <a:r>
            <a:rPr lang="en-US" sz="1200" b="1" i="0" strike="noStrike">
              <a:solidFill>
                <a:srgbClr val="000000"/>
              </a:solidFill>
              <a:latin typeface="Candara" pitchFamily="34" charset="0"/>
              <a:cs typeface="Arial"/>
            </a:rPr>
            <a:t>Infant </a:t>
          </a:r>
          <a:r>
            <a:rPr lang="en-US" sz="1200" b="1" i="0" strike="noStrike" baseline="0">
              <a:solidFill>
                <a:srgbClr val="000000"/>
              </a:solidFill>
              <a:latin typeface="Candara" pitchFamily="34" charset="0"/>
              <a:cs typeface="Arial"/>
            </a:rPr>
            <a:t>Mortality Rate,</a:t>
          </a:r>
          <a:r>
            <a:rPr lang="en-US" sz="1200" b="1" i="0" strike="noStrike">
              <a:solidFill>
                <a:srgbClr val="000000"/>
              </a:solidFill>
              <a:latin typeface="Candara" pitchFamily="34" charset="0"/>
              <a:cs typeface="Arial"/>
            </a:rPr>
            <a:t> 2010 - 2020</a:t>
          </a:r>
        </a:p>
      </cdr:txBody>
    </cdr:sp>
  </cdr:relSizeAnchor>
</c:userShapes>
</file>

<file path=xl/drawings/drawing5.xml><?xml version="1.0" encoding="utf-8"?>
<c:userShapes xmlns:c="http://schemas.openxmlformats.org/drawingml/2006/chart">
  <cdr:relSizeAnchor xmlns:cdr="http://schemas.openxmlformats.org/drawingml/2006/chartDrawing">
    <cdr:from>
      <cdr:x>0.07328</cdr:x>
      <cdr:y>0.76656</cdr:y>
    </cdr:from>
    <cdr:to>
      <cdr:x>0.95383</cdr:x>
      <cdr:y>0.76842</cdr:y>
    </cdr:to>
    <cdr:cxnSp macro="">
      <cdr:nvCxnSpPr>
        <cdr:cNvPr id="3" name="Straight Connector 2">
          <a:extLst xmlns:a="http://schemas.openxmlformats.org/drawingml/2006/main">
            <a:ext uri="{FF2B5EF4-FFF2-40B4-BE49-F238E27FC236}">
              <a16:creationId xmlns="" xmlns:a16="http://schemas.microsoft.com/office/drawing/2014/main" id="{36AB2574-9E3C-4E26-B073-11810F39E6BC}"/>
            </a:ext>
          </a:extLst>
        </cdr:cNvPr>
        <cdr:cNvCxnSpPr/>
      </cdr:nvCxnSpPr>
      <cdr:spPr>
        <a:xfrm xmlns:a="http://schemas.openxmlformats.org/drawingml/2006/main">
          <a:off x="371877" y="2458144"/>
          <a:ext cx="4468839" cy="5965"/>
        </a:xfrm>
        <a:prstGeom xmlns:a="http://schemas.openxmlformats.org/drawingml/2006/main" prst="line">
          <a:avLst/>
        </a:prstGeom>
        <a:ln xmlns:a="http://schemas.openxmlformats.org/drawingml/2006/main" w="9525" cap="flat" cmpd="sng" algn="ctr">
          <a:solidFill>
            <a:schemeClr val="bg1">
              <a:lumMod val="75000"/>
            </a:schemeClr>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userShapes>
</file>

<file path=xl/drawings/drawing6.xml><?xml version="1.0" encoding="utf-8"?>
<xdr:wsDr xmlns:xdr="http://schemas.openxmlformats.org/drawingml/2006/spreadsheetDrawing" xmlns:a="http://schemas.openxmlformats.org/drawingml/2006/main">
  <xdr:twoCellAnchor>
    <xdr:from>
      <xdr:col>2</xdr:col>
      <xdr:colOff>754143</xdr:colOff>
      <xdr:row>22</xdr:row>
      <xdr:rowOff>41118</xdr:rowOff>
    </xdr:from>
    <xdr:to>
      <xdr:col>11</xdr:col>
      <xdr:colOff>436563</xdr:colOff>
      <xdr:row>37</xdr:row>
      <xdr:rowOff>149623</xdr:rowOff>
    </xdr:to>
    <xdr:graphicFrame macro="">
      <xdr:nvGraphicFramePr>
        <xdr:cNvPr id="2" name="Chart 4">
          <a:extLst>
            <a:ext uri="{FF2B5EF4-FFF2-40B4-BE49-F238E27FC236}">
              <a16:creationId xmlns=""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269558</xdr:colOff>
      <xdr:row>22</xdr:row>
      <xdr:rowOff>181054</xdr:rowOff>
    </xdr:from>
    <xdr:to>
      <xdr:col>10</xdr:col>
      <xdr:colOff>346812</xdr:colOff>
      <xdr:row>23</xdr:row>
      <xdr:rowOff>187042</xdr:rowOff>
    </xdr:to>
    <xdr:sp macro="" textlink="">
      <xdr:nvSpPr>
        <xdr:cNvPr id="4" name="Text Box 15">
          <a:extLst>
            <a:ext uri="{FF2B5EF4-FFF2-40B4-BE49-F238E27FC236}">
              <a16:creationId xmlns="" xmlns:a16="http://schemas.microsoft.com/office/drawing/2014/main" id="{00000000-0008-0000-0200-000004000000}"/>
            </a:ext>
          </a:extLst>
        </xdr:cNvPr>
        <xdr:cNvSpPr txBox="1">
          <a:spLocks noChangeArrowheads="1"/>
        </xdr:cNvSpPr>
      </xdr:nvSpPr>
      <xdr:spPr bwMode="auto">
        <a:xfrm>
          <a:off x="3434636" y="3494960"/>
          <a:ext cx="4780223" cy="194504"/>
        </a:xfrm>
        <a:prstGeom prst="rect">
          <a:avLst/>
        </a:prstGeom>
        <a:noFill/>
        <a:ln w="9525">
          <a:noFill/>
          <a:miter lim="800000"/>
          <a:headEnd/>
          <a:tailEnd/>
        </a:ln>
      </xdr:spPr>
      <xdr:txBody>
        <a:bodyPr vertOverflow="clip" wrap="square" lIns="27432" tIns="22860" rIns="0" bIns="0" anchor="t" upright="1"/>
        <a:lstStyle/>
        <a:p>
          <a:pPr algn="ctr" rtl="1">
            <a:defRPr sz="1000"/>
          </a:pPr>
          <a:r>
            <a:rPr lang="en-US" sz="1100" b="1" i="0" strike="noStrike">
              <a:solidFill>
                <a:srgbClr val="000000"/>
              </a:solidFill>
              <a:latin typeface="Candara" pitchFamily="34" charset="0"/>
              <a:cs typeface="Arial"/>
            </a:rPr>
            <a:t>Number of government employees by sex, 2010 - 2020</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19</xdr:col>
      <xdr:colOff>742626</xdr:colOff>
      <xdr:row>16</xdr:row>
      <xdr:rowOff>48434</xdr:rowOff>
    </xdr:from>
    <xdr:to>
      <xdr:col>26</xdr:col>
      <xdr:colOff>597329</xdr:colOff>
      <xdr:row>28</xdr:row>
      <xdr:rowOff>185656</xdr:rowOff>
    </xdr:to>
    <xdr:graphicFrame macro="">
      <xdr:nvGraphicFramePr>
        <xdr:cNvPr id="4" name="Chart 1">
          <a:extLst>
            <a:ext uri="{FF2B5EF4-FFF2-40B4-BE49-F238E27FC236}">
              <a16:creationId xmlns=""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72708</xdr:colOff>
      <xdr:row>16</xdr:row>
      <xdr:rowOff>53969</xdr:rowOff>
    </xdr:from>
    <xdr:to>
      <xdr:col>19</xdr:col>
      <xdr:colOff>161441</xdr:colOff>
      <xdr:row>28</xdr:row>
      <xdr:rowOff>177585</xdr:rowOff>
    </xdr:to>
    <xdr:graphicFrame macro="">
      <xdr:nvGraphicFramePr>
        <xdr:cNvPr id="5" name="Chart 2">
          <a:extLst>
            <a:ext uri="{FF2B5EF4-FFF2-40B4-BE49-F238E27FC236}">
              <a16:creationId xmlns="" xmlns:a16="http://schemas.microsoft.com/office/drawing/2014/main" i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1514475</xdr:colOff>
      <xdr:row>38</xdr:row>
      <xdr:rowOff>0</xdr:rowOff>
    </xdr:from>
    <xdr:to>
      <xdr:col>1</xdr:col>
      <xdr:colOff>1590675</xdr:colOff>
      <xdr:row>42</xdr:row>
      <xdr:rowOff>193092</xdr:rowOff>
    </xdr:to>
    <xdr:sp macro="" textlink="">
      <xdr:nvSpPr>
        <xdr:cNvPr id="2" name="Text Box 7">
          <a:extLst>
            <a:ext uri="{FF2B5EF4-FFF2-40B4-BE49-F238E27FC236}">
              <a16:creationId xmlns="" xmlns:a16="http://schemas.microsoft.com/office/drawing/2014/main" id="{00000000-0008-0000-0400-000002000000}"/>
            </a:ext>
          </a:extLst>
        </xdr:cNvPr>
        <xdr:cNvSpPr txBox="1">
          <a:spLocks noChangeArrowheads="1"/>
        </xdr:cNvSpPr>
      </xdr:nvSpPr>
      <xdr:spPr bwMode="auto">
        <a:xfrm>
          <a:off x="2105025" y="6477000"/>
          <a:ext cx="76200" cy="1964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1514475</xdr:colOff>
      <xdr:row>38</xdr:row>
      <xdr:rowOff>0</xdr:rowOff>
    </xdr:from>
    <xdr:to>
      <xdr:col>1</xdr:col>
      <xdr:colOff>1590675</xdr:colOff>
      <xdr:row>42</xdr:row>
      <xdr:rowOff>193092</xdr:rowOff>
    </xdr:to>
    <xdr:sp macro="" textlink="">
      <xdr:nvSpPr>
        <xdr:cNvPr id="3" name="Text Box 7">
          <a:extLst>
            <a:ext uri="{FF2B5EF4-FFF2-40B4-BE49-F238E27FC236}">
              <a16:creationId xmlns="" xmlns:a16="http://schemas.microsoft.com/office/drawing/2014/main" id="{00000000-0008-0000-0400-000003000000}"/>
            </a:ext>
          </a:extLst>
        </xdr:cNvPr>
        <xdr:cNvSpPr txBox="1">
          <a:spLocks noChangeArrowheads="1"/>
        </xdr:cNvSpPr>
      </xdr:nvSpPr>
      <xdr:spPr bwMode="auto">
        <a:xfrm>
          <a:off x="2105025" y="6477000"/>
          <a:ext cx="76200" cy="1964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425490</xdr:colOff>
      <xdr:row>46</xdr:row>
      <xdr:rowOff>60388</xdr:rowOff>
    </xdr:from>
    <xdr:to>
      <xdr:col>23</xdr:col>
      <xdr:colOff>219074</xdr:colOff>
      <xdr:row>59</xdr:row>
      <xdr:rowOff>123825</xdr:rowOff>
    </xdr:to>
    <xdr:graphicFrame macro="">
      <xdr:nvGraphicFramePr>
        <xdr:cNvPr id="4" name="Chart 3">
          <a:extLst>
            <a:ext uri="{FF2B5EF4-FFF2-40B4-BE49-F238E27FC236}">
              <a16:creationId xmlns="" xmlns:a16="http://schemas.microsoft.com/office/drawing/2014/main" id="{00000000-0008-0000-0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561975</xdr:colOff>
      <xdr:row>46</xdr:row>
      <xdr:rowOff>99977</xdr:rowOff>
    </xdr:from>
    <xdr:to>
      <xdr:col>29</xdr:col>
      <xdr:colOff>609600</xdr:colOff>
      <xdr:row>59</xdr:row>
      <xdr:rowOff>123825</xdr:rowOff>
    </xdr:to>
    <xdr:graphicFrame macro="">
      <xdr:nvGraphicFramePr>
        <xdr:cNvPr id="5" name="Chart 4">
          <a:extLst>
            <a:ext uri="{FF2B5EF4-FFF2-40B4-BE49-F238E27FC236}">
              <a16:creationId xmlns=""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1514475</xdr:colOff>
      <xdr:row>48</xdr:row>
      <xdr:rowOff>0</xdr:rowOff>
    </xdr:from>
    <xdr:to>
      <xdr:col>1</xdr:col>
      <xdr:colOff>1514475</xdr:colOff>
      <xdr:row>48</xdr:row>
      <xdr:rowOff>196625</xdr:rowOff>
    </xdr:to>
    <xdr:sp macro="" textlink="">
      <xdr:nvSpPr>
        <xdr:cNvPr id="6" name="Text Box 7">
          <a:extLst>
            <a:ext uri="{FF2B5EF4-FFF2-40B4-BE49-F238E27FC236}">
              <a16:creationId xmlns="" xmlns:a16="http://schemas.microsoft.com/office/drawing/2014/main" id="{00000000-0008-0000-0400-000006000000}"/>
            </a:ext>
          </a:extLst>
        </xdr:cNvPr>
        <xdr:cNvSpPr txBox="1">
          <a:spLocks noChangeArrowheads="1"/>
        </xdr:cNvSpPr>
      </xdr:nvSpPr>
      <xdr:spPr bwMode="auto">
        <a:xfrm>
          <a:off x="2105025" y="8353425"/>
          <a:ext cx="0" cy="2000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1514475</xdr:colOff>
      <xdr:row>48</xdr:row>
      <xdr:rowOff>0</xdr:rowOff>
    </xdr:from>
    <xdr:to>
      <xdr:col>1</xdr:col>
      <xdr:colOff>1514475</xdr:colOff>
      <xdr:row>48</xdr:row>
      <xdr:rowOff>196625</xdr:rowOff>
    </xdr:to>
    <xdr:sp macro="" textlink="">
      <xdr:nvSpPr>
        <xdr:cNvPr id="7" name="Text Box 7">
          <a:extLst>
            <a:ext uri="{FF2B5EF4-FFF2-40B4-BE49-F238E27FC236}">
              <a16:creationId xmlns="" xmlns:a16="http://schemas.microsoft.com/office/drawing/2014/main" id="{00000000-0008-0000-0400-000007000000}"/>
            </a:ext>
          </a:extLst>
        </xdr:cNvPr>
        <xdr:cNvSpPr txBox="1">
          <a:spLocks noChangeArrowheads="1"/>
        </xdr:cNvSpPr>
      </xdr:nvSpPr>
      <xdr:spPr bwMode="auto">
        <a:xfrm>
          <a:off x="2105025" y="8353425"/>
          <a:ext cx="0" cy="2000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9.xml><?xml version="1.0" encoding="utf-8"?>
<c:userShapes xmlns:c="http://schemas.openxmlformats.org/drawingml/2006/chart">
  <cdr:relSizeAnchor xmlns:cdr="http://schemas.openxmlformats.org/drawingml/2006/chartDrawing">
    <cdr:from>
      <cdr:x>0.12248</cdr:x>
      <cdr:y>0.03375</cdr:y>
    </cdr:from>
    <cdr:to>
      <cdr:x>0.94653</cdr:x>
      <cdr:y>0.14029</cdr:y>
    </cdr:to>
    <cdr:sp macro="" textlink="">
      <cdr:nvSpPr>
        <cdr:cNvPr id="2" name="TextBox 1"/>
        <cdr:cNvSpPr txBox="1"/>
      </cdr:nvSpPr>
      <cdr:spPr>
        <a:xfrm xmlns:a="http://schemas.openxmlformats.org/drawingml/2006/main">
          <a:off x="632676" y="85725"/>
          <a:ext cx="4256783" cy="27060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marL="0" marR="0" indent="0" algn="ctr" defTabSz="914400" rtl="1" eaLnBrk="1" fontAlgn="auto" latinLnBrk="0" hangingPunct="1">
            <a:lnSpc>
              <a:spcPct val="100000"/>
            </a:lnSpc>
            <a:spcBef>
              <a:spcPts val="0"/>
            </a:spcBef>
            <a:spcAft>
              <a:spcPts val="0"/>
            </a:spcAft>
            <a:buClrTx/>
            <a:buSzTx/>
            <a:buFontTx/>
            <a:buNone/>
            <a:tabLst/>
            <a:defRPr/>
          </a:pPr>
          <a:r>
            <a:rPr lang="en-US" sz="900" b="1" i="0">
              <a:effectLst/>
              <a:latin typeface="Consolas" pitchFamily="49" charset="0"/>
              <a:ea typeface="+mn-ea"/>
              <a:cs typeface="Consolas" pitchFamily="49" charset="0"/>
            </a:rPr>
            <a:t>Student Enrollment in Male' and Atolls, 2010 - 2020</a:t>
          </a:r>
          <a:endParaRPr lang="en-US" sz="900">
            <a:effectLst/>
            <a:latin typeface="Consolas" pitchFamily="49" charset="0"/>
            <a:cs typeface="Consolas" pitchFamily="49" charset="0"/>
          </a:endParaRPr>
        </a:p>
        <a:p xmlns:a="http://schemas.openxmlformats.org/drawingml/2006/main">
          <a:pPr algn="ctr"/>
          <a:endParaRPr lang="en-US" sz="900">
            <a:latin typeface="Consolas" pitchFamily="49" charset="0"/>
            <a:cs typeface="Consolas" pitchFamily="49" charset="0"/>
          </a:endParaRPr>
        </a:p>
      </cdr:txBody>
    </cdr:sp>
  </cdr:relSizeAnchor>
</c:userShapes>
</file>

<file path=xl/drawings/drawing10.xml><?xml version="1.0" encoding="utf-8"?>
<xdr:wsDr xmlns:xdr="http://schemas.openxmlformats.org/drawingml/2006/spreadsheetDrawing" xmlns:a="http://schemas.openxmlformats.org/drawingml/2006/main">
  <xdr:twoCellAnchor>
    <xdr:from>
      <xdr:col>0</xdr:col>
      <xdr:colOff>1343023</xdr:colOff>
      <xdr:row>36</xdr:row>
      <xdr:rowOff>0</xdr:rowOff>
    </xdr:from>
    <xdr:to>
      <xdr:col>29</xdr:col>
      <xdr:colOff>31750</xdr:colOff>
      <xdr:row>52</xdr:row>
      <xdr:rowOff>117836</xdr:rowOff>
    </xdr:to>
    <xdr:graphicFrame macro="">
      <xdr:nvGraphicFramePr>
        <xdr:cNvPr id="3" name="Chart 2">
          <a:extLst>
            <a:ext uri="{FF2B5EF4-FFF2-40B4-BE49-F238E27FC236}">
              <a16:creationId xmlns=""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322931</xdr:colOff>
      <xdr:row>19</xdr:row>
      <xdr:rowOff>58590</xdr:rowOff>
    </xdr:from>
    <xdr:to>
      <xdr:col>25</xdr:col>
      <xdr:colOff>406399</xdr:colOff>
      <xdr:row>34</xdr:row>
      <xdr:rowOff>134331</xdr:rowOff>
    </xdr:to>
    <xdr:graphicFrame macro="">
      <xdr:nvGraphicFramePr>
        <xdr:cNvPr id="4" name="Chart 3">
          <a:extLst>
            <a:ext uri="{FF2B5EF4-FFF2-40B4-BE49-F238E27FC236}">
              <a16:creationId xmlns=""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702414</xdr:colOff>
      <xdr:row>23</xdr:row>
      <xdr:rowOff>76985</xdr:rowOff>
    </xdr:from>
    <xdr:to>
      <xdr:col>0</xdr:col>
      <xdr:colOff>893209</xdr:colOff>
      <xdr:row>27</xdr:row>
      <xdr:rowOff>65095</xdr:rowOff>
    </xdr:to>
    <xdr:sp macro="" textlink="">
      <xdr:nvSpPr>
        <xdr:cNvPr id="5" name="TextBox 4">
          <a:extLst>
            <a:ext uri="{FF2B5EF4-FFF2-40B4-BE49-F238E27FC236}">
              <a16:creationId xmlns="" xmlns:a16="http://schemas.microsoft.com/office/drawing/2014/main" id="{00000000-0008-0000-0500-000005000000}"/>
            </a:ext>
          </a:extLst>
        </xdr:cNvPr>
        <xdr:cNvSpPr txBox="1"/>
      </xdr:nvSpPr>
      <xdr:spPr>
        <a:xfrm rot="16200000">
          <a:off x="398944" y="4838155"/>
          <a:ext cx="797735" cy="1907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a:t>in numbers</a:t>
          </a:r>
        </a:p>
      </xdr:txBody>
    </xdr:sp>
    <xdr:clientData/>
  </xdr:twoCellAnchor>
  <xdr:twoCellAnchor>
    <xdr:from>
      <xdr:col>26</xdr:col>
      <xdr:colOff>114301</xdr:colOff>
      <xdr:row>19</xdr:row>
      <xdr:rowOff>41275</xdr:rowOff>
    </xdr:from>
    <xdr:to>
      <xdr:col>32</xdr:col>
      <xdr:colOff>476251</xdr:colOff>
      <xdr:row>34</xdr:row>
      <xdr:rowOff>123825</xdr:rowOff>
    </xdr:to>
    <xdr:graphicFrame macro="">
      <xdr:nvGraphicFramePr>
        <xdr:cNvPr id="6" name="Chart 5">
          <a:extLst>
            <a:ext uri="{FF2B5EF4-FFF2-40B4-BE49-F238E27FC236}">
              <a16:creationId xmlns="" xmlns:a16="http://schemas.microsoft.com/office/drawing/2014/main" id="{00000000-0008-0000-0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76200</xdr:colOff>
      <xdr:row>45</xdr:row>
      <xdr:rowOff>66675</xdr:rowOff>
    </xdr:from>
    <xdr:to>
      <xdr:col>17</xdr:col>
      <xdr:colOff>180975</xdr:colOff>
      <xdr:row>46</xdr:row>
      <xdr:rowOff>114300</xdr:rowOff>
    </xdr:to>
    <xdr:sp macro="" textlink="">
      <xdr:nvSpPr>
        <xdr:cNvPr id="2" name="Text Box 6">
          <a:extLst>
            <a:ext uri="{FF2B5EF4-FFF2-40B4-BE49-F238E27FC236}">
              <a16:creationId xmlns="" xmlns:a16="http://schemas.microsoft.com/office/drawing/2014/main" id="{00000000-0008-0000-0600-000002000000}"/>
            </a:ext>
          </a:extLst>
        </xdr:cNvPr>
        <xdr:cNvSpPr txBox="1">
          <a:spLocks noChangeArrowheads="1"/>
        </xdr:cNvSpPr>
      </xdr:nvSpPr>
      <xdr:spPr bwMode="auto">
        <a:xfrm>
          <a:off x="2971800" y="8191500"/>
          <a:ext cx="1809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76200</xdr:colOff>
      <xdr:row>45</xdr:row>
      <xdr:rowOff>66675</xdr:rowOff>
    </xdr:from>
    <xdr:to>
      <xdr:col>17</xdr:col>
      <xdr:colOff>180975</xdr:colOff>
      <xdr:row>46</xdr:row>
      <xdr:rowOff>114300</xdr:rowOff>
    </xdr:to>
    <xdr:sp macro="" textlink="">
      <xdr:nvSpPr>
        <xdr:cNvPr id="3" name="Text Box 6">
          <a:extLst>
            <a:ext uri="{FF2B5EF4-FFF2-40B4-BE49-F238E27FC236}">
              <a16:creationId xmlns="" xmlns:a16="http://schemas.microsoft.com/office/drawing/2014/main" id="{00000000-0008-0000-0600-000003000000}"/>
            </a:ext>
          </a:extLst>
        </xdr:cNvPr>
        <xdr:cNvSpPr txBox="1">
          <a:spLocks noChangeArrowheads="1"/>
        </xdr:cNvSpPr>
      </xdr:nvSpPr>
      <xdr:spPr bwMode="auto">
        <a:xfrm>
          <a:off x="2971800" y="8191500"/>
          <a:ext cx="1809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2685861</xdr:colOff>
      <xdr:row>18</xdr:row>
      <xdr:rowOff>175186</xdr:rowOff>
    </xdr:from>
    <xdr:to>
      <xdr:col>25</xdr:col>
      <xdr:colOff>631825</xdr:colOff>
      <xdr:row>33</xdr:row>
      <xdr:rowOff>15875</xdr:rowOff>
    </xdr:to>
    <xdr:graphicFrame macro="">
      <xdr:nvGraphicFramePr>
        <xdr:cNvPr id="4" name="Chart 3">
          <a:extLst>
            <a:ext uri="{FF2B5EF4-FFF2-40B4-BE49-F238E27FC236}">
              <a16:creationId xmlns="" xmlns:a16="http://schemas.microsoft.com/office/drawing/2014/main" id="{00000000-0008-0000-0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2781675</xdr:colOff>
      <xdr:row>19</xdr:row>
      <xdr:rowOff>120649</xdr:rowOff>
    </xdr:from>
    <xdr:to>
      <xdr:col>18</xdr:col>
      <xdr:colOff>225426</xdr:colOff>
      <xdr:row>21</xdr:row>
      <xdr:rowOff>28575</xdr:rowOff>
    </xdr:to>
    <xdr:sp macro="" textlink="">
      <xdr:nvSpPr>
        <xdr:cNvPr id="5" name="TextBox 4">
          <a:extLst>
            <a:ext uri="{FF2B5EF4-FFF2-40B4-BE49-F238E27FC236}">
              <a16:creationId xmlns="" xmlns:a16="http://schemas.microsoft.com/office/drawing/2014/main" id="{00000000-0008-0000-0600-000005000000}"/>
            </a:ext>
          </a:extLst>
        </xdr:cNvPr>
        <xdr:cNvSpPr txBox="1"/>
      </xdr:nvSpPr>
      <xdr:spPr>
        <a:xfrm>
          <a:off x="2781675" y="3438524"/>
          <a:ext cx="1190251" cy="2889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t>(</a:t>
          </a:r>
          <a:r>
            <a:rPr lang="en-US" sz="1000"/>
            <a:t>'000 metric tons)</a:t>
          </a:r>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104775</xdr:colOff>
      <xdr:row>29</xdr:row>
      <xdr:rowOff>94475</xdr:rowOff>
    </xdr:from>
    <xdr:to>
      <xdr:col>26</xdr:col>
      <xdr:colOff>340895</xdr:colOff>
      <xdr:row>44</xdr:row>
      <xdr:rowOff>161924</xdr:rowOff>
    </xdr:to>
    <xdr:graphicFrame macro="">
      <xdr:nvGraphicFramePr>
        <xdr:cNvPr id="2" name="Chart 9">
          <a:extLst>
            <a:ext uri="{FF2B5EF4-FFF2-40B4-BE49-F238E27FC236}">
              <a16:creationId xmlns=""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517358</xdr:colOff>
      <xdr:row>29</xdr:row>
      <xdr:rowOff>67171</xdr:rowOff>
    </xdr:from>
    <xdr:to>
      <xdr:col>34</xdr:col>
      <xdr:colOff>774534</xdr:colOff>
      <xdr:row>44</xdr:row>
      <xdr:rowOff>113298</xdr:rowOff>
    </xdr:to>
    <xdr:graphicFrame macro="">
      <xdr:nvGraphicFramePr>
        <xdr:cNvPr id="3" name="Chart 3">
          <a:extLst>
            <a:ext uri="{FF2B5EF4-FFF2-40B4-BE49-F238E27FC236}">
              <a16:creationId xmlns=""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7</xdr:col>
      <xdr:colOff>104775</xdr:colOff>
      <xdr:row>48</xdr:row>
      <xdr:rowOff>142875</xdr:rowOff>
    </xdr:from>
    <xdr:to>
      <xdr:col>14</xdr:col>
      <xdr:colOff>400050</xdr:colOff>
      <xdr:row>62</xdr:row>
      <xdr:rowOff>142875</xdr:rowOff>
    </xdr:to>
    <xdr:graphicFrame macro="">
      <xdr:nvGraphicFramePr>
        <xdr:cNvPr id="2" name="Chart 4">
          <a:extLst>
            <a:ext uri="{FF2B5EF4-FFF2-40B4-BE49-F238E27FC236}">
              <a16:creationId xmlns=""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494329</xdr:colOff>
      <xdr:row>48</xdr:row>
      <xdr:rowOff>185709</xdr:rowOff>
    </xdr:from>
    <xdr:to>
      <xdr:col>6</xdr:col>
      <xdr:colOff>790575</xdr:colOff>
      <xdr:row>62</xdr:row>
      <xdr:rowOff>108636</xdr:rowOff>
    </xdr:to>
    <xdr:graphicFrame macro="">
      <xdr:nvGraphicFramePr>
        <xdr:cNvPr id="3" name="Chart 4">
          <a:extLst>
            <a:ext uri="{FF2B5EF4-FFF2-40B4-BE49-F238E27FC236}">
              <a16:creationId xmlns=""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2</xdr:col>
      <xdr:colOff>176345</xdr:colOff>
      <xdr:row>49</xdr:row>
      <xdr:rowOff>81889</xdr:rowOff>
    </xdr:from>
    <xdr:ext cx="4080281" cy="195374"/>
    <xdr:sp macro="" textlink="">
      <xdr:nvSpPr>
        <xdr:cNvPr id="4" name="TextBox 3">
          <a:extLst>
            <a:ext uri="{FF2B5EF4-FFF2-40B4-BE49-F238E27FC236}">
              <a16:creationId xmlns="" xmlns:a16="http://schemas.microsoft.com/office/drawing/2014/main" id="{00000000-0008-0000-0800-000004000000}"/>
            </a:ext>
          </a:extLst>
        </xdr:cNvPr>
        <xdr:cNvSpPr txBox="1"/>
      </xdr:nvSpPr>
      <xdr:spPr>
        <a:xfrm>
          <a:off x="1624145" y="9206839"/>
          <a:ext cx="4080281" cy="195374"/>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noAutofit/>
        </a:bodyPr>
        <a:lstStyle/>
        <a:p>
          <a:pPr marL="0" marR="0" indent="0" algn="ctr" defTabSz="914400" rtl="1" eaLnBrk="1" fontAlgn="auto" latinLnBrk="0" hangingPunct="1">
            <a:lnSpc>
              <a:spcPct val="100000"/>
            </a:lnSpc>
            <a:spcBef>
              <a:spcPts val="0"/>
            </a:spcBef>
            <a:spcAft>
              <a:spcPts val="0"/>
            </a:spcAft>
            <a:buClrTx/>
            <a:buSzTx/>
            <a:buFontTx/>
            <a:buNone/>
            <a:tabLst/>
            <a:defRPr/>
          </a:pPr>
          <a:r>
            <a:rPr lang="en-US" sz="1200" b="1" i="0">
              <a:solidFill>
                <a:schemeClr val="tx1"/>
              </a:solidFill>
              <a:latin typeface="Candara" pitchFamily="34" charset="0"/>
              <a:ea typeface="+mn-ea"/>
              <a:cs typeface="+mn-cs"/>
            </a:rPr>
            <a:t>Registered Vehicles  by main types, 2010</a:t>
          </a:r>
          <a:r>
            <a:rPr lang="en-US" sz="1200" b="1" i="0" baseline="0">
              <a:solidFill>
                <a:schemeClr val="tx1"/>
              </a:solidFill>
              <a:latin typeface="Candara" pitchFamily="34" charset="0"/>
              <a:ea typeface="+mn-ea"/>
              <a:cs typeface="+mn-cs"/>
            </a:rPr>
            <a:t> - 2020</a:t>
          </a:r>
          <a:endParaRPr lang="en-US" sz="1200">
            <a:latin typeface="Candara" pitchFamily="34" charset="0"/>
          </a:endParaRPr>
        </a:p>
      </xdr:txBody>
    </xdr:sp>
    <xdr:clientData/>
  </xdr:oneCellAnchor>
  <xdr:twoCellAnchor>
    <xdr:from>
      <xdr:col>0</xdr:col>
      <xdr:colOff>392429</xdr:colOff>
      <xdr:row>49</xdr:row>
      <xdr:rowOff>156159</xdr:rowOff>
    </xdr:from>
    <xdr:to>
      <xdr:col>1</xdr:col>
      <xdr:colOff>331396</xdr:colOff>
      <xdr:row>50</xdr:row>
      <xdr:rowOff>66441</xdr:rowOff>
    </xdr:to>
    <xdr:sp macro="" textlink="">
      <xdr:nvSpPr>
        <xdr:cNvPr id="5" name="TextBox 4">
          <a:extLst>
            <a:ext uri="{FF2B5EF4-FFF2-40B4-BE49-F238E27FC236}">
              <a16:creationId xmlns="" xmlns:a16="http://schemas.microsoft.com/office/drawing/2014/main" id="{00000000-0008-0000-0800-000005000000}"/>
            </a:ext>
          </a:extLst>
        </xdr:cNvPr>
        <xdr:cNvSpPr txBox="1"/>
      </xdr:nvSpPr>
      <xdr:spPr>
        <a:xfrm>
          <a:off x="392429" y="9281109"/>
          <a:ext cx="796217" cy="11983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en-US" sz="800" b="1" i="0" baseline="0">
              <a:solidFill>
                <a:schemeClr val="dk1"/>
              </a:solidFill>
              <a:latin typeface="+mn-lt"/>
              <a:ea typeface="+mn-ea"/>
              <a:cs typeface="+mn-cs"/>
            </a:rPr>
            <a:t>In numbers </a:t>
          </a:r>
          <a:endParaRPr lang="en-US" sz="1100" b="1"/>
        </a:p>
      </xdr:txBody>
    </xdr:sp>
    <xdr:clientData/>
  </xdr:twoCellAnchor>
  <xdr:twoCellAnchor>
    <xdr:from>
      <xdr:col>3</xdr:col>
      <xdr:colOff>1048099</xdr:colOff>
      <xdr:row>63</xdr:row>
      <xdr:rowOff>64197</xdr:rowOff>
    </xdr:from>
    <xdr:to>
      <xdr:col>10</xdr:col>
      <xdr:colOff>718876</xdr:colOff>
      <xdr:row>80</xdr:row>
      <xdr:rowOff>186870</xdr:rowOff>
    </xdr:to>
    <xdr:graphicFrame macro="">
      <xdr:nvGraphicFramePr>
        <xdr:cNvPr id="6" name="Chart 5">
          <a:extLst>
            <a:ext uri="{FF2B5EF4-FFF2-40B4-BE49-F238E27FC236}">
              <a16:creationId xmlns="" xmlns:a16="http://schemas.microsoft.com/office/drawing/2014/main" id="{00000000-0008-0000-08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0.05083</cdr:x>
      <cdr:y>0.04301</cdr:y>
    </cdr:from>
    <cdr:to>
      <cdr:x>0.94697</cdr:x>
      <cdr:y>0.13177</cdr:y>
    </cdr:to>
    <cdr:sp macro="" textlink="">
      <cdr:nvSpPr>
        <cdr:cNvPr id="2" name="Text Box 1"/>
        <cdr:cNvSpPr txBox="1">
          <a:spLocks xmlns:a="http://schemas.openxmlformats.org/drawingml/2006/main" noChangeArrowheads="1"/>
        </cdr:cNvSpPr>
      </cdr:nvSpPr>
      <cdr:spPr bwMode="auto">
        <a:xfrm xmlns:a="http://schemas.openxmlformats.org/drawingml/2006/main">
          <a:off x="307550" y="122470"/>
          <a:ext cx="5421988" cy="252742"/>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ctr" rtl="1">
            <a:defRPr sz="1000"/>
          </a:pPr>
          <a:r>
            <a:rPr lang="en-US" sz="1100" b="1" i="0" strike="noStrike">
              <a:solidFill>
                <a:srgbClr val="000000"/>
              </a:solidFill>
              <a:latin typeface="Candara" pitchFamily="34" charset="0"/>
              <a:cs typeface="Arial"/>
            </a:rPr>
            <a:t>Passenger Movement of International  and Domestic Flights, an Arrivals, 2010 - 2020</a:t>
          </a:r>
        </a:p>
      </cdr:txBody>
    </cdr:sp>
  </cdr:relSizeAnchor>
</c:userShapes>
</file>

<file path=xl/drawings/drawing15.xml><?xml version="1.0" encoding="utf-8"?>
<xdr:wsDr xmlns:xdr="http://schemas.openxmlformats.org/drawingml/2006/spreadsheetDrawing" xmlns:a="http://schemas.openxmlformats.org/drawingml/2006/main">
  <xdr:twoCellAnchor>
    <xdr:from>
      <xdr:col>0</xdr:col>
      <xdr:colOff>50158</xdr:colOff>
      <xdr:row>25</xdr:row>
      <xdr:rowOff>43672</xdr:rowOff>
    </xdr:from>
    <xdr:to>
      <xdr:col>8</xdr:col>
      <xdr:colOff>460375</xdr:colOff>
      <xdr:row>40</xdr:row>
      <xdr:rowOff>159042</xdr:rowOff>
    </xdr:to>
    <xdr:graphicFrame macro="">
      <xdr:nvGraphicFramePr>
        <xdr:cNvPr id="3" name="Chart 6">
          <a:extLst>
            <a:ext uri="{FF2B5EF4-FFF2-40B4-BE49-F238E27FC236}">
              <a16:creationId xmlns=""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571436</xdr:colOff>
      <xdr:row>25</xdr:row>
      <xdr:rowOff>28770</xdr:rowOff>
    </xdr:from>
    <xdr:to>
      <xdr:col>15</xdr:col>
      <xdr:colOff>523875</xdr:colOff>
      <xdr:row>40</xdr:row>
      <xdr:rowOff>172213</xdr:rowOff>
    </xdr:to>
    <xdr:graphicFrame macro="">
      <xdr:nvGraphicFramePr>
        <xdr:cNvPr id="5" name="Chart 4">
          <a:extLst>
            <a:ext uri="{FF2B5EF4-FFF2-40B4-BE49-F238E27FC236}">
              <a16:creationId xmlns=""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513732</xdr:colOff>
      <xdr:row>28</xdr:row>
      <xdr:rowOff>9676</xdr:rowOff>
    </xdr:from>
    <xdr:to>
      <xdr:col>11</xdr:col>
      <xdr:colOff>329488</xdr:colOff>
      <xdr:row>29</xdr:row>
      <xdr:rowOff>27020</xdr:rowOff>
    </xdr:to>
    <xdr:sp macro="" textlink="">
      <xdr:nvSpPr>
        <xdr:cNvPr id="6" name="TextBox 5">
          <a:extLst>
            <a:ext uri="{FF2B5EF4-FFF2-40B4-BE49-F238E27FC236}">
              <a16:creationId xmlns="" xmlns:a16="http://schemas.microsoft.com/office/drawing/2014/main" id="{00000000-0008-0000-0900-000006000000}"/>
            </a:ext>
          </a:extLst>
        </xdr:cNvPr>
        <xdr:cNvSpPr txBox="1"/>
      </xdr:nvSpPr>
      <xdr:spPr>
        <a:xfrm>
          <a:off x="6452278" y="6988196"/>
          <a:ext cx="1351419" cy="211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700" b="1">
              <a:latin typeface="+mn-lt"/>
            </a:rPr>
            <a:t>(In '000 metric tons)</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5</xdr:col>
      <xdr:colOff>31368</xdr:colOff>
      <xdr:row>37</xdr:row>
      <xdr:rowOff>16791</xdr:rowOff>
    </xdr:from>
    <xdr:to>
      <xdr:col>11</xdr:col>
      <xdr:colOff>716783</xdr:colOff>
      <xdr:row>52</xdr:row>
      <xdr:rowOff>200594</xdr:rowOff>
    </xdr:to>
    <xdr:graphicFrame macro="">
      <xdr:nvGraphicFramePr>
        <xdr:cNvPr id="2" name="Chart 4">
          <a:extLst>
            <a:ext uri="{FF2B5EF4-FFF2-40B4-BE49-F238E27FC236}">
              <a16:creationId xmlns=""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336633</xdr:colOff>
      <xdr:row>37</xdr:row>
      <xdr:rowOff>32644</xdr:rowOff>
    </xdr:from>
    <xdr:to>
      <xdr:col>4</xdr:col>
      <xdr:colOff>718868</xdr:colOff>
      <xdr:row>52</xdr:row>
      <xdr:rowOff>184469</xdr:rowOff>
    </xdr:to>
    <xdr:graphicFrame macro="">
      <xdr:nvGraphicFramePr>
        <xdr:cNvPr id="3" name="Chart 5">
          <a:extLst>
            <a:ext uri="{FF2B5EF4-FFF2-40B4-BE49-F238E27FC236}">
              <a16:creationId xmlns=""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0</xdr:col>
      <xdr:colOff>269875</xdr:colOff>
      <xdr:row>29</xdr:row>
      <xdr:rowOff>12425</xdr:rowOff>
    </xdr:from>
    <xdr:to>
      <xdr:col>7</xdr:col>
      <xdr:colOff>682625</xdr:colOff>
      <xdr:row>46</xdr:row>
      <xdr:rowOff>4989</xdr:rowOff>
    </xdr:to>
    <xdr:graphicFrame macro="">
      <xdr:nvGraphicFramePr>
        <xdr:cNvPr id="2" name="Chart 1">
          <a:extLst>
            <a:ext uri="{FF2B5EF4-FFF2-40B4-BE49-F238E27FC236}">
              <a16:creationId xmlns=""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648244</xdr:colOff>
      <xdr:row>28</xdr:row>
      <xdr:rowOff>166496</xdr:rowOff>
    </xdr:from>
    <xdr:to>
      <xdr:col>19</xdr:col>
      <xdr:colOff>238125</xdr:colOff>
      <xdr:row>45</xdr:row>
      <xdr:rowOff>160494</xdr:rowOff>
    </xdr:to>
    <xdr:graphicFrame macro="">
      <xdr:nvGraphicFramePr>
        <xdr:cNvPr id="3" name="Chart 2">
          <a:extLst>
            <a:ext uri="{FF2B5EF4-FFF2-40B4-BE49-F238E27FC236}">
              <a16:creationId xmlns="" xmlns:a16="http://schemas.microsoft.com/office/drawing/2014/main" id="{00000000-0008-0000-0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12</xdr:col>
      <xdr:colOff>739907</xdr:colOff>
      <xdr:row>29</xdr:row>
      <xdr:rowOff>157873</xdr:rowOff>
    </xdr:from>
    <xdr:ext cx="2394595" cy="257506"/>
    <xdr:sp macro="" textlink="">
      <xdr:nvSpPr>
        <xdr:cNvPr id="4" name="TextBox 3">
          <a:extLst>
            <a:ext uri="{FF2B5EF4-FFF2-40B4-BE49-F238E27FC236}">
              <a16:creationId xmlns="" xmlns:a16="http://schemas.microsoft.com/office/drawing/2014/main" id="{00000000-0008-0000-0B00-000004000000}"/>
            </a:ext>
          </a:extLst>
        </xdr:cNvPr>
        <xdr:cNvSpPr txBox="1"/>
      </xdr:nvSpPr>
      <xdr:spPr>
        <a:xfrm>
          <a:off x="12606470" y="7003967"/>
          <a:ext cx="2394595" cy="257506"/>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b="1">
              <a:latin typeface="Consolas" pitchFamily="49" charset="0"/>
              <a:cs typeface="Consolas" pitchFamily="49" charset="0"/>
            </a:rPr>
            <a:t>Domestic Claims,</a:t>
          </a:r>
          <a:r>
            <a:rPr lang="en-US" sz="1100" b="1" baseline="0">
              <a:latin typeface="Consolas" pitchFamily="49" charset="0"/>
              <a:cs typeface="Consolas" pitchFamily="49" charset="0"/>
            </a:rPr>
            <a:t> 2008 - 2020</a:t>
          </a:r>
          <a:endParaRPr lang="en-US" sz="1100" b="1">
            <a:latin typeface="Consolas" pitchFamily="49" charset="0"/>
            <a:cs typeface="Consolas" pitchFamily="49" charset="0"/>
          </a:endParaRPr>
        </a:p>
      </xdr:txBody>
    </xdr:sp>
    <xdr:clientData/>
  </xdr:oneCellAnchor>
</xdr:wsDr>
</file>

<file path=xl/drawings/drawing18.xml><?xml version="1.0" encoding="utf-8"?>
<c:userShapes xmlns:c="http://schemas.openxmlformats.org/drawingml/2006/chart">
  <cdr:relSizeAnchor xmlns:cdr="http://schemas.openxmlformats.org/drawingml/2006/chartDrawing">
    <cdr:from>
      <cdr:x>0.48726</cdr:x>
      <cdr:y>0.094</cdr:y>
    </cdr:from>
    <cdr:to>
      <cdr:x>0.68643</cdr:x>
      <cdr:y>0.4247</cdr:y>
    </cdr:to>
    <cdr:sp macro="" textlink="">
      <cdr:nvSpPr>
        <cdr:cNvPr id="2" name="TextBox 1"/>
        <cdr:cNvSpPr txBox="1"/>
      </cdr:nvSpPr>
      <cdr:spPr>
        <a:xfrm xmlns:a="http://schemas.openxmlformats.org/drawingml/2006/main">
          <a:off x="2237014" y="259896"/>
          <a:ext cx="914400" cy="914400"/>
        </a:xfrm>
        <a:prstGeom xmlns:a="http://schemas.openxmlformats.org/drawingml/2006/main" prst="rect">
          <a:avLst/>
        </a:prstGeom>
      </cdr:spPr>
      <cdr:txBody>
        <a:bodyPr xmlns:a="http://schemas.openxmlformats.org/drawingml/2006/main" wrap="none" rtlCol="0"/>
        <a:lstStyle xmlns:a="http://schemas.openxmlformats.org/drawingml/2006/main"/>
        <a:p xmlns:a="http://schemas.openxmlformats.org/drawingml/2006/main">
          <a:endParaRPr lang="en-US"/>
        </a:p>
      </cdr:txBody>
    </cdr:sp>
  </cdr:relSizeAnchor>
  <cdr:relSizeAnchor xmlns:cdr="http://schemas.openxmlformats.org/drawingml/2006/chartDrawing">
    <cdr:from>
      <cdr:x>0.34579</cdr:x>
      <cdr:y>0.03875</cdr:y>
    </cdr:from>
    <cdr:to>
      <cdr:x>0.73343</cdr:x>
      <cdr:y>0.13175</cdr:y>
    </cdr:to>
    <cdr:sp macro="" textlink="">
      <cdr:nvSpPr>
        <cdr:cNvPr id="3" name="TextBox 2"/>
        <cdr:cNvSpPr txBox="1"/>
      </cdr:nvSpPr>
      <cdr:spPr>
        <a:xfrm xmlns:a="http://schemas.openxmlformats.org/drawingml/2006/main">
          <a:off x="2588834" y="127765"/>
          <a:ext cx="2902074" cy="306635"/>
        </a:xfrm>
        <a:prstGeom xmlns:a="http://schemas.openxmlformats.org/drawingml/2006/main" prst="rect">
          <a:avLst/>
        </a:prstGeom>
      </cdr:spPr>
      <cdr:txBody>
        <a:bodyPr xmlns:a="http://schemas.openxmlformats.org/drawingml/2006/main" wrap="none" rtlCol="0"/>
        <a:lstStyle xmlns:a="http://schemas.openxmlformats.org/drawingml/2006/main"/>
        <a:p xmlns:a="http://schemas.openxmlformats.org/drawingml/2006/main">
          <a:r>
            <a:rPr lang="en-US" sz="1200" b="1">
              <a:latin typeface="Consolas" pitchFamily="49" charset="0"/>
              <a:cs typeface="Consolas" pitchFamily="49" charset="0"/>
            </a:rPr>
            <a:t>Net</a:t>
          </a:r>
          <a:r>
            <a:rPr lang="en-US" sz="1200" b="1" baseline="0">
              <a:latin typeface="Consolas" pitchFamily="49" charset="0"/>
              <a:cs typeface="Consolas" pitchFamily="49" charset="0"/>
            </a:rPr>
            <a:t> Foreign Assets, 2008 - 2020</a:t>
          </a:r>
          <a:endParaRPr lang="en-US" sz="1200" b="1">
            <a:latin typeface="Consolas" pitchFamily="49" charset="0"/>
            <a:cs typeface="Consolas" pitchFamily="49" charset="0"/>
          </a:endParaRPr>
        </a:p>
      </cdr:txBody>
    </cdr:sp>
  </cdr:relSizeAnchor>
</c:userShapes>
</file>

<file path=xl/drawings/drawing19.xml><?xml version="1.0" encoding="utf-8"?>
<xdr:wsDr xmlns:xdr="http://schemas.openxmlformats.org/drawingml/2006/spreadsheetDrawing" xmlns:a="http://schemas.openxmlformats.org/drawingml/2006/main">
  <xdr:twoCellAnchor editAs="oneCell">
    <xdr:from>
      <xdr:col>0</xdr:col>
      <xdr:colOff>1504950</xdr:colOff>
      <xdr:row>74</xdr:row>
      <xdr:rowOff>0</xdr:rowOff>
    </xdr:from>
    <xdr:to>
      <xdr:col>1</xdr:col>
      <xdr:colOff>26266</xdr:colOff>
      <xdr:row>74</xdr:row>
      <xdr:rowOff>28575</xdr:rowOff>
    </xdr:to>
    <xdr:sp macro="" textlink="">
      <xdr:nvSpPr>
        <xdr:cNvPr id="2" name="Text Box 5">
          <a:extLst>
            <a:ext uri="{FF2B5EF4-FFF2-40B4-BE49-F238E27FC236}">
              <a16:creationId xmlns="" xmlns:a16="http://schemas.microsoft.com/office/drawing/2014/main" id="{00000000-0008-0000-0C00-000002000000}"/>
            </a:ext>
          </a:extLst>
        </xdr:cNvPr>
        <xdr:cNvSpPr txBox="1">
          <a:spLocks noChangeArrowheads="1"/>
        </xdr:cNvSpPr>
      </xdr:nvSpPr>
      <xdr:spPr bwMode="auto">
        <a:xfrm>
          <a:off x="1504950" y="13230225"/>
          <a:ext cx="1635991"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190500</xdr:colOff>
      <xdr:row>38</xdr:row>
      <xdr:rowOff>47625</xdr:rowOff>
    </xdr:from>
    <xdr:to>
      <xdr:col>3</xdr:col>
      <xdr:colOff>57977</xdr:colOff>
      <xdr:row>38</xdr:row>
      <xdr:rowOff>48768</xdr:rowOff>
    </xdr:to>
    <xdr:sp macro="" textlink="">
      <xdr:nvSpPr>
        <xdr:cNvPr id="3" name="Text Box 6">
          <a:extLst>
            <a:ext uri="{FF2B5EF4-FFF2-40B4-BE49-F238E27FC236}">
              <a16:creationId xmlns="" xmlns:a16="http://schemas.microsoft.com/office/drawing/2014/main" id="{00000000-0008-0000-0C00-000003000000}"/>
            </a:ext>
          </a:extLst>
        </xdr:cNvPr>
        <xdr:cNvSpPr txBox="1">
          <a:spLocks noChangeArrowheads="1"/>
        </xdr:cNvSpPr>
      </xdr:nvSpPr>
      <xdr:spPr bwMode="auto">
        <a:xfrm>
          <a:off x="190500" y="7448550"/>
          <a:ext cx="4855163" cy="1143"/>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000000"/>
              </a:solidFill>
              <a:latin typeface="Arial"/>
              <a:cs typeface="Arial"/>
            </a:rPr>
            <a:t>                                Total Imports and Exports, 1995 - 2006</a:t>
          </a:r>
        </a:p>
      </xdr:txBody>
    </xdr:sp>
    <xdr:clientData/>
  </xdr:twoCellAnchor>
  <xdr:twoCellAnchor editAs="oneCell">
    <xdr:from>
      <xdr:col>0</xdr:col>
      <xdr:colOff>1504950</xdr:colOff>
      <xdr:row>74</xdr:row>
      <xdr:rowOff>0</xdr:rowOff>
    </xdr:from>
    <xdr:to>
      <xdr:col>1</xdr:col>
      <xdr:colOff>26266</xdr:colOff>
      <xdr:row>74</xdr:row>
      <xdr:rowOff>28575</xdr:rowOff>
    </xdr:to>
    <xdr:sp macro="" textlink="">
      <xdr:nvSpPr>
        <xdr:cNvPr id="4" name="Text Box 5">
          <a:extLst>
            <a:ext uri="{FF2B5EF4-FFF2-40B4-BE49-F238E27FC236}">
              <a16:creationId xmlns="" xmlns:a16="http://schemas.microsoft.com/office/drawing/2014/main" id="{00000000-0008-0000-0C00-000004000000}"/>
            </a:ext>
          </a:extLst>
        </xdr:cNvPr>
        <xdr:cNvSpPr txBox="1">
          <a:spLocks noChangeArrowheads="1"/>
        </xdr:cNvSpPr>
      </xdr:nvSpPr>
      <xdr:spPr bwMode="auto">
        <a:xfrm>
          <a:off x="1504950" y="13230225"/>
          <a:ext cx="1635991"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1917951</xdr:colOff>
      <xdr:row>38</xdr:row>
      <xdr:rowOff>120966</xdr:rowOff>
    </xdr:from>
    <xdr:to>
      <xdr:col>9</xdr:col>
      <xdr:colOff>620024</xdr:colOff>
      <xdr:row>54</xdr:row>
      <xdr:rowOff>26957</xdr:rowOff>
    </xdr:to>
    <xdr:graphicFrame macro="">
      <xdr:nvGraphicFramePr>
        <xdr:cNvPr id="6" name="Chart 5">
          <a:extLst>
            <a:ext uri="{FF2B5EF4-FFF2-40B4-BE49-F238E27FC236}">
              <a16:creationId xmlns="" xmlns:a16="http://schemas.microsoft.com/office/drawing/2014/main" id="{00000000-0008-0000-0C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4</xdr:col>
      <xdr:colOff>89296</xdr:colOff>
      <xdr:row>15</xdr:row>
      <xdr:rowOff>90715</xdr:rowOff>
    </xdr:from>
    <xdr:to>
      <xdr:col>11</xdr:col>
      <xdr:colOff>674688</xdr:colOff>
      <xdr:row>32</xdr:row>
      <xdr:rowOff>147411</xdr:rowOff>
    </xdr:to>
    <xdr:graphicFrame macro="">
      <xdr:nvGraphicFramePr>
        <xdr:cNvPr id="2" name="Chart 2">
          <a:extLst>
            <a:ext uri="{FF2B5EF4-FFF2-40B4-BE49-F238E27FC236}">
              <a16:creationId xmlns=""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126150</xdr:colOff>
      <xdr:row>15</xdr:row>
      <xdr:rowOff>106759</xdr:rowOff>
    </xdr:from>
    <xdr:to>
      <xdr:col>3</xdr:col>
      <xdr:colOff>674688</xdr:colOff>
      <xdr:row>32</xdr:row>
      <xdr:rowOff>125809</xdr:rowOff>
    </xdr:to>
    <xdr:graphicFrame macro="">
      <xdr:nvGraphicFramePr>
        <xdr:cNvPr id="3" name="Chart 3">
          <a:extLst>
            <a:ext uri="{FF2B5EF4-FFF2-40B4-BE49-F238E27FC236}">
              <a16:creationId xmlns="" xmlns:a16="http://schemas.microsoft.com/office/drawing/2014/main" id="{00000000-0008-0000-0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c:userShapes xmlns:c="http://schemas.openxmlformats.org/drawingml/2006/chart">
  <cdr:relSizeAnchor xmlns:cdr="http://schemas.openxmlformats.org/drawingml/2006/chartDrawing">
    <cdr:from>
      <cdr:x>0.18782</cdr:x>
      <cdr:y>0.08235</cdr:y>
    </cdr:from>
    <cdr:to>
      <cdr:x>0.83883</cdr:x>
      <cdr:y>0.21681</cdr:y>
    </cdr:to>
    <cdr:sp macro="" textlink="">
      <cdr:nvSpPr>
        <cdr:cNvPr id="2" name="TextBox 1"/>
        <cdr:cNvSpPr txBox="1"/>
      </cdr:nvSpPr>
      <cdr:spPr>
        <a:xfrm xmlns:a="http://schemas.openxmlformats.org/drawingml/2006/main">
          <a:off x="1127760" y="186690"/>
          <a:ext cx="3909060"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0.22913</cdr:x>
      <cdr:y>0.03198</cdr:y>
    </cdr:from>
    <cdr:to>
      <cdr:x>0.81804</cdr:x>
      <cdr:y>0.13295</cdr:y>
    </cdr:to>
    <cdr:sp macro="" textlink="">
      <cdr:nvSpPr>
        <cdr:cNvPr id="3" name="TextBox 2"/>
        <cdr:cNvSpPr txBox="1"/>
      </cdr:nvSpPr>
      <cdr:spPr>
        <a:xfrm xmlns:a="http://schemas.openxmlformats.org/drawingml/2006/main">
          <a:off x="1279924" y="104302"/>
          <a:ext cx="3289662" cy="32930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latin typeface="Candara" pitchFamily="34" charset="0"/>
            </a:rPr>
            <a:t>GDP per capita (at current price),  2010 - 2020</a:t>
          </a:r>
        </a:p>
      </cdr:txBody>
    </cdr:sp>
  </cdr:relSizeAnchor>
</c:userShapes>
</file>

<file path=xl/drawings/drawing22.xml><?xml version="1.0" encoding="utf-8"?>
<xdr:wsDr xmlns:xdr="http://schemas.openxmlformats.org/drawingml/2006/spreadsheetDrawing" xmlns:a="http://schemas.openxmlformats.org/drawingml/2006/main">
  <xdr:twoCellAnchor>
    <xdr:from>
      <xdr:col>0</xdr:col>
      <xdr:colOff>1583530</xdr:colOff>
      <xdr:row>11</xdr:row>
      <xdr:rowOff>64559</xdr:rowOff>
    </xdr:from>
    <xdr:to>
      <xdr:col>8</xdr:col>
      <xdr:colOff>559592</xdr:colOff>
      <xdr:row>32</xdr:row>
      <xdr:rowOff>142875</xdr:rowOff>
    </xdr:to>
    <xdr:graphicFrame macro="">
      <xdr:nvGraphicFramePr>
        <xdr:cNvPr id="3" name="Chart 5">
          <a:extLst>
            <a:ext uri="{FF2B5EF4-FFF2-40B4-BE49-F238E27FC236}">
              <a16:creationId xmlns=""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0</xdr:col>
      <xdr:colOff>229559</xdr:colOff>
      <xdr:row>16</xdr:row>
      <xdr:rowOff>2283</xdr:rowOff>
    </xdr:from>
    <xdr:to>
      <xdr:col>7</xdr:col>
      <xdr:colOff>107541</xdr:colOff>
      <xdr:row>36</xdr:row>
      <xdr:rowOff>63500</xdr:rowOff>
    </xdr:to>
    <xdr:graphicFrame macro="">
      <xdr:nvGraphicFramePr>
        <xdr:cNvPr id="2" name="Chart 1">
          <a:extLst>
            <a:ext uri="{FF2B5EF4-FFF2-40B4-BE49-F238E27FC236}">
              <a16:creationId xmlns=""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522235</xdr:colOff>
      <xdr:row>15</xdr:row>
      <xdr:rowOff>130585</xdr:rowOff>
    </xdr:from>
    <xdr:to>
      <xdr:col>12</xdr:col>
      <xdr:colOff>539750</xdr:colOff>
      <xdr:row>36</xdr:row>
      <xdr:rowOff>15875</xdr:rowOff>
    </xdr:to>
    <xdr:graphicFrame macro="">
      <xdr:nvGraphicFramePr>
        <xdr:cNvPr id="4" name="Chart 3">
          <a:extLst>
            <a:ext uri="{FF2B5EF4-FFF2-40B4-BE49-F238E27FC236}">
              <a16:creationId xmlns=""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230621</xdr:colOff>
      <xdr:row>37</xdr:row>
      <xdr:rowOff>18490</xdr:rowOff>
    </xdr:from>
    <xdr:to>
      <xdr:col>9</xdr:col>
      <xdr:colOff>238124</xdr:colOff>
      <xdr:row>59</xdr:row>
      <xdr:rowOff>79375</xdr:rowOff>
    </xdr:to>
    <xdr:graphicFrame macro="">
      <xdr:nvGraphicFramePr>
        <xdr:cNvPr id="9" name="Chart 8">
          <a:extLst>
            <a:ext uri="{FF2B5EF4-FFF2-40B4-BE49-F238E27FC236}">
              <a16:creationId xmlns="" xmlns:a16="http://schemas.microsoft.com/office/drawing/2014/main" id="{00000000-0008-0000-0F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0</xdr:col>
      <xdr:colOff>953984</xdr:colOff>
      <xdr:row>43</xdr:row>
      <xdr:rowOff>9419</xdr:rowOff>
    </xdr:from>
    <xdr:to>
      <xdr:col>9</xdr:col>
      <xdr:colOff>746125</xdr:colOff>
      <xdr:row>58</xdr:row>
      <xdr:rowOff>158749</xdr:rowOff>
    </xdr:to>
    <xdr:graphicFrame macro="">
      <xdr:nvGraphicFramePr>
        <xdr:cNvPr id="2" name="Chart 1">
          <a:extLst>
            <a:ext uri="{FF2B5EF4-FFF2-40B4-BE49-F238E27FC236}">
              <a16:creationId xmlns=""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1509443</xdr:colOff>
      <xdr:row>44</xdr:row>
      <xdr:rowOff>122419</xdr:rowOff>
    </xdr:from>
    <xdr:to>
      <xdr:col>0</xdr:col>
      <xdr:colOff>2099580</xdr:colOff>
      <xdr:row>45</xdr:row>
      <xdr:rowOff>112386</xdr:rowOff>
    </xdr:to>
    <xdr:sp macro="" textlink="">
      <xdr:nvSpPr>
        <xdr:cNvPr id="4" name="TextBox 3">
          <a:extLst>
            <a:ext uri="{FF2B5EF4-FFF2-40B4-BE49-F238E27FC236}">
              <a16:creationId xmlns="" xmlns:a16="http://schemas.microsoft.com/office/drawing/2014/main" id="{00000000-0008-0000-1100-000004000000}"/>
            </a:ext>
          </a:extLst>
        </xdr:cNvPr>
        <xdr:cNvSpPr txBox="1"/>
      </xdr:nvSpPr>
      <xdr:spPr>
        <a:xfrm>
          <a:off x="1509443" y="10395080"/>
          <a:ext cx="590137" cy="1845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900"/>
            <a:t>in MVR</a:t>
          </a:r>
        </a:p>
      </xdr:txBody>
    </xdr:sp>
    <xdr:clientData/>
  </xdr:twoCellAnchor>
</xdr:wsDr>
</file>

<file path=xl/drawings/drawing25.xml><?xml version="1.0" encoding="utf-8"?>
<c:userShapes xmlns:c="http://schemas.openxmlformats.org/drawingml/2006/chart">
  <cdr:relSizeAnchor xmlns:cdr="http://schemas.openxmlformats.org/drawingml/2006/chartDrawing">
    <cdr:from>
      <cdr:x>0.09937</cdr:x>
      <cdr:y>0.0819</cdr:y>
    </cdr:from>
    <cdr:to>
      <cdr:x>0.97234</cdr:x>
      <cdr:y>0.13109</cdr:y>
    </cdr:to>
    <cdr:sp macro="" textlink="">
      <cdr:nvSpPr>
        <cdr:cNvPr id="2" name="TextBox 1"/>
        <cdr:cNvSpPr txBox="1"/>
      </cdr:nvSpPr>
      <cdr:spPr>
        <a:xfrm xmlns:a="http://schemas.openxmlformats.org/drawingml/2006/main">
          <a:off x="543091" y="267375"/>
          <a:ext cx="4771081" cy="160603"/>
        </a:xfrm>
        <a:prstGeom xmlns:a="http://schemas.openxmlformats.org/drawingml/2006/main" prst="rect">
          <a:avLst/>
        </a:prstGeom>
      </cdr:spPr>
      <cdr:txBody>
        <a:bodyPr xmlns:a="http://schemas.openxmlformats.org/drawingml/2006/main" wrap="none" rtlCol="0"/>
        <a:lstStyle xmlns:a="http://schemas.openxmlformats.org/drawingml/2006/main"/>
        <a:p xmlns:a="http://schemas.openxmlformats.org/drawingml/2006/main">
          <a:endParaRPr lang="en-US"/>
        </a:p>
      </cdr:txBody>
    </cdr:sp>
  </cdr:relSizeAnchor>
  <cdr:relSizeAnchor xmlns:cdr="http://schemas.openxmlformats.org/drawingml/2006/chartDrawing">
    <cdr:from>
      <cdr:x>0.25577</cdr:x>
      <cdr:y>0.07017</cdr:y>
    </cdr:from>
    <cdr:to>
      <cdr:x>0.82376</cdr:x>
      <cdr:y>0.18808</cdr:y>
    </cdr:to>
    <cdr:sp macro="" textlink="">
      <cdr:nvSpPr>
        <cdr:cNvPr id="3" name="TextBox 2"/>
        <cdr:cNvSpPr txBox="1"/>
      </cdr:nvSpPr>
      <cdr:spPr>
        <a:xfrm xmlns:a="http://schemas.openxmlformats.org/drawingml/2006/main">
          <a:off x="2479935" y="213873"/>
          <a:ext cx="5507291" cy="359366"/>
        </a:xfrm>
        <a:prstGeom xmlns:a="http://schemas.openxmlformats.org/drawingml/2006/main" prst="rect">
          <a:avLst/>
        </a:prstGeom>
      </cdr:spPr>
      <cdr:txBody>
        <a:bodyPr xmlns:a="http://schemas.openxmlformats.org/drawingml/2006/main" wrap="none" rtlCol="0"/>
        <a:lstStyle xmlns:a="http://schemas.openxmlformats.org/drawingml/2006/main"/>
        <a:p xmlns:a="http://schemas.openxmlformats.org/drawingml/2006/main">
          <a:pPr algn="ctr"/>
          <a:r>
            <a:rPr lang="en-US" sz="1050" b="1"/>
            <a:t>Government Expenditure on Health Insurance</a:t>
          </a:r>
          <a:r>
            <a:rPr lang="en-US" sz="1050" b="1" baseline="0"/>
            <a:t> </a:t>
          </a:r>
          <a:r>
            <a:rPr lang="en-US" sz="1000" b="1" baseline="0"/>
            <a:t>schemes</a:t>
          </a:r>
          <a:r>
            <a:rPr lang="en-US" sz="1050" b="1" baseline="0"/>
            <a:t>, 2011 - 2020</a:t>
          </a:r>
          <a:endParaRPr lang="en-US" sz="1050" b="1"/>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G:\April%202021\YEARBOOK%202021_%20Work%20from%20Home\CHECKING\FINAL%20TABLES\3.%20POPULATIO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01\ST4\Dissemination\Publications\Statistical%20Year%20Book\YEARBOOK%202017\RECEIVED\16.%20NATIONAL%20ACCOUNT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X:\Dissemination\Publications\Statistical%20Year%20Book\YEARBOOK%202019\Indicators%20%2020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1"/>
      <sheetName val="3.2"/>
      <sheetName val="3.3"/>
      <sheetName val="3.4"/>
      <sheetName val="3.5"/>
      <sheetName val="3.6"/>
      <sheetName val="3.7"/>
      <sheetName val="3.8"/>
      <sheetName val="3.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5">
          <cell r="AR5" t="str">
            <v>Residential Maldivian 2021</v>
          </cell>
          <cell r="AT5" t="str">
            <v>Resident Foreigners 2021</v>
          </cell>
        </row>
        <row r="6">
          <cell r="AR6" t="str">
            <v>Male</v>
          </cell>
          <cell r="AS6" t="str">
            <v>Female</v>
          </cell>
          <cell r="AT6" t="str">
            <v>Male</v>
          </cell>
          <cell r="AU6" t="str">
            <v>Female</v>
          </cell>
        </row>
        <row r="7">
          <cell r="AQ7" t="str">
            <v xml:space="preserve">  0-4</v>
          </cell>
          <cell r="AR7">
            <v>-19653.598842581639</v>
          </cell>
          <cell r="AS7">
            <v>18119.598842581639</v>
          </cell>
          <cell r="AT7">
            <v>-924.62485060178403</v>
          </cell>
          <cell r="AU7">
            <v>654.98575209927196</v>
          </cell>
        </row>
        <row r="8">
          <cell r="AQ8" t="str">
            <v xml:space="preserve">  5-9</v>
          </cell>
          <cell r="AR8">
            <v>-18841.998070969399</v>
          </cell>
          <cell r="AS8">
            <v>17149.19961419388</v>
          </cell>
          <cell r="AT8">
            <v>-535.94486156285018</v>
          </cell>
          <cell r="AU8">
            <v>309.81212223682661</v>
          </cell>
        </row>
        <row r="9">
          <cell r="AQ9" t="str">
            <v xml:space="preserve"> 10-14</v>
          </cell>
          <cell r="AR9">
            <v>-18038.798456775519</v>
          </cell>
          <cell r="AS9">
            <v>16835.798456775519</v>
          </cell>
          <cell r="AT9">
            <v>-305.2043868336043</v>
          </cell>
          <cell r="AU9">
            <v>155.96692405774849</v>
          </cell>
        </row>
        <row r="10">
          <cell r="AQ10" t="str">
            <v xml:space="preserve"> 15-19</v>
          </cell>
          <cell r="AR10">
            <v>-14567.301771869137</v>
          </cell>
          <cell r="AS10">
            <v>13002.585339367435</v>
          </cell>
          <cell r="AT10">
            <v>-3100.1227821051284</v>
          </cell>
          <cell r="AU10">
            <v>268.33220420315592</v>
          </cell>
        </row>
        <row r="11">
          <cell r="AQ11" t="str">
            <v xml:space="preserve"> 20-24</v>
          </cell>
          <cell r="AR11">
            <v>-18968.469354691664</v>
          </cell>
          <cell r="AS11">
            <v>14472.938271020779</v>
          </cell>
          <cell r="AT11">
            <v>-29780.297952413581</v>
          </cell>
          <cell r="AU11">
            <v>1768.5689157368517</v>
          </cell>
        </row>
        <row r="12">
          <cell r="AQ12" t="str">
            <v xml:space="preserve"> 25-29</v>
          </cell>
          <cell r="AR12">
            <v>-18763.424062945836</v>
          </cell>
          <cell r="AS12">
            <v>16741.965277449188</v>
          </cell>
          <cell r="AT12">
            <v>-48510.091112514026</v>
          </cell>
          <cell r="AU12">
            <v>4339.558146995103</v>
          </cell>
        </row>
        <row r="13">
          <cell r="AQ13" t="str">
            <v xml:space="preserve"> 30-34</v>
          </cell>
          <cell r="AR13">
            <v>-18318.569745229473</v>
          </cell>
          <cell r="AS13">
            <v>18679.783024530716</v>
          </cell>
          <cell r="AT13">
            <v>-34027.79818339811</v>
          </cell>
          <cell r="AU13">
            <v>3471.6305780861421</v>
          </cell>
        </row>
        <row r="14">
          <cell r="AQ14" t="str">
            <v xml:space="preserve"> 35-39</v>
          </cell>
          <cell r="AR14">
            <v>-16462.283405605143</v>
          </cell>
          <cell r="AS14">
            <v>17785.792669683717</v>
          </cell>
          <cell r="AT14">
            <v>-21799.928284217396</v>
          </cell>
          <cell r="AU14">
            <v>2312.4214527738513</v>
          </cell>
        </row>
        <row r="15">
          <cell r="AQ15" t="str">
            <v xml:space="preserve"> 40-44</v>
          </cell>
          <cell r="AR15">
            <v>-12015.414579685988</v>
          </cell>
          <cell r="AS15">
            <v>12639.794598714318</v>
          </cell>
          <cell r="AT15">
            <v>-13567.541561269449</v>
          </cell>
          <cell r="AU15">
            <v>1309.8935777055044</v>
          </cell>
        </row>
        <row r="16">
          <cell r="AQ16" t="str">
            <v xml:space="preserve"> 45-49</v>
          </cell>
          <cell r="AR16">
            <v>-9913.5476827974326</v>
          </cell>
          <cell r="AS16">
            <v>10450.798456775519</v>
          </cell>
          <cell r="AT16">
            <v>-7747.5254765161826</v>
          </cell>
          <cell r="AU16">
            <v>858.60295559410304</v>
          </cell>
        </row>
        <row r="17">
          <cell r="AQ17" t="str">
            <v xml:space="preserve"> 50-54</v>
          </cell>
          <cell r="AR17">
            <v>-8630.4310169193814</v>
          </cell>
          <cell r="AS17">
            <v>9081.9961419387982</v>
          </cell>
          <cell r="AT17">
            <v>-3662.8756573793116</v>
          </cell>
          <cell r="AU17">
            <v>463.46250418330567</v>
          </cell>
        </row>
        <row r="18">
          <cell r="AQ18" t="str">
            <v xml:space="preserve"> 55-59</v>
          </cell>
          <cell r="AR18">
            <v>-7230.5178232964117</v>
          </cell>
          <cell r="AS18">
            <v>7641.5988425816395</v>
          </cell>
          <cell r="AT18">
            <v>-1443.6715329831309</v>
          </cell>
          <cell r="AU18">
            <v>261.84364295316544</v>
          </cell>
        </row>
        <row r="19">
          <cell r="AQ19" t="str">
            <v xml:space="preserve"> 60-64</v>
          </cell>
          <cell r="AR19">
            <v>-6318.5621910002274</v>
          </cell>
          <cell r="AS19">
            <v>6273.5988425816395</v>
          </cell>
          <cell r="AT19">
            <v>-540.45333359704068</v>
          </cell>
          <cell r="AU19">
            <v>114.33115303799846</v>
          </cell>
        </row>
        <row r="20">
          <cell r="AQ20" t="str">
            <v xml:space="preserve"> 65-69</v>
          </cell>
          <cell r="AR20">
            <v>-3549.3837961429545</v>
          </cell>
          <cell r="AS20">
            <v>3357</v>
          </cell>
          <cell r="AT20">
            <v>-192.69663871311454</v>
          </cell>
          <cell r="AU20">
            <v>41.570832275550352</v>
          </cell>
        </row>
        <row r="21">
          <cell r="AQ21" t="str">
            <v xml:space="preserve"> 70-74</v>
          </cell>
          <cell r="AR21">
            <v>-2179.794598714318</v>
          </cell>
          <cell r="AS21">
            <v>2222.1996141938798</v>
          </cell>
          <cell r="AT21">
            <v>-91.77459872710034</v>
          </cell>
          <cell r="AU21">
            <v>12.464106420803137</v>
          </cell>
        </row>
        <row r="22">
          <cell r="AQ22" t="str">
            <v xml:space="preserve"> 75+</v>
          </cell>
          <cell r="AR22">
            <v>-3981.9980709693991</v>
          </cell>
          <cell r="AS22">
            <v>3807.1996141938798</v>
          </cell>
          <cell r="AT22">
            <v>-85.642366765005363</v>
          </cell>
          <cell r="AU22">
            <v>6.2417940220315256</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6.1"/>
      <sheetName val="16.2"/>
      <sheetName val="16.3"/>
      <sheetName val="16.4"/>
      <sheetName val="16.5"/>
      <sheetName val="16.6"/>
      <sheetName val="16.7"/>
      <sheetName val="fig16.1 &amp; fig 16.2"/>
      <sheetName val="Fig 16.3"/>
    </sheetNames>
    <sheetDataSet>
      <sheetData sheetId="0" refreshError="1"/>
      <sheetData sheetId="1" refreshError="1"/>
      <sheetData sheetId="2" refreshError="1"/>
      <sheetData sheetId="3" refreshError="1">
        <row r="10">
          <cell r="C10">
            <v>13467.149516446438</v>
          </cell>
          <cell r="J10">
            <v>33128.653547666749</v>
          </cell>
          <cell r="K10">
            <v>40511.084367119765</v>
          </cell>
        </row>
      </sheetData>
      <sheetData sheetId="4" refreshError="1"/>
      <sheetData sheetId="5" refreshError="1"/>
      <sheetData sheetId="6" refreshError="1"/>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Geo"/>
      <sheetName val="2 Popu"/>
      <sheetName val="3 Emp"/>
      <sheetName val="4 Health"/>
      <sheetName val="5 Edu"/>
      <sheetName val="Law &amp; Ord"/>
      <sheetName val="Fisher"/>
      <sheetName val="Touri"/>
      <sheetName val="11Transp"/>
      <sheetName val="Elect"/>
      <sheetName val="Finance"/>
      <sheetName val="Money &amp; banking"/>
      <sheetName val="Foerign trade &amp; BOP"/>
      <sheetName val="Annual nationa accounts"/>
      <sheetName val="Prices "/>
      <sheetName val="Political parties &amp; Elections"/>
      <sheetName val="poverty"/>
      <sheetName val="Social Protection _Final"/>
    </sheetNames>
    <sheetDataSet>
      <sheetData sheetId="0"/>
      <sheetData sheetId="1"/>
      <sheetData sheetId="2"/>
      <sheetData sheetId="3"/>
      <sheetData sheetId="4"/>
      <sheetData sheetId="5"/>
      <sheetData sheetId="6"/>
      <sheetData sheetId="7"/>
      <sheetData sheetId="8"/>
      <sheetData sheetId="9"/>
      <sheetData sheetId="10">
        <row r="3">
          <cell r="N3">
            <v>2006</v>
          </cell>
        </row>
      </sheetData>
      <sheetData sheetId="11"/>
      <sheetData sheetId="12">
        <row r="85">
          <cell r="Q85">
            <v>0</v>
          </cell>
        </row>
        <row r="86">
          <cell r="D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Z86">
            <v>0</v>
          </cell>
        </row>
        <row r="87">
          <cell r="D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Z87">
            <v>0</v>
          </cell>
        </row>
        <row r="88">
          <cell r="D88">
            <v>0</v>
          </cell>
          <cell r="I88">
            <v>0</v>
          </cell>
          <cell r="J88">
            <v>0</v>
          </cell>
          <cell r="K88">
            <v>0</v>
          </cell>
          <cell r="L88">
            <v>0</v>
          </cell>
          <cell r="M88">
            <v>0</v>
          </cell>
          <cell r="N88">
            <v>0</v>
          </cell>
          <cell r="O88">
            <v>0</v>
          </cell>
          <cell r="P88">
            <v>0</v>
          </cell>
          <cell r="Q88">
            <v>0</v>
          </cell>
          <cell r="R88">
            <v>0</v>
          </cell>
          <cell r="S88">
            <v>0</v>
          </cell>
          <cell r="T88">
            <v>0</v>
          </cell>
          <cell r="U88">
            <v>0</v>
          </cell>
          <cell r="W88">
            <v>0</v>
          </cell>
          <cell r="X88">
            <v>0</v>
          </cell>
          <cell r="Y88">
            <v>0</v>
          </cell>
          <cell r="Z88">
            <v>0</v>
          </cell>
          <cell r="AA88">
            <v>0</v>
          </cell>
        </row>
      </sheetData>
      <sheetData sheetId="13">
        <row r="4">
          <cell r="K4">
            <v>2003</v>
          </cell>
        </row>
      </sheetData>
      <sheetData sheetId="14"/>
      <sheetData sheetId="15">
        <row r="4">
          <cell r="A4" t="str">
            <v>Money given by the Government to the Political Parties (MVR)</v>
          </cell>
        </row>
      </sheetData>
      <sheetData sheetId="16"/>
      <sheetData sheetId="1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Y73"/>
  <sheetViews>
    <sheetView view="pageBreakPreview" zoomScale="106" zoomScaleNormal="91" zoomScaleSheetLayoutView="106" workbookViewId="0">
      <selection activeCell="S13" sqref="S13"/>
    </sheetView>
  </sheetViews>
  <sheetFormatPr defaultColWidth="9.140625" defaultRowHeight="15"/>
  <cols>
    <col min="1" max="1" width="9.140625" style="80"/>
    <col min="2" max="2" width="32.7109375" style="80" customWidth="1"/>
    <col min="3" max="3" width="9" style="80" customWidth="1"/>
    <col min="4" max="4" width="0.140625" style="80" customWidth="1"/>
    <col min="5" max="5" width="12.140625" style="80" hidden="1" customWidth="1"/>
    <col min="6" max="9" width="7.5703125" style="80" hidden="1" customWidth="1"/>
    <col min="10" max="10" width="11.28515625" style="80" hidden="1" customWidth="1"/>
    <col min="11" max="14" width="10" style="80" hidden="1" customWidth="1"/>
    <col min="15" max="25" width="11.5703125" style="80" customWidth="1"/>
    <col min="26" max="31" width="11.7109375" style="80" customWidth="1"/>
    <col min="32" max="32" width="10" style="80" customWidth="1"/>
    <col min="33" max="33" width="7.140625" style="80" customWidth="1"/>
    <col min="34" max="34" width="6.85546875" style="80" customWidth="1"/>
    <col min="35" max="35" width="5.5703125" style="80" customWidth="1"/>
    <col min="36" max="16384" width="9.140625" style="80"/>
  </cols>
  <sheetData>
    <row r="1" spans="1:51" s="14" customFormat="1" ht="30" customHeight="1">
      <c r="A1" s="1018" t="s">
        <v>0</v>
      </c>
      <c r="B1" s="1018"/>
      <c r="C1" s="1018"/>
      <c r="D1" s="1018"/>
      <c r="E1" s="1018"/>
      <c r="F1" s="1018"/>
      <c r="G1" s="1018"/>
      <c r="H1" s="1018"/>
      <c r="I1" s="1018"/>
      <c r="J1" s="1018"/>
      <c r="K1" s="1018"/>
      <c r="L1" s="1018"/>
      <c r="M1" s="1018"/>
      <c r="N1" s="1018"/>
      <c r="O1" s="1018"/>
      <c r="P1" s="1018"/>
      <c r="Q1" s="1018"/>
      <c r="R1" s="1018"/>
      <c r="S1" s="1018"/>
      <c r="T1" s="1018"/>
      <c r="U1" s="1018"/>
      <c r="V1" s="1018"/>
      <c r="W1" s="1018"/>
      <c r="X1" s="1018"/>
      <c r="Y1" s="1018"/>
      <c r="Z1" s="1017"/>
      <c r="AA1" s="18"/>
      <c r="AB1" s="18"/>
      <c r="AC1" s="18"/>
      <c r="AD1" s="18"/>
      <c r="AE1" s="18"/>
      <c r="AF1" s="18"/>
      <c r="AG1" s="18"/>
      <c r="AH1" s="18"/>
      <c r="AI1" s="18"/>
      <c r="AJ1" s="18"/>
    </row>
    <row r="2" spans="1:51" s="2" customFormat="1" ht="15.75" customHeight="1">
      <c r="A2" s="628"/>
      <c r="B2" s="628"/>
      <c r="C2" s="628"/>
      <c r="D2" s="628"/>
      <c r="E2" s="628"/>
      <c r="F2" s="628"/>
      <c r="G2" s="628"/>
      <c r="H2" s="628"/>
      <c r="I2" s="628"/>
      <c r="J2" s="628"/>
      <c r="K2" s="628"/>
      <c r="L2" s="628"/>
      <c r="M2" s="628"/>
      <c r="N2" s="628"/>
      <c r="O2" s="628"/>
      <c r="P2" s="628"/>
      <c r="Q2" s="628"/>
      <c r="R2" s="628"/>
      <c r="S2" s="628"/>
      <c r="T2" s="628"/>
      <c r="U2" s="628"/>
      <c r="V2" s="628"/>
      <c r="W2" s="628"/>
      <c r="X2" s="628"/>
      <c r="Y2" s="628"/>
      <c r="Z2" s="1"/>
      <c r="AA2" s="1"/>
      <c r="AB2" s="1"/>
      <c r="AC2" s="1"/>
      <c r="AD2" s="1"/>
      <c r="AE2" s="1"/>
      <c r="AF2" s="1"/>
      <c r="AG2" s="1"/>
      <c r="AH2" s="1"/>
    </row>
    <row r="3" spans="1:51" s="2" customFormat="1" ht="15" customHeight="1">
      <c r="A3" s="629" t="s">
        <v>1</v>
      </c>
      <c r="B3" s="630"/>
      <c r="C3" s="630"/>
      <c r="D3" s="630"/>
      <c r="E3" s="630"/>
      <c r="F3" s="630"/>
      <c r="G3" s="630"/>
      <c r="H3" s="630"/>
      <c r="I3" s="630"/>
      <c r="J3" s="630"/>
      <c r="K3" s="630"/>
      <c r="L3" s="630"/>
      <c r="M3" s="630"/>
      <c r="N3" s="630"/>
      <c r="O3" s="630"/>
      <c r="P3" s="630"/>
      <c r="Q3" s="630"/>
      <c r="R3" s="630"/>
      <c r="S3" s="630"/>
      <c r="T3" s="630"/>
      <c r="U3" s="630"/>
      <c r="V3" s="630" t="s">
        <v>2</v>
      </c>
      <c r="W3" s="630"/>
      <c r="X3" s="630"/>
      <c r="Y3" s="630"/>
      <c r="Z3" s="490"/>
      <c r="AA3" s="19"/>
      <c r="AB3" s="19"/>
      <c r="AC3" s="19"/>
      <c r="AD3" s="19"/>
      <c r="AE3" s="19"/>
      <c r="AF3" s="19"/>
      <c r="AG3" s="19"/>
      <c r="AH3" s="19"/>
    </row>
    <row r="4" spans="1:51" s="2" customFormat="1" ht="15.75" customHeight="1">
      <c r="A4" s="631" t="s">
        <v>3</v>
      </c>
      <c r="B4" s="632"/>
      <c r="C4" s="632" t="s">
        <v>4</v>
      </c>
      <c r="D4" s="632"/>
      <c r="E4" s="632"/>
      <c r="F4" s="632"/>
      <c r="G4" s="632"/>
      <c r="H4" s="632"/>
      <c r="I4" s="632"/>
      <c r="J4" s="632"/>
      <c r="K4" s="632"/>
      <c r="L4" s="632"/>
      <c r="M4" s="632"/>
      <c r="N4" s="633"/>
      <c r="O4" s="633"/>
      <c r="P4" s="633"/>
      <c r="Q4" s="633"/>
      <c r="R4" s="633"/>
      <c r="S4" s="633"/>
      <c r="T4" s="633"/>
      <c r="U4" s="633"/>
      <c r="V4" s="632" t="s">
        <v>5</v>
      </c>
      <c r="W4" s="632"/>
      <c r="X4" s="632" t="s">
        <v>6</v>
      </c>
      <c r="Y4" s="631"/>
      <c r="Z4" s="7"/>
      <c r="AA4" s="429"/>
      <c r="AB4" s="7"/>
      <c r="AC4" s="7"/>
      <c r="AD4" s="7"/>
      <c r="AE4" s="7"/>
      <c r="AF4" s="7"/>
      <c r="AG4" s="7"/>
      <c r="AH4" s="7"/>
    </row>
    <row r="5" spans="1:51" s="2" customFormat="1" ht="15.75" customHeight="1">
      <c r="A5" s="634" t="s">
        <v>7</v>
      </c>
      <c r="B5" s="635"/>
      <c r="C5" s="635" t="s">
        <v>8</v>
      </c>
      <c r="D5" s="635"/>
      <c r="E5" s="635"/>
      <c r="F5" s="635"/>
      <c r="G5" s="635"/>
      <c r="H5" s="635"/>
      <c r="I5" s="635"/>
      <c r="J5" s="635"/>
      <c r="K5" s="635"/>
      <c r="L5" s="635"/>
      <c r="M5" s="635"/>
      <c r="N5" s="636"/>
      <c r="O5" s="636"/>
      <c r="P5" s="636"/>
      <c r="Q5" s="636"/>
      <c r="R5" s="636"/>
      <c r="S5" s="636"/>
      <c r="T5" s="636"/>
      <c r="U5" s="636"/>
      <c r="V5" s="635" t="s">
        <v>9</v>
      </c>
      <c r="W5" s="635"/>
      <c r="X5" s="635" t="s">
        <v>10</v>
      </c>
      <c r="Y5" s="634"/>
      <c r="Z5" s="490"/>
      <c r="AB5" s="7"/>
      <c r="AC5" s="7"/>
      <c r="AD5" s="7"/>
      <c r="AE5" s="7"/>
      <c r="AF5" s="7"/>
      <c r="AG5" s="7"/>
      <c r="AH5" s="7"/>
    </row>
    <row r="6" spans="1:51" s="2" customFormat="1" ht="15.75" customHeight="1">
      <c r="A6" s="631"/>
      <c r="B6" s="632"/>
      <c r="C6" s="632"/>
      <c r="D6" s="632"/>
      <c r="E6" s="632"/>
      <c r="F6" s="632"/>
      <c r="G6" s="632"/>
      <c r="H6" s="632"/>
      <c r="I6" s="632"/>
      <c r="J6" s="632"/>
      <c r="K6" s="632"/>
      <c r="L6" s="632"/>
      <c r="M6" s="632"/>
      <c r="N6" s="633"/>
      <c r="O6" s="633"/>
      <c r="P6" s="633"/>
      <c r="Q6" s="633"/>
      <c r="R6" s="633"/>
      <c r="S6" s="633"/>
      <c r="T6" s="633"/>
      <c r="U6" s="633"/>
      <c r="V6" s="637" t="s">
        <v>11</v>
      </c>
      <c r="W6" s="633"/>
      <c r="X6" s="637">
        <v>2020</v>
      </c>
      <c r="Y6" s="631"/>
      <c r="Z6" s="7"/>
      <c r="AB6" s="7"/>
      <c r="AC6" s="7"/>
      <c r="AD6" s="7"/>
      <c r="AE6" s="7"/>
      <c r="AF6" s="7"/>
      <c r="AG6" s="7"/>
      <c r="AH6" s="7"/>
      <c r="AN6" s="2" t="s">
        <v>20</v>
      </c>
      <c r="AO6" s="2">
        <v>81.054134480698721</v>
      </c>
    </row>
    <row r="7" spans="1:51" s="2" customFormat="1" ht="15.75" customHeight="1">
      <c r="A7" s="629" t="s">
        <v>13</v>
      </c>
      <c r="B7" s="638"/>
      <c r="C7" s="638" t="s">
        <v>14</v>
      </c>
      <c r="D7" s="638"/>
      <c r="E7" s="638"/>
      <c r="F7" s="638"/>
      <c r="G7" s="638"/>
      <c r="H7" s="638"/>
      <c r="I7" s="638"/>
      <c r="J7" s="638"/>
      <c r="K7" s="638"/>
      <c r="L7" s="638"/>
      <c r="M7" s="638"/>
      <c r="N7" s="638"/>
      <c r="O7" s="638"/>
      <c r="P7" s="638"/>
      <c r="Q7" s="638"/>
      <c r="R7" s="636"/>
      <c r="S7" s="636"/>
      <c r="T7" s="636"/>
      <c r="U7" s="636"/>
      <c r="V7" s="635" t="s">
        <v>360</v>
      </c>
      <c r="W7" s="636"/>
      <c r="X7" s="639" t="s">
        <v>399</v>
      </c>
      <c r="Y7" s="634"/>
      <c r="Z7" s="490"/>
      <c r="AB7" s="7"/>
      <c r="AC7" s="7"/>
      <c r="AD7" s="7"/>
      <c r="AE7" s="7"/>
      <c r="AF7" s="19"/>
      <c r="AG7" s="19"/>
      <c r="AH7" s="19"/>
      <c r="AN7" s="2" t="s">
        <v>15</v>
      </c>
      <c r="AO7" s="2">
        <v>80.958214502739665</v>
      </c>
    </row>
    <row r="8" spans="1:51" s="2" customFormat="1" ht="15.75" customHeight="1">
      <c r="A8" s="631"/>
      <c r="B8" s="632"/>
      <c r="C8" s="423"/>
      <c r="D8" s="423"/>
      <c r="E8" s="423"/>
      <c r="F8" s="423"/>
      <c r="G8" s="423"/>
      <c r="H8" s="423"/>
      <c r="I8" s="423"/>
      <c r="J8" s="423"/>
      <c r="K8" s="633"/>
      <c r="L8" s="633"/>
      <c r="M8" s="633"/>
      <c r="N8" s="633"/>
      <c r="O8" s="633"/>
      <c r="P8" s="633"/>
      <c r="Q8" s="423">
        <v>2020</v>
      </c>
      <c r="R8" s="633"/>
      <c r="S8" s="633"/>
      <c r="T8" s="633"/>
      <c r="U8" s="633"/>
      <c r="V8" s="632" t="s">
        <v>16</v>
      </c>
      <c r="W8" s="633"/>
      <c r="X8" s="640" t="s">
        <v>400</v>
      </c>
      <c r="Y8" s="631"/>
      <c r="Z8" s="7"/>
      <c r="AB8" s="7"/>
      <c r="AC8" s="7"/>
      <c r="AD8" s="7"/>
      <c r="AE8" s="7"/>
      <c r="AF8" s="7"/>
      <c r="AG8" s="7"/>
      <c r="AH8" s="7"/>
      <c r="AN8" s="2" t="s">
        <v>17</v>
      </c>
      <c r="AO8" s="2">
        <v>80.382382431096275</v>
      </c>
    </row>
    <row r="9" spans="1:51" s="2" customFormat="1" ht="15.75" customHeight="1">
      <c r="A9" s="629" t="s">
        <v>361</v>
      </c>
      <c r="B9" s="638"/>
      <c r="C9" s="641"/>
      <c r="D9" s="641"/>
      <c r="E9" s="641"/>
      <c r="F9" s="641"/>
      <c r="G9" s="641"/>
      <c r="H9" s="641"/>
      <c r="I9" s="641"/>
      <c r="J9" s="641"/>
      <c r="K9" s="641"/>
      <c r="L9" s="641"/>
      <c r="M9" s="641"/>
      <c r="N9" s="633"/>
      <c r="O9" s="641"/>
      <c r="P9" s="641"/>
      <c r="Q9" s="1019">
        <v>1192</v>
      </c>
      <c r="R9" s="636"/>
      <c r="S9" s="636"/>
      <c r="T9" s="636"/>
      <c r="U9" s="636"/>
      <c r="V9" s="635" t="s">
        <v>18</v>
      </c>
      <c r="W9" s="636"/>
      <c r="X9" s="639" t="s">
        <v>401</v>
      </c>
      <c r="Y9" s="643"/>
      <c r="Z9" s="490"/>
      <c r="AB9" s="7"/>
      <c r="AC9" s="7"/>
      <c r="AD9" s="7"/>
      <c r="AE9" s="7"/>
      <c r="AF9" s="19"/>
      <c r="AG9" s="19"/>
      <c r="AH9" s="19"/>
      <c r="AN9" s="2" t="s">
        <v>19</v>
      </c>
      <c r="AO9" s="2">
        <v>80.382382431096275</v>
      </c>
    </row>
    <row r="10" spans="1:51" s="2" customFormat="1" ht="15.75" customHeight="1">
      <c r="A10" s="655" t="s">
        <v>362</v>
      </c>
      <c r="B10" s="638"/>
      <c r="C10" s="641"/>
      <c r="D10" s="641"/>
      <c r="E10" s="641"/>
      <c r="F10" s="641"/>
      <c r="G10" s="641"/>
      <c r="H10" s="641"/>
      <c r="I10" s="641"/>
      <c r="J10" s="641"/>
      <c r="K10" s="641"/>
      <c r="L10" s="641"/>
      <c r="M10" s="641"/>
      <c r="N10" s="633"/>
      <c r="O10" s="641"/>
      <c r="P10" s="641"/>
      <c r="Q10" s="1019"/>
      <c r="R10" s="636"/>
      <c r="S10" s="636"/>
      <c r="T10" s="636"/>
      <c r="U10" s="638"/>
      <c r="V10" s="638"/>
      <c r="W10" s="638"/>
      <c r="X10" s="643"/>
      <c r="Y10" s="643"/>
      <c r="Z10" s="490"/>
      <c r="AC10" s="7"/>
      <c r="AD10" s="7"/>
      <c r="AE10" s="7"/>
      <c r="AF10" s="19"/>
      <c r="AG10" s="19"/>
      <c r="AH10" s="19"/>
      <c r="AN10" s="2" t="s">
        <v>12</v>
      </c>
      <c r="AO10" s="2">
        <v>78.097173042063204</v>
      </c>
    </row>
    <row r="11" spans="1:51" s="2" customFormat="1" ht="15.75" customHeight="1">
      <c r="A11" s="631" t="s">
        <v>433</v>
      </c>
      <c r="B11" s="632"/>
      <c r="C11" s="644"/>
      <c r="D11" s="644"/>
      <c r="E11" s="644"/>
      <c r="F11" s="644"/>
      <c r="G11" s="644"/>
      <c r="H11" s="644"/>
      <c r="I11" s="644"/>
      <c r="J11" s="644"/>
      <c r="K11" s="644"/>
      <c r="L11" s="644"/>
      <c r="M11" s="644"/>
      <c r="N11" s="633"/>
      <c r="O11" s="644"/>
      <c r="P11" s="644"/>
      <c r="Q11" s="645">
        <v>187</v>
      </c>
      <c r="R11" s="633"/>
      <c r="S11" s="633"/>
      <c r="T11" s="633"/>
      <c r="U11" s="646"/>
      <c r="V11" s="632"/>
      <c r="W11" s="632"/>
      <c r="X11" s="631"/>
      <c r="Y11" s="631"/>
      <c r="Z11" s="30"/>
      <c r="AB11" s="7"/>
      <c r="AC11" s="7"/>
      <c r="AD11" s="7"/>
      <c r="AE11" s="7"/>
      <c r="AF11" s="7"/>
      <c r="AG11" s="7"/>
      <c r="AH11" s="7"/>
    </row>
    <row r="12" spans="1:51" s="2" customFormat="1" ht="15.75" customHeight="1">
      <c r="A12" s="634" t="s">
        <v>21</v>
      </c>
      <c r="B12" s="635"/>
      <c r="C12" s="647"/>
      <c r="D12" s="647"/>
      <c r="E12" s="647"/>
      <c r="F12" s="647"/>
      <c r="G12" s="647"/>
      <c r="H12" s="647"/>
      <c r="I12" s="647"/>
      <c r="J12" s="647"/>
      <c r="K12" s="647"/>
      <c r="L12" s="647"/>
      <c r="M12" s="647"/>
      <c r="N12" s="633"/>
      <c r="O12" s="647"/>
      <c r="P12" s="647"/>
      <c r="Q12" s="647">
        <v>846</v>
      </c>
      <c r="R12" s="636"/>
      <c r="S12" s="636"/>
      <c r="T12" s="636"/>
      <c r="U12" s="635"/>
      <c r="V12" s="635"/>
      <c r="W12" s="635"/>
      <c r="X12" s="643"/>
      <c r="Y12" s="643"/>
      <c r="Z12" s="490"/>
      <c r="AB12" s="7"/>
      <c r="AC12" s="7"/>
      <c r="AD12" s="7"/>
      <c r="AE12" s="7"/>
      <c r="AF12" s="7"/>
      <c r="AG12" s="7"/>
      <c r="AH12" s="7"/>
      <c r="AN12" s="29"/>
    </row>
    <row r="13" spans="1:51" s="2" customFormat="1" ht="15.75" customHeight="1">
      <c r="A13" s="631" t="s">
        <v>435</v>
      </c>
      <c r="B13" s="632"/>
      <c r="C13" s="644"/>
      <c r="D13" s="644"/>
      <c r="E13" s="644"/>
      <c r="F13" s="644"/>
      <c r="G13" s="644"/>
      <c r="H13" s="644"/>
      <c r="I13" s="644"/>
      <c r="J13" s="644"/>
      <c r="K13" s="633"/>
      <c r="L13" s="633"/>
      <c r="M13" s="633"/>
      <c r="N13" s="633"/>
      <c r="O13" s="633"/>
      <c r="P13" s="633"/>
      <c r="Q13" s="645">
        <v>159</v>
      </c>
      <c r="R13" s="633"/>
      <c r="S13" s="633"/>
      <c r="T13" s="633"/>
      <c r="U13" s="632"/>
      <c r="V13" s="631"/>
      <c r="W13" s="631"/>
      <c r="X13" s="631"/>
      <c r="Y13" s="648"/>
      <c r="AB13" s="7"/>
      <c r="AC13" s="30"/>
      <c r="AD13" s="7"/>
      <c r="AE13" s="7"/>
      <c r="AF13" s="7"/>
      <c r="AG13" s="7"/>
      <c r="AH13" s="7"/>
      <c r="AN13" s="9"/>
    </row>
    <row r="14" spans="1:51" s="9" customFormat="1" ht="15.75" customHeight="1">
      <c r="A14" s="634"/>
      <c r="B14" s="635"/>
      <c r="C14" s="635"/>
      <c r="D14" s="635"/>
      <c r="E14" s="635">
        <v>1995</v>
      </c>
      <c r="F14" s="635">
        <v>1996</v>
      </c>
      <c r="G14" s="635">
        <v>1997</v>
      </c>
      <c r="H14" s="635">
        <v>1998</v>
      </c>
      <c r="I14" s="635">
        <v>1999</v>
      </c>
      <c r="J14" s="574">
        <v>2005</v>
      </c>
      <c r="K14" s="574">
        <v>2006</v>
      </c>
      <c r="L14" s="574">
        <v>2007</v>
      </c>
      <c r="M14" s="574">
        <v>2008</v>
      </c>
      <c r="N14" s="574">
        <v>2009</v>
      </c>
      <c r="O14" s="574">
        <v>2010</v>
      </c>
      <c r="P14" s="574">
        <v>2011</v>
      </c>
      <c r="Q14" s="574">
        <v>2012</v>
      </c>
      <c r="R14" s="574">
        <v>2013</v>
      </c>
      <c r="S14" s="574">
        <v>2014</v>
      </c>
      <c r="T14" s="574">
        <v>2015</v>
      </c>
      <c r="U14" s="574">
        <v>2016</v>
      </c>
      <c r="V14" s="574">
        <v>2017</v>
      </c>
      <c r="W14" s="574">
        <v>2018</v>
      </c>
      <c r="X14" s="574">
        <v>2019</v>
      </c>
      <c r="Y14" s="574">
        <v>2020</v>
      </c>
      <c r="Z14" s="490"/>
      <c r="AN14" s="29"/>
      <c r="AU14" s="2"/>
      <c r="AV14" s="2"/>
      <c r="AW14" s="2"/>
      <c r="AX14" s="2"/>
      <c r="AY14" s="2"/>
    </row>
    <row r="15" spans="1:51" s="9" customFormat="1" ht="15.75" customHeight="1">
      <c r="A15" s="649" t="s">
        <v>22</v>
      </c>
      <c r="B15" s="650"/>
      <c r="C15" s="650"/>
      <c r="D15" s="650"/>
      <c r="E15" s="650"/>
      <c r="F15" s="650"/>
      <c r="G15" s="650"/>
      <c r="H15" s="650"/>
      <c r="I15" s="650"/>
      <c r="J15" s="650"/>
      <c r="K15" s="650"/>
      <c r="L15" s="650"/>
      <c r="M15" s="650"/>
      <c r="N15" s="650"/>
      <c r="O15" s="650"/>
      <c r="P15" s="650"/>
      <c r="Q15" s="650"/>
      <c r="R15" s="650"/>
      <c r="S15" s="650"/>
      <c r="T15" s="650"/>
      <c r="U15" s="650"/>
      <c r="V15" s="650"/>
      <c r="W15" s="650"/>
      <c r="X15" s="650"/>
      <c r="Y15" s="651"/>
      <c r="AA15" s="31"/>
      <c r="AU15" s="2"/>
      <c r="AV15" s="2"/>
      <c r="AW15" s="2"/>
      <c r="AX15" s="2"/>
      <c r="AY15" s="2"/>
    </row>
    <row r="16" spans="1:51" s="9" customFormat="1" ht="15.75" customHeight="1">
      <c r="A16" s="634" t="s">
        <v>23</v>
      </c>
      <c r="B16" s="635"/>
      <c r="C16" s="635"/>
      <c r="D16" s="635"/>
      <c r="E16" s="635">
        <v>1407</v>
      </c>
      <c r="F16" s="635">
        <v>1950.5</v>
      </c>
      <c r="G16" s="635">
        <v>2056.3000000000002</v>
      </c>
      <c r="H16" s="635">
        <v>2136.8000000000002</v>
      </c>
      <c r="I16" s="635">
        <v>2049.1999999999998</v>
      </c>
      <c r="J16" s="647">
        <v>1659.2</v>
      </c>
      <c r="K16" s="647">
        <v>2711.2</v>
      </c>
      <c r="L16" s="647">
        <v>1792</v>
      </c>
      <c r="M16" s="647">
        <v>2001.8</v>
      </c>
      <c r="N16" s="647">
        <v>2202</v>
      </c>
      <c r="O16" s="647">
        <v>2017.8999999999999</v>
      </c>
      <c r="P16" s="647">
        <v>1333.3</v>
      </c>
      <c r="Q16" s="647">
        <v>1664.1</v>
      </c>
      <c r="R16" s="647">
        <v>2081.8000000000002</v>
      </c>
      <c r="S16" s="647">
        <v>1996</v>
      </c>
      <c r="T16" s="647">
        <v>2173.6</v>
      </c>
      <c r="U16" s="647">
        <v>2204.6999999999998</v>
      </c>
      <c r="V16" s="647">
        <v>1664.4</v>
      </c>
      <c r="W16" s="647">
        <v>2121.1</v>
      </c>
      <c r="X16" s="647">
        <v>2183.4</v>
      </c>
      <c r="Y16" s="647">
        <v>1826.3000000000002</v>
      </c>
      <c r="Z16" s="490"/>
      <c r="AU16" s="2"/>
      <c r="AV16" s="2"/>
      <c r="AW16" s="2"/>
      <c r="AX16" s="2"/>
      <c r="AY16" s="2"/>
    </row>
    <row r="17" spans="1:51" s="9" customFormat="1" ht="15.75" customHeight="1">
      <c r="A17" s="631" t="s">
        <v>24</v>
      </c>
      <c r="B17" s="632"/>
      <c r="C17" s="632"/>
      <c r="D17" s="632"/>
      <c r="E17" s="632">
        <v>2834.1</v>
      </c>
      <c r="F17" s="632">
        <v>2857.6</v>
      </c>
      <c r="G17" s="632">
        <v>2819</v>
      </c>
      <c r="H17" s="632">
        <v>2826.4</v>
      </c>
      <c r="I17" s="632">
        <v>2740</v>
      </c>
      <c r="J17" s="644">
        <v>2963.1</v>
      </c>
      <c r="K17" s="644">
        <v>2629</v>
      </c>
      <c r="L17" s="644">
        <v>2874.5</v>
      </c>
      <c r="M17" s="644">
        <v>2821.7</v>
      </c>
      <c r="N17" s="644">
        <v>2896.6</v>
      </c>
      <c r="O17" s="644">
        <v>2764.6000000000004</v>
      </c>
      <c r="P17" s="644">
        <v>2934.6000000000004</v>
      </c>
      <c r="Q17" s="644">
        <v>2796.8</v>
      </c>
      <c r="R17" s="644">
        <v>2796.3</v>
      </c>
      <c r="S17" s="644">
        <v>2812</v>
      </c>
      <c r="T17" s="644">
        <v>2926.3</v>
      </c>
      <c r="U17" s="644">
        <v>2763.8999999999996</v>
      </c>
      <c r="V17" s="644">
        <v>2972.9</v>
      </c>
      <c r="W17" s="644">
        <v>2731.7</v>
      </c>
      <c r="X17" s="644">
        <v>2643.7</v>
      </c>
      <c r="Y17" s="644">
        <v>2732</v>
      </c>
      <c r="AU17" s="2"/>
      <c r="AV17" s="2"/>
      <c r="AW17" s="2"/>
      <c r="AX17" s="2"/>
      <c r="AY17" s="2"/>
    </row>
    <row r="18" spans="1:51" s="9" customFormat="1" ht="15.75" customHeight="1">
      <c r="A18" s="634" t="s">
        <v>25</v>
      </c>
      <c r="B18" s="635"/>
      <c r="C18" s="635"/>
      <c r="D18" s="635"/>
      <c r="E18" s="635"/>
      <c r="F18" s="635"/>
      <c r="G18" s="635"/>
      <c r="H18" s="635"/>
      <c r="I18" s="635"/>
      <c r="J18" s="647"/>
      <c r="K18" s="647"/>
      <c r="L18" s="647"/>
      <c r="M18" s="647"/>
      <c r="N18" s="647"/>
      <c r="O18" s="647"/>
      <c r="P18" s="647"/>
      <c r="Q18" s="647"/>
      <c r="R18" s="647"/>
      <c r="S18" s="647"/>
      <c r="T18" s="647"/>
      <c r="U18" s="647"/>
      <c r="V18" s="647"/>
      <c r="W18" s="647"/>
      <c r="X18" s="647"/>
      <c r="Y18" s="647"/>
      <c r="Z18" s="490"/>
      <c r="AU18" s="2"/>
      <c r="AV18" s="2"/>
      <c r="AW18" s="2"/>
      <c r="AX18" s="2"/>
      <c r="AY18" s="2"/>
    </row>
    <row r="19" spans="1:51" s="9" customFormat="1" ht="15.75" customHeight="1">
      <c r="A19" s="631" t="s">
        <v>26</v>
      </c>
      <c r="B19" s="632"/>
      <c r="C19" s="632"/>
      <c r="D19" s="632"/>
      <c r="E19" s="632">
        <v>30.7</v>
      </c>
      <c r="F19" s="632">
        <v>30.4</v>
      </c>
      <c r="G19" s="632">
        <v>31</v>
      </c>
      <c r="H19" s="632">
        <v>30.9</v>
      </c>
      <c r="I19" s="632">
        <v>30.3</v>
      </c>
      <c r="J19" s="652">
        <v>31.225000000000001</v>
      </c>
      <c r="K19" s="652">
        <v>30.9</v>
      </c>
      <c r="L19" s="652">
        <v>31.1</v>
      </c>
      <c r="M19" s="652">
        <v>30.9</v>
      </c>
      <c r="N19" s="652">
        <v>31.1</v>
      </c>
      <c r="O19" s="652">
        <v>30.88661802355351</v>
      </c>
      <c r="P19" s="652">
        <v>30.909690860215051</v>
      </c>
      <c r="Q19" s="652">
        <v>31.2</v>
      </c>
      <c r="R19" s="652">
        <v>31.2</v>
      </c>
      <c r="S19" s="652">
        <v>31.3</v>
      </c>
      <c r="T19" s="652">
        <v>31.3</v>
      </c>
      <c r="U19" s="652">
        <v>31.2</v>
      </c>
      <c r="V19" s="652">
        <v>31.125210573476704</v>
      </c>
      <c r="W19" s="652">
        <v>30.988287890424989</v>
      </c>
      <c r="X19" s="652">
        <v>31.456913082437271</v>
      </c>
      <c r="Y19" s="652">
        <v>31.724655790384379</v>
      </c>
      <c r="AU19" s="2"/>
      <c r="AV19" s="2"/>
      <c r="AW19" s="2"/>
      <c r="AX19" s="2"/>
      <c r="AY19" s="2"/>
    </row>
    <row r="20" spans="1:51" s="9" customFormat="1" ht="15.75" customHeight="1">
      <c r="A20" s="634" t="s">
        <v>27</v>
      </c>
      <c r="B20" s="635"/>
      <c r="C20" s="635"/>
      <c r="D20" s="635"/>
      <c r="E20" s="635">
        <v>26.181518817204292</v>
      </c>
      <c r="F20" s="635">
        <v>25.891641020887416</v>
      </c>
      <c r="G20" s="635">
        <v>26.064032258064525</v>
      </c>
      <c r="H20" s="635">
        <v>26.373453020993352</v>
      </c>
      <c r="I20" s="635">
        <v>25.801297363031239</v>
      </c>
      <c r="J20" s="653">
        <v>26.141666666666666</v>
      </c>
      <c r="K20" s="653">
        <v>26</v>
      </c>
      <c r="L20" s="653">
        <v>26.2</v>
      </c>
      <c r="M20" s="653">
        <v>26.1</v>
      </c>
      <c r="N20" s="653">
        <v>26.3</v>
      </c>
      <c r="O20" s="653">
        <v>26.4696121351767</v>
      </c>
      <c r="P20" s="653">
        <v>26.3509472606247</v>
      </c>
      <c r="Q20" s="653">
        <v>26.4</v>
      </c>
      <c r="R20" s="653">
        <v>26.3</v>
      </c>
      <c r="S20" s="653">
        <v>25.8</v>
      </c>
      <c r="T20" s="653">
        <v>26.5</v>
      </c>
      <c r="U20" s="653">
        <v>26.6</v>
      </c>
      <c r="V20" s="653">
        <v>26.602403353814648</v>
      </c>
      <c r="W20" s="653">
        <v>26.392532002048128</v>
      </c>
      <c r="X20" s="653">
        <v>26.730381464413725</v>
      </c>
      <c r="Y20" s="653">
        <v>26.749106723519962</v>
      </c>
      <c r="Z20" s="490"/>
    </row>
    <row r="21" spans="1:51" s="9" customFormat="1" ht="15.75" customHeight="1">
      <c r="A21" s="11" t="s">
        <v>434</v>
      </c>
      <c r="B21" s="4"/>
      <c r="C21" s="5"/>
      <c r="D21" s="5"/>
      <c r="E21" s="5"/>
      <c r="F21" s="5"/>
      <c r="G21" s="5"/>
      <c r="H21" s="5"/>
      <c r="I21" s="5"/>
      <c r="J21" s="10"/>
      <c r="K21" s="10"/>
      <c r="L21" s="10"/>
      <c r="M21" s="10"/>
      <c r="N21" s="10"/>
      <c r="O21" s="10"/>
      <c r="P21" s="10"/>
      <c r="Q21" s="10"/>
      <c r="R21" s="10"/>
      <c r="S21" s="10"/>
      <c r="T21" s="10"/>
      <c r="V21" s="10"/>
      <c r="W21" s="7"/>
      <c r="AS21" s="467"/>
    </row>
    <row r="22" spans="1:51" s="14" customFormat="1">
      <c r="A22" s="12"/>
      <c r="B22" s="12"/>
      <c r="C22" s="12"/>
      <c r="D22" s="12"/>
      <c r="E22" s="13"/>
      <c r="F22" s="13"/>
      <c r="G22" s="13"/>
      <c r="H22" s="13"/>
      <c r="I22" s="13"/>
      <c r="J22" s="13"/>
      <c r="K22" s="13"/>
      <c r="L22" s="13"/>
      <c r="M22" s="13"/>
      <c r="N22" s="13"/>
      <c r="O22" s="13"/>
      <c r="P22" s="13"/>
      <c r="Q22" s="13"/>
      <c r="R22" s="13"/>
      <c r="S22" s="13"/>
      <c r="T22" s="13"/>
      <c r="U22" s="20"/>
      <c r="W22" s="7"/>
      <c r="AB22" s="9"/>
      <c r="AS22" s="467"/>
    </row>
    <row r="23" spans="1:51" ht="15" customHeight="1">
      <c r="B23" s="15"/>
      <c r="C23" s="15"/>
      <c r="D23" s="15"/>
      <c r="E23" s="15"/>
      <c r="F23" s="15"/>
      <c r="G23" s="15"/>
      <c r="H23" s="15"/>
      <c r="I23" s="15"/>
      <c r="J23" s="15"/>
      <c r="K23" s="15"/>
      <c r="L23" s="15"/>
      <c r="M23" s="12"/>
      <c r="N23" s="12"/>
      <c r="O23" s="12"/>
      <c r="P23" s="12"/>
      <c r="Q23" s="12"/>
      <c r="R23" s="12"/>
      <c r="S23" s="16"/>
      <c r="T23" s="16"/>
      <c r="U23" s="21"/>
      <c r="W23" s="7"/>
      <c r="AB23" s="9"/>
      <c r="AS23" s="468"/>
    </row>
    <row r="24" spans="1:51" ht="15" customHeight="1">
      <c r="B24" s="12"/>
      <c r="C24" s="12"/>
      <c r="D24" s="12"/>
      <c r="E24" s="12"/>
      <c r="F24" s="12"/>
      <c r="G24" s="12"/>
      <c r="H24" s="12"/>
      <c r="I24" s="12"/>
      <c r="J24" s="12"/>
      <c r="K24" s="12"/>
      <c r="L24" s="12"/>
      <c r="M24" s="12"/>
      <c r="N24" s="12"/>
      <c r="O24" s="12"/>
      <c r="P24" s="12"/>
      <c r="Q24" s="12"/>
      <c r="R24" s="12"/>
      <c r="S24" s="16"/>
      <c r="T24" s="16"/>
      <c r="U24" s="21"/>
      <c r="AB24" s="9"/>
      <c r="AS24" s="469"/>
    </row>
    <row r="25" spans="1:51">
      <c r="B25" s="15"/>
      <c r="C25" s="15"/>
      <c r="D25" s="15"/>
      <c r="E25" s="15"/>
      <c r="F25" s="15"/>
      <c r="G25" s="15"/>
      <c r="H25" s="15"/>
      <c r="I25" s="15"/>
      <c r="J25" s="15"/>
      <c r="K25" s="15"/>
      <c r="L25" s="15"/>
      <c r="M25" s="15"/>
      <c r="N25" s="15"/>
      <c r="O25" s="15"/>
      <c r="P25" s="15"/>
      <c r="Q25" s="12"/>
      <c r="R25" s="12"/>
      <c r="S25" s="12"/>
      <c r="T25" s="12"/>
      <c r="V25" s="12"/>
      <c r="W25" s="16"/>
      <c r="X25" s="16"/>
      <c r="Y25" s="21"/>
      <c r="Z25" s="21"/>
      <c r="AA25" s="21"/>
      <c r="AB25" s="9"/>
      <c r="AC25" s="7"/>
      <c r="AS25" s="470"/>
    </row>
    <row r="26" spans="1:51">
      <c r="B26" s="12"/>
      <c r="C26" s="12"/>
      <c r="D26" s="12"/>
      <c r="E26" s="12"/>
      <c r="F26" s="12"/>
      <c r="G26" s="12"/>
      <c r="H26" s="12"/>
      <c r="I26" s="12"/>
      <c r="J26" s="12"/>
      <c r="K26" s="12"/>
      <c r="L26" s="12"/>
      <c r="M26" s="12"/>
      <c r="N26" s="12"/>
      <c r="O26" s="12"/>
      <c r="P26" s="12"/>
      <c r="Q26" s="12"/>
      <c r="R26" s="12"/>
      <c r="S26" s="12"/>
      <c r="T26" s="12"/>
      <c r="U26" s="12"/>
      <c r="V26" s="12"/>
      <c r="W26" s="16"/>
      <c r="X26" s="16"/>
      <c r="Y26" s="21"/>
      <c r="Z26" s="21"/>
      <c r="AA26" s="21"/>
      <c r="AB26" s="9"/>
      <c r="AK26" s="22"/>
      <c r="AL26" s="22"/>
      <c r="AM26" s="22"/>
      <c r="AN26" s="22"/>
      <c r="AO26" s="22"/>
      <c r="AP26" s="22"/>
      <c r="AS26" s="471"/>
    </row>
    <row r="27" spans="1:51">
      <c r="AB27" s="9"/>
      <c r="AK27" s="22"/>
      <c r="AS27" s="472"/>
    </row>
    <row r="28" spans="1:51">
      <c r="AB28" s="9"/>
      <c r="AK28" s="23"/>
      <c r="AL28" s="24"/>
      <c r="AM28" s="24"/>
      <c r="AN28" s="24"/>
      <c r="AO28" s="24"/>
      <c r="AP28" s="24"/>
      <c r="AS28" s="467"/>
    </row>
    <row r="29" spans="1:51">
      <c r="AB29" s="9"/>
      <c r="AI29" s="25"/>
      <c r="AS29" s="30"/>
    </row>
    <row r="30" spans="1:51">
      <c r="AB30" s="9"/>
      <c r="AS30" s="9"/>
    </row>
    <row r="31" spans="1:51">
      <c r="AB31" s="9"/>
    </row>
    <row r="32" spans="1:51">
      <c r="AB32" s="9"/>
    </row>
    <row r="33" spans="4:48">
      <c r="AB33" s="9"/>
    </row>
    <row r="34" spans="4:48">
      <c r="AB34" s="9"/>
      <c r="AV34" s="26"/>
    </row>
    <row r="35" spans="4:48">
      <c r="AB35" s="9"/>
      <c r="AV35" s="26"/>
    </row>
    <row r="36" spans="4:48">
      <c r="AB36" s="9"/>
      <c r="AV36" s="26"/>
    </row>
    <row r="37" spans="4:48">
      <c r="AB37" s="9"/>
      <c r="AV37" s="26"/>
    </row>
    <row r="38" spans="4:48">
      <c r="AV38" s="26"/>
    </row>
    <row r="39" spans="4:48">
      <c r="AV39" s="26"/>
    </row>
    <row r="40" spans="4:48">
      <c r="AV40" s="26"/>
    </row>
    <row r="41" spans="4:48">
      <c r="AV41" s="26"/>
    </row>
    <row r="42" spans="4:48">
      <c r="AV42" s="26"/>
    </row>
    <row r="43" spans="4:48">
      <c r="AV43" s="26"/>
    </row>
    <row r="44" spans="4:48">
      <c r="N44" s="25"/>
      <c r="O44" s="25"/>
      <c r="P44" s="25"/>
      <c r="Q44" s="25"/>
      <c r="R44" s="25"/>
      <c r="S44" s="25"/>
      <c r="AV44" s="26"/>
    </row>
    <row r="45" spans="4:48">
      <c r="N45" s="25"/>
      <c r="O45" s="25"/>
      <c r="P45" s="25"/>
      <c r="Q45" s="25"/>
      <c r="R45" s="25"/>
      <c r="S45" s="25"/>
      <c r="AV45" s="26"/>
    </row>
    <row r="46" spans="4:48">
      <c r="D46" s="80">
        <v>86606</v>
      </c>
      <c r="N46" s="25"/>
      <c r="O46" s="27"/>
      <c r="P46" s="25"/>
      <c r="Q46" s="25"/>
      <c r="R46" s="25"/>
      <c r="S46" s="25"/>
      <c r="AV46" s="26"/>
    </row>
    <row r="47" spans="4:48">
      <c r="D47" s="80">
        <v>103879</v>
      </c>
      <c r="N47" s="25"/>
      <c r="O47" s="27"/>
      <c r="P47" s="25"/>
      <c r="Q47" s="25"/>
      <c r="R47" s="25"/>
      <c r="S47" s="25"/>
      <c r="AV47" s="26"/>
    </row>
    <row r="48" spans="4:48">
      <c r="D48" s="80">
        <v>120192</v>
      </c>
      <c r="N48" s="25"/>
      <c r="O48" s="27"/>
      <c r="P48" s="25"/>
      <c r="Q48" s="25"/>
      <c r="R48" s="25"/>
      <c r="S48" s="25"/>
    </row>
    <row r="49" spans="4:30">
      <c r="D49" s="80">
        <v>132901</v>
      </c>
      <c r="N49" s="25"/>
      <c r="O49" s="27"/>
      <c r="P49" s="25"/>
      <c r="Q49" s="25"/>
      <c r="R49" s="25"/>
      <c r="S49" s="25"/>
    </row>
    <row r="50" spans="4:30">
      <c r="D50" s="80">
        <v>147509</v>
      </c>
      <c r="N50" s="25"/>
      <c r="O50" s="27"/>
      <c r="P50" s="25"/>
      <c r="Q50" s="25"/>
      <c r="R50" s="25"/>
      <c r="Y50" s="22"/>
      <c r="Z50" s="22"/>
      <c r="AA50" s="22"/>
    </row>
    <row r="51" spans="4:30">
      <c r="D51" s="80">
        <v>168084</v>
      </c>
      <c r="N51" s="25"/>
      <c r="O51" s="27"/>
      <c r="P51" s="25"/>
      <c r="Q51" s="25"/>
      <c r="R51" s="25"/>
      <c r="Y51" s="22"/>
      <c r="Z51" s="22"/>
      <c r="AA51" s="22"/>
    </row>
    <row r="52" spans="4:30">
      <c r="N52" s="25"/>
      <c r="O52" s="25"/>
      <c r="P52" s="25"/>
      <c r="Q52" s="25"/>
      <c r="R52" s="25"/>
      <c r="Y52" s="23"/>
      <c r="Z52" s="23"/>
      <c r="AA52" s="23"/>
    </row>
    <row r="53" spans="4:30">
      <c r="N53" s="25"/>
      <c r="O53" s="25"/>
      <c r="P53" s="25"/>
      <c r="Q53" s="25"/>
      <c r="R53" s="25"/>
    </row>
    <row r="54" spans="4:30">
      <c r="N54" s="25"/>
      <c r="O54" s="25"/>
      <c r="P54" s="25"/>
      <c r="Q54" s="25"/>
      <c r="R54" s="25"/>
      <c r="S54" s="25"/>
    </row>
    <row r="55" spans="4:30">
      <c r="N55" s="25"/>
      <c r="O55" s="25"/>
      <c r="P55" s="25"/>
      <c r="Q55" s="25"/>
      <c r="R55" s="25"/>
      <c r="S55" s="25"/>
    </row>
    <row r="56" spans="4:30">
      <c r="N56" s="25"/>
      <c r="O56" s="25"/>
      <c r="P56" s="25"/>
      <c r="Q56" s="25"/>
      <c r="R56" s="25"/>
      <c r="S56" s="25"/>
    </row>
    <row r="57" spans="4:30">
      <c r="N57" s="25"/>
      <c r="O57" s="25"/>
      <c r="P57" s="25"/>
      <c r="Q57" s="25"/>
      <c r="R57" s="25"/>
      <c r="S57" s="25"/>
      <c r="AC57" s="7"/>
      <c r="AD57" s="429"/>
    </row>
    <row r="58" spans="4:30">
      <c r="AC58" s="7"/>
      <c r="AD58" s="429"/>
    </row>
    <row r="59" spans="4:30">
      <c r="AC59" s="7"/>
      <c r="AD59" s="7"/>
    </row>
    <row r="60" spans="4:30">
      <c r="AC60" s="2"/>
      <c r="AD60" s="2"/>
    </row>
    <row r="61" spans="4:30">
      <c r="AC61" s="3"/>
      <c r="AD61" s="430"/>
    </row>
    <row r="62" spans="4:30">
      <c r="AC62" s="7"/>
      <c r="AD62" s="431"/>
    </row>
    <row r="63" spans="4:30">
      <c r="AC63" s="2"/>
      <c r="AD63" s="66"/>
    </row>
    <row r="64" spans="4:30">
      <c r="AC64" s="9"/>
      <c r="AD64" s="432"/>
    </row>
    <row r="65" spans="18:30">
      <c r="AC65" s="9"/>
      <c r="AD65" s="433"/>
    </row>
    <row r="66" spans="18:30">
      <c r="AC66" s="9"/>
      <c r="AD66" s="434"/>
    </row>
    <row r="67" spans="18:30">
      <c r="AC67" s="435"/>
      <c r="AD67" s="436"/>
    </row>
    <row r="73" spans="18:30" ht="18.75">
      <c r="R73" s="437"/>
    </row>
  </sheetData>
  <sortState ref="AN6:AO10">
    <sortCondition descending="1" ref="AO6:AO10"/>
  </sortState>
  <mergeCells count="2">
    <mergeCell ref="A1:Y1"/>
    <mergeCell ref="Q9:Q10"/>
  </mergeCells>
  <dataValidations count="1">
    <dataValidation type="decimal" errorStyle="warning" allowBlank="1" showErrorMessage="1" errorTitle="Check data type!" error="You may enter only decimals but descriptors as NA (not available) &amp; &quot;-&quot; (dash). Check for exceptionally high or low values. Click 'yes' if you are sure what you have typed is correct." sqref="AS21:AS28">
      <formula1>0</formula1>
      <formula2>1000</formula2>
    </dataValidation>
  </dataValidations>
  <pageMargins left="0.70866141732283472" right="0.70866141732283472" top="0.74803149606299213" bottom="0.74803149606299213" header="0.31496062992125984" footer="0.31496062992125984"/>
  <pageSetup paperSize="9" scale="62" orientation="landscape" horizontalDpi="4294967295" verticalDpi="4294967295" r:id="rId1"/>
  <rowBreaks count="1" manualBreakCount="1">
    <brk id="52" max="2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KJ3664"/>
  <sheetViews>
    <sheetView view="pageBreakPreview" zoomScale="60" zoomScaleNormal="100" workbookViewId="0">
      <selection activeCell="W28" sqref="W28"/>
    </sheetView>
  </sheetViews>
  <sheetFormatPr defaultRowHeight="17.25" customHeight="1"/>
  <cols>
    <col min="1" max="1" width="26.28515625" customWidth="1"/>
    <col min="2" max="2" width="20" customWidth="1"/>
    <col min="3" max="3" width="11.5703125" customWidth="1"/>
    <col min="4" max="4" width="2.7109375" hidden="1" customWidth="1"/>
    <col min="5" max="5" width="10.85546875" hidden="1" customWidth="1"/>
    <col min="6" max="6" width="0.85546875" hidden="1" customWidth="1"/>
    <col min="7" max="7" width="0.5703125" hidden="1" customWidth="1"/>
    <col min="8" max="11" width="11.7109375" hidden="1" customWidth="1"/>
    <col min="12" max="17" width="14.5703125" customWidth="1"/>
    <col min="18" max="22" width="14.5703125" style="17" customWidth="1"/>
    <col min="23" max="23" width="54.42578125" style="17" customWidth="1"/>
    <col min="24" max="27" width="9.140625" style="17"/>
    <col min="28" max="28" width="50.140625" style="17" bestFit="1" customWidth="1"/>
    <col min="29" max="296" width="9.140625" style="17"/>
  </cols>
  <sheetData>
    <row r="1" spans="1:296" ht="30" customHeight="1">
      <c r="A1" s="1020" t="s">
        <v>28</v>
      </c>
      <c r="B1" s="1020"/>
      <c r="C1" s="1020"/>
      <c r="D1" s="1020"/>
      <c r="E1" s="1020"/>
      <c r="F1" s="1020"/>
      <c r="G1" s="1020"/>
      <c r="H1" s="1020"/>
      <c r="I1" s="1020"/>
      <c r="J1" s="1020"/>
      <c r="K1" s="1020"/>
      <c r="L1" s="1020"/>
      <c r="M1" s="1020"/>
      <c r="N1" s="1020"/>
      <c r="O1" s="1020"/>
      <c r="P1" s="1020"/>
      <c r="Q1" s="1020"/>
      <c r="R1" s="1020"/>
      <c r="S1" s="1020"/>
      <c r="T1" s="1020"/>
      <c r="U1" s="1020"/>
      <c r="V1" s="1020"/>
      <c r="W1" s="32"/>
    </row>
    <row r="2" spans="1:296" s="692" customFormat="1" ht="15.75" customHeight="1">
      <c r="A2" s="664"/>
      <c r="B2" s="664"/>
      <c r="C2" s="664"/>
      <c r="D2" s="664"/>
      <c r="E2" s="664"/>
      <c r="F2" s="664"/>
      <c r="G2" s="664"/>
      <c r="H2" s="689">
        <v>2006</v>
      </c>
      <c r="I2" s="689">
        <v>2007</v>
      </c>
      <c r="J2" s="689">
        <v>2008</v>
      </c>
      <c r="K2" s="689">
        <v>2009</v>
      </c>
      <c r="L2" s="689">
        <v>2010</v>
      </c>
      <c r="M2" s="689">
        <v>2011</v>
      </c>
      <c r="N2" s="689">
        <v>2012</v>
      </c>
      <c r="O2" s="689">
        <v>2013</v>
      </c>
      <c r="P2" s="689">
        <v>2014</v>
      </c>
      <c r="Q2" s="689">
        <v>2015</v>
      </c>
      <c r="R2" s="689">
        <v>2016</v>
      </c>
      <c r="S2" s="689">
        <v>2017</v>
      </c>
      <c r="T2" s="689">
        <v>2018</v>
      </c>
      <c r="U2" s="689">
        <v>2019</v>
      </c>
      <c r="V2" s="690">
        <v>2020</v>
      </c>
      <c r="W2" s="691"/>
      <c r="X2" s="662"/>
      <c r="Y2" s="662"/>
      <c r="Z2" s="662"/>
      <c r="AA2" s="662"/>
      <c r="AB2" s="662"/>
      <c r="AC2" s="662"/>
      <c r="AD2" s="662"/>
      <c r="AE2" s="662"/>
      <c r="AF2" s="662"/>
      <c r="AG2" s="662"/>
      <c r="AH2" s="662"/>
      <c r="AI2" s="662"/>
      <c r="AJ2" s="662"/>
      <c r="AK2" s="662"/>
      <c r="AL2" s="662"/>
      <c r="AM2" s="662"/>
      <c r="AN2" s="662"/>
      <c r="AO2" s="662"/>
      <c r="AP2" s="662"/>
      <c r="AQ2" s="662"/>
      <c r="AR2" s="662"/>
      <c r="AS2" s="662"/>
      <c r="AT2" s="662"/>
      <c r="AU2" s="662"/>
      <c r="AV2" s="662"/>
      <c r="AW2" s="662"/>
      <c r="AX2" s="662"/>
      <c r="AY2" s="662"/>
      <c r="AZ2" s="662"/>
      <c r="BA2" s="662"/>
      <c r="BB2" s="662"/>
      <c r="BC2" s="662"/>
      <c r="BD2" s="662"/>
      <c r="BE2" s="662"/>
      <c r="BF2" s="662"/>
      <c r="BG2" s="662"/>
      <c r="BH2" s="662"/>
      <c r="BI2" s="662"/>
      <c r="BJ2" s="662"/>
      <c r="BK2" s="662"/>
      <c r="BL2" s="662"/>
      <c r="BM2" s="662"/>
      <c r="BN2" s="662"/>
      <c r="BO2" s="662"/>
      <c r="BP2" s="662"/>
      <c r="BQ2" s="662"/>
      <c r="BR2" s="662"/>
      <c r="BS2" s="662"/>
      <c r="BT2" s="662"/>
      <c r="BU2" s="662"/>
      <c r="BV2" s="662"/>
      <c r="BW2" s="662"/>
      <c r="BX2" s="662"/>
      <c r="BY2" s="662"/>
      <c r="BZ2" s="662"/>
      <c r="CA2" s="662"/>
      <c r="CB2" s="662"/>
      <c r="CC2" s="662"/>
      <c r="CD2" s="662"/>
      <c r="CE2" s="662"/>
      <c r="CF2" s="662"/>
      <c r="CG2" s="662"/>
      <c r="CH2" s="662"/>
      <c r="CI2" s="662"/>
      <c r="CJ2" s="662"/>
      <c r="CK2" s="662"/>
      <c r="CL2" s="662"/>
      <c r="CM2" s="662"/>
      <c r="CN2" s="662"/>
      <c r="CO2" s="662"/>
      <c r="CP2" s="662"/>
      <c r="CQ2" s="662"/>
      <c r="CR2" s="662"/>
      <c r="CS2" s="662"/>
      <c r="CT2" s="662"/>
      <c r="CU2" s="662"/>
      <c r="CV2" s="662"/>
      <c r="CW2" s="662"/>
      <c r="CX2" s="662"/>
      <c r="CY2" s="662"/>
      <c r="CZ2" s="662"/>
      <c r="DA2" s="662"/>
      <c r="DB2" s="662"/>
      <c r="DC2" s="662"/>
      <c r="DD2" s="662"/>
      <c r="DE2" s="662"/>
      <c r="DF2" s="662"/>
      <c r="DG2" s="662"/>
      <c r="DH2" s="662"/>
      <c r="DI2" s="662"/>
      <c r="DJ2" s="662"/>
      <c r="DK2" s="662"/>
      <c r="DL2" s="662"/>
      <c r="DM2" s="662"/>
      <c r="DN2" s="662"/>
      <c r="DO2" s="662"/>
      <c r="DP2" s="662"/>
      <c r="DQ2" s="662"/>
      <c r="DR2" s="662"/>
      <c r="DS2" s="662"/>
      <c r="DT2" s="662"/>
      <c r="DU2" s="662"/>
      <c r="DV2" s="662"/>
      <c r="DW2" s="662"/>
      <c r="DX2" s="662"/>
      <c r="DY2" s="662"/>
      <c r="DZ2" s="662"/>
      <c r="EA2" s="662"/>
      <c r="EB2" s="662"/>
      <c r="EC2" s="662"/>
      <c r="ED2" s="662"/>
      <c r="EE2" s="662"/>
      <c r="EF2" s="662"/>
      <c r="EG2" s="662"/>
      <c r="EH2" s="662"/>
      <c r="EI2" s="662"/>
      <c r="EJ2" s="662"/>
      <c r="EK2" s="662"/>
      <c r="EL2" s="662"/>
      <c r="EM2" s="662"/>
      <c r="EN2" s="662"/>
      <c r="EO2" s="662"/>
      <c r="EP2" s="662"/>
      <c r="EQ2" s="662"/>
      <c r="ER2" s="662"/>
      <c r="ES2" s="662"/>
      <c r="ET2" s="662"/>
      <c r="EU2" s="662"/>
      <c r="EV2" s="662"/>
      <c r="EW2" s="662"/>
      <c r="EX2" s="662"/>
      <c r="EY2" s="662"/>
      <c r="EZ2" s="662"/>
      <c r="FA2" s="662"/>
      <c r="FB2" s="662"/>
      <c r="FC2" s="662"/>
      <c r="FD2" s="662"/>
      <c r="FE2" s="662"/>
      <c r="FF2" s="662"/>
      <c r="FG2" s="662"/>
      <c r="FH2" s="662"/>
      <c r="FI2" s="662"/>
      <c r="FJ2" s="662"/>
      <c r="FK2" s="662"/>
      <c r="FL2" s="662"/>
      <c r="FM2" s="662"/>
      <c r="FN2" s="662"/>
      <c r="FO2" s="662"/>
      <c r="FP2" s="662"/>
      <c r="FQ2" s="662"/>
      <c r="FR2" s="662"/>
      <c r="FS2" s="662"/>
      <c r="FT2" s="662"/>
      <c r="FU2" s="662"/>
      <c r="FV2" s="662"/>
      <c r="FW2" s="662"/>
      <c r="FX2" s="662"/>
      <c r="FY2" s="662"/>
      <c r="FZ2" s="662"/>
      <c r="GA2" s="662"/>
      <c r="GB2" s="662"/>
      <c r="GC2" s="662"/>
      <c r="GD2" s="662"/>
      <c r="GE2" s="662"/>
      <c r="GF2" s="662"/>
      <c r="GG2" s="662"/>
      <c r="GH2" s="662"/>
      <c r="GI2" s="662"/>
      <c r="GJ2" s="662"/>
      <c r="GK2" s="662"/>
      <c r="GL2" s="662"/>
      <c r="GM2" s="662"/>
      <c r="GN2" s="662"/>
      <c r="GO2" s="662"/>
      <c r="GP2" s="662"/>
      <c r="GQ2" s="662"/>
      <c r="GR2" s="662"/>
      <c r="GS2" s="662"/>
      <c r="GT2" s="662"/>
      <c r="GU2" s="662"/>
      <c r="GV2" s="662"/>
      <c r="GW2" s="662"/>
      <c r="GX2" s="662"/>
      <c r="GY2" s="662"/>
      <c r="GZ2" s="662"/>
      <c r="HA2" s="662"/>
      <c r="HB2" s="662"/>
      <c r="HC2" s="662"/>
      <c r="HD2" s="662"/>
      <c r="HE2" s="662"/>
      <c r="HF2" s="662"/>
      <c r="HG2" s="662"/>
      <c r="HH2" s="662"/>
      <c r="HI2" s="662"/>
      <c r="HJ2" s="662"/>
      <c r="HK2" s="662"/>
      <c r="HL2" s="662"/>
      <c r="HM2" s="662"/>
      <c r="HN2" s="662"/>
      <c r="HO2" s="662"/>
      <c r="HP2" s="662"/>
      <c r="HQ2" s="662"/>
      <c r="HR2" s="662"/>
      <c r="HS2" s="662"/>
      <c r="HT2" s="662"/>
      <c r="HU2" s="662"/>
      <c r="HV2" s="662"/>
      <c r="HW2" s="662"/>
      <c r="HX2" s="662"/>
      <c r="HY2" s="662"/>
      <c r="HZ2" s="662"/>
      <c r="IA2" s="662"/>
      <c r="IB2" s="662"/>
      <c r="IC2" s="662"/>
      <c r="ID2" s="662"/>
      <c r="IE2" s="662"/>
      <c r="IF2" s="662"/>
      <c r="IG2" s="662"/>
      <c r="IH2" s="662"/>
      <c r="II2" s="662"/>
      <c r="IJ2" s="662"/>
      <c r="IK2" s="662"/>
      <c r="IL2" s="662"/>
      <c r="IM2" s="662"/>
      <c r="IN2" s="662"/>
      <c r="IO2" s="662"/>
      <c r="IP2" s="662"/>
      <c r="IQ2" s="662"/>
      <c r="IR2" s="662"/>
      <c r="IS2" s="662"/>
      <c r="IT2" s="662"/>
      <c r="IU2" s="662"/>
      <c r="IV2" s="662"/>
      <c r="IW2" s="662"/>
      <c r="IX2" s="662"/>
      <c r="IY2" s="662"/>
      <c r="IZ2" s="662"/>
      <c r="JA2" s="662"/>
      <c r="JB2" s="662"/>
      <c r="JC2" s="662"/>
      <c r="JD2" s="662"/>
      <c r="JE2" s="662"/>
      <c r="JF2" s="662"/>
      <c r="JG2" s="662"/>
      <c r="JH2" s="662"/>
      <c r="JI2" s="662"/>
      <c r="JJ2" s="662"/>
      <c r="JK2" s="662"/>
      <c r="JL2" s="662"/>
      <c r="JM2" s="662"/>
      <c r="JN2" s="662"/>
      <c r="JO2" s="662"/>
      <c r="JP2" s="662"/>
      <c r="JQ2" s="662"/>
      <c r="JR2" s="662"/>
      <c r="JS2" s="662"/>
      <c r="JT2" s="662"/>
      <c r="JU2" s="662"/>
      <c r="JV2" s="662"/>
      <c r="JW2" s="662"/>
      <c r="JX2" s="662"/>
      <c r="JY2" s="662"/>
      <c r="JZ2" s="662"/>
      <c r="KA2" s="662"/>
      <c r="KB2" s="662"/>
      <c r="KC2" s="662"/>
      <c r="KD2" s="662"/>
      <c r="KE2" s="662"/>
      <c r="KF2" s="662"/>
      <c r="KG2" s="662"/>
      <c r="KH2" s="662"/>
      <c r="KI2" s="662"/>
      <c r="KJ2" s="662"/>
    </row>
    <row r="3" spans="1:296" s="695" customFormat="1" ht="15.75" customHeight="1">
      <c r="A3" s="693" t="s">
        <v>444</v>
      </c>
      <c r="B3" s="693"/>
      <c r="C3" s="693"/>
      <c r="D3" s="693"/>
      <c r="E3" s="693"/>
      <c r="F3" s="693"/>
      <c r="G3" s="693"/>
      <c r="H3" s="694">
        <f>SUM(H4:H5)</f>
        <v>300466</v>
      </c>
      <c r="I3" s="694">
        <f t="shared" ref="I3:O3" si="0">SUM(I4:I5)</f>
        <v>304869</v>
      </c>
      <c r="J3" s="694">
        <f t="shared" si="0"/>
        <v>309575</v>
      </c>
      <c r="K3" s="694">
        <f t="shared" si="0"/>
        <v>314542</v>
      </c>
      <c r="L3" s="702">
        <f t="shared" si="0"/>
        <v>319738</v>
      </c>
      <c r="M3" s="702">
        <f t="shared" si="0"/>
        <v>325135</v>
      </c>
      <c r="N3" s="702">
        <f t="shared" si="0"/>
        <v>330652</v>
      </c>
      <c r="O3" s="702">
        <f t="shared" si="0"/>
        <v>336224</v>
      </c>
      <c r="P3" s="702">
        <v>437534.99999999994</v>
      </c>
      <c r="Q3" s="702">
        <v>454434.03481256991</v>
      </c>
      <c r="R3" s="702">
        <v>472425.99802255211</v>
      </c>
      <c r="S3" s="702">
        <v>491588.87801226816</v>
      </c>
      <c r="T3" s="702">
        <v>512037.63178813196</v>
      </c>
      <c r="U3" s="702">
        <v>533941.44321453234</v>
      </c>
      <c r="V3" s="702">
        <v>557426.11356369965</v>
      </c>
      <c r="W3" s="691"/>
      <c r="X3" s="680"/>
      <c r="Y3" s="680"/>
      <c r="Z3" s="680"/>
      <c r="AA3" s="680"/>
      <c r="AB3" s="680"/>
      <c r="AC3" s="680"/>
      <c r="AD3" s="680"/>
      <c r="AE3" s="680"/>
      <c r="AF3" s="680"/>
      <c r="AG3" s="680"/>
      <c r="AH3" s="680"/>
      <c r="AI3" s="680"/>
      <c r="AJ3" s="680"/>
      <c r="AK3" s="680"/>
      <c r="AL3" s="680"/>
      <c r="AM3" s="680"/>
      <c r="AN3" s="680"/>
      <c r="AO3" s="680"/>
      <c r="AP3" s="680"/>
      <c r="AQ3" s="680"/>
      <c r="AR3" s="680"/>
      <c r="AS3" s="680"/>
      <c r="AT3" s="680"/>
      <c r="AU3" s="680"/>
      <c r="AV3" s="680"/>
      <c r="AW3" s="680"/>
      <c r="AX3" s="680"/>
      <c r="AY3" s="680"/>
      <c r="AZ3" s="680"/>
      <c r="BA3" s="680"/>
      <c r="BB3" s="680"/>
      <c r="BC3" s="680"/>
      <c r="BD3" s="680"/>
      <c r="BE3" s="680"/>
      <c r="BF3" s="680"/>
      <c r="BG3" s="680"/>
      <c r="BH3" s="680"/>
      <c r="BI3" s="680"/>
      <c r="BJ3" s="680"/>
      <c r="BK3" s="680"/>
      <c r="BL3" s="680"/>
      <c r="BM3" s="680"/>
      <c r="BN3" s="680"/>
      <c r="BO3" s="680"/>
      <c r="BP3" s="680"/>
      <c r="BQ3" s="680"/>
      <c r="BR3" s="680"/>
      <c r="BS3" s="680"/>
      <c r="BT3" s="680"/>
      <c r="BU3" s="680"/>
      <c r="BV3" s="680"/>
      <c r="BW3" s="680"/>
      <c r="BX3" s="680"/>
      <c r="BY3" s="680"/>
      <c r="BZ3" s="680"/>
      <c r="CA3" s="680"/>
      <c r="CB3" s="680"/>
      <c r="CC3" s="680"/>
      <c r="CD3" s="680"/>
      <c r="CE3" s="680"/>
      <c r="CF3" s="680"/>
      <c r="CG3" s="680"/>
      <c r="CH3" s="680"/>
      <c r="CI3" s="680"/>
      <c r="CJ3" s="680"/>
      <c r="CK3" s="680"/>
      <c r="CL3" s="680"/>
      <c r="CM3" s="680"/>
      <c r="CN3" s="680"/>
      <c r="CO3" s="680"/>
      <c r="CP3" s="680"/>
      <c r="CQ3" s="680"/>
      <c r="CR3" s="680"/>
      <c r="CS3" s="680"/>
      <c r="CT3" s="680"/>
      <c r="CU3" s="680"/>
      <c r="CV3" s="680"/>
      <c r="CW3" s="680"/>
      <c r="CX3" s="680"/>
      <c r="CY3" s="680"/>
      <c r="CZ3" s="680"/>
      <c r="DA3" s="680"/>
      <c r="DB3" s="680"/>
      <c r="DC3" s="680"/>
      <c r="DD3" s="680"/>
      <c r="DE3" s="680"/>
      <c r="DF3" s="680"/>
      <c r="DG3" s="680"/>
      <c r="DH3" s="680"/>
      <c r="DI3" s="680"/>
      <c r="DJ3" s="680"/>
      <c r="DK3" s="680"/>
      <c r="DL3" s="680"/>
      <c r="DM3" s="680"/>
      <c r="DN3" s="680"/>
      <c r="DO3" s="680"/>
      <c r="DP3" s="680"/>
      <c r="DQ3" s="680"/>
      <c r="DR3" s="680"/>
      <c r="DS3" s="680"/>
      <c r="DT3" s="680"/>
      <c r="DU3" s="680"/>
      <c r="DV3" s="680"/>
      <c r="DW3" s="680"/>
      <c r="DX3" s="680"/>
      <c r="DY3" s="680"/>
      <c r="DZ3" s="680"/>
      <c r="EA3" s="680"/>
      <c r="EB3" s="680"/>
      <c r="EC3" s="680"/>
      <c r="ED3" s="680"/>
      <c r="EE3" s="680"/>
      <c r="EF3" s="680"/>
      <c r="EG3" s="680"/>
      <c r="EH3" s="680"/>
      <c r="EI3" s="680"/>
      <c r="EJ3" s="680"/>
      <c r="EK3" s="680"/>
      <c r="EL3" s="680"/>
      <c r="EM3" s="680"/>
      <c r="EN3" s="680"/>
      <c r="EO3" s="680"/>
      <c r="EP3" s="680"/>
      <c r="EQ3" s="680"/>
      <c r="ER3" s="680"/>
      <c r="ES3" s="680"/>
      <c r="ET3" s="680"/>
      <c r="EU3" s="680"/>
      <c r="EV3" s="680"/>
      <c r="EW3" s="680"/>
      <c r="EX3" s="680"/>
      <c r="EY3" s="680"/>
      <c r="EZ3" s="680"/>
      <c r="FA3" s="680"/>
      <c r="FB3" s="680"/>
      <c r="FC3" s="680"/>
      <c r="FD3" s="680"/>
      <c r="FE3" s="680"/>
      <c r="FF3" s="680"/>
      <c r="FG3" s="680"/>
      <c r="FH3" s="680"/>
      <c r="FI3" s="680"/>
      <c r="FJ3" s="680"/>
      <c r="FK3" s="680"/>
      <c r="FL3" s="680"/>
      <c r="FM3" s="680"/>
      <c r="FN3" s="680"/>
      <c r="FO3" s="680"/>
      <c r="FP3" s="680"/>
      <c r="FQ3" s="680"/>
      <c r="FR3" s="680"/>
      <c r="FS3" s="680"/>
      <c r="FT3" s="680"/>
      <c r="FU3" s="680"/>
      <c r="FV3" s="680"/>
      <c r="FW3" s="680"/>
      <c r="FX3" s="680"/>
      <c r="FY3" s="680"/>
      <c r="FZ3" s="680"/>
      <c r="GA3" s="680"/>
      <c r="GB3" s="680"/>
      <c r="GC3" s="680"/>
      <c r="GD3" s="680"/>
      <c r="GE3" s="680"/>
      <c r="GF3" s="680"/>
      <c r="GG3" s="680"/>
      <c r="GH3" s="680"/>
      <c r="GI3" s="680"/>
      <c r="GJ3" s="680"/>
      <c r="GK3" s="680"/>
      <c r="GL3" s="680"/>
      <c r="GM3" s="680"/>
      <c r="GN3" s="680"/>
      <c r="GO3" s="680"/>
      <c r="GP3" s="680"/>
      <c r="GQ3" s="680"/>
      <c r="GR3" s="680"/>
      <c r="GS3" s="680"/>
      <c r="GT3" s="680"/>
      <c r="GU3" s="680"/>
      <c r="GV3" s="680"/>
      <c r="GW3" s="680"/>
      <c r="GX3" s="680"/>
      <c r="GY3" s="680"/>
      <c r="GZ3" s="680"/>
      <c r="HA3" s="680"/>
      <c r="HB3" s="680"/>
      <c r="HC3" s="680"/>
      <c r="HD3" s="680"/>
      <c r="HE3" s="680"/>
      <c r="HF3" s="680"/>
      <c r="HG3" s="680"/>
      <c r="HH3" s="680"/>
      <c r="HI3" s="680"/>
      <c r="HJ3" s="680"/>
      <c r="HK3" s="680"/>
      <c r="HL3" s="680"/>
      <c r="HM3" s="680"/>
      <c r="HN3" s="680"/>
      <c r="HO3" s="680"/>
      <c r="HP3" s="680"/>
      <c r="HQ3" s="680"/>
      <c r="HR3" s="680"/>
      <c r="HS3" s="680"/>
      <c r="HT3" s="680"/>
      <c r="HU3" s="680"/>
      <c r="HV3" s="680"/>
      <c r="HW3" s="680"/>
      <c r="HX3" s="680"/>
      <c r="HY3" s="680"/>
      <c r="HZ3" s="680"/>
      <c r="IA3" s="680"/>
      <c r="IB3" s="680"/>
      <c r="IC3" s="680"/>
      <c r="ID3" s="680"/>
      <c r="IE3" s="680"/>
      <c r="IF3" s="680"/>
      <c r="IG3" s="680"/>
      <c r="IH3" s="680"/>
      <c r="II3" s="680"/>
      <c r="IJ3" s="680"/>
      <c r="IK3" s="680"/>
      <c r="IL3" s="680"/>
      <c r="IM3" s="680"/>
      <c r="IN3" s="680"/>
      <c r="IO3" s="680"/>
      <c r="IP3" s="680"/>
      <c r="IQ3" s="680"/>
      <c r="IR3" s="680"/>
      <c r="IS3" s="680"/>
      <c r="IT3" s="680"/>
      <c r="IU3" s="680"/>
      <c r="IV3" s="680"/>
      <c r="IW3" s="680"/>
      <c r="IX3" s="680"/>
      <c r="IY3" s="680"/>
      <c r="IZ3" s="680"/>
      <c r="JA3" s="680"/>
      <c r="JB3" s="680"/>
      <c r="JC3" s="680"/>
      <c r="JD3" s="680"/>
      <c r="JE3" s="680"/>
      <c r="JF3" s="680"/>
      <c r="JG3" s="680"/>
      <c r="JH3" s="680"/>
      <c r="JI3" s="680"/>
      <c r="JJ3" s="680"/>
      <c r="JK3" s="680"/>
      <c r="JL3" s="680"/>
      <c r="JM3" s="680"/>
      <c r="JN3" s="680"/>
      <c r="JO3" s="680"/>
      <c r="JP3" s="680"/>
      <c r="JQ3" s="680"/>
      <c r="JR3" s="680"/>
      <c r="JS3" s="680"/>
      <c r="JT3" s="680"/>
      <c r="JU3" s="680"/>
      <c r="JV3" s="680"/>
      <c r="JW3" s="680"/>
      <c r="JX3" s="680"/>
      <c r="JY3" s="680"/>
      <c r="JZ3" s="680"/>
      <c r="KA3" s="680"/>
      <c r="KB3" s="680"/>
      <c r="KC3" s="680"/>
      <c r="KD3" s="680"/>
      <c r="KE3" s="680"/>
      <c r="KF3" s="680"/>
      <c r="KG3" s="680"/>
      <c r="KH3" s="680"/>
      <c r="KI3" s="680"/>
      <c r="KJ3" s="680"/>
    </row>
    <row r="4" spans="1:296" s="699" customFormat="1" ht="17.25" customHeight="1">
      <c r="A4" s="696" t="s">
        <v>445</v>
      </c>
      <c r="B4" s="697"/>
      <c r="C4" s="697"/>
      <c r="D4" s="697"/>
      <c r="E4" s="697"/>
      <c r="F4" s="697"/>
      <c r="G4" s="697"/>
      <c r="H4" s="698">
        <v>300466</v>
      </c>
      <c r="I4" s="698">
        <v>304869</v>
      </c>
      <c r="J4" s="698">
        <v>309575</v>
      </c>
      <c r="K4" s="698">
        <v>314542</v>
      </c>
      <c r="L4" s="698">
        <v>319738</v>
      </c>
      <c r="M4" s="698">
        <v>325135</v>
      </c>
      <c r="N4" s="698">
        <v>330652</v>
      </c>
      <c r="O4" s="698">
        <v>336224</v>
      </c>
      <c r="P4" s="698">
        <v>339761</v>
      </c>
      <c r="Q4" s="698">
        <v>346377.05346864148</v>
      </c>
      <c r="R4" s="698">
        <v>353004.56474619964</v>
      </c>
      <c r="S4" s="698">
        <v>359607.78296033194</v>
      </c>
      <c r="T4" s="698">
        <v>366175.96380095434</v>
      </c>
      <c r="U4" s="698">
        <v>372739.36969309789</v>
      </c>
      <c r="V4" s="698">
        <v>379270.26997431798</v>
      </c>
      <c r="W4" s="691"/>
      <c r="X4" s="668"/>
      <c r="Y4" s="668"/>
      <c r="Z4" s="668"/>
      <c r="AA4" s="668"/>
      <c r="AB4" s="668"/>
      <c r="AC4" s="668"/>
      <c r="AD4" s="668"/>
      <c r="AE4" s="668"/>
      <c r="AF4" s="668"/>
      <c r="AG4" s="668"/>
      <c r="AH4" s="668"/>
      <c r="AI4" s="668"/>
      <c r="AJ4" s="668"/>
      <c r="AK4" s="668"/>
      <c r="AL4" s="668"/>
      <c r="AM4" s="668"/>
      <c r="AN4" s="668"/>
      <c r="AO4" s="668"/>
      <c r="AP4" s="668"/>
      <c r="AQ4" s="668"/>
      <c r="AR4" s="668"/>
      <c r="AS4" s="668"/>
      <c r="AT4" s="668"/>
      <c r="AU4" s="668"/>
      <c r="AV4" s="668"/>
      <c r="AW4" s="668"/>
      <c r="AX4" s="668"/>
      <c r="AY4" s="668"/>
      <c r="AZ4" s="668"/>
      <c r="BA4" s="668"/>
      <c r="BB4" s="668"/>
      <c r="BC4" s="668"/>
      <c r="BD4" s="668"/>
      <c r="BE4" s="668"/>
      <c r="BF4" s="668"/>
      <c r="BG4" s="668"/>
      <c r="BH4" s="668"/>
      <c r="BI4" s="668"/>
      <c r="BJ4" s="668"/>
      <c r="BK4" s="668"/>
      <c r="BL4" s="668"/>
      <c r="BM4" s="668"/>
      <c r="BN4" s="668"/>
      <c r="BO4" s="668"/>
      <c r="BP4" s="668"/>
      <c r="BQ4" s="668"/>
      <c r="BR4" s="668"/>
      <c r="BS4" s="668"/>
      <c r="BT4" s="668"/>
      <c r="BU4" s="668"/>
      <c r="BV4" s="668"/>
      <c r="BW4" s="668"/>
      <c r="BX4" s="668"/>
      <c r="BY4" s="668"/>
      <c r="BZ4" s="668"/>
      <c r="CA4" s="668"/>
      <c r="CB4" s="668"/>
      <c r="CC4" s="668"/>
      <c r="CD4" s="668"/>
      <c r="CE4" s="668"/>
      <c r="CF4" s="668"/>
      <c r="CG4" s="668"/>
      <c r="CH4" s="668"/>
      <c r="CI4" s="668"/>
      <c r="CJ4" s="668"/>
      <c r="CK4" s="668"/>
      <c r="CL4" s="668"/>
      <c r="CM4" s="668"/>
      <c r="CN4" s="668"/>
      <c r="CO4" s="668"/>
      <c r="CP4" s="668"/>
      <c r="CQ4" s="668"/>
      <c r="CR4" s="668"/>
      <c r="CS4" s="668"/>
      <c r="CT4" s="668"/>
      <c r="CU4" s="668"/>
      <c r="CV4" s="668"/>
      <c r="CW4" s="668"/>
      <c r="CX4" s="668"/>
      <c r="CY4" s="668"/>
      <c r="CZ4" s="668"/>
      <c r="DA4" s="668"/>
      <c r="DB4" s="668"/>
      <c r="DC4" s="668"/>
      <c r="DD4" s="668"/>
      <c r="DE4" s="668"/>
      <c r="DF4" s="668"/>
      <c r="DG4" s="668"/>
      <c r="DH4" s="668"/>
      <c r="DI4" s="668"/>
      <c r="DJ4" s="668"/>
      <c r="DK4" s="668"/>
      <c r="DL4" s="668"/>
      <c r="DM4" s="668"/>
      <c r="DN4" s="668"/>
      <c r="DO4" s="668"/>
      <c r="DP4" s="668"/>
      <c r="DQ4" s="668"/>
      <c r="DR4" s="668"/>
      <c r="DS4" s="668"/>
      <c r="DT4" s="668"/>
      <c r="DU4" s="668"/>
      <c r="DV4" s="668"/>
      <c r="DW4" s="668"/>
      <c r="DX4" s="668"/>
      <c r="DY4" s="668"/>
      <c r="DZ4" s="668"/>
      <c r="EA4" s="668"/>
      <c r="EB4" s="668"/>
      <c r="EC4" s="668"/>
      <c r="ED4" s="668"/>
      <c r="EE4" s="668"/>
      <c r="EF4" s="668"/>
      <c r="EG4" s="668"/>
      <c r="EH4" s="668"/>
      <c r="EI4" s="668"/>
      <c r="EJ4" s="668"/>
      <c r="EK4" s="668"/>
      <c r="EL4" s="668"/>
      <c r="EM4" s="668"/>
      <c r="EN4" s="668"/>
      <c r="EO4" s="668"/>
      <c r="EP4" s="668"/>
      <c r="EQ4" s="668"/>
      <c r="ER4" s="668"/>
      <c r="ES4" s="668"/>
      <c r="ET4" s="668"/>
      <c r="EU4" s="668"/>
      <c r="EV4" s="668"/>
      <c r="EW4" s="668"/>
      <c r="EX4" s="668"/>
      <c r="EY4" s="668"/>
      <c r="EZ4" s="668"/>
      <c r="FA4" s="668"/>
      <c r="FB4" s="668"/>
      <c r="FC4" s="668"/>
      <c r="FD4" s="668"/>
      <c r="FE4" s="668"/>
      <c r="FF4" s="668"/>
      <c r="FG4" s="668"/>
      <c r="FH4" s="668"/>
      <c r="FI4" s="668"/>
      <c r="FJ4" s="668"/>
      <c r="FK4" s="668"/>
      <c r="FL4" s="668"/>
      <c r="FM4" s="668"/>
      <c r="FN4" s="668"/>
      <c r="FO4" s="668"/>
      <c r="FP4" s="668"/>
      <c r="FQ4" s="668"/>
      <c r="FR4" s="668"/>
      <c r="FS4" s="668"/>
      <c r="FT4" s="668"/>
      <c r="FU4" s="668"/>
      <c r="FV4" s="668"/>
      <c r="FW4" s="668"/>
      <c r="FX4" s="668"/>
      <c r="FY4" s="668"/>
      <c r="FZ4" s="668"/>
      <c r="GA4" s="668"/>
      <c r="GB4" s="668"/>
      <c r="GC4" s="668"/>
      <c r="GD4" s="668"/>
      <c r="GE4" s="668"/>
      <c r="GF4" s="668"/>
      <c r="GG4" s="668"/>
      <c r="GH4" s="668"/>
      <c r="GI4" s="668"/>
      <c r="GJ4" s="668"/>
      <c r="GK4" s="668"/>
      <c r="GL4" s="668"/>
      <c r="GM4" s="668"/>
      <c r="GN4" s="668"/>
      <c r="GO4" s="668"/>
      <c r="GP4" s="668"/>
      <c r="GQ4" s="668"/>
      <c r="GR4" s="668"/>
      <c r="GS4" s="668"/>
      <c r="GT4" s="668"/>
      <c r="GU4" s="668"/>
      <c r="GV4" s="668"/>
      <c r="GW4" s="668"/>
      <c r="GX4" s="668"/>
      <c r="GY4" s="668"/>
      <c r="GZ4" s="668"/>
      <c r="HA4" s="668"/>
      <c r="HB4" s="668"/>
      <c r="HC4" s="668"/>
      <c r="HD4" s="668"/>
      <c r="HE4" s="668"/>
      <c r="HF4" s="668"/>
      <c r="HG4" s="668"/>
      <c r="HH4" s="668"/>
      <c r="HI4" s="668"/>
      <c r="HJ4" s="668"/>
      <c r="HK4" s="668"/>
      <c r="HL4" s="668"/>
      <c r="HM4" s="668"/>
      <c r="HN4" s="668"/>
      <c r="HO4" s="668"/>
      <c r="HP4" s="668"/>
      <c r="HQ4" s="668"/>
      <c r="HR4" s="668"/>
      <c r="HS4" s="668"/>
      <c r="HT4" s="668"/>
      <c r="HU4" s="668"/>
      <c r="HV4" s="668"/>
      <c r="HW4" s="668"/>
      <c r="HX4" s="668"/>
      <c r="HY4" s="668"/>
      <c r="HZ4" s="668"/>
      <c r="IA4" s="668"/>
      <c r="IB4" s="668"/>
      <c r="IC4" s="668"/>
      <c r="ID4" s="668"/>
      <c r="IE4" s="668"/>
      <c r="IF4" s="668"/>
      <c r="IG4" s="668"/>
      <c r="IH4" s="668"/>
      <c r="II4" s="668"/>
      <c r="IJ4" s="668"/>
      <c r="IK4" s="668"/>
      <c r="IL4" s="668"/>
      <c r="IM4" s="668"/>
      <c r="IN4" s="668"/>
      <c r="IO4" s="668"/>
      <c r="IP4" s="668"/>
      <c r="IQ4" s="668"/>
      <c r="IR4" s="668"/>
      <c r="IS4" s="668"/>
      <c r="IT4" s="668"/>
      <c r="IU4" s="668"/>
      <c r="IV4" s="668"/>
      <c r="IW4" s="668"/>
      <c r="IX4" s="668"/>
      <c r="IY4" s="668"/>
      <c r="IZ4" s="668"/>
      <c r="JA4" s="668"/>
      <c r="JB4" s="668"/>
      <c r="JC4" s="668"/>
      <c r="JD4" s="668"/>
      <c r="JE4" s="668"/>
      <c r="JF4" s="668"/>
      <c r="JG4" s="668"/>
      <c r="JH4" s="668"/>
      <c r="JI4" s="668"/>
      <c r="JJ4" s="668"/>
      <c r="JK4" s="668"/>
      <c r="JL4" s="668"/>
      <c r="JM4" s="668"/>
      <c r="JN4" s="668"/>
      <c r="JO4" s="668"/>
      <c r="JP4" s="668"/>
      <c r="JQ4" s="668"/>
      <c r="JR4" s="668"/>
      <c r="JS4" s="668"/>
      <c r="JT4" s="668"/>
      <c r="JU4" s="668"/>
      <c r="JV4" s="668"/>
      <c r="JW4" s="668"/>
      <c r="JX4" s="668"/>
      <c r="JY4" s="668"/>
      <c r="JZ4" s="668"/>
      <c r="KA4" s="668"/>
      <c r="KB4" s="668"/>
      <c r="KC4" s="668"/>
      <c r="KD4" s="668"/>
      <c r="KE4" s="668"/>
      <c r="KF4" s="668"/>
      <c r="KG4" s="668"/>
      <c r="KH4" s="668"/>
      <c r="KI4" s="668"/>
      <c r="KJ4" s="668"/>
    </row>
    <row r="5" spans="1:296" s="699" customFormat="1" ht="17.25" customHeight="1">
      <c r="A5" s="700" t="s">
        <v>446</v>
      </c>
      <c r="B5" s="693"/>
      <c r="C5" s="693"/>
      <c r="D5" s="693"/>
      <c r="E5" s="693"/>
      <c r="F5" s="693"/>
      <c r="G5" s="693"/>
      <c r="H5" s="701" t="s">
        <v>29</v>
      </c>
      <c r="I5" s="701" t="s">
        <v>29</v>
      </c>
      <c r="J5" s="701" t="s">
        <v>29</v>
      </c>
      <c r="K5" s="701" t="s">
        <v>29</v>
      </c>
      <c r="L5" s="701" t="s">
        <v>29</v>
      </c>
      <c r="M5" s="701" t="s">
        <v>29</v>
      </c>
      <c r="N5" s="701" t="s">
        <v>29</v>
      </c>
      <c r="O5" s="701" t="s">
        <v>29</v>
      </c>
      <c r="P5" s="702">
        <v>97774</v>
      </c>
      <c r="Q5" s="702">
        <v>108056.98134392835</v>
      </c>
      <c r="R5" s="702">
        <v>119421.4332763525</v>
      </c>
      <c r="S5" s="702">
        <v>131981.09505193616</v>
      </c>
      <c r="T5" s="702">
        <v>145861.66798717761</v>
      </c>
      <c r="U5" s="702">
        <v>161202.07352143439</v>
      </c>
      <c r="V5" s="702">
        <v>178155.84358938201</v>
      </c>
      <c r="W5" s="691"/>
      <c r="X5" s="668"/>
      <c r="Y5" s="668"/>
      <c r="Z5" s="668"/>
      <c r="AA5" s="668"/>
      <c r="AB5" s="668"/>
      <c r="AC5" s="668"/>
      <c r="AD5" s="668"/>
      <c r="AE5" s="668"/>
      <c r="AF5" s="668"/>
      <c r="AG5" s="668"/>
      <c r="AH5" s="668"/>
      <c r="AI5" s="668"/>
      <c r="AJ5" s="668"/>
      <c r="AK5" s="668"/>
      <c r="AL5" s="668"/>
      <c r="AM5" s="668"/>
      <c r="AN5" s="668"/>
      <c r="AO5" s="668"/>
      <c r="AP5" s="668"/>
      <c r="AQ5" s="668"/>
      <c r="AR5" s="668"/>
      <c r="AS5" s="668"/>
      <c r="AT5" s="668"/>
      <c r="AU5" s="668"/>
      <c r="AV5" s="668"/>
      <c r="AW5" s="668"/>
      <c r="AX5" s="668"/>
      <c r="AY5" s="668"/>
      <c r="AZ5" s="668"/>
      <c r="BA5" s="668"/>
      <c r="BB5" s="668"/>
      <c r="BC5" s="668"/>
      <c r="BD5" s="668"/>
      <c r="BE5" s="668"/>
      <c r="BF5" s="668"/>
      <c r="BG5" s="668"/>
      <c r="BH5" s="668"/>
      <c r="BI5" s="668"/>
      <c r="BJ5" s="668"/>
      <c r="BK5" s="668"/>
      <c r="BL5" s="668"/>
      <c r="BM5" s="668"/>
      <c r="BN5" s="668"/>
      <c r="BO5" s="668"/>
      <c r="BP5" s="668"/>
      <c r="BQ5" s="668"/>
      <c r="BR5" s="668"/>
      <c r="BS5" s="668"/>
      <c r="BT5" s="668"/>
      <c r="BU5" s="668"/>
      <c r="BV5" s="668"/>
      <c r="BW5" s="668"/>
      <c r="BX5" s="668"/>
      <c r="BY5" s="668"/>
      <c r="BZ5" s="668"/>
      <c r="CA5" s="668"/>
      <c r="CB5" s="668"/>
      <c r="CC5" s="668"/>
      <c r="CD5" s="668"/>
      <c r="CE5" s="668"/>
      <c r="CF5" s="668"/>
      <c r="CG5" s="668"/>
      <c r="CH5" s="668"/>
      <c r="CI5" s="668"/>
      <c r="CJ5" s="668"/>
      <c r="CK5" s="668"/>
      <c r="CL5" s="668"/>
      <c r="CM5" s="668"/>
      <c r="CN5" s="668"/>
      <c r="CO5" s="668"/>
      <c r="CP5" s="668"/>
      <c r="CQ5" s="668"/>
      <c r="CR5" s="668"/>
      <c r="CS5" s="668"/>
      <c r="CT5" s="668"/>
      <c r="CU5" s="668"/>
      <c r="CV5" s="668"/>
      <c r="CW5" s="668"/>
      <c r="CX5" s="668"/>
      <c r="CY5" s="668"/>
      <c r="CZ5" s="668"/>
      <c r="DA5" s="668"/>
      <c r="DB5" s="668"/>
      <c r="DC5" s="668"/>
      <c r="DD5" s="668"/>
      <c r="DE5" s="668"/>
      <c r="DF5" s="668"/>
      <c r="DG5" s="668"/>
      <c r="DH5" s="668"/>
      <c r="DI5" s="668"/>
      <c r="DJ5" s="668"/>
      <c r="DK5" s="668"/>
      <c r="DL5" s="668"/>
      <c r="DM5" s="668"/>
      <c r="DN5" s="668"/>
      <c r="DO5" s="668"/>
      <c r="DP5" s="668"/>
      <c r="DQ5" s="668"/>
      <c r="DR5" s="668"/>
      <c r="DS5" s="668"/>
      <c r="DT5" s="668"/>
      <c r="DU5" s="668"/>
      <c r="DV5" s="668"/>
      <c r="DW5" s="668"/>
      <c r="DX5" s="668"/>
      <c r="DY5" s="668"/>
      <c r="DZ5" s="668"/>
      <c r="EA5" s="668"/>
      <c r="EB5" s="668"/>
      <c r="EC5" s="668"/>
      <c r="ED5" s="668"/>
      <c r="EE5" s="668"/>
      <c r="EF5" s="668"/>
      <c r="EG5" s="668"/>
      <c r="EH5" s="668"/>
      <c r="EI5" s="668"/>
      <c r="EJ5" s="668"/>
      <c r="EK5" s="668"/>
      <c r="EL5" s="668"/>
      <c r="EM5" s="668"/>
      <c r="EN5" s="668"/>
      <c r="EO5" s="668"/>
      <c r="EP5" s="668"/>
      <c r="EQ5" s="668"/>
      <c r="ER5" s="668"/>
      <c r="ES5" s="668"/>
      <c r="ET5" s="668"/>
      <c r="EU5" s="668"/>
      <c r="EV5" s="668"/>
      <c r="EW5" s="668"/>
      <c r="EX5" s="668"/>
      <c r="EY5" s="668"/>
      <c r="EZ5" s="668"/>
      <c r="FA5" s="668"/>
      <c r="FB5" s="668"/>
      <c r="FC5" s="668"/>
      <c r="FD5" s="668"/>
      <c r="FE5" s="668"/>
      <c r="FF5" s="668"/>
      <c r="FG5" s="668"/>
      <c r="FH5" s="668"/>
      <c r="FI5" s="668"/>
      <c r="FJ5" s="668"/>
      <c r="FK5" s="668"/>
      <c r="FL5" s="668"/>
      <c r="FM5" s="668"/>
      <c r="FN5" s="668"/>
      <c r="FO5" s="668"/>
      <c r="FP5" s="668"/>
      <c r="FQ5" s="668"/>
      <c r="FR5" s="668"/>
      <c r="FS5" s="668"/>
      <c r="FT5" s="668"/>
      <c r="FU5" s="668"/>
      <c r="FV5" s="668"/>
      <c r="FW5" s="668"/>
      <c r="FX5" s="668"/>
      <c r="FY5" s="668"/>
      <c r="FZ5" s="668"/>
      <c r="GA5" s="668"/>
      <c r="GB5" s="668"/>
      <c r="GC5" s="668"/>
      <c r="GD5" s="668"/>
      <c r="GE5" s="668"/>
      <c r="GF5" s="668"/>
      <c r="GG5" s="668"/>
      <c r="GH5" s="668"/>
      <c r="GI5" s="668"/>
      <c r="GJ5" s="668"/>
      <c r="GK5" s="668"/>
      <c r="GL5" s="668"/>
      <c r="GM5" s="668"/>
      <c r="GN5" s="668"/>
      <c r="GO5" s="668"/>
      <c r="GP5" s="668"/>
      <c r="GQ5" s="668"/>
      <c r="GR5" s="668"/>
      <c r="GS5" s="668"/>
      <c r="GT5" s="668"/>
      <c r="GU5" s="668"/>
      <c r="GV5" s="668"/>
      <c r="GW5" s="668"/>
      <c r="GX5" s="668"/>
      <c r="GY5" s="668"/>
      <c r="GZ5" s="668"/>
      <c r="HA5" s="668"/>
      <c r="HB5" s="668"/>
      <c r="HC5" s="668"/>
      <c r="HD5" s="668"/>
      <c r="HE5" s="668"/>
      <c r="HF5" s="668"/>
      <c r="HG5" s="668"/>
      <c r="HH5" s="668"/>
      <c r="HI5" s="668"/>
      <c r="HJ5" s="668"/>
      <c r="HK5" s="668"/>
      <c r="HL5" s="668"/>
      <c r="HM5" s="668"/>
      <c r="HN5" s="668"/>
      <c r="HO5" s="668"/>
      <c r="HP5" s="668"/>
      <c r="HQ5" s="668"/>
      <c r="HR5" s="668"/>
      <c r="HS5" s="668"/>
      <c r="HT5" s="668"/>
      <c r="HU5" s="668"/>
      <c r="HV5" s="668"/>
      <c r="HW5" s="668"/>
      <c r="HX5" s="668"/>
      <c r="HY5" s="668"/>
      <c r="HZ5" s="668"/>
      <c r="IA5" s="668"/>
      <c r="IB5" s="668"/>
      <c r="IC5" s="668"/>
      <c r="ID5" s="668"/>
      <c r="IE5" s="668"/>
      <c r="IF5" s="668"/>
      <c r="IG5" s="668"/>
      <c r="IH5" s="668"/>
      <c r="II5" s="668"/>
      <c r="IJ5" s="668"/>
      <c r="IK5" s="668"/>
      <c r="IL5" s="668"/>
      <c r="IM5" s="668"/>
      <c r="IN5" s="668"/>
      <c r="IO5" s="668"/>
      <c r="IP5" s="668"/>
      <c r="IQ5" s="668"/>
      <c r="IR5" s="668"/>
      <c r="IS5" s="668"/>
      <c r="IT5" s="668"/>
      <c r="IU5" s="668"/>
      <c r="IV5" s="668"/>
      <c r="IW5" s="668"/>
      <c r="IX5" s="668"/>
      <c r="IY5" s="668"/>
      <c r="IZ5" s="668"/>
      <c r="JA5" s="668"/>
      <c r="JB5" s="668"/>
      <c r="JC5" s="668"/>
      <c r="JD5" s="668"/>
      <c r="JE5" s="668"/>
      <c r="JF5" s="668"/>
      <c r="JG5" s="668"/>
      <c r="JH5" s="668"/>
      <c r="JI5" s="668"/>
      <c r="JJ5" s="668"/>
      <c r="JK5" s="668"/>
      <c r="JL5" s="668"/>
      <c r="JM5" s="668"/>
      <c r="JN5" s="668"/>
      <c r="JO5" s="668"/>
      <c r="JP5" s="668"/>
      <c r="JQ5" s="668"/>
      <c r="JR5" s="668"/>
      <c r="JS5" s="668"/>
      <c r="JT5" s="668"/>
      <c r="JU5" s="668"/>
      <c r="JV5" s="668"/>
      <c r="JW5" s="668"/>
      <c r="JX5" s="668"/>
      <c r="JY5" s="668"/>
      <c r="JZ5" s="668"/>
      <c r="KA5" s="668"/>
      <c r="KB5" s="668"/>
      <c r="KC5" s="668"/>
      <c r="KD5" s="668"/>
      <c r="KE5" s="668"/>
      <c r="KF5" s="668"/>
      <c r="KG5" s="668"/>
      <c r="KH5" s="668"/>
      <c r="KI5" s="668"/>
      <c r="KJ5" s="668"/>
    </row>
    <row r="6" spans="1:296" s="699" customFormat="1" ht="15.75" customHeight="1">
      <c r="A6" s="703" t="s">
        <v>447</v>
      </c>
      <c r="B6" s="703"/>
      <c r="C6" s="703"/>
      <c r="D6" s="703"/>
      <c r="E6" s="703"/>
      <c r="F6" s="703"/>
      <c r="G6" s="703"/>
      <c r="H6" s="689"/>
      <c r="I6" s="689"/>
      <c r="J6" s="689"/>
      <c r="K6" s="689"/>
      <c r="L6" s="689"/>
      <c r="M6" s="689"/>
      <c r="N6" s="689"/>
      <c r="O6" s="689"/>
      <c r="P6" s="689"/>
      <c r="Q6" s="689"/>
      <c r="R6" s="689"/>
      <c r="S6" s="689"/>
      <c r="T6" s="689"/>
      <c r="U6" s="704"/>
      <c r="V6" s="704"/>
      <c r="W6" s="691"/>
      <c r="X6" s="668"/>
      <c r="Y6" s="668"/>
      <c r="Z6" s="668"/>
      <c r="AA6" s="668"/>
      <c r="AB6" s="668"/>
      <c r="AC6" s="668"/>
      <c r="AD6" s="668"/>
      <c r="AE6" s="668"/>
      <c r="AF6" s="668"/>
      <c r="AG6" s="668"/>
      <c r="AH6" s="668"/>
      <c r="AI6" s="668"/>
      <c r="AJ6" s="668"/>
      <c r="AK6" s="668"/>
      <c r="AL6" s="668"/>
      <c r="AM6" s="668"/>
      <c r="AN6" s="668"/>
      <c r="AO6" s="668"/>
      <c r="AP6" s="668"/>
      <c r="AQ6" s="668"/>
      <c r="AR6" s="668"/>
      <c r="AS6" s="668"/>
      <c r="AT6" s="668"/>
      <c r="AU6" s="668"/>
      <c r="AV6" s="668"/>
      <c r="AW6" s="668"/>
      <c r="AX6" s="668"/>
      <c r="AY6" s="668"/>
      <c r="AZ6" s="668"/>
      <c r="BA6" s="668"/>
      <c r="BB6" s="668"/>
      <c r="BC6" s="668"/>
      <c r="BD6" s="668"/>
      <c r="BE6" s="668"/>
      <c r="BF6" s="668"/>
      <c r="BG6" s="668"/>
      <c r="BH6" s="668"/>
      <c r="BI6" s="668"/>
      <c r="BJ6" s="668"/>
      <c r="BK6" s="668"/>
      <c r="BL6" s="668"/>
      <c r="BM6" s="668"/>
      <c r="BN6" s="668"/>
      <c r="BO6" s="668"/>
      <c r="BP6" s="668"/>
      <c r="BQ6" s="668"/>
      <c r="BR6" s="668"/>
      <c r="BS6" s="668"/>
      <c r="BT6" s="668"/>
      <c r="BU6" s="668"/>
      <c r="BV6" s="668"/>
      <c r="BW6" s="668"/>
      <c r="BX6" s="668"/>
      <c r="BY6" s="668"/>
      <c r="BZ6" s="668"/>
      <c r="CA6" s="668"/>
      <c r="CB6" s="668"/>
      <c r="CC6" s="668"/>
      <c r="CD6" s="668"/>
      <c r="CE6" s="668"/>
      <c r="CF6" s="668"/>
      <c r="CG6" s="668"/>
      <c r="CH6" s="668"/>
      <c r="CI6" s="668"/>
      <c r="CJ6" s="668"/>
      <c r="CK6" s="668"/>
      <c r="CL6" s="668"/>
      <c r="CM6" s="668"/>
      <c r="CN6" s="668"/>
      <c r="CO6" s="668"/>
      <c r="CP6" s="668"/>
      <c r="CQ6" s="668"/>
      <c r="CR6" s="668"/>
      <c r="CS6" s="668"/>
      <c r="CT6" s="668"/>
      <c r="CU6" s="668"/>
      <c r="CV6" s="668"/>
      <c r="CW6" s="668"/>
      <c r="CX6" s="668"/>
      <c r="CY6" s="668"/>
      <c r="CZ6" s="668"/>
      <c r="DA6" s="668"/>
      <c r="DB6" s="668"/>
      <c r="DC6" s="668"/>
      <c r="DD6" s="668"/>
      <c r="DE6" s="668"/>
      <c r="DF6" s="668"/>
      <c r="DG6" s="668"/>
      <c r="DH6" s="668"/>
      <c r="DI6" s="668"/>
      <c r="DJ6" s="668"/>
      <c r="DK6" s="668"/>
      <c r="DL6" s="668"/>
      <c r="DM6" s="668"/>
      <c r="DN6" s="668"/>
      <c r="DO6" s="668"/>
      <c r="DP6" s="668"/>
      <c r="DQ6" s="668"/>
      <c r="DR6" s="668"/>
      <c r="DS6" s="668"/>
      <c r="DT6" s="668"/>
      <c r="DU6" s="668"/>
      <c r="DV6" s="668"/>
      <c r="DW6" s="668"/>
      <c r="DX6" s="668"/>
      <c r="DY6" s="668"/>
      <c r="DZ6" s="668"/>
      <c r="EA6" s="668"/>
      <c r="EB6" s="668"/>
      <c r="EC6" s="668"/>
      <c r="ED6" s="668"/>
      <c r="EE6" s="668"/>
      <c r="EF6" s="668"/>
      <c r="EG6" s="668"/>
      <c r="EH6" s="668"/>
      <c r="EI6" s="668"/>
      <c r="EJ6" s="668"/>
      <c r="EK6" s="668"/>
      <c r="EL6" s="668"/>
      <c r="EM6" s="668"/>
      <c r="EN6" s="668"/>
      <c r="EO6" s="668"/>
      <c r="EP6" s="668"/>
      <c r="EQ6" s="668"/>
      <c r="ER6" s="668"/>
      <c r="ES6" s="668"/>
      <c r="ET6" s="668"/>
      <c r="EU6" s="668"/>
      <c r="EV6" s="668"/>
      <c r="EW6" s="668"/>
      <c r="EX6" s="668"/>
      <c r="EY6" s="668"/>
      <c r="EZ6" s="668"/>
      <c r="FA6" s="668"/>
      <c r="FB6" s="668"/>
      <c r="FC6" s="668"/>
      <c r="FD6" s="668"/>
      <c r="FE6" s="668"/>
      <c r="FF6" s="668"/>
      <c r="FG6" s="668"/>
      <c r="FH6" s="668"/>
      <c r="FI6" s="668"/>
      <c r="FJ6" s="668"/>
      <c r="FK6" s="668"/>
      <c r="FL6" s="668"/>
      <c r="FM6" s="668"/>
      <c r="FN6" s="668"/>
      <c r="FO6" s="668"/>
      <c r="FP6" s="668"/>
      <c r="FQ6" s="668"/>
      <c r="FR6" s="668"/>
      <c r="FS6" s="668"/>
      <c r="FT6" s="668"/>
      <c r="FU6" s="668"/>
      <c r="FV6" s="668"/>
      <c r="FW6" s="668"/>
      <c r="FX6" s="668"/>
      <c r="FY6" s="668"/>
      <c r="FZ6" s="668"/>
      <c r="GA6" s="668"/>
      <c r="GB6" s="668"/>
      <c r="GC6" s="668"/>
      <c r="GD6" s="668"/>
      <c r="GE6" s="668"/>
      <c r="GF6" s="668"/>
      <c r="GG6" s="668"/>
      <c r="GH6" s="668"/>
      <c r="GI6" s="668"/>
      <c r="GJ6" s="668"/>
      <c r="GK6" s="668"/>
      <c r="GL6" s="668"/>
      <c r="GM6" s="668"/>
      <c r="GN6" s="668"/>
      <c r="GO6" s="668"/>
      <c r="GP6" s="668"/>
      <c r="GQ6" s="668"/>
      <c r="GR6" s="668"/>
      <c r="GS6" s="668"/>
      <c r="GT6" s="668"/>
      <c r="GU6" s="668"/>
      <c r="GV6" s="668"/>
      <c r="GW6" s="668"/>
      <c r="GX6" s="668"/>
      <c r="GY6" s="668"/>
      <c r="GZ6" s="668"/>
      <c r="HA6" s="668"/>
      <c r="HB6" s="668"/>
      <c r="HC6" s="668"/>
      <c r="HD6" s="668"/>
      <c r="HE6" s="668"/>
      <c r="HF6" s="668"/>
      <c r="HG6" s="668"/>
      <c r="HH6" s="668"/>
      <c r="HI6" s="668"/>
      <c r="HJ6" s="668"/>
      <c r="HK6" s="668"/>
      <c r="HL6" s="668"/>
      <c r="HM6" s="668"/>
      <c r="HN6" s="668"/>
      <c r="HO6" s="668"/>
      <c r="HP6" s="668"/>
      <c r="HQ6" s="668"/>
      <c r="HR6" s="668"/>
      <c r="HS6" s="668"/>
      <c r="HT6" s="668"/>
      <c r="HU6" s="668"/>
      <c r="HV6" s="668"/>
      <c r="HW6" s="668"/>
      <c r="HX6" s="668"/>
      <c r="HY6" s="668"/>
      <c r="HZ6" s="668"/>
      <c r="IA6" s="668"/>
      <c r="IB6" s="668"/>
      <c r="IC6" s="668"/>
      <c r="ID6" s="668"/>
      <c r="IE6" s="668"/>
      <c r="IF6" s="668"/>
      <c r="IG6" s="668"/>
      <c r="IH6" s="668"/>
      <c r="II6" s="668"/>
      <c r="IJ6" s="668"/>
      <c r="IK6" s="668"/>
      <c r="IL6" s="668"/>
      <c r="IM6" s="668"/>
      <c r="IN6" s="668"/>
      <c r="IO6" s="668"/>
      <c r="IP6" s="668"/>
      <c r="IQ6" s="668"/>
      <c r="IR6" s="668"/>
      <c r="IS6" s="668"/>
      <c r="IT6" s="668"/>
      <c r="IU6" s="668"/>
      <c r="IV6" s="668"/>
      <c r="IW6" s="668"/>
      <c r="IX6" s="668"/>
      <c r="IY6" s="668"/>
      <c r="IZ6" s="668"/>
      <c r="JA6" s="668"/>
      <c r="JB6" s="668"/>
      <c r="JC6" s="668"/>
      <c r="JD6" s="668"/>
      <c r="JE6" s="668"/>
      <c r="JF6" s="668"/>
      <c r="JG6" s="668"/>
      <c r="JH6" s="668"/>
      <c r="JI6" s="668"/>
      <c r="JJ6" s="668"/>
      <c r="JK6" s="668"/>
      <c r="JL6" s="668"/>
      <c r="JM6" s="668"/>
      <c r="JN6" s="668"/>
      <c r="JO6" s="668"/>
      <c r="JP6" s="668"/>
      <c r="JQ6" s="668"/>
      <c r="JR6" s="668"/>
      <c r="JS6" s="668"/>
      <c r="JT6" s="668"/>
      <c r="JU6" s="668"/>
      <c r="JV6" s="668"/>
      <c r="JW6" s="668"/>
      <c r="JX6" s="668"/>
      <c r="JY6" s="668"/>
      <c r="JZ6" s="668"/>
      <c r="KA6" s="668"/>
      <c r="KB6" s="668"/>
      <c r="KC6" s="668"/>
      <c r="KD6" s="668"/>
      <c r="KE6" s="668"/>
      <c r="KF6" s="668"/>
      <c r="KG6" s="668"/>
      <c r="KH6" s="668"/>
      <c r="KI6" s="668"/>
      <c r="KJ6" s="668"/>
    </row>
    <row r="7" spans="1:296" s="668" customFormat="1" ht="15.75" customHeight="1">
      <c r="A7" s="705" t="s">
        <v>41</v>
      </c>
      <c r="C7" s="693"/>
      <c r="D7" s="693"/>
      <c r="E7" s="693"/>
      <c r="F7" s="693"/>
      <c r="G7" s="693"/>
      <c r="H7" s="702">
        <v>5827</v>
      </c>
      <c r="I7" s="702">
        <v>6569</v>
      </c>
      <c r="J7" s="702">
        <v>6946</v>
      </c>
      <c r="K7" s="702">
        <v>7336</v>
      </c>
      <c r="L7" s="702">
        <v>7115</v>
      </c>
      <c r="M7" s="702">
        <v>7182</v>
      </c>
      <c r="N7" s="702">
        <v>7431</v>
      </c>
      <c r="O7" s="702">
        <v>7153</v>
      </c>
      <c r="P7" s="702">
        <v>7245</v>
      </c>
      <c r="Q7" s="702">
        <v>6986</v>
      </c>
      <c r="R7" s="702">
        <v>6756</v>
      </c>
      <c r="S7" s="702">
        <v>6723</v>
      </c>
      <c r="T7" s="702">
        <v>6586</v>
      </c>
      <c r="U7" s="702">
        <v>6153</v>
      </c>
      <c r="V7" s="702">
        <v>6293</v>
      </c>
      <c r="W7" s="691"/>
    </row>
    <row r="8" spans="1:296" s="699" customFormat="1" ht="15.75" customHeight="1">
      <c r="A8" s="706" t="s">
        <v>42</v>
      </c>
      <c r="B8" s="703"/>
      <c r="C8" s="703"/>
      <c r="D8" s="703"/>
      <c r="E8" s="703"/>
      <c r="F8" s="703"/>
      <c r="G8" s="703"/>
      <c r="H8" s="698">
        <v>1084</v>
      </c>
      <c r="I8" s="698">
        <v>1118</v>
      </c>
      <c r="J8" s="698">
        <v>1061</v>
      </c>
      <c r="K8" s="698">
        <v>1158</v>
      </c>
      <c r="L8" s="698">
        <v>1105</v>
      </c>
      <c r="M8" s="698">
        <v>1137</v>
      </c>
      <c r="N8" s="698">
        <v>1135</v>
      </c>
      <c r="O8" s="698">
        <v>1120</v>
      </c>
      <c r="P8" s="698">
        <v>1143</v>
      </c>
      <c r="Q8" s="698">
        <v>1130</v>
      </c>
      <c r="R8" s="698">
        <v>1226</v>
      </c>
      <c r="S8" s="698">
        <v>1241</v>
      </c>
      <c r="T8" s="698">
        <v>1300</v>
      </c>
      <c r="U8" s="698">
        <v>1132</v>
      </c>
      <c r="V8" s="698">
        <v>1275</v>
      </c>
      <c r="W8" s="691"/>
      <c r="X8" s="668"/>
      <c r="Y8" s="668"/>
      <c r="Z8" s="668"/>
      <c r="AA8" s="668"/>
      <c r="AB8" s="668"/>
      <c r="AC8" s="668"/>
      <c r="AD8" s="668"/>
      <c r="AE8" s="668"/>
      <c r="AF8" s="668"/>
      <c r="AG8" s="668"/>
      <c r="AH8" s="668"/>
      <c r="AI8" s="668"/>
      <c r="AJ8" s="668"/>
      <c r="AK8" s="668"/>
      <c r="AL8" s="668"/>
      <c r="AM8" s="668"/>
      <c r="AN8" s="668"/>
      <c r="AO8" s="668"/>
      <c r="AP8" s="668"/>
      <c r="AQ8" s="668"/>
      <c r="AR8" s="668"/>
      <c r="AS8" s="668"/>
      <c r="AT8" s="668"/>
      <c r="AU8" s="668"/>
      <c r="AV8" s="668"/>
      <c r="AW8" s="668"/>
      <c r="AX8" s="668"/>
      <c r="AY8" s="668"/>
      <c r="AZ8" s="668"/>
      <c r="BA8" s="668"/>
      <c r="BB8" s="668"/>
      <c r="BC8" s="668"/>
      <c r="BD8" s="668"/>
      <c r="BE8" s="668"/>
      <c r="BF8" s="668"/>
      <c r="BG8" s="668"/>
      <c r="BH8" s="668"/>
      <c r="BI8" s="668"/>
      <c r="BJ8" s="668"/>
      <c r="BK8" s="668"/>
      <c r="BL8" s="668"/>
      <c r="BM8" s="668"/>
      <c r="BN8" s="668"/>
      <c r="BO8" s="668"/>
      <c r="BP8" s="668"/>
      <c r="BQ8" s="668"/>
      <c r="BR8" s="668"/>
      <c r="BS8" s="668"/>
      <c r="BT8" s="668"/>
      <c r="BU8" s="668"/>
      <c r="BV8" s="668"/>
      <c r="BW8" s="668"/>
      <c r="BX8" s="668"/>
      <c r="BY8" s="668"/>
      <c r="BZ8" s="668"/>
      <c r="CA8" s="668"/>
      <c r="CB8" s="668"/>
      <c r="CC8" s="668"/>
      <c r="CD8" s="668"/>
      <c r="CE8" s="668"/>
      <c r="CF8" s="668"/>
      <c r="CG8" s="668"/>
      <c r="CH8" s="668"/>
      <c r="CI8" s="668"/>
      <c r="CJ8" s="668"/>
      <c r="CK8" s="668"/>
      <c r="CL8" s="668"/>
      <c r="CM8" s="668"/>
      <c r="CN8" s="668"/>
      <c r="CO8" s="668"/>
      <c r="CP8" s="668"/>
      <c r="CQ8" s="668"/>
      <c r="CR8" s="668"/>
      <c r="CS8" s="668"/>
      <c r="CT8" s="668"/>
      <c r="CU8" s="668"/>
      <c r="CV8" s="668"/>
      <c r="CW8" s="668"/>
      <c r="CX8" s="668"/>
      <c r="CY8" s="668"/>
      <c r="CZ8" s="668"/>
      <c r="DA8" s="668"/>
      <c r="DB8" s="668"/>
      <c r="DC8" s="668"/>
      <c r="DD8" s="668"/>
      <c r="DE8" s="668"/>
      <c r="DF8" s="668"/>
      <c r="DG8" s="668"/>
      <c r="DH8" s="668"/>
      <c r="DI8" s="668"/>
      <c r="DJ8" s="668"/>
      <c r="DK8" s="668"/>
      <c r="DL8" s="668"/>
      <c r="DM8" s="668"/>
      <c r="DN8" s="668"/>
      <c r="DO8" s="668"/>
      <c r="DP8" s="668"/>
      <c r="DQ8" s="668"/>
      <c r="DR8" s="668"/>
      <c r="DS8" s="668"/>
      <c r="DT8" s="668"/>
      <c r="DU8" s="668"/>
      <c r="DV8" s="668"/>
      <c r="DW8" s="668"/>
      <c r="DX8" s="668"/>
      <c r="DY8" s="668"/>
      <c r="DZ8" s="668"/>
      <c r="EA8" s="668"/>
      <c r="EB8" s="668"/>
      <c r="EC8" s="668"/>
      <c r="ED8" s="668"/>
      <c r="EE8" s="668"/>
      <c r="EF8" s="668"/>
      <c r="EG8" s="668"/>
      <c r="EH8" s="668"/>
      <c r="EI8" s="668"/>
      <c r="EJ8" s="668"/>
      <c r="EK8" s="668"/>
      <c r="EL8" s="668"/>
      <c r="EM8" s="668"/>
      <c r="EN8" s="668"/>
      <c r="EO8" s="668"/>
      <c r="EP8" s="668"/>
      <c r="EQ8" s="668"/>
      <c r="ER8" s="668"/>
      <c r="ES8" s="668"/>
      <c r="ET8" s="668"/>
      <c r="EU8" s="668"/>
      <c r="EV8" s="668"/>
      <c r="EW8" s="668"/>
      <c r="EX8" s="668"/>
      <c r="EY8" s="668"/>
      <c r="EZ8" s="668"/>
      <c r="FA8" s="668"/>
      <c r="FB8" s="668"/>
      <c r="FC8" s="668"/>
      <c r="FD8" s="668"/>
      <c r="FE8" s="668"/>
      <c r="FF8" s="668"/>
      <c r="FG8" s="668"/>
      <c r="FH8" s="668"/>
      <c r="FI8" s="668"/>
      <c r="FJ8" s="668"/>
      <c r="FK8" s="668"/>
      <c r="FL8" s="668"/>
      <c r="FM8" s="668"/>
      <c r="FN8" s="668"/>
      <c r="FO8" s="668"/>
      <c r="FP8" s="668"/>
      <c r="FQ8" s="668"/>
      <c r="FR8" s="668"/>
      <c r="FS8" s="668"/>
      <c r="FT8" s="668"/>
      <c r="FU8" s="668"/>
      <c r="FV8" s="668"/>
      <c r="FW8" s="668"/>
      <c r="FX8" s="668"/>
      <c r="FY8" s="668"/>
      <c r="FZ8" s="668"/>
      <c r="GA8" s="668"/>
      <c r="GB8" s="668"/>
      <c r="GC8" s="668"/>
      <c r="GD8" s="668"/>
      <c r="GE8" s="668"/>
      <c r="GF8" s="668"/>
      <c r="GG8" s="668"/>
      <c r="GH8" s="668"/>
      <c r="GI8" s="668"/>
      <c r="GJ8" s="668"/>
      <c r="GK8" s="668"/>
      <c r="GL8" s="668"/>
      <c r="GM8" s="668"/>
      <c r="GN8" s="668"/>
      <c r="GO8" s="668"/>
      <c r="GP8" s="668"/>
      <c r="GQ8" s="668"/>
      <c r="GR8" s="668"/>
      <c r="GS8" s="668"/>
      <c r="GT8" s="668"/>
      <c r="GU8" s="668"/>
      <c r="GV8" s="668"/>
      <c r="GW8" s="668"/>
      <c r="GX8" s="668"/>
      <c r="GY8" s="668"/>
      <c r="GZ8" s="668"/>
      <c r="HA8" s="668"/>
      <c r="HB8" s="668"/>
      <c r="HC8" s="668"/>
      <c r="HD8" s="668"/>
      <c r="HE8" s="668"/>
      <c r="HF8" s="668"/>
      <c r="HG8" s="668"/>
      <c r="HH8" s="668"/>
      <c r="HI8" s="668"/>
      <c r="HJ8" s="668"/>
      <c r="HK8" s="668"/>
      <c r="HL8" s="668"/>
      <c r="HM8" s="668"/>
      <c r="HN8" s="668"/>
      <c r="HO8" s="668"/>
      <c r="HP8" s="668"/>
      <c r="HQ8" s="668"/>
      <c r="HR8" s="668"/>
      <c r="HS8" s="668"/>
      <c r="HT8" s="668"/>
      <c r="HU8" s="668"/>
      <c r="HV8" s="668"/>
      <c r="HW8" s="668"/>
      <c r="HX8" s="668"/>
      <c r="HY8" s="668"/>
      <c r="HZ8" s="668"/>
      <c r="IA8" s="668"/>
      <c r="IB8" s="668"/>
      <c r="IC8" s="668"/>
      <c r="ID8" s="668"/>
      <c r="IE8" s="668"/>
      <c r="IF8" s="668"/>
      <c r="IG8" s="668"/>
      <c r="IH8" s="668"/>
      <c r="II8" s="668"/>
      <c r="IJ8" s="668"/>
      <c r="IK8" s="668"/>
      <c r="IL8" s="668"/>
      <c r="IM8" s="668"/>
      <c r="IN8" s="668"/>
      <c r="IO8" s="668"/>
      <c r="IP8" s="668"/>
      <c r="IQ8" s="668"/>
      <c r="IR8" s="668"/>
      <c r="IS8" s="668"/>
      <c r="IT8" s="668"/>
      <c r="IU8" s="668"/>
      <c r="IV8" s="668"/>
      <c r="IW8" s="668"/>
      <c r="IX8" s="668"/>
      <c r="IY8" s="668"/>
      <c r="IZ8" s="668"/>
      <c r="JA8" s="668"/>
      <c r="JB8" s="668"/>
      <c r="JC8" s="668"/>
      <c r="JD8" s="668"/>
      <c r="JE8" s="668"/>
      <c r="JF8" s="668"/>
      <c r="JG8" s="668"/>
      <c r="JH8" s="668"/>
      <c r="JI8" s="668"/>
      <c r="JJ8" s="668"/>
      <c r="JK8" s="668"/>
      <c r="JL8" s="668"/>
      <c r="JM8" s="668"/>
      <c r="JN8" s="668"/>
      <c r="JO8" s="668"/>
      <c r="JP8" s="668"/>
      <c r="JQ8" s="668"/>
      <c r="JR8" s="668"/>
      <c r="JS8" s="668"/>
      <c r="JT8" s="668"/>
      <c r="JU8" s="668"/>
      <c r="JV8" s="668"/>
      <c r="JW8" s="668"/>
      <c r="JX8" s="668"/>
      <c r="JY8" s="668"/>
      <c r="JZ8" s="668"/>
      <c r="KA8" s="668"/>
      <c r="KB8" s="668"/>
      <c r="KC8" s="668"/>
      <c r="KD8" s="668"/>
      <c r="KE8" s="668"/>
      <c r="KF8" s="668"/>
      <c r="KG8" s="668"/>
      <c r="KH8" s="668"/>
      <c r="KI8" s="668"/>
      <c r="KJ8" s="668"/>
    </row>
    <row r="9" spans="1:296" s="709" customFormat="1" ht="15.75" customHeight="1">
      <c r="A9" s="707" t="s">
        <v>448</v>
      </c>
      <c r="B9" s="707"/>
      <c r="C9" s="708"/>
      <c r="D9" s="708"/>
      <c r="E9" s="708"/>
      <c r="F9" s="708"/>
      <c r="G9" s="708"/>
      <c r="H9" s="701">
        <v>16</v>
      </c>
      <c r="I9" s="701">
        <v>10</v>
      </c>
      <c r="J9" s="701">
        <v>11</v>
      </c>
      <c r="K9" s="701">
        <v>11</v>
      </c>
      <c r="L9" s="701">
        <v>11</v>
      </c>
      <c r="M9" s="701">
        <v>9</v>
      </c>
      <c r="N9" s="701">
        <v>9</v>
      </c>
      <c r="O9" s="701">
        <v>6</v>
      </c>
      <c r="P9" s="701">
        <v>8</v>
      </c>
      <c r="Q9" s="701">
        <v>9</v>
      </c>
      <c r="R9" s="701">
        <v>8</v>
      </c>
      <c r="S9" s="701">
        <v>10</v>
      </c>
      <c r="T9" s="701">
        <v>7</v>
      </c>
      <c r="U9" s="701">
        <v>7</v>
      </c>
      <c r="V9" s="701">
        <v>7</v>
      </c>
      <c r="W9" s="691"/>
      <c r="X9" s="668"/>
      <c r="Y9" s="668"/>
      <c r="Z9" s="668"/>
      <c r="AA9" s="668"/>
      <c r="AB9" s="668"/>
      <c r="AC9" s="668"/>
      <c r="AD9" s="668"/>
      <c r="AE9" s="668"/>
      <c r="AF9" s="668"/>
      <c r="AG9" s="668"/>
      <c r="AH9" s="668"/>
      <c r="AI9" s="668"/>
      <c r="AJ9" s="668"/>
      <c r="AK9" s="668"/>
      <c r="AL9" s="668"/>
      <c r="AM9" s="668"/>
      <c r="AN9" s="668"/>
      <c r="AO9" s="668"/>
      <c r="AP9" s="668"/>
      <c r="AQ9" s="668"/>
      <c r="AR9" s="668"/>
      <c r="AS9" s="668"/>
      <c r="AT9" s="668"/>
      <c r="AU9" s="668"/>
      <c r="AV9" s="668"/>
      <c r="AW9" s="668"/>
      <c r="AX9" s="668"/>
      <c r="AY9" s="668"/>
      <c r="AZ9" s="668"/>
      <c r="BA9" s="668"/>
      <c r="BB9" s="668"/>
      <c r="BC9" s="668"/>
      <c r="BD9" s="668"/>
      <c r="BE9" s="668"/>
      <c r="BF9" s="668"/>
      <c r="BG9" s="668"/>
      <c r="BH9" s="668"/>
      <c r="BI9" s="668"/>
      <c r="BJ9" s="668"/>
      <c r="BK9" s="668"/>
      <c r="BL9" s="668"/>
      <c r="BM9" s="668"/>
      <c r="BN9" s="668"/>
      <c r="BO9" s="668"/>
      <c r="BP9" s="668"/>
      <c r="BQ9" s="668"/>
      <c r="BR9" s="668"/>
      <c r="BS9" s="668"/>
      <c r="BT9" s="668"/>
      <c r="BU9" s="668"/>
      <c r="BV9" s="668"/>
      <c r="BW9" s="668"/>
      <c r="BX9" s="668"/>
      <c r="BY9" s="668"/>
      <c r="BZ9" s="668"/>
      <c r="CA9" s="668"/>
      <c r="CB9" s="668"/>
      <c r="CC9" s="668"/>
      <c r="CD9" s="668"/>
      <c r="CE9" s="668"/>
      <c r="CF9" s="668"/>
      <c r="CG9" s="668"/>
      <c r="CH9" s="668"/>
      <c r="CI9" s="668"/>
      <c r="CJ9" s="668"/>
      <c r="CK9" s="668"/>
      <c r="CL9" s="668"/>
      <c r="CM9" s="668"/>
      <c r="CN9" s="668"/>
      <c r="CO9" s="668"/>
      <c r="CP9" s="668"/>
      <c r="CQ9" s="668"/>
      <c r="CR9" s="668"/>
      <c r="CS9" s="668"/>
      <c r="CT9" s="668"/>
      <c r="CU9" s="668"/>
      <c r="CV9" s="668"/>
      <c r="CW9" s="668"/>
      <c r="CX9" s="668"/>
      <c r="CY9" s="668"/>
      <c r="CZ9" s="668"/>
      <c r="DA9" s="668"/>
      <c r="DB9" s="668"/>
      <c r="DC9" s="668"/>
      <c r="DD9" s="668"/>
      <c r="DE9" s="668"/>
      <c r="DF9" s="668"/>
      <c r="DG9" s="668"/>
      <c r="DH9" s="668"/>
      <c r="DI9" s="668"/>
      <c r="DJ9" s="668"/>
      <c r="DK9" s="668"/>
      <c r="DL9" s="668"/>
      <c r="DM9" s="668"/>
      <c r="DN9" s="668"/>
      <c r="DO9" s="668"/>
      <c r="DP9" s="668"/>
      <c r="DQ9" s="668"/>
      <c r="DR9" s="668"/>
      <c r="DS9" s="668"/>
      <c r="DT9" s="668"/>
      <c r="DU9" s="668"/>
      <c r="DV9" s="668"/>
      <c r="DW9" s="668"/>
      <c r="DX9" s="668"/>
      <c r="DY9" s="668"/>
      <c r="DZ9" s="668"/>
      <c r="EA9" s="668"/>
      <c r="EB9" s="668"/>
      <c r="EC9" s="668"/>
      <c r="ED9" s="668"/>
      <c r="EE9" s="668"/>
      <c r="EF9" s="668"/>
      <c r="EG9" s="668"/>
      <c r="EH9" s="668"/>
      <c r="EI9" s="668"/>
      <c r="EJ9" s="668"/>
      <c r="EK9" s="668"/>
      <c r="EL9" s="668"/>
      <c r="EM9" s="668"/>
      <c r="EN9" s="668"/>
      <c r="EO9" s="668"/>
      <c r="EP9" s="668"/>
      <c r="EQ9" s="668"/>
      <c r="ER9" s="668"/>
      <c r="ES9" s="668"/>
      <c r="ET9" s="668"/>
      <c r="EU9" s="668"/>
      <c r="EV9" s="668"/>
      <c r="EW9" s="668"/>
      <c r="EX9" s="668"/>
      <c r="EY9" s="668"/>
      <c r="EZ9" s="668"/>
      <c r="FA9" s="668"/>
      <c r="FB9" s="668"/>
      <c r="FC9" s="668"/>
      <c r="FD9" s="668"/>
      <c r="FE9" s="668"/>
      <c r="FF9" s="668"/>
      <c r="FG9" s="668"/>
      <c r="FH9" s="668"/>
      <c r="FI9" s="668"/>
      <c r="FJ9" s="668"/>
      <c r="FK9" s="668"/>
      <c r="FL9" s="668"/>
      <c r="FM9" s="668"/>
      <c r="FN9" s="668"/>
      <c r="FO9" s="668"/>
      <c r="FP9" s="668"/>
      <c r="FQ9" s="668"/>
      <c r="FR9" s="668"/>
      <c r="FS9" s="668"/>
      <c r="FT9" s="668"/>
      <c r="FU9" s="668"/>
      <c r="FV9" s="668"/>
      <c r="FW9" s="668"/>
      <c r="FX9" s="668"/>
      <c r="FY9" s="668"/>
      <c r="FZ9" s="668"/>
      <c r="GA9" s="668"/>
      <c r="GB9" s="668"/>
      <c r="GC9" s="668"/>
      <c r="GD9" s="668"/>
      <c r="GE9" s="668"/>
      <c r="GF9" s="668"/>
      <c r="GG9" s="668"/>
      <c r="GH9" s="668"/>
      <c r="GI9" s="668"/>
      <c r="GJ9" s="668"/>
      <c r="GK9" s="668"/>
      <c r="GL9" s="668"/>
      <c r="GM9" s="668"/>
      <c r="GN9" s="668"/>
      <c r="GO9" s="668"/>
      <c r="GP9" s="668"/>
      <c r="GQ9" s="668"/>
      <c r="GR9" s="668"/>
      <c r="GS9" s="668"/>
      <c r="GT9" s="668"/>
      <c r="GU9" s="668"/>
      <c r="GV9" s="668"/>
      <c r="GW9" s="668"/>
      <c r="GX9" s="668"/>
      <c r="GY9" s="668"/>
      <c r="GZ9" s="668"/>
      <c r="HA9" s="668"/>
      <c r="HB9" s="668"/>
      <c r="HC9" s="668"/>
      <c r="HD9" s="668"/>
      <c r="HE9" s="668"/>
      <c r="HF9" s="668"/>
      <c r="HG9" s="668"/>
      <c r="HH9" s="668"/>
      <c r="HI9" s="668"/>
      <c r="HJ9" s="668"/>
      <c r="HK9" s="668"/>
      <c r="HL9" s="668"/>
      <c r="HM9" s="668"/>
      <c r="HN9" s="668"/>
      <c r="HO9" s="668"/>
      <c r="HP9" s="668"/>
      <c r="HQ9" s="668"/>
      <c r="HR9" s="668"/>
      <c r="HS9" s="668"/>
      <c r="HT9" s="668"/>
      <c r="HU9" s="668"/>
      <c r="HV9" s="668"/>
      <c r="HW9" s="668"/>
      <c r="HX9" s="668"/>
      <c r="HY9" s="668"/>
      <c r="HZ9" s="668"/>
      <c r="IA9" s="668"/>
      <c r="IB9" s="668"/>
      <c r="IC9" s="668"/>
      <c r="ID9" s="668"/>
      <c r="IE9" s="668"/>
      <c r="IF9" s="668"/>
      <c r="IG9" s="668"/>
      <c r="IH9" s="668"/>
      <c r="II9" s="668"/>
      <c r="IJ9" s="668"/>
      <c r="IK9" s="668"/>
      <c r="IL9" s="668"/>
      <c r="IM9" s="668"/>
      <c r="IN9" s="668"/>
      <c r="IO9" s="668"/>
      <c r="IP9" s="668"/>
      <c r="IQ9" s="668"/>
      <c r="IR9" s="668"/>
      <c r="IS9" s="668"/>
      <c r="IT9" s="668"/>
      <c r="IU9" s="668"/>
      <c r="IV9" s="668"/>
      <c r="IW9" s="668"/>
      <c r="IX9" s="668"/>
      <c r="IY9" s="668"/>
      <c r="IZ9" s="668"/>
      <c r="JA9" s="668"/>
      <c r="JB9" s="668"/>
      <c r="JC9" s="668"/>
      <c r="JD9" s="668"/>
      <c r="JE9" s="668"/>
      <c r="JF9" s="668"/>
      <c r="JG9" s="668"/>
      <c r="JH9" s="668"/>
      <c r="JI9" s="668"/>
      <c r="JJ9" s="668"/>
      <c r="JK9" s="668"/>
      <c r="JL9" s="668"/>
      <c r="JM9" s="668"/>
      <c r="JN9" s="668"/>
      <c r="JO9" s="668"/>
      <c r="JP9" s="668"/>
      <c r="JQ9" s="668"/>
      <c r="JR9" s="668"/>
      <c r="JS9" s="668"/>
      <c r="JT9" s="668"/>
      <c r="JU9" s="668"/>
      <c r="JV9" s="668"/>
      <c r="JW9" s="668"/>
      <c r="JX9" s="668"/>
      <c r="JY9" s="668"/>
      <c r="JZ9" s="668"/>
      <c r="KA9" s="668"/>
      <c r="KB9" s="668"/>
      <c r="KC9" s="668"/>
      <c r="KD9" s="668"/>
      <c r="KE9" s="668"/>
      <c r="KF9" s="668"/>
      <c r="KG9" s="668"/>
      <c r="KH9" s="668"/>
      <c r="KI9" s="668"/>
      <c r="KJ9" s="668"/>
    </row>
    <row r="10" spans="1:296" s="699" customFormat="1" ht="15.75" customHeight="1">
      <c r="A10" s="710" t="s">
        <v>30</v>
      </c>
      <c r="B10" s="710"/>
      <c r="C10" s="697"/>
      <c r="D10" s="697"/>
      <c r="E10" s="697"/>
      <c r="F10" s="697"/>
      <c r="G10" s="697"/>
      <c r="H10" s="711">
        <v>18</v>
      </c>
      <c r="I10" s="711">
        <v>12</v>
      </c>
      <c r="J10" s="711">
        <v>14</v>
      </c>
      <c r="K10" s="711">
        <v>12</v>
      </c>
      <c r="L10" s="711">
        <v>13</v>
      </c>
      <c r="M10" s="711">
        <v>11</v>
      </c>
      <c r="N10" s="712">
        <v>11.3</v>
      </c>
      <c r="O10" s="711">
        <v>9</v>
      </c>
      <c r="P10" s="711">
        <v>10</v>
      </c>
      <c r="Q10" s="711">
        <v>11</v>
      </c>
      <c r="R10" s="711">
        <v>9</v>
      </c>
      <c r="S10" s="711">
        <v>11</v>
      </c>
      <c r="T10" s="711">
        <v>9</v>
      </c>
      <c r="U10" s="711">
        <v>8</v>
      </c>
      <c r="V10" s="711">
        <v>8</v>
      </c>
      <c r="W10" s="691"/>
      <c r="X10" s="668"/>
      <c r="Y10" s="668"/>
      <c r="Z10" s="668"/>
      <c r="AA10" s="668"/>
      <c r="AB10" s="668"/>
      <c r="AC10" s="668"/>
      <c r="AD10" s="668"/>
      <c r="AE10" s="668"/>
      <c r="AF10" s="668"/>
      <c r="AG10" s="668"/>
      <c r="AH10" s="668"/>
      <c r="AI10" s="668"/>
      <c r="AJ10" s="668"/>
      <c r="AK10" s="668"/>
      <c r="AL10" s="668"/>
      <c r="AM10" s="668"/>
      <c r="AN10" s="668"/>
      <c r="AO10" s="668"/>
      <c r="AP10" s="668"/>
      <c r="AQ10" s="668"/>
      <c r="AR10" s="668"/>
      <c r="AS10" s="668"/>
      <c r="AT10" s="668"/>
      <c r="AU10" s="668"/>
      <c r="AV10" s="668"/>
      <c r="AW10" s="668"/>
      <c r="AX10" s="668"/>
      <c r="AY10" s="668"/>
      <c r="AZ10" s="668"/>
      <c r="BA10" s="668"/>
      <c r="BB10" s="668"/>
      <c r="BC10" s="668"/>
      <c r="BD10" s="668"/>
      <c r="BE10" s="668"/>
      <c r="BF10" s="668"/>
      <c r="BG10" s="668"/>
      <c r="BH10" s="668"/>
      <c r="BI10" s="668"/>
      <c r="BJ10" s="668"/>
      <c r="BK10" s="668"/>
      <c r="BL10" s="668"/>
      <c r="BM10" s="668"/>
      <c r="BN10" s="668"/>
      <c r="BO10" s="668"/>
      <c r="BP10" s="668"/>
      <c r="BQ10" s="668"/>
      <c r="BR10" s="668"/>
      <c r="BS10" s="668"/>
      <c r="BT10" s="668"/>
      <c r="BU10" s="668"/>
      <c r="BV10" s="668"/>
      <c r="BW10" s="668"/>
      <c r="BX10" s="668"/>
      <c r="BY10" s="668"/>
      <c r="BZ10" s="668"/>
      <c r="CA10" s="668"/>
      <c r="CB10" s="668"/>
      <c r="CC10" s="668"/>
      <c r="CD10" s="668"/>
      <c r="CE10" s="668"/>
      <c r="CF10" s="668"/>
      <c r="CG10" s="668"/>
      <c r="CH10" s="668"/>
      <c r="CI10" s="668"/>
      <c r="CJ10" s="668"/>
      <c r="CK10" s="668"/>
      <c r="CL10" s="668"/>
      <c r="CM10" s="668"/>
      <c r="CN10" s="668"/>
      <c r="CO10" s="668"/>
      <c r="CP10" s="668"/>
      <c r="CQ10" s="668"/>
      <c r="CR10" s="668"/>
      <c r="CS10" s="668"/>
      <c r="CT10" s="668"/>
      <c r="CU10" s="668"/>
      <c r="CV10" s="668"/>
      <c r="CW10" s="668"/>
      <c r="CX10" s="668"/>
      <c r="CY10" s="668"/>
      <c r="CZ10" s="668"/>
      <c r="DA10" s="668"/>
      <c r="DB10" s="668"/>
      <c r="DC10" s="668"/>
      <c r="DD10" s="668"/>
      <c r="DE10" s="668"/>
      <c r="DF10" s="668"/>
      <c r="DG10" s="668"/>
      <c r="DH10" s="668"/>
      <c r="DI10" s="668"/>
      <c r="DJ10" s="668"/>
      <c r="DK10" s="668"/>
      <c r="DL10" s="668"/>
      <c r="DM10" s="668"/>
      <c r="DN10" s="668"/>
      <c r="DO10" s="668"/>
      <c r="DP10" s="668"/>
      <c r="DQ10" s="668"/>
      <c r="DR10" s="668"/>
      <c r="DS10" s="668"/>
      <c r="DT10" s="668"/>
      <c r="DU10" s="668"/>
      <c r="DV10" s="668"/>
      <c r="DW10" s="668"/>
      <c r="DX10" s="668"/>
      <c r="DY10" s="668"/>
      <c r="DZ10" s="668"/>
      <c r="EA10" s="668"/>
      <c r="EB10" s="668"/>
      <c r="EC10" s="668"/>
      <c r="ED10" s="668"/>
      <c r="EE10" s="668"/>
      <c r="EF10" s="668"/>
      <c r="EG10" s="668"/>
      <c r="EH10" s="668"/>
      <c r="EI10" s="668"/>
      <c r="EJ10" s="668"/>
      <c r="EK10" s="668"/>
      <c r="EL10" s="668"/>
      <c r="EM10" s="668"/>
      <c r="EN10" s="668"/>
      <c r="EO10" s="668"/>
      <c r="EP10" s="668"/>
      <c r="EQ10" s="668"/>
      <c r="ER10" s="668"/>
      <c r="ES10" s="668"/>
      <c r="ET10" s="668"/>
      <c r="EU10" s="668"/>
      <c r="EV10" s="668"/>
      <c r="EW10" s="668"/>
      <c r="EX10" s="668"/>
      <c r="EY10" s="668"/>
      <c r="EZ10" s="668"/>
      <c r="FA10" s="668"/>
      <c r="FB10" s="668"/>
      <c r="FC10" s="668"/>
      <c r="FD10" s="668"/>
      <c r="FE10" s="668"/>
      <c r="FF10" s="668"/>
      <c r="FG10" s="668"/>
      <c r="FH10" s="668"/>
      <c r="FI10" s="668"/>
      <c r="FJ10" s="668"/>
      <c r="FK10" s="668"/>
      <c r="FL10" s="668"/>
      <c r="FM10" s="668"/>
      <c r="FN10" s="668"/>
      <c r="FO10" s="668"/>
      <c r="FP10" s="668"/>
      <c r="FQ10" s="668"/>
      <c r="FR10" s="668"/>
      <c r="FS10" s="668"/>
      <c r="FT10" s="668"/>
      <c r="FU10" s="668"/>
      <c r="FV10" s="668"/>
      <c r="FW10" s="668"/>
      <c r="FX10" s="668"/>
      <c r="FY10" s="668"/>
      <c r="FZ10" s="668"/>
      <c r="GA10" s="668"/>
      <c r="GB10" s="668"/>
      <c r="GC10" s="668"/>
      <c r="GD10" s="668"/>
      <c r="GE10" s="668"/>
      <c r="GF10" s="668"/>
      <c r="GG10" s="668"/>
      <c r="GH10" s="668"/>
      <c r="GI10" s="668"/>
      <c r="GJ10" s="668"/>
      <c r="GK10" s="668"/>
      <c r="GL10" s="668"/>
      <c r="GM10" s="668"/>
      <c r="GN10" s="668"/>
      <c r="GO10" s="668"/>
      <c r="GP10" s="668"/>
      <c r="GQ10" s="668"/>
      <c r="GR10" s="668"/>
      <c r="GS10" s="668"/>
      <c r="GT10" s="668"/>
      <c r="GU10" s="668"/>
      <c r="GV10" s="668"/>
      <c r="GW10" s="668"/>
      <c r="GX10" s="668"/>
      <c r="GY10" s="668"/>
      <c r="GZ10" s="668"/>
      <c r="HA10" s="668"/>
      <c r="HB10" s="668"/>
      <c r="HC10" s="668"/>
      <c r="HD10" s="668"/>
      <c r="HE10" s="668"/>
      <c r="HF10" s="668"/>
      <c r="HG10" s="668"/>
      <c r="HH10" s="668"/>
      <c r="HI10" s="668"/>
      <c r="HJ10" s="668"/>
      <c r="HK10" s="668"/>
      <c r="HL10" s="668"/>
      <c r="HM10" s="668"/>
      <c r="HN10" s="668"/>
      <c r="HO10" s="668"/>
      <c r="HP10" s="668"/>
      <c r="HQ10" s="668"/>
      <c r="HR10" s="668"/>
      <c r="HS10" s="668"/>
      <c r="HT10" s="668"/>
      <c r="HU10" s="668"/>
      <c r="HV10" s="668"/>
      <c r="HW10" s="668"/>
      <c r="HX10" s="668"/>
      <c r="HY10" s="668"/>
      <c r="HZ10" s="668"/>
      <c r="IA10" s="668"/>
      <c r="IB10" s="668"/>
      <c r="IC10" s="668"/>
      <c r="ID10" s="668"/>
      <c r="IE10" s="668"/>
      <c r="IF10" s="668"/>
      <c r="IG10" s="668"/>
      <c r="IH10" s="668"/>
      <c r="II10" s="668"/>
      <c r="IJ10" s="668"/>
      <c r="IK10" s="668"/>
      <c r="IL10" s="668"/>
      <c r="IM10" s="668"/>
      <c r="IN10" s="668"/>
      <c r="IO10" s="668"/>
      <c r="IP10" s="668"/>
      <c r="IQ10" s="668"/>
      <c r="IR10" s="668"/>
      <c r="IS10" s="668"/>
      <c r="IT10" s="668"/>
      <c r="IU10" s="668"/>
      <c r="IV10" s="668"/>
      <c r="IW10" s="668"/>
      <c r="IX10" s="668"/>
      <c r="IY10" s="668"/>
      <c r="IZ10" s="668"/>
      <c r="JA10" s="668"/>
      <c r="JB10" s="668"/>
      <c r="JC10" s="668"/>
      <c r="JD10" s="668"/>
      <c r="JE10" s="668"/>
      <c r="JF10" s="668"/>
      <c r="JG10" s="668"/>
      <c r="JH10" s="668"/>
      <c r="JI10" s="668"/>
      <c r="JJ10" s="668"/>
      <c r="JK10" s="668"/>
      <c r="JL10" s="668"/>
      <c r="JM10" s="668"/>
      <c r="JN10" s="668"/>
      <c r="JO10" s="668"/>
      <c r="JP10" s="668"/>
      <c r="JQ10" s="668"/>
      <c r="JR10" s="668"/>
      <c r="JS10" s="668"/>
      <c r="JT10" s="668"/>
      <c r="JU10" s="668"/>
      <c r="JV10" s="668"/>
      <c r="JW10" s="668"/>
      <c r="JX10" s="668"/>
      <c r="JY10" s="668"/>
      <c r="JZ10" s="668"/>
      <c r="KA10" s="668"/>
      <c r="KB10" s="668"/>
      <c r="KC10" s="668"/>
      <c r="KD10" s="668"/>
      <c r="KE10" s="668"/>
      <c r="KF10" s="668"/>
      <c r="KG10" s="668"/>
      <c r="KH10" s="668"/>
      <c r="KI10" s="668"/>
      <c r="KJ10" s="668"/>
    </row>
    <row r="11" spans="1:296" s="709" customFormat="1" ht="15.75" customHeight="1">
      <c r="A11" s="707" t="s">
        <v>31</v>
      </c>
      <c r="B11" s="707"/>
      <c r="C11" s="708"/>
      <c r="D11" s="708"/>
      <c r="E11" s="708"/>
      <c r="F11" s="708"/>
      <c r="G11" s="708"/>
      <c r="H11" s="701">
        <v>19</v>
      </c>
      <c r="I11" s="701">
        <v>22</v>
      </c>
      <c r="J11" s="701">
        <v>22</v>
      </c>
      <c r="K11" s="701">
        <v>24</v>
      </c>
      <c r="L11" s="701">
        <v>22</v>
      </c>
      <c r="M11" s="701">
        <v>22</v>
      </c>
      <c r="N11" s="713">
        <v>22.4</v>
      </c>
      <c r="O11" s="701">
        <v>21</v>
      </c>
      <c r="P11" s="701">
        <v>21</v>
      </c>
      <c r="Q11" s="701">
        <v>20</v>
      </c>
      <c r="R11" s="701">
        <v>19</v>
      </c>
      <c r="S11" s="701">
        <v>19</v>
      </c>
      <c r="T11" s="701">
        <v>15</v>
      </c>
      <c r="U11" s="701">
        <v>13</v>
      </c>
      <c r="V11" s="701">
        <v>13</v>
      </c>
      <c r="W11" s="691"/>
      <c r="X11" s="668"/>
      <c r="Y11" s="668"/>
      <c r="Z11" s="668"/>
      <c r="AA11" s="668"/>
      <c r="AB11" s="668"/>
      <c r="AC11" s="668"/>
      <c r="AD11" s="668"/>
      <c r="AE11" s="668"/>
      <c r="AF11" s="668"/>
      <c r="AG11" s="668"/>
      <c r="AH11" s="668"/>
      <c r="AI11" s="668"/>
      <c r="AJ11" s="668"/>
      <c r="AK11" s="668"/>
      <c r="AL11" s="668"/>
      <c r="AM11" s="668"/>
      <c r="AN11" s="668"/>
      <c r="AO11" s="668"/>
      <c r="AP11" s="668"/>
      <c r="AQ11" s="668"/>
      <c r="AR11" s="668"/>
      <c r="AS11" s="668"/>
      <c r="AT11" s="668"/>
      <c r="AU11" s="668"/>
      <c r="AV11" s="668"/>
      <c r="AW11" s="668"/>
      <c r="AX11" s="668"/>
      <c r="AY11" s="668"/>
      <c r="AZ11" s="668"/>
      <c r="BA11" s="668"/>
      <c r="BB11" s="668"/>
      <c r="BC11" s="668"/>
      <c r="BD11" s="668"/>
      <c r="BE11" s="668"/>
      <c r="BF11" s="668"/>
      <c r="BG11" s="668"/>
      <c r="BH11" s="668"/>
      <c r="BI11" s="668"/>
      <c r="BJ11" s="668"/>
      <c r="BK11" s="668"/>
      <c r="BL11" s="668"/>
      <c r="BM11" s="668"/>
      <c r="BN11" s="668"/>
      <c r="BO11" s="668"/>
      <c r="BP11" s="668"/>
      <c r="BQ11" s="668"/>
      <c r="BR11" s="668"/>
      <c r="BS11" s="668"/>
      <c r="BT11" s="668"/>
      <c r="BU11" s="668"/>
      <c r="BV11" s="668"/>
      <c r="BW11" s="668"/>
      <c r="BX11" s="668"/>
      <c r="BY11" s="668"/>
      <c r="BZ11" s="668"/>
      <c r="CA11" s="668"/>
      <c r="CB11" s="668"/>
      <c r="CC11" s="668"/>
      <c r="CD11" s="668"/>
      <c r="CE11" s="668"/>
      <c r="CF11" s="668"/>
      <c r="CG11" s="668"/>
      <c r="CH11" s="668"/>
      <c r="CI11" s="668"/>
      <c r="CJ11" s="668"/>
      <c r="CK11" s="668"/>
      <c r="CL11" s="668"/>
      <c r="CM11" s="668"/>
      <c r="CN11" s="668"/>
      <c r="CO11" s="668"/>
      <c r="CP11" s="668"/>
      <c r="CQ11" s="668"/>
      <c r="CR11" s="668"/>
      <c r="CS11" s="668"/>
      <c r="CT11" s="668"/>
      <c r="CU11" s="668"/>
      <c r="CV11" s="668"/>
      <c r="CW11" s="668"/>
      <c r="CX11" s="668"/>
      <c r="CY11" s="668"/>
      <c r="CZ11" s="668"/>
      <c r="DA11" s="668"/>
      <c r="DB11" s="668"/>
      <c r="DC11" s="668"/>
      <c r="DD11" s="668"/>
      <c r="DE11" s="668"/>
      <c r="DF11" s="668"/>
      <c r="DG11" s="668"/>
      <c r="DH11" s="668"/>
      <c r="DI11" s="668"/>
      <c r="DJ11" s="668"/>
      <c r="DK11" s="668"/>
      <c r="DL11" s="668"/>
      <c r="DM11" s="668"/>
      <c r="DN11" s="668"/>
      <c r="DO11" s="668"/>
      <c r="DP11" s="668"/>
      <c r="DQ11" s="668"/>
      <c r="DR11" s="668"/>
      <c r="DS11" s="668"/>
      <c r="DT11" s="668"/>
      <c r="DU11" s="668"/>
      <c r="DV11" s="668"/>
      <c r="DW11" s="668"/>
      <c r="DX11" s="668"/>
      <c r="DY11" s="668"/>
      <c r="DZ11" s="668"/>
      <c r="EA11" s="668"/>
      <c r="EB11" s="668"/>
      <c r="EC11" s="668"/>
      <c r="ED11" s="668"/>
      <c r="EE11" s="668"/>
      <c r="EF11" s="668"/>
      <c r="EG11" s="668"/>
      <c r="EH11" s="668"/>
      <c r="EI11" s="668"/>
      <c r="EJ11" s="668"/>
      <c r="EK11" s="668"/>
      <c r="EL11" s="668"/>
      <c r="EM11" s="668"/>
      <c r="EN11" s="668"/>
      <c r="EO11" s="668"/>
      <c r="EP11" s="668"/>
      <c r="EQ11" s="668"/>
      <c r="ER11" s="668"/>
      <c r="ES11" s="668"/>
      <c r="ET11" s="668"/>
      <c r="EU11" s="668"/>
      <c r="EV11" s="668"/>
      <c r="EW11" s="668"/>
      <c r="EX11" s="668"/>
      <c r="EY11" s="668"/>
      <c r="EZ11" s="668"/>
      <c r="FA11" s="668"/>
      <c r="FB11" s="668"/>
      <c r="FC11" s="668"/>
      <c r="FD11" s="668"/>
      <c r="FE11" s="668"/>
      <c r="FF11" s="668"/>
      <c r="FG11" s="668"/>
      <c r="FH11" s="668"/>
      <c r="FI11" s="668"/>
      <c r="FJ11" s="668"/>
      <c r="FK11" s="668"/>
      <c r="FL11" s="668"/>
      <c r="FM11" s="668"/>
      <c r="FN11" s="668"/>
      <c r="FO11" s="668"/>
      <c r="FP11" s="668"/>
      <c r="FQ11" s="668"/>
      <c r="FR11" s="668"/>
      <c r="FS11" s="668"/>
      <c r="FT11" s="668"/>
      <c r="FU11" s="668"/>
      <c r="FV11" s="668"/>
      <c r="FW11" s="668"/>
      <c r="FX11" s="668"/>
      <c r="FY11" s="668"/>
      <c r="FZ11" s="668"/>
      <c r="GA11" s="668"/>
      <c r="GB11" s="668"/>
      <c r="GC11" s="668"/>
      <c r="GD11" s="668"/>
      <c r="GE11" s="668"/>
      <c r="GF11" s="668"/>
      <c r="GG11" s="668"/>
      <c r="GH11" s="668"/>
      <c r="GI11" s="668"/>
      <c r="GJ11" s="668"/>
      <c r="GK11" s="668"/>
      <c r="GL11" s="668"/>
      <c r="GM11" s="668"/>
      <c r="GN11" s="668"/>
      <c r="GO11" s="668"/>
      <c r="GP11" s="668"/>
      <c r="GQ11" s="668"/>
      <c r="GR11" s="668"/>
      <c r="GS11" s="668"/>
      <c r="GT11" s="668"/>
      <c r="GU11" s="668"/>
      <c r="GV11" s="668"/>
      <c r="GW11" s="668"/>
      <c r="GX11" s="668"/>
      <c r="GY11" s="668"/>
      <c r="GZ11" s="668"/>
      <c r="HA11" s="668"/>
      <c r="HB11" s="668"/>
      <c r="HC11" s="668"/>
      <c r="HD11" s="668"/>
      <c r="HE11" s="668"/>
      <c r="HF11" s="668"/>
      <c r="HG11" s="668"/>
      <c r="HH11" s="668"/>
      <c r="HI11" s="668"/>
      <c r="HJ11" s="668"/>
      <c r="HK11" s="668"/>
      <c r="HL11" s="668"/>
      <c r="HM11" s="668"/>
      <c r="HN11" s="668"/>
      <c r="HO11" s="668"/>
      <c r="HP11" s="668"/>
      <c r="HQ11" s="668"/>
      <c r="HR11" s="668"/>
      <c r="HS11" s="668"/>
      <c r="HT11" s="668"/>
      <c r="HU11" s="668"/>
      <c r="HV11" s="668"/>
      <c r="HW11" s="668"/>
      <c r="HX11" s="668"/>
      <c r="HY11" s="668"/>
      <c r="HZ11" s="668"/>
      <c r="IA11" s="668"/>
      <c r="IB11" s="668"/>
      <c r="IC11" s="668"/>
      <c r="ID11" s="668"/>
      <c r="IE11" s="668"/>
      <c r="IF11" s="668"/>
      <c r="IG11" s="668"/>
      <c r="IH11" s="668"/>
      <c r="II11" s="668"/>
      <c r="IJ11" s="668"/>
      <c r="IK11" s="668"/>
      <c r="IL11" s="668"/>
      <c r="IM11" s="668"/>
      <c r="IN11" s="668"/>
      <c r="IO11" s="668"/>
      <c r="IP11" s="668"/>
      <c r="IQ11" s="668"/>
      <c r="IR11" s="668"/>
      <c r="IS11" s="668"/>
      <c r="IT11" s="668"/>
      <c r="IU11" s="668"/>
      <c r="IV11" s="668"/>
      <c r="IW11" s="668"/>
      <c r="IX11" s="668"/>
      <c r="IY11" s="668"/>
      <c r="IZ11" s="668"/>
      <c r="JA11" s="668"/>
      <c r="JB11" s="668"/>
      <c r="JC11" s="668"/>
      <c r="JD11" s="668"/>
      <c r="JE11" s="668"/>
      <c r="JF11" s="668"/>
      <c r="JG11" s="668"/>
      <c r="JH11" s="668"/>
      <c r="JI11" s="668"/>
      <c r="JJ11" s="668"/>
      <c r="JK11" s="668"/>
      <c r="JL11" s="668"/>
      <c r="JM11" s="668"/>
      <c r="JN11" s="668"/>
      <c r="JO11" s="668"/>
      <c r="JP11" s="668"/>
      <c r="JQ11" s="668"/>
      <c r="JR11" s="668"/>
      <c r="JS11" s="668"/>
      <c r="JT11" s="668"/>
      <c r="JU11" s="668"/>
      <c r="JV11" s="668"/>
      <c r="JW11" s="668"/>
      <c r="JX11" s="668"/>
      <c r="JY11" s="668"/>
      <c r="JZ11" s="668"/>
      <c r="KA11" s="668"/>
      <c r="KB11" s="668"/>
      <c r="KC11" s="668"/>
      <c r="KD11" s="668"/>
      <c r="KE11" s="668"/>
      <c r="KF11" s="668"/>
      <c r="KG11" s="668"/>
      <c r="KH11" s="668"/>
      <c r="KI11" s="668"/>
      <c r="KJ11" s="668"/>
    </row>
    <row r="12" spans="1:296" s="699" customFormat="1" ht="16.5" customHeight="1">
      <c r="A12" s="710" t="s">
        <v>32</v>
      </c>
      <c r="B12" s="710"/>
      <c r="C12" s="697"/>
      <c r="D12" s="697"/>
      <c r="E12" s="697"/>
      <c r="F12" s="697"/>
      <c r="G12" s="697"/>
      <c r="H12" s="711">
        <v>4</v>
      </c>
      <c r="I12" s="711">
        <v>4</v>
      </c>
      <c r="J12" s="711">
        <v>3</v>
      </c>
      <c r="K12" s="711">
        <v>4</v>
      </c>
      <c r="L12" s="711">
        <v>3</v>
      </c>
      <c r="M12" s="711">
        <v>3</v>
      </c>
      <c r="N12" s="712">
        <v>3.4</v>
      </c>
      <c r="O12" s="711">
        <v>3</v>
      </c>
      <c r="P12" s="711">
        <v>3</v>
      </c>
      <c r="Q12" s="711">
        <v>3</v>
      </c>
      <c r="R12" s="711">
        <v>3</v>
      </c>
      <c r="S12" s="711">
        <v>3</v>
      </c>
      <c r="T12" s="711">
        <v>3</v>
      </c>
      <c r="U12" s="711">
        <v>2</v>
      </c>
      <c r="V12" s="711">
        <v>3</v>
      </c>
      <c r="W12" s="691"/>
      <c r="X12" s="668"/>
      <c r="Y12" s="668"/>
      <c r="Z12" s="668"/>
      <c r="AA12" s="668"/>
      <c r="AB12" s="668"/>
      <c r="AC12" s="668"/>
      <c r="AD12" s="668"/>
      <c r="AE12" s="668"/>
      <c r="AF12" s="668"/>
      <c r="AG12" s="668"/>
      <c r="AH12" s="668"/>
      <c r="AI12" s="668"/>
      <c r="AJ12" s="668"/>
      <c r="AK12" s="668"/>
      <c r="AL12" s="668"/>
      <c r="AM12" s="668"/>
      <c r="AN12" s="668"/>
      <c r="AO12" s="668"/>
      <c r="AP12" s="668"/>
      <c r="AQ12" s="668"/>
      <c r="AR12" s="668"/>
      <c r="AS12" s="668"/>
      <c r="AT12" s="668"/>
      <c r="AU12" s="668"/>
      <c r="AV12" s="668"/>
      <c r="AW12" s="668"/>
      <c r="AX12" s="668"/>
      <c r="AY12" s="668"/>
      <c r="AZ12" s="668"/>
      <c r="BA12" s="668"/>
      <c r="BB12" s="668"/>
      <c r="BC12" s="668"/>
      <c r="BD12" s="668"/>
      <c r="BE12" s="668"/>
      <c r="BF12" s="668"/>
      <c r="BG12" s="668"/>
      <c r="BH12" s="668"/>
      <c r="BI12" s="668"/>
      <c r="BJ12" s="668"/>
      <c r="BK12" s="668"/>
      <c r="BL12" s="668"/>
      <c r="BM12" s="668"/>
      <c r="BN12" s="668"/>
      <c r="BO12" s="668"/>
      <c r="BP12" s="668"/>
      <c r="BQ12" s="668"/>
      <c r="BR12" s="668"/>
      <c r="BS12" s="668"/>
      <c r="BT12" s="668"/>
      <c r="BU12" s="668"/>
      <c r="BV12" s="668"/>
      <c r="BW12" s="668"/>
      <c r="BX12" s="668"/>
      <c r="BY12" s="668"/>
      <c r="BZ12" s="668"/>
      <c r="CA12" s="668"/>
      <c r="CB12" s="668"/>
      <c r="CC12" s="668"/>
      <c r="CD12" s="668"/>
      <c r="CE12" s="668"/>
      <c r="CF12" s="668"/>
      <c r="CG12" s="668"/>
      <c r="CH12" s="668"/>
      <c r="CI12" s="668"/>
      <c r="CJ12" s="668"/>
      <c r="CK12" s="668"/>
      <c r="CL12" s="668"/>
      <c r="CM12" s="668"/>
      <c r="CN12" s="668"/>
      <c r="CO12" s="668"/>
      <c r="CP12" s="668"/>
      <c r="CQ12" s="668"/>
      <c r="CR12" s="668"/>
      <c r="CS12" s="668"/>
      <c r="CT12" s="668"/>
      <c r="CU12" s="668"/>
      <c r="CV12" s="668"/>
      <c r="CW12" s="668"/>
      <c r="CX12" s="668"/>
      <c r="CY12" s="668"/>
      <c r="CZ12" s="668"/>
      <c r="DA12" s="668"/>
      <c r="DB12" s="668"/>
      <c r="DC12" s="668"/>
      <c r="DD12" s="668"/>
      <c r="DE12" s="668"/>
      <c r="DF12" s="668"/>
      <c r="DG12" s="668"/>
      <c r="DH12" s="668"/>
      <c r="DI12" s="668"/>
      <c r="DJ12" s="668"/>
      <c r="DK12" s="668"/>
      <c r="DL12" s="668"/>
      <c r="DM12" s="668"/>
      <c r="DN12" s="668"/>
      <c r="DO12" s="668"/>
      <c r="DP12" s="668"/>
      <c r="DQ12" s="668"/>
      <c r="DR12" s="668"/>
      <c r="DS12" s="668"/>
      <c r="DT12" s="668"/>
      <c r="DU12" s="668"/>
      <c r="DV12" s="668"/>
      <c r="DW12" s="668"/>
      <c r="DX12" s="668"/>
      <c r="DY12" s="668"/>
      <c r="DZ12" s="668"/>
      <c r="EA12" s="668"/>
      <c r="EB12" s="668"/>
      <c r="EC12" s="668"/>
      <c r="ED12" s="668"/>
      <c r="EE12" s="668"/>
      <c r="EF12" s="668"/>
      <c r="EG12" s="668"/>
      <c r="EH12" s="668"/>
      <c r="EI12" s="668"/>
      <c r="EJ12" s="668"/>
      <c r="EK12" s="668"/>
      <c r="EL12" s="668"/>
      <c r="EM12" s="668"/>
      <c r="EN12" s="668"/>
      <c r="EO12" s="668"/>
      <c r="EP12" s="668"/>
      <c r="EQ12" s="668"/>
      <c r="ER12" s="668"/>
      <c r="ES12" s="668"/>
      <c r="ET12" s="668"/>
      <c r="EU12" s="668"/>
      <c r="EV12" s="668"/>
      <c r="EW12" s="668"/>
      <c r="EX12" s="668"/>
      <c r="EY12" s="668"/>
      <c r="EZ12" s="668"/>
      <c r="FA12" s="668"/>
      <c r="FB12" s="668"/>
      <c r="FC12" s="668"/>
      <c r="FD12" s="668"/>
      <c r="FE12" s="668"/>
      <c r="FF12" s="668"/>
      <c r="FG12" s="668"/>
      <c r="FH12" s="668"/>
      <c r="FI12" s="668"/>
      <c r="FJ12" s="668"/>
      <c r="FK12" s="668"/>
      <c r="FL12" s="668"/>
      <c r="FM12" s="668"/>
      <c r="FN12" s="668"/>
      <c r="FO12" s="668"/>
      <c r="FP12" s="668"/>
      <c r="FQ12" s="668"/>
      <c r="FR12" s="668"/>
      <c r="FS12" s="668"/>
      <c r="FT12" s="668"/>
      <c r="FU12" s="668"/>
      <c r="FV12" s="668"/>
      <c r="FW12" s="668"/>
      <c r="FX12" s="668"/>
      <c r="FY12" s="668"/>
      <c r="FZ12" s="668"/>
      <c r="GA12" s="668"/>
      <c r="GB12" s="668"/>
      <c r="GC12" s="668"/>
      <c r="GD12" s="668"/>
      <c r="GE12" s="668"/>
      <c r="GF12" s="668"/>
      <c r="GG12" s="668"/>
      <c r="GH12" s="668"/>
      <c r="GI12" s="668"/>
      <c r="GJ12" s="668"/>
      <c r="GK12" s="668"/>
      <c r="GL12" s="668"/>
      <c r="GM12" s="668"/>
      <c r="GN12" s="668"/>
      <c r="GO12" s="668"/>
      <c r="GP12" s="668"/>
      <c r="GQ12" s="668"/>
      <c r="GR12" s="668"/>
      <c r="GS12" s="668"/>
      <c r="GT12" s="668"/>
      <c r="GU12" s="668"/>
      <c r="GV12" s="668"/>
      <c r="GW12" s="668"/>
      <c r="GX12" s="668"/>
      <c r="GY12" s="668"/>
      <c r="GZ12" s="668"/>
      <c r="HA12" s="668"/>
      <c r="HB12" s="668"/>
      <c r="HC12" s="668"/>
      <c r="HD12" s="668"/>
      <c r="HE12" s="668"/>
      <c r="HF12" s="668"/>
      <c r="HG12" s="668"/>
      <c r="HH12" s="668"/>
      <c r="HI12" s="668"/>
      <c r="HJ12" s="668"/>
      <c r="HK12" s="668"/>
      <c r="HL12" s="668"/>
      <c r="HM12" s="668"/>
      <c r="HN12" s="668"/>
      <c r="HO12" s="668"/>
      <c r="HP12" s="668"/>
      <c r="HQ12" s="668"/>
      <c r="HR12" s="668"/>
      <c r="HS12" s="668"/>
      <c r="HT12" s="668"/>
      <c r="HU12" s="668"/>
      <c r="HV12" s="668"/>
      <c r="HW12" s="668"/>
      <c r="HX12" s="668"/>
      <c r="HY12" s="668"/>
      <c r="HZ12" s="668"/>
      <c r="IA12" s="668"/>
      <c r="IB12" s="668"/>
      <c r="IC12" s="668"/>
      <c r="ID12" s="668"/>
      <c r="IE12" s="668"/>
      <c r="IF12" s="668"/>
      <c r="IG12" s="668"/>
      <c r="IH12" s="668"/>
      <c r="II12" s="668"/>
      <c r="IJ12" s="668"/>
      <c r="IK12" s="668"/>
      <c r="IL12" s="668"/>
      <c r="IM12" s="668"/>
      <c r="IN12" s="668"/>
      <c r="IO12" s="668"/>
      <c r="IP12" s="668"/>
      <c r="IQ12" s="668"/>
      <c r="IR12" s="668"/>
      <c r="IS12" s="668"/>
      <c r="IT12" s="668"/>
      <c r="IU12" s="668"/>
      <c r="IV12" s="668"/>
      <c r="IW12" s="668"/>
      <c r="IX12" s="668"/>
      <c r="IY12" s="668"/>
      <c r="IZ12" s="668"/>
      <c r="JA12" s="668"/>
      <c r="JB12" s="668"/>
      <c r="JC12" s="668"/>
      <c r="JD12" s="668"/>
      <c r="JE12" s="668"/>
      <c r="JF12" s="668"/>
      <c r="JG12" s="668"/>
      <c r="JH12" s="668"/>
      <c r="JI12" s="668"/>
      <c r="JJ12" s="668"/>
      <c r="JK12" s="668"/>
      <c r="JL12" s="668"/>
      <c r="JM12" s="668"/>
      <c r="JN12" s="668"/>
      <c r="JO12" s="668"/>
      <c r="JP12" s="668"/>
      <c r="JQ12" s="668"/>
      <c r="JR12" s="668"/>
      <c r="JS12" s="668"/>
      <c r="JT12" s="668"/>
      <c r="JU12" s="668"/>
      <c r="JV12" s="668"/>
      <c r="JW12" s="668"/>
      <c r="JX12" s="668"/>
      <c r="JY12" s="668"/>
      <c r="JZ12" s="668"/>
      <c r="KA12" s="668"/>
      <c r="KB12" s="668"/>
      <c r="KC12" s="668"/>
      <c r="KD12" s="668"/>
      <c r="KE12" s="668"/>
      <c r="KF12" s="668"/>
      <c r="KG12" s="668"/>
      <c r="KH12" s="668"/>
      <c r="KI12" s="668"/>
      <c r="KJ12" s="668"/>
    </row>
    <row r="13" spans="1:296" s="718" customFormat="1" ht="15.75" hidden="1" customHeight="1">
      <c r="A13" s="714" t="s">
        <v>449</v>
      </c>
      <c r="B13" s="714"/>
      <c r="C13" s="715"/>
      <c r="D13" s="715"/>
      <c r="E13" s="715"/>
      <c r="F13" s="715"/>
      <c r="G13" s="715"/>
      <c r="H13" s="716">
        <v>1</v>
      </c>
      <c r="I13" s="716">
        <v>1</v>
      </c>
      <c r="J13" s="716">
        <v>0.56999999999999995</v>
      </c>
      <c r="K13" s="716">
        <v>0.81</v>
      </c>
      <c r="L13" s="716">
        <v>1.1200000000000001</v>
      </c>
      <c r="M13" s="716">
        <v>0.55000000000000004</v>
      </c>
      <c r="N13" s="716">
        <v>0.13</v>
      </c>
      <c r="O13" s="716">
        <v>0</v>
      </c>
      <c r="P13" s="716">
        <v>0.41</v>
      </c>
      <c r="Q13" s="716">
        <v>0.72</v>
      </c>
      <c r="R13" s="716"/>
      <c r="S13" s="716"/>
      <c r="T13" s="716"/>
      <c r="U13" s="716"/>
      <c r="V13" s="716" t="s">
        <v>29</v>
      </c>
      <c r="W13" s="691"/>
      <c r="X13" s="717"/>
      <c r="Y13" s="717"/>
      <c r="Z13" s="717"/>
      <c r="AA13" s="717"/>
      <c r="AB13" s="717"/>
      <c r="AC13" s="717"/>
      <c r="AD13" s="717"/>
      <c r="AE13" s="717"/>
      <c r="AF13" s="717"/>
      <c r="AG13" s="717"/>
      <c r="AH13" s="717"/>
      <c r="AI13" s="717"/>
      <c r="AJ13" s="717"/>
      <c r="AK13" s="717"/>
      <c r="AL13" s="717"/>
      <c r="AM13" s="717"/>
      <c r="AN13" s="717"/>
      <c r="AO13" s="717"/>
      <c r="AP13" s="717"/>
      <c r="AQ13" s="717"/>
      <c r="AR13" s="717"/>
      <c r="AS13" s="717"/>
      <c r="AT13" s="717"/>
      <c r="AU13" s="717"/>
      <c r="AV13" s="717"/>
      <c r="AW13" s="717"/>
      <c r="AX13" s="717"/>
      <c r="AY13" s="717"/>
      <c r="AZ13" s="717"/>
      <c r="BA13" s="717"/>
      <c r="BB13" s="717"/>
      <c r="BC13" s="717"/>
      <c r="BD13" s="717"/>
      <c r="BE13" s="717"/>
      <c r="BF13" s="717"/>
      <c r="BG13" s="717"/>
      <c r="BH13" s="717"/>
      <c r="BI13" s="717"/>
      <c r="BJ13" s="717"/>
      <c r="BK13" s="717"/>
      <c r="BL13" s="717"/>
      <c r="BM13" s="717"/>
      <c r="BN13" s="717"/>
      <c r="BO13" s="717"/>
      <c r="BP13" s="717"/>
      <c r="BQ13" s="717"/>
      <c r="BR13" s="717"/>
      <c r="BS13" s="717"/>
      <c r="BT13" s="717"/>
      <c r="BU13" s="717"/>
      <c r="BV13" s="717"/>
      <c r="BW13" s="717"/>
      <c r="BX13" s="717"/>
      <c r="BY13" s="717"/>
      <c r="BZ13" s="717"/>
      <c r="CA13" s="717"/>
      <c r="CB13" s="717"/>
      <c r="CC13" s="717"/>
      <c r="CD13" s="717"/>
      <c r="CE13" s="717"/>
      <c r="CF13" s="717"/>
      <c r="CG13" s="717"/>
      <c r="CH13" s="717"/>
      <c r="CI13" s="717"/>
      <c r="CJ13" s="717"/>
      <c r="CK13" s="717"/>
      <c r="CL13" s="717"/>
      <c r="CM13" s="717"/>
      <c r="CN13" s="717"/>
      <c r="CO13" s="717"/>
      <c r="CP13" s="717"/>
      <c r="CQ13" s="717"/>
      <c r="CR13" s="717"/>
      <c r="CS13" s="717"/>
      <c r="CT13" s="717"/>
      <c r="CU13" s="717"/>
      <c r="CV13" s="717"/>
      <c r="CW13" s="717"/>
      <c r="CX13" s="717"/>
      <c r="CY13" s="717"/>
      <c r="CZ13" s="717"/>
      <c r="DA13" s="717"/>
      <c r="DB13" s="717"/>
      <c r="DC13" s="717"/>
      <c r="DD13" s="717"/>
      <c r="DE13" s="717"/>
      <c r="DF13" s="717"/>
      <c r="DG13" s="717"/>
      <c r="DH13" s="717"/>
      <c r="DI13" s="717"/>
      <c r="DJ13" s="717"/>
      <c r="DK13" s="717"/>
      <c r="DL13" s="717"/>
      <c r="DM13" s="717"/>
      <c r="DN13" s="717"/>
      <c r="DO13" s="717"/>
      <c r="DP13" s="717"/>
      <c r="DQ13" s="717"/>
      <c r="DR13" s="717"/>
      <c r="DS13" s="717"/>
      <c r="DT13" s="717"/>
      <c r="DU13" s="717"/>
      <c r="DV13" s="717"/>
      <c r="DW13" s="717"/>
      <c r="DX13" s="717"/>
      <c r="DY13" s="717"/>
      <c r="DZ13" s="717"/>
      <c r="EA13" s="717"/>
      <c r="EB13" s="717"/>
      <c r="EC13" s="717"/>
      <c r="ED13" s="717"/>
      <c r="EE13" s="717"/>
      <c r="EF13" s="717"/>
      <c r="EG13" s="717"/>
      <c r="EH13" s="717"/>
      <c r="EI13" s="717"/>
      <c r="EJ13" s="717"/>
      <c r="EK13" s="717"/>
      <c r="EL13" s="717"/>
      <c r="EM13" s="717"/>
      <c r="EN13" s="717"/>
      <c r="EO13" s="717"/>
      <c r="EP13" s="717"/>
      <c r="EQ13" s="717"/>
      <c r="ER13" s="717"/>
      <c r="ES13" s="717"/>
      <c r="ET13" s="717"/>
      <c r="EU13" s="717"/>
      <c r="EV13" s="717"/>
      <c r="EW13" s="717"/>
      <c r="EX13" s="717"/>
      <c r="EY13" s="717"/>
      <c r="EZ13" s="717"/>
      <c r="FA13" s="717"/>
      <c r="FB13" s="717"/>
      <c r="FC13" s="717"/>
      <c r="FD13" s="717"/>
      <c r="FE13" s="717"/>
      <c r="FF13" s="717"/>
      <c r="FG13" s="717"/>
      <c r="FH13" s="717"/>
      <c r="FI13" s="717"/>
      <c r="FJ13" s="717"/>
      <c r="FK13" s="717"/>
      <c r="FL13" s="717"/>
      <c r="FM13" s="717"/>
      <c r="FN13" s="717"/>
      <c r="FO13" s="717"/>
      <c r="FP13" s="717"/>
      <c r="FQ13" s="717"/>
      <c r="FR13" s="717"/>
      <c r="FS13" s="717"/>
      <c r="FT13" s="717"/>
      <c r="FU13" s="717"/>
      <c r="FV13" s="717"/>
      <c r="FW13" s="717"/>
      <c r="FX13" s="717"/>
      <c r="FY13" s="717"/>
      <c r="FZ13" s="717"/>
      <c r="GA13" s="717"/>
      <c r="GB13" s="717"/>
      <c r="GC13" s="717"/>
      <c r="GD13" s="717"/>
      <c r="GE13" s="717"/>
      <c r="GF13" s="717"/>
      <c r="GG13" s="717"/>
      <c r="GH13" s="717"/>
      <c r="GI13" s="717"/>
      <c r="GJ13" s="717"/>
      <c r="GK13" s="717"/>
      <c r="GL13" s="717"/>
      <c r="GM13" s="717"/>
      <c r="GN13" s="717"/>
      <c r="GO13" s="717"/>
      <c r="GP13" s="717"/>
      <c r="GQ13" s="717"/>
      <c r="GR13" s="717"/>
      <c r="GS13" s="717"/>
      <c r="GT13" s="717"/>
      <c r="GU13" s="717"/>
      <c r="GV13" s="717"/>
      <c r="GW13" s="717"/>
      <c r="GX13" s="717"/>
      <c r="GY13" s="717"/>
      <c r="GZ13" s="717"/>
      <c r="HA13" s="717"/>
      <c r="HB13" s="717"/>
      <c r="HC13" s="717"/>
      <c r="HD13" s="717"/>
      <c r="HE13" s="717"/>
      <c r="HF13" s="717"/>
      <c r="HG13" s="717"/>
      <c r="HH13" s="717"/>
      <c r="HI13" s="717"/>
      <c r="HJ13" s="717"/>
      <c r="HK13" s="717"/>
      <c r="HL13" s="717"/>
      <c r="HM13" s="717"/>
      <c r="HN13" s="717"/>
      <c r="HO13" s="717"/>
      <c r="HP13" s="717"/>
      <c r="HQ13" s="717"/>
      <c r="HR13" s="717"/>
      <c r="HS13" s="717"/>
      <c r="HT13" s="717"/>
      <c r="HU13" s="717"/>
      <c r="HV13" s="717"/>
      <c r="HW13" s="717"/>
      <c r="HX13" s="717"/>
      <c r="HY13" s="717"/>
      <c r="HZ13" s="717"/>
      <c r="IA13" s="717"/>
      <c r="IB13" s="717"/>
      <c r="IC13" s="717"/>
      <c r="ID13" s="717"/>
      <c r="IE13" s="717"/>
      <c r="IF13" s="717"/>
      <c r="IG13" s="717"/>
      <c r="IH13" s="717"/>
      <c r="II13" s="717"/>
      <c r="IJ13" s="717"/>
      <c r="IK13" s="717"/>
      <c r="IL13" s="717"/>
      <c r="IM13" s="717"/>
      <c r="IN13" s="717"/>
      <c r="IO13" s="717"/>
      <c r="IP13" s="717"/>
      <c r="IQ13" s="717"/>
      <c r="IR13" s="717"/>
      <c r="IS13" s="717"/>
      <c r="IT13" s="717"/>
      <c r="IU13" s="717"/>
      <c r="IV13" s="717"/>
      <c r="IW13" s="717"/>
      <c r="IX13" s="717"/>
      <c r="IY13" s="717"/>
      <c r="IZ13" s="717"/>
      <c r="JA13" s="717"/>
      <c r="JB13" s="717"/>
      <c r="JC13" s="717"/>
      <c r="JD13" s="717"/>
      <c r="JE13" s="717"/>
      <c r="JF13" s="717"/>
      <c r="JG13" s="717"/>
      <c r="JH13" s="717"/>
      <c r="JI13" s="717"/>
      <c r="JJ13" s="717"/>
      <c r="JK13" s="717"/>
      <c r="JL13" s="717"/>
      <c r="JM13" s="717"/>
      <c r="JN13" s="717"/>
      <c r="JO13" s="717"/>
      <c r="JP13" s="717"/>
      <c r="JQ13" s="717"/>
      <c r="JR13" s="717"/>
      <c r="JS13" s="717"/>
      <c r="JT13" s="717"/>
      <c r="JU13" s="717"/>
      <c r="JV13" s="717"/>
      <c r="JW13" s="717"/>
      <c r="JX13" s="717"/>
      <c r="JY13" s="717"/>
      <c r="JZ13" s="717"/>
      <c r="KA13" s="717"/>
      <c r="KB13" s="717"/>
      <c r="KC13" s="717"/>
      <c r="KD13" s="717"/>
      <c r="KE13" s="717"/>
      <c r="KF13" s="717"/>
      <c r="KG13" s="717"/>
      <c r="KH13" s="717"/>
      <c r="KI13" s="717"/>
      <c r="KJ13" s="717"/>
    </row>
    <row r="14" spans="1:296" s="719" customFormat="1" ht="15.75" customHeight="1">
      <c r="A14" s="707" t="s">
        <v>450</v>
      </c>
      <c r="B14" s="707"/>
      <c r="C14" s="708"/>
      <c r="D14" s="708"/>
      <c r="E14" s="708"/>
      <c r="F14" s="708"/>
      <c r="G14" s="708"/>
      <c r="H14" s="713">
        <f>H13*100</f>
        <v>100</v>
      </c>
      <c r="I14" s="713">
        <f>I13*100</f>
        <v>100</v>
      </c>
      <c r="J14" s="713">
        <f>J13*100</f>
        <v>56.999999999999993</v>
      </c>
      <c r="K14" s="713">
        <v>81</v>
      </c>
      <c r="L14" s="713">
        <v>112</v>
      </c>
      <c r="M14" s="713">
        <v>55</v>
      </c>
      <c r="N14" s="713">
        <v>13</v>
      </c>
      <c r="O14" s="713">
        <v>0</v>
      </c>
      <c r="P14" s="713">
        <v>41</v>
      </c>
      <c r="Q14" s="713">
        <v>72</v>
      </c>
      <c r="R14" s="713">
        <v>44</v>
      </c>
      <c r="S14" s="713">
        <v>104</v>
      </c>
      <c r="T14" s="713">
        <v>61</v>
      </c>
      <c r="U14" s="713">
        <v>0</v>
      </c>
      <c r="V14" s="713">
        <v>32</v>
      </c>
      <c r="W14" s="691"/>
    </row>
    <row r="15" spans="1:296" s="662" customFormat="1" ht="15.75" customHeight="1">
      <c r="A15" s="710" t="s">
        <v>33</v>
      </c>
      <c r="B15" s="710"/>
      <c r="C15" s="697"/>
      <c r="D15" s="697"/>
      <c r="E15" s="697"/>
      <c r="F15" s="697"/>
      <c r="G15" s="697"/>
      <c r="H15" s="711">
        <v>10</v>
      </c>
      <c r="I15" s="711">
        <v>9</v>
      </c>
      <c r="J15" s="711">
        <v>8</v>
      </c>
      <c r="K15" s="711">
        <v>7</v>
      </c>
      <c r="L15" s="711">
        <v>7</v>
      </c>
      <c r="M15" s="711">
        <v>7</v>
      </c>
      <c r="N15" s="711">
        <v>7</v>
      </c>
      <c r="O15" s="711">
        <v>9</v>
      </c>
      <c r="P15" s="711">
        <v>5</v>
      </c>
      <c r="Q15" s="711">
        <v>6</v>
      </c>
      <c r="R15" s="711">
        <v>6</v>
      </c>
      <c r="S15" s="711">
        <v>5</v>
      </c>
      <c r="T15" s="711">
        <v>3</v>
      </c>
      <c r="U15" s="711">
        <v>6</v>
      </c>
      <c r="V15" s="711">
        <v>5</v>
      </c>
      <c r="W15" s="691"/>
    </row>
    <row r="16" spans="1:296" s="662" customFormat="1" ht="15.75" customHeight="1">
      <c r="A16" s="707" t="s">
        <v>391</v>
      </c>
      <c r="B16" s="707"/>
      <c r="C16" s="708"/>
      <c r="D16" s="708"/>
      <c r="E16" s="708"/>
      <c r="F16" s="708"/>
      <c r="G16" s="708"/>
      <c r="H16" s="720">
        <v>11.5</v>
      </c>
      <c r="I16" s="720">
        <v>7.15</v>
      </c>
      <c r="J16" s="720">
        <v>8.0399999999999991</v>
      </c>
      <c r="K16" s="720">
        <v>7.95</v>
      </c>
      <c r="L16" s="720">
        <v>8.15</v>
      </c>
      <c r="M16" s="720">
        <v>6.82</v>
      </c>
      <c r="N16" s="720">
        <v>5.92</v>
      </c>
      <c r="O16" s="720">
        <v>4.05</v>
      </c>
      <c r="P16" s="720">
        <v>5.1100000000000003</v>
      </c>
      <c r="Q16" s="720">
        <v>5.3</v>
      </c>
      <c r="R16" s="720">
        <v>5.33</v>
      </c>
      <c r="S16" s="720">
        <v>7.73</v>
      </c>
      <c r="T16" s="720">
        <v>5</v>
      </c>
      <c r="U16" s="720">
        <v>3</v>
      </c>
      <c r="V16" s="720">
        <v>4</v>
      </c>
      <c r="W16" s="691"/>
    </row>
    <row r="17" spans="1:33" s="725" customFormat="1" ht="15.75" hidden="1" customHeight="1">
      <c r="A17" s="721" t="s">
        <v>34</v>
      </c>
      <c r="B17" s="721"/>
      <c r="C17" s="722"/>
      <c r="D17" s="722"/>
      <c r="E17" s="722"/>
      <c r="F17" s="722"/>
      <c r="G17" s="722"/>
      <c r="H17" s="723">
        <v>2.2000000000000002</v>
      </c>
      <c r="I17" s="724"/>
      <c r="J17" s="724"/>
      <c r="K17" s="724"/>
      <c r="L17" s="724"/>
      <c r="M17" s="724"/>
      <c r="N17" s="724"/>
      <c r="O17" s="724"/>
      <c r="P17" s="724">
        <v>2.46</v>
      </c>
      <c r="Q17" s="724"/>
      <c r="R17" s="724"/>
      <c r="S17" s="724"/>
      <c r="T17" s="724"/>
      <c r="U17" s="724"/>
      <c r="V17" s="724" t="s">
        <v>29</v>
      </c>
      <c r="W17" s="691"/>
    </row>
    <row r="18" spans="1:33" s="662" customFormat="1" ht="15.75" customHeight="1">
      <c r="A18" s="726" t="s">
        <v>451</v>
      </c>
      <c r="B18" s="726"/>
      <c r="C18" s="727" t="s">
        <v>35</v>
      </c>
      <c r="D18" s="727"/>
      <c r="E18" s="727"/>
      <c r="F18" s="727"/>
      <c r="G18" s="727"/>
      <c r="H18" s="728">
        <v>74.87</v>
      </c>
      <c r="I18" s="728">
        <v>75.171299999999974</v>
      </c>
      <c r="J18" s="728">
        <v>75.767200000000003</v>
      </c>
      <c r="K18" s="728">
        <v>76.363100000000031</v>
      </c>
      <c r="L18" s="728">
        <v>76.959000000000103</v>
      </c>
      <c r="M18" s="728">
        <v>77.554900000000089</v>
      </c>
      <c r="N18" s="728">
        <v>78.150800000000118</v>
      </c>
      <c r="O18" s="728">
        <v>78.746699999999919</v>
      </c>
      <c r="P18" s="728">
        <v>78.97</v>
      </c>
      <c r="Q18" s="728">
        <v>79.938499999999976</v>
      </c>
      <c r="R18" s="729"/>
      <c r="S18" s="729"/>
      <c r="T18" s="729"/>
      <c r="U18" s="729"/>
      <c r="V18" s="729"/>
      <c r="W18" s="691"/>
    </row>
    <row r="19" spans="1:33" s="662" customFormat="1" ht="15.75" customHeight="1">
      <c r="A19" s="730" t="s">
        <v>452</v>
      </c>
      <c r="B19" s="730"/>
      <c r="C19" s="731"/>
      <c r="D19" s="731"/>
      <c r="E19" s="731"/>
      <c r="F19" s="731"/>
      <c r="G19" s="731"/>
      <c r="H19" s="732">
        <v>78.5</v>
      </c>
      <c r="I19" s="732">
        <v>79.323499999999967</v>
      </c>
      <c r="J19" s="732">
        <v>80.283999999999878</v>
      </c>
      <c r="K19" s="732">
        <v>81.244500000000016</v>
      </c>
      <c r="L19" s="1006">
        <v>82.204999999999899</v>
      </c>
      <c r="M19" s="1006">
        <v>83.165499999999838</v>
      </c>
      <c r="N19" s="1006">
        <v>84.125999999999976</v>
      </c>
      <c r="O19" s="1006">
        <v>85.086499999999901</v>
      </c>
      <c r="P19" s="1006">
        <v>85.679731568273951</v>
      </c>
      <c r="Q19" s="1006">
        <v>87.007499999999936</v>
      </c>
      <c r="S19" s="733"/>
      <c r="T19" s="733"/>
      <c r="U19" s="733"/>
      <c r="V19" s="733"/>
      <c r="W19" s="691"/>
    </row>
    <row r="20" spans="1:33" s="662" customFormat="1" ht="15.75" customHeight="1">
      <c r="A20" s="697" t="s">
        <v>36</v>
      </c>
      <c r="B20" s="697"/>
      <c r="C20" s="697"/>
      <c r="D20" s="697"/>
      <c r="E20" s="697"/>
      <c r="F20" s="697"/>
      <c r="G20" s="697"/>
      <c r="H20" s="734">
        <v>5556</v>
      </c>
      <c r="I20" s="734">
        <v>5821</v>
      </c>
      <c r="J20" s="734">
        <v>5821</v>
      </c>
      <c r="K20" s="734">
        <v>6569</v>
      </c>
      <c r="L20" s="734">
        <v>6136</v>
      </c>
      <c r="M20" s="734">
        <v>6015</v>
      </c>
      <c r="N20" s="734">
        <v>5699</v>
      </c>
      <c r="O20" s="734">
        <v>5620</v>
      </c>
      <c r="P20" s="734">
        <v>5712</v>
      </c>
      <c r="Q20" s="734">
        <v>5763</v>
      </c>
      <c r="R20" s="734">
        <v>5488</v>
      </c>
      <c r="S20" s="734">
        <v>5237</v>
      </c>
      <c r="T20" s="734">
        <v>5290</v>
      </c>
      <c r="U20" s="734">
        <v>5069</v>
      </c>
      <c r="V20" s="734">
        <v>4998</v>
      </c>
      <c r="W20" s="691"/>
    </row>
    <row r="21" spans="1:33" s="662" customFormat="1" ht="15.75" customHeight="1">
      <c r="A21" s="1008" t="s">
        <v>37</v>
      </c>
      <c r="B21" s="1008"/>
      <c r="C21" s="1008"/>
      <c r="D21" s="1008"/>
      <c r="E21" s="1008"/>
      <c r="F21" s="1008"/>
      <c r="G21" s="1008"/>
      <c r="H21" s="735">
        <v>2177</v>
      </c>
      <c r="I21" s="735">
        <v>2345</v>
      </c>
      <c r="J21" s="735">
        <v>2345</v>
      </c>
      <c r="K21" s="735">
        <v>2680</v>
      </c>
      <c r="L21" s="735">
        <v>2795</v>
      </c>
      <c r="M21" s="735">
        <v>3016</v>
      </c>
      <c r="N21" s="735">
        <v>3011</v>
      </c>
      <c r="O21" s="735">
        <v>3331</v>
      </c>
      <c r="P21" s="735">
        <v>3402</v>
      </c>
      <c r="Q21" s="735">
        <v>3358</v>
      </c>
      <c r="R21" s="735">
        <v>3417</v>
      </c>
      <c r="S21" s="735">
        <v>3211</v>
      </c>
      <c r="T21" s="735">
        <v>3166</v>
      </c>
      <c r="U21" s="735">
        <v>3429</v>
      </c>
      <c r="V21" s="735">
        <v>2984</v>
      </c>
      <c r="W21" s="691"/>
    </row>
    <row r="22" spans="1:33" s="47" customFormat="1" ht="21" customHeight="1">
      <c r="A22" s="1007" t="s">
        <v>369</v>
      </c>
      <c r="B22" s="1007"/>
      <c r="C22" s="1007"/>
      <c r="D22" s="1007"/>
      <c r="E22" s="1007"/>
      <c r="F22" s="1007"/>
      <c r="G22" s="1007"/>
      <c r="H22" s="1007"/>
      <c r="I22" s="1007"/>
      <c r="J22" s="1007"/>
      <c r="K22" s="1007"/>
      <c r="L22" s="1007"/>
      <c r="M22" s="43"/>
      <c r="N22" s="43"/>
      <c r="O22" s="44"/>
      <c r="P22" s="45"/>
      <c r="Q22" s="45"/>
      <c r="R22" s="45"/>
      <c r="S22" s="45"/>
      <c r="T22" s="33"/>
      <c r="U22" s="461"/>
      <c r="V22" s="461"/>
      <c r="W22" s="46"/>
      <c r="X22" s="80"/>
      <c r="AB22" s="35"/>
      <c r="AC22" s="35"/>
      <c r="AD22" s="35"/>
      <c r="AE22" s="35"/>
      <c r="AF22" s="35"/>
      <c r="AG22" s="35"/>
    </row>
    <row r="23" spans="1:33" s="47" customFormat="1" ht="15.75" customHeight="1">
      <c r="A23" s="48" t="s">
        <v>370</v>
      </c>
      <c r="B23" s="48"/>
      <c r="C23" s="48"/>
      <c r="D23" s="48"/>
      <c r="E23" s="48"/>
      <c r="F23" s="48"/>
      <c r="G23" s="48"/>
      <c r="H23" s="48"/>
      <c r="I23" s="48"/>
      <c r="J23" s="48"/>
      <c r="K23" s="48"/>
      <c r="L23" s="48"/>
      <c r="M23" s="43"/>
      <c r="N23" s="43"/>
      <c r="O23" s="44"/>
      <c r="P23" s="45"/>
      <c r="Q23" s="45"/>
      <c r="R23" s="45"/>
      <c r="S23" s="45"/>
      <c r="T23" s="33"/>
      <c r="U23" s="461"/>
      <c r="V23" s="461"/>
      <c r="W23" s="46"/>
      <c r="X23" s="80"/>
      <c r="AB23" s="35"/>
      <c r="AC23" s="35"/>
      <c r="AD23" s="35"/>
      <c r="AE23" s="35"/>
      <c r="AF23" s="35"/>
      <c r="AG23" s="35"/>
    </row>
    <row r="24" spans="1:33" s="17" customFormat="1" ht="17.25" customHeight="1">
      <c r="A24" s="48" t="s">
        <v>40</v>
      </c>
      <c r="B24" s="80"/>
      <c r="C24" s="80"/>
      <c r="D24" s="80"/>
      <c r="E24" s="80"/>
      <c r="F24" s="80"/>
      <c r="G24" s="80"/>
      <c r="H24" s="80"/>
      <c r="I24" s="80"/>
      <c r="O24" s="49"/>
      <c r="P24" s="49"/>
      <c r="Q24" s="49"/>
      <c r="R24" s="49"/>
      <c r="S24" s="50"/>
      <c r="T24" s="33"/>
      <c r="U24" s="461"/>
      <c r="V24" s="461"/>
      <c r="W24" s="50"/>
      <c r="X24" s="80"/>
      <c r="AB24" s="35"/>
      <c r="AC24" s="35"/>
      <c r="AD24" s="35"/>
      <c r="AE24" s="35"/>
      <c r="AF24" s="35"/>
      <c r="AG24" s="35"/>
    </row>
    <row r="25" spans="1:33" s="17" customFormat="1" ht="17.25" customHeight="1">
      <c r="A25" s="48" t="s">
        <v>436</v>
      </c>
      <c r="B25" s="80"/>
      <c r="C25" s="80"/>
      <c r="D25" s="80"/>
      <c r="E25" s="80"/>
      <c r="F25" s="80"/>
      <c r="G25" s="80"/>
      <c r="H25" s="80"/>
      <c r="I25" s="80"/>
      <c r="M25" s="40"/>
      <c r="N25" s="40"/>
      <c r="O25" s="40"/>
      <c r="P25" s="40"/>
      <c r="Q25" s="40"/>
      <c r="R25" s="40"/>
      <c r="S25" s="51"/>
      <c r="T25" s="33"/>
      <c r="U25" s="461"/>
      <c r="V25" s="461"/>
      <c r="W25" s="50"/>
      <c r="AB25" s="35"/>
      <c r="AC25" s="35"/>
      <c r="AD25" s="35"/>
      <c r="AE25" s="35"/>
      <c r="AF25" s="35"/>
      <c r="AG25" s="35"/>
    </row>
    <row r="26" spans="1:33" s="17" customFormat="1" ht="17.25" customHeight="1">
      <c r="A26" s="48" t="s">
        <v>396</v>
      </c>
      <c r="B26" s="80"/>
      <c r="C26" s="80"/>
      <c r="D26" s="80"/>
      <c r="E26" s="80"/>
      <c r="F26" s="80"/>
      <c r="G26" s="80"/>
      <c r="H26" s="80"/>
      <c r="I26" s="80"/>
      <c r="M26" s="52"/>
      <c r="N26" s="52"/>
      <c r="O26" s="52"/>
      <c r="P26" s="52"/>
      <c r="Q26" s="52"/>
      <c r="R26" s="53"/>
      <c r="S26" s="53"/>
      <c r="U26" s="461"/>
      <c r="V26" s="461"/>
      <c r="W26" s="52"/>
      <c r="AB26" s="35"/>
      <c r="AC26" s="35"/>
      <c r="AD26" s="35"/>
      <c r="AE26" s="35"/>
      <c r="AF26" s="35"/>
      <c r="AG26" s="35"/>
    </row>
    <row r="27" spans="1:33" s="80" customFormat="1" ht="17.25" customHeight="1">
      <c r="A27" s="462" t="s">
        <v>395</v>
      </c>
      <c r="M27" s="52"/>
      <c r="N27" s="52"/>
      <c r="O27" s="52"/>
      <c r="P27" s="52"/>
      <c r="Q27" s="52"/>
      <c r="R27" s="53"/>
      <c r="S27" s="53"/>
      <c r="U27" s="461"/>
      <c r="V27" s="461"/>
      <c r="W27" s="52"/>
      <c r="AB27" s="35"/>
      <c r="AC27" s="35"/>
      <c r="AD27" s="35"/>
      <c r="AE27" s="35"/>
      <c r="AF27" s="35"/>
      <c r="AG27" s="35"/>
    </row>
    <row r="28" spans="1:33" s="80" customFormat="1" ht="17.25" customHeight="1">
      <c r="A28" s="463" t="s">
        <v>397</v>
      </c>
      <c r="M28" s="52"/>
      <c r="N28" s="52"/>
      <c r="O28" s="52"/>
      <c r="P28" s="52"/>
      <c r="Q28" s="52"/>
      <c r="R28" s="53"/>
      <c r="S28" s="53"/>
      <c r="U28" s="461"/>
      <c r="V28" s="461"/>
      <c r="W28" s="52"/>
      <c r="AB28" s="35"/>
      <c r="AC28" s="35"/>
      <c r="AD28" s="35"/>
      <c r="AE28" s="35"/>
      <c r="AF28" s="35"/>
      <c r="AG28" s="35"/>
    </row>
    <row r="29" spans="1:33" s="17" customFormat="1" ht="17.25" customHeight="1">
      <c r="A29" s="654" t="s">
        <v>437</v>
      </c>
      <c r="B29" s="92"/>
      <c r="C29" s="92"/>
      <c r="D29" s="92"/>
      <c r="E29" s="92"/>
      <c r="F29" s="92"/>
      <c r="G29" s="92"/>
      <c r="H29" s="92"/>
      <c r="I29" s="92"/>
      <c r="T29" s="33"/>
      <c r="U29" s="461"/>
      <c r="V29" s="461"/>
      <c r="AF29" s="35"/>
      <c r="AG29" s="35"/>
    </row>
    <row r="30" spans="1:33" s="80" customFormat="1" ht="17.25" customHeight="1">
      <c r="A30" s="654" t="s">
        <v>438</v>
      </c>
      <c r="B30" s="92"/>
      <c r="C30" s="92"/>
      <c r="D30" s="92"/>
      <c r="E30" s="92"/>
      <c r="F30" s="92"/>
      <c r="G30" s="92"/>
      <c r="H30" s="92"/>
      <c r="I30" s="92"/>
      <c r="T30" s="33"/>
      <c r="U30" s="461"/>
      <c r="V30" s="461"/>
      <c r="AF30" s="35"/>
      <c r="AG30" s="35"/>
    </row>
    <row r="31" spans="1:33" s="17" customFormat="1" ht="17.25" customHeight="1">
      <c r="T31" s="33"/>
      <c r="U31" s="461"/>
      <c r="V31" s="461"/>
      <c r="AF31" s="35"/>
      <c r="AG31" s="35"/>
    </row>
    <row r="32" spans="1:33" s="17" customFormat="1" ht="17.25" customHeight="1">
      <c r="T32" s="33"/>
      <c r="AF32" s="35"/>
      <c r="AG32" s="35"/>
    </row>
    <row r="33" spans="20:20" s="17" customFormat="1" ht="17.25" customHeight="1">
      <c r="T33" s="33"/>
    </row>
    <row r="34" spans="20:20" s="17" customFormat="1" ht="17.25" customHeight="1"/>
    <row r="35" spans="20:20" s="17" customFormat="1" ht="17.25" customHeight="1"/>
    <row r="36" spans="20:20" s="17" customFormat="1" ht="17.25" customHeight="1"/>
    <row r="37" spans="20:20" s="17" customFormat="1" ht="17.25" customHeight="1"/>
    <row r="38" spans="20:20" s="17" customFormat="1" ht="17.25" customHeight="1"/>
    <row r="39" spans="20:20" s="17" customFormat="1" ht="17.25" customHeight="1"/>
    <row r="40" spans="20:20" s="17" customFormat="1" ht="17.25" customHeight="1"/>
    <row r="41" spans="20:20" s="17" customFormat="1" ht="17.25" customHeight="1"/>
    <row r="42" spans="20:20" s="17" customFormat="1" ht="17.25" customHeight="1"/>
    <row r="43" spans="20:20" s="17" customFormat="1" ht="17.25" customHeight="1"/>
    <row r="44" spans="20:20" s="17" customFormat="1" ht="17.25" customHeight="1"/>
    <row r="45" spans="20:20" s="17" customFormat="1" ht="17.25" customHeight="1"/>
    <row r="46" spans="20:20" s="17" customFormat="1" ht="17.25" customHeight="1"/>
    <row r="47" spans="20:20" s="17" customFormat="1" ht="17.25" customHeight="1"/>
    <row r="48" spans="20:20" s="17" customFormat="1" ht="17.25" customHeight="1"/>
    <row r="49" spans="1:11" s="17" customFormat="1" ht="17.25" customHeight="1"/>
    <row r="50" spans="1:11" s="17" customFormat="1" ht="17.25" customHeight="1">
      <c r="A50" s="58"/>
      <c r="B50" s="59"/>
      <c r="C50" s="59"/>
    </row>
    <row r="51" spans="1:11" s="17" customFormat="1" ht="17.25" customHeight="1">
      <c r="A51" s="60"/>
      <c r="B51" s="59"/>
      <c r="C51" s="59"/>
    </row>
    <row r="52" spans="1:11" s="17" customFormat="1" ht="17.25" customHeight="1">
      <c r="A52" s="60"/>
      <c r="B52" s="59"/>
      <c r="C52" s="59"/>
    </row>
    <row r="53" spans="1:11" s="17" customFormat="1" ht="17.25" customHeight="1">
      <c r="A53" s="60"/>
      <c r="B53" s="59"/>
      <c r="C53" s="59"/>
    </row>
    <row r="54" spans="1:11" s="17" customFormat="1" ht="17.25" customHeight="1">
      <c r="A54" s="59"/>
      <c r="B54" s="59"/>
      <c r="C54" s="59"/>
    </row>
    <row r="55" spans="1:11" s="17" customFormat="1" ht="17.25" customHeight="1">
      <c r="A55" s="59"/>
      <c r="B55" s="59"/>
      <c r="C55" s="59"/>
    </row>
    <row r="56" spans="1:11" s="17" customFormat="1" ht="17.25" customHeight="1"/>
    <row r="57" spans="1:11" s="17" customFormat="1" ht="17.25" customHeight="1"/>
    <row r="58" spans="1:11" s="17" customFormat="1" ht="17.25" customHeight="1"/>
    <row r="59" spans="1:11" s="17" customFormat="1" ht="17.25" customHeight="1"/>
    <row r="60" spans="1:11" s="17" customFormat="1" ht="17.25" customHeight="1">
      <c r="K60" s="56"/>
    </row>
    <row r="61" spans="1:11" s="17" customFormat="1" ht="17.25" customHeight="1"/>
    <row r="62" spans="1:11" s="17" customFormat="1" ht="17.25" customHeight="1"/>
    <row r="63" spans="1:11" s="25" customFormat="1" ht="17.25" customHeight="1"/>
    <row r="64" spans="1:11" s="25" customFormat="1" ht="17.25" customHeight="1"/>
    <row r="65" spans="23:23" s="25" customFormat="1" ht="17.25" customHeight="1"/>
    <row r="66" spans="23:23" s="25" customFormat="1" ht="17.25" customHeight="1"/>
    <row r="67" spans="23:23" s="25" customFormat="1" ht="17.25" customHeight="1"/>
    <row r="68" spans="23:23" s="25" customFormat="1" ht="17.25" customHeight="1"/>
    <row r="69" spans="23:23" s="25" customFormat="1" ht="17.25" customHeight="1"/>
    <row r="70" spans="23:23" s="25" customFormat="1" ht="17.25" customHeight="1"/>
    <row r="71" spans="23:23" s="25" customFormat="1" ht="17.25" customHeight="1"/>
    <row r="72" spans="23:23" s="25" customFormat="1" ht="17.25" customHeight="1"/>
    <row r="73" spans="23:23" s="25" customFormat="1" ht="17.25" customHeight="1"/>
    <row r="74" spans="23:23" s="25" customFormat="1" ht="17.25" customHeight="1"/>
    <row r="75" spans="23:23" s="25" customFormat="1" ht="17.25" customHeight="1"/>
    <row r="76" spans="23:23" s="25" customFormat="1" ht="17.25" customHeight="1"/>
    <row r="77" spans="23:23" s="25" customFormat="1" ht="17.25" customHeight="1"/>
    <row r="78" spans="23:23" s="25" customFormat="1" ht="17.25" customHeight="1">
      <c r="W78" s="61"/>
    </row>
    <row r="79" spans="23:23" s="25" customFormat="1" ht="17.25" customHeight="1"/>
    <row r="80" spans="23:23" s="25" customFormat="1" ht="17.25" customHeight="1"/>
    <row r="81" s="25" customFormat="1" ht="17.25" customHeight="1"/>
    <row r="82" s="25" customFormat="1" ht="17.25" customHeight="1"/>
    <row r="83" s="25" customFormat="1" ht="17.25" customHeight="1"/>
    <row r="84" s="25" customFormat="1" ht="17.25" customHeight="1"/>
    <row r="85" s="25" customFormat="1" ht="17.25" customHeight="1"/>
    <row r="86" s="25" customFormat="1" ht="17.25" customHeight="1"/>
    <row r="87" s="25" customFormat="1" ht="17.25" customHeight="1"/>
    <row r="88" s="25" customFormat="1" ht="17.25" customHeight="1"/>
    <row r="89" s="25" customFormat="1" ht="17.25" customHeight="1"/>
    <row r="90" s="25" customFormat="1" ht="17.25" customHeight="1"/>
    <row r="91" s="25" customFormat="1" ht="17.25" customHeight="1"/>
    <row r="92" s="25" customFormat="1" ht="17.25" customHeight="1"/>
    <row r="93" s="25" customFormat="1" ht="17.25" customHeight="1"/>
    <row r="94" s="25" customFormat="1" ht="17.25" customHeight="1"/>
    <row r="95" s="25" customFormat="1" ht="17.25" customHeight="1"/>
    <row r="96" s="25" customFormat="1" ht="17.25" customHeight="1"/>
    <row r="97" s="25" customFormat="1" ht="17.25" customHeight="1"/>
    <row r="98" s="25" customFormat="1" ht="17.25" customHeight="1"/>
    <row r="99" s="25" customFormat="1" ht="17.25" customHeight="1"/>
    <row r="100" s="25" customFormat="1" ht="17.25" customHeight="1"/>
    <row r="101" s="25" customFormat="1" ht="17.25" customHeight="1"/>
    <row r="102" s="25" customFormat="1" ht="17.25" customHeight="1"/>
    <row r="103" s="25" customFormat="1" ht="17.25" customHeight="1"/>
    <row r="104" s="25" customFormat="1" ht="17.25" customHeight="1"/>
    <row r="105" s="25" customFormat="1" ht="17.25" customHeight="1"/>
    <row r="106" s="25" customFormat="1" ht="17.25" customHeight="1"/>
    <row r="107" s="25" customFormat="1" ht="17.25" customHeight="1"/>
    <row r="108" s="25" customFormat="1" ht="17.25" customHeight="1"/>
    <row r="109" s="25" customFormat="1" ht="17.25" customHeight="1"/>
    <row r="110" s="25" customFormat="1" ht="17.25" customHeight="1"/>
    <row r="111" s="25" customFormat="1" ht="17.25" customHeight="1"/>
    <row r="112" s="25" customFormat="1" ht="17.25" customHeight="1"/>
    <row r="113" s="25" customFormat="1" ht="17.25" customHeight="1"/>
    <row r="114" s="25" customFormat="1" ht="17.25" customHeight="1"/>
    <row r="115" s="25" customFormat="1" ht="17.25" customHeight="1"/>
    <row r="116" s="25" customFormat="1" ht="17.25" customHeight="1"/>
    <row r="117" s="25" customFormat="1" ht="17.25" customHeight="1"/>
    <row r="118" s="25" customFormat="1" ht="17.25" customHeight="1"/>
    <row r="119" s="25" customFormat="1" ht="17.25" customHeight="1"/>
    <row r="120" s="25" customFormat="1" ht="17.25" customHeight="1"/>
    <row r="121" s="25" customFormat="1" ht="17.25" customHeight="1"/>
    <row r="122" s="25" customFormat="1" ht="17.25" customHeight="1"/>
    <row r="123" s="25" customFormat="1" ht="17.25" customHeight="1"/>
    <row r="124" s="25" customFormat="1" ht="17.25" customHeight="1"/>
    <row r="125" s="25" customFormat="1" ht="17.25" customHeight="1"/>
    <row r="126" s="25" customFormat="1" ht="17.25" customHeight="1"/>
    <row r="127" s="25" customFormat="1" ht="17.25" customHeight="1"/>
    <row r="128" s="25" customFormat="1" ht="17.25" customHeight="1"/>
    <row r="129" s="25" customFormat="1" ht="17.25" customHeight="1"/>
    <row r="130" s="25" customFormat="1" ht="17.25" customHeight="1"/>
    <row r="131" s="25" customFormat="1" ht="17.25" customHeight="1"/>
    <row r="132" s="25" customFormat="1" ht="17.25" customHeight="1"/>
    <row r="133" s="25" customFormat="1" ht="17.25" customHeight="1"/>
    <row r="134" s="25" customFormat="1" ht="17.25" customHeight="1"/>
    <row r="135" s="25" customFormat="1" ht="17.25" customHeight="1"/>
    <row r="136" s="25" customFormat="1" ht="17.25" customHeight="1"/>
    <row r="137" s="25" customFormat="1" ht="17.25" customHeight="1"/>
    <row r="138" s="25" customFormat="1" ht="17.25" customHeight="1"/>
    <row r="139" s="25" customFormat="1" ht="17.25" customHeight="1"/>
    <row r="140" s="25" customFormat="1" ht="17.25" customHeight="1"/>
    <row r="141" s="25" customFormat="1" ht="17.25" customHeight="1"/>
    <row r="142" s="25" customFormat="1" ht="17.25" customHeight="1"/>
    <row r="143" s="25" customFormat="1" ht="17.25" customHeight="1"/>
    <row r="144" s="25" customFormat="1" ht="17.25" customHeight="1"/>
    <row r="145" s="25" customFormat="1" ht="17.25" customHeight="1"/>
    <row r="146" s="25" customFormat="1" ht="17.25" customHeight="1"/>
    <row r="147" s="25" customFormat="1" ht="17.25" customHeight="1"/>
    <row r="148" s="25" customFormat="1" ht="17.25" customHeight="1"/>
    <row r="149" s="25" customFormat="1" ht="17.25" customHeight="1"/>
    <row r="150" s="25" customFormat="1" ht="17.25" customHeight="1"/>
    <row r="151" s="25" customFormat="1" ht="17.25" customHeight="1"/>
    <row r="152" s="25" customFormat="1" ht="17.25" customHeight="1"/>
    <row r="153" s="25" customFormat="1" ht="17.25" customHeight="1"/>
    <row r="154" s="25" customFormat="1" ht="17.25" customHeight="1"/>
    <row r="155" s="25" customFormat="1" ht="17.25" customHeight="1"/>
    <row r="156" s="25" customFormat="1" ht="17.25" customHeight="1"/>
    <row r="157" s="25" customFormat="1" ht="17.25" customHeight="1"/>
    <row r="158" s="25" customFormat="1" ht="17.25" customHeight="1"/>
    <row r="159" s="25" customFormat="1" ht="17.25" customHeight="1"/>
    <row r="160" s="25" customFormat="1" ht="17.25" customHeight="1"/>
    <row r="161" s="25" customFormat="1" ht="17.25" customHeight="1"/>
    <row r="162" s="25" customFormat="1" ht="17.25" customHeight="1"/>
    <row r="163" s="25" customFormat="1" ht="17.25" customHeight="1"/>
    <row r="164" s="25" customFormat="1" ht="17.25" customHeight="1"/>
    <row r="165" s="25" customFormat="1" ht="17.25" customHeight="1"/>
    <row r="166" s="25" customFormat="1" ht="17.25" customHeight="1"/>
    <row r="167" s="25" customFormat="1" ht="17.25" customHeight="1"/>
    <row r="168" s="25" customFormat="1" ht="17.25" customHeight="1"/>
    <row r="169" s="25" customFormat="1" ht="17.25" customHeight="1"/>
    <row r="170" s="25" customFormat="1" ht="17.25" customHeight="1"/>
    <row r="171" s="25" customFormat="1" ht="17.25" customHeight="1"/>
    <row r="172" s="25" customFormat="1" ht="17.25" customHeight="1"/>
    <row r="173" s="25" customFormat="1" ht="17.25" customHeight="1"/>
    <row r="174" s="25" customFormat="1" ht="17.25" customHeight="1"/>
    <row r="175" s="25" customFormat="1" ht="17.25" customHeight="1"/>
    <row r="176" s="25" customFormat="1" ht="17.25" customHeight="1"/>
    <row r="177" s="25" customFormat="1" ht="17.25" customHeight="1"/>
    <row r="178" s="25" customFormat="1" ht="17.25" customHeight="1"/>
    <row r="179" s="25" customFormat="1" ht="17.25" customHeight="1"/>
    <row r="180" s="25" customFormat="1" ht="17.25" customHeight="1"/>
    <row r="181" s="25" customFormat="1" ht="17.25" customHeight="1"/>
    <row r="182" s="25" customFormat="1" ht="17.25" customHeight="1"/>
    <row r="183" s="25" customFormat="1" ht="17.25" customHeight="1"/>
    <row r="184" s="25" customFormat="1" ht="17.25" customHeight="1"/>
    <row r="185" s="25" customFormat="1" ht="17.25" customHeight="1"/>
    <row r="186" s="25" customFormat="1" ht="17.25" customHeight="1"/>
    <row r="187" s="25" customFormat="1" ht="17.25" customHeight="1"/>
    <row r="188" s="25" customFormat="1" ht="17.25" customHeight="1"/>
    <row r="189" s="25" customFormat="1" ht="17.25" customHeight="1"/>
    <row r="190" s="25" customFormat="1" ht="17.25" customHeight="1"/>
    <row r="191" s="25" customFormat="1" ht="17.25" customHeight="1"/>
    <row r="192" s="25" customFormat="1" ht="17.25" customHeight="1"/>
    <row r="193" s="25" customFormat="1" ht="17.25" customHeight="1"/>
    <row r="194" s="25" customFormat="1" ht="17.25" customHeight="1"/>
    <row r="195" s="25" customFormat="1" ht="17.25" customHeight="1"/>
    <row r="196" s="25" customFormat="1" ht="17.25" customHeight="1"/>
    <row r="197" s="25" customFormat="1" ht="17.25" customHeight="1"/>
    <row r="198" s="25" customFormat="1" ht="17.25" customHeight="1"/>
    <row r="199" s="25" customFormat="1" ht="17.25" customHeight="1"/>
    <row r="200" s="25" customFormat="1" ht="17.25" customHeight="1"/>
    <row r="201" s="25" customFormat="1" ht="17.25" customHeight="1"/>
    <row r="202" s="25" customFormat="1" ht="17.25" customHeight="1"/>
    <row r="203" s="25" customFormat="1" ht="17.25" customHeight="1"/>
    <row r="204" s="25" customFormat="1" ht="17.25" customHeight="1"/>
    <row r="205" s="25" customFormat="1" ht="17.25" customHeight="1"/>
    <row r="206" s="25" customFormat="1" ht="17.25" customHeight="1"/>
    <row r="207" s="25" customFormat="1" ht="17.25" customHeight="1"/>
    <row r="208" s="25" customFormat="1" ht="17.25" customHeight="1"/>
    <row r="209" s="25" customFormat="1" ht="17.25" customHeight="1"/>
    <row r="210" s="25" customFormat="1" ht="17.25" customHeight="1"/>
    <row r="211" s="25" customFormat="1" ht="17.25" customHeight="1"/>
    <row r="212" s="25" customFormat="1" ht="17.25" customHeight="1"/>
    <row r="213" s="25" customFormat="1" ht="17.25" customHeight="1"/>
    <row r="214" s="25" customFormat="1" ht="17.25" customHeight="1"/>
    <row r="215" s="25" customFormat="1" ht="17.25" customHeight="1"/>
    <row r="216" s="25" customFormat="1" ht="17.25" customHeight="1"/>
    <row r="217" s="25" customFormat="1" ht="17.25" customHeight="1"/>
    <row r="218" s="25" customFormat="1" ht="17.25" customHeight="1"/>
    <row r="219" s="25" customFormat="1" ht="17.25" customHeight="1"/>
    <row r="220" s="25" customFormat="1" ht="17.25" customHeight="1"/>
    <row r="221" s="25" customFormat="1" ht="17.25" customHeight="1"/>
    <row r="222" s="25" customFormat="1" ht="17.25" customHeight="1"/>
    <row r="223" s="25" customFormat="1" ht="17.25" customHeight="1"/>
    <row r="224" s="25" customFormat="1" ht="17.25" customHeight="1"/>
    <row r="225" s="25" customFormat="1" ht="17.25" customHeight="1"/>
    <row r="226" s="25" customFormat="1" ht="17.25" customHeight="1"/>
    <row r="227" s="25" customFormat="1" ht="17.25" customHeight="1"/>
    <row r="228" s="25" customFormat="1" ht="17.25" customHeight="1"/>
    <row r="229" s="25" customFormat="1" ht="17.25" customHeight="1"/>
    <row r="230" s="25" customFormat="1" ht="17.25" customHeight="1"/>
    <row r="231" s="25" customFormat="1" ht="17.25" customHeight="1"/>
    <row r="232" s="25" customFormat="1" ht="17.25" customHeight="1"/>
    <row r="233" s="25" customFormat="1" ht="17.25" customHeight="1"/>
    <row r="234" s="25" customFormat="1" ht="17.25" customHeight="1"/>
    <row r="235" s="25" customFormat="1" ht="17.25" customHeight="1"/>
    <row r="236" s="25" customFormat="1" ht="17.25" customHeight="1"/>
    <row r="237" s="25" customFormat="1" ht="17.25" customHeight="1"/>
    <row r="238" s="25" customFormat="1" ht="17.25" customHeight="1"/>
    <row r="239" s="25" customFormat="1" ht="17.25" customHeight="1"/>
    <row r="240" s="25" customFormat="1" ht="17.25" customHeight="1"/>
    <row r="241" s="25" customFormat="1" ht="17.25" customHeight="1"/>
    <row r="242" s="25" customFormat="1" ht="17.25" customHeight="1"/>
    <row r="243" s="25" customFormat="1" ht="17.25" customHeight="1"/>
    <row r="244" s="25" customFormat="1" ht="17.25" customHeight="1"/>
    <row r="245" s="25" customFormat="1" ht="17.25" customHeight="1"/>
    <row r="246" s="25" customFormat="1" ht="17.25" customHeight="1"/>
    <row r="247" s="25" customFormat="1" ht="17.25" customHeight="1"/>
    <row r="248" s="25" customFormat="1" ht="17.25" customHeight="1"/>
    <row r="249" s="25" customFormat="1" ht="17.25" customHeight="1"/>
    <row r="250" s="25" customFormat="1" ht="17.25" customHeight="1"/>
    <row r="251" s="25" customFormat="1" ht="17.25" customHeight="1"/>
    <row r="252" s="25" customFormat="1" ht="17.25" customHeight="1"/>
    <row r="253" s="25" customFormat="1" ht="17.25" customHeight="1"/>
    <row r="254" s="25" customFormat="1" ht="17.25" customHeight="1"/>
    <row r="255" s="25" customFormat="1" ht="17.25" customHeight="1"/>
    <row r="256" s="25" customFormat="1" ht="17.25" customHeight="1"/>
    <row r="257" s="25" customFormat="1" ht="17.25" customHeight="1"/>
    <row r="258" s="25" customFormat="1" ht="17.25" customHeight="1"/>
    <row r="259" s="25" customFormat="1" ht="17.25" customHeight="1"/>
    <row r="260" s="25" customFormat="1" ht="17.25" customHeight="1"/>
    <row r="261" s="25" customFormat="1" ht="17.25" customHeight="1"/>
    <row r="262" s="25" customFormat="1" ht="17.25" customHeight="1"/>
    <row r="263" s="25" customFormat="1" ht="17.25" customHeight="1"/>
    <row r="264" s="25" customFormat="1" ht="17.25" customHeight="1"/>
    <row r="265" s="25" customFormat="1" ht="17.25" customHeight="1"/>
    <row r="266" s="25" customFormat="1" ht="17.25" customHeight="1"/>
    <row r="267" s="25" customFormat="1" ht="17.25" customHeight="1"/>
    <row r="268" s="25" customFormat="1" ht="17.25" customHeight="1"/>
    <row r="269" s="25" customFormat="1" ht="17.25" customHeight="1"/>
    <row r="270" s="25" customFormat="1" ht="17.25" customHeight="1"/>
    <row r="271" s="25" customFormat="1" ht="17.25" customHeight="1"/>
    <row r="272" s="25" customFormat="1" ht="17.25" customHeight="1"/>
    <row r="273" s="25" customFormat="1" ht="17.25" customHeight="1"/>
    <row r="274" s="25" customFormat="1" ht="17.25" customHeight="1"/>
    <row r="275" s="25" customFormat="1" ht="17.25" customHeight="1"/>
    <row r="276" s="25" customFormat="1" ht="17.25" customHeight="1"/>
    <row r="277" s="25" customFormat="1" ht="17.25" customHeight="1"/>
    <row r="278" s="25" customFormat="1" ht="17.25" customHeight="1"/>
    <row r="279" s="25" customFormat="1" ht="17.25" customHeight="1"/>
    <row r="280" s="25" customFormat="1" ht="17.25" customHeight="1"/>
    <row r="281" s="25" customFormat="1" ht="17.25" customHeight="1"/>
    <row r="282" s="25" customFormat="1" ht="17.25" customHeight="1"/>
    <row r="283" s="25" customFormat="1" ht="17.25" customHeight="1"/>
    <row r="284" s="25" customFormat="1" ht="17.25" customHeight="1"/>
    <row r="285" s="25" customFormat="1" ht="17.25" customHeight="1"/>
    <row r="286" s="25" customFormat="1" ht="17.25" customHeight="1"/>
    <row r="287" s="25" customFormat="1" ht="17.25" customHeight="1"/>
    <row r="288" s="25" customFormat="1" ht="17.25" customHeight="1"/>
    <row r="289" s="25" customFormat="1" ht="17.25" customHeight="1"/>
    <row r="290" s="25" customFormat="1" ht="17.25" customHeight="1"/>
    <row r="291" s="25" customFormat="1" ht="17.25" customHeight="1"/>
    <row r="292" s="25" customFormat="1" ht="17.25" customHeight="1"/>
    <row r="293" s="25" customFormat="1" ht="17.25" customHeight="1"/>
    <row r="294" s="25" customFormat="1" ht="17.25" customHeight="1"/>
    <row r="295" s="25" customFormat="1" ht="17.25" customHeight="1"/>
    <row r="296" s="25" customFormat="1" ht="17.25" customHeight="1"/>
    <row r="297" s="25" customFormat="1" ht="17.25" customHeight="1"/>
    <row r="298" s="25" customFormat="1" ht="17.25" customHeight="1"/>
    <row r="299" s="25" customFormat="1" ht="17.25" customHeight="1"/>
    <row r="300" s="25" customFormat="1" ht="17.25" customHeight="1"/>
    <row r="301" s="25" customFormat="1" ht="17.25" customHeight="1"/>
    <row r="302" s="25" customFormat="1" ht="17.25" customHeight="1"/>
    <row r="303" s="25" customFormat="1" ht="17.25" customHeight="1"/>
    <row r="304" s="25" customFormat="1" ht="17.25" customHeight="1"/>
    <row r="305" s="25" customFormat="1" ht="17.25" customHeight="1"/>
    <row r="306" s="25" customFormat="1" ht="17.25" customHeight="1"/>
    <row r="307" s="25" customFormat="1" ht="17.25" customHeight="1"/>
    <row r="308" s="25" customFormat="1" ht="17.25" customHeight="1"/>
    <row r="309" s="25" customFormat="1" ht="17.25" customHeight="1"/>
    <row r="310" s="25" customFormat="1" ht="17.25" customHeight="1"/>
    <row r="311" s="25" customFormat="1" ht="17.25" customHeight="1"/>
    <row r="312" s="25" customFormat="1" ht="17.25" customHeight="1"/>
    <row r="313" s="25" customFormat="1" ht="17.25" customHeight="1"/>
    <row r="314" s="25" customFormat="1" ht="17.25" customHeight="1"/>
    <row r="315" s="25" customFormat="1" ht="17.25" customHeight="1"/>
    <row r="316" s="25" customFormat="1" ht="17.25" customHeight="1"/>
    <row r="317" s="25" customFormat="1" ht="17.25" customHeight="1"/>
    <row r="318" s="25" customFormat="1" ht="17.25" customHeight="1"/>
    <row r="319" s="25" customFormat="1" ht="17.25" customHeight="1"/>
    <row r="320" s="25" customFormat="1" ht="17.25" customHeight="1"/>
    <row r="321" s="25" customFormat="1" ht="17.25" customHeight="1"/>
    <row r="322" s="25" customFormat="1" ht="17.25" customHeight="1"/>
    <row r="323" s="25" customFormat="1" ht="17.25" customHeight="1"/>
    <row r="324" s="25" customFormat="1" ht="17.25" customHeight="1"/>
    <row r="325" s="25" customFormat="1" ht="17.25" customHeight="1"/>
    <row r="326" s="25" customFormat="1" ht="17.25" customHeight="1"/>
    <row r="327" s="25" customFormat="1" ht="17.25" customHeight="1"/>
    <row r="328" s="25" customFormat="1" ht="17.25" customHeight="1"/>
    <row r="329" s="25" customFormat="1" ht="17.25" customHeight="1"/>
    <row r="330" s="25" customFormat="1" ht="17.25" customHeight="1"/>
    <row r="331" s="25" customFormat="1" ht="17.25" customHeight="1"/>
    <row r="332" s="25" customFormat="1" ht="17.25" customHeight="1"/>
    <row r="333" s="25" customFormat="1" ht="17.25" customHeight="1"/>
    <row r="334" s="25" customFormat="1" ht="17.25" customHeight="1"/>
    <row r="335" s="25" customFormat="1" ht="17.25" customHeight="1"/>
    <row r="336" s="25" customFormat="1" ht="17.25" customHeight="1"/>
    <row r="337" s="25" customFormat="1" ht="17.25" customHeight="1"/>
    <row r="338" s="25" customFormat="1" ht="17.25" customHeight="1"/>
    <row r="339" s="25" customFormat="1" ht="17.25" customHeight="1"/>
    <row r="340" s="25" customFormat="1" ht="17.25" customHeight="1"/>
    <row r="341" s="25" customFormat="1" ht="17.25" customHeight="1"/>
    <row r="342" s="25" customFormat="1" ht="17.25" customHeight="1"/>
    <row r="343" s="25" customFormat="1" ht="17.25" customHeight="1"/>
    <row r="344" s="25" customFormat="1" ht="17.25" customHeight="1"/>
    <row r="345" s="25" customFormat="1" ht="17.25" customHeight="1"/>
    <row r="346" s="25" customFormat="1" ht="17.25" customHeight="1"/>
    <row r="347" s="25" customFormat="1" ht="17.25" customHeight="1"/>
    <row r="348" s="25" customFormat="1" ht="17.25" customHeight="1"/>
    <row r="349" s="25" customFormat="1" ht="17.25" customHeight="1"/>
    <row r="350" s="25" customFormat="1" ht="17.25" customHeight="1"/>
    <row r="351" s="25" customFormat="1" ht="17.25" customHeight="1"/>
    <row r="352" s="25" customFormat="1" ht="17.25" customHeight="1"/>
    <row r="353" s="25" customFormat="1" ht="17.25" customHeight="1"/>
    <row r="354" s="25" customFormat="1" ht="17.25" customHeight="1"/>
    <row r="355" s="25" customFormat="1" ht="17.25" customHeight="1"/>
    <row r="356" s="25" customFormat="1" ht="17.25" customHeight="1"/>
    <row r="357" s="25" customFormat="1" ht="17.25" customHeight="1"/>
    <row r="358" s="25" customFormat="1" ht="17.25" customHeight="1"/>
    <row r="359" s="25" customFormat="1" ht="17.25" customHeight="1"/>
    <row r="360" s="25" customFormat="1" ht="17.25" customHeight="1"/>
    <row r="361" s="25" customFormat="1" ht="17.25" customHeight="1"/>
    <row r="362" s="25" customFormat="1" ht="17.25" customHeight="1"/>
    <row r="363" s="25" customFormat="1" ht="17.25" customHeight="1"/>
    <row r="364" s="25" customFormat="1" ht="17.25" customHeight="1"/>
    <row r="365" s="25" customFormat="1" ht="17.25" customHeight="1"/>
    <row r="366" s="25" customFormat="1" ht="17.25" customHeight="1"/>
    <row r="367" s="25" customFormat="1" ht="17.25" customHeight="1"/>
    <row r="368" s="25" customFormat="1" ht="17.25" customHeight="1"/>
    <row r="369" s="25" customFormat="1" ht="17.25" customHeight="1"/>
    <row r="370" s="25" customFormat="1" ht="17.25" customHeight="1"/>
    <row r="371" s="25" customFormat="1" ht="17.25" customHeight="1"/>
    <row r="372" s="25" customFormat="1" ht="17.25" customHeight="1"/>
    <row r="373" s="25" customFormat="1" ht="17.25" customHeight="1"/>
    <row r="374" s="25" customFormat="1" ht="17.25" customHeight="1"/>
    <row r="375" s="25" customFormat="1" ht="17.25" customHeight="1"/>
    <row r="376" s="25" customFormat="1" ht="17.25" customHeight="1"/>
    <row r="377" s="25" customFormat="1" ht="17.25" customHeight="1"/>
    <row r="378" s="25" customFormat="1" ht="17.25" customHeight="1"/>
    <row r="379" s="25" customFormat="1" ht="17.25" customHeight="1"/>
    <row r="380" s="25" customFormat="1" ht="17.25" customHeight="1"/>
    <row r="381" s="25" customFormat="1" ht="17.25" customHeight="1"/>
    <row r="382" s="25" customFormat="1" ht="17.25" customHeight="1"/>
    <row r="383" s="25" customFormat="1" ht="17.25" customHeight="1"/>
    <row r="384" s="25" customFormat="1" ht="17.25" customHeight="1"/>
    <row r="385" s="25" customFormat="1" ht="17.25" customHeight="1"/>
    <row r="386" s="25" customFormat="1" ht="17.25" customHeight="1"/>
    <row r="387" s="25" customFormat="1" ht="17.25" customHeight="1"/>
    <row r="388" s="25" customFormat="1" ht="17.25" customHeight="1"/>
    <row r="389" s="25" customFormat="1" ht="17.25" customHeight="1"/>
    <row r="390" s="25" customFormat="1" ht="17.25" customHeight="1"/>
    <row r="391" s="25" customFormat="1" ht="17.25" customHeight="1"/>
    <row r="392" s="25" customFormat="1" ht="17.25" customHeight="1"/>
    <row r="393" s="25" customFormat="1" ht="17.25" customHeight="1"/>
    <row r="394" s="25" customFormat="1" ht="17.25" customHeight="1"/>
    <row r="395" s="25" customFormat="1" ht="17.25" customHeight="1"/>
    <row r="396" s="25" customFormat="1" ht="17.25" customHeight="1"/>
    <row r="397" s="25" customFormat="1" ht="17.25" customHeight="1"/>
    <row r="398" s="25" customFormat="1" ht="17.25" customHeight="1"/>
    <row r="399" s="25" customFormat="1" ht="17.25" customHeight="1"/>
    <row r="400" s="25" customFormat="1" ht="17.25" customHeight="1"/>
    <row r="401" s="25" customFormat="1" ht="17.25" customHeight="1"/>
    <row r="402" s="25" customFormat="1" ht="17.25" customHeight="1"/>
    <row r="403" s="25" customFormat="1" ht="17.25" customHeight="1"/>
    <row r="404" s="25" customFormat="1" ht="17.25" customHeight="1"/>
    <row r="405" s="25" customFormat="1" ht="17.25" customHeight="1"/>
    <row r="406" s="25" customFormat="1" ht="17.25" customHeight="1"/>
    <row r="407" s="25" customFormat="1" ht="17.25" customHeight="1"/>
    <row r="408" s="25" customFormat="1" ht="17.25" customHeight="1"/>
    <row r="409" s="25" customFormat="1" ht="17.25" customHeight="1"/>
    <row r="410" s="25" customFormat="1" ht="17.25" customHeight="1"/>
    <row r="411" s="25" customFormat="1" ht="17.25" customHeight="1"/>
    <row r="412" s="25" customFormat="1" ht="17.25" customHeight="1"/>
    <row r="413" s="25" customFormat="1" ht="17.25" customHeight="1"/>
    <row r="414" s="25" customFormat="1" ht="17.25" customHeight="1"/>
    <row r="415" s="25" customFormat="1" ht="17.25" customHeight="1"/>
    <row r="416" s="25" customFormat="1" ht="17.25" customHeight="1"/>
    <row r="417" s="25" customFormat="1" ht="17.25" customHeight="1"/>
    <row r="418" s="25" customFormat="1" ht="17.25" customHeight="1"/>
    <row r="419" s="25" customFormat="1" ht="17.25" customHeight="1"/>
    <row r="420" s="25" customFormat="1" ht="17.25" customHeight="1"/>
    <row r="421" s="25" customFormat="1" ht="17.25" customHeight="1"/>
    <row r="422" s="25" customFormat="1" ht="17.25" customHeight="1"/>
    <row r="423" s="25" customFormat="1" ht="17.25" customHeight="1"/>
    <row r="424" s="25" customFormat="1" ht="17.25" customHeight="1"/>
    <row r="425" s="25" customFormat="1" ht="17.25" customHeight="1"/>
    <row r="426" s="25" customFormat="1" ht="17.25" customHeight="1"/>
    <row r="427" s="25" customFormat="1" ht="17.25" customHeight="1"/>
    <row r="428" s="25" customFormat="1" ht="17.25" customHeight="1"/>
    <row r="429" s="25" customFormat="1" ht="17.25" customHeight="1"/>
    <row r="430" s="25" customFormat="1" ht="17.25" customHeight="1"/>
    <row r="431" s="25" customFormat="1" ht="17.25" customHeight="1"/>
    <row r="432" s="25" customFormat="1" ht="17.25" customHeight="1"/>
    <row r="433" s="25" customFormat="1" ht="17.25" customHeight="1"/>
    <row r="434" s="25" customFormat="1" ht="17.25" customHeight="1"/>
    <row r="435" s="25" customFormat="1" ht="17.25" customHeight="1"/>
    <row r="436" s="25" customFormat="1" ht="17.25" customHeight="1"/>
    <row r="437" s="25" customFormat="1" ht="17.25" customHeight="1"/>
    <row r="438" s="25" customFormat="1" ht="17.25" customHeight="1"/>
    <row r="439" s="25" customFormat="1" ht="17.25" customHeight="1"/>
    <row r="440" s="25" customFormat="1" ht="17.25" customHeight="1"/>
    <row r="441" s="25" customFormat="1" ht="17.25" customHeight="1"/>
    <row r="442" s="25" customFormat="1" ht="17.25" customHeight="1"/>
    <row r="443" s="25" customFormat="1" ht="17.25" customHeight="1"/>
    <row r="444" s="25" customFormat="1" ht="17.25" customHeight="1"/>
    <row r="445" s="25" customFormat="1" ht="17.25" customHeight="1"/>
    <row r="446" s="25" customFormat="1" ht="17.25" customHeight="1"/>
    <row r="447" s="25" customFormat="1" ht="17.25" customHeight="1"/>
    <row r="448" s="25" customFormat="1" ht="17.25" customHeight="1"/>
    <row r="449" s="25" customFormat="1" ht="17.25" customHeight="1"/>
    <row r="450" s="25" customFormat="1" ht="17.25" customHeight="1"/>
    <row r="451" s="25" customFormat="1" ht="17.25" customHeight="1"/>
    <row r="452" s="25" customFormat="1" ht="17.25" customHeight="1"/>
    <row r="453" s="25" customFormat="1" ht="17.25" customHeight="1"/>
    <row r="454" s="25" customFormat="1" ht="17.25" customHeight="1"/>
    <row r="455" s="25" customFormat="1" ht="17.25" customHeight="1"/>
    <row r="456" s="25" customFormat="1" ht="17.25" customHeight="1"/>
    <row r="457" s="25" customFormat="1" ht="17.25" customHeight="1"/>
    <row r="458" s="25" customFormat="1" ht="17.25" customHeight="1"/>
    <row r="459" s="25" customFormat="1" ht="17.25" customHeight="1"/>
    <row r="460" s="25" customFormat="1" ht="17.25" customHeight="1"/>
    <row r="461" s="25" customFormat="1" ht="17.25" customHeight="1"/>
    <row r="462" s="25" customFormat="1" ht="17.25" customHeight="1"/>
    <row r="463" s="25" customFormat="1" ht="17.25" customHeight="1"/>
    <row r="464" s="25" customFormat="1" ht="17.25" customHeight="1"/>
    <row r="465" s="25" customFormat="1" ht="17.25" customHeight="1"/>
    <row r="466" s="25" customFormat="1" ht="17.25" customHeight="1"/>
    <row r="467" s="25" customFormat="1" ht="17.25" customHeight="1"/>
    <row r="468" s="25" customFormat="1" ht="17.25" customHeight="1"/>
    <row r="469" s="25" customFormat="1" ht="17.25" customHeight="1"/>
    <row r="470" s="25" customFormat="1" ht="17.25" customHeight="1"/>
    <row r="471" s="25" customFormat="1" ht="17.25" customHeight="1"/>
    <row r="472" s="25" customFormat="1" ht="17.25" customHeight="1"/>
    <row r="473" s="25" customFormat="1" ht="17.25" customHeight="1"/>
    <row r="474" s="25" customFormat="1" ht="17.25" customHeight="1"/>
    <row r="475" s="25" customFormat="1" ht="17.25" customHeight="1"/>
    <row r="476" s="25" customFormat="1" ht="17.25" customHeight="1"/>
    <row r="477" s="25" customFormat="1" ht="17.25" customHeight="1"/>
    <row r="478" s="25" customFormat="1" ht="17.25" customHeight="1"/>
    <row r="479" s="25" customFormat="1" ht="17.25" customHeight="1"/>
    <row r="480" s="25" customFormat="1" ht="17.25" customHeight="1"/>
    <row r="481" s="25" customFormat="1" ht="17.25" customHeight="1"/>
    <row r="482" s="25" customFormat="1" ht="17.25" customHeight="1"/>
    <row r="483" s="25" customFormat="1" ht="17.25" customHeight="1"/>
    <row r="484" s="25" customFormat="1" ht="17.25" customHeight="1"/>
    <row r="485" s="25" customFormat="1" ht="17.25" customHeight="1"/>
    <row r="486" s="25" customFormat="1" ht="17.25" customHeight="1"/>
    <row r="487" s="25" customFormat="1" ht="17.25" customHeight="1"/>
    <row r="488" s="25" customFormat="1" ht="17.25" customHeight="1"/>
    <row r="489" s="25" customFormat="1" ht="17.25" customHeight="1"/>
    <row r="490" s="25" customFormat="1" ht="17.25" customHeight="1"/>
    <row r="491" s="25" customFormat="1" ht="17.25" customHeight="1"/>
    <row r="492" s="25" customFormat="1" ht="17.25" customHeight="1"/>
    <row r="493" s="25" customFormat="1" ht="17.25" customHeight="1"/>
    <row r="494" s="25" customFormat="1" ht="17.25" customHeight="1"/>
    <row r="495" s="25" customFormat="1" ht="17.25" customHeight="1"/>
    <row r="496" s="25" customFormat="1" ht="17.25" customHeight="1"/>
    <row r="497" s="25" customFormat="1" ht="17.25" customHeight="1"/>
    <row r="498" s="25" customFormat="1" ht="17.25" customHeight="1"/>
    <row r="499" s="25" customFormat="1" ht="17.25" customHeight="1"/>
    <row r="500" s="25" customFormat="1" ht="17.25" customHeight="1"/>
    <row r="501" s="25" customFormat="1" ht="17.25" customHeight="1"/>
    <row r="502" s="25" customFormat="1" ht="17.25" customHeight="1"/>
    <row r="503" s="25" customFormat="1" ht="17.25" customHeight="1"/>
    <row r="504" s="25" customFormat="1" ht="17.25" customHeight="1"/>
    <row r="505" s="25" customFormat="1" ht="17.25" customHeight="1"/>
    <row r="506" s="25" customFormat="1" ht="17.25" customHeight="1"/>
    <row r="507" s="25" customFormat="1" ht="17.25" customHeight="1"/>
    <row r="508" s="25" customFormat="1" ht="17.25" customHeight="1"/>
    <row r="509" s="25" customFormat="1" ht="17.25" customHeight="1"/>
    <row r="510" s="25" customFormat="1" ht="17.25" customHeight="1"/>
    <row r="511" s="25" customFormat="1" ht="17.25" customHeight="1"/>
    <row r="512" s="25" customFormat="1" ht="17.25" customHeight="1"/>
    <row r="513" s="25" customFormat="1" ht="17.25" customHeight="1"/>
    <row r="514" s="25" customFormat="1" ht="17.25" customHeight="1"/>
    <row r="515" s="25" customFormat="1" ht="17.25" customHeight="1"/>
    <row r="516" s="25" customFormat="1" ht="17.25" customHeight="1"/>
    <row r="517" s="25" customFormat="1" ht="17.25" customHeight="1"/>
    <row r="518" s="25" customFormat="1" ht="17.25" customHeight="1"/>
    <row r="519" s="25" customFormat="1" ht="17.25" customHeight="1"/>
    <row r="520" s="25" customFormat="1" ht="17.25" customHeight="1"/>
    <row r="521" s="25" customFormat="1" ht="17.25" customHeight="1"/>
    <row r="522" s="25" customFormat="1" ht="17.25" customHeight="1"/>
    <row r="523" s="25" customFormat="1" ht="17.25" customHeight="1"/>
    <row r="524" s="25" customFormat="1" ht="17.25" customHeight="1"/>
    <row r="525" s="25" customFormat="1" ht="17.25" customHeight="1"/>
    <row r="526" s="25" customFormat="1" ht="17.25" customHeight="1"/>
    <row r="527" s="25" customFormat="1" ht="17.25" customHeight="1"/>
    <row r="528" s="25" customFormat="1" ht="17.25" customHeight="1"/>
    <row r="529" s="25" customFormat="1" ht="17.25" customHeight="1"/>
    <row r="530" s="25" customFormat="1" ht="17.25" customHeight="1"/>
    <row r="531" s="25" customFormat="1" ht="17.25" customHeight="1"/>
    <row r="532" s="25" customFormat="1" ht="17.25" customHeight="1"/>
    <row r="533" s="25" customFormat="1" ht="17.25" customHeight="1"/>
    <row r="534" s="25" customFormat="1" ht="17.25" customHeight="1"/>
    <row r="535" s="25" customFormat="1" ht="17.25" customHeight="1"/>
    <row r="536" s="25" customFormat="1" ht="17.25" customHeight="1"/>
    <row r="537" s="25" customFormat="1" ht="17.25" customHeight="1"/>
    <row r="538" s="25" customFormat="1" ht="17.25" customHeight="1"/>
    <row r="539" s="25" customFormat="1" ht="17.25" customHeight="1"/>
    <row r="540" s="25" customFormat="1" ht="17.25" customHeight="1"/>
    <row r="541" s="25" customFormat="1" ht="17.25" customHeight="1"/>
    <row r="542" s="25" customFormat="1" ht="17.25" customHeight="1"/>
    <row r="543" s="25" customFormat="1" ht="17.25" customHeight="1"/>
    <row r="544" s="25" customFormat="1" ht="17.25" customHeight="1"/>
    <row r="545" s="25" customFormat="1" ht="17.25" customHeight="1"/>
    <row r="546" s="25" customFormat="1" ht="17.25" customHeight="1"/>
    <row r="547" s="25" customFormat="1" ht="17.25" customHeight="1"/>
    <row r="548" s="25" customFormat="1" ht="17.25" customHeight="1"/>
    <row r="549" s="25" customFormat="1" ht="17.25" customHeight="1"/>
    <row r="550" s="25" customFormat="1" ht="17.25" customHeight="1"/>
    <row r="551" s="25" customFormat="1" ht="17.25" customHeight="1"/>
    <row r="552" s="25" customFormat="1" ht="17.25" customHeight="1"/>
    <row r="553" s="25" customFormat="1" ht="17.25" customHeight="1"/>
    <row r="554" s="25" customFormat="1" ht="17.25" customHeight="1"/>
    <row r="555" s="25" customFormat="1" ht="17.25" customHeight="1"/>
    <row r="556" s="25" customFormat="1" ht="17.25" customHeight="1"/>
    <row r="557" s="25" customFormat="1" ht="17.25" customHeight="1"/>
    <row r="558" s="25" customFormat="1" ht="17.25" customHeight="1"/>
    <row r="559" s="25" customFormat="1" ht="17.25" customHeight="1"/>
    <row r="560" s="25" customFormat="1" ht="17.25" customHeight="1"/>
    <row r="561" s="25" customFormat="1" ht="17.25" customHeight="1"/>
    <row r="562" s="25" customFormat="1" ht="17.25" customHeight="1"/>
    <row r="563" s="25" customFormat="1" ht="17.25" customHeight="1"/>
    <row r="564" s="25" customFormat="1" ht="17.25" customHeight="1"/>
    <row r="565" s="25" customFormat="1" ht="17.25" customHeight="1"/>
    <row r="566" s="25" customFormat="1" ht="17.25" customHeight="1"/>
    <row r="567" s="25" customFormat="1" ht="17.25" customHeight="1"/>
    <row r="568" s="25" customFormat="1" ht="17.25" customHeight="1"/>
    <row r="569" s="25" customFormat="1" ht="17.25" customHeight="1"/>
    <row r="570" s="25" customFormat="1" ht="17.25" customHeight="1"/>
    <row r="571" s="25" customFormat="1" ht="17.25" customHeight="1"/>
    <row r="572" s="25" customFormat="1" ht="17.25" customHeight="1"/>
    <row r="573" s="25" customFormat="1" ht="17.25" customHeight="1"/>
    <row r="574" s="25" customFormat="1" ht="17.25" customHeight="1"/>
    <row r="575" s="25" customFormat="1" ht="17.25" customHeight="1"/>
    <row r="576" s="25" customFormat="1" ht="17.25" customHeight="1"/>
    <row r="577" s="25" customFormat="1" ht="17.25" customHeight="1"/>
    <row r="578" s="25" customFormat="1" ht="17.25" customHeight="1"/>
    <row r="579" s="25" customFormat="1" ht="17.25" customHeight="1"/>
    <row r="580" s="25" customFormat="1" ht="17.25" customHeight="1"/>
    <row r="581" s="25" customFormat="1" ht="17.25" customHeight="1"/>
    <row r="582" s="25" customFormat="1" ht="17.25" customHeight="1"/>
    <row r="583" s="25" customFormat="1" ht="17.25" customHeight="1"/>
    <row r="584" s="25" customFormat="1" ht="17.25" customHeight="1"/>
    <row r="585" s="25" customFormat="1" ht="17.25" customHeight="1"/>
    <row r="586" s="25" customFormat="1" ht="17.25" customHeight="1"/>
    <row r="587" s="25" customFormat="1" ht="17.25" customHeight="1"/>
    <row r="588" s="25" customFormat="1" ht="17.25" customHeight="1"/>
    <row r="589" s="25" customFormat="1" ht="17.25" customHeight="1"/>
    <row r="590" s="25" customFormat="1" ht="17.25" customHeight="1"/>
    <row r="591" s="25" customFormat="1" ht="17.25" customHeight="1"/>
    <row r="592" s="25" customFormat="1" ht="17.25" customHeight="1"/>
    <row r="593" s="25" customFormat="1" ht="17.25" customHeight="1"/>
    <row r="594" s="25" customFormat="1" ht="17.25" customHeight="1"/>
    <row r="595" s="25" customFormat="1" ht="17.25" customHeight="1"/>
    <row r="596" s="25" customFormat="1" ht="17.25" customHeight="1"/>
    <row r="597" s="25" customFormat="1" ht="17.25" customHeight="1"/>
    <row r="598" s="25" customFormat="1" ht="17.25" customHeight="1"/>
    <row r="599" s="25" customFormat="1" ht="17.25" customHeight="1"/>
    <row r="600" s="25" customFormat="1" ht="17.25" customHeight="1"/>
    <row r="601" s="25" customFormat="1" ht="17.25" customHeight="1"/>
    <row r="602" s="25" customFormat="1" ht="17.25" customHeight="1"/>
    <row r="603" s="25" customFormat="1" ht="17.25" customHeight="1"/>
    <row r="604" s="25" customFormat="1" ht="17.25" customHeight="1"/>
    <row r="605" s="25" customFormat="1" ht="17.25" customHeight="1"/>
    <row r="606" s="25" customFormat="1" ht="17.25" customHeight="1"/>
    <row r="607" s="25" customFormat="1" ht="17.25" customHeight="1"/>
    <row r="608" s="25" customFormat="1" ht="17.25" customHeight="1"/>
    <row r="609" s="25" customFormat="1" ht="17.25" customHeight="1"/>
    <row r="610" s="25" customFormat="1" ht="17.25" customHeight="1"/>
    <row r="611" s="25" customFormat="1" ht="17.25" customHeight="1"/>
    <row r="612" s="25" customFormat="1" ht="17.25" customHeight="1"/>
    <row r="613" s="25" customFormat="1" ht="17.25" customHeight="1"/>
    <row r="614" s="25" customFormat="1" ht="17.25" customHeight="1"/>
    <row r="615" s="25" customFormat="1" ht="17.25" customHeight="1"/>
    <row r="616" s="25" customFormat="1" ht="17.25" customHeight="1"/>
    <row r="617" s="25" customFormat="1" ht="17.25" customHeight="1"/>
    <row r="618" s="25" customFormat="1" ht="17.25" customHeight="1"/>
    <row r="619" s="25" customFormat="1" ht="17.25" customHeight="1"/>
    <row r="620" s="25" customFormat="1" ht="17.25" customHeight="1"/>
    <row r="621" s="25" customFormat="1" ht="17.25" customHeight="1"/>
    <row r="622" s="25" customFormat="1" ht="17.25" customHeight="1"/>
    <row r="623" s="25" customFormat="1" ht="17.25" customHeight="1"/>
    <row r="624" s="25" customFormat="1" ht="17.25" customHeight="1"/>
    <row r="625" s="25" customFormat="1" ht="17.25" customHeight="1"/>
    <row r="626" s="25" customFormat="1" ht="17.25" customHeight="1"/>
    <row r="627" s="25" customFormat="1" ht="17.25" customHeight="1"/>
    <row r="628" s="25" customFormat="1" ht="17.25" customHeight="1"/>
    <row r="629" s="25" customFormat="1" ht="17.25" customHeight="1"/>
    <row r="630" s="25" customFormat="1" ht="17.25" customHeight="1"/>
    <row r="631" s="25" customFormat="1" ht="17.25" customHeight="1"/>
    <row r="632" s="25" customFormat="1" ht="17.25" customHeight="1"/>
    <row r="633" s="25" customFormat="1" ht="17.25" customHeight="1"/>
    <row r="634" s="25" customFormat="1" ht="17.25" customHeight="1"/>
    <row r="635" s="25" customFormat="1" ht="17.25" customHeight="1"/>
    <row r="636" s="25" customFormat="1" ht="17.25" customHeight="1"/>
    <row r="637" s="25" customFormat="1" ht="17.25" customHeight="1"/>
    <row r="638" s="25" customFormat="1" ht="17.25" customHeight="1"/>
    <row r="639" s="25" customFormat="1" ht="17.25" customHeight="1"/>
    <row r="640" s="25" customFormat="1" ht="17.25" customHeight="1"/>
    <row r="641" s="25" customFormat="1" ht="17.25" customHeight="1"/>
    <row r="642" s="25" customFormat="1" ht="17.25" customHeight="1"/>
    <row r="643" s="25" customFormat="1" ht="17.25" customHeight="1"/>
    <row r="644" s="25" customFormat="1" ht="17.25" customHeight="1"/>
    <row r="645" s="25" customFormat="1" ht="17.25" customHeight="1"/>
    <row r="646" s="25" customFormat="1" ht="17.25" customHeight="1"/>
    <row r="647" s="25" customFormat="1" ht="17.25" customHeight="1"/>
    <row r="648" s="25" customFormat="1" ht="17.25" customHeight="1"/>
    <row r="649" s="25" customFormat="1" ht="17.25" customHeight="1"/>
    <row r="650" s="25" customFormat="1" ht="17.25" customHeight="1"/>
    <row r="651" s="25" customFormat="1" ht="17.25" customHeight="1"/>
    <row r="652" s="25" customFormat="1" ht="17.25" customHeight="1"/>
    <row r="653" s="25" customFormat="1" ht="17.25" customHeight="1"/>
    <row r="654" s="25" customFormat="1" ht="17.25" customHeight="1"/>
    <row r="655" s="25" customFormat="1" ht="17.25" customHeight="1"/>
    <row r="656" s="25" customFormat="1" ht="17.25" customHeight="1"/>
    <row r="657" s="25" customFormat="1" ht="17.25" customHeight="1"/>
    <row r="658" s="25" customFormat="1" ht="17.25" customHeight="1"/>
    <row r="659" s="25" customFormat="1" ht="17.25" customHeight="1"/>
    <row r="660" s="25" customFormat="1" ht="17.25" customHeight="1"/>
    <row r="661" s="25" customFormat="1" ht="17.25" customHeight="1"/>
    <row r="662" s="25" customFormat="1" ht="17.25" customHeight="1"/>
    <row r="663" s="25" customFormat="1" ht="17.25" customHeight="1"/>
    <row r="664" s="25" customFormat="1" ht="17.25" customHeight="1"/>
    <row r="665" s="25" customFormat="1" ht="17.25" customHeight="1"/>
    <row r="666" s="25" customFormat="1" ht="17.25" customHeight="1"/>
    <row r="667" s="25" customFormat="1" ht="17.25" customHeight="1"/>
    <row r="668" s="25" customFormat="1" ht="17.25" customHeight="1"/>
    <row r="669" s="25" customFormat="1" ht="17.25" customHeight="1"/>
    <row r="670" s="25" customFormat="1" ht="17.25" customHeight="1"/>
    <row r="671" s="25" customFormat="1" ht="17.25" customHeight="1"/>
    <row r="672" s="25" customFormat="1" ht="17.25" customHeight="1"/>
    <row r="673" s="25" customFormat="1" ht="17.25" customHeight="1"/>
    <row r="674" s="25" customFormat="1" ht="17.25" customHeight="1"/>
    <row r="675" s="25" customFormat="1" ht="17.25" customHeight="1"/>
    <row r="676" s="25" customFormat="1" ht="17.25" customHeight="1"/>
    <row r="677" s="25" customFormat="1" ht="17.25" customHeight="1"/>
    <row r="678" s="25" customFormat="1" ht="17.25" customHeight="1"/>
    <row r="679" s="25" customFormat="1" ht="17.25" customHeight="1"/>
    <row r="680" s="25" customFormat="1" ht="17.25" customHeight="1"/>
    <row r="681" s="25" customFormat="1" ht="17.25" customHeight="1"/>
    <row r="682" s="25" customFormat="1" ht="17.25" customHeight="1"/>
    <row r="683" s="25" customFormat="1" ht="17.25" customHeight="1"/>
    <row r="684" s="25" customFormat="1" ht="17.25" customHeight="1"/>
    <row r="685" s="25" customFormat="1" ht="17.25" customHeight="1"/>
    <row r="686" s="25" customFormat="1" ht="17.25" customHeight="1"/>
    <row r="687" s="25" customFormat="1" ht="17.25" customHeight="1"/>
    <row r="688" s="25" customFormat="1" ht="17.25" customHeight="1"/>
    <row r="689" s="25" customFormat="1" ht="17.25" customHeight="1"/>
    <row r="690" s="25" customFormat="1" ht="17.25" customHeight="1"/>
    <row r="691" s="25" customFormat="1" ht="17.25" customHeight="1"/>
    <row r="692" s="25" customFormat="1" ht="17.25" customHeight="1"/>
    <row r="693" s="25" customFormat="1" ht="17.25" customHeight="1"/>
    <row r="694" s="25" customFormat="1" ht="17.25" customHeight="1"/>
    <row r="695" s="25" customFormat="1" ht="17.25" customHeight="1"/>
    <row r="696" s="25" customFormat="1" ht="17.25" customHeight="1"/>
    <row r="697" s="25" customFormat="1" ht="17.25" customHeight="1"/>
    <row r="698" s="25" customFormat="1" ht="17.25" customHeight="1"/>
    <row r="699" s="25" customFormat="1" ht="17.25" customHeight="1"/>
    <row r="700" s="25" customFormat="1" ht="17.25" customHeight="1"/>
    <row r="701" s="25" customFormat="1" ht="17.25" customHeight="1"/>
    <row r="702" s="25" customFormat="1" ht="17.25" customHeight="1"/>
    <row r="703" s="25" customFormat="1" ht="17.25" customHeight="1"/>
    <row r="704" s="25" customFormat="1" ht="17.25" customHeight="1"/>
    <row r="705" s="25" customFormat="1" ht="17.25" customHeight="1"/>
    <row r="706" s="25" customFormat="1" ht="17.25" customHeight="1"/>
    <row r="707" s="25" customFormat="1" ht="17.25" customHeight="1"/>
    <row r="708" s="25" customFormat="1" ht="17.25" customHeight="1"/>
    <row r="709" s="25" customFormat="1" ht="17.25" customHeight="1"/>
    <row r="710" s="25" customFormat="1" ht="17.25" customHeight="1"/>
    <row r="711" s="25" customFormat="1" ht="17.25" customHeight="1"/>
    <row r="712" s="25" customFormat="1" ht="17.25" customHeight="1"/>
    <row r="713" s="25" customFormat="1" ht="17.25" customHeight="1"/>
    <row r="714" s="25" customFormat="1" ht="17.25" customHeight="1"/>
    <row r="715" s="25" customFormat="1" ht="17.25" customHeight="1"/>
    <row r="716" s="25" customFormat="1" ht="17.25" customHeight="1"/>
    <row r="717" s="25" customFormat="1" ht="17.25" customHeight="1"/>
    <row r="718" s="25" customFormat="1" ht="17.25" customHeight="1"/>
    <row r="719" s="25" customFormat="1" ht="17.25" customHeight="1"/>
    <row r="720" s="25" customFormat="1" ht="17.25" customHeight="1"/>
    <row r="721" s="25" customFormat="1" ht="17.25" customHeight="1"/>
    <row r="722" s="25" customFormat="1" ht="17.25" customHeight="1"/>
    <row r="723" s="25" customFormat="1" ht="17.25" customHeight="1"/>
    <row r="724" s="25" customFormat="1" ht="17.25" customHeight="1"/>
    <row r="725" s="25" customFormat="1" ht="17.25" customHeight="1"/>
    <row r="726" s="25" customFormat="1" ht="17.25" customHeight="1"/>
    <row r="727" s="25" customFormat="1" ht="17.25" customHeight="1"/>
    <row r="728" s="25" customFormat="1" ht="17.25" customHeight="1"/>
    <row r="729" s="25" customFormat="1" ht="17.25" customHeight="1"/>
    <row r="730" s="25" customFormat="1" ht="17.25" customHeight="1"/>
    <row r="731" s="25" customFormat="1" ht="17.25" customHeight="1"/>
    <row r="732" s="25" customFormat="1" ht="17.25" customHeight="1"/>
    <row r="733" s="25" customFormat="1" ht="17.25" customHeight="1"/>
    <row r="734" s="25" customFormat="1" ht="17.25" customHeight="1"/>
    <row r="735" s="25" customFormat="1" ht="17.25" customHeight="1"/>
    <row r="736" s="25" customFormat="1" ht="17.25" customHeight="1"/>
    <row r="737" s="25" customFormat="1" ht="17.25" customHeight="1"/>
    <row r="738" s="25" customFormat="1" ht="17.25" customHeight="1"/>
    <row r="739" s="25" customFormat="1" ht="17.25" customHeight="1"/>
    <row r="740" s="25" customFormat="1" ht="17.25" customHeight="1"/>
    <row r="741" s="25" customFormat="1" ht="17.25" customHeight="1"/>
    <row r="742" s="25" customFormat="1" ht="17.25" customHeight="1"/>
    <row r="743" s="25" customFormat="1" ht="17.25" customHeight="1"/>
    <row r="744" s="25" customFormat="1" ht="17.25" customHeight="1"/>
    <row r="745" s="25" customFormat="1" ht="17.25" customHeight="1"/>
    <row r="746" s="25" customFormat="1" ht="17.25" customHeight="1"/>
    <row r="747" s="25" customFormat="1" ht="17.25" customHeight="1"/>
    <row r="748" s="25" customFormat="1" ht="17.25" customHeight="1"/>
    <row r="749" s="25" customFormat="1" ht="17.25" customHeight="1"/>
    <row r="750" s="25" customFormat="1" ht="17.25" customHeight="1"/>
    <row r="751" s="25" customFormat="1" ht="17.25" customHeight="1"/>
    <row r="752" s="25" customFormat="1" ht="17.25" customHeight="1"/>
    <row r="753" s="25" customFormat="1" ht="17.25" customHeight="1"/>
    <row r="754" s="25" customFormat="1" ht="17.25" customHeight="1"/>
    <row r="755" s="25" customFormat="1" ht="17.25" customHeight="1"/>
    <row r="756" s="25" customFormat="1" ht="17.25" customHeight="1"/>
    <row r="757" s="25" customFormat="1" ht="17.25" customHeight="1"/>
    <row r="758" s="25" customFormat="1" ht="17.25" customHeight="1"/>
    <row r="759" s="25" customFormat="1" ht="17.25" customHeight="1"/>
    <row r="760" s="25" customFormat="1" ht="17.25" customHeight="1"/>
    <row r="761" s="25" customFormat="1" ht="17.25" customHeight="1"/>
    <row r="762" s="25" customFormat="1" ht="17.25" customHeight="1"/>
    <row r="763" s="25" customFormat="1" ht="17.25" customHeight="1"/>
    <row r="764" s="25" customFormat="1" ht="17.25" customHeight="1"/>
    <row r="765" s="25" customFormat="1" ht="17.25" customHeight="1"/>
    <row r="766" s="25" customFormat="1" ht="17.25" customHeight="1"/>
    <row r="767" s="25" customFormat="1" ht="17.25" customHeight="1"/>
    <row r="768" s="25" customFormat="1" ht="17.25" customHeight="1"/>
    <row r="769" s="25" customFormat="1" ht="17.25" customHeight="1"/>
    <row r="770" s="25" customFormat="1" ht="17.25" customHeight="1"/>
    <row r="771" s="25" customFormat="1" ht="17.25" customHeight="1"/>
    <row r="772" s="25" customFormat="1" ht="17.25" customHeight="1"/>
    <row r="773" s="25" customFormat="1" ht="17.25" customHeight="1"/>
    <row r="774" s="25" customFormat="1" ht="17.25" customHeight="1"/>
    <row r="775" s="25" customFormat="1" ht="17.25" customHeight="1"/>
    <row r="776" s="25" customFormat="1" ht="17.25" customHeight="1"/>
    <row r="777" s="25" customFormat="1" ht="17.25" customHeight="1"/>
    <row r="778" s="25" customFormat="1" ht="17.25" customHeight="1"/>
    <row r="779" s="25" customFormat="1" ht="17.25" customHeight="1"/>
    <row r="780" s="25" customFormat="1" ht="17.25" customHeight="1"/>
    <row r="781" s="25" customFormat="1" ht="17.25" customHeight="1"/>
    <row r="782" s="25" customFormat="1" ht="17.25" customHeight="1"/>
    <row r="783" s="25" customFormat="1" ht="17.25" customHeight="1"/>
    <row r="784" s="25" customFormat="1" ht="17.25" customHeight="1"/>
    <row r="785" s="25" customFormat="1" ht="17.25" customHeight="1"/>
    <row r="786" s="25" customFormat="1" ht="17.25" customHeight="1"/>
    <row r="787" s="25" customFormat="1" ht="17.25" customHeight="1"/>
    <row r="788" s="25" customFormat="1" ht="17.25" customHeight="1"/>
    <row r="789" s="25" customFormat="1" ht="17.25" customHeight="1"/>
    <row r="790" s="25" customFormat="1" ht="17.25" customHeight="1"/>
    <row r="791" s="25" customFormat="1" ht="17.25" customHeight="1"/>
    <row r="792" s="25" customFormat="1" ht="17.25" customHeight="1"/>
    <row r="793" s="25" customFormat="1" ht="17.25" customHeight="1"/>
    <row r="794" s="25" customFormat="1" ht="17.25" customHeight="1"/>
    <row r="795" s="25" customFormat="1" ht="17.25" customHeight="1"/>
    <row r="796" s="25" customFormat="1" ht="17.25" customHeight="1"/>
    <row r="797" s="25" customFormat="1" ht="17.25" customHeight="1"/>
    <row r="798" s="25" customFormat="1" ht="17.25" customHeight="1"/>
    <row r="799" s="25" customFormat="1" ht="17.25" customHeight="1"/>
    <row r="800" s="25" customFormat="1" ht="17.25" customHeight="1"/>
    <row r="801" s="25" customFormat="1" ht="17.25" customHeight="1"/>
    <row r="802" s="25" customFormat="1" ht="17.25" customHeight="1"/>
    <row r="803" s="25" customFormat="1" ht="17.25" customHeight="1"/>
    <row r="804" s="25" customFormat="1" ht="17.25" customHeight="1"/>
    <row r="805" s="25" customFormat="1" ht="17.25" customHeight="1"/>
    <row r="806" s="25" customFormat="1" ht="17.25" customHeight="1"/>
    <row r="807" s="25" customFormat="1" ht="17.25" customHeight="1"/>
    <row r="808" s="25" customFormat="1" ht="17.25" customHeight="1"/>
    <row r="809" s="25" customFormat="1" ht="17.25" customHeight="1"/>
    <row r="810" s="25" customFormat="1" ht="17.25" customHeight="1"/>
    <row r="811" s="25" customFormat="1" ht="17.25" customHeight="1"/>
    <row r="812" s="25" customFormat="1" ht="17.25" customHeight="1"/>
    <row r="813" s="25" customFormat="1" ht="17.25" customHeight="1"/>
    <row r="814" s="25" customFormat="1" ht="17.25" customHeight="1"/>
    <row r="815" s="25" customFormat="1" ht="17.25" customHeight="1"/>
    <row r="816" s="25" customFormat="1" ht="17.25" customHeight="1"/>
    <row r="817" s="25" customFormat="1" ht="17.25" customHeight="1"/>
    <row r="818" s="25" customFormat="1" ht="17.25" customHeight="1"/>
    <row r="819" s="25" customFormat="1" ht="17.25" customHeight="1"/>
    <row r="820" s="25" customFormat="1" ht="17.25" customHeight="1"/>
    <row r="821" s="25" customFormat="1" ht="17.25" customHeight="1"/>
    <row r="822" s="25" customFormat="1" ht="17.25" customHeight="1"/>
    <row r="823" s="25" customFormat="1" ht="17.25" customHeight="1"/>
    <row r="824" s="25" customFormat="1" ht="17.25" customHeight="1"/>
    <row r="825" s="25" customFormat="1" ht="17.25" customHeight="1"/>
    <row r="826" s="25" customFormat="1" ht="17.25" customHeight="1"/>
    <row r="827" s="25" customFormat="1" ht="17.25" customHeight="1"/>
    <row r="828" s="25" customFormat="1" ht="17.25" customHeight="1"/>
    <row r="829" s="25" customFormat="1" ht="17.25" customHeight="1"/>
    <row r="830" s="25" customFormat="1" ht="17.25" customHeight="1"/>
    <row r="831" s="25" customFormat="1" ht="17.25" customHeight="1"/>
    <row r="832" s="25" customFormat="1" ht="17.25" customHeight="1"/>
    <row r="833" s="25" customFormat="1" ht="17.25" customHeight="1"/>
    <row r="834" s="25" customFormat="1" ht="17.25" customHeight="1"/>
    <row r="835" s="25" customFormat="1" ht="17.25" customHeight="1"/>
    <row r="836" s="25" customFormat="1" ht="17.25" customHeight="1"/>
    <row r="837" s="25" customFormat="1" ht="17.25" customHeight="1"/>
    <row r="838" s="25" customFormat="1" ht="17.25" customHeight="1"/>
    <row r="839" s="25" customFormat="1" ht="17.25" customHeight="1"/>
    <row r="840" s="25" customFormat="1" ht="17.25" customHeight="1"/>
    <row r="841" s="25" customFormat="1" ht="17.25" customHeight="1"/>
    <row r="842" s="25" customFormat="1" ht="17.25" customHeight="1"/>
    <row r="843" s="25" customFormat="1" ht="17.25" customHeight="1"/>
    <row r="844" s="25" customFormat="1" ht="17.25" customHeight="1"/>
    <row r="845" s="25" customFormat="1" ht="17.25" customHeight="1"/>
    <row r="846" s="25" customFormat="1" ht="17.25" customHeight="1"/>
    <row r="847" s="25" customFormat="1" ht="17.25" customHeight="1"/>
    <row r="848" s="25" customFormat="1" ht="17.25" customHeight="1"/>
    <row r="849" s="25" customFormat="1" ht="17.25" customHeight="1"/>
    <row r="850" s="25" customFormat="1" ht="17.25" customHeight="1"/>
    <row r="851" s="25" customFormat="1" ht="17.25" customHeight="1"/>
    <row r="852" s="25" customFormat="1" ht="17.25" customHeight="1"/>
    <row r="853" s="25" customFormat="1" ht="17.25" customHeight="1"/>
    <row r="854" s="25" customFormat="1" ht="17.25" customHeight="1"/>
    <row r="855" s="25" customFormat="1" ht="17.25" customHeight="1"/>
    <row r="856" s="25" customFormat="1" ht="17.25" customHeight="1"/>
    <row r="857" s="25" customFormat="1" ht="17.25" customHeight="1"/>
    <row r="858" s="25" customFormat="1" ht="17.25" customHeight="1"/>
    <row r="859" s="25" customFormat="1" ht="17.25" customHeight="1"/>
    <row r="860" s="25" customFormat="1" ht="17.25" customHeight="1"/>
    <row r="861" s="25" customFormat="1" ht="17.25" customHeight="1"/>
    <row r="862" s="25" customFormat="1" ht="17.25" customHeight="1"/>
    <row r="863" s="25" customFormat="1" ht="17.25" customHeight="1"/>
    <row r="864" s="25" customFormat="1" ht="17.25" customHeight="1"/>
    <row r="865" s="25" customFormat="1" ht="17.25" customHeight="1"/>
    <row r="866" s="25" customFormat="1" ht="17.25" customHeight="1"/>
    <row r="867" s="25" customFormat="1" ht="17.25" customHeight="1"/>
    <row r="868" s="25" customFormat="1" ht="17.25" customHeight="1"/>
    <row r="869" s="25" customFormat="1" ht="17.25" customHeight="1"/>
    <row r="870" s="25" customFormat="1" ht="17.25" customHeight="1"/>
    <row r="871" s="25" customFormat="1" ht="17.25" customHeight="1"/>
    <row r="872" s="25" customFormat="1" ht="17.25" customHeight="1"/>
    <row r="873" s="25" customFormat="1" ht="17.25" customHeight="1"/>
    <row r="874" s="25" customFormat="1" ht="17.25" customHeight="1"/>
    <row r="875" s="25" customFormat="1" ht="17.25" customHeight="1"/>
    <row r="876" s="25" customFormat="1" ht="17.25" customHeight="1"/>
    <row r="877" s="25" customFormat="1" ht="17.25" customHeight="1"/>
    <row r="878" s="25" customFormat="1" ht="17.25" customHeight="1"/>
    <row r="879" s="25" customFormat="1" ht="17.25" customHeight="1"/>
    <row r="880" s="25" customFormat="1" ht="17.25" customHeight="1"/>
    <row r="881" s="25" customFormat="1" ht="17.25" customHeight="1"/>
    <row r="882" s="25" customFormat="1" ht="17.25" customHeight="1"/>
    <row r="883" s="25" customFormat="1" ht="17.25" customHeight="1"/>
    <row r="884" s="25" customFormat="1" ht="17.25" customHeight="1"/>
    <row r="885" s="25" customFormat="1" ht="17.25" customHeight="1"/>
    <row r="886" s="25" customFormat="1" ht="17.25" customHeight="1"/>
    <row r="887" s="25" customFormat="1" ht="17.25" customHeight="1"/>
    <row r="888" s="25" customFormat="1" ht="17.25" customHeight="1"/>
    <row r="889" s="25" customFormat="1" ht="17.25" customHeight="1"/>
    <row r="890" s="25" customFormat="1" ht="17.25" customHeight="1"/>
    <row r="891" s="25" customFormat="1" ht="17.25" customHeight="1"/>
    <row r="892" s="25" customFormat="1" ht="17.25" customHeight="1"/>
    <row r="893" s="25" customFormat="1" ht="17.25" customHeight="1"/>
    <row r="894" s="25" customFormat="1" ht="17.25" customHeight="1"/>
    <row r="895" s="25" customFormat="1" ht="17.25" customHeight="1"/>
    <row r="896" s="25" customFormat="1" ht="17.25" customHeight="1"/>
    <row r="897" s="25" customFormat="1" ht="17.25" customHeight="1"/>
    <row r="898" s="25" customFormat="1" ht="17.25" customHeight="1"/>
    <row r="899" s="25" customFormat="1" ht="17.25" customHeight="1"/>
    <row r="900" s="25" customFormat="1" ht="17.25" customHeight="1"/>
    <row r="901" s="25" customFormat="1" ht="17.25" customHeight="1"/>
    <row r="902" s="25" customFormat="1" ht="17.25" customHeight="1"/>
    <row r="903" s="25" customFormat="1" ht="17.25" customHeight="1"/>
    <row r="904" s="25" customFormat="1" ht="17.25" customHeight="1"/>
    <row r="905" s="25" customFormat="1" ht="17.25" customHeight="1"/>
    <row r="906" s="25" customFormat="1" ht="17.25" customHeight="1"/>
    <row r="907" s="25" customFormat="1" ht="17.25" customHeight="1"/>
    <row r="908" s="25" customFormat="1" ht="17.25" customHeight="1"/>
    <row r="909" s="25" customFormat="1" ht="17.25" customHeight="1"/>
    <row r="910" s="25" customFormat="1" ht="17.25" customHeight="1"/>
    <row r="911" s="25" customFormat="1" ht="17.25" customHeight="1"/>
    <row r="912" s="25" customFormat="1" ht="17.25" customHeight="1"/>
    <row r="913" s="25" customFormat="1" ht="17.25" customHeight="1"/>
    <row r="914" s="25" customFormat="1" ht="17.25" customHeight="1"/>
    <row r="915" s="25" customFormat="1" ht="17.25" customHeight="1"/>
    <row r="916" s="25" customFormat="1" ht="17.25" customHeight="1"/>
    <row r="917" s="25" customFormat="1" ht="17.25" customHeight="1"/>
    <row r="918" s="25" customFormat="1" ht="17.25" customHeight="1"/>
    <row r="919" s="25" customFormat="1" ht="17.25" customHeight="1"/>
    <row r="920" s="25" customFormat="1" ht="17.25" customHeight="1"/>
    <row r="921" s="25" customFormat="1" ht="17.25" customHeight="1"/>
    <row r="922" s="25" customFormat="1" ht="17.25" customHeight="1"/>
    <row r="923" s="25" customFormat="1" ht="17.25" customHeight="1"/>
    <row r="924" s="25" customFormat="1" ht="17.25" customHeight="1"/>
    <row r="925" s="25" customFormat="1" ht="17.25" customHeight="1"/>
    <row r="926" s="25" customFormat="1" ht="17.25" customHeight="1"/>
    <row r="927" s="25" customFormat="1" ht="17.25" customHeight="1"/>
    <row r="928" s="25" customFormat="1" ht="17.25" customHeight="1"/>
    <row r="929" s="25" customFormat="1" ht="17.25" customHeight="1"/>
    <row r="930" s="25" customFormat="1" ht="17.25" customHeight="1"/>
    <row r="931" s="25" customFormat="1" ht="17.25" customHeight="1"/>
    <row r="932" s="25" customFormat="1" ht="17.25" customHeight="1"/>
    <row r="933" s="25" customFormat="1" ht="17.25" customHeight="1"/>
    <row r="934" s="25" customFormat="1" ht="17.25" customHeight="1"/>
    <row r="935" s="25" customFormat="1" ht="17.25" customHeight="1"/>
    <row r="936" s="25" customFormat="1" ht="17.25" customHeight="1"/>
    <row r="937" s="25" customFormat="1" ht="17.25" customHeight="1"/>
    <row r="938" s="25" customFormat="1" ht="17.25" customHeight="1"/>
    <row r="939" s="25" customFormat="1" ht="17.25" customHeight="1"/>
    <row r="940" s="25" customFormat="1" ht="17.25" customHeight="1"/>
    <row r="941" s="25" customFormat="1" ht="17.25" customHeight="1"/>
    <row r="942" s="25" customFormat="1" ht="17.25" customHeight="1"/>
    <row r="943" s="25" customFormat="1" ht="17.25" customHeight="1"/>
    <row r="944" s="25" customFormat="1" ht="17.25" customHeight="1"/>
    <row r="945" s="25" customFormat="1" ht="17.25" customHeight="1"/>
    <row r="946" s="25" customFormat="1" ht="17.25" customHeight="1"/>
    <row r="947" s="25" customFormat="1" ht="17.25" customHeight="1"/>
    <row r="948" s="25" customFormat="1" ht="17.25" customHeight="1"/>
    <row r="949" s="25" customFormat="1" ht="17.25" customHeight="1"/>
    <row r="950" s="25" customFormat="1" ht="17.25" customHeight="1"/>
    <row r="951" s="25" customFormat="1" ht="17.25" customHeight="1"/>
    <row r="952" s="25" customFormat="1" ht="17.25" customHeight="1"/>
    <row r="953" s="25" customFormat="1" ht="17.25" customHeight="1"/>
    <row r="954" s="25" customFormat="1" ht="17.25" customHeight="1"/>
    <row r="955" s="25" customFormat="1" ht="17.25" customHeight="1"/>
    <row r="956" s="25" customFormat="1" ht="17.25" customHeight="1"/>
    <row r="957" s="25" customFormat="1" ht="17.25" customHeight="1"/>
    <row r="958" s="25" customFormat="1" ht="17.25" customHeight="1"/>
    <row r="959" s="25" customFormat="1" ht="17.25" customHeight="1"/>
    <row r="960" s="25" customFormat="1" ht="17.25" customHeight="1"/>
    <row r="961" s="25" customFormat="1" ht="17.25" customHeight="1"/>
    <row r="962" s="25" customFormat="1" ht="17.25" customHeight="1"/>
    <row r="963" s="25" customFormat="1" ht="17.25" customHeight="1"/>
    <row r="964" s="25" customFormat="1" ht="17.25" customHeight="1"/>
    <row r="965" s="25" customFormat="1" ht="17.25" customHeight="1"/>
    <row r="966" s="25" customFormat="1" ht="17.25" customHeight="1"/>
    <row r="967" s="25" customFormat="1" ht="17.25" customHeight="1"/>
    <row r="968" s="25" customFormat="1" ht="17.25" customHeight="1"/>
    <row r="969" s="25" customFormat="1" ht="17.25" customHeight="1"/>
    <row r="970" s="25" customFormat="1" ht="17.25" customHeight="1"/>
    <row r="971" s="25" customFormat="1" ht="17.25" customHeight="1"/>
    <row r="972" s="25" customFormat="1" ht="17.25" customHeight="1"/>
    <row r="973" s="25" customFormat="1" ht="17.25" customHeight="1"/>
    <row r="974" s="25" customFormat="1" ht="17.25" customHeight="1"/>
    <row r="975" s="25" customFormat="1" ht="17.25" customHeight="1"/>
    <row r="976" s="25" customFormat="1" ht="17.25" customHeight="1"/>
    <row r="977" s="25" customFormat="1" ht="17.25" customHeight="1"/>
    <row r="978" s="25" customFormat="1" ht="17.25" customHeight="1"/>
    <row r="979" s="25" customFormat="1" ht="17.25" customHeight="1"/>
    <row r="980" s="25" customFormat="1" ht="17.25" customHeight="1"/>
    <row r="981" s="25" customFormat="1" ht="17.25" customHeight="1"/>
    <row r="982" s="25" customFormat="1" ht="17.25" customHeight="1"/>
    <row r="983" s="25" customFormat="1" ht="17.25" customHeight="1"/>
    <row r="984" s="25" customFormat="1" ht="17.25" customHeight="1"/>
    <row r="985" s="25" customFormat="1" ht="17.25" customHeight="1"/>
    <row r="986" s="25" customFormat="1" ht="17.25" customHeight="1"/>
    <row r="987" s="25" customFormat="1" ht="17.25" customHeight="1"/>
    <row r="988" s="25" customFormat="1" ht="17.25" customHeight="1"/>
    <row r="989" s="25" customFormat="1" ht="17.25" customHeight="1"/>
    <row r="990" s="25" customFormat="1" ht="17.25" customHeight="1"/>
    <row r="991" s="25" customFormat="1" ht="17.25" customHeight="1"/>
    <row r="992" s="25" customFormat="1" ht="17.25" customHeight="1"/>
    <row r="993" s="25" customFormat="1" ht="17.25" customHeight="1"/>
    <row r="994" s="25" customFormat="1" ht="17.25" customHeight="1"/>
    <row r="995" s="25" customFormat="1" ht="17.25" customHeight="1"/>
    <row r="996" s="25" customFormat="1" ht="17.25" customHeight="1"/>
    <row r="997" s="25" customFormat="1" ht="17.25" customHeight="1"/>
    <row r="998" s="25" customFormat="1" ht="17.25" customHeight="1"/>
    <row r="999" s="25" customFormat="1" ht="17.25" customHeight="1"/>
    <row r="1000" s="25" customFormat="1" ht="17.25" customHeight="1"/>
    <row r="1001" s="25" customFormat="1" ht="17.25" customHeight="1"/>
    <row r="1002" s="25" customFormat="1" ht="17.25" customHeight="1"/>
    <row r="1003" s="25" customFormat="1" ht="17.25" customHeight="1"/>
    <row r="1004" s="25" customFormat="1" ht="17.25" customHeight="1"/>
    <row r="1005" s="25" customFormat="1" ht="17.25" customHeight="1"/>
    <row r="1006" s="25" customFormat="1" ht="17.25" customHeight="1"/>
    <row r="1007" s="25" customFormat="1" ht="17.25" customHeight="1"/>
    <row r="1008" s="25" customFormat="1" ht="17.25" customHeight="1"/>
    <row r="1009" s="25" customFormat="1" ht="17.25" customHeight="1"/>
    <row r="1010" s="25" customFormat="1" ht="17.25" customHeight="1"/>
    <row r="1011" s="25" customFormat="1" ht="17.25" customHeight="1"/>
    <row r="1012" s="25" customFormat="1" ht="17.25" customHeight="1"/>
    <row r="1013" s="25" customFormat="1" ht="17.25" customHeight="1"/>
    <row r="1014" s="25" customFormat="1" ht="17.25" customHeight="1"/>
    <row r="1015" s="25" customFormat="1" ht="17.25" customHeight="1"/>
    <row r="1016" s="25" customFormat="1" ht="17.25" customHeight="1"/>
    <row r="1017" s="25" customFormat="1" ht="17.25" customHeight="1"/>
    <row r="1018" s="25" customFormat="1" ht="17.25" customHeight="1"/>
    <row r="1019" s="25" customFormat="1" ht="17.25" customHeight="1"/>
    <row r="1020" s="25" customFormat="1" ht="17.25" customHeight="1"/>
    <row r="1021" s="25" customFormat="1" ht="17.25" customHeight="1"/>
    <row r="1022" s="25" customFormat="1" ht="17.25" customHeight="1"/>
    <row r="1023" s="25" customFormat="1" ht="17.25" customHeight="1"/>
    <row r="1024" s="25" customFormat="1" ht="17.25" customHeight="1"/>
    <row r="1025" s="25" customFormat="1" ht="17.25" customHeight="1"/>
    <row r="1026" s="25" customFormat="1" ht="17.25" customHeight="1"/>
    <row r="1027" s="25" customFormat="1" ht="17.25" customHeight="1"/>
    <row r="1028" s="25" customFormat="1" ht="17.25" customHeight="1"/>
    <row r="1029" s="25" customFormat="1" ht="17.25" customHeight="1"/>
    <row r="1030" s="25" customFormat="1" ht="17.25" customHeight="1"/>
    <row r="1031" s="25" customFormat="1" ht="17.25" customHeight="1"/>
    <row r="1032" s="25" customFormat="1" ht="17.25" customHeight="1"/>
    <row r="1033" s="25" customFormat="1" ht="17.25" customHeight="1"/>
    <row r="1034" s="25" customFormat="1" ht="17.25" customHeight="1"/>
    <row r="1035" s="25" customFormat="1" ht="17.25" customHeight="1"/>
    <row r="1036" s="25" customFormat="1" ht="17.25" customHeight="1"/>
    <row r="1037" s="25" customFormat="1" ht="17.25" customHeight="1"/>
    <row r="1038" s="25" customFormat="1" ht="17.25" customHeight="1"/>
    <row r="1039" s="25" customFormat="1" ht="17.25" customHeight="1"/>
    <row r="1040" s="25" customFormat="1" ht="17.25" customHeight="1"/>
    <row r="1041" s="25" customFormat="1" ht="17.25" customHeight="1"/>
    <row r="1042" s="25" customFormat="1" ht="17.25" customHeight="1"/>
    <row r="1043" s="25" customFormat="1" ht="17.25" customHeight="1"/>
    <row r="1044" s="25" customFormat="1" ht="17.25" customHeight="1"/>
    <row r="1045" s="25" customFormat="1" ht="17.25" customHeight="1"/>
    <row r="1046" s="25" customFormat="1" ht="17.25" customHeight="1"/>
    <row r="1047" s="25" customFormat="1" ht="17.25" customHeight="1"/>
    <row r="1048" s="25" customFormat="1" ht="17.25" customHeight="1"/>
    <row r="1049" s="25" customFormat="1" ht="17.25" customHeight="1"/>
    <row r="1050" s="25" customFormat="1" ht="17.25" customHeight="1"/>
    <row r="1051" s="25" customFormat="1" ht="17.25" customHeight="1"/>
    <row r="1052" s="25" customFormat="1" ht="17.25" customHeight="1"/>
    <row r="1053" s="25" customFormat="1" ht="17.25" customHeight="1"/>
    <row r="1054" s="25" customFormat="1" ht="17.25" customHeight="1"/>
    <row r="1055" s="25" customFormat="1" ht="17.25" customHeight="1"/>
    <row r="1056" s="25" customFormat="1" ht="17.25" customHeight="1"/>
    <row r="1057" s="25" customFormat="1" ht="17.25" customHeight="1"/>
    <row r="1058" s="25" customFormat="1" ht="17.25" customHeight="1"/>
    <row r="1059" s="25" customFormat="1" ht="17.25" customHeight="1"/>
    <row r="1060" s="25" customFormat="1" ht="17.25" customHeight="1"/>
    <row r="1061" s="25" customFormat="1" ht="17.25" customHeight="1"/>
    <row r="1062" s="25" customFormat="1" ht="17.25" customHeight="1"/>
    <row r="1063" s="25" customFormat="1" ht="17.25" customHeight="1"/>
    <row r="1064" s="25" customFormat="1" ht="17.25" customHeight="1"/>
    <row r="1065" s="25" customFormat="1" ht="17.25" customHeight="1"/>
    <row r="1066" s="25" customFormat="1" ht="17.25" customHeight="1"/>
    <row r="1067" s="25" customFormat="1" ht="17.25" customHeight="1"/>
    <row r="1068" s="25" customFormat="1" ht="17.25" customHeight="1"/>
    <row r="1069" s="25" customFormat="1" ht="17.25" customHeight="1"/>
    <row r="1070" s="25" customFormat="1" ht="17.25" customHeight="1"/>
    <row r="1071" s="25" customFormat="1" ht="17.25" customHeight="1"/>
    <row r="1072" s="25" customFormat="1" ht="17.25" customHeight="1"/>
    <row r="1073" s="25" customFormat="1" ht="17.25" customHeight="1"/>
    <row r="1074" s="25" customFormat="1" ht="17.25" customHeight="1"/>
    <row r="1075" s="25" customFormat="1" ht="17.25" customHeight="1"/>
    <row r="1076" s="25" customFormat="1" ht="17.25" customHeight="1"/>
    <row r="1077" s="25" customFormat="1" ht="17.25" customHeight="1"/>
    <row r="1078" s="25" customFormat="1" ht="17.25" customHeight="1"/>
    <row r="1079" s="25" customFormat="1" ht="17.25" customHeight="1"/>
    <row r="1080" s="25" customFormat="1" ht="17.25" customHeight="1"/>
    <row r="1081" s="25" customFormat="1" ht="17.25" customHeight="1"/>
    <row r="1082" s="25" customFormat="1" ht="17.25" customHeight="1"/>
    <row r="1083" s="25" customFormat="1" ht="17.25" customHeight="1"/>
    <row r="1084" s="25" customFormat="1" ht="17.25" customHeight="1"/>
    <row r="1085" s="25" customFormat="1" ht="17.25" customHeight="1"/>
    <row r="1086" s="25" customFormat="1" ht="17.25" customHeight="1"/>
    <row r="1087" s="25" customFormat="1" ht="17.25" customHeight="1"/>
    <row r="1088" s="25" customFormat="1" ht="17.25" customHeight="1"/>
    <row r="1089" s="25" customFormat="1" ht="17.25" customHeight="1"/>
    <row r="1090" s="25" customFormat="1" ht="17.25" customHeight="1"/>
    <row r="1091" s="25" customFormat="1" ht="17.25" customHeight="1"/>
    <row r="1092" s="25" customFormat="1" ht="17.25" customHeight="1"/>
    <row r="1093" s="25" customFormat="1" ht="17.25" customHeight="1"/>
    <row r="1094" s="25" customFormat="1" ht="17.25" customHeight="1"/>
    <row r="1095" s="25" customFormat="1" ht="17.25" customHeight="1"/>
    <row r="1096" s="25" customFormat="1" ht="17.25" customHeight="1"/>
    <row r="1097" s="25" customFormat="1" ht="17.25" customHeight="1"/>
    <row r="1098" s="25" customFormat="1" ht="17.25" customHeight="1"/>
    <row r="1099" s="25" customFormat="1" ht="17.25" customHeight="1"/>
    <row r="1100" s="25" customFormat="1" ht="17.25" customHeight="1"/>
    <row r="1101" s="25" customFormat="1" ht="17.25" customHeight="1"/>
    <row r="1102" s="25" customFormat="1" ht="17.25" customHeight="1"/>
    <row r="1103" s="25" customFormat="1" ht="17.25" customHeight="1"/>
    <row r="1104" s="25" customFormat="1" ht="17.25" customHeight="1"/>
    <row r="1105" s="25" customFormat="1" ht="17.25" customHeight="1"/>
    <row r="1106" s="25" customFormat="1" ht="17.25" customHeight="1"/>
    <row r="1107" s="25" customFormat="1" ht="17.25" customHeight="1"/>
    <row r="1108" s="25" customFormat="1" ht="17.25" customHeight="1"/>
    <row r="1109" s="25" customFormat="1" ht="17.25" customHeight="1"/>
    <row r="1110" s="25" customFormat="1" ht="17.25" customHeight="1"/>
    <row r="1111" s="25" customFormat="1" ht="17.25" customHeight="1"/>
    <row r="1112" s="25" customFormat="1" ht="17.25" customHeight="1"/>
    <row r="1113" s="25" customFormat="1" ht="17.25" customHeight="1"/>
    <row r="1114" s="25" customFormat="1" ht="17.25" customHeight="1"/>
    <row r="1115" s="25" customFormat="1" ht="17.25" customHeight="1"/>
    <row r="1116" s="25" customFormat="1" ht="17.25" customHeight="1"/>
    <row r="1117" s="25" customFormat="1" ht="17.25" customHeight="1"/>
    <row r="1118" s="25" customFormat="1" ht="17.25" customHeight="1"/>
    <row r="1119" s="25" customFormat="1" ht="17.25" customHeight="1"/>
    <row r="1120" s="25" customFormat="1" ht="17.25" customHeight="1"/>
    <row r="1121" s="25" customFormat="1" ht="17.25" customHeight="1"/>
    <row r="1122" s="25" customFormat="1" ht="17.25" customHeight="1"/>
    <row r="1123" s="25" customFormat="1" ht="17.25" customHeight="1"/>
    <row r="1124" s="25" customFormat="1" ht="17.25" customHeight="1"/>
    <row r="1125" s="25" customFormat="1" ht="17.25" customHeight="1"/>
    <row r="1126" s="25" customFormat="1" ht="17.25" customHeight="1"/>
    <row r="1127" s="25" customFormat="1" ht="17.25" customHeight="1"/>
    <row r="1128" s="25" customFormat="1" ht="17.25" customHeight="1"/>
    <row r="1129" s="25" customFormat="1" ht="17.25" customHeight="1"/>
    <row r="1130" s="25" customFormat="1" ht="17.25" customHeight="1"/>
    <row r="1131" s="25" customFormat="1" ht="17.25" customHeight="1"/>
    <row r="1132" s="25" customFormat="1" ht="17.25" customHeight="1"/>
    <row r="1133" s="25" customFormat="1" ht="17.25" customHeight="1"/>
    <row r="1134" s="25" customFormat="1" ht="17.25" customHeight="1"/>
    <row r="1135" s="25" customFormat="1" ht="17.25" customHeight="1"/>
    <row r="1136" s="25" customFormat="1" ht="17.25" customHeight="1"/>
    <row r="1137" s="25" customFormat="1" ht="17.25" customHeight="1"/>
    <row r="1138" s="25" customFormat="1" ht="17.25" customHeight="1"/>
    <row r="1139" s="25" customFormat="1" ht="17.25" customHeight="1"/>
    <row r="1140" s="25" customFormat="1" ht="17.25" customHeight="1"/>
    <row r="1141" s="25" customFormat="1" ht="17.25" customHeight="1"/>
    <row r="1142" s="25" customFormat="1" ht="17.25" customHeight="1"/>
    <row r="1143" s="25" customFormat="1" ht="17.25" customHeight="1"/>
    <row r="1144" s="25" customFormat="1" ht="17.25" customHeight="1"/>
    <row r="1145" s="25" customFormat="1" ht="17.25" customHeight="1"/>
    <row r="1146" s="25" customFormat="1" ht="17.25" customHeight="1"/>
    <row r="1147" s="25" customFormat="1" ht="17.25" customHeight="1"/>
    <row r="1148" s="25" customFormat="1" ht="17.25" customHeight="1"/>
    <row r="1149" s="25" customFormat="1" ht="17.25" customHeight="1"/>
    <row r="1150" s="25" customFormat="1" ht="17.25" customHeight="1"/>
    <row r="1151" s="25" customFormat="1" ht="17.25" customHeight="1"/>
    <row r="1152" s="25" customFormat="1" ht="17.25" customHeight="1"/>
    <row r="1153" s="25" customFormat="1" ht="17.25" customHeight="1"/>
    <row r="1154" s="25" customFormat="1" ht="17.25" customHeight="1"/>
    <row r="1155" s="25" customFormat="1" ht="17.25" customHeight="1"/>
    <row r="1156" s="25" customFormat="1" ht="17.25" customHeight="1"/>
    <row r="1157" s="25" customFormat="1" ht="17.25" customHeight="1"/>
    <row r="1158" s="25" customFormat="1" ht="17.25" customHeight="1"/>
    <row r="1159" s="25" customFormat="1" ht="17.25" customHeight="1"/>
    <row r="1160" s="25" customFormat="1" ht="17.25" customHeight="1"/>
    <row r="1161" s="25" customFormat="1" ht="17.25" customHeight="1"/>
    <row r="1162" s="25" customFormat="1" ht="17.25" customHeight="1"/>
    <row r="1163" s="25" customFormat="1" ht="17.25" customHeight="1"/>
    <row r="1164" s="25" customFormat="1" ht="17.25" customHeight="1"/>
    <row r="1165" s="25" customFormat="1" ht="17.25" customHeight="1"/>
    <row r="1166" s="25" customFormat="1" ht="17.25" customHeight="1"/>
    <row r="1167" s="25" customFormat="1" ht="17.25" customHeight="1"/>
    <row r="1168" s="25" customFormat="1" ht="17.25" customHeight="1"/>
    <row r="1169" s="25" customFormat="1" ht="17.25" customHeight="1"/>
    <row r="1170" s="25" customFormat="1" ht="17.25" customHeight="1"/>
    <row r="1171" s="25" customFormat="1" ht="17.25" customHeight="1"/>
    <row r="1172" s="25" customFormat="1" ht="17.25" customHeight="1"/>
    <row r="1173" s="25" customFormat="1" ht="17.25" customHeight="1"/>
    <row r="1174" s="25" customFormat="1" ht="17.25" customHeight="1"/>
    <row r="1175" s="25" customFormat="1" ht="17.25" customHeight="1"/>
    <row r="1176" s="25" customFormat="1" ht="17.25" customHeight="1"/>
    <row r="1177" s="25" customFormat="1" ht="17.25" customHeight="1"/>
    <row r="1178" s="25" customFormat="1" ht="17.25" customHeight="1"/>
    <row r="1179" s="25" customFormat="1" ht="17.25" customHeight="1"/>
    <row r="1180" s="25" customFormat="1" ht="17.25" customHeight="1"/>
    <row r="1181" s="25" customFormat="1" ht="17.25" customHeight="1"/>
    <row r="1182" s="25" customFormat="1" ht="17.25" customHeight="1"/>
    <row r="1183" s="25" customFormat="1" ht="17.25" customHeight="1"/>
    <row r="1184" s="25" customFormat="1" ht="17.25" customHeight="1"/>
    <row r="1185" s="25" customFormat="1" ht="17.25" customHeight="1"/>
    <row r="1186" s="25" customFormat="1" ht="17.25" customHeight="1"/>
    <row r="1187" s="25" customFormat="1" ht="17.25" customHeight="1"/>
    <row r="1188" s="25" customFormat="1" ht="17.25" customHeight="1"/>
    <row r="1189" s="25" customFormat="1" ht="17.25" customHeight="1"/>
    <row r="1190" s="25" customFormat="1" ht="17.25" customHeight="1"/>
    <row r="1191" s="25" customFormat="1" ht="17.25" customHeight="1"/>
    <row r="1192" s="25" customFormat="1" ht="17.25" customHeight="1"/>
    <row r="1193" s="25" customFormat="1" ht="17.25" customHeight="1"/>
    <row r="1194" s="25" customFormat="1" ht="17.25" customHeight="1"/>
    <row r="1195" s="25" customFormat="1" ht="17.25" customHeight="1"/>
    <row r="1196" s="25" customFormat="1" ht="17.25" customHeight="1"/>
    <row r="1197" s="25" customFormat="1" ht="17.25" customHeight="1"/>
    <row r="1198" s="25" customFormat="1" ht="17.25" customHeight="1"/>
    <row r="1199" s="25" customFormat="1" ht="17.25" customHeight="1"/>
    <row r="1200" s="25" customFormat="1" ht="17.25" customHeight="1"/>
    <row r="1201" s="25" customFormat="1" ht="17.25" customHeight="1"/>
    <row r="1202" s="25" customFormat="1" ht="17.25" customHeight="1"/>
    <row r="1203" s="25" customFormat="1" ht="17.25" customHeight="1"/>
    <row r="1204" s="25" customFormat="1" ht="17.25" customHeight="1"/>
    <row r="1205" s="25" customFormat="1" ht="17.25" customHeight="1"/>
    <row r="1206" s="25" customFormat="1" ht="17.25" customHeight="1"/>
    <row r="1207" s="25" customFormat="1" ht="17.25" customHeight="1"/>
    <row r="1208" s="25" customFormat="1" ht="17.25" customHeight="1"/>
    <row r="1209" s="25" customFormat="1" ht="17.25" customHeight="1"/>
    <row r="1210" s="25" customFormat="1" ht="17.25" customHeight="1"/>
    <row r="1211" s="25" customFormat="1" ht="17.25" customHeight="1"/>
    <row r="1212" s="25" customFormat="1" ht="17.25" customHeight="1"/>
    <row r="1213" s="25" customFormat="1" ht="17.25" customHeight="1"/>
    <row r="1214" s="25" customFormat="1" ht="17.25" customHeight="1"/>
    <row r="1215" s="25" customFormat="1" ht="17.25" customHeight="1"/>
    <row r="1216" s="25" customFormat="1" ht="17.25" customHeight="1"/>
    <row r="1217" s="25" customFormat="1" ht="17.25" customHeight="1"/>
    <row r="1218" s="25" customFormat="1" ht="17.25" customHeight="1"/>
    <row r="1219" s="25" customFormat="1" ht="17.25" customHeight="1"/>
    <row r="1220" s="25" customFormat="1" ht="17.25" customHeight="1"/>
    <row r="1221" s="25" customFormat="1" ht="17.25" customHeight="1"/>
    <row r="1222" s="25" customFormat="1" ht="17.25" customHeight="1"/>
    <row r="1223" s="25" customFormat="1" ht="17.25" customHeight="1"/>
    <row r="1224" s="25" customFormat="1" ht="17.25" customHeight="1"/>
    <row r="1225" s="25" customFormat="1" ht="17.25" customHeight="1"/>
    <row r="1226" s="25" customFormat="1" ht="17.25" customHeight="1"/>
    <row r="1227" s="25" customFormat="1" ht="17.25" customHeight="1"/>
    <row r="1228" s="25" customFormat="1" ht="17.25" customHeight="1"/>
    <row r="1229" s="25" customFormat="1" ht="17.25" customHeight="1"/>
    <row r="1230" s="25" customFormat="1" ht="17.25" customHeight="1"/>
    <row r="1231" s="25" customFormat="1" ht="17.25" customHeight="1"/>
    <row r="1232" s="25" customFormat="1" ht="17.25" customHeight="1"/>
    <row r="1233" s="25" customFormat="1" ht="17.25" customHeight="1"/>
    <row r="1234" s="25" customFormat="1" ht="17.25" customHeight="1"/>
    <row r="1235" s="25" customFormat="1" ht="17.25" customHeight="1"/>
    <row r="1236" s="25" customFormat="1" ht="17.25" customHeight="1"/>
    <row r="1237" s="25" customFormat="1" ht="17.25" customHeight="1"/>
    <row r="1238" s="25" customFormat="1" ht="17.25" customHeight="1"/>
    <row r="1239" s="25" customFormat="1" ht="17.25" customHeight="1"/>
    <row r="1240" s="25" customFormat="1" ht="17.25" customHeight="1"/>
    <row r="1241" s="25" customFormat="1" ht="17.25" customHeight="1"/>
    <row r="1242" s="25" customFormat="1" ht="17.25" customHeight="1"/>
    <row r="1243" s="25" customFormat="1" ht="17.25" customHeight="1"/>
    <row r="1244" s="25" customFormat="1" ht="17.25" customHeight="1"/>
    <row r="1245" s="25" customFormat="1" ht="17.25" customHeight="1"/>
    <row r="1246" s="25" customFormat="1" ht="17.25" customHeight="1"/>
    <row r="1247" s="25" customFormat="1" ht="17.25" customHeight="1"/>
    <row r="1248" s="25" customFormat="1" ht="17.25" customHeight="1"/>
    <row r="1249" s="25" customFormat="1" ht="17.25" customHeight="1"/>
    <row r="1250" s="25" customFormat="1" ht="17.25" customHeight="1"/>
    <row r="1251" s="25" customFormat="1" ht="17.25" customHeight="1"/>
    <row r="1252" s="25" customFormat="1" ht="17.25" customHeight="1"/>
    <row r="1253" s="25" customFormat="1" ht="17.25" customHeight="1"/>
    <row r="1254" s="25" customFormat="1" ht="17.25" customHeight="1"/>
    <row r="1255" s="25" customFormat="1" ht="17.25" customHeight="1"/>
    <row r="1256" s="25" customFormat="1" ht="17.25" customHeight="1"/>
    <row r="1257" s="25" customFormat="1" ht="17.25" customHeight="1"/>
    <row r="1258" s="25" customFormat="1" ht="17.25" customHeight="1"/>
    <row r="1259" s="25" customFormat="1" ht="17.25" customHeight="1"/>
    <row r="1260" s="25" customFormat="1" ht="17.25" customHeight="1"/>
    <row r="1261" s="25" customFormat="1" ht="17.25" customHeight="1"/>
    <row r="1262" s="25" customFormat="1" ht="17.25" customHeight="1"/>
    <row r="1263" s="25" customFormat="1" ht="17.25" customHeight="1"/>
    <row r="1264" s="25" customFormat="1" ht="17.25" customHeight="1"/>
    <row r="1265" s="25" customFormat="1" ht="17.25" customHeight="1"/>
    <row r="1266" s="25" customFormat="1" ht="17.25" customHeight="1"/>
    <row r="1267" s="25" customFormat="1" ht="17.25" customHeight="1"/>
    <row r="1268" s="25" customFormat="1" ht="17.25" customHeight="1"/>
    <row r="1269" s="25" customFormat="1" ht="17.25" customHeight="1"/>
    <row r="1270" s="25" customFormat="1" ht="17.25" customHeight="1"/>
    <row r="1271" s="25" customFormat="1" ht="17.25" customHeight="1"/>
    <row r="1272" s="25" customFormat="1" ht="17.25" customHeight="1"/>
    <row r="1273" s="25" customFormat="1" ht="17.25" customHeight="1"/>
    <row r="1274" s="25" customFormat="1" ht="17.25" customHeight="1"/>
    <row r="1275" s="25" customFormat="1" ht="17.25" customHeight="1"/>
    <row r="1276" s="25" customFormat="1" ht="17.25" customHeight="1"/>
    <row r="1277" s="25" customFormat="1" ht="17.25" customHeight="1"/>
    <row r="1278" s="25" customFormat="1" ht="17.25" customHeight="1"/>
    <row r="1279" s="25" customFormat="1" ht="17.25" customHeight="1"/>
    <row r="1280" s="25" customFormat="1" ht="17.25" customHeight="1"/>
    <row r="1281" s="25" customFormat="1" ht="17.25" customHeight="1"/>
    <row r="1282" s="25" customFormat="1" ht="17.25" customHeight="1"/>
    <row r="1283" s="25" customFormat="1" ht="17.25" customHeight="1"/>
    <row r="1284" s="25" customFormat="1" ht="17.25" customHeight="1"/>
    <row r="1285" s="25" customFormat="1" ht="17.25" customHeight="1"/>
    <row r="1286" s="25" customFormat="1" ht="17.25" customHeight="1"/>
    <row r="1287" s="25" customFormat="1" ht="17.25" customHeight="1"/>
    <row r="1288" s="25" customFormat="1" ht="17.25" customHeight="1"/>
    <row r="1289" s="25" customFormat="1" ht="17.25" customHeight="1"/>
    <row r="1290" s="25" customFormat="1" ht="17.25" customHeight="1"/>
    <row r="1291" s="25" customFormat="1" ht="17.25" customHeight="1"/>
    <row r="1292" s="25" customFormat="1" ht="17.25" customHeight="1"/>
    <row r="1293" s="25" customFormat="1" ht="17.25" customHeight="1"/>
    <row r="1294" s="25" customFormat="1" ht="17.25" customHeight="1"/>
    <row r="1295" s="25" customFormat="1" ht="17.25" customHeight="1"/>
    <row r="1296" s="25" customFormat="1" ht="17.25" customHeight="1"/>
    <row r="1297" s="25" customFormat="1" ht="17.25" customHeight="1"/>
    <row r="1298" s="25" customFormat="1" ht="17.25" customHeight="1"/>
    <row r="1299" s="25" customFormat="1" ht="17.25" customHeight="1"/>
    <row r="1300" s="25" customFormat="1" ht="17.25" customHeight="1"/>
    <row r="1301" s="25" customFormat="1" ht="17.25" customHeight="1"/>
    <row r="1302" s="25" customFormat="1" ht="17.25" customHeight="1"/>
    <row r="1303" s="25" customFormat="1" ht="17.25" customHeight="1"/>
    <row r="1304" s="25" customFormat="1" ht="17.25" customHeight="1"/>
    <row r="1305" s="25" customFormat="1" ht="17.25" customHeight="1"/>
    <row r="1306" s="25" customFormat="1" ht="17.25" customHeight="1"/>
    <row r="1307" s="25" customFormat="1" ht="17.25" customHeight="1"/>
    <row r="1308" s="25" customFormat="1" ht="17.25" customHeight="1"/>
    <row r="1309" s="25" customFormat="1" ht="17.25" customHeight="1"/>
    <row r="1310" s="25" customFormat="1" ht="17.25" customHeight="1"/>
    <row r="1311" s="25" customFormat="1" ht="17.25" customHeight="1"/>
    <row r="1312" s="25" customFormat="1" ht="17.25" customHeight="1"/>
    <row r="1313" s="25" customFormat="1" ht="17.25" customHeight="1"/>
    <row r="1314" s="25" customFormat="1" ht="17.25" customHeight="1"/>
    <row r="1315" s="25" customFormat="1" ht="17.25" customHeight="1"/>
    <row r="1316" s="25" customFormat="1" ht="17.25" customHeight="1"/>
    <row r="1317" s="25" customFormat="1" ht="17.25" customHeight="1"/>
    <row r="1318" s="25" customFormat="1" ht="17.25" customHeight="1"/>
    <row r="1319" s="25" customFormat="1" ht="17.25" customHeight="1"/>
    <row r="1320" s="25" customFormat="1" ht="17.25" customHeight="1"/>
    <row r="1321" s="25" customFormat="1" ht="17.25" customHeight="1"/>
    <row r="1322" s="25" customFormat="1" ht="17.25" customHeight="1"/>
    <row r="1323" s="25" customFormat="1" ht="17.25" customHeight="1"/>
    <row r="1324" s="25" customFormat="1" ht="17.25" customHeight="1"/>
    <row r="1325" s="25" customFormat="1" ht="17.25" customHeight="1"/>
    <row r="1326" s="25" customFormat="1" ht="17.25" customHeight="1"/>
    <row r="1327" s="25" customFormat="1" ht="17.25" customHeight="1"/>
    <row r="1328" s="25" customFormat="1" ht="17.25" customHeight="1"/>
    <row r="1329" s="25" customFormat="1" ht="17.25" customHeight="1"/>
    <row r="1330" s="25" customFormat="1" ht="17.25" customHeight="1"/>
    <row r="1331" s="25" customFormat="1" ht="17.25" customHeight="1"/>
    <row r="1332" s="25" customFormat="1" ht="17.25" customHeight="1"/>
    <row r="1333" s="25" customFormat="1" ht="17.25" customHeight="1"/>
    <row r="1334" s="25" customFormat="1" ht="17.25" customHeight="1"/>
    <row r="1335" s="25" customFormat="1" ht="17.25" customHeight="1"/>
    <row r="1336" s="25" customFormat="1" ht="17.25" customHeight="1"/>
    <row r="1337" s="25" customFormat="1" ht="17.25" customHeight="1"/>
    <row r="1338" s="25" customFormat="1" ht="17.25" customHeight="1"/>
    <row r="1339" s="25" customFormat="1" ht="17.25" customHeight="1"/>
    <row r="1340" s="25" customFormat="1" ht="17.25" customHeight="1"/>
    <row r="1341" s="25" customFormat="1" ht="17.25" customHeight="1"/>
    <row r="1342" s="25" customFormat="1" ht="17.25" customHeight="1"/>
    <row r="1343" s="25" customFormat="1" ht="17.25" customHeight="1"/>
    <row r="1344" s="25" customFormat="1" ht="17.25" customHeight="1"/>
    <row r="1345" s="25" customFormat="1" ht="17.25" customHeight="1"/>
    <row r="1346" s="25" customFormat="1" ht="17.25" customHeight="1"/>
    <row r="1347" s="25" customFormat="1" ht="17.25" customHeight="1"/>
    <row r="1348" s="25" customFormat="1" ht="17.25" customHeight="1"/>
    <row r="1349" s="25" customFormat="1" ht="17.25" customHeight="1"/>
    <row r="1350" s="25" customFormat="1" ht="17.25" customHeight="1"/>
    <row r="1351" s="25" customFormat="1" ht="17.25" customHeight="1"/>
    <row r="1352" s="25" customFormat="1" ht="17.25" customHeight="1"/>
    <row r="1353" s="25" customFormat="1" ht="17.25" customHeight="1"/>
    <row r="1354" s="25" customFormat="1" ht="17.25" customHeight="1"/>
    <row r="1355" s="25" customFormat="1" ht="17.25" customHeight="1"/>
    <row r="1356" s="25" customFormat="1" ht="17.25" customHeight="1"/>
    <row r="1357" s="25" customFormat="1" ht="17.25" customHeight="1"/>
    <row r="1358" s="25" customFormat="1" ht="17.25" customHeight="1"/>
    <row r="1359" s="25" customFormat="1" ht="17.25" customHeight="1"/>
    <row r="1360" s="25" customFormat="1" ht="17.25" customHeight="1"/>
    <row r="1361" s="25" customFormat="1" ht="17.25" customHeight="1"/>
    <row r="1362" s="25" customFormat="1" ht="17.25" customHeight="1"/>
    <row r="1363" s="25" customFormat="1" ht="17.25" customHeight="1"/>
    <row r="1364" s="25" customFormat="1" ht="17.25" customHeight="1"/>
    <row r="1365" s="25" customFormat="1" ht="17.25" customHeight="1"/>
    <row r="1366" s="25" customFormat="1" ht="17.25" customHeight="1"/>
    <row r="1367" s="25" customFormat="1" ht="17.25" customHeight="1"/>
    <row r="1368" s="25" customFormat="1" ht="17.25" customHeight="1"/>
    <row r="1369" s="25" customFormat="1" ht="17.25" customHeight="1"/>
    <row r="1370" s="25" customFormat="1" ht="17.25" customHeight="1"/>
    <row r="1371" s="25" customFormat="1" ht="17.25" customHeight="1"/>
    <row r="1372" s="25" customFormat="1" ht="17.25" customHeight="1"/>
    <row r="1373" s="25" customFormat="1" ht="17.25" customHeight="1"/>
    <row r="1374" s="25" customFormat="1" ht="17.25" customHeight="1"/>
    <row r="1375" s="25" customFormat="1" ht="17.25" customHeight="1"/>
    <row r="1376" s="25" customFormat="1" ht="17.25" customHeight="1"/>
    <row r="1377" s="25" customFormat="1" ht="17.25" customHeight="1"/>
    <row r="1378" s="25" customFormat="1" ht="17.25" customHeight="1"/>
    <row r="1379" s="25" customFormat="1" ht="17.25" customHeight="1"/>
    <row r="1380" s="25" customFormat="1" ht="17.25" customHeight="1"/>
    <row r="1381" s="25" customFormat="1" ht="17.25" customHeight="1"/>
    <row r="1382" s="25" customFormat="1" ht="17.25" customHeight="1"/>
    <row r="1383" s="25" customFormat="1" ht="17.25" customHeight="1"/>
    <row r="1384" s="25" customFormat="1" ht="17.25" customHeight="1"/>
    <row r="1385" s="25" customFormat="1" ht="17.25" customHeight="1"/>
    <row r="1386" s="25" customFormat="1" ht="17.25" customHeight="1"/>
    <row r="1387" s="25" customFormat="1" ht="17.25" customHeight="1"/>
    <row r="1388" s="25" customFormat="1" ht="17.25" customHeight="1"/>
    <row r="1389" s="25" customFormat="1" ht="17.25" customHeight="1"/>
    <row r="1390" s="25" customFormat="1" ht="17.25" customHeight="1"/>
    <row r="1391" s="25" customFormat="1" ht="17.25" customHeight="1"/>
    <row r="1392" s="25" customFormat="1" ht="17.25" customHeight="1"/>
    <row r="1393" s="25" customFormat="1" ht="17.25" customHeight="1"/>
    <row r="1394" s="25" customFormat="1" ht="17.25" customHeight="1"/>
    <row r="1395" s="25" customFormat="1" ht="17.25" customHeight="1"/>
    <row r="1396" s="25" customFormat="1" ht="17.25" customHeight="1"/>
    <row r="1397" s="25" customFormat="1" ht="17.25" customHeight="1"/>
    <row r="1398" s="25" customFormat="1" ht="17.25" customHeight="1"/>
    <row r="1399" s="25" customFormat="1" ht="17.25" customHeight="1"/>
    <row r="1400" s="25" customFormat="1" ht="17.25" customHeight="1"/>
    <row r="1401" s="25" customFormat="1" ht="17.25" customHeight="1"/>
    <row r="1402" s="25" customFormat="1" ht="17.25" customHeight="1"/>
    <row r="1403" s="25" customFormat="1" ht="17.25" customHeight="1"/>
    <row r="1404" s="25" customFormat="1" ht="17.25" customHeight="1"/>
    <row r="1405" s="25" customFormat="1" ht="17.25" customHeight="1"/>
    <row r="1406" s="25" customFormat="1" ht="17.25" customHeight="1"/>
    <row r="1407" s="25" customFormat="1" ht="17.25" customHeight="1"/>
    <row r="1408" s="25" customFormat="1" ht="17.25" customHeight="1"/>
    <row r="1409" s="25" customFormat="1" ht="17.25" customHeight="1"/>
    <row r="1410" s="25" customFormat="1" ht="17.25" customHeight="1"/>
    <row r="1411" s="25" customFormat="1" ht="17.25" customHeight="1"/>
    <row r="1412" s="25" customFormat="1" ht="17.25" customHeight="1"/>
    <row r="1413" s="25" customFormat="1" ht="17.25" customHeight="1"/>
    <row r="1414" s="25" customFormat="1" ht="17.25" customHeight="1"/>
    <row r="1415" s="25" customFormat="1" ht="17.25" customHeight="1"/>
    <row r="1416" s="25" customFormat="1" ht="17.25" customHeight="1"/>
    <row r="1417" s="25" customFormat="1" ht="17.25" customHeight="1"/>
    <row r="1418" s="25" customFormat="1" ht="17.25" customHeight="1"/>
    <row r="1419" s="25" customFormat="1" ht="17.25" customHeight="1"/>
    <row r="1420" s="25" customFormat="1" ht="17.25" customHeight="1"/>
    <row r="1421" s="25" customFormat="1" ht="17.25" customHeight="1"/>
    <row r="1422" s="25" customFormat="1" ht="17.25" customHeight="1"/>
    <row r="1423" s="25" customFormat="1" ht="17.25" customHeight="1"/>
    <row r="1424" s="25" customFormat="1" ht="17.25" customHeight="1"/>
    <row r="1425" s="25" customFormat="1" ht="17.25" customHeight="1"/>
    <row r="1426" s="25" customFormat="1" ht="17.25" customHeight="1"/>
    <row r="1427" s="25" customFormat="1" ht="17.25" customHeight="1"/>
    <row r="1428" s="25" customFormat="1" ht="17.25" customHeight="1"/>
    <row r="1429" s="25" customFormat="1" ht="17.25" customHeight="1"/>
    <row r="1430" s="25" customFormat="1" ht="17.25" customHeight="1"/>
    <row r="1431" s="25" customFormat="1" ht="17.25" customHeight="1"/>
    <row r="1432" s="25" customFormat="1" ht="17.25" customHeight="1"/>
    <row r="1433" s="25" customFormat="1" ht="17.25" customHeight="1"/>
    <row r="1434" s="25" customFormat="1" ht="17.25" customHeight="1"/>
    <row r="1435" s="25" customFormat="1" ht="17.25" customHeight="1"/>
    <row r="1436" s="25" customFormat="1" ht="17.25" customHeight="1"/>
    <row r="1437" s="25" customFormat="1" ht="17.25" customHeight="1"/>
    <row r="1438" s="25" customFormat="1" ht="17.25" customHeight="1"/>
    <row r="1439" s="25" customFormat="1" ht="17.25" customHeight="1"/>
    <row r="1440" s="25" customFormat="1" ht="17.25" customHeight="1"/>
    <row r="1441" s="25" customFormat="1" ht="17.25" customHeight="1"/>
    <row r="1442" s="25" customFormat="1" ht="17.25" customHeight="1"/>
    <row r="1443" s="25" customFormat="1" ht="17.25" customHeight="1"/>
    <row r="1444" s="25" customFormat="1" ht="17.25" customHeight="1"/>
    <row r="1445" s="25" customFormat="1" ht="17.25" customHeight="1"/>
    <row r="1446" s="25" customFormat="1" ht="17.25" customHeight="1"/>
    <row r="1447" s="25" customFormat="1" ht="17.25" customHeight="1"/>
    <row r="1448" s="25" customFormat="1" ht="17.25" customHeight="1"/>
    <row r="1449" s="25" customFormat="1" ht="17.25" customHeight="1"/>
    <row r="1450" s="25" customFormat="1" ht="17.25" customHeight="1"/>
    <row r="1451" s="25" customFormat="1" ht="17.25" customHeight="1"/>
    <row r="1452" s="25" customFormat="1" ht="17.25" customHeight="1"/>
    <row r="1453" s="25" customFormat="1" ht="17.25" customHeight="1"/>
    <row r="1454" s="25" customFormat="1" ht="17.25" customHeight="1"/>
    <row r="1455" s="25" customFormat="1" ht="17.25" customHeight="1"/>
    <row r="1456" s="25" customFormat="1" ht="17.25" customHeight="1"/>
    <row r="1457" s="25" customFormat="1" ht="17.25" customHeight="1"/>
    <row r="1458" s="25" customFormat="1" ht="17.25" customHeight="1"/>
    <row r="1459" s="25" customFormat="1" ht="17.25" customHeight="1"/>
    <row r="1460" s="25" customFormat="1" ht="17.25" customHeight="1"/>
    <row r="1461" s="25" customFormat="1" ht="17.25" customHeight="1"/>
    <row r="1462" s="25" customFormat="1" ht="17.25" customHeight="1"/>
    <row r="1463" s="25" customFormat="1" ht="17.25" customHeight="1"/>
    <row r="1464" s="25" customFormat="1" ht="17.25" customHeight="1"/>
    <row r="1465" s="25" customFormat="1" ht="17.25" customHeight="1"/>
    <row r="1466" s="25" customFormat="1" ht="17.25" customHeight="1"/>
    <row r="1467" s="25" customFormat="1" ht="17.25" customHeight="1"/>
    <row r="1468" s="25" customFormat="1" ht="17.25" customHeight="1"/>
    <row r="1469" s="25" customFormat="1" ht="17.25" customHeight="1"/>
    <row r="1470" s="25" customFormat="1" ht="17.25" customHeight="1"/>
    <row r="1471" s="25" customFormat="1" ht="17.25" customHeight="1"/>
    <row r="1472" s="25" customFormat="1" ht="17.25" customHeight="1"/>
    <row r="1473" s="25" customFormat="1" ht="17.25" customHeight="1"/>
    <row r="1474" s="25" customFormat="1" ht="17.25" customHeight="1"/>
    <row r="1475" s="25" customFormat="1" ht="17.25" customHeight="1"/>
    <row r="1476" s="25" customFormat="1" ht="17.25" customHeight="1"/>
    <row r="1477" s="25" customFormat="1" ht="17.25" customHeight="1"/>
    <row r="1478" s="25" customFormat="1" ht="17.25" customHeight="1"/>
    <row r="1479" s="25" customFormat="1" ht="17.25" customHeight="1"/>
    <row r="1480" s="25" customFormat="1" ht="17.25" customHeight="1"/>
    <row r="1481" s="25" customFormat="1" ht="17.25" customHeight="1"/>
    <row r="1482" s="25" customFormat="1" ht="17.25" customHeight="1"/>
    <row r="1483" s="25" customFormat="1" ht="17.25" customHeight="1"/>
    <row r="1484" s="25" customFormat="1" ht="17.25" customHeight="1"/>
    <row r="1485" s="25" customFormat="1" ht="17.25" customHeight="1"/>
    <row r="1486" s="25" customFormat="1" ht="17.25" customHeight="1"/>
    <row r="1487" s="25" customFormat="1" ht="17.25" customHeight="1"/>
    <row r="1488" s="25" customFormat="1" ht="17.25" customHeight="1"/>
    <row r="1489" s="25" customFormat="1" ht="17.25" customHeight="1"/>
    <row r="1490" s="25" customFormat="1" ht="17.25" customHeight="1"/>
    <row r="1491" s="25" customFormat="1" ht="17.25" customHeight="1"/>
    <row r="1492" s="25" customFormat="1" ht="17.25" customHeight="1"/>
    <row r="1493" s="25" customFormat="1" ht="17.25" customHeight="1"/>
    <row r="1494" s="25" customFormat="1" ht="17.25" customHeight="1"/>
    <row r="1495" s="25" customFormat="1" ht="17.25" customHeight="1"/>
    <row r="1496" s="25" customFormat="1" ht="17.25" customHeight="1"/>
    <row r="1497" s="25" customFormat="1" ht="17.25" customHeight="1"/>
    <row r="1498" s="25" customFormat="1" ht="17.25" customHeight="1"/>
    <row r="1499" s="25" customFormat="1" ht="17.25" customHeight="1"/>
    <row r="1500" s="25" customFormat="1" ht="17.25" customHeight="1"/>
    <row r="1501" s="25" customFormat="1" ht="17.25" customHeight="1"/>
    <row r="1502" s="25" customFormat="1" ht="17.25" customHeight="1"/>
    <row r="1503" s="25" customFormat="1" ht="17.25" customHeight="1"/>
    <row r="1504" s="25" customFormat="1" ht="17.25" customHeight="1"/>
    <row r="1505" s="25" customFormat="1" ht="17.25" customHeight="1"/>
    <row r="1506" s="25" customFormat="1" ht="17.25" customHeight="1"/>
    <row r="1507" s="25" customFormat="1" ht="17.25" customHeight="1"/>
    <row r="1508" s="25" customFormat="1" ht="17.25" customHeight="1"/>
    <row r="1509" s="25" customFormat="1" ht="17.25" customHeight="1"/>
    <row r="1510" s="25" customFormat="1" ht="17.25" customHeight="1"/>
    <row r="1511" s="25" customFormat="1" ht="17.25" customHeight="1"/>
    <row r="1512" s="25" customFormat="1" ht="17.25" customHeight="1"/>
    <row r="1513" s="25" customFormat="1" ht="17.25" customHeight="1"/>
    <row r="1514" s="25" customFormat="1" ht="17.25" customHeight="1"/>
    <row r="1515" s="25" customFormat="1" ht="17.25" customHeight="1"/>
    <row r="1516" s="25" customFormat="1" ht="17.25" customHeight="1"/>
    <row r="1517" s="25" customFormat="1" ht="17.25" customHeight="1"/>
    <row r="1518" s="25" customFormat="1" ht="17.25" customHeight="1"/>
    <row r="1519" s="25" customFormat="1" ht="17.25" customHeight="1"/>
    <row r="1520" s="25" customFormat="1" ht="17.25" customHeight="1"/>
    <row r="1521" s="25" customFormat="1" ht="17.25" customHeight="1"/>
    <row r="1522" s="25" customFormat="1" ht="17.25" customHeight="1"/>
    <row r="1523" s="25" customFormat="1" ht="17.25" customHeight="1"/>
    <row r="1524" s="25" customFormat="1" ht="17.25" customHeight="1"/>
    <row r="1525" s="25" customFormat="1" ht="17.25" customHeight="1"/>
    <row r="1526" s="25" customFormat="1" ht="17.25" customHeight="1"/>
    <row r="1527" s="25" customFormat="1" ht="17.25" customHeight="1"/>
    <row r="1528" s="25" customFormat="1" ht="17.25" customHeight="1"/>
    <row r="1529" s="25" customFormat="1" ht="17.25" customHeight="1"/>
    <row r="1530" s="25" customFormat="1" ht="17.25" customHeight="1"/>
    <row r="1531" s="25" customFormat="1" ht="17.25" customHeight="1"/>
    <row r="1532" s="25" customFormat="1" ht="17.25" customHeight="1"/>
    <row r="1533" s="25" customFormat="1" ht="17.25" customHeight="1"/>
    <row r="1534" s="25" customFormat="1" ht="17.25" customHeight="1"/>
    <row r="1535" s="25" customFormat="1" ht="17.25" customHeight="1"/>
    <row r="1536" s="25" customFormat="1" ht="17.25" customHeight="1"/>
    <row r="1537" s="25" customFormat="1" ht="17.25" customHeight="1"/>
    <row r="1538" s="25" customFormat="1" ht="17.25" customHeight="1"/>
    <row r="1539" s="25" customFormat="1" ht="17.25" customHeight="1"/>
    <row r="1540" s="25" customFormat="1" ht="17.25" customHeight="1"/>
    <row r="1541" s="25" customFormat="1" ht="17.25" customHeight="1"/>
    <row r="1542" s="25" customFormat="1" ht="17.25" customHeight="1"/>
    <row r="1543" s="25" customFormat="1" ht="17.25" customHeight="1"/>
    <row r="1544" s="25" customFormat="1" ht="17.25" customHeight="1"/>
    <row r="1545" s="25" customFormat="1" ht="17.25" customHeight="1"/>
    <row r="1546" s="25" customFormat="1" ht="17.25" customHeight="1"/>
    <row r="1547" s="25" customFormat="1" ht="17.25" customHeight="1"/>
    <row r="1548" s="25" customFormat="1" ht="17.25" customHeight="1"/>
    <row r="1549" s="25" customFormat="1" ht="17.25" customHeight="1"/>
    <row r="1550" s="25" customFormat="1" ht="17.25" customHeight="1"/>
    <row r="1551" s="25" customFormat="1" ht="17.25" customHeight="1"/>
    <row r="1552" s="25" customFormat="1" ht="17.25" customHeight="1"/>
    <row r="1553" s="25" customFormat="1" ht="17.25" customHeight="1"/>
    <row r="1554" s="25" customFormat="1" ht="17.25" customHeight="1"/>
    <row r="1555" s="25" customFormat="1" ht="17.25" customHeight="1"/>
    <row r="1556" s="25" customFormat="1" ht="17.25" customHeight="1"/>
    <row r="1557" s="25" customFormat="1" ht="17.25" customHeight="1"/>
    <row r="1558" s="25" customFormat="1" ht="17.25" customHeight="1"/>
    <row r="1559" s="25" customFormat="1" ht="17.25" customHeight="1"/>
    <row r="1560" s="25" customFormat="1" ht="17.25" customHeight="1"/>
    <row r="1561" s="25" customFormat="1" ht="17.25" customHeight="1"/>
    <row r="1562" s="25" customFormat="1" ht="17.25" customHeight="1"/>
    <row r="1563" s="25" customFormat="1" ht="17.25" customHeight="1"/>
    <row r="1564" s="25" customFormat="1" ht="17.25" customHeight="1"/>
    <row r="1565" s="25" customFormat="1" ht="17.25" customHeight="1"/>
    <row r="1566" s="25" customFormat="1" ht="17.25" customHeight="1"/>
    <row r="1567" s="25" customFormat="1" ht="17.25" customHeight="1"/>
    <row r="1568" s="25" customFormat="1" ht="17.25" customHeight="1"/>
    <row r="1569" s="25" customFormat="1" ht="17.25" customHeight="1"/>
    <row r="1570" s="25" customFormat="1" ht="17.25" customHeight="1"/>
    <row r="1571" s="25" customFormat="1" ht="17.25" customHeight="1"/>
    <row r="1572" s="25" customFormat="1" ht="17.25" customHeight="1"/>
    <row r="1573" s="25" customFormat="1" ht="17.25" customHeight="1"/>
    <row r="1574" s="25" customFormat="1" ht="17.25" customHeight="1"/>
    <row r="1575" s="25" customFormat="1" ht="17.25" customHeight="1"/>
    <row r="1576" s="25" customFormat="1" ht="17.25" customHeight="1"/>
    <row r="1577" s="25" customFormat="1" ht="17.25" customHeight="1"/>
    <row r="1578" s="25" customFormat="1" ht="17.25" customHeight="1"/>
    <row r="1579" s="25" customFormat="1" ht="17.25" customHeight="1"/>
    <row r="1580" s="25" customFormat="1" ht="17.25" customHeight="1"/>
    <row r="1581" s="25" customFormat="1" ht="17.25" customHeight="1"/>
    <row r="1582" s="25" customFormat="1" ht="17.25" customHeight="1"/>
    <row r="1583" s="25" customFormat="1" ht="17.25" customHeight="1"/>
    <row r="1584" s="25" customFormat="1" ht="17.25" customHeight="1"/>
    <row r="1585" s="25" customFormat="1" ht="17.25" customHeight="1"/>
    <row r="1586" s="25" customFormat="1" ht="17.25" customHeight="1"/>
    <row r="1587" s="25" customFormat="1" ht="17.25" customHeight="1"/>
    <row r="1588" s="25" customFormat="1" ht="17.25" customHeight="1"/>
    <row r="1589" s="25" customFormat="1" ht="17.25" customHeight="1"/>
    <row r="1590" s="25" customFormat="1" ht="17.25" customHeight="1"/>
    <row r="1591" s="25" customFormat="1" ht="17.25" customHeight="1"/>
    <row r="1592" s="25" customFormat="1" ht="17.25" customHeight="1"/>
    <row r="1593" s="25" customFormat="1" ht="17.25" customHeight="1"/>
    <row r="1594" s="25" customFormat="1" ht="17.25" customHeight="1"/>
    <row r="1595" s="25" customFormat="1" ht="17.25" customHeight="1"/>
    <row r="1596" s="25" customFormat="1" ht="17.25" customHeight="1"/>
    <row r="1597" s="25" customFormat="1" ht="17.25" customHeight="1"/>
    <row r="1598" s="25" customFormat="1" ht="17.25" customHeight="1"/>
    <row r="1599" s="25" customFormat="1" ht="17.25" customHeight="1"/>
    <row r="1600" s="25" customFormat="1" ht="17.25" customHeight="1"/>
    <row r="1601" s="25" customFormat="1" ht="17.25" customHeight="1"/>
    <row r="1602" s="25" customFormat="1" ht="17.25" customHeight="1"/>
    <row r="1603" s="25" customFormat="1" ht="17.25" customHeight="1"/>
    <row r="1604" s="25" customFormat="1" ht="17.25" customHeight="1"/>
    <row r="1605" s="25" customFormat="1" ht="17.25" customHeight="1"/>
    <row r="1606" s="25" customFormat="1" ht="17.25" customHeight="1"/>
    <row r="1607" s="25" customFormat="1" ht="17.25" customHeight="1"/>
    <row r="1608" s="25" customFormat="1" ht="17.25" customHeight="1"/>
    <row r="1609" s="25" customFormat="1" ht="17.25" customHeight="1"/>
    <row r="1610" s="25" customFormat="1" ht="17.25" customHeight="1"/>
    <row r="1611" s="25" customFormat="1" ht="17.25" customHeight="1"/>
    <row r="1612" s="25" customFormat="1" ht="17.25" customHeight="1"/>
    <row r="1613" s="25" customFormat="1" ht="17.25" customHeight="1"/>
    <row r="1614" s="25" customFormat="1" ht="17.25" customHeight="1"/>
    <row r="1615" s="25" customFormat="1" ht="17.25" customHeight="1"/>
    <row r="1616" s="25" customFormat="1" ht="17.25" customHeight="1"/>
    <row r="1617" s="25" customFormat="1" ht="17.25" customHeight="1"/>
    <row r="1618" s="25" customFormat="1" ht="17.25" customHeight="1"/>
    <row r="1619" s="25" customFormat="1" ht="17.25" customHeight="1"/>
    <row r="1620" s="25" customFormat="1" ht="17.25" customHeight="1"/>
    <row r="1621" s="25" customFormat="1" ht="17.25" customHeight="1"/>
    <row r="1622" s="25" customFormat="1" ht="17.25" customHeight="1"/>
    <row r="1623" s="25" customFormat="1" ht="17.25" customHeight="1"/>
    <row r="1624" s="25" customFormat="1" ht="17.25" customHeight="1"/>
    <row r="1625" s="25" customFormat="1" ht="17.25" customHeight="1"/>
    <row r="1626" s="25" customFormat="1" ht="17.25" customHeight="1"/>
    <row r="1627" s="25" customFormat="1" ht="17.25" customHeight="1"/>
    <row r="1628" s="25" customFormat="1" ht="17.25" customHeight="1"/>
    <row r="1629" s="25" customFormat="1" ht="17.25" customHeight="1"/>
    <row r="1630" s="25" customFormat="1" ht="17.25" customHeight="1"/>
    <row r="1631" s="25" customFormat="1" ht="17.25" customHeight="1"/>
    <row r="1632" s="25" customFormat="1" ht="17.25" customHeight="1"/>
    <row r="1633" s="25" customFormat="1" ht="17.25" customHeight="1"/>
    <row r="1634" s="25" customFormat="1" ht="17.25" customHeight="1"/>
    <row r="1635" s="25" customFormat="1" ht="17.25" customHeight="1"/>
    <row r="1636" s="25" customFormat="1" ht="17.25" customHeight="1"/>
    <row r="1637" s="25" customFormat="1" ht="17.25" customHeight="1"/>
    <row r="1638" s="25" customFormat="1" ht="17.25" customHeight="1"/>
    <row r="1639" s="25" customFormat="1" ht="17.25" customHeight="1"/>
    <row r="1640" s="25" customFormat="1" ht="17.25" customHeight="1"/>
    <row r="1641" s="25" customFormat="1" ht="17.25" customHeight="1"/>
    <row r="1642" s="25" customFormat="1" ht="17.25" customHeight="1"/>
    <row r="1643" s="25" customFormat="1" ht="17.25" customHeight="1"/>
    <row r="1644" s="25" customFormat="1" ht="17.25" customHeight="1"/>
    <row r="1645" s="25" customFormat="1" ht="17.25" customHeight="1"/>
    <row r="1646" s="25" customFormat="1" ht="17.25" customHeight="1"/>
    <row r="1647" s="25" customFormat="1" ht="17.25" customHeight="1"/>
    <row r="1648" s="25" customFormat="1" ht="17.25" customHeight="1"/>
    <row r="1649" s="25" customFormat="1" ht="17.25" customHeight="1"/>
    <row r="1650" s="25" customFormat="1" ht="17.25" customHeight="1"/>
    <row r="1651" s="25" customFormat="1" ht="17.25" customHeight="1"/>
    <row r="1652" s="25" customFormat="1" ht="17.25" customHeight="1"/>
    <row r="1653" s="25" customFormat="1" ht="17.25" customHeight="1"/>
    <row r="1654" s="25" customFormat="1" ht="17.25" customHeight="1"/>
    <row r="1655" s="25" customFormat="1" ht="17.25" customHeight="1"/>
    <row r="1656" s="25" customFormat="1" ht="17.25" customHeight="1"/>
    <row r="1657" s="25" customFormat="1" ht="17.25" customHeight="1"/>
    <row r="1658" s="25" customFormat="1" ht="17.25" customHeight="1"/>
    <row r="1659" s="25" customFormat="1" ht="17.25" customHeight="1"/>
    <row r="1660" s="25" customFormat="1" ht="17.25" customHeight="1"/>
    <row r="1661" s="25" customFormat="1" ht="17.25" customHeight="1"/>
    <row r="1662" s="25" customFormat="1" ht="17.25" customHeight="1"/>
    <row r="1663" s="25" customFormat="1" ht="17.25" customHeight="1"/>
    <row r="1664" s="25" customFormat="1" ht="17.25" customHeight="1"/>
    <row r="1665" s="25" customFormat="1" ht="17.25" customHeight="1"/>
    <row r="1666" s="25" customFormat="1" ht="17.25" customHeight="1"/>
    <row r="1667" s="25" customFormat="1" ht="17.25" customHeight="1"/>
    <row r="1668" s="25" customFormat="1" ht="17.25" customHeight="1"/>
    <row r="1669" s="25" customFormat="1" ht="17.25" customHeight="1"/>
    <row r="1670" s="25" customFormat="1" ht="17.25" customHeight="1"/>
    <row r="1671" s="25" customFormat="1" ht="17.25" customHeight="1"/>
    <row r="1672" s="25" customFormat="1" ht="17.25" customHeight="1"/>
    <row r="1673" s="25" customFormat="1" ht="17.25" customHeight="1"/>
    <row r="1674" s="25" customFormat="1" ht="17.25" customHeight="1"/>
    <row r="1675" s="25" customFormat="1" ht="17.25" customHeight="1"/>
    <row r="1676" s="25" customFormat="1" ht="17.25" customHeight="1"/>
    <row r="1677" s="25" customFormat="1" ht="17.25" customHeight="1"/>
    <row r="1678" s="25" customFormat="1" ht="17.25" customHeight="1"/>
    <row r="1679" s="25" customFormat="1" ht="17.25" customHeight="1"/>
    <row r="1680" s="25" customFormat="1" ht="17.25" customHeight="1"/>
    <row r="1681" s="25" customFormat="1" ht="17.25" customHeight="1"/>
    <row r="1682" s="25" customFormat="1" ht="17.25" customHeight="1"/>
    <row r="1683" s="25" customFormat="1" ht="17.25" customHeight="1"/>
    <row r="1684" s="25" customFormat="1" ht="17.25" customHeight="1"/>
    <row r="1685" s="25" customFormat="1" ht="17.25" customHeight="1"/>
    <row r="1686" s="25" customFormat="1" ht="17.25" customHeight="1"/>
    <row r="1687" s="25" customFormat="1" ht="17.25" customHeight="1"/>
    <row r="1688" s="25" customFormat="1" ht="17.25" customHeight="1"/>
    <row r="1689" s="25" customFormat="1" ht="17.25" customHeight="1"/>
    <row r="1690" s="25" customFormat="1" ht="17.25" customHeight="1"/>
    <row r="1691" s="25" customFormat="1" ht="17.25" customHeight="1"/>
    <row r="1692" s="25" customFormat="1" ht="17.25" customHeight="1"/>
    <row r="1693" s="25" customFormat="1" ht="17.25" customHeight="1"/>
    <row r="1694" s="25" customFormat="1" ht="17.25" customHeight="1"/>
    <row r="1695" s="25" customFormat="1" ht="17.25" customHeight="1"/>
    <row r="1696" s="25" customFormat="1" ht="17.25" customHeight="1"/>
    <row r="1697" s="25" customFormat="1" ht="17.25" customHeight="1"/>
    <row r="1698" s="25" customFormat="1" ht="17.25" customHeight="1"/>
    <row r="1699" s="25" customFormat="1" ht="17.25" customHeight="1"/>
    <row r="1700" s="25" customFormat="1" ht="17.25" customHeight="1"/>
    <row r="1701" s="25" customFormat="1" ht="17.25" customHeight="1"/>
    <row r="1702" s="25" customFormat="1" ht="17.25" customHeight="1"/>
    <row r="1703" s="25" customFormat="1" ht="17.25" customHeight="1"/>
    <row r="1704" s="25" customFormat="1" ht="17.25" customHeight="1"/>
    <row r="1705" s="25" customFormat="1" ht="17.25" customHeight="1"/>
    <row r="1706" s="25" customFormat="1" ht="17.25" customHeight="1"/>
    <row r="1707" s="25" customFormat="1" ht="17.25" customHeight="1"/>
    <row r="1708" s="25" customFormat="1" ht="17.25" customHeight="1"/>
    <row r="1709" s="25" customFormat="1" ht="17.25" customHeight="1"/>
    <row r="1710" s="25" customFormat="1" ht="17.25" customHeight="1"/>
    <row r="1711" s="25" customFormat="1" ht="17.25" customHeight="1"/>
    <row r="1712" s="25" customFormat="1" ht="17.25" customHeight="1"/>
    <row r="1713" s="25" customFormat="1" ht="17.25" customHeight="1"/>
    <row r="1714" s="25" customFormat="1" ht="17.25" customHeight="1"/>
    <row r="1715" s="25" customFormat="1" ht="17.25" customHeight="1"/>
    <row r="1716" s="25" customFormat="1" ht="17.25" customHeight="1"/>
    <row r="1717" s="25" customFormat="1" ht="17.25" customHeight="1"/>
    <row r="1718" s="25" customFormat="1" ht="17.25" customHeight="1"/>
    <row r="1719" s="25" customFormat="1" ht="17.25" customHeight="1"/>
    <row r="1720" s="25" customFormat="1" ht="17.25" customHeight="1"/>
    <row r="1721" s="25" customFormat="1" ht="17.25" customHeight="1"/>
    <row r="1722" s="25" customFormat="1" ht="17.25" customHeight="1"/>
    <row r="1723" s="25" customFormat="1" ht="17.25" customHeight="1"/>
    <row r="1724" s="25" customFormat="1" ht="17.25" customHeight="1"/>
    <row r="1725" s="25" customFormat="1" ht="17.25" customHeight="1"/>
    <row r="1726" s="25" customFormat="1" ht="17.25" customHeight="1"/>
    <row r="1727" s="25" customFormat="1" ht="17.25" customHeight="1"/>
    <row r="1728" s="25" customFormat="1" ht="17.25" customHeight="1"/>
    <row r="1729" s="25" customFormat="1" ht="17.25" customHeight="1"/>
    <row r="1730" s="25" customFormat="1" ht="17.25" customHeight="1"/>
    <row r="1731" s="25" customFormat="1" ht="17.25" customHeight="1"/>
    <row r="1732" s="25" customFormat="1" ht="17.25" customHeight="1"/>
    <row r="1733" s="25" customFormat="1" ht="17.25" customHeight="1"/>
    <row r="1734" s="25" customFormat="1" ht="17.25" customHeight="1"/>
    <row r="1735" s="25" customFormat="1" ht="17.25" customHeight="1"/>
    <row r="1736" s="25" customFormat="1" ht="17.25" customHeight="1"/>
    <row r="1737" s="25" customFormat="1" ht="17.25" customHeight="1"/>
    <row r="1738" s="25" customFormat="1" ht="17.25" customHeight="1"/>
    <row r="1739" s="25" customFormat="1" ht="17.25" customHeight="1"/>
    <row r="1740" s="25" customFormat="1" ht="17.25" customHeight="1"/>
    <row r="1741" s="25" customFormat="1" ht="17.25" customHeight="1"/>
    <row r="1742" s="25" customFormat="1" ht="17.25" customHeight="1"/>
    <row r="1743" s="25" customFormat="1" ht="17.25" customHeight="1"/>
    <row r="1744" s="25" customFormat="1" ht="17.25" customHeight="1"/>
    <row r="1745" s="25" customFormat="1" ht="17.25" customHeight="1"/>
    <row r="1746" s="25" customFormat="1" ht="17.25" customHeight="1"/>
    <row r="1747" s="25" customFormat="1" ht="17.25" customHeight="1"/>
    <row r="1748" s="25" customFormat="1" ht="17.25" customHeight="1"/>
    <row r="1749" s="25" customFormat="1" ht="17.25" customHeight="1"/>
    <row r="1750" s="25" customFormat="1" ht="17.25" customHeight="1"/>
    <row r="1751" s="25" customFormat="1" ht="17.25" customHeight="1"/>
    <row r="1752" s="25" customFormat="1" ht="17.25" customHeight="1"/>
    <row r="1753" s="25" customFormat="1" ht="17.25" customHeight="1"/>
    <row r="1754" s="25" customFormat="1" ht="17.25" customHeight="1"/>
    <row r="1755" s="25" customFormat="1" ht="17.25" customHeight="1"/>
    <row r="1756" s="25" customFormat="1" ht="17.25" customHeight="1"/>
    <row r="1757" s="25" customFormat="1" ht="17.25" customHeight="1"/>
    <row r="1758" s="25" customFormat="1" ht="17.25" customHeight="1"/>
    <row r="1759" s="25" customFormat="1" ht="17.25" customHeight="1"/>
    <row r="1760" s="25" customFormat="1" ht="17.25" customHeight="1"/>
    <row r="1761" s="25" customFormat="1" ht="17.25" customHeight="1"/>
    <row r="1762" s="25" customFormat="1" ht="17.25" customHeight="1"/>
    <row r="1763" s="25" customFormat="1" ht="17.25" customHeight="1"/>
    <row r="1764" s="25" customFormat="1" ht="17.25" customHeight="1"/>
    <row r="1765" s="25" customFormat="1" ht="17.25" customHeight="1"/>
    <row r="1766" s="25" customFormat="1" ht="17.25" customHeight="1"/>
    <row r="1767" s="25" customFormat="1" ht="17.25" customHeight="1"/>
    <row r="1768" s="25" customFormat="1" ht="17.25" customHeight="1"/>
    <row r="1769" s="25" customFormat="1" ht="17.25" customHeight="1"/>
    <row r="1770" s="25" customFormat="1" ht="17.25" customHeight="1"/>
    <row r="1771" s="25" customFormat="1" ht="17.25" customHeight="1"/>
    <row r="1772" s="25" customFormat="1" ht="17.25" customHeight="1"/>
    <row r="1773" s="25" customFormat="1" ht="17.25" customHeight="1"/>
    <row r="1774" s="25" customFormat="1" ht="17.25" customHeight="1"/>
    <row r="1775" s="25" customFormat="1" ht="17.25" customHeight="1"/>
    <row r="1776" s="25" customFormat="1" ht="17.25" customHeight="1"/>
    <row r="1777" s="25" customFormat="1" ht="17.25" customHeight="1"/>
    <row r="1778" s="25" customFormat="1" ht="17.25" customHeight="1"/>
    <row r="1779" s="25" customFormat="1" ht="17.25" customHeight="1"/>
    <row r="1780" s="25" customFormat="1" ht="17.25" customHeight="1"/>
    <row r="1781" s="25" customFormat="1" ht="17.25" customHeight="1"/>
    <row r="1782" s="25" customFormat="1" ht="17.25" customHeight="1"/>
    <row r="1783" s="25" customFormat="1" ht="17.25" customHeight="1"/>
    <row r="1784" s="25" customFormat="1" ht="17.25" customHeight="1"/>
    <row r="1785" s="25" customFormat="1" ht="17.25" customHeight="1"/>
    <row r="1786" s="25" customFormat="1" ht="17.25" customHeight="1"/>
    <row r="1787" s="25" customFormat="1" ht="17.25" customHeight="1"/>
    <row r="1788" s="25" customFormat="1" ht="17.25" customHeight="1"/>
    <row r="1789" s="25" customFormat="1" ht="17.25" customHeight="1"/>
    <row r="1790" s="25" customFormat="1" ht="17.25" customHeight="1"/>
    <row r="1791" s="25" customFormat="1" ht="17.25" customHeight="1"/>
    <row r="1792" s="25" customFormat="1" ht="17.25" customHeight="1"/>
    <row r="1793" s="25" customFormat="1" ht="17.25" customHeight="1"/>
    <row r="1794" s="25" customFormat="1" ht="17.25" customHeight="1"/>
    <row r="1795" s="25" customFormat="1" ht="17.25" customHeight="1"/>
    <row r="1796" s="25" customFormat="1" ht="17.25" customHeight="1"/>
    <row r="1797" s="25" customFormat="1" ht="17.25" customHeight="1"/>
    <row r="1798" s="25" customFormat="1" ht="17.25" customHeight="1"/>
    <row r="1799" s="25" customFormat="1" ht="17.25" customHeight="1"/>
    <row r="1800" s="25" customFormat="1" ht="17.25" customHeight="1"/>
    <row r="1801" s="25" customFormat="1" ht="17.25" customHeight="1"/>
    <row r="1802" s="25" customFormat="1" ht="17.25" customHeight="1"/>
    <row r="1803" s="25" customFormat="1" ht="17.25" customHeight="1"/>
    <row r="1804" s="25" customFormat="1" ht="17.25" customHeight="1"/>
    <row r="1805" s="25" customFormat="1" ht="17.25" customHeight="1"/>
    <row r="1806" s="25" customFormat="1" ht="17.25" customHeight="1"/>
    <row r="1807" s="25" customFormat="1" ht="17.25" customHeight="1"/>
    <row r="1808" s="25" customFormat="1" ht="17.25" customHeight="1"/>
    <row r="1809" s="25" customFormat="1" ht="17.25" customHeight="1"/>
    <row r="1810" s="25" customFormat="1" ht="17.25" customHeight="1"/>
    <row r="1811" s="25" customFormat="1" ht="17.25" customHeight="1"/>
    <row r="1812" s="25" customFormat="1" ht="17.25" customHeight="1"/>
    <row r="1813" s="25" customFormat="1" ht="17.25" customHeight="1"/>
    <row r="1814" s="25" customFormat="1" ht="17.25" customHeight="1"/>
    <row r="1815" s="25" customFormat="1" ht="17.25" customHeight="1"/>
    <row r="1816" s="25" customFormat="1" ht="17.25" customHeight="1"/>
    <row r="1817" s="25" customFormat="1" ht="17.25" customHeight="1"/>
    <row r="1818" s="25" customFormat="1" ht="17.25" customHeight="1"/>
    <row r="1819" s="25" customFormat="1" ht="17.25" customHeight="1"/>
    <row r="1820" s="25" customFormat="1" ht="17.25" customHeight="1"/>
    <row r="1821" s="25" customFormat="1" ht="17.25" customHeight="1"/>
    <row r="1822" s="25" customFormat="1" ht="17.25" customHeight="1"/>
    <row r="1823" s="25" customFormat="1" ht="17.25" customHeight="1"/>
    <row r="1824" s="25" customFormat="1" ht="17.25" customHeight="1"/>
    <row r="1825" s="25" customFormat="1" ht="17.25" customHeight="1"/>
    <row r="1826" s="25" customFormat="1" ht="17.25" customHeight="1"/>
    <row r="1827" s="25" customFormat="1" ht="17.25" customHeight="1"/>
    <row r="1828" s="25" customFormat="1" ht="17.25" customHeight="1"/>
    <row r="1829" s="25" customFormat="1" ht="17.25" customHeight="1"/>
    <row r="1830" s="25" customFormat="1" ht="17.25" customHeight="1"/>
    <row r="1831" s="25" customFormat="1" ht="17.25" customHeight="1"/>
    <row r="1832" s="25" customFormat="1" ht="17.25" customHeight="1"/>
    <row r="1833" s="25" customFormat="1" ht="17.25" customHeight="1"/>
    <row r="1834" s="25" customFormat="1" ht="17.25" customHeight="1"/>
    <row r="1835" s="25" customFormat="1" ht="17.25" customHeight="1"/>
    <row r="1836" s="25" customFormat="1" ht="17.25" customHeight="1"/>
    <row r="1837" s="25" customFormat="1" ht="17.25" customHeight="1"/>
    <row r="1838" s="25" customFormat="1" ht="17.25" customHeight="1"/>
    <row r="1839" s="25" customFormat="1" ht="17.25" customHeight="1"/>
    <row r="1840" s="25" customFormat="1" ht="17.25" customHeight="1"/>
    <row r="1841" s="25" customFormat="1" ht="17.25" customHeight="1"/>
    <row r="1842" s="25" customFormat="1" ht="17.25" customHeight="1"/>
    <row r="1843" s="25" customFormat="1" ht="17.25" customHeight="1"/>
    <row r="1844" s="25" customFormat="1" ht="17.25" customHeight="1"/>
    <row r="1845" s="25" customFormat="1" ht="17.25" customHeight="1"/>
    <row r="1846" s="25" customFormat="1" ht="17.25" customHeight="1"/>
    <row r="1847" s="25" customFormat="1" ht="17.25" customHeight="1"/>
    <row r="1848" s="25" customFormat="1" ht="17.25" customHeight="1"/>
    <row r="1849" s="25" customFormat="1" ht="17.25" customHeight="1"/>
    <row r="1850" s="25" customFormat="1" ht="17.25" customHeight="1"/>
    <row r="1851" s="25" customFormat="1" ht="17.25" customHeight="1"/>
    <row r="1852" s="25" customFormat="1" ht="17.25" customHeight="1"/>
    <row r="1853" s="25" customFormat="1" ht="17.25" customHeight="1"/>
    <row r="1854" s="25" customFormat="1" ht="17.25" customHeight="1"/>
    <row r="1855" s="25" customFormat="1" ht="17.25" customHeight="1"/>
    <row r="1856" s="25" customFormat="1" ht="17.25" customHeight="1"/>
    <row r="1857" s="25" customFormat="1" ht="17.25" customHeight="1"/>
    <row r="1858" s="25" customFormat="1" ht="17.25" customHeight="1"/>
    <row r="1859" s="25" customFormat="1" ht="17.25" customHeight="1"/>
    <row r="1860" s="25" customFormat="1" ht="17.25" customHeight="1"/>
    <row r="1861" s="25" customFormat="1" ht="17.25" customHeight="1"/>
    <row r="1862" s="25" customFormat="1" ht="17.25" customHeight="1"/>
    <row r="1863" s="25" customFormat="1" ht="17.25" customHeight="1"/>
    <row r="1864" s="25" customFormat="1" ht="17.25" customHeight="1"/>
    <row r="1865" s="25" customFormat="1" ht="17.25" customHeight="1"/>
    <row r="1866" s="25" customFormat="1" ht="17.25" customHeight="1"/>
    <row r="1867" s="25" customFormat="1" ht="17.25" customHeight="1"/>
    <row r="1868" s="25" customFormat="1" ht="17.25" customHeight="1"/>
    <row r="1869" s="25" customFormat="1" ht="17.25" customHeight="1"/>
    <row r="1870" s="25" customFormat="1" ht="17.25" customHeight="1"/>
    <row r="1871" s="25" customFormat="1" ht="17.25" customHeight="1"/>
    <row r="1872" s="25" customFormat="1" ht="17.25" customHeight="1"/>
    <row r="1873" s="25" customFormat="1" ht="17.25" customHeight="1"/>
    <row r="1874" s="25" customFormat="1" ht="17.25" customHeight="1"/>
    <row r="1875" s="25" customFormat="1" ht="17.25" customHeight="1"/>
    <row r="1876" s="25" customFormat="1" ht="17.25" customHeight="1"/>
    <row r="1877" s="25" customFormat="1" ht="17.25" customHeight="1"/>
    <row r="1878" s="25" customFormat="1" ht="17.25" customHeight="1"/>
    <row r="1879" s="25" customFormat="1" ht="17.25" customHeight="1"/>
    <row r="1880" s="25" customFormat="1" ht="17.25" customHeight="1"/>
    <row r="1881" s="25" customFormat="1" ht="17.25" customHeight="1"/>
    <row r="1882" s="25" customFormat="1" ht="17.25" customHeight="1"/>
    <row r="1883" s="25" customFormat="1" ht="17.25" customHeight="1"/>
    <row r="1884" s="25" customFormat="1" ht="17.25" customHeight="1"/>
    <row r="1885" s="25" customFormat="1" ht="17.25" customHeight="1"/>
    <row r="1886" s="25" customFormat="1" ht="17.25" customHeight="1"/>
    <row r="1887" s="25" customFormat="1" ht="17.25" customHeight="1"/>
    <row r="1888" s="25" customFormat="1" ht="17.25" customHeight="1"/>
    <row r="1889" s="25" customFormat="1" ht="17.25" customHeight="1"/>
    <row r="1890" s="25" customFormat="1" ht="17.25" customHeight="1"/>
    <row r="1891" s="25" customFormat="1" ht="17.25" customHeight="1"/>
    <row r="1892" s="25" customFormat="1" ht="17.25" customHeight="1"/>
    <row r="1893" s="25" customFormat="1" ht="17.25" customHeight="1"/>
    <row r="1894" s="25" customFormat="1" ht="17.25" customHeight="1"/>
    <row r="1895" s="25" customFormat="1" ht="17.25" customHeight="1"/>
    <row r="1896" s="25" customFormat="1" ht="17.25" customHeight="1"/>
    <row r="1897" s="25" customFormat="1" ht="17.25" customHeight="1"/>
    <row r="1898" s="25" customFormat="1" ht="17.25" customHeight="1"/>
    <row r="1899" s="25" customFormat="1" ht="17.25" customHeight="1"/>
    <row r="1900" s="25" customFormat="1" ht="17.25" customHeight="1"/>
    <row r="1901" s="25" customFormat="1" ht="17.25" customHeight="1"/>
    <row r="1902" s="25" customFormat="1" ht="17.25" customHeight="1"/>
    <row r="1903" s="25" customFormat="1" ht="17.25" customHeight="1"/>
    <row r="1904" s="25" customFormat="1" ht="17.25" customHeight="1"/>
    <row r="1905" s="25" customFormat="1" ht="17.25" customHeight="1"/>
    <row r="1906" s="25" customFormat="1" ht="17.25" customHeight="1"/>
    <row r="1907" s="25" customFormat="1" ht="17.25" customHeight="1"/>
    <row r="1908" s="25" customFormat="1" ht="17.25" customHeight="1"/>
    <row r="1909" s="25" customFormat="1" ht="17.25" customHeight="1"/>
    <row r="1910" s="25" customFormat="1" ht="17.25" customHeight="1"/>
    <row r="1911" s="25" customFormat="1" ht="17.25" customHeight="1"/>
    <row r="1912" s="25" customFormat="1" ht="17.25" customHeight="1"/>
    <row r="1913" s="25" customFormat="1" ht="17.25" customHeight="1"/>
    <row r="1914" s="25" customFormat="1" ht="17.25" customHeight="1"/>
    <row r="1915" s="25" customFormat="1" ht="17.25" customHeight="1"/>
    <row r="1916" s="25" customFormat="1" ht="17.25" customHeight="1"/>
    <row r="1917" s="25" customFormat="1" ht="17.25" customHeight="1"/>
    <row r="1918" s="25" customFormat="1" ht="17.25" customHeight="1"/>
    <row r="1919" s="25" customFormat="1" ht="17.25" customHeight="1"/>
    <row r="1920" s="25" customFormat="1" ht="17.25" customHeight="1"/>
    <row r="1921" s="25" customFormat="1" ht="17.25" customHeight="1"/>
    <row r="1922" s="25" customFormat="1" ht="17.25" customHeight="1"/>
    <row r="1923" s="25" customFormat="1" ht="17.25" customHeight="1"/>
    <row r="1924" s="25" customFormat="1" ht="17.25" customHeight="1"/>
    <row r="1925" s="25" customFormat="1" ht="17.25" customHeight="1"/>
    <row r="1926" s="25" customFormat="1" ht="17.25" customHeight="1"/>
    <row r="1927" s="25" customFormat="1" ht="17.25" customHeight="1"/>
    <row r="1928" s="25" customFormat="1" ht="17.25" customHeight="1"/>
    <row r="1929" s="25" customFormat="1" ht="17.25" customHeight="1"/>
    <row r="1930" s="25" customFormat="1" ht="17.25" customHeight="1"/>
    <row r="1931" s="25" customFormat="1" ht="17.25" customHeight="1"/>
    <row r="1932" s="25" customFormat="1" ht="17.25" customHeight="1"/>
    <row r="1933" s="25" customFormat="1" ht="17.25" customHeight="1"/>
    <row r="1934" s="25" customFormat="1" ht="17.25" customHeight="1"/>
    <row r="1935" s="25" customFormat="1" ht="17.25" customHeight="1"/>
    <row r="1936" s="25" customFormat="1" ht="17.25" customHeight="1"/>
    <row r="1937" s="25" customFormat="1" ht="17.25" customHeight="1"/>
    <row r="1938" s="25" customFormat="1" ht="17.25" customHeight="1"/>
    <row r="1939" s="25" customFormat="1" ht="17.25" customHeight="1"/>
    <row r="1940" s="25" customFormat="1" ht="17.25" customHeight="1"/>
    <row r="1941" s="25" customFormat="1" ht="17.25" customHeight="1"/>
    <row r="1942" s="25" customFormat="1" ht="17.25" customHeight="1"/>
    <row r="1943" s="25" customFormat="1" ht="17.25" customHeight="1"/>
    <row r="1944" s="25" customFormat="1" ht="17.25" customHeight="1"/>
    <row r="1945" s="25" customFormat="1" ht="17.25" customHeight="1"/>
    <row r="1946" s="25" customFormat="1" ht="17.25" customHeight="1"/>
    <row r="1947" s="25" customFormat="1" ht="17.25" customHeight="1"/>
    <row r="1948" s="25" customFormat="1" ht="17.25" customHeight="1"/>
    <row r="1949" s="25" customFormat="1" ht="17.25" customHeight="1"/>
    <row r="1950" s="25" customFormat="1" ht="17.25" customHeight="1"/>
    <row r="1951" s="25" customFormat="1" ht="17.25" customHeight="1"/>
    <row r="1952" s="25" customFormat="1" ht="17.25" customHeight="1"/>
    <row r="1953" s="25" customFormat="1" ht="17.25" customHeight="1"/>
    <row r="1954" s="25" customFormat="1" ht="17.25" customHeight="1"/>
    <row r="1955" s="25" customFormat="1" ht="17.25" customHeight="1"/>
    <row r="1956" s="25" customFormat="1" ht="17.25" customHeight="1"/>
    <row r="1957" s="25" customFormat="1" ht="17.25" customHeight="1"/>
    <row r="1958" s="25" customFormat="1" ht="17.25" customHeight="1"/>
    <row r="1959" s="25" customFormat="1" ht="17.25" customHeight="1"/>
    <row r="1960" s="25" customFormat="1" ht="17.25" customHeight="1"/>
    <row r="1961" s="25" customFormat="1" ht="17.25" customHeight="1"/>
    <row r="1962" s="25" customFormat="1" ht="17.25" customHeight="1"/>
    <row r="1963" s="25" customFormat="1" ht="17.25" customHeight="1"/>
    <row r="1964" s="25" customFormat="1" ht="17.25" customHeight="1"/>
    <row r="1965" s="25" customFormat="1" ht="17.25" customHeight="1"/>
    <row r="1966" s="25" customFormat="1" ht="17.25" customHeight="1"/>
    <row r="1967" s="25" customFormat="1" ht="17.25" customHeight="1"/>
    <row r="1968" s="25" customFormat="1" ht="17.25" customHeight="1"/>
    <row r="1969" s="25" customFormat="1" ht="17.25" customHeight="1"/>
    <row r="1970" s="25" customFormat="1" ht="17.25" customHeight="1"/>
    <row r="1971" s="25" customFormat="1" ht="17.25" customHeight="1"/>
    <row r="1972" s="25" customFormat="1" ht="17.25" customHeight="1"/>
    <row r="1973" s="25" customFormat="1" ht="17.25" customHeight="1"/>
    <row r="1974" s="25" customFormat="1" ht="17.25" customHeight="1"/>
    <row r="1975" s="25" customFormat="1" ht="17.25" customHeight="1"/>
    <row r="1976" s="25" customFormat="1" ht="17.25" customHeight="1"/>
    <row r="1977" s="25" customFormat="1" ht="17.25" customHeight="1"/>
    <row r="1978" s="25" customFormat="1" ht="17.25" customHeight="1"/>
    <row r="1979" s="25" customFormat="1" ht="17.25" customHeight="1"/>
    <row r="1980" s="25" customFormat="1" ht="17.25" customHeight="1"/>
    <row r="1981" s="25" customFormat="1" ht="17.25" customHeight="1"/>
    <row r="1982" s="25" customFormat="1" ht="17.25" customHeight="1"/>
    <row r="1983" s="25" customFormat="1" ht="17.25" customHeight="1"/>
    <row r="1984" s="25" customFormat="1" ht="17.25" customHeight="1"/>
    <row r="1985" s="25" customFormat="1" ht="17.25" customHeight="1"/>
    <row r="1986" s="25" customFormat="1" ht="17.25" customHeight="1"/>
    <row r="1987" s="25" customFormat="1" ht="17.25" customHeight="1"/>
    <row r="1988" s="25" customFormat="1" ht="17.25" customHeight="1"/>
    <row r="1989" s="25" customFormat="1" ht="17.25" customHeight="1"/>
    <row r="1990" s="25" customFormat="1" ht="17.25" customHeight="1"/>
    <row r="1991" s="25" customFormat="1" ht="17.25" customHeight="1"/>
    <row r="1992" s="25" customFormat="1" ht="17.25" customHeight="1"/>
    <row r="1993" s="25" customFormat="1" ht="17.25" customHeight="1"/>
    <row r="1994" s="25" customFormat="1" ht="17.25" customHeight="1"/>
    <row r="1995" s="25" customFormat="1" ht="17.25" customHeight="1"/>
    <row r="1996" s="25" customFormat="1" ht="17.25" customHeight="1"/>
    <row r="1997" s="25" customFormat="1" ht="17.25" customHeight="1"/>
    <row r="1998" s="25" customFormat="1" ht="17.25" customHeight="1"/>
    <row r="1999" s="25" customFormat="1" ht="17.25" customHeight="1"/>
    <row r="2000" s="25" customFormat="1" ht="17.25" customHeight="1"/>
    <row r="2001" s="25" customFormat="1" ht="17.25" customHeight="1"/>
    <row r="2002" s="25" customFormat="1" ht="17.25" customHeight="1"/>
    <row r="2003" s="25" customFormat="1" ht="17.25" customHeight="1"/>
    <row r="2004" s="25" customFormat="1" ht="17.25" customHeight="1"/>
    <row r="2005" s="25" customFormat="1" ht="17.25" customHeight="1"/>
    <row r="2006" s="25" customFormat="1" ht="17.25" customHeight="1"/>
    <row r="2007" s="25" customFormat="1" ht="17.25" customHeight="1"/>
    <row r="2008" s="25" customFormat="1" ht="17.25" customHeight="1"/>
    <row r="2009" s="25" customFormat="1" ht="17.25" customHeight="1"/>
    <row r="2010" s="25" customFormat="1" ht="17.25" customHeight="1"/>
    <row r="2011" s="25" customFormat="1" ht="17.25" customHeight="1"/>
    <row r="2012" s="25" customFormat="1" ht="17.25" customHeight="1"/>
    <row r="2013" s="25" customFormat="1" ht="17.25" customHeight="1"/>
    <row r="2014" s="25" customFormat="1" ht="17.25" customHeight="1"/>
    <row r="2015" s="25" customFormat="1" ht="17.25" customHeight="1"/>
    <row r="2016" s="25" customFormat="1" ht="17.25" customHeight="1"/>
    <row r="2017" s="25" customFormat="1" ht="17.25" customHeight="1"/>
    <row r="2018" s="25" customFormat="1" ht="17.25" customHeight="1"/>
    <row r="2019" s="25" customFormat="1" ht="17.25" customHeight="1"/>
    <row r="2020" s="25" customFormat="1" ht="17.25" customHeight="1"/>
    <row r="2021" s="25" customFormat="1" ht="17.25" customHeight="1"/>
    <row r="2022" s="25" customFormat="1" ht="17.25" customHeight="1"/>
    <row r="2023" s="25" customFormat="1" ht="17.25" customHeight="1"/>
    <row r="2024" s="25" customFormat="1" ht="17.25" customHeight="1"/>
    <row r="2025" s="25" customFormat="1" ht="17.25" customHeight="1"/>
    <row r="2026" s="25" customFormat="1" ht="17.25" customHeight="1"/>
    <row r="2027" s="25" customFormat="1" ht="17.25" customHeight="1"/>
    <row r="2028" s="25" customFormat="1" ht="17.25" customHeight="1"/>
    <row r="2029" s="25" customFormat="1" ht="17.25" customHeight="1"/>
    <row r="2030" s="25" customFormat="1" ht="17.25" customHeight="1"/>
    <row r="2031" s="25" customFormat="1" ht="17.25" customHeight="1"/>
    <row r="2032" s="25" customFormat="1" ht="17.25" customHeight="1"/>
    <row r="2033" s="25" customFormat="1" ht="17.25" customHeight="1"/>
    <row r="2034" s="25" customFormat="1" ht="17.25" customHeight="1"/>
    <row r="2035" s="25" customFormat="1" ht="17.25" customHeight="1"/>
    <row r="2036" s="25" customFormat="1" ht="17.25" customHeight="1"/>
    <row r="2037" s="25" customFormat="1" ht="17.25" customHeight="1"/>
    <row r="2038" s="25" customFormat="1" ht="17.25" customHeight="1"/>
    <row r="2039" s="25" customFormat="1" ht="17.25" customHeight="1"/>
    <row r="2040" s="25" customFormat="1" ht="17.25" customHeight="1"/>
    <row r="2041" s="25" customFormat="1" ht="17.25" customHeight="1"/>
    <row r="2042" s="25" customFormat="1" ht="17.25" customHeight="1"/>
    <row r="2043" s="25" customFormat="1" ht="17.25" customHeight="1"/>
    <row r="2044" s="25" customFormat="1" ht="17.25" customHeight="1"/>
    <row r="2045" s="25" customFormat="1" ht="17.25" customHeight="1"/>
    <row r="2046" s="25" customFormat="1" ht="17.25" customHeight="1"/>
    <row r="2047" s="25" customFormat="1" ht="17.25" customHeight="1"/>
    <row r="2048" s="25" customFormat="1" ht="17.25" customHeight="1"/>
    <row r="2049" s="25" customFormat="1" ht="17.25" customHeight="1"/>
    <row r="2050" s="25" customFormat="1" ht="17.25" customHeight="1"/>
    <row r="2051" s="25" customFormat="1" ht="17.25" customHeight="1"/>
    <row r="2052" s="25" customFormat="1" ht="17.25" customHeight="1"/>
    <row r="2053" s="25" customFormat="1" ht="17.25" customHeight="1"/>
    <row r="2054" s="25" customFormat="1" ht="17.25" customHeight="1"/>
    <row r="2055" s="25" customFormat="1" ht="17.25" customHeight="1"/>
    <row r="2056" s="25" customFormat="1" ht="17.25" customHeight="1"/>
    <row r="2057" s="25" customFormat="1" ht="17.25" customHeight="1"/>
    <row r="2058" s="25" customFormat="1" ht="17.25" customHeight="1"/>
    <row r="2059" s="25" customFormat="1" ht="17.25" customHeight="1"/>
    <row r="2060" s="25" customFormat="1" ht="17.25" customHeight="1"/>
    <row r="2061" s="25" customFormat="1" ht="17.25" customHeight="1"/>
    <row r="2062" s="25" customFormat="1" ht="17.25" customHeight="1"/>
    <row r="2063" s="25" customFormat="1" ht="17.25" customHeight="1"/>
    <row r="2064" s="25" customFormat="1" ht="17.25" customHeight="1"/>
    <row r="2065" s="25" customFormat="1" ht="17.25" customHeight="1"/>
    <row r="2066" s="25" customFormat="1" ht="17.25" customHeight="1"/>
    <row r="2067" s="25" customFormat="1" ht="17.25" customHeight="1"/>
    <row r="2068" s="25" customFormat="1" ht="17.25" customHeight="1"/>
    <row r="2069" s="25" customFormat="1" ht="17.25" customHeight="1"/>
    <row r="2070" s="25" customFormat="1" ht="17.25" customHeight="1"/>
    <row r="2071" s="25" customFormat="1" ht="17.25" customHeight="1"/>
    <row r="2072" s="25" customFormat="1" ht="17.25" customHeight="1"/>
    <row r="2073" s="25" customFormat="1" ht="17.25" customHeight="1"/>
    <row r="2074" s="25" customFormat="1" ht="17.25" customHeight="1"/>
    <row r="2075" s="25" customFormat="1" ht="17.25" customHeight="1"/>
    <row r="2076" s="25" customFormat="1" ht="17.25" customHeight="1"/>
    <row r="2077" s="25" customFormat="1" ht="17.25" customHeight="1"/>
    <row r="2078" s="25" customFormat="1" ht="17.25" customHeight="1"/>
    <row r="2079" s="25" customFormat="1" ht="17.25" customHeight="1"/>
    <row r="2080" s="25" customFormat="1" ht="17.25" customHeight="1"/>
    <row r="2081" s="25" customFormat="1" ht="17.25" customHeight="1"/>
    <row r="2082" s="25" customFormat="1" ht="17.25" customHeight="1"/>
    <row r="2083" s="25" customFormat="1" ht="17.25" customHeight="1"/>
    <row r="2084" s="25" customFormat="1" ht="17.25" customHeight="1"/>
    <row r="2085" s="25" customFormat="1" ht="17.25" customHeight="1"/>
    <row r="2086" s="25" customFormat="1" ht="17.25" customHeight="1"/>
    <row r="2087" s="25" customFormat="1" ht="17.25" customHeight="1"/>
    <row r="2088" s="25" customFormat="1" ht="17.25" customHeight="1"/>
    <row r="2089" s="25" customFormat="1" ht="17.25" customHeight="1"/>
    <row r="2090" s="25" customFormat="1" ht="17.25" customHeight="1"/>
    <row r="2091" s="25" customFormat="1" ht="17.25" customHeight="1"/>
    <row r="2092" s="25" customFormat="1" ht="17.25" customHeight="1"/>
    <row r="2093" s="25" customFormat="1" ht="17.25" customHeight="1"/>
    <row r="2094" s="25" customFormat="1" ht="17.25" customHeight="1"/>
    <row r="2095" s="25" customFormat="1" ht="17.25" customHeight="1"/>
    <row r="2096" s="25" customFormat="1" ht="17.25" customHeight="1"/>
    <row r="2097" s="25" customFormat="1" ht="17.25" customHeight="1"/>
    <row r="2098" s="25" customFormat="1" ht="17.25" customHeight="1"/>
    <row r="2099" s="25" customFormat="1" ht="17.25" customHeight="1"/>
    <row r="2100" s="25" customFormat="1" ht="17.25" customHeight="1"/>
    <row r="2101" s="25" customFormat="1" ht="17.25" customHeight="1"/>
    <row r="2102" s="25" customFormat="1" ht="17.25" customHeight="1"/>
    <row r="2103" s="25" customFormat="1" ht="17.25" customHeight="1"/>
    <row r="2104" s="25" customFormat="1" ht="17.25" customHeight="1"/>
    <row r="2105" s="25" customFormat="1" ht="17.25" customHeight="1"/>
    <row r="2106" s="25" customFormat="1" ht="17.25" customHeight="1"/>
    <row r="2107" s="25" customFormat="1" ht="17.25" customHeight="1"/>
    <row r="2108" s="25" customFormat="1" ht="17.25" customHeight="1"/>
    <row r="2109" s="25" customFormat="1" ht="17.25" customHeight="1"/>
    <row r="2110" s="25" customFormat="1" ht="17.25" customHeight="1"/>
    <row r="2111" s="25" customFormat="1" ht="17.25" customHeight="1"/>
    <row r="2112" s="25" customFormat="1" ht="17.25" customHeight="1"/>
    <row r="2113" s="25" customFormat="1" ht="17.25" customHeight="1"/>
    <row r="2114" s="25" customFormat="1" ht="17.25" customHeight="1"/>
    <row r="2115" s="25" customFormat="1" ht="17.25" customHeight="1"/>
    <row r="2116" s="25" customFormat="1" ht="17.25" customHeight="1"/>
    <row r="2117" s="25" customFormat="1" ht="17.25" customHeight="1"/>
    <row r="2118" s="25" customFormat="1" ht="17.25" customHeight="1"/>
    <row r="2119" s="25" customFormat="1" ht="17.25" customHeight="1"/>
    <row r="2120" s="25" customFormat="1" ht="17.25" customHeight="1"/>
    <row r="2121" s="25" customFormat="1" ht="17.25" customHeight="1"/>
    <row r="2122" s="25" customFormat="1" ht="17.25" customHeight="1"/>
    <row r="2123" s="25" customFormat="1" ht="17.25" customHeight="1"/>
    <row r="2124" s="25" customFormat="1" ht="17.25" customHeight="1"/>
    <row r="2125" s="25" customFormat="1" ht="17.25" customHeight="1"/>
    <row r="2126" s="25" customFormat="1" ht="17.25" customHeight="1"/>
    <row r="2127" s="25" customFormat="1" ht="17.25" customHeight="1"/>
    <row r="2128" s="25" customFormat="1" ht="17.25" customHeight="1"/>
    <row r="2129" s="25" customFormat="1" ht="17.25" customHeight="1"/>
    <row r="2130" s="25" customFormat="1" ht="17.25" customHeight="1"/>
    <row r="2131" s="25" customFormat="1" ht="17.25" customHeight="1"/>
    <row r="2132" s="25" customFormat="1" ht="17.25" customHeight="1"/>
    <row r="2133" s="25" customFormat="1" ht="17.25" customHeight="1"/>
    <row r="2134" s="25" customFormat="1" ht="17.25" customHeight="1"/>
    <row r="2135" s="25" customFormat="1" ht="17.25" customHeight="1"/>
    <row r="2136" s="25" customFormat="1" ht="17.25" customHeight="1"/>
    <row r="2137" s="25" customFormat="1" ht="17.25" customHeight="1"/>
    <row r="2138" s="25" customFormat="1" ht="17.25" customHeight="1"/>
    <row r="2139" s="25" customFormat="1" ht="17.25" customHeight="1"/>
    <row r="2140" s="25" customFormat="1" ht="17.25" customHeight="1"/>
    <row r="2141" s="25" customFormat="1" ht="17.25" customHeight="1"/>
    <row r="2142" s="25" customFormat="1" ht="17.25" customHeight="1"/>
    <row r="2143" s="25" customFormat="1" ht="17.25" customHeight="1"/>
    <row r="2144" s="25" customFormat="1" ht="17.25" customHeight="1"/>
    <row r="2145" s="25" customFormat="1" ht="17.25" customHeight="1"/>
    <row r="2146" s="25" customFormat="1" ht="17.25" customHeight="1"/>
    <row r="2147" s="25" customFormat="1" ht="17.25" customHeight="1"/>
    <row r="2148" s="25" customFormat="1" ht="17.25" customHeight="1"/>
    <row r="2149" s="25" customFormat="1" ht="17.25" customHeight="1"/>
    <row r="2150" s="25" customFormat="1" ht="17.25" customHeight="1"/>
    <row r="2151" s="25" customFormat="1" ht="17.25" customHeight="1"/>
    <row r="2152" s="25" customFormat="1" ht="17.25" customHeight="1"/>
    <row r="2153" s="25" customFormat="1" ht="17.25" customHeight="1"/>
    <row r="2154" s="25" customFormat="1" ht="17.25" customHeight="1"/>
    <row r="2155" s="25" customFormat="1" ht="17.25" customHeight="1"/>
    <row r="2156" s="25" customFormat="1" ht="17.25" customHeight="1"/>
    <row r="2157" s="25" customFormat="1" ht="17.25" customHeight="1"/>
    <row r="2158" s="25" customFormat="1" ht="17.25" customHeight="1"/>
    <row r="2159" s="25" customFormat="1" ht="17.25" customHeight="1"/>
    <row r="2160" s="25" customFormat="1" ht="17.25" customHeight="1"/>
    <row r="2161" s="25" customFormat="1" ht="17.25" customHeight="1"/>
    <row r="2162" s="25" customFormat="1" ht="17.25" customHeight="1"/>
    <row r="2163" s="25" customFormat="1" ht="17.25" customHeight="1"/>
    <row r="2164" s="25" customFormat="1" ht="17.25" customHeight="1"/>
    <row r="2165" s="25" customFormat="1" ht="17.25" customHeight="1"/>
    <row r="2166" s="25" customFormat="1" ht="17.25" customHeight="1"/>
    <row r="2167" s="25" customFormat="1" ht="17.25" customHeight="1"/>
    <row r="2168" s="25" customFormat="1" ht="17.25" customHeight="1"/>
    <row r="2169" s="25" customFormat="1" ht="17.25" customHeight="1"/>
    <row r="2170" s="25" customFormat="1" ht="17.25" customHeight="1"/>
    <row r="2171" s="25" customFormat="1" ht="17.25" customHeight="1"/>
    <row r="2172" s="25" customFormat="1" ht="17.25" customHeight="1"/>
    <row r="2173" s="25" customFormat="1" ht="17.25" customHeight="1"/>
    <row r="2174" s="25" customFormat="1" ht="17.25" customHeight="1"/>
    <row r="2175" s="25" customFormat="1" ht="17.25" customHeight="1"/>
    <row r="2176" s="25" customFormat="1" ht="17.25" customHeight="1"/>
    <row r="2177" s="25" customFormat="1" ht="17.25" customHeight="1"/>
    <row r="2178" s="25" customFormat="1" ht="17.25" customHeight="1"/>
    <row r="2179" s="25" customFormat="1" ht="17.25" customHeight="1"/>
    <row r="2180" s="25" customFormat="1" ht="17.25" customHeight="1"/>
    <row r="2181" s="25" customFormat="1" ht="17.25" customHeight="1"/>
    <row r="2182" s="25" customFormat="1" ht="17.25" customHeight="1"/>
    <row r="2183" s="25" customFormat="1" ht="17.25" customHeight="1"/>
    <row r="2184" s="25" customFormat="1" ht="17.25" customHeight="1"/>
    <row r="2185" s="25" customFormat="1" ht="17.25" customHeight="1"/>
    <row r="2186" s="25" customFormat="1" ht="17.25" customHeight="1"/>
    <row r="2187" s="25" customFormat="1" ht="17.25" customHeight="1"/>
    <row r="2188" s="25" customFormat="1" ht="17.25" customHeight="1"/>
    <row r="2189" s="25" customFormat="1" ht="17.25" customHeight="1"/>
    <row r="2190" s="25" customFormat="1" ht="17.25" customHeight="1"/>
    <row r="2191" s="25" customFormat="1" ht="17.25" customHeight="1"/>
    <row r="2192" s="25" customFormat="1" ht="17.25" customHeight="1"/>
    <row r="2193" s="25" customFormat="1" ht="17.25" customHeight="1"/>
    <row r="2194" s="25" customFormat="1" ht="17.25" customHeight="1"/>
    <row r="2195" s="25" customFormat="1" ht="17.25" customHeight="1"/>
    <row r="2196" s="25" customFormat="1" ht="17.25" customHeight="1"/>
    <row r="2197" s="25" customFormat="1" ht="17.25" customHeight="1"/>
    <row r="2198" s="25" customFormat="1" ht="17.25" customHeight="1"/>
    <row r="2199" s="25" customFormat="1" ht="17.25" customHeight="1"/>
    <row r="2200" s="25" customFormat="1" ht="17.25" customHeight="1"/>
    <row r="2201" s="25" customFormat="1" ht="17.25" customHeight="1"/>
    <row r="2202" s="25" customFormat="1" ht="17.25" customHeight="1"/>
    <row r="2203" s="25" customFormat="1" ht="17.25" customHeight="1"/>
    <row r="2204" s="25" customFormat="1" ht="17.25" customHeight="1"/>
    <row r="2205" s="25" customFormat="1" ht="17.25" customHeight="1"/>
    <row r="2206" s="25" customFormat="1" ht="17.25" customHeight="1"/>
    <row r="2207" s="25" customFormat="1" ht="17.25" customHeight="1"/>
    <row r="2208" s="25" customFormat="1" ht="17.25" customHeight="1"/>
    <row r="2209" s="25" customFormat="1" ht="17.25" customHeight="1"/>
    <row r="2210" s="25" customFormat="1" ht="17.25" customHeight="1"/>
    <row r="2211" s="25" customFormat="1" ht="17.25" customHeight="1"/>
    <row r="2212" s="25" customFormat="1" ht="17.25" customHeight="1"/>
    <row r="2213" s="25" customFormat="1" ht="17.25" customHeight="1"/>
    <row r="2214" s="25" customFormat="1" ht="17.25" customHeight="1"/>
    <row r="2215" s="25" customFormat="1" ht="17.25" customHeight="1"/>
    <row r="2216" s="25" customFormat="1" ht="17.25" customHeight="1"/>
    <row r="2217" s="25" customFormat="1" ht="17.25" customHeight="1"/>
    <row r="2218" s="25" customFormat="1" ht="17.25" customHeight="1"/>
    <row r="2219" s="25" customFormat="1" ht="17.25" customHeight="1"/>
    <row r="2220" s="25" customFormat="1" ht="17.25" customHeight="1"/>
    <row r="2221" s="25" customFormat="1" ht="17.25" customHeight="1"/>
    <row r="2222" s="25" customFormat="1" ht="17.25" customHeight="1"/>
    <row r="2223" s="25" customFormat="1" ht="17.25" customHeight="1"/>
    <row r="2224" s="25" customFormat="1" ht="17.25" customHeight="1"/>
    <row r="2225" s="25" customFormat="1" ht="17.25" customHeight="1"/>
    <row r="2226" s="25" customFormat="1" ht="17.25" customHeight="1"/>
    <row r="2227" s="25" customFormat="1" ht="17.25" customHeight="1"/>
    <row r="2228" s="25" customFormat="1" ht="17.25" customHeight="1"/>
    <row r="2229" s="25" customFormat="1" ht="17.25" customHeight="1"/>
    <row r="2230" s="25" customFormat="1" ht="17.25" customHeight="1"/>
    <row r="2231" s="25" customFormat="1" ht="17.25" customHeight="1"/>
    <row r="2232" s="25" customFormat="1" ht="17.25" customHeight="1"/>
    <row r="2233" s="25" customFormat="1" ht="17.25" customHeight="1"/>
    <row r="2234" s="25" customFormat="1" ht="17.25" customHeight="1"/>
    <row r="2235" s="25" customFormat="1" ht="17.25" customHeight="1"/>
    <row r="2236" s="25" customFormat="1" ht="17.25" customHeight="1"/>
    <row r="2237" s="25" customFormat="1" ht="17.25" customHeight="1"/>
    <row r="2238" s="25" customFormat="1" ht="17.25" customHeight="1"/>
    <row r="2239" s="25" customFormat="1" ht="17.25" customHeight="1"/>
    <row r="2240" s="25" customFormat="1" ht="17.25" customHeight="1"/>
    <row r="2241" s="25" customFormat="1" ht="17.25" customHeight="1"/>
    <row r="2242" s="25" customFormat="1" ht="17.25" customHeight="1"/>
    <row r="2243" s="25" customFormat="1" ht="17.25" customHeight="1"/>
    <row r="2244" s="25" customFormat="1" ht="17.25" customHeight="1"/>
    <row r="2245" s="25" customFormat="1" ht="17.25" customHeight="1"/>
    <row r="2246" s="25" customFormat="1" ht="17.25" customHeight="1"/>
    <row r="2247" s="25" customFormat="1" ht="17.25" customHeight="1"/>
    <row r="2248" s="25" customFormat="1" ht="17.25" customHeight="1"/>
    <row r="2249" s="25" customFormat="1" ht="17.25" customHeight="1"/>
    <row r="2250" s="25" customFormat="1" ht="17.25" customHeight="1"/>
    <row r="2251" s="25" customFormat="1" ht="17.25" customHeight="1"/>
    <row r="2252" s="25" customFormat="1" ht="17.25" customHeight="1"/>
    <row r="2253" s="25" customFormat="1" ht="17.25" customHeight="1"/>
    <row r="2254" s="25" customFormat="1" ht="17.25" customHeight="1"/>
    <row r="2255" s="25" customFormat="1" ht="17.25" customHeight="1"/>
    <row r="2256" s="25" customFormat="1" ht="17.25" customHeight="1"/>
    <row r="2257" s="25" customFormat="1" ht="17.25" customHeight="1"/>
    <row r="2258" s="25" customFormat="1" ht="17.25" customHeight="1"/>
    <row r="2259" s="25" customFormat="1" ht="17.25" customHeight="1"/>
    <row r="2260" s="25" customFormat="1" ht="17.25" customHeight="1"/>
    <row r="2261" s="25" customFormat="1" ht="17.25" customHeight="1"/>
    <row r="2262" s="25" customFormat="1" ht="17.25" customHeight="1"/>
    <row r="2263" s="25" customFormat="1" ht="17.25" customHeight="1"/>
    <row r="2264" s="25" customFormat="1" ht="17.25" customHeight="1"/>
    <row r="2265" s="25" customFormat="1" ht="17.25" customHeight="1"/>
    <row r="2266" s="25" customFormat="1" ht="17.25" customHeight="1"/>
    <row r="2267" s="25" customFormat="1" ht="17.25" customHeight="1"/>
    <row r="2268" s="25" customFormat="1" ht="17.25" customHeight="1"/>
    <row r="2269" s="25" customFormat="1" ht="17.25" customHeight="1"/>
    <row r="2270" s="25" customFormat="1" ht="17.25" customHeight="1"/>
    <row r="2271" s="25" customFormat="1" ht="17.25" customHeight="1"/>
    <row r="2272" s="25" customFormat="1" ht="17.25" customHeight="1"/>
    <row r="2273" s="25" customFormat="1" ht="17.25" customHeight="1"/>
    <row r="2274" s="25" customFormat="1" ht="17.25" customHeight="1"/>
    <row r="2275" s="25" customFormat="1" ht="17.25" customHeight="1"/>
    <row r="2276" s="25" customFormat="1" ht="17.25" customHeight="1"/>
    <row r="2277" s="25" customFormat="1" ht="17.25" customHeight="1"/>
    <row r="2278" s="25" customFormat="1" ht="17.25" customHeight="1"/>
    <row r="2279" s="25" customFormat="1" ht="17.25" customHeight="1"/>
    <row r="2280" s="25" customFormat="1" ht="17.25" customHeight="1"/>
    <row r="2281" s="25" customFormat="1" ht="17.25" customHeight="1"/>
    <row r="2282" s="25" customFormat="1" ht="17.25" customHeight="1"/>
    <row r="2283" s="25" customFormat="1" ht="17.25" customHeight="1"/>
    <row r="2284" s="25" customFormat="1" ht="17.25" customHeight="1"/>
    <row r="2285" s="25" customFormat="1" ht="17.25" customHeight="1"/>
    <row r="2286" s="25" customFormat="1" ht="17.25" customHeight="1"/>
    <row r="2287" s="25" customFormat="1" ht="17.25" customHeight="1"/>
    <row r="2288" s="25" customFormat="1" ht="17.25" customHeight="1"/>
    <row r="2289" s="25" customFormat="1" ht="17.25" customHeight="1"/>
    <row r="2290" s="25" customFormat="1" ht="17.25" customHeight="1"/>
    <row r="2291" s="25" customFormat="1" ht="17.25" customHeight="1"/>
    <row r="2292" s="25" customFormat="1" ht="17.25" customHeight="1"/>
    <row r="2293" s="25" customFormat="1" ht="17.25" customHeight="1"/>
    <row r="2294" s="25" customFormat="1" ht="17.25" customHeight="1"/>
    <row r="2295" s="25" customFormat="1" ht="17.25" customHeight="1"/>
    <row r="2296" s="25" customFormat="1" ht="17.25" customHeight="1"/>
    <row r="2297" s="25" customFormat="1" ht="17.25" customHeight="1"/>
    <row r="2298" s="25" customFormat="1" ht="17.25" customHeight="1"/>
    <row r="2299" s="25" customFormat="1" ht="17.25" customHeight="1"/>
    <row r="2300" s="25" customFormat="1" ht="17.25" customHeight="1"/>
    <row r="2301" s="25" customFormat="1" ht="17.25" customHeight="1"/>
    <row r="2302" s="25" customFormat="1" ht="17.25" customHeight="1"/>
    <row r="2303" s="25" customFormat="1" ht="17.25" customHeight="1"/>
    <row r="2304" s="25" customFormat="1" ht="17.25" customHeight="1"/>
    <row r="2305" s="25" customFormat="1" ht="17.25" customHeight="1"/>
    <row r="2306" s="25" customFormat="1" ht="17.25" customHeight="1"/>
    <row r="2307" s="25" customFormat="1" ht="17.25" customHeight="1"/>
    <row r="2308" s="25" customFormat="1" ht="17.25" customHeight="1"/>
    <row r="2309" s="25" customFormat="1" ht="17.25" customHeight="1"/>
    <row r="2310" s="25" customFormat="1" ht="17.25" customHeight="1"/>
    <row r="2311" s="25" customFormat="1" ht="17.25" customHeight="1"/>
    <row r="2312" s="25" customFormat="1" ht="17.25" customHeight="1"/>
    <row r="2313" s="25" customFormat="1" ht="17.25" customHeight="1"/>
    <row r="2314" s="25" customFormat="1" ht="17.25" customHeight="1"/>
    <row r="2315" s="25" customFormat="1" ht="17.25" customHeight="1"/>
    <row r="2316" s="25" customFormat="1" ht="17.25" customHeight="1"/>
    <row r="2317" s="25" customFormat="1" ht="17.25" customHeight="1"/>
    <row r="2318" s="25" customFormat="1" ht="17.25" customHeight="1"/>
    <row r="2319" s="25" customFormat="1" ht="17.25" customHeight="1"/>
    <row r="2320" s="25" customFormat="1" ht="17.25" customHeight="1"/>
    <row r="2321" s="25" customFormat="1" ht="17.25" customHeight="1"/>
    <row r="2322" s="25" customFormat="1" ht="17.25" customHeight="1"/>
    <row r="2323" s="25" customFormat="1" ht="17.25" customHeight="1"/>
    <row r="2324" s="25" customFormat="1" ht="17.25" customHeight="1"/>
    <row r="2325" s="25" customFormat="1" ht="17.25" customHeight="1"/>
    <row r="2326" s="25" customFormat="1" ht="17.25" customHeight="1"/>
    <row r="2327" s="25" customFormat="1" ht="17.25" customHeight="1"/>
    <row r="2328" s="25" customFormat="1" ht="17.25" customHeight="1"/>
    <row r="2329" s="25" customFormat="1" ht="17.25" customHeight="1"/>
    <row r="2330" s="25" customFormat="1" ht="17.25" customHeight="1"/>
    <row r="2331" s="25" customFormat="1" ht="17.25" customHeight="1"/>
    <row r="2332" s="25" customFormat="1" ht="17.25" customHeight="1"/>
    <row r="2333" s="25" customFormat="1" ht="17.25" customHeight="1"/>
    <row r="2334" s="25" customFormat="1" ht="17.25" customHeight="1"/>
    <row r="2335" s="25" customFormat="1" ht="17.25" customHeight="1"/>
    <row r="2336" s="25" customFormat="1" ht="17.25" customHeight="1"/>
    <row r="2337" s="25" customFormat="1" ht="17.25" customHeight="1"/>
    <row r="2338" s="25" customFormat="1" ht="17.25" customHeight="1"/>
    <row r="2339" s="25" customFormat="1" ht="17.25" customHeight="1"/>
    <row r="2340" s="25" customFormat="1" ht="17.25" customHeight="1"/>
    <row r="2341" s="25" customFormat="1" ht="17.25" customHeight="1"/>
    <row r="2342" s="25" customFormat="1" ht="17.25" customHeight="1"/>
    <row r="2343" s="25" customFormat="1" ht="17.25" customHeight="1"/>
    <row r="2344" s="25" customFormat="1" ht="17.25" customHeight="1"/>
    <row r="2345" s="25" customFormat="1" ht="17.25" customHeight="1"/>
    <row r="2346" s="25" customFormat="1" ht="17.25" customHeight="1"/>
    <row r="2347" s="25" customFormat="1" ht="17.25" customHeight="1"/>
    <row r="2348" s="25" customFormat="1" ht="17.25" customHeight="1"/>
    <row r="2349" s="25" customFormat="1" ht="17.25" customHeight="1"/>
    <row r="2350" s="25" customFormat="1" ht="17.25" customHeight="1"/>
    <row r="2351" s="25" customFormat="1" ht="17.25" customHeight="1"/>
    <row r="2352" s="25" customFormat="1" ht="17.25" customHeight="1"/>
    <row r="2353" s="25" customFormat="1" ht="17.25" customHeight="1"/>
    <row r="2354" s="25" customFormat="1" ht="17.25" customHeight="1"/>
    <row r="2355" s="25" customFormat="1" ht="17.25" customHeight="1"/>
    <row r="2356" s="25" customFormat="1" ht="17.25" customHeight="1"/>
    <row r="2357" s="25" customFormat="1" ht="17.25" customHeight="1"/>
    <row r="2358" s="25" customFormat="1" ht="17.25" customHeight="1"/>
    <row r="2359" s="25" customFormat="1" ht="17.25" customHeight="1"/>
    <row r="2360" s="25" customFormat="1" ht="17.25" customHeight="1"/>
    <row r="2361" s="25" customFormat="1" ht="17.25" customHeight="1"/>
    <row r="2362" s="25" customFormat="1" ht="17.25" customHeight="1"/>
    <row r="2363" s="25" customFormat="1" ht="17.25" customHeight="1"/>
    <row r="2364" s="25" customFormat="1" ht="17.25" customHeight="1"/>
    <row r="2365" s="25" customFormat="1" ht="17.25" customHeight="1"/>
    <row r="2366" s="25" customFormat="1" ht="17.25" customHeight="1"/>
    <row r="2367" s="25" customFormat="1" ht="17.25" customHeight="1"/>
    <row r="2368" s="25" customFormat="1" ht="17.25" customHeight="1"/>
    <row r="2369" s="25" customFormat="1" ht="17.25" customHeight="1"/>
    <row r="2370" s="25" customFormat="1" ht="17.25" customHeight="1"/>
    <row r="2371" s="25" customFormat="1" ht="17.25" customHeight="1"/>
    <row r="2372" s="25" customFormat="1" ht="17.25" customHeight="1"/>
    <row r="2373" s="25" customFormat="1" ht="17.25" customHeight="1"/>
    <row r="2374" s="25" customFormat="1" ht="17.25" customHeight="1"/>
    <row r="2375" s="25" customFormat="1" ht="17.25" customHeight="1"/>
    <row r="2376" s="25" customFormat="1" ht="17.25" customHeight="1"/>
    <row r="2377" s="25" customFormat="1" ht="17.25" customHeight="1"/>
    <row r="2378" s="25" customFormat="1" ht="17.25" customHeight="1"/>
    <row r="2379" s="25" customFormat="1" ht="17.25" customHeight="1"/>
    <row r="2380" s="25" customFormat="1" ht="17.25" customHeight="1"/>
    <row r="2381" s="25" customFormat="1" ht="17.25" customHeight="1"/>
    <row r="2382" s="25" customFormat="1" ht="17.25" customHeight="1"/>
    <row r="2383" s="25" customFormat="1" ht="17.25" customHeight="1"/>
    <row r="2384" s="25" customFormat="1" ht="17.25" customHeight="1"/>
    <row r="2385" s="25" customFormat="1" ht="17.25" customHeight="1"/>
    <row r="2386" s="25" customFormat="1" ht="17.25" customHeight="1"/>
    <row r="2387" s="25" customFormat="1" ht="17.25" customHeight="1"/>
    <row r="2388" s="25" customFormat="1" ht="17.25" customHeight="1"/>
    <row r="2389" s="25" customFormat="1" ht="17.25" customHeight="1"/>
    <row r="2390" s="25" customFormat="1" ht="17.25" customHeight="1"/>
    <row r="2391" s="25" customFormat="1" ht="17.25" customHeight="1"/>
    <row r="2392" s="25" customFormat="1" ht="17.25" customHeight="1"/>
    <row r="2393" s="25" customFormat="1" ht="17.25" customHeight="1"/>
    <row r="2394" s="25" customFormat="1" ht="17.25" customHeight="1"/>
    <row r="2395" s="25" customFormat="1" ht="17.25" customHeight="1"/>
    <row r="2396" s="25" customFormat="1" ht="17.25" customHeight="1"/>
    <row r="2397" s="25" customFormat="1" ht="17.25" customHeight="1"/>
    <row r="2398" s="25" customFormat="1" ht="17.25" customHeight="1"/>
    <row r="2399" s="25" customFormat="1" ht="17.25" customHeight="1"/>
    <row r="2400" s="25" customFormat="1" ht="17.25" customHeight="1"/>
    <row r="2401" s="25" customFormat="1" ht="17.25" customHeight="1"/>
    <row r="2402" s="25" customFormat="1" ht="17.25" customHeight="1"/>
    <row r="2403" s="25" customFormat="1" ht="17.25" customHeight="1"/>
    <row r="2404" s="25" customFormat="1" ht="17.25" customHeight="1"/>
    <row r="2405" s="25" customFormat="1" ht="17.25" customHeight="1"/>
    <row r="2406" s="25" customFormat="1" ht="17.25" customHeight="1"/>
    <row r="2407" s="25" customFormat="1" ht="17.25" customHeight="1"/>
    <row r="2408" s="25" customFormat="1" ht="17.25" customHeight="1"/>
    <row r="2409" s="25" customFormat="1" ht="17.25" customHeight="1"/>
    <row r="2410" s="25" customFormat="1" ht="17.25" customHeight="1"/>
    <row r="2411" s="25" customFormat="1" ht="17.25" customHeight="1"/>
    <row r="2412" s="25" customFormat="1" ht="17.25" customHeight="1"/>
    <row r="2413" s="25" customFormat="1" ht="17.25" customHeight="1"/>
    <row r="2414" s="25" customFormat="1" ht="17.25" customHeight="1"/>
    <row r="2415" s="25" customFormat="1" ht="17.25" customHeight="1"/>
    <row r="2416" s="25" customFormat="1" ht="17.25" customHeight="1"/>
    <row r="2417" s="25" customFormat="1" ht="17.25" customHeight="1"/>
    <row r="2418" s="25" customFormat="1" ht="17.25" customHeight="1"/>
    <row r="2419" s="25" customFormat="1" ht="17.25" customHeight="1"/>
    <row r="2420" s="25" customFormat="1" ht="17.25" customHeight="1"/>
    <row r="2421" s="25" customFormat="1" ht="17.25" customHeight="1"/>
    <row r="2422" s="25" customFormat="1" ht="17.25" customHeight="1"/>
    <row r="2423" s="25" customFormat="1" ht="17.25" customHeight="1"/>
    <row r="2424" s="25" customFormat="1" ht="17.25" customHeight="1"/>
    <row r="2425" s="25" customFormat="1" ht="17.25" customHeight="1"/>
    <row r="2426" s="25" customFormat="1" ht="17.25" customHeight="1"/>
    <row r="2427" s="25" customFormat="1" ht="17.25" customHeight="1"/>
    <row r="2428" s="25" customFormat="1" ht="17.25" customHeight="1"/>
    <row r="2429" s="25" customFormat="1" ht="17.25" customHeight="1"/>
    <row r="2430" s="25" customFormat="1" ht="17.25" customHeight="1"/>
    <row r="2431" s="25" customFormat="1" ht="17.25" customHeight="1"/>
    <row r="2432" s="25" customFormat="1" ht="17.25" customHeight="1"/>
    <row r="2433" s="25" customFormat="1" ht="17.25" customHeight="1"/>
    <row r="2434" s="25" customFormat="1" ht="17.25" customHeight="1"/>
    <row r="2435" s="25" customFormat="1" ht="17.25" customHeight="1"/>
    <row r="2436" s="25" customFormat="1" ht="17.25" customHeight="1"/>
    <row r="2437" s="25" customFormat="1" ht="17.25" customHeight="1"/>
    <row r="2438" s="25" customFormat="1" ht="17.25" customHeight="1"/>
    <row r="2439" s="25" customFormat="1" ht="17.25" customHeight="1"/>
    <row r="2440" s="25" customFormat="1" ht="17.25" customHeight="1"/>
    <row r="2441" s="25" customFormat="1" ht="17.25" customHeight="1"/>
    <row r="2442" s="25" customFormat="1" ht="17.25" customHeight="1"/>
    <row r="2443" s="25" customFormat="1" ht="17.25" customHeight="1"/>
    <row r="2444" s="25" customFormat="1" ht="17.25" customHeight="1"/>
    <row r="2445" s="25" customFormat="1" ht="17.25" customHeight="1"/>
    <row r="2446" s="25" customFormat="1" ht="17.25" customHeight="1"/>
    <row r="2447" s="25" customFormat="1" ht="17.25" customHeight="1"/>
    <row r="2448" s="25" customFormat="1" ht="17.25" customHeight="1"/>
    <row r="2449" s="25" customFormat="1" ht="17.25" customHeight="1"/>
    <row r="2450" s="25" customFormat="1" ht="17.25" customHeight="1"/>
    <row r="2451" s="25" customFormat="1" ht="17.25" customHeight="1"/>
    <row r="2452" s="25" customFormat="1" ht="17.25" customHeight="1"/>
    <row r="2453" s="25" customFormat="1" ht="17.25" customHeight="1"/>
    <row r="2454" s="25" customFormat="1" ht="17.25" customHeight="1"/>
    <row r="2455" s="25" customFormat="1" ht="17.25" customHeight="1"/>
    <row r="2456" s="25" customFormat="1" ht="17.25" customHeight="1"/>
    <row r="2457" s="25" customFormat="1" ht="17.25" customHeight="1"/>
    <row r="2458" s="25" customFormat="1" ht="17.25" customHeight="1"/>
    <row r="2459" s="25" customFormat="1" ht="17.25" customHeight="1"/>
    <row r="2460" s="25" customFormat="1" ht="17.25" customHeight="1"/>
    <row r="2461" s="25" customFormat="1" ht="17.25" customHeight="1"/>
    <row r="2462" s="25" customFormat="1" ht="17.25" customHeight="1"/>
    <row r="2463" s="25" customFormat="1" ht="17.25" customHeight="1"/>
    <row r="2464" s="25" customFormat="1" ht="17.25" customHeight="1"/>
    <row r="2465" s="25" customFormat="1" ht="17.25" customHeight="1"/>
    <row r="2466" s="25" customFormat="1" ht="17.25" customHeight="1"/>
    <row r="2467" s="25" customFormat="1" ht="17.25" customHeight="1"/>
    <row r="2468" s="25" customFormat="1" ht="17.25" customHeight="1"/>
    <row r="2469" s="25" customFormat="1" ht="17.25" customHeight="1"/>
    <row r="2470" s="25" customFormat="1" ht="17.25" customHeight="1"/>
    <row r="2471" s="25" customFormat="1" ht="17.25" customHeight="1"/>
    <row r="2472" s="25" customFormat="1" ht="17.25" customHeight="1"/>
    <row r="2473" s="25" customFormat="1" ht="17.25" customHeight="1"/>
    <row r="2474" s="25" customFormat="1" ht="17.25" customHeight="1"/>
    <row r="2475" s="25" customFormat="1" ht="17.25" customHeight="1"/>
    <row r="2476" s="25" customFormat="1" ht="17.25" customHeight="1"/>
    <row r="2477" s="25" customFormat="1" ht="17.25" customHeight="1"/>
    <row r="2478" s="25" customFormat="1" ht="17.25" customHeight="1"/>
    <row r="2479" s="25" customFormat="1" ht="17.25" customHeight="1"/>
    <row r="2480" s="25" customFormat="1" ht="17.25" customHeight="1"/>
    <row r="2481" s="25" customFormat="1" ht="17.25" customHeight="1"/>
    <row r="2482" s="25" customFormat="1" ht="17.25" customHeight="1"/>
    <row r="2483" s="25" customFormat="1" ht="17.25" customHeight="1"/>
    <row r="2484" s="25" customFormat="1" ht="17.25" customHeight="1"/>
    <row r="2485" s="25" customFormat="1" ht="17.25" customHeight="1"/>
    <row r="2486" s="25" customFormat="1" ht="17.25" customHeight="1"/>
    <row r="2487" s="25" customFormat="1" ht="17.25" customHeight="1"/>
    <row r="2488" s="25" customFormat="1" ht="17.25" customHeight="1"/>
    <row r="2489" s="25" customFormat="1" ht="17.25" customHeight="1"/>
    <row r="2490" s="25" customFormat="1" ht="17.25" customHeight="1"/>
    <row r="2491" s="25" customFormat="1" ht="17.25" customHeight="1"/>
    <row r="2492" s="25" customFormat="1" ht="17.25" customHeight="1"/>
    <row r="2493" s="25" customFormat="1" ht="17.25" customHeight="1"/>
    <row r="2494" s="25" customFormat="1" ht="17.25" customHeight="1"/>
    <row r="2495" s="25" customFormat="1" ht="17.25" customHeight="1"/>
    <row r="2496" s="25" customFormat="1" ht="17.25" customHeight="1"/>
    <row r="2497" s="25" customFormat="1" ht="17.25" customHeight="1"/>
    <row r="2498" s="25" customFormat="1" ht="17.25" customHeight="1"/>
    <row r="2499" s="25" customFormat="1" ht="17.25" customHeight="1"/>
    <row r="2500" s="25" customFormat="1" ht="17.25" customHeight="1"/>
    <row r="2501" s="25" customFormat="1" ht="17.25" customHeight="1"/>
    <row r="2502" s="25" customFormat="1" ht="17.25" customHeight="1"/>
    <row r="2503" s="25" customFormat="1" ht="17.25" customHeight="1"/>
    <row r="2504" s="25" customFormat="1" ht="17.25" customHeight="1"/>
    <row r="2505" s="25" customFormat="1" ht="17.25" customHeight="1"/>
    <row r="2506" s="25" customFormat="1" ht="17.25" customHeight="1"/>
    <row r="2507" s="25" customFormat="1" ht="17.25" customHeight="1"/>
    <row r="2508" s="25" customFormat="1" ht="17.25" customHeight="1"/>
    <row r="2509" s="25" customFormat="1" ht="17.25" customHeight="1"/>
    <row r="2510" s="25" customFormat="1" ht="17.25" customHeight="1"/>
    <row r="2511" s="25" customFormat="1" ht="17.25" customHeight="1"/>
    <row r="2512" s="25" customFormat="1" ht="17.25" customHeight="1"/>
    <row r="2513" s="25" customFormat="1" ht="17.25" customHeight="1"/>
    <row r="2514" s="25" customFormat="1" ht="17.25" customHeight="1"/>
    <row r="2515" s="25" customFormat="1" ht="17.25" customHeight="1"/>
    <row r="2516" s="25" customFormat="1" ht="17.25" customHeight="1"/>
    <row r="2517" s="25" customFormat="1" ht="17.25" customHeight="1"/>
    <row r="2518" s="25" customFormat="1" ht="17.25" customHeight="1"/>
    <row r="2519" s="25" customFormat="1" ht="17.25" customHeight="1"/>
    <row r="2520" s="25" customFormat="1" ht="17.25" customHeight="1"/>
    <row r="2521" s="25" customFormat="1" ht="17.25" customHeight="1"/>
    <row r="2522" s="25" customFormat="1" ht="17.25" customHeight="1"/>
    <row r="2523" s="25" customFormat="1" ht="17.25" customHeight="1"/>
    <row r="2524" s="25" customFormat="1" ht="17.25" customHeight="1"/>
    <row r="2525" s="25" customFormat="1" ht="17.25" customHeight="1"/>
    <row r="2526" s="25" customFormat="1" ht="17.25" customHeight="1"/>
    <row r="2527" s="25" customFormat="1" ht="17.25" customHeight="1"/>
    <row r="2528" s="25" customFormat="1" ht="17.25" customHeight="1"/>
    <row r="2529" s="25" customFormat="1" ht="17.25" customHeight="1"/>
    <row r="2530" s="25" customFormat="1" ht="17.25" customHeight="1"/>
    <row r="2531" s="25" customFormat="1" ht="17.25" customHeight="1"/>
    <row r="2532" s="25" customFormat="1" ht="17.25" customHeight="1"/>
    <row r="2533" s="25" customFormat="1" ht="17.25" customHeight="1"/>
    <row r="2534" s="25" customFormat="1" ht="17.25" customHeight="1"/>
    <row r="2535" s="25" customFormat="1" ht="17.25" customHeight="1"/>
    <row r="2536" s="25" customFormat="1" ht="17.25" customHeight="1"/>
    <row r="2537" s="25" customFormat="1" ht="17.25" customHeight="1"/>
    <row r="2538" s="25" customFormat="1" ht="17.25" customHeight="1"/>
    <row r="2539" s="25" customFormat="1" ht="17.25" customHeight="1"/>
    <row r="2540" s="25" customFormat="1" ht="17.25" customHeight="1"/>
    <row r="2541" s="25" customFormat="1" ht="17.25" customHeight="1"/>
    <row r="2542" s="25" customFormat="1" ht="17.25" customHeight="1"/>
    <row r="2543" s="25" customFormat="1" ht="17.25" customHeight="1"/>
    <row r="2544" s="25" customFormat="1" ht="17.25" customHeight="1"/>
    <row r="2545" s="25" customFormat="1" ht="17.25" customHeight="1"/>
    <row r="2546" s="25" customFormat="1" ht="17.25" customHeight="1"/>
    <row r="2547" s="25" customFormat="1" ht="17.25" customHeight="1"/>
    <row r="2548" s="25" customFormat="1" ht="17.25" customHeight="1"/>
    <row r="2549" s="25" customFormat="1" ht="17.25" customHeight="1"/>
    <row r="2550" s="25" customFormat="1" ht="17.25" customHeight="1"/>
    <row r="2551" s="25" customFormat="1" ht="17.25" customHeight="1"/>
    <row r="2552" s="25" customFormat="1" ht="17.25" customHeight="1"/>
    <row r="2553" s="25" customFormat="1" ht="17.25" customHeight="1"/>
    <row r="2554" s="25" customFormat="1" ht="17.25" customHeight="1"/>
    <row r="2555" s="25" customFormat="1" ht="17.25" customHeight="1"/>
    <row r="2556" s="25" customFormat="1" ht="17.25" customHeight="1"/>
    <row r="2557" s="25" customFormat="1" ht="17.25" customHeight="1"/>
    <row r="2558" s="25" customFormat="1" ht="17.25" customHeight="1"/>
    <row r="2559" s="25" customFormat="1" ht="17.25" customHeight="1"/>
    <row r="2560" s="25" customFormat="1" ht="17.25" customHeight="1"/>
    <row r="2561" s="25" customFormat="1" ht="17.25" customHeight="1"/>
    <row r="2562" s="25" customFormat="1" ht="17.25" customHeight="1"/>
    <row r="2563" s="25" customFormat="1" ht="17.25" customHeight="1"/>
    <row r="2564" s="25" customFormat="1" ht="17.25" customHeight="1"/>
    <row r="2565" s="25" customFormat="1" ht="17.25" customHeight="1"/>
    <row r="2566" s="25" customFormat="1" ht="17.25" customHeight="1"/>
    <row r="2567" s="25" customFormat="1" ht="17.25" customHeight="1"/>
    <row r="2568" s="25" customFormat="1" ht="17.25" customHeight="1"/>
    <row r="2569" s="25" customFormat="1" ht="17.25" customHeight="1"/>
    <row r="2570" s="25" customFormat="1" ht="17.25" customHeight="1"/>
    <row r="2571" s="25" customFormat="1" ht="17.25" customHeight="1"/>
    <row r="2572" s="25" customFormat="1" ht="17.25" customHeight="1"/>
    <row r="2573" s="25" customFormat="1" ht="17.25" customHeight="1"/>
    <row r="2574" s="25" customFormat="1" ht="17.25" customHeight="1"/>
    <row r="2575" s="25" customFormat="1" ht="17.25" customHeight="1"/>
    <row r="2576" s="25" customFormat="1" ht="17.25" customHeight="1"/>
    <row r="2577" s="25" customFormat="1" ht="17.25" customHeight="1"/>
    <row r="2578" s="25" customFormat="1" ht="17.25" customHeight="1"/>
    <row r="2579" s="25" customFormat="1" ht="17.25" customHeight="1"/>
    <row r="2580" s="25" customFormat="1" ht="17.25" customHeight="1"/>
    <row r="2581" s="25" customFormat="1" ht="17.25" customHeight="1"/>
    <row r="2582" s="25" customFormat="1" ht="17.25" customHeight="1"/>
    <row r="2583" s="25" customFormat="1" ht="17.25" customHeight="1"/>
    <row r="2584" s="25" customFormat="1" ht="17.25" customHeight="1"/>
    <row r="2585" s="25" customFormat="1" ht="17.25" customHeight="1"/>
    <row r="2586" s="25" customFormat="1" ht="17.25" customHeight="1"/>
    <row r="2587" s="25" customFormat="1" ht="17.25" customHeight="1"/>
    <row r="2588" s="25" customFormat="1" ht="17.25" customHeight="1"/>
    <row r="2589" s="25" customFormat="1" ht="17.25" customHeight="1"/>
    <row r="2590" s="25" customFormat="1" ht="17.25" customHeight="1"/>
    <row r="2591" s="25" customFormat="1" ht="17.25" customHeight="1"/>
    <row r="2592" s="25" customFormat="1" ht="17.25" customHeight="1"/>
    <row r="2593" s="25" customFormat="1" ht="17.25" customHeight="1"/>
    <row r="2594" s="25" customFormat="1" ht="17.25" customHeight="1"/>
    <row r="2595" s="25" customFormat="1" ht="17.25" customHeight="1"/>
    <row r="2596" s="25" customFormat="1" ht="17.25" customHeight="1"/>
    <row r="2597" s="25" customFormat="1" ht="17.25" customHeight="1"/>
    <row r="2598" s="25" customFormat="1" ht="17.25" customHeight="1"/>
    <row r="2599" s="25" customFormat="1" ht="17.25" customHeight="1"/>
    <row r="2600" s="25" customFormat="1" ht="17.25" customHeight="1"/>
    <row r="2601" s="25" customFormat="1" ht="17.25" customHeight="1"/>
    <row r="2602" s="25" customFormat="1" ht="17.25" customHeight="1"/>
    <row r="2603" s="25" customFormat="1" ht="17.25" customHeight="1"/>
    <row r="2604" s="25" customFormat="1" ht="17.25" customHeight="1"/>
    <row r="2605" s="25" customFormat="1" ht="17.25" customHeight="1"/>
    <row r="2606" s="25" customFormat="1" ht="17.25" customHeight="1"/>
    <row r="2607" s="25" customFormat="1" ht="17.25" customHeight="1"/>
    <row r="2608" s="25" customFormat="1" ht="17.25" customHeight="1"/>
    <row r="2609" s="25" customFormat="1" ht="17.25" customHeight="1"/>
    <row r="2610" s="25" customFormat="1" ht="17.25" customHeight="1"/>
    <row r="2611" s="25" customFormat="1" ht="17.25" customHeight="1"/>
    <row r="2612" s="25" customFormat="1" ht="17.25" customHeight="1"/>
    <row r="2613" s="25" customFormat="1" ht="17.25" customHeight="1"/>
    <row r="2614" s="25" customFormat="1" ht="17.25" customHeight="1"/>
    <row r="2615" s="25" customFormat="1" ht="17.25" customHeight="1"/>
    <row r="2616" s="25" customFormat="1" ht="17.25" customHeight="1"/>
    <row r="2617" s="25" customFormat="1" ht="17.25" customHeight="1"/>
    <row r="2618" s="25" customFormat="1" ht="17.25" customHeight="1"/>
    <row r="2619" s="25" customFormat="1" ht="17.25" customHeight="1"/>
    <row r="2620" s="25" customFormat="1" ht="17.25" customHeight="1"/>
    <row r="2621" s="25" customFormat="1" ht="17.25" customHeight="1"/>
    <row r="2622" s="25" customFormat="1" ht="17.25" customHeight="1"/>
    <row r="2623" s="25" customFormat="1" ht="17.25" customHeight="1"/>
    <row r="2624" s="25" customFormat="1" ht="17.25" customHeight="1"/>
    <row r="2625" s="25" customFormat="1" ht="17.25" customHeight="1"/>
    <row r="2626" s="25" customFormat="1" ht="17.25" customHeight="1"/>
    <row r="2627" s="25" customFormat="1" ht="17.25" customHeight="1"/>
    <row r="2628" s="25" customFormat="1" ht="17.25" customHeight="1"/>
    <row r="2629" s="25" customFormat="1" ht="17.25" customHeight="1"/>
    <row r="2630" s="25" customFormat="1" ht="17.25" customHeight="1"/>
    <row r="2631" s="25" customFormat="1" ht="17.25" customHeight="1"/>
    <row r="2632" s="25" customFormat="1" ht="17.25" customHeight="1"/>
    <row r="2633" s="25" customFormat="1" ht="17.25" customHeight="1"/>
    <row r="2634" s="25" customFormat="1" ht="17.25" customHeight="1"/>
    <row r="2635" s="25" customFormat="1" ht="17.25" customHeight="1"/>
    <row r="2636" s="25" customFormat="1" ht="17.25" customHeight="1"/>
    <row r="2637" s="25" customFormat="1" ht="17.25" customHeight="1"/>
    <row r="2638" s="25" customFormat="1" ht="17.25" customHeight="1"/>
    <row r="2639" s="25" customFormat="1" ht="17.25" customHeight="1"/>
    <row r="2640" s="25" customFormat="1" ht="17.25" customHeight="1"/>
    <row r="2641" s="25" customFormat="1" ht="17.25" customHeight="1"/>
    <row r="2642" s="25" customFormat="1" ht="17.25" customHeight="1"/>
    <row r="2643" s="25" customFormat="1" ht="17.25" customHeight="1"/>
    <row r="2644" s="25" customFormat="1" ht="17.25" customHeight="1"/>
    <row r="2645" s="25" customFormat="1" ht="17.25" customHeight="1"/>
    <row r="2646" s="25" customFormat="1" ht="17.25" customHeight="1"/>
    <row r="2647" s="25" customFormat="1" ht="17.25" customHeight="1"/>
    <row r="2648" s="25" customFormat="1" ht="17.25" customHeight="1"/>
    <row r="2649" s="25" customFormat="1" ht="17.25" customHeight="1"/>
    <row r="2650" s="25" customFormat="1" ht="17.25" customHeight="1"/>
    <row r="2651" s="25" customFormat="1" ht="17.25" customHeight="1"/>
    <row r="2652" s="25" customFormat="1" ht="17.25" customHeight="1"/>
    <row r="2653" s="25" customFormat="1" ht="17.25" customHeight="1"/>
    <row r="2654" s="25" customFormat="1" ht="17.25" customHeight="1"/>
    <row r="2655" s="25" customFormat="1" ht="17.25" customHeight="1"/>
    <row r="2656" s="25" customFormat="1" ht="17.25" customHeight="1"/>
    <row r="2657" s="25" customFormat="1" ht="17.25" customHeight="1"/>
    <row r="2658" s="25" customFormat="1" ht="17.25" customHeight="1"/>
    <row r="2659" s="25" customFormat="1" ht="17.25" customHeight="1"/>
    <row r="2660" s="25" customFormat="1" ht="17.25" customHeight="1"/>
    <row r="2661" s="25" customFormat="1" ht="17.25" customHeight="1"/>
    <row r="2662" s="25" customFormat="1" ht="17.25" customHeight="1"/>
    <row r="2663" s="25" customFormat="1" ht="17.25" customHeight="1"/>
    <row r="2664" s="25" customFormat="1" ht="17.25" customHeight="1"/>
    <row r="2665" s="25" customFormat="1" ht="17.25" customHeight="1"/>
    <row r="2666" s="25" customFormat="1" ht="17.25" customHeight="1"/>
    <row r="2667" s="25" customFormat="1" ht="17.25" customHeight="1"/>
    <row r="2668" s="25" customFormat="1" ht="17.25" customHeight="1"/>
    <row r="2669" s="25" customFormat="1" ht="17.25" customHeight="1"/>
    <row r="2670" s="25" customFormat="1" ht="17.25" customHeight="1"/>
    <row r="2671" s="25" customFormat="1" ht="17.25" customHeight="1"/>
    <row r="2672" s="25" customFormat="1" ht="17.25" customHeight="1"/>
    <row r="2673" s="25" customFormat="1" ht="17.25" customHeight="1"/>
    <row r="2674" s="25" customFormat="1" ht="17.25" customHeight="1"/>
    <row r="2675" s="25" customFormat="1" ht="17.25" customHeight="1"/>
    <row r="2676" s="25" customFormat="1" ht="17.25" customHeight="1"/>
    <row r="2677" s="25" customFormat="1" ht="17.25" customHeight="1"/>
    <row r="2678" s="25" customFormat="1" ht="17.25" customHeight="1"/>
    <row r="2679" s="25" customFormat="1" ht="17.25" customHeight="1"/>
    <row r="2680" s="25" customFormat="1" ht="17.25" customHeight="1"/>
    <row r="2681" s="25" customFormat="1" ht="17.25" customHeight="1"/>
    <row r="2682" s="25" customFormat="1" ht="17.25" customHeight="1"/>
    <row r="2683" s="25" customFormat="1" ht="17.25" customHeight="1"/>
    <row r="2684" s="25" customFormat="1" ht="17.25" customHeight="1"/>
    <row r="2685" s="25" customFormat="1" ht="17.25" customHeight="1"/>
    <row r="2686" s="25" customFormat="1" ht="17.25" customHeight="1"/>
    <row r="2687" s="25" customFormat="1" ht="17.25" customHeight="1"/>
    <row r="2688" s="25" customFormat="1" ht="17.25" customHeight="1"/>
    <row r="2689" s="25" customFormat="1" ht="17.25" customHeight="1"/>
    <row r="2690" s="25" customFormat="1" ht="17.25" customHeight="1"/>
    <row r="2691" s="25" customFormat="1" ht="17.25" customHeight="1"/>
    <row r="2692" s="25" customFormat="1" ht="17.25" customHeight="1"/>
    <row r="2693" s="25" customFormat="1" ht="17.25" customHeight="1"/>
    <row r="2694" s="25" customFormat="1" ht="17.25" customHeight="1"/>
    <row r="2695" s="25" customFormat="1" ht="17.25" customHeight="1"/>
    <row r="2696" s="25" customFormat="1" ht="17.25" customHeight="1"/>
    <row r="2697" s="25" customFormat="1" ht="17.25" customHeight="1"/>
    <row r="2698" s="25" customFormat="1" ht="17.25" customHeight="1"/>
    <row r="2699" s="25" customFormat="1" ht="17.25" customHeight="1"/>
    <row r="2700" s="25" customFormat="1" ht="17.25" customHeight="1"/>
    <row r="2701" s="25" customFormat="1" ht="17.25" customHeight="1"/>
    <row r="2702" s="25" customFormat="1" ht="17.25" customHeight="1"/>
    <row r="2703" s="25" customFormat="1" ht="17.25" customHeight="1"/>
    <row r="2704" s="25" customFormat="1" ht="17.25" customHeight="1"/>
    <row r="2705" s="25" customFormat="1" ht="17.25" customHeight="1"/>
    <row r="2706" s="25" customFormat="1" ht="17.25" customHeight="1"/>
    <row r="2707" s="25" customFormat="1" ht="17.25" customHeight="1"/>
    <row r="2708" s="25" customFormat="1" ht="17.25" customHeight="1"/>
    <row r="2709" s="25" customFormat="1" ht="17.25" customHeight="1"/>
    <row r="2710" s="25" customFormat="1" ht="17.25" customHeight="1"/>
    <row r="2711" s="25" customFormat="1" ht="17.25" customHeight="1"/>
    <row r="2712" s="25" customFormat="1" ht="17.25" customHeight="1"/>
    <row r="2713" s="25" customFormat="1" ht="17.25" customHeight="1"/>
    <row r="2714" s="25" customFormat="1" ht="17.25" customHeight="1"/>
    <row r="2715" s="25" customFormat="1" ht="17.25" customHeight="1"/>
    <row r="2716" s="25" customFormat="1" ht="17.25" customHeight="1"/>
    <row r="2717" s="25" customFormat="1" ht="17.25" customHeight="1"/>
    <row r="2718" s="25" customFormat="1" ht="17.25" customHeight="1"/>
    <row r="2719" s="25" customFormat="1" ht="17.25" customHeight="1"/>
    <row r="2720" s="25" customFormat="1" ht="17.25" customHeight="1"/>
    <row r="2721" s="25" customFormat="1" ht="17.25" customHeight="1"/>
    <row r="2722" s="25" customFormat="1" ht="17.25" customHeight="1"/>
    <row r="2723" s="25" customFormat="1" ht="17.25" customHeight="1"/>
    <row r="2724" s="25" customFormat="1" ht="17.25" customHeight="1"/>
    <row r="2725" s="25" customFormat="1" ht="17.25" customHeight="1"/>
    <row r="2726" s="25" customFormat="1" ht="17.25" customHeight="1"/>
    <row r="2727" s="25" customFormat="1" ht="17.25" customHeight="1"/>
    <row r="2728" s="25" customFormat="1" ht="17.25" customHeight="1"/>
    <row r="2729" s="25" customFormat="1" ht="17.25" customHeight="1"/>
    <row r="2730" s="25" customFormat="1" ht="17.25" customHeight="1"/>
    <row r="2731" s="25" customFormat="1" ht="17.25" customHeight="1"/>
    <row r="2732" s="25" customFormat="1" ht="17.25" customHeight="1"/>
    <row r="2733" s="25" customFormat="1" ht="17.25" customHeight="1"/>
    <row r="2734" s="25" customFormat="1" ht="17.25" customHeight="1"/>
    <row r="2735" s="25" customFormat="1" ht="17.25" customHeight="1"/>
    <row r="2736" s="25" customFormat="1" ht="17.25" customHeight="1"/>
    <row r="2737" s="25" customFormat="1" ht="17.25" customHeight="1"/>
    <row r="2738" s="25" customFormat="1" ht="17.25" customHeight="1"/>
    <row r="2739" s="25" customFormat="1" ht="17.25" customHeight="1"/>
    <row r="2740" s="25" customFormat="1" ht="17.25" customHeight="1"/>
    <row r="2741" s="25" customFormat="1" ht="17.25" customHeight="1"/>
    <row r="2742" s="25" customFormat="1" ht="17.25" customHeight="1"/>
    <row r="2743" s="25" customFormat="1" ht="17.25" customHeight="1"/>
    <row r="2744" s="25" customFormat="1" ht="17.25" customHeight="1"/>
    <row r="2745" s="25" customFormat="1" ht="17.25" customHeight="1"/>
    <row r="2746" s="25" customFormat="1" ht="17.25" customHeight="1"/>
    <row r="2747" s="25" customFormat="1" ht="17.25" customHeight="1"/>
    <row r="2748" s="25" customFormat="1" ht="17.25" customHeight="1"/>
    <row r="2749" s="25" customFormat="1" ht="17.25" customHeight="1"/>
    <row r="2750" s="25" customFormat="1" ht="17.25" customHeight="1"/>
    <row r="2751" s="25" customFormat="1" ht="17.25" customHeight="1"/>
    <row r="2752" s="25" customFormat="1" ht="17.25" customHeight="1"/>
    <row r="2753" s="25" customFormat="1" ht="17.25" customHeight="1"/>
    <row r="2754" s="25" customFormat="1" ht="17.25" customHeight="1"/>
    <row r="2755" s="25" customFormat="1" ht="17.25" customHeight="1"/>
    <row r="2756" s="25" customFormat="1" ht="17.25" customHeight="1"/>
    <row r="2757" s="25" customFormat="1" ht="17.25" customHeight="1"/>
    <row r="2758" s="25" customFormat="1" ht="17.25" customHeight="1"/>
    <row r="2759" s="25" customFormat="1" ht="17.25" customHeight="1"/>
    <row r="2760" s="25" customFormat="1" ht="17.25" customHeight="1"/>
    <row r="2761" s="25" customFormat="1" ht="17.25" customHeight="1"/>
    <row r="2762" s="25" customFormat="1" ht="17.25" customHeight="1"/>
    <row r="2763" s="25" customFormat="1" ht="17.25" customHeight="1"/>
    <row r="2764" s="25" customFormat="1" ht="17.25" customHeight="1"/>
    <row r="2765" s="25" customFormat="1" ht="17.25" customHeight="1"/>
    <row r="2766" s="25" customFormat="1" ht="17.25" customHeight="1"/>
    <row r="2767" s="25" customFormat="1" ht="17.25" customHeight="1"/>
    <row r="2768" s="25" customFormat="1" ht="17.25" customHeight="1"/>
    <row r="2769" s="25" customFormat="1" ht="17.25" customHeight="1"/>
    <row r="2770" s="25" customFormat="1" ht="17.25" customHeight="1"/>
    <row r="2771" s="25" customFormat="1" ht="17.25" customHeight="1"/>
    <row r="2772" s="25" customFormat="1" ht="17.25" customHeight="1"/>
    <row r="2773" s="25" customFormat="1" ht="17.25" customHeight="1"/>
    <row r="2774" s="25" customFormat="1" ht="17.25" customHeight="1"/>
    <row r="2775" s="25" customFormat="1" ht="17.25" customHeight="1"/>
    <row r="2776" s="25" customFormat="1" ht="17.25" customHeight="1"/>
    <row r="2777" s="25" customFormat="1" ht="17.25" customHeight="1"/>
    <row r="2778" s="25" customFormat="1" ht="17.25" customHeight="1"/>
    <row r="2779" s="25" customFormat="1" ht="17.25" customHeight="1"/>
    <row r="2780" s="25" customFormat="1" ht="17.25" customHeight="1"/>
    <row r="2781" s="25" customFormat="1" ht="17.25" customHeight="1"/>
    <row r="2782" s="25" customFormat="1" ht="17.25" customHeight="1"/>
    <row r="2783" s="25" customFormat="1" ht="17.25" customHeight="1"/>
    <row r="2784" s="25" customFormat="1" ht="17.25" customHeight="1"/>
    <row r="2785" s="25" customFormat="1" ht="17.25" customHeight="1"/>
    <row r="2786" s="25" customFormat="1" ht="17.25" customHeight="1"/>
    <row r="2787" s="25" customFormat="1" ht="17.25" customHeight="1"/>
    <row r="2788" s="25" customFormat="1" ht="17.25" customHeight="1"/>
    <row r="2789" s="25" customFormat="1" ht="17.25" customHeight="1"/>
    <row r="2790" s="25" customFormat="1" ht="17.25" customHeight="1"/>
    <row r="2791" s="25" customFormat="1" ht="17.25" customHeight="1"/>
    <row r="2792" s="25" customFormat="1" ht="17.25" customHeight="1"/>
    <row r="2793" s="25" customFormat="1" ht="17.25" customHeight="1"/>
    <row r="2794" s="25" customFormat="1" ht="17.25" customHeight="1"/>
    <row r="2795" s="25" customFormat="1" ht="17.25" customHeight="1"/>
    <row r="2796" s="25" customFormat="1" ht="17.25" customHeight="1"/>
    <row r="2797" s="25" customFormat="1" ht="17.25" customHeight="1"/>
    <row r="2798" s="25" customFormat="1" ht="17.25" customHeight="1"/>
    <row r="2799" s="25" customFormat="1" ht="17.25" customHeight="1"/>
    <row r="2800" s="25" customFormat="1" ht="17.25" customHeight="1"/>
    <row r="2801" s="25" customFormat="1" ht="17.25" customHeight="1"/>
    <row r="2802" s="25" customFormat="1" ht="17.25" customHeight="1"/>
    <row r="2803" s="25" customFormat="1" ht="17.25" customHeight="1"/>
    <row r="2804" s="25" customFormat="1" ht="17.25" customHeight="1"/>
    <row r="2805" s="25" customFormat="1" ht="17.25" customHeight="1"/>
    <row r="2806" s="25" customFormat="1" ht="17.25" customHeight="1"/>
    <row r="2807" s="25" customFormat="1" ht="17.25" customHeight="1"/>
    <row r="2808" s="25" customFormat="1" ht="17.25" customHeight="1"/>
    <row r="2809" s="25" customFormat="1" ht="17.25" customHeight="1"/>
    <row r="2810" s="25" customFormat="1" ht="17.25" customHeight="1"/>
    <row r="2811" s="25" customFormat="1" ht="17.25" customHeight="1"/>
    <row r="2812" s="25" customFormat="1" ht="17.25" customHeight="1"/>
    <row r="2813" s="25" customFormat="1" ht="17.25" customHeight="1"/>
    <row r="2814" s="25" customFormat="1" ht="17.25" customHeight="1"/>
    <row r="2815" s="25" customFormat="1" ht="17.25" customHeight="1"/>
    <row r="2816" s="25" customFormat="1" ht="17.25" customHeight="1"/>
    <row r="2817" s="25" customFormat="1" ht="17.25" customHeight="1"/>
    <row r="2818" s="25" customFormat="1" ht="17.25" customHeight="1"/>
    <row r="2819" s="25" customFormat="1" ht="17.25" customHeight="1"/>
    <row r="2820" s="25" customFormat="1" ht="17.25" customHeight="1"/>
    <row r="2821" s="25" customFormat="1" ht="17.25" customHeight="1"/>
    <row r="2822" s="25" customFormat="1" ht="17.25" customHeight="1"/>
    <row r="2823" s="25" customFormat="1" ht="17.25" customHeight="1"/>
    <row r="2824" s="25" customFormat="1" ht="17.25" customHeight="1"/>
    <row r="2825" s="25" customFormat="1" ht="17.25" customHeight="1"/>
    <row r="2826" s="25" customFormat="1" ht="17.25" customHeight="1"/>
    <row r="2827" s="25" customFormat="1" ht="17.25" customHeight="1"/>
    <row r="2828" s="25" customFormat="1" ht="17.25" customHeight="1"/>
    <row r="2829" s="25" customFormat="1" ht="17.25" customHeight="1"/>
    <row r="2830" s="25" customFormat="1" ht="17.25" customHeight="1"/>
    <row r="2831" s="25" customFormat="1" ht="17.25" customHeight="1"/>
    <row r="2832" s="25" customFormat="1" ht="17.25" customHeight="1"/>
    <row r="2833" s="25" customFormat="1" ht="17.25" customHeight="1"/>
    <row r="2834" s="25" customFormat="1" ht="17.25" customHeight="1"/>
    <row r="2835" s="25" customFormat="1" ht="17.25" customHeight="1"/>
    <row r="2836" s="25" customFormat="1" ht="17.25" customHeight="1"/>
    <row r="2837" s="25" customFormat="1" ht="17.25" customHeight="1"/>
    <row r="2838" s="25" customFormat="1" ht="17.25" customHeight="1"/>
    <row r="2839" s="25" customFormat="1" ht="17.25" customHeight="1"/>
    <row r="2840" s="25" customFormat="1" ht="17.25" customHeight="1"/>
    <row r="2841" s="25" customFormat="1" ht="17.25" customHeight="1"/>
    <row r="2842" s="25" customFormat="1" ht="17.25" customHeight="1"/>
    <row r="2843" s="25" customFormat="1" ht="17.25" customHeight="1"/>
    <row r="2844" s="25" customFormat="1" ht="17.25" customHeight="1"/>
    <row r="2845" s="25" customFormat="1" ht="17.25" customHeight="1"/>
    <row r="2846" s="25" customFormat="1" ht="17.25" customHeight="1"/>
    <row r="2847" s="25" customFormat="1" ht="17.25" customHeight="1"/>
    <row r="2848" s="25" customFormat="1" ht="17.25" customHeight="1"/>
    <row r="2849" s="25" customFormat="1" ht="17.25" customHeight="1"/>
    <row r="2850" s="25" customFormat="1" ht="17.25" customHeight="1"/>
    <row r="2851" s="25" customFormat="1" ht="17.25" customHeight="1"/>
    <row r="2852" s="25" customFormat="1" ht="17.25" customHeight="1"/>
    <row r="2853" s="25" customFormat="1" ht="17.25" customHeight="1"/>
    <row r="2854" s="25" customFormat="1" ht="17.25" customHeight="1"/>
    <row r="2855" s="25" customFormat="1" ht="17.25" customHeight="1"/>
    <row r="2856" s="25" customFormat="1" ht="17.25" customHeight="1"/>
    <row r="2857" s="25" customFormat="1" ht="17.25" customHeight="1"/>
    <row r="2858" s="25" customFormat="1" ht="17.25" customHeight="1"/>
    <row r="2859" s="25" customFormat="1" ht="17.25" customHeight="1"/>
    <row r="2860" s="25" customFormat="1" ht="17.25" customHeight="1"/>
    <row r="2861" s="25" customFormat="1" ht="17.25" customHeight="1"/>
    <row r="2862" s="25" customFormat="1" ht="17.25" customHeight="1"/>
    <row r="2863" s="25" customFormat="1" ht="17.25" customHeight="1"/>
    <row r="2864" s="25" customFormat="1" ht="17.25" customHeight="1"/>
    <row r="2865" s="25" customFormat="1" ht="17.25" customHeight="1"/>
    <row r="2866" s="25" customFormat="1" ht="17.25" customHeight="1"/>
    <row r="2867" s="25" customFormat="1" ht="17.25" customHeight="1"/>
    <row r="2868" s="25" customFormat="1" ht="17.25" customHeight="1"/>
    <row r="2869" s="25" customFormat="1" ht="17.25" customHeight="1"/>
    <row r="2870" s="25" customFormat="1" ht="17.25" customHeight="1"/>
    <row r="2871" s="25" customFormat="1" ht="17.25" customHeight="1"/>
    <row r="2872" s="25" customFormat="1" ht="17.25" customHeight="1"/>
    <row r="2873" s="25" customFormat="1" ht="17.25" customHeight="1"/>
    <row r="2874" s="25" customFormat="1" ht="17.25" customHeight="1"/>
    <row r="2875" s="25" customFormat="1" ht="17.25" customHeight="1"/>
    <row r="2876" s="25" customFormat="1" ht="17.25" customHeight="1"/>
    <row r="2877" s="25" customFormat="1" ht="17.25" customHeight="1"/>
    <row r="2878" s="25" customFormat="1" ht="17.25" customHeight="1"/>
    <row r="2879" s="25" customFormat="1" ht="17.25" customHeight="1"/>
    <row r="2880" s="25" customFormat="1" ht="17.25" customHeight="1"/>
    <row r="2881" s="25" customFormat="1" ht="17.25" customHeight="1"/>
    <row r="2882" s="25" customFormat="1" ht="17.25" customHeight="1"/>
    <row r="2883" s="25" customFormat="1" ht="17.25" customHeight="1"/>
    <row r="2884" s="25" customFormat="1" ht="17.25" customHeight="1"/>
    <row r="2885" s="25" customFormat="1" ht="17.25" customHeight="1"/>
    <row r="2886" s="25" customFormat="1" ht="17.25" customHeight="1"/>
    <row r="2887" s="25" customFormat="1" ht="17.25" customHeight="1"/>
    <row r="2888" s="25" customFormat="1" ht="17.25" customHeight="1"/>
    <row r="2889" s="25" customFormat="1" ht="17.25" customHeight="1"/>
    <row r="2890" s="25" customFormat="1" ht="17.25" customHeight="1"/>
    <row r="2891" s="25" customFormat="1" ht="17.25" customHeight="1"/>
    <row r="2892" s="25" customFormat="1" ht="17.25" customHeight="1"/>
    <row r="2893" s="25" customFormat="1" ht="17.25" customHeight="1"/>
    <row r="2894" s="25" customFormat="1" ht="17.25" customHeight="1"/>
    <row r="2895" s="25" customFormat="1" ht="17.25" customHeight="1"/>
    <row r="2896" s="25" customFormat="1" ht="17.25" customHeight="1"/>
    <row r="2897" s="25" customFormat="1" ht="17.25" customHeight="1"/>
    <row r="2898" s="25" customFormat="1" ht="17.25" customHeight="1"/>
    <row r="2899" s="25" customFormat="1" ht="17.25" customHeight="1"/>
    <row r="2900" s="25" customFormat="1" ht="17.25" customHeight="1"/>
    <row r="2901" s="25" customFormat="1" ht="17.25" customHeight="1"/>
    <row r="2902" s="25" customFormat="1" ht="17.25" customHeight="1"/>
    <row r="2903" s="25" customFormat="1" ht="17.25" customHeight="1"/>
    <row r="2904" s="25" customFormat="1" ht="17.25" customHeight="1"/>
    <row r="2905" s="25" customFormat="1" ht="17.25" customHeight="1"/>
    <row r="2906" s="25" customFormat="1" ht="17.25" customHeight="1"/>
    <row r="2907" s="25" customFormat="1" ht="17.25" customHeight="1"/>
    <row r="2908" s="25" customFormat="1" ht="17.25" customHeight="1"/>
    <row r="2909" s="25" customFormat="1" ht="17.25" customHeight="1"/>
    <row r="2910" s="25" customFormat="1" ht="17.25" customHeight="1"/>
    <row r="2911" s="25" customFormat="1" ht="17.25" customHeight="1"/>
    <row r="2912" s="25" customFormat="1" ht="17.25" customHeight="1"/>
    <row r="2913" s="25" customFormat="1" ht="17.25" customHeight="1"/>
    <row r="2914" s="25" customFormat="1" ht="17.25" customHeight="1"/>
    <row r="2915" s="25" customFormat="1" ht="17.25" customHeight="1"/>
    <row r="2916" s="25" customFormat="1" ht="17.25" customHeight="1"/>
    <row r="2917" s="25" customFormat="1" ht="17.25" customHeight="1"/>
    <row r="2918" s="25" customFormat="1" ht="17.25" customHeight="1"/>
    <row r="2919" s="25" customFormat="1" ht="17.25" customHeight="1"/>
    <row r="2920" s="25" customFormat="1" ht="17.25" customHeight="1"/>
    <row r="2921" s="25" customFormat="1" ht="17.25" customHeight="1"/>
    <row r="2922" s="25" customFormat="1" ht="17.25" customHeight="1"/>
    <row r="2923" s="25" customFormat="1" ht="17.25" customHeight="1"/>
    <row r="2924" s="25" customFormat="1" ht="17.25" customHeight="1"/>
    <row r="2925" s="25" customFormat="1" ht="17.25" customHeight="1"/>
    <row r="2926" s="25" customFormat="1" ht="17.25" customHeight="1"/>
    <row r="2927" s="25" customFormat="1" ht="17.25" customHeight="1"/>
    <row r="2928" s="25" customFormat="1" ht="17.25" customHeight="1"/>
    <row r="2929" s="25" customFormat="1" ht="17.25" customHeight="1"/>
    <row r="2930" s="25" customFormat="1" ht="17.25" customHeight="1"/>
    <row r="2931" s="25" customFormat="1" ht="17.25" customHeight="1"/>
    <row r="2932" s="25" customFormat="1" ht="17.25" customHeight="1"/>
    <row r="2933" s="25" customFormat="1" ht="17.25" customHeight="1"/>
    <row r="2934" s="25" customFormat="1" ht="17.25" customHeight="1"/>
    <row r="2935" s="25" customFormat="1" ht="17.25" customHeight="1"/>
    <row r="2936" s="25" customFormat="1" ht="17.25" customHeight="1"/>
    <row r="2937" s="25" customFormat="1" ht="17.25" customHeight="1"/>
    <row r="2938" s="25" customFormat="1" ht="17.25" customHeight="1"/>
    <row r="2939" s="25" customFormat="1" ht="17.25" customHeight="1"/>
    <row r="2940" s="25" customFormat="1" ht="17.25" customHeight="1"/>
    <row r="2941" s="25" customFormat="1" ht="17.25" customHeight="1"/>
    <row r="2942" s="25" customFormat="1" ht="17.25" customHeight="1"/>
    <row r="2943" s="25" customFormat="1" ht="17.25" customHeight="1"/>
    <row r="2944" s="25" customFormat="1" ht="17.25" customHeight="1"/>
    <row r="2945" s="25" customFormat="1" ht="17.25" customHeight="1"/>
    <row r="2946" s="25" customFormat="1" ht="17.25" customHeight="1"/>
    <row r="2947" s="25" customFormat="1" ht="17.25" customHeight="1"/>
    <row r="2948" s="25" customFormat="1" ht="17.25" customHeight="1"/>
    <row r="2949" s="25" customFormat="1" ht="17.25" customHeight="1"/>
    <row r="2950" s="25" customFormat="1" ht="17.25" customHeight="1"/>
    <row r="2951" s="25" customFormat="1" ht="17.25" customHeight="1"/>
    <row r="2952" s="25" customFormat="1" ht="17.25" customHeight="1"/>
    <row r="2953" s="25" customFormat="1" ht="17.25" customHeight="1"/>
    <row r="2954" s="25" customFormat="1" ht="17.25" customHeight="1"/>
    <row r="2955" s="25" customFormat="1" ht="17.25" customHeight="1"/>
    <row r="2956" s="25" customFormat="1" ht="17.25" customHeight="1"/>
    <row r="2957" s="25" customFormat="1" ht="17.25" customHeight="1"/>
    <row r="2958" s="25" customFormat="1" ht="17.25" customHeight="1"/>
    <row r="2959" s="25" customFormat="1" ht="17.25" customHeight="1"/>
    <row r="2960" s="25" customFormat="1" ht="17.25" customHeight="1"/>
    <row r="2961" s="25" customFormat="1" ht="17.25" customHeight="1"/>
    <row r="2962" s="25" customFormat="1" ht="17.25" customHeight="1"/>
    <row r="2963" s="25" customFormat="1" ht="17.25" customHeight="1"/>
    <row r="2964" s="25" customFormat="1" ht="17.25" customHeight="1"/>
    <row r="2965" s="25" customFormat="1" ht="17.25" customHeight="1"/>
    <row r="2966" s="25" customFormat="1" ht="17.25" customHeight="1"/>
    <row r="2967" s="25" customFormat="1" ht="17.25" customHeight="1"/>
    <row r="2968" s="25" customFormat="1" ht="17.25" customHeight="1"/>
    <row r="2969" s="25" customFormat="1" ht="17.25" customHeight="1"/>
    <row r="2970" s="25" customFormat="1" ht="17.25" customHeight="1"/>
    <row r="2971" s="25" customFormat="1" ht="17.25" customHeight="1"/>
    <row r="2972" s="25" customFormat="1" ht="17.25" customHeight="1"/>
    <row r="2973" s="25" customFormat="1" ht="17.25" customHeight="1"/>
    <row r="2974" s="25" customFormat="1" ht="17.25" customHeight="1"/>
    <row r="2975" s="25" customFormat="1" ht="17.25" customHeight="1"/>
    <row r="2976" s="25" customFormat="1" ht="17.25" customHeight="1"/>
    <row r="2977" s="25" customFormat="1" ht="17.25" customHeight="1"/>
    <row r="2978" s="25" customFormat="1" ht="17.25" customHeight="1"/>
    <row r="2979" s="25" customFormat="1" ht="17.25" customHeight="1"/>
    <row r="2980" s="25" customFormat="1" ht="17.25" customHeight="1"/>
    <row r="2981" s="25" customFormat="1" ht="17.25" customHeight="1"/>
    <row r="2982" s="25" customFormat="1" ht="17.25" customHeight="1"/>
    <row r="2983" s="25" customFormat="1" ht="17.25" customHeight="1"/>
    <row r="2984" s="25" customFormat="1" ht="17.25" customHeight="1"/>
    <row r="2985" s="25" customFormat="1" ht="17.25" customHeight="1"/>
    <row r="2986" s="25" customFormat="1" ht="17.25" customHeight="1"/>
    <row r="2987" s="25" customFormat="1" ht="17.25" customHeight="1"/>
    <row r="2988" s="25" customFormat="1" ht="17.25" customHeight="1"/>
    <row r="2989" s="25" customFormat="1" ht="17.25" customHeight="1"/>
    <row r="2990" s="25" customFormat="1" ht="17.25" customHeight="1"/>
    <row r="2991" s="25" customFormat="1" ht="17.25" customHeight="1"/>
    <row r="2992" s="25" customFormat="1" ht="17.25" customHeight="1"/>
    <row r="2993" s="25" customFormat="1" ht="17.25" customHeight="1"/>
    <row r="2994" s="25" customFormat="1" ht="17.25" customHeight="1"/>
    <row r="2995" s="25" customFormat="1" ht="17.25" customHeight="1"/>
    <row r="2996" s="25" customFormat="1" ht="17.25" customHeight="1"/>
    <row r="2997" s="25" customFormat="1" ht="17.25" customHeight="1"/>
    <row r="2998" s="25" customFormat="1" ht="17.25" customHeight="1"/>
    <row r="2999" s="25" customFormat="1" ht="17.25" customHeight="1"/>
    <row r="3000" s="25" customFormat="1" ht="17.25" customHeight="1"/>
    <row r="3001" s="25" customFormat="1" ht="17.25" customHeight="1"/>
    <row r="3002" s="25" customFormat="1" ht="17.25" customHeight="1"/>
    <row r="3003" s="25" customFormat="1" ht="17.25" customHeight="1"/>
    <row r="3004" s="25" customFormat="1" ht="17.25" customHeight="1"/>
    <row r="3005" s="25" customFormat="1" ht="17.25" customHeight="1"/>
    <row r="3006" s="25" customFormat="1" ht="17.25" customHeight="1"/>
    <row r="3007" s="25" customFormat="1" ht="17.25" customHeight="1"/>
    <row r="3008" s="25" customFormat="1" ht="17.25" customHeight="1"/>
    <row r="3009" s="25" customFormat="1" ht="17.25" customHeight="1"/>
    <row r="3010" s="25" customFormat="1" ht="17.25" customHeight="1"/>
    <row r="3011" s="25" customFormat="1" ht="17.25" customHeight="1"/>
    <row r="3012" s="25" customFormat="1" ht="17.25" customHeight="1"/>
    <row r="3013" s="25" customFormat="1" ht="17.25" customHeight="1"/>
    <row r="3014" s="25" customFormat="1" ht="17.25" customHeight="1"/>
    <row r="3015" s="25" customFormat="1" ht="17.25" customHeight="1"/>
    <row r="3016" s="25" customFormat="1" ht="17.25" customHeight="1"/>
    <row r="3017" s="25" customFormat="1" ht="17.25" customHeight="1"/>
    <row r="3018" s="25" customFormat="1" ht="17.25" customHeight="1"/>
    <row r="3019" s="25" customFormat="1" ht="17.25" customHeight="1"/>
    <row r="3020" s="25" customFormat="1" ht="17.25" customHeight="1"/>
    <row r="3021" s="25" customFormat="1" ht="17.25" customHeight="1"/>
    <row r="3022" s="25" customFormat="1" ht="17.25" customHeight="1"/>
    <row r="3023" s="25" customFormat="1" ht="17.25" customHeight="1"/>
    <row r="3024" s="25" customFormat="1" ht="17.25" customHeight="1"/>
    <row r="3025" s="25" customFormat="1" ht="17.25" customHeight="1"/>
    <row r="3026" s="25" customFormat="1" ht="17.25" customHeight="1"/>
    <row r="3027" s="25" customFormat="1" ht="17.25" customHeight="1"/>
    <row r="3028" s="25" customFormat="1" ht="17.25" customHeight="1"/>
    <row r="3029" s="25" customFormat="1" ht="17.25" customHeight="1"/>
    <row r="3030" s="25" customFormat="1" ht="17.25" customHeight="1"/>
    <row r="3031" s="25" customFormat="1" ht="17.25" customHeight="1"/>
    <row r="3032" s="25" customFormat="1" ht="17.25" customHeight="1"/>
    <row r="3033" s="25" customFormat="1" ht="17.25" customHeight="1"/>
    <row r="3034" s="25" customFormat="1" ht="17.25" customHeight="1"/>
    <row r="3035" s="25" customFormat="1" ht="17.25" customHeight="1"/>
    <row r="3036" s="25" customFormat="1" ht="17.25" customHeight="1"/>
    <row r="3037" s="25" customFormat="1" ht="17.25" customHeight="1"/>
    <row r="3038" s="25" customFormat="1" ht="17.25" customHeight="1"/>
    <row r="3039" s="25" customFormat="1" ht="17.25" customHeight="1"/>
    <row r="3040" s="25" customFormat="1" ht="17.25" customHeight="1"/>
    <row r="3041" s="25" customFormat="1" ht="17.25" customHeight="1"/>
    <row r="3042" s="25" customFormat="1" ht="17.25" customHeight="1"/>
    <row r="3043" s="25" customFormat="1" ht="17.25" customHeight="1"/>
    <row r="3044" s="25" customFormat="1" ht="17.25" customHeight="1"/>
    <row r="3045" s="25" customFormat="1" ht="17.25" customHeight="1"/>
    <row r="3046" s="25" customFormat="1" ht="17.25" customHeight="1"/>
    <row r="3047" s="25" customFormat="1" ht="17.25" customHeight="1"/>
    <row r="3048" s="25" customFormat="1" ht="17.25" customHeight="1"/>
    <row r="3049" s="25" customFormat="1" ht="17.25" customHeight="1"/>
    <row r="3050" s="25" customFormat="1" ht="17.25" customHeight="1"/>
    <row r="3051" s="25" customFormat="1" ht="17.25" customHeight="1"/>
    <row r="3052" s="25" customFormat="1" ht="17.25" customHeight="1"/>
    <row r="3053" s="25" customFormat="1" ht="17.25" customHeight="1"/>
    <row r="3054" s="25" customFormat="1" ht="17.25" customHeight="1"/>
    <row r="3055" s="25" customFormat="1" ht="17.25" customHeight="1"/>
    <row r="3056" s="25" customFormat="1" ht="17.25" customHeight="1"/>
    <row r="3057" s="25" customFormat="1" ht="17.25" customHeight="1"/>
    <row r="3058" s="25" customFormat="1" ht="17.25" customHeight="1"/>
    <row r="3059" s="25" customFormat="1" ht="17.25" customHeight="1"/>
    <row r="3060" s="25" customFormat="1" ht="17.25" customHeight="1"/>
    <row r="3061" s="25" customFormat="1" ht="17.25" customHeight="1"/>
    <row r="3062" s="25" customFormat="1" ht="17.25" customHeight="1"/>
    <row r="3063" s="25" customFormat="1" ht="17.25" customHeight="1"/>
    <row r="3064" s="25" customFormat="1" ht="17.25" customHeight="1"/>
    <row r="3065" s="25" customFormat="1" ht="17.25" customHeight="1"/>
    <row r="3066" s="25" customFormat="1" ht="17.25" customHeight="1"/>
    <row r="3067" s="25" customFormat="1" ht="17.25" customHeight="1"/>
    <row r="3068" s="25" customFormat="1" ht="17.25" customHeight="1"/>
    <row r="3069" s="25" customFormat="1" ht="17.25" customHeight="1"/>
    <row r="3070" s="25" customFormat="1" ht="17.25" customHeight="1"/>
    <row r="3071" s="25" customFormat="1" ht="17.25" customHeight="1"/>
    <row r="3072" s="25" customFormat="1" ht="17.25" customHeight="1"/>
    <row r="3073" s="25" customFormat="1" ht="17.25" customHeight="1"/>
    <row r="3074" s="25" customFormat="1" ht="17.25" customHeight="1"/>
    <row r="3075" s="25" customFormat="1" ht="17.25" customHeight="1"/>
    <row r="3076" s="25" customFormat="1" ht="17.25" customHeight="1"/>
    <row r="3077" s="25" customFormat="1" ht="17.25" customHeight="1"/>
    <row r="3078" s="25" customFormat="1" ht="17.25" customHeight="1"/>
    <row r="3079" s="25" customFormat="1" ht="17.25" customHeight="1"/>
    <row r="3080" s="25" customFormat="1" ht="17.25" customHeight="1"/>
    <row r="3081" s="25" customFormat="1" ht="17.25" customHeight="1"/>
    <row r="3082" s="25" customFormat="1" ht="17.25" customHeight="1"/>
    <row r="3083" s="25" customFormat="1" ht="17.25" customHeight="1"/>
    <row r="3084" s="25" customFormat="1" ht="17.25" customHeight="1"/>
    <row r="3085" s="25" customFormat="1" ht="17.25" customHeight="1"/>
    <row r="3086" s="25" customFormat="1" ht="17.25" customHeight="1"/>
    <row r="3087" s="25" customFormat="1" ht="17.25" customHeight="1"/>
    <row r="3088" s="25" customFormat="1" ht="17.25" customHeight="1"/>
    <row r="3089" s="25" customFormat="1" ht="17.25" customHeight="1"/>
    <row r="3090" s="25" customFormat="1" ht="17.25" customHeight="1"/>
    <row r="3091" s="25" customFormat="1" ht="17.25" customHeight="1"/>
    <row r="3092" s="25" customFormat="1" ht="17.25" customHeight="1"/>
    <row r="3093" s="25" customFormat="1" ht="17.25" customHeight="1"/>
    <row r="3094" s="25" customFormat="1" ht="17.25" customHeight="1"/>
    <row r="3095" s="25" customFormat="1" ht="17.25" customHeight="1"/>
    <row r="3096" s="25" customFormat="1" ht="17.25" customHeight="1"/>
    <row r="3097" s="25" customFormat="1" ht="17.25" customHeight="1"/>
    <row r="3098" s="25" customFormat="1" ht="17.25" customHeight="1"/>
    <row r="3099" s="25" customFormat="1" ht="17.25" customHeight="1"/>
    <row r="3100" s="25" customFormat="1" ht="17.25" customHeight="1"/>
    <row r="3101" s="25" customFormat="1" ht="17.25" customHeight="1"/>
    <row r="3102" s="25" customFormat="1" ht="17.25" customHeight="1"/>
    <row r="3103" s="25" customFormat="1" ht="17.25" customHeight="1"/>
    <row r="3104" s="25" customFormat="1" ht="17.25" customHeight="1"/>
    <row r="3105" s="25" customFormat="1" ht="17.25" customHeight="1"/>
    <row r="3106" s="25" customFormat="1" ht="17.25" customHeight="1"/>
    <row r="3107" s="25" customFormat="1" ht="17.25" customHeight="1"/>
    <row r="3108" s="25" customFormat="1" ht="17.25" customHeight="1"/>
    <row r="3109" s="25" customFormat="1" ht="17.25" customHeight="1"/>
    <row r="3110" s="25" customFormat="1" ht="17.25" customHeight="1"/>
    <row r="3111" s="25" customFormat="1" ht="17.25" customHeight="1"/>
    <row r="3112" s="25" customFormat="1" ht="17.25" customHeight="1"/>
    <row r="3113" s="25" customFormat="1" ht="17.25" customHeight="1"/>
    <row r="3114" s="25" customFormat="1" ht="17.25" customHeight="1"/>
    <row r="3115" s="25" customFormat="1" ht="17.25" customHeight="1"/>
    <row r="3116" s="25" customFormat="1" ht="17.25" customHeight="1"/>
    <row r="3117" s="25" customFormat="1" ht="17.25" customHeight="1"/>
    <row r="3118" s="25" customFormat="1" ht="17.25" customHeight="1"/>
    <row r="3119" s="25" customFormat="1" ht="17.25" customHeight="1"/>
    <row r="3120" s="25" customFormat="1" ht="17.25" customHeight="1"/>
    <row r="3121" s="25" customFormat="1" ht="17.25" customHeight="1"/>
    <row r="3122" s="25" customFormat="1" ht="17.25" customHeight="1"/>
    <row r="3123" s="25" customFormat="1" ht="17.25" customHeight="1"/>
    <row r="3124" s="25" customFormat="1" ht="17.25" customHeight="1"/>
    <row r="3125" s="25" customFormat="1" ht="17.25" customHeight="1"/>
    <row r="3126" s="25" customFormat="1" ht="17.25" customHeight="1"/>
    <row r="3127" s="25" customFormat="1" ht="17.25" customHeight="1"/>
    <row r="3128" s="25" customFormat="1" ht="17.25" customHeight="1"/>
    <row r="3129" s="25" customFormat="1" ht="17.25" customHeight="1"/>
    <row r="3130" s="25" customFormat="1" ht="17.25" customHeight="1"/>
    <row r="3131" s="25" customFormat="1" ht="17.25" customHeight="1"/>
    <row r="3132" s="25" customFormat="1" ht="17.25" customHeight="1"/>
    <row r="3133" s="25" customFormat="1" ht="17.25" customHeight="1"/>
    <row r="3134" s="25" customFormat="1" ht="17.25" customHeight="1"/>
    <row r="3135" s="25" customFormat="1" ht="17.25" customHeight="1"/>
    <row r="3136" s="25" customFormat="1" ht="17.25" customHeight="1"/>
    <row r="3137" s="25" customFormat="1" ht="17.25" customHeight="1"/>
    <row r="3138" s="25" customFormat="1" ht="17.25" customHeight="1"/>
    <row r="3139" s="25" customFormat="1" ht="17.25" customHeight="1"/>
    <row r="3140" s="25" customFormat="1" ht="17.25" customHeight="1"/>
    <row r="3141" s="25" customFormat="1" ht="17.25" customHeight="1"/>
    <row r="3142" s="25" customFormat="1" ht="17.25" customHeight="1"/>
    <row r="3143" s="25" customFormat="1" ht="17.25" customHeight="1"/>
    <row r="3144" s="25" customFormat="1" ht="17.25" customHeight="1"/>
    <row r="3145" s="25" customFormat="1" ht="17.25" customHeight="1"/>
    <row r="3146" s="25" customFormat="1" ht="17.25" customHeight="1"/>
    <row r="3147" s="25" customFormat="1" ht="17.25" customHeight="1"/>
    <row r="3148" s="25" customFormat="1" ht="17.25" customHeight="1"/>
    <row r="3149" s="25" customFormat="1" ht="17.25" customHeight="1"/>
    <row r="3150" s="25" customFormat="1" ht="17.25" customHeight="1"/>
    <row r="3151" s="25" customFormat="1" ht="17.25" customHeight="1"/>
    <row r="3152" s="25" customFormat="1" ht="17.25" customHeight="1"/>
    <row r="3153" s="25" customFormat="1" ht="17.25" customHeight="1"/>
    <row r="3154" s="25" customFormat="1" ht="17.25" customHeight="1"/>
    <row r="3155" s="25" customFormat="1" ht="17.25" customHeight="1"/>
    <row r="3156" s="25" customFormat="1" ht="17.25" customHeight="1"/>
    <row r="3157" s="25" customFormat="1" ht="17.25" customHeight="1"/>
    <row r="3158" s="25" customFormat="1" ht="17.25" customHeight="1"/>
    <row r="3159" s="25" customFormat="1" ht="17.25" customHeight="1"/>
    <row r="3160" s="25" customFormat="1" ht="17.25" customHeight="1"/>
    <row r="3161" s="25" customFormat="1" ht="17.25" customHeight="1"/>
    <row r="3162" s="25" customFormat="1" ht="17.25" customHeight="1"/>
    <row r="3163" s="25" customFormat="1" ht="17.25" customHeight="1"/>
    <row r="3164" s="25" customFormat="1" ht="17.25" customHeight="1"/>
    <row r="3165" s="25" customFormat="1" ht="17.25" customHeight="1"/>
    <row r="3166" s="25" customFormat="1" ht="17.25" customHeight="1"/>
    <row r="3167" s="25" customFormat="1" ht="17.25" customHeight="1"/>
    <row r="3168" s="25" customFormat="1" ht="17.25" customHeight="1"/>
    <row r="3169" s="25" customFormat="1" ht="17.25" customHeight="1"/>
    <row r="3170" s="25" customFormat="1" ht="17.25" customHeight="1"/>
    <row r="3171" s="25" customFormat="1" ht="17.25" customHeight="1"/>
    <row r="3172" s="25" customFormat="1" ht="17.25" customHeight="1"/>
    <row r="3173" s="25" customFormat="1" ht="17.25" customHeight="1"/>
    <row r="3174" s="25" customFormat="1" ht="17.25" customHeight="1"/>
    <row r="3175" s="25" customFormat="1" ht="17.25" customHeight="1"/>
    <row r="3176" s="25" customFormat="1" ht="17.25" customHeight="1"/>
    <row r="3177" s="25" customFormat="1" ht="17.25" customHeight="1"/>
    <row r="3178" s="25" customFormat="1" ht="17.25" customHeight="1"/>
    <row r="3179" s="25" customFormat="1" ht="17.25" customHeight="1"/>
    <row r="3180" s="25" customFormat="1" ht="17.25" customHeight="1"/>
    <row r="3181" s="25" customFormat="1" ht="17.25" customHeight="1"/>
    <row r="3182" s="25" customFormat="1" ht="17.25" customHeight="1"/>
    <row r="3183" s="25" customFormat="1" ht="17.25" customHeight="1"/>
    <row r="3184" s="25" customFormat="1" ht="17.25" customHeight="1"/>
    <row r="3185" s="25" customFormat="1" ht="17.25" customHeight="1"/>
    <row r="3186" s="25" customFormat="1" ht="17.25" customHeight="1"/>
    <row r="3187" s="25" customFormat="1" ht="17.25" customHeight="1"/>
    <row r="3188" s="25" customFormat="1" ht="17.25" customHeight="1"/>
    <row r="3189" s="25" customFormat="1" ht="17.25" customHeight="1"/>
    <row r="3190" s="25" customFormat="1" ht="17.25" customHeight="1"/>
    <row r="3191" s="25" customFormat="1" ht="17.25" customHeight="1"/>
    <row r="3192" s="25" customFormat="1" ht="17.25" customHeight="1"/>
    <row r="3193" s="25" customFormat="1" ht="17.25" customHeight="1"/>
    <row r="3194" s="25" customFormat="1" ht="17.25" customHeight="1"/>
    <row r="3195" s="25" customFormat="1" ht="17.25" customHeight="1"/>
    <row r="3196" s="25" customFormat="1" ht="17.25" customHeight="1"/>
    <row r="3197" s="25" customFormat="1" ht="17.25" customHeight="1"/>
    <row r="3198" s="25" customFormat="1" ht="17.25" customHeight="1"/>
    <row r="3199" s="25" customFormat="1" ht="17.25" customHeight="1"/>
    <row r="3200" s="25" customFormat="1" ht="17.25" customHeight="1"/>
    <row r="3201" s="25" customFormat="1" ht="17.25" customHeight="1"/>
    <row r="3202" s="25" customFormat="1" ht="17.25" customHeight="1"/>
    <row r="3203" s="25" customFormat="1" ht="17.25" customHeight="1"/>
    <row r="3204" s="25" customFormat="1" ht="17.25" customHeight="1"/>
    <row r="3205" s="25" customFormat="1" ht="17.25" customHeight="1"/>
    <row r="3206" s="25" customFormat="1" ht="17.25" customHeight="1"/>
    <row r="3207" s="25" customFormat="1" ht="17.25" customHeight="1"/>
    <row r="3208" s="25" customFormat="1" ht="17.25" customHeight="1"/>
    <row r="3209" s="25" customFormat="1" ht="17.25" customHeight="1"/>
    <row r="3210" s="25" customFormat="1" ht="17.25" customHeight="1"/>
    <row r="3211" s="25" customFormat="1" ht="17.25" customHeight="1"/>
    <row r="3212" s="25" customFormat="1" ht="17.25" customHeight="1"/>
    <row r="3213" s="25" customFormat="1" ht="17.25" customHeight="1"/>
    <row r="3214" s="25" customFormat="1" ht="17.25" customHeight="1"/>
    <row r="3215" s="25" customFormat="1" ht="17.25" customHeight="1"/>
    <row r="3216" s="25" customFormat="1" ht="17.25" customHeight="1"/>
    <row r="3217" s="25" customFormat="1" ht="17.25" customHeight="1"/>
    <row r="3218" s="25" customFormat="1" ht="17.25" customHeight="1"/>
    <row r="3219" s="25" customFormat="1" ht="17.25" customHeight="1"/>
    <row r="3220" s="25" customFormat="1" ht="17.25" customHeight="1"/>
    <row r="3221" s="25" customFormat="1" ht="17.25" customHeight="1"/>
    <row r="3222" s="25" customFormat="1" ht="17.25" customHeight="1"/>
    <row r="3223" s="25" customFormat="1" ht="17.25" customHeight="1"/>
    <row r="3224" s="25" customFormat="1" ht="17.25" customHeight="1"/>
    <row r="3225" s="25" customFormat="1" ht="17.25" customHeight="1"/>
    <row r="3226" s="25" customFormat="1" ht="17.25" customHeight="1"/>
    <row r="3227" s="25" customFormat="1" ht="17.25" customHeight="1"/>
    <row r="3228" s="25" customFormat="1" ht="17.25" customHeight="1"/>
    <row r="3229" s="25" customFormat="1" ht="17.25" customHeight="1"/>
    <row r="3230" s="25" customFormat="1" ht="17.25" customHeight="1"/>
    <row r="3231" s="25" customFormat="1" ht="17.25" customHeight="1"/>
    <row r="3232" s="25" customFormat="1" ht="17.25" customHeight="1"/>
    <row r="3233" s="25" customFormat="1" ht="17.25" customHeight="1"/>
    <row r="3234" s="25" customFormat="1" ht="17.25" customHeight="1"/>
    <row r="3235" s="25" customFormat="1" ht="17.25" customHeight="1"/>
    <row r="3236" s="25" customFormat="1" ht="17.25" customHeight="1"/>
    <row r="3237" s="25" customFormat="1" ht="17.25" customHeight="1"/>
    <row r="3238" s="25" customFormat="1" ht="17.25" customHeight="1"/>
    <row r="3239" s="25" customFormat="1" ht="17.25" customHeight="1"/>
    <row r="3240" s="25" customFormat="1" ht="17.25" customHeight="1"/>
    <row r="3241" s="25" customFormat="1" ht="17.25" customHeight="1"/>
    <row r="3242" s="25" customFormat="1" ht="17.25" customHeight="1"/>
    <row r="3243" s="25" customFormat="1" ht="17.25" customHeight="1"/>
    <row r="3244" s="25" customFormat="1" ht="17.25" customHeight="1"/>
    <row r="3245" s="25" customFormat="1" ht="17.25" customHeight="1"/>
    <row r="3246" s="25" customFormat="1" ht="17.25" customHeight="1"/>
    <row r="3247" s="25" customFormat="1" ht="17.25" customHeight="1"/>
    <row r="3248" s="25" customFormat="1" ht="17.25" customHeight="1"/>
    <row r="3249" s="25" customFormat="1" ht="17.25" customHeight="1"/>
    <row r="3250" s="25" customFormat="1" ht="17.25" customHeight="1"/>
    <row r="3251" s="25" customFormat="1" ht="17.25" customHeight="1"/>
    <row r="3252" s="25" customFormat="1" ht="17.25" customHeight="1"/>
    <row r="3253" s="25" customFormat="1" ht="17.25" customHeight="1"/>
    <row r="3254" s="25" customFormat="1" ht="17.25" customHeight="1"/>
    <row r="3255" s="25" customFormat="1" ht="17.25" customHeight="1"/>
    <row r="3256" s="25" customFormat="1" ht="17.25" customHeight="1"/>
    <row r="3257" s="25" customFormat="1" ht="17.25" customHeight="1"/>
    <row r="3258" s="25" customFormat="1" ht="17.25" customHeight="1"/>
    <row r="3259" s="25" customFormat="1" ht="17.25" customHeight="1"/>
    <row r="3260" s="25" customFormat="1" ht="17.25" customHeight="1"/>
    <row r="3261" s="25" customFormat="1" ht="17.25" customHeight="1"/>
    <row r="3262" s="25" customFormat="1" ht="17.25" customHeight="1"/>
    <row r="3263" s="25" customFormat="1" ht="17.25" customHeight="1"/>
    <row r="3264" s="25" customFormat="1" ht="17.25" customHeight="1"/>
    <row r="3265" s="25" customFormat="1" ht="17.25" customHeight="1"/>
    <row r="3266" s="25" customFormat="1" ht="17.25" customHeight="1"/>
    <row r="3267" s="25" customFormat="1" ht="17.25" customHeight="1"/>
    <row r="3268" s="25" customFormat="1" ht="17.25" customHeight="1"/>
    <row r="3269" s="25" customFormat="1" ht="17.25" customHeight="1"/>
    <row r="3270" s="25" customFormat="1" ht="17.25" customHeight="1"/>
    <row r="3271" s="25" customFormat="1" ht="17.25" customHeight="1"/>
    <row r="3272" s="25" customFormat="1" ht="17.25" customHeight="1"/>
    <row r="3273" s="25" customFormat="1" ht="17.25" customHeight="1"/>
    <row r="3274" s="25" customFormat="1" ht="17.25" customHeight="1"/>
    <row r="3275" s="25" customFormat="1" ht="17.25" customHeight="1"/>
    <row r="3276" s="25" customFormat="1" ht="17.25" customHeight="1"/>
    <row r="3277" s="25" customFormat="1" ht="17.25" customHeight="1"/>
    <row r="3278" s="25" customFormat="1" ht="17.25" customHeight="1"/>
    <row r="3279" s="25" customFormat="1" ht="17.25" customHeight="1"/>
    <row r="3280" s="25" customFormat="1" ht="17.25" customHeight="1"/>
    <row r="3281" s="25" customFormat="1" ht="17.25" customHeight="1"/>
    <row r="3282" s="25" customFormat="1" ht="17.25" customHeight="1"/>
    <row r="3283" s="25" customFormat="1" ht="17.25" customHeight="1"/>
    <row r="3284" s="25" customFormat="1" ht="17.25" customHeight="1"/>
    <row r="3285" s="25" customFormat="1" ht="17.25" customHeight="1"/>
    <row r="3286" s="25" customFormat="1" ht="17.25" customHeight="1"/>
    <row r="3287" s="25" customFormat="1" ht="17.25" customHeight="1"/>
    <row r="3288" s="25" customFormat="1" ht="17.25" customHeight="1"/>
    <row r="3289" s="25" customFormat="1" ht="17.25" customHeight="1"/>
    <row r="3290" s="25" customFormat="1" ht="17.25" customHeight="1"/>
    <row r="3291" s="25" customFormat="1" ht="17.25" customHeight="1"/>
    <row r="3292" s="25" customFormat="1" ht="17.25" customHeight="1"/>
    <row r="3293" s="25" customFormat="1" ht="17.25" customHeight="1"/>
    <row r="3294" s="25" customFormat="1" ht="17.25" customHeight="1"/>
    <row r="3295" s="25" customFormat="1" ht="17.25" customHeight="1"/>
    <row r="3296" s="25" customFormat="1" ht="17.25" customHeight="1"/>
    <row r="3297" s="25" customFormat="1" ht="17.25" customHeight="1"/>
    <row r="3298" s="25" customFormat="1" ht="17.25" customHeight="1"/>
    <row r="3299" s="25" customFormat="1" ht="17.25" customHeight="1"/>
    <row r="3300" s="25" customFormat="1" ht="17.25" customHeight="1"/>
    <row r="3301" s="25" customFormat="1" ht="17.25" customHeight="1"/>
    <row r="3302" s="25" customFormat="1" ht="17.25" customHeight="1"/>
    <row r="3303" s="25" customFormat="1" ht="17.25" customHeight="1"/>
    <row r="3304" s="25" customFormat="1" ht="17.25" customHeight="1"/>
    <row r="3305" s="25" customFormat="1" ht="17.25" customHeight="1"/>
    <row r="3306" s="25" customFormat="1" ht="17.25" customHeight="1"/>
    <row r="3307" s="25" customFormat="1" ht="17.25" customHeight="1"/>
    <row r="3308" s="25" customFormat="1" ht="17.25" customHeight="1"/>
    <row r="3309" s="25" customFormat="1" ht="17.25" customHeight="1"/>
    <row r="3310" s="25" customFormat="1" ht="17.25" customHeight="1"/>
    <row r="3311" s="25" customFormat="1" ht="17.25" customHeight="1"/>
    <row r="3312" s="25" customFormat="1" ht="17.25" customHeight="1"/>
    <row r="3313" s="25" customFormat="1" ht="17.25" customHeight="1"/>
    <row r="3314" s="25" customFormat="1" ht="17.25" customHeight="1"/>
    <row r="3315" s="25" customFormat="1" ht="17.25" customHeight="1"/>
    <row r="3316" s="25" customFormat="1" ht="17.25" customHeight="1"/>
    <row r="3317" s="25" customFormat="1" ht="17.25" customHeight="1"/>
    <row r="3318" s="25" customFormat="1" ht="17.25" customHeight="1"/>
    <row r="3319" s="25" customFormat="1" ht="17.25" customHeight="1"/>
    <row r="3320" s="25" customFormat="1" ht="17.25" customHeight="1"/>
    <row r="3321" s="25" customFormat="1" ht="17.25" customHeight="1"/>
    <row r="3322" s="25" customFormat="1" ht="17.25" customHeight="1"/>
    <row r="3323" s="25" customFormat="1" ht="17.25" customHeight="1"/>
    <row r="3324" s="25" customFormat="1" ht="17.25" customHeight="1"/>
    <row r="3325" s="25" customFormat="1" ht="17.25" customHeight="1"/>
    <row r="3326" s="25" customFormat="1" ht="17.25" customHeight="1"/>
    <row r="3327" s="25" customFormat="1" ht="17.25" customHeight="1"/>
    <row r="3328" s="25" customFormat="1" ht="17.25" customHeight="1"/>
    <row r="3329" s="25" customFormat="1" ht="17.25" customHeight="1"/>
    <row r="3330" s="25" customFormat="1" ht="17.25" customHeight="1"/>
    <row r="3331" s="25" customFormat="1" ht="17.25" customHeight="1"/>
    <row r="3332" s="25" customFormat="1" ht="17.25" customHeight="1"/>
    <row r="3333" s="25" customFormat="1" ht="17.25" customHeight="1"/>
    <row r="3334" s="25" customFormat="1" ht="17.25" customHeight="1"/>
    <row r="3335" s="25" customFormat="1" ht="17.25" customHeight="1"/>
    <row r="3336" s="25" customFormat="1" ht="17.25" customHeight="1"/>
    <row r="3337" s="25" customFormat="1" ht="17.25" customHeight="1"/>
    <row r="3338" s="25" customFormat="1" ht="17.25" customHeight="1"/>
    <row r="3339" s="25" customFormat="1" ht="17.25" customHeight="1"/>
    <row r="3340" s="25" customFormat="1" ht="17.25" customHeight="1"/>
    <row r="3341" s="25" customFormat="1" ht="17.25" customHeight="1"/>
    <row r="3342" s="25" customFormat="1" ht="17.25" customHeight="1"/>
    <row r="3343" s="25" customFormat="1" ht="17.25" customHeight="1"/>
    <row r="3344" s="25" customFormat="1" ht="17.25" customHeight="1"/>
    <row r="3345" s="25" customFormat="1" ht="17.25" customHeight="1"/>
    <row r="3346" s="25" customFormat="1" ht="17.25" customHeight="1"/>
    <row r="3347" s="25" customFormat="1" ht="17.25" customHeight="1"/>
    <row r="3348" s="25" customFormat="1" ht="17.25" customHeight="1"/>
    <row r="3349" s="25" customFormat="1" ht="17.25" customHeight="1"/>
    <row r="3350" s="25" customFormat="1" ht="17.25" customHeight="1"/>
    <row r="3351" s="25" customFormat="1" ht="17.25" customHeight="1"/>
    <row r="3352" s="25" customFormat="1" ht="17.25" customHeight="1"/>
    <row r="3353" s="25" customFormat="1" ht="17.25" customHeight="1"/>
    <row r="3354" s="25" customFormat="1" ht="17.25" customHeight="1"/>
    <row r="3355" s="25" customFormat="1" ht="17.25" customHeight="1"/>
    <row r="3356" s="25" customFormat="1" ht="17.25" customHeight="1"/>
    <row r="3357" s="25" customFormat="1" ht="17.25" customHeight="1"/>
    <row r="3358" s="25" customFormat="1" ht="17.25" customHeight="1"/>
    <row r="3359" s="25" customFormat="1" ht="17.25" customHeight="1"/>
    <row r="3360" s="25" customFormat="1" ht="17.25" customHeight="1"/>
    <row r="3361" s="25" customFormat="1" ht="17.25" customHeight="1"/>
    <row r="3362" s="25" customFormat="1" ht="17.25" customHeight="1"/>
    <row r="3363" s="25" customFormat="1" ht="17.25" customHeight="1"/>
    <row r="3364" s="25" customFormat="1" ht="17.25" customHeight="1"/>
    <row r="3365" s="25" customFormat="1" ht="17.25" customHeight="1"/>
    <row r="3366" s="25" customFormat="1" ht="17.25" customHeight="1"/>
    <row r="3367" s="25" customFormat="1" ht="17.25" customHeight="1"/>
    <row r="3368" s="25" customFormat="1" ht="17.25" customHeight="1"/>
    <row r="3369" s="25" customFormat="1" ht="17.25" customHeight="1"/>
    <row r="3370" s="25" customFormat="1" ht="17.25" customHeight="1"/>
    <row r="3371" s="25" customFormat="1" ht="17.25" customHeight="1"/>
    <row r="3372" s="25" customFormat="1" ht="17.25" customHeight="1"/>
    <row r="3373" s="25" customFormat="1" ht="17.25" customHeight="1"/>
    <row r="3374" s="25" customFormat="1" ht="17.25" customHeight="1"/>
    <row r="3375" s="25" customFormat="1" ht="17.25" customHeight="1"/>
    <row r="3376" s="25" customFormat="1" ht="17.25" customHeight="1"/>
    <row r="3377" s="25" customFormat="1" ht="17.25" customHeight="1"/>
    <row r="3378" s="25" customFormat="1" ht="17.25" customHeight="1"/>
    <row r="3379" s="25" customFormat="1" ht="17.25" customHeight="1"/>
    <row r="3380" s="25" customFormat="1" ht="17.25" customHeight="1"/>
    <row r="3381" s="25" customFormat="1" ht="17.25" customHeight="1"/>
    <row r="3382" s="25" customFormat="1" ht="17.25" customHeight="1"/>
    <row r="3383" s="25" customFormat="1" ht="17.25" customHeight="1"/>
    <row r="3384" s="25" customFormat="1" ht="17.25" customHeight="1"/>
    <row r="3385" s="25" customFormat="1" ht="17.25" customHeight="1"/>
    <row r="3386" s="25" customFormat="1" ht="17.25" customHeight="1"/>
    <row r="3387" s="25" customFormat="1" ht="17.25" customHeight="1"/>
    <row r="3388" s="25" customFormat="1" ht="17.25" customHeight="1"/>
    <row r="3389" s="25" customFormat="1" ht="17.25" customHeight="1"/>
    <row r="3390" s="25" customFormat="1" ht="17.25" customHeight="1"/>
    <row r="3391" s="25" customFormat="1" ht="17.25" customHeight="1"/>
    <row r="3392" s="25" customFormat="1" ht="17.25" customHeight="1"/>
    <row r="3393" s="25" customFormat="1" ht="17.25" customHeight="1"/>
    <row r="3394" s="25" customFormat="1" ht="17.25" customHeight="1"/>
    <row r="3395" s="25" customFormat="1" ht="17.25" customHeight="1"/>
    <row r="3396" s="25" customFormat="1" ht="17.25" customHeight="1"/>
    <row r="3397" s="25" customFormat="1" ht="17.25" customHeight="1"/>
    <row r="3398" s="25" customFormat="1" ht="17.25" customHeight="1"/>
    <row r="3399" s="25" customFormat="1" ht="17.25" customHeight="1"/>
    <row r="3400" s="25" customFormat="1" ht="17.25" customHeight="1"/>
    <row r="3401" s="25" customFormat="1" ht="17.25" customHeight="1"/>
    <row r="3402" s="25" customFormat="1" ht="17.25" customHeight="1"/>
    <row r="3403" s="25" customFormat="1" ht="17.25" customHeight="1"/>
    <row r="3404" s="25" customFormat="1" ht="17.25" customHeight="1"/>
    <row r="3405" s="25" customFormat="1" ht="17.25" customHeight="1"/>
    <row r="3406" s="25" customFormat="1" ht="17.25" customHeight="1"/>
    <row r="3407" s="25" customFormat="1" ht="17.25" customHeight="1"/>
    <row r="3408" s="25" customFormat="1" ht="17.25" customHeight="1"/>
    <row r="3409" s="25" customFormat="1" ht="17.25" customHeight="1"/>
    <row r="3410" s="25" customFormat="1" ht="17.25" customHeight="1"/>
    <row r="3411" s="25" customFormat="1" ht="17.25" customHeight="1"/>
    <row r="3412" s="25" customFormat="1" ht="17.25" customHeight="1"/>
    <row r="3413" s="25" customFormat="1" ht="17.25" customHeight="1"/>
    <row r="3414" s="25" customFormat="1" ht="17.25" customHeight="1"/>
    <row r="3415" s="25" customFormat="1" ht="17.25" customHeight="1"/>
    <row r="3416" s="25" customFormat="1" ht="17.25" customHeight="1"/>
    <row r="3417" s="25" customFormat="1" ht="17.25" customHeight="1"/>
    <row r="3418" s="25" customFormat="1" ht="17.25" customHeight="1"/>
    <row r="3419" s="25" customFormat="1" ht="17.25" customHeight="1"/>
    <row r="3420" s="25" customFormat="1" ht="17.25" customHeight="1"/>
    <row r="3421" s="25" customFormat="1" ht="17.25" customHeight="1"/>
    <row r="3422" s="25" customFormat="1" ht="17.25" customHeight="1"/>
    <row r="3423" s="25" customFormat="1" ht="17.25" customHeight="1"/>
    <row r="3424" s="25" customFormat="1" ht="17.25" customHeight="1"/>
    <row r="3425" s="25" customFormat="1" ht="17.25" customHeight="1"/>
    <row r="3426" s="25" customFormat="1" ht="17.25" customHeight="1"/>
    <row r="3427" s="25" customFormat="1" ht="17.25" customHeight="1"/>
    <row r="3428" s="25" customFormat="1" ht="17.25" customHeight="1"/>
    <row r="3429" s="25" customFormat="1" ht="17.25" customHeight="1"/>
    <row r="3430" s="25" customFormat="1" ht="17.25" customHeight="1"/>
    <row r="3431" s="25" customFormat="1" ht="17.25" customHeight="1"/>
    <row r="3432" s="25" customFormat="1" ht="17.25" customHeight="1"/>
    <row r="3433" s="25" customFormat="1" ht="17.25" customHeight="1"/>
    <row r="3434" s="25" customFormat="1" ht="17.25" customHeight="1"/>
    <row r="3435" s="25" customFormat="1" ht="17.25" customHeight="1"/>
    <row r="3436" s="25" customFormat="1" ht="17.25" customHeight="1"/>
    <row r="3437" s="25" customFormat="1" ht="17.25" customHeight="1"/>
    <row r="3438" s="25" customFormat="1" ht="17.25" customHeight="1"/>
    <row r="3439" s="25" customFormat="1" ht="17.25" customHeight="1"/>
    <row r="3440" s="25" customFormat="1" ht="17.25" customHeight="1"/>
    <row r="3441" s="25" customFormat="1" ht="17.25" customHeight="1"/>
    <row r="3442" s="25" customFormat="1" ht="17.25" customHeight="1"/>
    <row r="3443" s="25" customFormat="1" ht="17.25" customHeight="1"/>
    <row r="3444" s="25" customFormat="1" ht="17.25" customHeight="1"/>
    <row r="3445" s="25" customFormat="1" ht="17.25" customHeight="1"/>
    <row r="3446" s="25" customFormat="1" ht="17.25" customHeight="1"/>
    <row r="3447" s="25" customFormat="1" ht="17.25" customHeight="1"/>
    <row r="3448" s="25" customFormat="1" ht="17.25" customHeight="1"/>
    <row r="3449" s="25" customFormat="1" ht="17.25" customHeight="1"/>
    <row r="3450" s="25" customFormat="1" ht="17.25" customHeight="1"/>
    <row r="3451" s="25" customFormat="1" ht="17.25" customHeight="1"/>
    <row r="3452" s="25" customFormat="1" ht="17.25" customHeight="1"/>
    <row r="3453" s="25" customFormat="1" ht="17.25" customHeight="1"/>
    <row r="3454" s="25" customFormat="1" ht="17.25" customHeight="1"/>
    <row r="3455" s="25" customFormat="1" ht="17.25" customHeight="1"/>
    <row r="3456" s="25" customFormat="1" ht="17.25" customHeight="1"/>
    <row r="3457" s="25" customFormat="1" ht="17.25" customHeight="1"/>
    <row r="3458" s="25" customFormat="1" ht="17.25" customHeight="1"/>
    <row r="3459" s="25" customFormat="1" ht="17.25" customHeight="1"/>
    <row r="3460" s="25" customFormat="1" ht="17.25" customHeight="1"/>
    <row r="3461" s="25" customFormat="1" ht="17.25" customHeight="1"/>
    <row r="3462" s="25" customFormat="1" ht="17.25" customHeight="1"/>
    <row r="3463" s="25" customFormat="1" ht="17.25" customHeight="1"/>
    <row r="3464" s="25" customFormat="1" ht="17.25" customHeight="1"/>
    <row r="3465" s="25" customFormat="1" ht="17.25" customHeight="1"/>
    <row r="3466" s="25" customFormat="1" ht="17.25" customHeight="1"/>
    <row r="3467" s="25" customFormat="1" ht="17.25" customHeight="1"/>
    <row r="3468" s="25" customFormat="1" ht="17.25" customHeight="1"/>
    <row r="3469" s="25" customFormat="1" ht="17.25" customHeight="1"/>
    <row r="3470" s="25" customFormat="1" ht="17.25" customHeight="1"/>
    <row r="3471" s="25" customFormat="1" ht="17.25" customHeight="1"/>
    <row r="3472" s="25" customFormat="1" ht="17.25" customHeight="1"/>
    <row r="3473" s="25" customFormat="1" ht="17.25" customHeight="1"/>
    <row r="3474" s="25" customFormat="1" ht="17.25" customHeight="1"/>
    <row r="3475" s="25" customFormat="1" ht="17.25" customHeight="1"/>
    <row r="3476" s="25" customFormat="1" ht="17.25" customHeight="1"/>
    <row r="3477" s="25" customFormat="1" ht="17.25" customHeight="1"/>
    <row r="3478" s="25" customFormat="1" ht="17.25" customHeight="1"/>
    <row r="3479" s="25" customFormat="1" ht="17.25" customHeight="1"/>
    <row r="3480" s="25" customFormat="1" ht="17.25" customHeight="1"/>
    <row r="3481" s="25" customFormat="1" ht="17.25" customHeight="1"/>
    <row r="3482" s="25" customFormat="1" ht="17.25" customHeight="1"/>
    <row r="3483" s="25" customFormat="1" ht="17.25" customHeight="1"/>
    <row r="3484" s="25" customFormat="1" ht="17.25" customHeight="1"/>
    <row r="3485" s="25" customFormat="1" ht="17.25" customHeight="1"/>
    <row r="3486" s="25" customFormat="1" ht="17.25" customHeight="1"/>
    <row r="3487" s="25" customFormat="1" ht="17.25" customHeight="1"/>
    <row r="3488" s="25" customFormat="1" ht="17.25" customHeight="1"/>
    <row r="3489" s="25" customFormat="1" ht="17.25" customHeight="1"/>
    <row r="3490" s="25" customFormat="1" ht="17.25" customHeight="1"/>
    <row r="3491" s="25" customFormat="1" ht="17.25" customHeight="1"/>
    <row r="3492" s="25" customFormat="1" ht="17.25" customHeight="1"/>
    <row r="3493" s="25" customFormat="1" ht="17.25" customHeight="1"/>
    <row r="3494" s="25" customFormat="1" ht="17.25" customHeight="1"/>
    <row r="3495" s="25" customFormat="1" ht="17.25" customHeight="1"/>
    <row r="3496" s="25" customFormat="1" ht="17.25" customHeight="1"/>
    <row r="3497" s="25" customFormat="1" ht="17.25" customHeight="1"/>
    <row r="3498" s="25" customFormat="1" ht="17.25" customHeight="1"/>
    <row r="3499" s="25" customFormat="1" ht="17.25" customHeight="1"/>
    <row r="3500" s="25" customFormat="1" ht="17.25" customHeight="1"/>
    <row r="3501" s="25" customFormat="1" ht="17.25" customHeight="1"/>
    <row r="3502" s="25" customFormat="1" ht="17.25" customHeight="1"/>
    <row r="3503" s="25" customFormat="1" ht="17.25" customHeight="1"/>
    <row r="3504" s="25" customFormat="1" ht="17.25" customHeight="1"/>
    <row r="3505" s="25" customFormat="1" ht="17.25" customHeight="1"/>
    <row r="3506" s="25" customFormat="1" ht="17.25" customHeight="1"/>
    <row r="3507" s="25" customFormat="1" ht="17.25" customHeight="1"/>
    <row r="3508" s="25" customFormat="1" ht="17.25" customHeight="1"/>
    <row r="3509" s="25" customFormat="1" ht="17.25" customHeight="1"/>
    <row r="3510" s="25" customFormat="1" ht="17.25" customHeight="1"/>
    <row r="3511" s="25" customFormat="1" ht="17.25" customHeight="1"/>
    <row r="3512" s="25" customFormat="1" ht="17.25" customHeight="1"/>
    <row r="3513" s="25" customFormat="1" ht="17.25" customHeight="1"/>
    <row r="3514" s="25" customFormat="1" ht="17.25" customHeight="1"/>
    <row r="3515" s="25" customFormat="1" ht="17.25" customHeight="1"/>
    <row r="3516" s="25" customFormat="1" ht="17.25" customHeight="1"/>
    <row r="3517" s="25" customFormat="1" ht="17.25" customHeight="1"/>
    <row r="3518" s="25" customFormat="1" ht="17.25" customHeight="1"/>
    <row r="3519" s="25" customFormat="1" ht="17.25" customHeight="1"/>
    <row r="3520" s="25" customFormat="1" ht="17.25" customHeight="1"/>
    <row r="3521" s="25" customFormat="1" ht="17.25" customHeight="1"/>
    <row r="3522" s="25" customFormat="1" ht="17.25" customHeight="1"/>
    <row r="3523" s="25" customFormat="1" ht="17.25" customHeight="1"/>
    <row r="3524" s="25" customFormat="1" ht="17.25" customHeight="1"/>
    <row r="3525" s="25" customFormat="1" ht="17.25" customHeight="1"/>
    <row r="3526" s="25" customFormat="1" ht="17.25" customHeight="1"/>
    <row r="3527" s="25" customFormat="1" ht="17.25" customHeight="1"/>
    <row r="3528" s="25" customFormat="1" ht="17.25" customHeight="1"/>
    <row r="3529" s="25" customFormat="1" ht="17.25" customHeight="1"/>
    <row r="3530" s="25" customFormat="1" ht="17.25" customHeight="1"/>
    <row r="3531" s="25" customFormat="1" ht="17.25" customHeight="1"/>
    <row r="3532" s="25" customFormat="1" ht="17.25" customHeight="1"/>
    <row r="3533" s="25" customFormat="1" ht="17.25" customHeight="1"/>
    <row r="3534" s="25" customFormat="1" ht="17.25" customHeight="1"/>
    <row r="3535" s="25" customFormat="1" ht="17.25" customHeight="1"/>
    <row r="3536" s="25" customFormat="1" ht="17.25" customHeight="1"/>
    <row r="3537" s="25" customFormat="1" ht="17.25" customHeight="1"/>
    <row r="3538" s="25" customFormat="1" ht="17.25" customHeight="1"/>
    <row r="3539" s="25" customFormat="1" ht="17.25" customHeight="1"/>
    <row r="3540" s="25" customFormat="1" ht="17.25" customHeight="1"/>
    <row r="3541" s="25" customFormat="1" ht="17.25" customHeight="1"/>
    <row r="3542" s="25" customFormat="1" ht="17.25" customHeight="1"/>
    <row r="3543" s="25" customFormat="1" ht="17.25" customHeight="1"/>
    <row r="3544" s="25" customFormat="1" ht="17.25" customHeight="1"/>
    <row r="3545" s="25" customFormat="1" ht="17.25" customHeight="1"/>
    <row r="3546" s="25" customFormat="1" ht="17.25" customHeight="1"/>
    <row r="3547" s="25" customFormat="1" ht="17.25" customHeight="1"/>
    <row r="3548" s="25" customFormat="1" ht="17.25" customHeight="1"/>
    <row r="3549" s="25" customFormat="1" ht="17.25" customHeight="1"/>
    <row r="3550" s="25" customFormat="1" ht="17.25" customHeight="1"/>
    <row r="3551" s="25" customFormat="1" ht="17.25" customHeight="1"/>
    <row r="3552" s="25" customFormat="1" ht="17.25" customHeight="1"/>
    <row r="3553" s="25" customFormat="1" ht="17.25" customHeight="1"/>
    <row r="3554" s="25" customFormat="1" ht="17.25" customHeight="1"/>
    <row r="3555" s="25" customFormat="1" ht="17.25" customHeight="1"/>
    <row r="3556" s="25" customFormat="1" ht="17.25" customHeight="1"/>
    <row r="3557" s="25" customFormat="1" ht="17.25" customHeight="1"/>
    <row r="3558" s="25" customFormat="1" ht="17.25" customHeight="1"/>
    <row r="3559" s="25" customFormat="1" ht="17.25" customHeight="1"/>
    <row r="3560" s="25" customFormat="1" ht="17.25" customHeight="1"/>
    <row r="3561" s="25" customFormat="1" ht="17.25" customHeight="1"/>
    <row r="3562" s="25" customFormat="1" ht="17.25" customHeight="1"/>
    <row r="3563" s="25" customFormat="1" ht="17.25" customHeight="1"/>
    <row r="3564" s="25" customFormat="1" ht="17.25" customHeight="1"/>
    <row r="3565" s="25" customFormat="1" ht="17.25" customHeight="1"/>
    <row r="3566" s="25" customFormat="1" ht="17.25" customHeight="1"/>
    <row r="3567" s="25" customFormat="1" ht="17.25" customHeight="1"/>
    <row r="3568" s="25" customFormat="1" ht="17.25" customHeight="1"/>
    <row r="3569" s="25" customFormat="1" ht="17.25" customHeight="1"/>
    <row r="3570" s="25" customFormat="1" ht="17.25" customHeight="1"/>
    <row r="3571" s="25" customFormat="1" ht="17.25" customHeight="1"/>
    <row r="3572" s="25" customFormat="1" ht="17.25" customHeight="1"/>
    <row r="3573" s="25" customFormat="1" ht="17.25" customHeight="1"/>
    <row r="3574" s="25" customFormat="1" ht="17.25" customHeight="1"/>
    <row r="3575" s="25" customFormat="1" ht="17.25" customHeight="1"/>
    <row r="3576" s="25" customFormat="1" ht="17.25" customHeight="1"/>
    <row r="3577" s="25" customFormat="1" ht="17.25" customHeight="1"/>
    <row r="3578" s="25" customFormat="1" ht="17.25" customHeight="1"/>
    <row r="3579" s="25" customFormat="1" ht="17.25" customHeight="1"/>
    <row r="3580" s="25" customFormat="1" ht="17.25" customHeight="1"/>
    <row r="3581" s="25" customFormat="1" ht="17.25" customHeight="1"/>
    <row r="3582" s="25" customFormat="1" ht="17.25" customHeight="1"/>
    <row r="3583" s="25" customFormat="1" ht="17.25" customHeight="1"/>
    <row r="3584" s="25" customFormat="1" ht="17.25" customHeight="1"/>
    <row r="3585" s="25" customFormat="1" ht="17.25" customHeight="1"/>
    <row r="3586" s="25" customFormat="1" ht="17.25" customHeight="1"/>
    <row r="3587" s="25" customFormat="1" ht="17.25" customHeight="1"/>
    <row r="3588" s="25" customFormat="1" ht="17.25" customHeight="1"/>
    <row r="3589" s="25" customFormat="1" ht="17.25" customHeight="1"/>
    <row r="3590" s="25" customFormat="1" ht="17.25" customHeight="1"/>
    <row r="3591" s="25" customFormat="1" ht="17.25" customHeight="1"/>
    <row r="3592" s="25" customFormat="1" ht="17.25" customHeight="1"/>
    <row r="3593" s="25" customFormat="1" ht="17.25" customHeight="1"/>
    <row r="3594" s="25" customFormat="1" ht="17.25" customHeight="1"/>
    <row r="3595" s="25" customFormat="1" ht="17.25" customHeight="1"/>
    <row r="3596" s="25" customFormat="1" ht="17.25" customHeight="1"/>
    <row r="3597" s="25" customFormat="1" ht="17.25" customHeight="1"/>
    <row r="3598" s="25" customFormat="1" ht="17.25" customHeight="1"/>
    <row r="3599" s="25" customFormat="1" ht="17.25" customHeight="1"/>
    <row r="3600" s="25" customFormat="1" ht="17.25" customHeight="1"/>
    <row r="3601" s="25" customFormat="1" ht="17.25" customHeight="1"/>
    <row r="3602" s="25" customFormat="1" ht="17.25" customHeight="1"/>
    <row r="3603" s="25" customFormat="1" ht="17.25" customHeight="1"/>
    <row r="3604" s="25" customFormat="1" ht="17.25" customHeight="1"/>
    <row r="3605" s="25" customFormat="1" ht="17.25" customHeight="1"/>
    <row r="3606" s="25" customFormat="1" ht="17.25" customHeight="1"/>
    <row r="3607" s="25" customFormat="1" ht="17.25" customHeight="1"/>
    <row r="3608" s="25" customFormat="1" ht="17.25" customHeight="1"/>
    <row r="3609" s="25" customFormat="1" ht="17.25" customHeight="1"/>
    <row r="3610" s="25" customFormat="1" ht="17.25" customHeight="1"/>
    <row r="3611" s="25" customFormat="1" ht="17.25" customHeight="1"/>
    <row r="3612" s="25" customFormat="1" ht="17.25" customHeight="1"/>
    <row r="3613" s="25" customFormat="1" ht="17.25" customHeight="1"/>
    <row r="3614" s="25" customFormat="1" ht="17.25" customHeight="1"/>
    <row r="3615" s="25" customFormat="1" ht="17.25" customHeight="1"/>
    <row r="3616" s="25" customFormat="1" ht="17.25" customHeight="1"/>
    <row r="3617" s="25" customFormat="1" ht="17.25" customHeight="1"/>
    <row r="3618" s="25" customFormat="1" ht="17.25" customHeight="1"/>
    <row r="3619" s="25" customFormat="1" ht="17.25" customHeight="1"/>
    <row r="3620" s="25" customFormat="1" ht="17.25" customHeight="1"/>
    <row r="3621" s="25" customFormat="1" ht="17.25" customHeight="1"/>
    <row r="3622" s="25" customFormat="1" ht="17.25" customHeight="1"/>
    <row r="3623" s="25" customFormat="1" ht="17.25" customHeight="1"/>
    <row r="3624" s="25" customFormat="1" ht="17.25" customHeight="1"/>
    <row r="3625" s="25" customFormat="1" ht="17.25" customHeight="1"/>
    <row r="3626" s="25" customFormat="1" ht="17.25" customHeight="1"/>
    <row r="3627" s="25" customFormat="1" ht="17.25" customHeight="1"/>
    <row r="3628" s="25" customFormat="1" ht="17.25" customHeight="1"/>
    <row r="3629" s="25" customFormat="1" ht="17.25" customHeight="1"/>
    <row r="3630" s="25" customFormat="1" ht="17.25" customHeight="1"/>
    <row r="3631" s="25" customFormat="1" ht="17.25" customHeight="1"/>
    <row r="3632" s="25" customFormat="1" ht="17.25" customHeight="1"/>
    <row r="3633" s="25" customFormat="1" ht="17.25" customHeight="1"/>
    <row r="3634" s="25" customFormat="1" ht="17.25" customHeight="1"/>
    <row r="3635" s="25" customFormat="1" ht="17.25" customHeight="1"/>
    <row r="3636" s="25" customFormat="1" ht="17.25" customHeight="1"/>
    <row r="3637" s="25" customFormat="1" ht="17.25" customHeight="1"/>
    <row r="3638" s="25" customFormat="1" ht="17.25" customHeight="1"/>
    <row r="3639" s="25" customFormat="1" ht="17.25" customHeight="1"/>
    <row r="3640" s="25" customFormat="1" ht="17.25" customHeight="1"/>
    <row r="3641" s="25" customFormat="1" ht="17.25" customHeight="1"/>
    <row r="3642" s="25" customFormat="1" ht="17.25" customHeight="1"/>
    <row r="3643" s="25" customFormat="1" ht="17.25" customHeight="1"/>
    <row r="3644" s="25" customFormat="1" ht="17.25" customHeight="1"/>
    <row r="3645" s="25" customFormat="1" ht="17.25" customHeight="1"/>
    <row r="3646" s="25" customFormat="1" ht="17.25" customHeight="1"/>
    <row r="3647" s="25" customFormat="1" ht="17.25" customHeight="1"/>
    <row r="3648" s="25" customFormat="1" ht="17.25" customHeight="1"/>
    <row r="3649" s="25" customFormat="1" ht="17.25" customHeight="1"/>
    <row r="3650" s="25" customFormat="1" ht="17.25" customHeight="1"/>
    <row r="3651" s="25" customFormat="1" ht="17.25" customHeight="1"/>
    <row r="3652" s="25" customFormat="1" ht="17.25" customHeight="1"/>
    <row r="3653" s="25" customFormat="1" ht="17.25" customHeight="1"/>
    <row r="3654" s="25" customFormat="1" ht="17.25" customHeight="1"/>
    <row r="3655" s="25" customFormat="1" ht="17.25" customHeight="1"/>
    <row r="3656" s="25" customFormat="1" ht="17.25" customHeight="1"/>
    <row r="3657" s="25" customFormat="1" ht="17.25" customHeight="1"/>
    <row r="3658" s="25" customFormat="1" ht="17.25" customHeight="1"/>
    <row r="3659" s="25" customFormat="1" ht="17.25" customHeight="1"/>
    <row r="3660" s="25" customFormat="1" ht="17.25" customHeight="1"/>
    <row r="3661" s="25" customFormat="1" ht="17.25" customHeight="1"/>
    <row r="3662" s="25" customFormat="1" ht="17.25" customHeight="1"/>
    <row r="3663" s="25" customFormat="1" ht="17.25" customHeight="1"/>
    <row r="3664" s="25" customFormat="1" ht="17.25" customHeight="1"/>
  </sheetData>
  <mergeCells count="1">
    <mergeCell ref="A1:V1"/>
  </mergeCells>
  <pageMargins left="0.70866141732283472" right="0.70866141732283472" top="0.74803149606299213" bottom="0.74803149606299213" header="0.31496062992125984" footer="0.31496062992125984"/>
  <pageSetup paperSize="9" scale="57" orientation="landscape" horizontalDpi="4294967295" verticalDpi="4294967295" r:id="rId1"/>
  <rowBreaks count="1" manualBreakCount="1">
    <brk id="53" max="21" man="1"/>
  </rowBreaks>
  <colBreaks count="1" manualBreakCount="1">
    <brk id="22"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BD5D"/>
  </sheetPr>
  <dimension ref="A1:R630"/>
  <sheetViews>
    <sheetView view="pageBreakPreview" zoomScale="96" zoomScaleNormal="112" zoomScaleSheetLayoutView="96" workbookViewId="0">
      <selection activeCell="I7" sqref="I7"/>
    </sheetView>
  </sheetViews>
  <sheetFormatPr defaultColWidth="9.140625" defaultRowHeight="15"/>
  <cols>
    <col min="1" max="1" width="12.140625" customWidth="1"/>
    <col min="2" max="2" width="8.7109375"/>
    <col min="3" max="3" width="14.7109375" customWidth="1"/>
    <col min="4" max="9" width="11.7109375" style="42" customWidth="1"/>
    <col min="10" max="14" width="11.7109375" style="17" customWidth="1"/>
    <col min="15" max="15" width="2.42578125" style="17" customWidth="1"/>
    <col min="16" max="18" width="9.140625" style="17"/>
    <col min="19" max="16384" width="9.140625" style="42"/>
  </cols>
  <sheetData>
    <row r="1" spans="1:18" ht="30.75" customHeight="1">
      <c r="A1" s="1021" t="s">
        <v>43</v>
      </c>
      <c r="B1" s="1021"/>
      <c r="C1" s="1021"/>
      <c r="D1" s="1021"/>
      <c r="E1" s="1021"/>
      <c r="F1" s="1021"/>
      <c r="G1" s="1021"/>
      <c r="H1" s="1021"/>
      <c r="I1" s="1021"/>
      <c r="J1" s="1021"/>
      <c r="K1" s="1021"/>
      <c r="L1" s="1021"/>
      <c r="M1" s="1021"/>
      <c r="N1" s="1021"/>
    </row>
    <row r="2" spans="1:18" s="663" customFormat="1" ht="15.75" customHeight="1">
      <c r="A2" s="628"/>
      <c r="B2" s="628"/>
      <c r="C2" s="628"/>
      <c r="D2" s="628"/>
      <c r="E2" s="628"/>
      <c r="F2" s="628"/>
      <c r="G2" s="628"/>
      <c r="H2" s="628"/>
      <c r="I2" s="662"/>
      <c r="J2" s="662"/>
      <c r="K2" s="662"/>
      <c r="L2" s="662"/>
      <c r="M2" s="662"/>
      <c r="N2" s="662"/>
      <c r="O2" s="662"/>
      <c r="P2" s="662"/>
      <c r="Q2" s="662"/>
      <c r="R2" s="662"/>
    </row>
    <row r="3" spans="1:18" s="663" customFormat="1" ht="15.75" customHeight="1">
      <c r="A3" s="664"/>
      <c r="B3" s="664"/>
      <c r="C3" s="664"/>
      <c r="D3" s="665">
        <v>2010</v>
      </c>
      <c r="E3" s="665">
        <v>2011</v>
      </c>
      <c r="F3" s="665">
        <v>2012</v>
      </c>
      <c r="G3" s="665">
        <v>2013</v>
      </c>
      <c r="H3" s="665">
        <v>2014</v>
      </c>
      <c r="I3" s="665">
        <v>2015</v>
      </c>
      <c r="J3" s="665">
        <v>2016</v>
      </c>
      <c r="K3" s="665">
        <v>2017</v>
      </c>
      <c r="L3" s="665">
        <v>2018</v>
      </c>
      <c r="M3" s="665">
        <v>2019</v>
      </c>
      <c r="N3" s="665">
        <v>2020</v>
      </c>
      <c r="O3" s="662"/>
      <c r="P3" s="662"/>
      <c r="Q3" s="662"/>
      <c r="R3" s="662"/>
    </row>
    <row r="4" spans="1:18" s="663" customFormat="1" ht="15.75" customHeight="1">
      <c r="A4" s="666" t="s">
        <v>441</v>
      </c>
      <c r="B4" s="667"/>
      <c r="C4" s="667"/>
      <c r="D4" s="667"/>
      <c r="E4" s="667"/>
      <c r="F4" s="667"/>
      <c r="G4" s="667"/>
      <c r="H4" s="667"/>
      <c r="I4" s="668"/>
      <c r="J4" s="668"/>
      <c r="K4" s="662"/>
      <c r="L4" s="662"/>
      <c r="M4" s="662"/>
      <c r="N4" s="662"/>
      <c r="O4" s="662"/>
      <c r="P4" s="662"/>
      <c r="Q4" s="662"/>
      <c r="R4" s="662"/>
    </row>
    <row r="5" spans="1:18" s="663" customFormat="1" ht="15.75" customHeight="1">
      <c r="A5" s="669"/>
      <c r="B5" s="669" t="s">
        <v>44</v>
      </c>
      <c r="C5" s="669"/>
      <c r="D5" s="670">
        <f t="shared" ref="D5:L5" si="0">SUM(D6:D7)</f>
        <v>21845</v>
      </c>
      <c r="E5" s="670">
        <f t="shared" si="0"/>
        <v>19125</v>
      </c>
      <c r="F5" s="670">
        <f t="shared" si="0"/>
        <v>17657</v>
      </c>
      <c r="G5" s="670">
        <f t="shared" si="0"/>
        <v>24207</v>
      </c>
      <c r="H5" s="670">
        <f t="shared" si="0"/>
        <v>24883</v>
      </c>
      <c r="I5" s="670">
        <f t="shared" si="0"/>
        <v>24696</v>
      </c>
      <c r="J5" s="670">
        <f t="shared" si="0"/>
        <v>24501</v>
      </c>
      <c r="K5" s="670">
        <f t="shared" si="0"/>
        <v>22082</v>
      </c>
      <c r="L5" s="670">
        <f t="shared" si="0"/>
        <v>23647</v>
      </c>
      <c r="M5" s="670">
        <f>SUM(M6:M7)</f>
        <v>25652</v>
      </c>
      <c r="N5" s="670">
        <v>26668</v>
      </c>
      <c r="O5" s="662"/>
      <c r="P5" s="662"/>
      <c r="Q5" s="662"/>
      <c r="R5" s="662"/>
    </row>
    <row r="6" spans="1:18" s="663" customFormat="1" ht="15.75" customHeight="1">
      <c r="A6" s="667"/>
      <c r="B6" s="667" t="s">
        <v>38</v>
      </c>
      <c r="C6" s="667"/>
      <c r="D6" s="671">
        <v>10464</v>
      </c>
      <c r="E6" s="671">
        <v>9728</v>
      </c>
      <c r="F6" s="671">
        <v>8603</v>
      </c>
      <c r="G6" s="671">
        <v>11219</v>
      </c>
      <c r="H6" s="671">
        <v>11547</v>
      </c>
      <c r="I6" s="671">
        <v>11191</v>
      </c>
      <c r="J6" s="671">
        <v>10881</v>
      </c>
      <c r="K6" s="671">
        <v>8907</v>
      </c>
      <c r="L6" s="671">
        <v>9122</v>
      </c>
      <c r="M6" s="671">
        <v>9573</v>
      </c>
      <c r="N6" s="671">
        <v>10075</v>
      </c>
      <c r="O6" s="662"/>
      <c r="P6" s="662"/>
      <c r="Q6" s="662"/>
      <c r="R6" s="662"/>
    </row>
    <row r="7" spans="1:18" s="663" customFormat="1" ht="15.75" customHeight="1">
      <c r="A7" s="664"/>
      <c r="B7" s="669" t="s">
        <v>39</v>
      </c>
      <c r="C7" s="669"/>
      <c r="D7" s="670">
        <v>11381</v>
      </c>
      <c r="E7" s="670">
        <v>9397</v>
      </c>
      <c r="F7" s="670">
        <v>9054</v>
      </c>
      <c r="G7" s="670">
        <v>12988</v>
      </c>
      <c r="H7" s="670">
        <v>13336</v>
      </c>
      <c r="I7" s="670">
        <v>13505</v>
      </c>
      <c r="J7" s="670">
        <v>13620</v>
      </c>
      <c r="K7" s="670">
        <v>13175</v>
      </c>
      <c r="L7" s="670">
        <v>14525</v>
      </c>
      <c r="M7" s="670">
        <v>16079</v>
      </c>
      <c r="N7" s="670">
        <v>16593</v>
      </c>
      <c r="O7" s="662"/>
      <c r="P7" s="662"/>
      <c r="Q7" s="662"/>
      <c r="R7" s="662"/>
    </row>
    <row r="8" spans="1:18" s="674" customFormat="1" ht="15.75" customHeight="1">
      <c r="A8" s="667" t="s">
        <v>45</v>
      </c>
      <c r="B8" s="667"/>
      <c r="C8" s="667"/>
      <c r="D8" s="672">
        <v>-9.3003944363711852</v>
      </c>
      <c r="E8" s="672">
        <f t="shared" ref="E8:K8" si="1">(E5-D5)/D5*100</f>
        <v>-12.45136186770428</v>
      </c>
      <c r="F8" s="672">
        <f t="shared" si="1"/>
        <v>-7.6758169934640517</v>
      </c>
      <c r="G8" s="672">
        <f t="shared" si="1"/>
        <v>37.095769383247443</v>
      </c>
      <c r="H8" s="672">
        <f t="shared" si="1"/>
        <v>2.7925806584872146</v>
      </c>
      <c r="I8" s="672">
        <f t="shared" si="1"/>
        <v>-0.75151710002813166</v>
      </c>
      <c r="J8" s="672">
        <f t="shared" si="1"/>
        <v>-0.78960155490767725</v>
      </c>
      <c r="K8" s="672">
        <f t="shared" si="1"/>
        <v>-9.873066405452839</v>
      </c>
      <c r="L8" s="672">
        <f>(L5-K5)/K5*100</f>
        <v>7.0872203604745945</v>
      </c>
      <c r="M8" s="672">
        <f>(M5-L5)/L5*100</f>
        <v>8.4788768131264014</v>
      </c>
      <c r="N8" s="672">
        <f>(N5-M5)/M5*100</f>
        <v>3.9607048183377511</v>
      </c>
      <c r="O8" s="662"/>
      <c r="P8" s="662"/>
      <c r="Q8" s="673"/>
      <c r="R8" s="673"/>
    </row>
    <row r="9" spans="1:18" s="663" customFormat="1" ht="15.75" customHeight="1">
      <c r="A9" s="675" t="s">
        <v>442</v>
      </c>
      <c r="B9" s="664"/>
      <c r="C9" s="664"/>
      <c r="D9" s="670">
        <v>73840</v>
      </c>
      <c r="E9" s="670">
        <v>79777</v>
      </c>
      <c r="F9" s="670" t="s">
        <v>29</v>
      </c>
      <c r="G9" s="670" t="s">
        <v>29</v>
      </c>
      <c r="H9" s="670" t="s">
        <v>29</v>
      </c>
      <c r="I9" s="670" t="s">
        <v>29</v>
      </c>
      <c r="J9" s="670" t="s">
        <v>29</v>
      </c>
      <c r="K9" s="670" t="s">
        <v>29</v>
      </c>
      <c r="L9" s="670">
        <v>114981</v>
      </c>
      <c r="M9" s="670">
        <v>157560</v>
      </c>
      <c r="N9" s="676" t="s">
        <v>29</v>
      </c>
      <c r="O9" s="662"/>
      <c r="P9" s="662"/>
      <c r="Q9" s="662"/>
      <c r="R9" s="662"/>
    </row>
    <row r="10" spans="1:18" s="663" customFormat="1" ht="15.75" customHeight="1">
      <c r="A10" s="666" t="s">
        <v>443</v>
      </c>
      <c r="B10" s="667"/>
      <c r="C10" s="667"/>
      <c r="D10" s="671" t="s">
        <v>29</v>
      </c>
      <c r="E10" s="671" t="s">
        <v>29</v>
      </c>
      <c r="F10" s="671" t="s">
        <v>29</v>
      </c>
      <c r="G10" s="671">
        <v>57424</v>
      </c>
      <c r="H10" s="671">
        <v>45584</v>
      </c>
      <c r="I10" s="671">
        <v>58527</v>
      </c>
      <c r="J10" s="671">
        <v>83136</v>
      </c>
      <c r="K10" s="671">
        <v>76342</v>
      </c>
      <c r="L10" s="671" t="s">
        <v>29</v>
      </c>
      <c r="M10" s="671" t="s">
        <v>29</v>
      </c>
      <c r="N10" s="677">
        <v>138728</v>
      </c>
      <c r="O10" s="662"/>
      <c r="P10" s="662"/>
      <c r="Q10" s="662"/>
      <c r="R10" s="662"/>
    </row>
    <row r="11" spans="1:18" s="663" customFormat="1" ht="15.75" customHeight="1">
      <c r="A11" s="1009"/>
      <c r="B11" s="1010"/>
      <c r="C11" s="1010"/>
      <c r="D11" s="1011"/>
      <c r="E11" s="1011"/>
      <c r="F11" s="1011"/>
      <c r="G11" s="1011"/>
      <c r="H11" s="1011"/>
      <c r="I11" s="1011"/>
      <c r="J11" s="1011"/>
      <c r="K11" s="1011"/>
      <c r="L11" s="1011"/>
      <c r="M11" s="1011"/>
      <c r="N11" s="1012"/>
      <c r="O11" s="662"/>
      <c r="P11" s="662"/>
      <c r="Q11" s="662"/>
      <c r="R11" s="662"/>
    </row>
    <row r="12" spans="1:18" s="681" customFormat="1" ht="15.75" hidden="1" customHeight="1">
      <c r="A12" s="664" t="s">
        <v>46</v>
      </c>
      <c r="B12" s="664"/>
      <c r="C12" s="664"/>
      <c r="D12" s="664"/>
      <c r="E12" s="664"/>
      <c r="F12" s="664"/>
      <c r="G12" s="664"/>
      <c r="H12" s="678" t="s">
        <v>47</v>
      </c>
      <c r="I12" s="679"/>
      <c r="J12" s="679"/>
      <c r="K12" s="679"/>
      <c r="L12" s="679"/>
      <c r="M12" s="678" t="s">
        <v>439</v>
      </c>
      <c r="N12" s="679"/>
      <c r="O12" s="662"/>
      <c r="P12" s="662"/>
      <c r="Q12" s="680"/>
      <c r="R12" s="680"/>
    </row>
    <row r="13" spans="1:18" s="663" customFormat="1" ht="15.75" hidden="1" customHeight="1">
      <c r="A13" s="667" t="s">
        <v>48</v>
      </c>
      <c r="B13" s="667"/>
      <c r="C13" s="667"/>
      <c r="D13" s="682"/>
      <c r="E13" s="667"/>
      <c r="F13" s="667"/>
      <c r="G13" s="667"/>
      <c r="H13" s="671">
        <v>244956</v>
      </c>
      <c r="I13" s="668"/>
      <c r="J13" s="668"/>
      <c r="K13" s="662"/>
      <c r="L13" s="662"/>
      <c r="M13" s="671">
        <v>317481.83400000003</v>
      </c>
      <c r="N13" s="662"/>
      <c r="O13" s="662"/>
      <c r="P13" s="662"/>
      <c r="Q13" s="662"/>
      <c r="R13" s="662"/>
    </row>
    <row r="14" spans="1:18" s="663" customFormat="1" ht="15.75" hidden="1" customHeight="1">
      <c r="A14" s="669" t="s">
        <v>49</v>
      </c>
      <c r="B14" s="669"/>
      <c r="C14" s="669"/>
      <c r="D14" s="683"/>
      <c r="E14" s="669"/>
      <c r="F14" s="669"/>
      <c r="G14" s="669"/>
      <c r="H14" s="670">
        <v>145757</v>
      </c>
      <c r="I14" s="684"/>
      <c r="J14" s="684"/>
      <c r="K14" s="685"/>
      <c r="L14" s="685"/>
      <c r="M14" s="670">
        <v>181143.641</v>
      </c>
      <c r="N14" s="685"/>
      <c r="O14" s="662"/>
      <c r="P14" s="662"/>
      <c r="Q14" s="662"/>
      <c r="R14" s="662"/>
    </row>
    <row r="15" spans="1:18" s="663" customFormat="1" ht="15.75" hidden="1" customHeight="1">
      <c r="A15" s="667" t="s">
        <v>50</v>
      </c>
      <c r="B15" s="667"/>
      <c r="C15" s="667"/>
      <c r="D15" s="682"/>
      <c r="E15" s="667"/>
      <c r="F15" s="667"/>
      <c r="G15" s="667"/>
      <c r="H15" s="671">
        <v>8005</v>
      </c>
      <c r="I15" s="668"/>
      <c r="J15" s="668"/>
      <c r="K15" s="662"/>
      <c r="L15" s="662"/>
      <c r="M15" s="671">
        <v>10126.512000000001</v>
      </c>
      <c r="N15" s="662"/>
      <c r="O15" s="662"/>
      <c r="P15" s="662"/>
      <c r="Q15" s="662"/>
      <c r="R15" s="662"/>
    </row>
    <row r="16" spans="1:18" s="663" customFormat="1" ht="15.75" hidden="1" customHeight="1">
      <c r="A16" s="669" t="s">
        <v>51</v>
      </c>
      <c r="B16" s="669"/>
      <c r="C16" s="669"/>
      <c r="D16" s="687"/>
      <c r="E16" s="688"/>
      <c r="F16" s="688"/>
      <c r="G16" s="688"/>
      <c r="H16" s="686">
        <v>5.2</v>
      </c>
      <c r="I16" s="684"/>
      <c r="J16" s="684"/>
      <c r="K16" s="685"/>
      <c r="L16" s="685"/>
      <c r="M16" s="686">
        <v>5.3</v>
      </c>
      <c r="N16" s="685"/>
      <c r="O16" s="662"/>
      <c r="P16" s="662"/>
      <c r="Q16" s="662"/>
      <c r="R16" s="662"/>
    </row>
    <row r="17" spans="1:18" s="71" customFormat="1" ht="15" customHeight="1">
      <c r="A17" s="65" t="s">
        <v>52</v>
      </c>
      <c r="B17" s="66"/>
      <c r="C17" s="66"/>
      <c r="D17" s="66"/>
      <c r="E17" s="66"/>
      <c r="F17" s="66"/>
      <c r="G17" s="66"/>
      <c r="H17" s="67"/>
      <c r="I17" s="68"/>
      <c r="J17" s="69"/>
      <c r="K17" s="69"/>
      <c r="L17" s="69"/>
      <c r="M17" s="69"/>
      <c r="N17" s="69"/>
      <c r="O17" s="80"/>
      <c r="P17" s="80"/>
      <c r="Q17" s="69"/>
      <c r="R17" s="69"/>
    </row>
    <row r="18" spans="1:18" s="17" customFormat="1" ht="15" customHeight="1">
      <c r="A18" s="65" t="s">
        <v>53</v>
      </c>
      <c r="B18" s="14"/>
      <c r="C18" s="14"/>
      <c r="D18" s="14"/>
      <c r="E18" s="14"/>
      <c r="F18" s="14"/>
      <c r="G18" s="14"/>
      <c r="H18" s="14"/>
      <c r="I18" s="72"/>
      <c r="J18" s="70"/>
      <c r="K18" s="70"/>
      <c r="L18" s="70"/>
      <c r="M18" s="70"/>
      <c r="N18" s="70"/>
      <c r="O18" s="80"/>
      <c r="P18" s="70"/>
      <c r="Q18" s="70"/>
      <c r="R18" s="70"/>
    </row>
    <row r="19" spans="1:18" s="70" customFormat="1" ht="15" customHeight="1">
      <c r="A19" s="65" t="s">
        <v>54</v>
      </c>
      <c r="B19" s="17"/>
      <c r="C19" s="17"/>
      <c r="D19" s="17"/>
      <c r="E19" s="17"/>
      <c r="F19" s="17"/>
      <c r="G19" s="17"/>
      <c r="H19" s="72"/>
      <c r="I19" s="68"/>
      <c r="J19" s="69"/>
      <c r="K19" s="69"/>
      <c r="L19" s="69"/>
      <c r="M19" s="69"/>
      <c r="N19" s="69"/>
      <c r="O19" s="80"/>
      <c r="P19" s="69"/>
      <c r="Q19" s="69"/>
      <c r="R19" s="69"/>
    </row>
    <row r="20" spans="1:18" s="17" customFormat="1" ht="15" hidden="1" customHeight="1">
      <c r="A20" s="1022" t="s">
        <v>440</v>
      </c>
      <c r="B20" s="1022"/>
      <c r="C20" s="1022"/>
      <c r="D20" s="57"/>
      <c r="E20" s="57"/>
      <c r="F20" s="57"/>
      <c r="G20" s="57"/>
      <c r="H20" s="57"/>
      <c r="I20" s="57"/>
      <c r="J20" s="57"/>
      <c r="K20" s="57"/>
    </row>
    <row r="21" spans="1:18" s="17" customFormat="1"/>
    <row r="22" spans="1:18" s="17" customFormat="1"/>
    <row r="23" spans="1:18" s="17" customFormat="1"/>
    <row r="24" spans="1:18" s="17" customFormat="1"/>
    <row r="25" spans="1:18" s="17" customFormat="1"/>
    <row r="26" spans="1:18" s="17" customFormat="1"/>
    <row r="27" spans="1:18" s="17" customFormat="1"/>
    <row r="28" spans="1:18" s="17" customFormat="1"/>
    <row r="29" spans="1:18" s="17" customFormat="1">
      <c r="H29" s="73"/>
      <c r="I29" s="73"/>
      <c r="J29" s="73"/>
      <c r="K29" s="73"/>
      <c r="L29" s="73"/>
      <c r="M29" s="73"/>
      <c r="N29" s="73"/>
      <c r="O29" s="73"/>
      <c r="P29" s="73"/>
      <c r="Q29" s="73"/>
      <c r="R29" s="73"/>
    </row>
    <row r="30" spans="1:18" s="17" customFormat="1">
      <c r="H30" s="73"/>
      <c r="I30" s="73"/>
      <c r="J30" s="73"/>
      <c r="K30" s="73"/>
      <c r="L30" s="73"/>
      <c r="M30" s="73"/>
      <c r="N30" s="73"/>
      <c r="O30" s="73"/>
      <c r="P30" s="73"/>
      <c r="Q30" s="73"/>
      <c r="R30" s="73"/>
    </row>
    <row r="31" spans="1:18" s="17" customFormat="1">
      <c r="H31" s="73"/>
      <c r="I31" s="73"/>
      <c r="J31" s="73"/>
      <c r="K31" s="73"/>
      <c r="L31" s="73"/>
      <c r="M31" s="73"/>
      <c r="N31" s="73"/>
      <c r="O31" s="73"/>
      <c r="P31" s="73"/>
      <c r="Q31" s="73"/>
      <c r="R31" s="73"/>
    </row>
    <row r="32" spans="1:18" s="17" customFormat="1">
      <c r="H32" s="73"/>
      <c r="I32" s="73"/>
      <c r="J32" s="73"/>
      <c r="K32" s="73"/>
      <c r="L32" s="73"/>
      <c r="M32" s="73"/>
      <c r="N32" s="73"/>
      <c r="O32" s="73"/>
      <c r="P32" s="73"/>
      <c r="Q32" s="73"/>
      <c r="R32" s="73"/>
    </row>
    <row r="33" spans="4:18" s="17" customFormat="1">
      <c r="H33" s="73"/>
      <c r="I33" s="73"/>
      <c r="J33" s="73"/>
      <c r="K33" s="73"/>
      <c r="L33" s="73"/>
      <c r="M33" s="73"/>
      <c r="N33" s="73"/>
      <c r="O33" s="73"/>
      <c r="P33" s="73"/>
      <c r="Q33" s="73"/>
      <c r="R33" s="73"/>
    </row>
    <row r="34" spans="4:18" s="17" customFormat="1"/>
    <row r="35" spans="4:18" s="17" customFormat="1"/>
    <row r="36" spans="4:18" s="17" customFormat="1"/>
    <row r="37" spans="4:18" s="17" customFormat="1"/>
    <row r="38" spans="4:18" s="17" customFormat="1"/>
    <row r="39" spans="4:18" s="17" customFormat="1"/>
    <row r="40" spans="4:18" s="17" customFormat="1"/>
    <row r="41" spans="4:18" s="17" customFormat="1"/>
    <row r="42" spans="4:18" s="17" customFormat="1"/>
    <row r="43" spans="4:18" s="17" customFormat="1">
      <c r="D43" s="25"/>
      <c r="E43" s="25"/>
      <c r="F43" s="25"/>
      <c r="G43" s="25"/>
      <c r="H43" s="25"/>
      <c r="I43" s="25"/>
      <c r="J43" s="25"/>
      <c r="K43" s="25"/>
    </row>
    <row r="44" spans="4:18" s="17" customFormat="1">
      <c r="D44" s="25"/>
      <c r="E44" s="25"/>
      <c r="F44" s="25"/>
      <c r="G44" s="25"/>
      <c r="H44" s="25"/>
      <c r="I44" s="25"/>
      <c r="J44" s="25"/>
      <c r="K44" s="25"/>
    </row>
    <row r="45" spans="4:18" s="17" customFormat="1">
      <c r="D45" s="25"/>
      <c r="E45" s="657"/>
      <c r="F45" s="660"/>
      <c r="G45" s="660"/>
      <c r="H45" s="660"/>
      <c r="I45" s="660"/>
      <c r="J45" s="660"/>
      <c r="K45" s="25"/>
    </row>
    <row r="46" spans="4:18" s="17" customFormat="1">
      <c r="D46" s="25"/>
      <c r="E46" s="661"/>
      <c r="F46" s="661"/>
      <c r="G46" s="661"/>
      <c r="H46" s="661"/>
      <c r="I46" s="661"/>
      <c r="J46" s="661"/>
      <c r="K46" s="25"/>
    </row>
    <row r="47" spans="4:18" s="17" customFormat="1">
      <c r="D47" s="25"/>
      <c r="E47" s="656"/>
      <c r="F47" s="657"/>
      <c r="G47" s="657"/>
      <c r="H47" s="657"/>
      <c r="I47" s="657"/>
      <c r="J47" s="658"/>
      <c r="K47" s="25"/>
    </row>
    <row r="48" spans="4:18" s="17" customFormat="1">
      <c r="D48" s="25"/>
      <c r="E48" s="659"/>
      <c r="F48" s="658"/>
      <c r="G48" s="657"/>
      <c r="H48" s="658"/>
      <c r="I48" s="657"/>
      <c r="J48" s="658"/>
      <c r="K48" s="25"/>
    </row>
    <row r="49" spans="4:11" s="17" customFormat="1">
      <c r="D49" s="25"/>
      <c r="E49" s="659"/>
      <c r="F49" s="658"/>
      <c r="G49" s="657"/>
      <c r="H49" s="658"/>
      <c r="I49" s="657"/>
      <c r="J49" s="658"/>
      <c r="K49" s="25"/>
    </row>
    <row r="50" spans="4:11" s="17" customFormat="1">
      <c r="D50" s="25"/>
      <c r="E50" s="25"/>
      <c r="F50" s="25"/>
      <c r="G50" s="25"/>
      <c r="H50" s="25"/>
      <c r="I50" s="25"/>
      <c r="J50" s="25"/>
      <c r="K50" s="25"/>
    </row>
    <row r="51" spans="4:11" s="17" customFormat="1"/>
    <row r="52" spans="4:11" s="17" customFormat="1"/>
    <row r="53" spans="4:11" s="17" customFormat="1"/>
    <row r="54" spans="4:11" s="17" customFormat="1"/>
    <row r="55" spans="4:11" s="17" customFormat="1"/>
    <row r="56" spans="4:11" s="17" customFormat="1"/>
    <row r="57" spans="4:11" s="17" customFormat="1"/>
    <row r="58" spans="4:11" s="17" customFormat="1"/>
    <row r="59" spans="4:11" s="17" customFormat="1"/>
    <row r="60" spans="4:11" s="17" customFormat="1"/>
    <row r="61" spans="4:11" s="17" customFormat="1"/>
    <row r="62" spans="4:11" s="17" customFormat="1"/>
    <row r="63" spans="4:11" s="17" customFormat="1"/>
    <row r="64" spans="4:11" s="17" customFormat="1"/>
    <row r="65" s="17" customFormat="1"/>
    <row r="66" s="17" customFormat="1"/>
    <row r="67" s="17" customFormat="1"/>
    <row r="68" s="17" customFormat="1"/>
    <row r="69" s="17" customFormat="1"/>
    <row r="70" s="17" customFormat="1"/>
    <row r="71" s="17" customFormat="1"/>
    <row r="72" s="17" customFormat="1"/>
    <row r="73" s="17" customFormat="1"/>
    <row r="74" s="17" customFormat="1"/>
    <row r="75" s="17" customFormat="1"/>
    <row r="76" s="17" customFormat="1"/>
    <row r="77" s="17" customFormat="1"/>
    <row r="78" s="17" customFormat="1"/>
    <row r="79" s="17" customFormat="1"/>
    <row r="80" s="17" customFormat="1"/>
    <row r="81" s="17" customFormat="1"/>
    <row r="82" s="17" customFormat="1"/>
    <row r="83" s="17" customFormat="1"/>
    <row r="84" s="17" customFormat="1"/>
    <row r="85" s="17" customFormat="1"/>
    <row r="86" s="17" customFormat="1"/>
    <row r="87" s="17" customFormat="1"/>
    <row r="88" s="17" customFormat="1"/>
    <row r="89" s="17" customFormat="1"/>
    <row r="90" s="17" customFormat="1"/>
    <row r="91" s="17" customFormat="1"/>
    <row r="92" s="17" customFormat="1"/>
    <row r="93" s="17" customFormat="1"/>
    <row r="94" s="17" customFormat="1"/>
    <row r="95" s="17" customFormat="1"/>
    <row r="96" s="17" customFormat="1"/>
    <row r="97" s="17" customFormat="1"/>
    <row r="98" s="17" customFormat="1"/>
    <row r="99" s="17" customFormat="1"/>
    <row r="100" s="17" customFormat="1"/>
    <row r="101" s="17" customFormat="1"/>
    <row r="102" s="17" customFormat="1"/>
    <row r="103" s="17" customFormat="1"/>
    <row r="104" s="17" customFormat="1"/>
    <row r="105" s="17" customFormat="1"/>
    <row r="106" s="17" customFormat="1"/>
    <row r="107" s="17" customFormat="1"/>
    <row r="108" s="17" customFormat="1"/>
    <row r="109" s="17" customFormat="1"/>
    <row r="110" s="17" customFormat="1"/>
    <row r="111" s="17" customFormat="1"/>
    <row r="112" s="17" customFormat="1"/>
    <row r="113" s="17" customFormat="1"/>
    <row r="114" s="17" customFormat="1"/>
    <row r="115" s="17" customFormat="1"/>
    <row r="116" s="17" customFormat="1"/>
    <row r="117" s="17" customFormat="1"/>
    <row r="118" s="17" customFormat="1"/>
    <row r="119" s="17" customFormat="1"/>
    <row r="120" s="17" customFormat="1"/>
    <row r="121" s="17" customFormat="1"/>
    <row r="122" s="17" customFormat="1"/>
    <row r="123" s="17" customFormat="1"/>
    <row r="124" s="17" customFormat="1"/>
    <row r="125" s="17" customFormat="1"/>
    <row r="126" s="17" customFormat="1"/>
    <row r="127" s="17" customFormat="1"/>
    <row r="128" s="17" customFormat="1"/>
    <row r="129" s="17" customFormat="1"/>
    <row r="130" s="17" customFormat="1"/>
    <row r="131" s="17" customFormat="1"/>
    <row r="132" s="17" customFormat="1"/>
    <row r="133" s="17" customFormat="1"/>
    <row r="134" s="17" customFormat="1"/>
    <row r="135" s="17" customFormat="1"/>
    <row r="136" s="17" customFormat="1"/>
    <row r="137" s="17" customFormat="1"/>
    <row r="138" s="17" customFormat="1"/>
    <row r="139" s="17" customFormat="1"/>
    <row r="140" s="17" customFormat="1"/>
    <row r="141" s="17" customFormat="1"/>
    <row r="142" s="17" customFormat="1"/>
    <row r="143" s="17" customFormat="1"/>
    <row r="144" s="17" customFormat="1"/>
    <row r="145" s="17" customFormat="1"/>
    <row r="146" s="17" customFormat="1"/>
    <row r="147" s="17" customFormat="1"/>
    <row r="148" s="17" customFormat="1"/>
    <row r="149" s="17" customFormat="1"/>
    <row r="150" s="17" customFormat="1"/>
    <row r="151" s="17" customFormat="1"/>
    <row r="152" s="17" customFormat="1"/>
    <row r="153" s="17" customFormat="1"/>
    <row r="154" s="17" customFormat="1"/>
    <row r="155" s="17" customFormat="1"/>
    <row r="156" s="17" customFormat="1"/>
    <row r="157" s="17" customFormat="1"/>
    <row r="158" s="17" customFormat="1"/>
    <row r="159" s="17" customFormat="1"/>
    <row r="160" s="17" customFormat="1"/>
    <row r="161" s="17" customFormat="1"/>
    <row r="162" s="17" customFormat="1"/>
    <row r="163" s="17" customFormat="1"/>
    <row r="164" s="17" customFormat="1"/>
    <row r="165" s="17" customFormat="1"/>
    <row r="166" s="17" customFormat="1"/>
    <row r="167" s="17" customFormat="1"/>
    <row r="168" s="17" customFormat="1"/>
    <row r="169" s="17" customFormat="1"/>
    <row r="170" s="17" customFormat="1"/>
    <row r="171" s="17" customFormat="1"/>
    <row r="172" s="17" customFormat="1"/>
    <row r="173" s="17" customFormat="1"/>
    <row r="174" s="17" customFormat="1"/>
    <row r="175" s="17" customFormat="1"/>
    <row r="176" s="17" customFormat="1"/>
    <row r="177" s="17" customFormat="1"/>
    <row r="178" s="17" customFormat="1"/>
    <row r="179" s="17" customFormat="1"/>
    <row r="180" s="17" customFormat="1"/>
    <row r="181" s="17" customFormat="1"/>
    <row r="182" s="17" customFormat="1"/>
    <row r="183" s="17" customFormat="1"/>
    <row r="184" s="17" customFormat="1"/>
    <row r="185" s="17" customFormat="1"/>
    <row r="186" s="17" customFormat="1"/>
    <row r="187" s="17" customFormat="1"/>
    <row r="188" s="17" customFormat="1"/>
    <row r="189" s="17" customFormat="1"/>
    <row r="190" s="17" customFormat="1"/>
    <row r="191" s="17" customFormat="1"/>
    <row r="192" s="17" customFormat="1"/>
    <row r="193" s="17" customFormat="1"/>
    <row r="194" s="17" customFormat="1"/>
    <row r="195" s="17" customFormat="1"/>
    <row r="196" s="17" customFormat="1"/>
    <row r="197" s="17" customFormat="1"/>
    <row r="198" s="17" customFormat="1"/>
    <row r="199" s="17" customFormat="1"/>
    <row r="200" s="17" customFormat="1"/>
    <row r="201" s="17" customFormat="1"/>
    <row r="202" s="17" customFormat="1"/>
    <row r="203" s="17" customFormat="1"/>
    <row r="204" s="17" customFormat="1"/>
    <row r="205" s="17" customFormat="1"/>
    <row r="206" s="17" customFormat="1"/>
    <row r="207" s="17" customFormat="1"/>
    <row r="208" s="17" customFormat="1"/>
    <row r="209" s="17" customFormat="1"/>
    <row r="210" s="17" customFormat="1"/>
    <row r="211" s="17" customFormat="1"/>
    <row r="212" s="17" customFormat="1"/>
    <row r="213" s="17" customFormat="1"/>
    <row r="214" s="17" customFormat="1"/>
    <row r="215" s="17" customFormat="1"/>
    <row r="216" s="17" customFormat="1"/>
    <row r="217" s="17" customFormat="1"/>
    <row r="218" s="17" customFormat="1"/>
    <row r="219" s="17" customFormat="1"/>
    <row r="220" s="17" customFormat="1"/>
    <row r="221" s="17" customFormat="1"/>
    <row r="222" s="17" customFormat="1"/>
    <row r="223" s="17" customFormat="1"/>
    <row r="224" s="17" customFormat="1"/>
    <row r="225" s="17" customFormat="1"/>
    <row r="226" s="17" customFormat="1"/>
    <row r="227" s="17" customFormat="1"/>
    <row r="228" s="17" customFormat="1"/>
    <row r="229" s="17" customFormat="1"/>
    <row r="230" s="17" customFormat="1"/>
    <row r="231" s="17" customFormat="1"/>
    <row r="232" s="17" customFormat="1"/>
    <row r="233" s="17" customFormat="1"/>
    <row r="234" s="17" customFormat="1"/>
    <row r="235" s="17" customFormat="1"/>
    <row r="236" s="17" customFormat="1"/>
    <row r="237" s="17" customFormat="1"/>
    <row r="238" s="17" customFormat="1"/>
    <row r="239" s="17" customFormat="1"/>
    <row r="240" s="17" customFormat="1"/>
    <row r="241" s="17" customFormat="1"/>
    <row r="242" s="17" customFormat="1"/>
    <row r="243" s="17" customFormat="1"/>
    <row r="244" s="17" customFormat="1"/>
    <row r="245" s="17" customFormat="1"/>
    <row r="246" s="17" customFormat="1"/>
    <row r="247" s="17" customFormat="1"/>
    <row r="248" s="17" customFormat="1"/>
    <row r="249" s="17" customFormat="1"/>
    <row r="250" s="17" customFormat="1"/>
    <row r="251" s="17" customFormat="1"/>
    <row r="252" s="17" customFormat="1"/>
    <row r="253" s="17" customFormat="1"/>
    <row r="254" s="17" customFormat="1"/>
    <row r="255" s="17" customFormat="1"/>
    <row r="256" s="17" customFormat="1"/>
    <row r="257" s="17" customFormat="1"/>
    <row r="258" s="17" customFormat="1"/>
    <row r="259" s="17" customFormat="1"/>
    <row r="260" s="17" customFormat="1"/>
    <row r="261" s="17" customFormat="1"/>
    <row r="262" s="17" customFormat="1"/>
    <row r="263" s="17" customFormat="1"/>
    <row r="264" s="17" customFormat="1"/>
    <row r="265" s="17" customFormat="1"/>
    <row r="266" s="17" customFormat="1"/>
    <row r="267" s="17" customFormat="1"/>
    <row r="268" s="17" customFormat="1"/>
    <row r="269" s="17" customFormat="1"/>
    <row r="270" s="17" customFormat="1"/>
    <row r="271" s="17" customFormat="1"/>
    <row r="272" s="17" customFormat="1"/>
    <row r="273" s="17" customFormat="1"/>
    <row r="274" s="17" customFormat="1"/>
    <row r="275" s="17" customFormat="1"/>
    <row r="276" s="17" customFormat="1"/>
    <row r="277" s="17" customFormat="1"/>
    <row r="278" s="17" customFormat="1"/>
    <row r="279" s="17" customFormat="1"/>
    <row r="280" s="17" customFormat="1"/>
    <row r="281" s="17" customFormat="1"/>
    <row r="282" s="17" customFormat="1"/>
    <row r="283" s="17" customFormat="1"/>
    <row r="284" s="17" customFormat="1"/>
    <row r="285" s="17" customFormat="1"/>
    <row r="286" s="17" customFormat="1"/>
    <row r="287" s="17" customFormat="1"/>
    <row r="288" s="17" customFormat="1"/>
    <row r="289" s="17" customFormat="1"/>
    <row r="290" s="17" customFormat="1"/>
    <row r="291" s="17" customFormat="1"/>
    <row r="292" s="17" customFormat="1"/>
    <row r="293" s="17" customFormat="1"/>
    <row r="294" s="17" customFormat="1"/>
    <row r="295" s="17" customFormat="1"/>
    <row r="296" s="17" customFormat="1"/>
    <row r="297" s="17" customFormat="1"/>
    <row r="298" s="17" customFormat="1"/>
    <row r="299" s="17" customFormat="1"/>
    <row r="300" s="17" customFormat="1"/>
    <row r="301" s="17" customFormat="1"/>
    <row r="302" s="17" customFormat="1"/>
    <row r="303" s="17" customFormat="1"/>
    <row r="304" s="17" customFormat="1"/>
    <row r="305" s="17" customFormat="1"/>
    <row r="306" s="17" customFormat="1"/>
    <row r="307" s="17" customFormat="1"/>
    <row r="308" s="17" customFormat="1"/>
    <row r="309" s="17" customFormat="1"/>
    <row r="310" s="17" customFormat="1"/>
    <row r="311" s="17" customFormat="1"/>
    <row r="312" s="17" customFormat="1"/>
    <row r="313" s="17" customFormat="1"/>
    <row r="314" s="17" customFormat="1"/>
    <row r="315" s="17" customFormat="1"/>
    <row r="316" s="17" customFormat="1"/>
    <row r="317" s="17" customFormat="1"/>
    <row r="318" s="17" customFormat="1"/>
    <row r="319" s="17" customFormat="1"/>
    <row r="320" s="17" customFormat="1"/>
    <row r="321" s="17" customFormat="1"/>
    <row r="322" s="17" customFormat="1"/>
    <row r="323" s="17" customFormat="1"/>
    <row r="324" s="17" customFormat="1"/>
    <row r="325" s="17" customFormat="1"/>
    <row r="326" s="17" customFormat="1"/>
    <row r="327" s="17" customFormat="1"/>
    <row r="328" s="17" customFormat="1"/>
    <row r="329" s="17" customFormat="1"/>
    <row r="330" s="17" customFormat="1"/>
    <row r="331" s="17" customFormat="1"/>
    <row r="332" s="17" customFormat="1"/>
    <row r="333" s="17" customFormat="1"/>
    <row r="334" s="17" customFormat="1"/>
    <row r="335" s="17" customFormat="1"/>
    <row r="336" s="17" customFormat="1"/>
    <row r="337" s="17" customFormat="1"/>
    <row r="338" s="17" customFormat="1"/>
    <row r="339" s="17" customFormat="1"/>
    <row r="340" s="17" customFormat="1"/>
    <row r="341" s="17" customFormat="1"/>
    <row r="342" s="17" customFormat="1"/>
    <row r="343" s="17" customFormat="1"/>
    <row r="344" s="17" customFormat="1"/>
    <row r="345" s="17" customFormat="1"/>
    <row r="346" s="17" customFormat="1"/>
    <row r="347" s="17" customFormat="1"/>
    <row r="348" s="17" customFormat="1"/>
    <row r="349" s="17" customFormat="1"/>
    <row r="350" s="17" customFormat="1"/>
    <row r="351" s="17" customFormat="1"/>
    <row r="352" s="17" customFormat="1"/>
    <row r="353" s="17" customFormat="1"/>
    <row r="354" s="17" customFormat="1"/>
    <row r="355" s="17" customFormat="1"/>
    <row r="356" s="17" customFormat="1"/>
    <row r="357" s="17" customFormat="1"/>
    <row r="358" s="17" customFormat="1"/>
    <row r="359" s="17" customFormat="1"/>
    <row r="360" s="17" customFormat="1"/>
    <row r="361" s="17" customFormat="1"/>
    <row r="362" s="17" customFormat="1"/>
    <row r="363" s="17" customFormat="1"/>
    <row r="364" s="17" customFormat="1"/>
    <row r="365" s="17" customFormat="1"/>
    <row r="366" s="17" customFormat="1"/>
    <row r="367" s="17" customFormat="1"/>
    <row r="368" s="17" customFormat="1"/>
    <row r="369" s="17" customFormat="1"/>
    <row r="370" s="17" customFormat="1"/>
    <row r="371" s="17" customFormat="1"/>
    <row r="372" s="17" customFormat="1"/>
    <row r="373" s="17" customFormat="1"/>
    <row r="374" s="17" customFormat="1"/>
    <row r="375" s="17" customFormat="1"/>
    <row r="376" s="17" customFormat="1"/>
    <row r="377" s="17" customFormat="1"/>
    <row r="378" s="17" customFormat="1"/>
    <row r="379" s="17" customFormat="1"/>
    <row r="380" s="17" customFormat="1"/>
    <row r="381" s="17" customFormat="1"/>
    <row r="382" s="17" customFormat="1"/>
    <row r="383" s="17" customFormat="1"/>
    <row r="384" s="17" customFormat="1"/>
    <row r="385" s="17" customFormat="1"/>
    <row r="386" s="17" customFormat="1"/>
    <row r="387" s="17" customFormat="1"/>
    <row r="388" s="17" customFormat="1"/>
    <row r="389" s="17" customFormat="1"/>
    <row r="390" s="17" customFormat="1"/>
    <row r="391" s="17" customFormat="1"/>
    <row r="392" s="17" customFormat="1"/>
    <row r="393" s="17" customFormat="1"/>
    <row r="394" s="17" customFormat="1"/>
    <row r="395" s="17" customFormat="1"/>
    <row r="396" s="17" customFormat="1"/>
    <row r="397" s="17" customFormat="1"/>
    <row r="398" s="17" customFormat="1"/>
    <row r="399" s="17" customFormat="1"/>
    <row r="400" s="17" customFormat="1"/>
    <row r="401" s="17" customFormat="1"/>
    <row r="402" s="17" customFormat="1"/>
    <row r="403" s="17" customFormat="1"/>
    <row r="404" s="17" customFormat="1"/>
    <row r="405" s="17" customFormat="1"/>
    <row r="406" s="17" customFormat="1"/>
    <row r="407" s="17" customFormat="1"/>
    <row r="408" s="17" customFormat="1"/>
    <row r="409" s="17" customFormat="1"/>
    <row r="410" s="17" customFormat="1"/>
    <row r="411" s="17" customFormat="1"/>
    <row r="412" s="17" customFormat="1"/>
    <row r="413" s="17" customFormat="1"/>
    <row r="414" s="17" customFormat="1"/>
    <row r="415" s="17" customFormat="1"/>
    <row r="416" s="17" customFormat="1"/>
    <row r="417" s="17" customFormat="1"/>
    <row r="418" s="17" customFormat="1"/>
    <row r="419" s="17" customFormat="1"/>
    <row r="420" s="17" customFormat="1"/>
    <row r="421" s="17" customFormat="1"/>
    <row r="422" s="17" customFormat="1"/>
    <row r="423" s="17" customFormat="1"/>
    <row r="424" s="17" customFormat="1"/>
    <row r="425" s="17" customFormat="1"/>
    <row r="426" s="17" customFormat="1"/>
    <row r="427" s="17" customFormat="1"/>
    <row r="428" s="17" customFormat="1"/>
    <row r="429" s="17" customFormat="1"/>
    <row r="430" s="17" customFormat="1"/>
    <row r="431" s="17" customFormat="1"/>
    <row r="432" s="17" customFormat="1"/>
    <row r="433" s="17" customFormat="1"/>
    <row r="434" s="17" customFormat="1"/>
    <row r="435" s="17" customFormat="1"/>
    <row r="436" s="17" customFormat="1"/>
    <row r="437" s="17" customFormat="1"/>
    <row r="438" s="17" customFormat="1"/>
    <row r="439" s="17" customFormat="1"/>
    <row r="440" s="17" customFormat="1"/>
    <row r="441" s="17" customFormat="1"/>
    <row r="442" s="17" customFormat="1"/>
    <row r="443" s="17" customFormat="1"/>
    <row r="444" s="17" customFormat="1"/>
    <row r="445" s="17" customFormat="1"/>
    <row r="446" s="17" customFormat="1"/>
    <row r="447" s="17" customFormat="1"/>
    <row r="448" s="17" customFormat="1"/>
    <row r="449" s="17" customFormat="1"/>
    <row r="450" s="17" customFormat="1"/>
    <row r="451" s="17" customFormat="1"/>
    <row r="452" s="17" customFormat="1"/>
    <row r="453" s="17" customFormat="1"/>
    <row r="454" s="17" customFormat="1"/>
    <row r="455" s="17" customFormat="1"/>
    <row r="456" s="17" customFormat="1"/>
    <row r="457" s="17" customFormat="1"/>
    <row r="458" s="17" customFormat="1"/>
    <row r="459" s="17" customFormat="1"/>
    <row r="460" s="17" customFormat="1"/>
    <row r="461" s="17" customFormat="1"/>
    <row r="462" s="17" customFormat="1"/>
    <row r="463" s="17" customFormat="1"/>
    <row r="464" s="17" customFormat="1"/>
    <row r="465" s="17" customFormat="1"/>
    <row r="466" s="17" customFormat="1"/>
    <row r="467" s="17" customFormat="1"/>
    <row r="468" s="17" customFormat="1"/>
    <row r="469" s="17" customFormat="1"/>
    <row r="470" s="17" customFormat="1"/>
    <row r="471" s="17" customFormat="1"/>
    <row r="472" s="17" customFormat="1"/>
    <row r="473" s="17" customFormat="1"/>
    <row r="474" s="17" customFormat="1"/>
    <row r="475" s="17" customFormat="1"/>
    <row r="476" s="17" customFormat="1"/>
    <row r="477" s="17" customFormat="1"/>
    <row r="478" s="17" customFormat="1"/>
    <row r="479" s="17" customFormat="1"/>
    <row r="480" s="17" customFormat="1"/>
    <row r="481" s="17" customFormat="1"/>
    <row r="482" s="17" customFormat="1"/>
    <row r="483" s="17" customFormat="1"/>
    <row r="484" s="17" customFormat="1"/>
    <row r="485" s="17" customFormat="1"/>
    <row r="486" s="17" customFormat="1"/>
    <row r="487" s="17" customFormat="1"/>
    <row r="488" s="17" customFormat="1"/>
    <row r="489" s="17" customFormat="1"/>
    <row r="490" s="17" customFormat="1"/>
    <row r="491" s="17" customFormat="1"/>
    <row r="492" s="17" customFormat="1"/>
    <row r="493" s="17" customFormat="1"/>
    <row r="494" s="17" customFormat="1"/>
    <row r="495" s="17" customFormat="1"/>
    <row r="496" s="17" customFormat="1"/>
    <row r="497" s="17" customFormat="1"/>
    <row r="498" s="17" customFormat="1"/>
    <row r="499" s="17" customFormat="1"/>
    <row r="500" s="17" customFormat="1"/>
    <row r="501" s="17" customFormat="1"/>
    <row r="502" s="17" customFormat="1"/>
    <row r="503" s="17" customFormat="1"/>
    <row r="504" s="17" customFormat="1"/>
    <row r="505" s="17" customFormat="1"/>
    <row r="506" s="17" customFormat="1"/>
    <row r="507" s="17" customFormat="1"/>
    <row r="508" s="17" customFormat="1"/>
    <row r="509" s="17" customFormat="1"/>
    <row r="510" s="17" customFormat="1"/>
    <row r="511" s="17" customFormat="1"/>
    <row r="512" s="17" customFormat="1"/>
    <row r="513" s="17" customFormat="1"/>
    <row r="514" s="17" customFormat="1"/>
    <row r="515" s="17" customFormat="1"/>
    <row r="516" s="17" customFormat="1"/>
    <row r="517" s="17" customFormat="1"/>
    <row r="518" s="17" customFormat="1"/>
    <row r="519" s="17" customFormat="1"/>
    <row r="520" s="17" customFormat="1"/>
    <row r="521" s="17" customFormat="1"/>
    <row r="522" s="17" customFormat="1"/>
    <row r="523" s="17" customFormat="1"/>
    <row r="524" s="17" customFormat="1"/>
    <row r="525" s="17" customFormat="1"/>
    <row r="526" s="17" customFormat="1"/>
    <row r="527" s="17" customFormat="1"/>
    <row r="528" s="17" customFormat="1"/>
    <row r="529" s="17" customFormat="1"/>
    <row r="530" s="17" customFormat="1"/>
    <row r="531" s="17" customFormat="1"/>
    <row r="532" s="17" customFormat="1"/>
    <row r="533" s="17" customFormat="1"/>
    <row r="534" s="17" customFormat="1"/>
    <row r="535" s="17" customFormat="1"/>
    <row r="536" s="17" customFormat="1"/>
    <row r="537" s="17" customFormat="1"/>
    <row r="538" s="17" customFormat="1"/>
    <row r="539" s="17" customFormat="1"/>
    <row r="540" s="17" customFormat="1"/>
    <row r="541" s="17" customFormat="1"/>
    <row r="542" s="17" customFormat="1"/>
    <row r="543" s="17" customFormat="1"/>
    <row r="544" s="17" customFormat="1"/>
    <row r="545" s="17" customFormat="1"/>
    <row r="546" s="17" customFormat="1"/>
    <row r="547" s="17" customFormat="1"/>
    <row r="548" s="17" customFormat="1"/>
    <row r="549" s="17" customFormat="1"/>
    <row r="550" s="17" customFormat="1"/>
    <row r="551" s="17" customFormat="1"/>
    <row r="552" s="17" customFormat="1"/>
    <row r="553" s="17" customFormat="1"/>
    <row r="554" s="17" customFormat="1"/>
    <row r="555" s="17" customFormat="1"/>
    <row r="556" s="17" customFormat="1"/>
    <row r="557" s="17" customFormat="1"/>
    <row r="558" s="17" customFormat="1"/>
    <row r="559" s="17" customFormat="1"/>
    <row r="560" s="17" customFormat="1"/>
    <row r="561" s="17" customFormat="1"/>
    <row r="562" s="17" customFormat="1"/>
    <row r="563" s="17" customFormat="1"/>
    <row r="564" s="17" customFormat="1"/>
    <row r="565" s="17" customFormat="1"/>
    <row r="566" s="17" customFormat="1"/>
    <row r="567" s="17" customFormat="1"/>
    <row r="568" s="17" customFormat="1"/>
    <row r="569" s="17" customFormat="1"/>
    <row r="570" s="17" customFormat="1"/>
    <row r="571" s="17" customFormat="1"/>
    <row r="572" s="17" customFormat="1"/>
    <row r="573" s="17" customFormat="1"/>
    <row r="574" s="17" customFormat="1"/>
    <row r="575" s="17" customFormat="1"/>
    <row r="576" s="17" customFormat="1"/>
    <row r="577" s="17" customFormat="1"/>
    <row r="578" s="17" customFormat="1"/>
    <row r="579" s="17" customFormat="1"/>
    <row r="580" s="17" customFormat="1"/>
    <row r="581" s="17" customFormat="1"/>
    <row r="582" s="17" customFormat="1"/>
    <row r="583" s="17" customFormat="1"/>
    <row r="584" s="17" customFormat="1"/>
    <row r="585" s="17" customFormat="1"/>
    <row r="586" s="17" customFormat="1"/>
    <row r="587" s="17" customFormat="1"/>
    <row r="588" s="17" customFormat="1"/>
    <row r="589" s="17" customFormat="1"/>
    <row r="590" s="17" customFormat="1"/>
    <row r="591" s="17" customFormat="1"/>
    <row r="592" s="17" customFormat="1"/>
    <row r="593" s="17" customFormat="1"/>
    <row r="594" s="17" customFormat="1"/>
    <row r="595" s="17" customFormat="1"/>
    <row r="596" s="17" customFormat="1"/>
    <row r="597" s="17" customFormat="1"/>
    <row r="598" s="17" customFormat="1"/>
    <row r="599" s="17" customFormat="1"/>
    <row r="600" s="17" customFormat="1"/>
    <row r="601" s="17" customFormat="1"/>
    <row r="602" s="17" customFormat="1"/>
    <row r="603" s="17" customFormat="1"/>
    <row r="604" s="17" customFormat="1"/>
    <row r="605" s="17" customFormat="1"/>
    <row r="606" s="17" customFormat="1"/>
    <row r="607" s="17" customFormat="1"/>
    <row r="608" s="17" customFormat="1"/>
    <row r="609" s="17" customFormat="1"/>
    <row r="610" s="17" customFormat="1"/>
    <row r="611" s="17" customFormat="1"/>
    <row r="612" s="17" customFormat="1"/>
    <row r="613" s="17" customFormat="1"/>
    <row r="614" s="17" customFormat="1"/>
    <row r="615" s="17" customFormat="1"/>
    <row r="616" s="17" customFormat="1"/>
    <row r="617" s="17" customFormat="1"/>
    <row r="618" s="17" customFormat="1"/>
    <row r="619" s="17" customFormat="1"/>
    <row r="620" s="17" customFormat="1"/>
    <row r="621" s="17" customFormat="1"/>
    <row r="622" s="17" customFormat="1"/>
    <row r="623" s="17" customFormat="1"/>
    <row r="624" s="17" customFormat="1"/>
    <row r="625" s="17" customFormat="1"/>
    <row r="626" s="17" customFormat="1"/>
    <row r="627" s="17" customFormat="1"/>
    <row r="628" s="17" customFormat="1"/>
    <row r="629" s="17" customFormat="1"/>
    <row r="630" s="17" customFormat="1"/>
  </sheetData>
  <mergeCells count="2">
    <mergeCell ref="A1:N1"/>
    <mergeCell ref="A20:C20"/>
  </mergeCells>
  <pageMargins left="0.70866141732283472" right="0.70866141732283472" top="0.74803149606299213" bottom="0.74803149606299213" header="0.31496062992125984" footer="0.31496062992125984"/>
  <pageSetup paperSize="9" scale="78" orientation="landscape" horizontalDpi="4294967295" verticalDpi="4294967295"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AB25"/>
  <sheetViews>
    <sheetView view="pageBreakPreview" zoomScale="60" zoomScaleNormal="118" workbookViewId="0">
      <selection activeCell="AC15" sqref="AC15"/>
    </sheetView>
  </sheetViews>
  <sheetFormatPr defaultColWidth="9.140625" defaultRowHeight="15"/>
  <cols>
    <col min="1" max="1" width="40.5703125" style="17" customWidth="1"/>
    <col min="2" max="6" width="0" style="17" hidden="1" customWidth="1"/>
    <col min="7" max="16" width="8.5703125" style="17" hidden="1" customWidth="1"/>
    <col min="17" max="27" width="11.85546875" style="17" customWidth="1"/>
    <col min="28" max="16384" width="9.140625" style="17"/>
  </cols>
  <sheetData>
    <row r="1" spans="1:27" ht="28.5">
      <c r="A1" s="1023" t="s">
        <v>55</v>
      </c>
      <c r="B1" s="1023"/>
      <c r="C1" s="1023"/>
      <c r="D1" s="1023"/>
      <c r="E1" s="1023"/>
      <c r="F1" s="1023"/>
      <c r="G1" s="1023"/>
      <c r="H1" s="1023"/>
      <c r="I1" s="1023"/>
      <c r="J1" s="1023"/>
      <c r="K1" s="1023"/>
      <c r="L1" s="1023"/>
      <c r="M1" s="1023"/>
      <c r="N1" s="1023"/>
      <c r="O1" s="1023"/>
      <c r="P1" s="1023"/>
      <c r="Q1" s="1023"/>
      <c r="R1" s="1023"/>
      <c r="S1" s="1023"/>
      <c r="T1" s="1023"/>
      <c r="U1" s="1023"/>
      <c r="V1" s="1023"/>
      <c r="W1" s="1023"/>
      <c r="X1" s="1023"/>
      <c r="Y1" s="1023"/>
      <c r="Z1" s="1023"/>
      <c r="AA1" s="1023"/>
    </row>
    <row r="2" spans="1:27" ht="15.75" customHeight="1">
      <c r="A2" s="1"/>
      <c r="B2" s="74"/>
      <c r="C2" s="74"/>
      <c r="D2" s="74"/>
      <c r="E2" s="74"/>
      <c r="F2" s="74"/>
      <c r="G2" s="1"/>
      <c r="H2" s="1"/>
      <c r="I2" s="1"/>
      <c r="J2" s="1"/>
      <c r="K2" s="1"/>
      <c r="L2" s="1"/>
      <c r="M2" s="1"/>
      <c r="N2" s="1"/>
      <c r="O2" s="1"/>
      <c r="P2" s="1"/>
      <c r="Q2" s="1"/>
      <c r="R2" s="1"/>
      <c r="S2" s="1"/>
      <c r="T2" s="1"/>
      <c r="U2" s="1"/>
    </row>
    <row r="3" spans="1:27" s="662" customFormat="1" ht="15.75" customHeight="1">
      <c r="A3" s="629"/>
      <c r="B3" s="737">
        <v>1995</v>
      </c>
      <c r="C3" s="737">
        <v>1996</v>
      </c>
      <c r="D3" s="737">
        <v>1997</v>
      </c>
      <c r="E3" s="737">
        <v>1998</v>
      </c>
      <c r="F3" s="737">
        <v>1999</v>
      </c>
      <c r="G3" s="738">
        <v>2000</v>
      </c>
      <c r="H3" s="738">
        <v>2001</v>
      </c>
      <c r="I3" s="738">
        <v>2002</v>
      </c>
      <c r="J3" s="738">
        <v>2003</v>
      </c>
      <c r="K3" s="738">
        <v>2004</v>
      </c>
      <c r="L3" s="738">
        <v>2005</v>
      </c>
      <c r="M3" s="739">
        <v>2006</v>
      </c>
      <c r="N3" s="739">
        <v>2007</v>
      </c>
      <c r="O3" s="739">
        <v>2008</v>
      </c>
      <c r="P3" s="739">
        <v>2009</v>
      </c>
      <c r="Q3" s="739">
        <v>2010</v>
      </c>
      <c r="R3" s="739">
        <v>2011</v>
      </c>
      <c r="S3" s="739">
        <v>2012</v>
      </c>
      <c r="T3" s="739">
        <v>2013</v>
      </c>
      <c r="U3" s="739">
        <v>2014</v>
      </c>
      <c r="V3" s="739">
        <v>2015</v>
      </c>
      <c r="W3" s="739">
        <v>2016</v>
      </c>
      <c r="X3" s="739">
        <v>2017</v>
      </c>
      <c r="Y3" s="739">
        <v>2018</v>
      </c>
      <c r="Z3" s="739">
        <v>2019</v>
      </c>
      <c r="AA3" s="739">
        <v>2020</v>
      </c>
    </row>
    <row r="4" spans="1:27" s="662" customFormat="1" ht="15.75" customHeight="1">
      <c r="A4" s="631" t="s">
        <v>56</v>
      </c>
      <c r="B4" s="740">
        <v>63</v>
      </c>
      <c r="C4" s="740">
        <v>65</v>
      </c>
      <c r="D4" s="740">
        <v>131</v>
      </c>
      <c r="E4" s="740">
        <v>121</v>
      </c>
      <c r="F4" s="740">
        <v>120</v>
      </c>
      <c r="G4" s="741">
        <v>143</v>
      </c>
      <c r="H4" s="741">
        <v>145</v>
      </c>
      <c r="I4" s="741">
        <v>141</v>
      </c>
      <c r="J4" s="741">
        <v>158</v>
      </c>
      <c r="K4" s="741">
        <v>150</v>
      </c>
      <c r="L4" s="741">
        <v>188</v>
      </c>
      <c r="M4" s="742">
        <v>211</v>
      </c>
      <c r="N4" s="742">
        <v>259</v>
      </c>
      <c r="O4" s="742">
        <v>260</v>
      </c>
      <c r="P4" s="742">
        <v>204</v>
      </c>
      <c r="Q4" s="742">
        <v>219</v>
      </c>
      <c r="R4" s="742" t="s">
        <v>29</v>
      </c>
      <c r="S4" s="742" t="s">
        <v>29</v>
      </c>
      <c r="T4" s="742" t="s">
        <v>29</v>
      </c>
      <c r="U4" s="742">
        <v>286</v>
      </c>
      <c r="V4" s="742">
        <v>350</v>
      </c>
      <c r="W4" s="742">
        <v>396</v>
      </c>
      <c r="X4" s="742">
        <v>453</v>
      </c>
      <c r="Y4" s="742">
        <v>503</v>
      </c>
      <c r="Z4" s="742">
        <v>570</v>
      </c>
      <c r="AA4" s="742">
        <v>521</v>
      </c>
    </row>
    <row r="5" spans="1:27" s="662" customFormat="1" ht="15.75" customHeight="1">
      <c r="A5" s="634" t="s">
        <v>57</v>
      </c>
      <c r="B5" s="647">
        <v>37</v>
      </c>
      <c r="C5" s="647">
        <v>34</v>
      </c>
      <c r="D5" s="647">
        <v>60</v>
      </c>
      <c r="E5" s="647">
        <v>76</v>
      </c>
      <c r="F5" s="647">
        <v>89</v>
      </c>
      <c r="G5" s="743">
        <v>91</v>
      </c>
      <c r="H5" s="743">
        <v>118</v>
      </c>
      <c r="I5" s="743">
        <v>118</v>
      </c>
      <c r="J5" s="743">
        <v>157</v>
      </c>
      <c r="K5" s="743">
        <v>152</v>
      </c>
      <c r="L5" s="743">
        <v>191</v>
      </c>
      <c r="M5" s="744">
        <v>207</v>
      </c>
      <c r="N5" s="744">
        <v>293</v>
      </c>
      <c r="O5" s="744">
        <v>355</v>
      </c>
      <c r="P5" s="744">
        <v>322</v>
      </c>
      <c r="Q5" s="744">
        <v>306</v>
      </c>
      <c r="R5" s="744" t="s">
        <v>29</v>
      </c>
      <c r="S5" s="744" t="s">
        <v>29</v>
      </c>
      <c r="T5" s="744" t="s">
        <v>29</v>
      </c>
      <c r="U5" s="744">
        <v>418</v>
      </c>
      <c r="V5" s="744">
        <v>456</v>
      </c>
      <c r="W5" s="744">
        <v>414</v>
      </c>
      <c r="X5" s="744">
        <v>446</v>
      </c>
      <c r="Y5" s="744">
        <v>458</v>
      </c>
      <c r="Z5" s="744">
        <v>624</v>
      </c>
      <c r="AA5" s="744">
        <v>565</v>
      </c>
    </row>
    <row r="6" spans="1:27" s="662" customFormat="1" ht="15.75" customHeight="1">
      <c r="A6" s="631" t="s">
        <v>453</v>
      </c>
      <c r="B6" s="745"/>
      <c r="C6" s="745"/>
      <c r="D6" s="745"/>
      <c r="E6" s="745"/>
      <c r="F6" s="745"/>
      <c r="G6" s="741"/>
      <c r="H6" s="741"/>
      <c r="I6" s="741"/>
      <c r="J6" s="741"/>
      <c r="K6" s="741"/>
      <c r="L6" s="741"/>
      <c r="M6" s="746" t="s">
        <v>58</v>
      </c>
      <c r="N6" s="746" t="s">
        <v>58</v>
      </c>
      <c r="O6" s="746" t="s">
        <v>58</v>
      </c>
      <c r="P6" s="746" t="s">
        <v>58</v>
      </c>
      <c r="Q6" s="742">
        <v>271</v>
      </c>
      <c r="R6" s="742">
        <v>282</v>
      </c>
      <c r="S6" s="742">
        <v>284</v>
      </c>
      <c r="T6" s="742">
        <v>279</v>
      </c>
      <c r="U6" s="742">
        <v>261</v>
      </c>
      <c r="V6" s="742">
        <v>274</v>
      </c>
      <c r="W6" s="742">
        <v>309</v>
      </c>
      <c r="X6" s="742">
        <v>316</v>
      </c>
      <c r="Y6" s="742">
        <v>341</v>
      </c>
      <c r="Z6" s="742">
        <v>353</v>
      </c>
      <c r="AA6" s="742">
        <v>423</v>
      </c>
    </row>
    <row r="7" spans="1:27" s="668" customFormat="1" ht="15.75" customHeight="1">
      <c r="A7" s="634" t="s">
        <v>454</v>
      </c>
      <c r="B7" s="747">
        <v>6817</v>
      </c>
      <c r="C7" s="747">
        <v>8143</v>
      </c>
      <c r="D7" s="747">
        <v>9032</v>
      </c>
      <c r="E7" s="747">
        <v>9439</v>
      </c>
      <c r="F7" s="747">
        <v>10026</v>
      </c>
      <c r="G7" s="743">
        <v>10765</v>
      </c>
      <c r="H7" s="743">
        <v>10843</v>
      </c>
      <c r="I7" s="743">
        <v>11097</v>
      </c>
      <c r="J7" s="743">
        <v>10187</v>
      </c>
      <c r="K7" s="743">
        <v>11332</v>
      </c>
      <c r="L7" s="743">
        <v>11876</v>
      </c>
      <c r="M7" s="572">
        <v>13455</v>
      </c>
      <c r="N7" s="572">
        <v>12488</v>
      </c>
      <c r="O7" s="572">
        <v>14041</v>
      </c>
      <c r="P7" s="572">
        <v>13752</v>
      </c>
      <c r="Q7" s="572">
        <v>13568</v>
      </c>
      <c r="R7" s="572">
        <v>13996</v>
      </c>
      <c r="S7" s="572">
        <v>13935</v>
      </c>
      <c r="T7" s="572">
        <v>13058</v>
      </c>
      <c r="U7" s="572">
        <v>12590</v>
      </c>
      <c r="V7" s="572">
        <v>12720</v>
      </c>
      <c r="W7" s="572">
        <v>12199</v>
      </c>
      <c r="X7" s="572">
        <v>13247</v>
      </c>
      <c r="Y7" s="572">
        <v>15184</v>
      </c>
      <c r="Z7" s="572">
        <v>15771</v>
      </c>
      <c r="AA7" s="572">
        <v>11626</v>
      </c>
    </row>
    <row r="8" spans="1:27" s="668" customFormat="1" ht="15.75" customHeight="1">
      <c r="A8" s="631" t="s">
        <v>59</v>
      </c>
      <c r="B8" s="748">
        <v>5</v>
      </c>
      <c r="C8" s="748">
        <v>5</v>
      </c>
      <c r="D8" s="748">
        <v>5</v>
      </c>
      <c r="E8" s="748">
        <v>5</v>
      </c>
      <c r="F8" s="748">
        <v>5</v>
      </c>
      <c r="G8" s="741">
        <v>5</v>
      </c>
      <c r="H8" s="741">
        <v>5</v>
      </c>
      <c r="I8" s="741">
        <v>4</v>
      </c>
      <c r="J8" s="741">
        <v>5</v>
      </c>
      <c r="K8" s="741">
        <v>4.9000000000000004</v>
      </c>
      <c r="L8" s="741">
        <v>5.5</v>
      </c>
      <c r="M8" s="749">
        <v>5.4</v>
      </c>
      <c r="N8" s="749">
        <v>5.6</v>
      </c>
      <c r="O8" s="749">
        <v>5.8</v>
      </c>
      <c r="P8" s="749">
        <v>5.8</v>
      </c>
      <c r="Q8" s="749">
        <v>5.9</v>
      </c>
      <c r="R8" s="749">
        <v>5.8</v>
      </c>
      <c r="S8" s="749">
        <v>5.7</v>
      </c>
      <c r="T8" s="749">
        <v>5.5</v>
      </c>
      <c r="U8" s="749">
        <v>6.1</v>
      </c>
      <c r="V8" s="749">
        <v>5.6</v>
      </c>
      <c r="W8" s="749">
        <v>5.9</v>
      </c>
      <c r="X8" s="749">
        <v>6.3773769259676811</v>
      </c>
      <c r="Y8" s="749">
        <v>5.9</v>
      </c>
      <c r="Z8" s="749">
        <v>6</v>
      </c>
      <c r="AA8" s="749">
        <v>6.6</v>
      </c>
    </row>
    <row r="9" spans="1:27" s="668" customFormat="1" ht="15.75" customHeight="1">
      <c r="A9" s="634" t="s">
        <v>60</v>
      </c>
      <c r="B9" s="750">
        <v>55.7</v>
      </c>
      <c r="C9" s="750">
        <v>69.099999999999994</v>
      </c>
      <c r="D9" s="750">
        <v>63.3</v>
      </c>
      <c r="E9" s="750">
        <v>71</v>
      </c>
      <c r="F9" s="750">
        <v>72.5</v>
      </c>
      <c r="G9" s="743">
        <v>71.2</v>
      </c>
      <c r="H9" s="743">
        <v>66.3</v>
      </c>
      <c r="I9" s="743">
        <v>62.2</v>
      </c>
      <c r="J9" s="743">
        <v>63.5</v>
      </c>
      <c r="K9" s="743">
        <v>67.2</v>
      </c>
      <c r="L9" s="743">
        <v>77.7</v>
      </c>
      <c r="M9" s="751">
        <v>83.5</v>
      </c>
      <c r="N9" s="751">
        <v>74.8</v>
      </c>
      <c r="O9" s="751">
        <v>84.5</v>
      </c>
      <c r="P9" s="751">
        <v>84.4</v>
      </c>
      <c r="Q9" s="751">
        <v>80.7</v>
      </c>
      <c r="R9" s="751">
        <v>82.6</v>
      </c>
      <c r="S9" s="751">
        <v>76.8</v>
      </c>
      <c r="T9" s="751">
        <v>71.400000000000006</v>
      </c>
      <c r="U9" s="751">
        <v>78.400000000000006</v>
      </c>
      <c r="V9" s="751">
        <v>72.540000000000006</v>
      </c>
      <c r="W9" s="751">
        <v>71</v>
      </c>
      <c r="X9" s="751">
        <v>70.760000000000005</v>
      </c>
      <c r="Y9" s="751">
        <v>74.2</v>
      </c>
      <c r="Z9" s="751">
        <v>66.900000000000006</v>
      </c>
      <c r="AA9" s="751">
        <v>41.8</v>
      </c>
    </row>
    <row r="10" spans="1:27" s="668" customFormat="1" ht="15.75" customHeight="1">
      <c r="A10" s="631" t="s">
        <v>61</v>
      </c>
      <c r="B10" s="752" t="s">
        <v>58</v>
      </c>
      <c r="C10" s="752" t="s">
        <v>58</v>
      </c>
      <c r="D10" s="752" t="s">
        <v>58</v>
      </c>
      <c r="E10" s="753">
        <v>344</v>
      </c>
      <c r="F10" s="753">
        <v>387</v>
      </c>
      <c r="G10" s="741">
        <v>431</v>
      </c>
      <c r="H10" s="741">
        <v>469</v>
      </c>
      <c r="I10" s="741">
        <v>501</v>
      </c>
      <c r="J10" s="741">
        <v>525</v>
      </c>
      <c r="K10" s="741">
        <v>553</v>
      </c>
      <c r="L10" s="741">
        <v>579</v>
      </c>
      <c r="M10" s="742">
        <v>604</v>
      </c>
      <c r="N10" s="742">
        <v>632</v>
      </c>
      <c r="O10" s="742">
        <v>669</v>
      </c>
      <c r="P10" s="742">
        <v>694</v>
      </c>
      <c r="Q10" s="742">
        <v>716</v>
      </c>
      <c r="R10" s="742">
        <v>747</v>
      </c>
      <c r="S10" s="742">
        <v>769</v>
      </c>
      <c r="T10" s="742">
        <v>787</v>
      </c>
      <c r="U10" s="742">
        <v>814</v>
      </c>
      <c r="V10" s="742">
        <v>836</v>
      </c>
      <c r="W10" s="742">
        <v>850</v>
      </c>
      <c r="X10" s="742">
        <v>861</v>
      </c>
      <c r="Y10" s="742">
        <v>880</v>
      </c>
      <c r="Z10" s="742">
        <v>891</v>
      </c>
      <c r="AA10" s="742">
        <v>897</v>
      </c>
    </row>
    <row r="11" spans="1:27" s="668" customFormat="1" ht="15.75" customHeight="1">
      <c r="A11" s="634" t="s">
        <v>62</v>
      </c>
      <c r="B11" s="754" t="s">
        <v>58</v>
      </c>
      <c r="C11" s="754" t="s">
        <v>58</v>
      </c>
      <c r="D11" s="754" t="s">
        <v>58</v>
      </c>
      <c r="E11" s="754" t="s">
        <v>58</v>
      </c>
      <c r="F11" s="750">
        <v>43</v>
      </c>
      <c r="G11" s="743">
        <v>44</v>
      </c>
      <c r="H11" s="743">
        <v>38</v>
      </c>
      <c r="I11" s="743">
        <v>32</v>
      </c>
      <c r="J11" s="743">
        <v>24</v>
      </c>
      <c r="K11" s="743">
        <v>28</v>
      </c>
      <c r="L11" s="743">
        <v>26</v>
      </c>
      <c r="M11" s="744">
        <v>25</v>
      </c>
      <c r="N11" s="744">
        <v>28</v>
      </c>
      <c r="O11" s="744">
        <v>37</v>
      </c>
      <c r="P11" s="744">
        <v>25</v>
      </c>
      <c r="Q11" s="744">
        <v>22</v>
      </c>
      <c r="R11" s="744">
        <v>31</v>
      </c>
      <c r="S11" s="744">
        <v>22</v>
      </c>
      <c r="T11" s="744">
        <v>18</v>
      </c>
      <c r="U11" s="744">
        <v>27</v>
      </c>
      <c r="V11" s="744">
        <v>22</v>
      </c>
      <c r="W11" s="744">
        <v>14</v>
      </c>
      <c r="X11" s="744">
        <v>11</v>
      </c>
      <c r="Y11" s="744">
        <v>19</v>
      </c>
      <c r="Z11" s="744">
        <v>11</v>
      </c>
      <c r="AA11" s="744">
        <v>6</v>
      </c>
    </row>
    <row r="12" spans="1:27" s="662" customFormat="1" ht="15.75" customHeight="1">
      <c r="A12" s="631" t="s">
        <v>63</v>
      </c>
      <c r="B12" s="753">
        <v>157</v>
      </c>
      <c r="C12" s="753">
        <v>102</v>
      </c>
      <c r="D12" s="753">
        <v>114</v>
      </c>
      <c r="E12" s="753">
        <v>98</v>
      </c>
      <c r="F12" s="753">
        <v>73</v>
      </c>
      <c r="G12" s="741" t="s">
        <v>29</v>
      </c>
      <c r="H12" s="741" t="s">
        <v>29</v>
      </c>
      <c r="I12" s="741" t="s">
        <v>29</v>
      </c>
      <c r="J12" s="741" t="s">
        <v>29</v>
      </c>
      <c r="K12" s="741">
        <v>199</v>
      </c>
      <c r="L12" s="741">
        <v>189</v>
      </c>
      <c r="M12" s="742">
        <v>175</v>
      </c>
      <c r="N12" s="742">
        <v>188</v>
      </c>
      <c r="O12" s="742">
        <v>201</v>
      </c>
      <c r="P12" s="742">
        <v>154</v>
      </c>
      <c r="Q12" s="742">
        <v>130</v>
      </c>
      <c r="R12" s="742">
        <v>126</v>
      </c>
      <c r="S12" s="742">
        <v>120</v>
      </c>
      <c r="T12" s="742">
        <v>165</v>
      </c>
      <c r="U12" s="742">
        <v>127</v>
      </c>
      <c r="V12" s="742">
        <v>137</v>
      </c>
      <c r="W12" s="742">
        <v>239</v>
      </c>
      <c r="X12" s="742">
        <v>202</v>
      </c>
      <c r="Y12" s="742">
        <v>204</v>
      </c>
      <c r="Z12" s="755">
        <v>0</v>
      </c>
      <c r="AA12" s="755">
        <v>23</v>
      </c>
    </row>
    <row r="13" spans="1:27" ht="15.75" customHeight="1">
      <c r="A13" s="493" t="s">
        <v>64</v>
      </c>
      <c r="B13" s="477"/>
      <c r="C13" s="477"/>
      <c r="D13" s="477"/>
      <c r="E13" s="477"/>
      <c r="F13" s="477"/>
      <c r="G13" s="477"/>
      <c r="H13" s="477"/>
      <c r="I13" s="477"/>
      <c r="J13" s="477"/>
      <c r="K13" s="477"/>
      <c r="L13" s="477"/>
      <c r="M13" s="477"/>
      <c r="N13" s="477"/>
      <c r="O13" s="477"/>
      <c r="P13" s="477"/>
      <c r="Q13" s="477"/>
      <c r="R13" s="477"/>
      <c r="S13" s="477"/>
      <c r="T13" s="477"/>
      <c r="U13" s="477"/>
      <c r="V13" s="477"/>
      <c r="W13" s="477"/>
      <c r="X13" s="477"/>
      <c r="Y13" s="477"/>
      <c r="Z13" s="477"/>
      <c r="AA13" s="477"/>
    </row>
    <row r="14" spans="1:27" s="77" customFormat="1">
      <c r="A14" s="76" t="s">
        <v>65</v>
      </c>
      <c r="Z14" s="80"/>
      <c r="AA14" s="80"/>
    </row>
    <row r="15" spans="1:27" s="77" customFormat="1">
      <c r="A15" s="76" t="s">
        <v>341</v>
      </c>
      <c r="B15" s="78"/>
      <c r="C15" s="78"/>
      <c r="D15" s="78"/>
      <c r="E15" s="78"/>
      <c r="F15" s="78"/>
      <c r="G15" s="78"/>
      <c r="H15" s="78"/>
      <c r="I15" s="78"/>
      <c r="J15" s="78"/>
      <c r="K15" s="78"/>
      <c r="L15" s="78"/>
      <c r="M15" s="78"/>
      <c r="N15" s="78"/>
      <c r="O15" s="78"/>
      <c r="P15" s="78"/>
      <c r="Q15" s="78"/>
      <c r="R15" s="78"/>
      <c r="S15" s="78"/>
      <c r="T15" s="78"/>
      <c r="Z15" s="80"/>
      <c r="AA15" s="80"/>
    </row>
    <row r="16" spans="1:27">
      <c r="A16" s="76" t="s">
        <v>66</v>
      </c>
      <c r="Q16" s="214"/>
      <c r="R16" s="214"/>
      <c r="S16" s="214"/>
      <c r="T16" s="214"/>
      <c r="U16" s="214"/>
      <c r="V16" s="214"/>
      <c r="W16" s="214"/>
      <c r="X16" s="214"/>
      <c r="Y16" s="214"/>
      <c r="Z16" s="214"/>
      <c r="AA16" s="80"/>
    </row>
    <row r="17" spans="26:28">
      <c r="Z17" s="80"/>
    </row>
    <row r="18" spans="26:28">
      <c r="Z18" s="80"/>
    </row>
    <row r="19" spans="26:28">
      <c r="Z19" s="80"/>
    </row>
    <row r="20" spans="26:28">
      <c r="Z20" s="80"/>
    </row>
    <row r="21" spans="26:28">
      <c r="Z21" s="80"/>
      <c r="AB21" s="80"/>
    </row>
    <row r="22" spans="26:28">
      <c r="AB22" s="80"/>
    </row>
    <row r="23" spans="26:28">
      <c r="AB23" s="80"/>
    </row>
    <row r="24" spans="26:28">
      <c r="AB24" s="80"/>
    </row>
    <row r="25" spans="26:28">
      <c r="AB25" s="80"/>
    </row>
  </sheetData>
  <mergeCells count="1">
    <mergeCell ref="A1:AA1"/>
  </mergeCells>
  <pageMargins left="0.7" right="0.7" top="0.75" bottom="0.75" header="0.3" footer="0.3"/>
  <pageSetup paperSize="9" scale="76" orientation="landscape" horizontalDpi="4294967295" verticalDpi="4294967295"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BD5D"/>
  </sheetPr>
  <dimension ref="A1:GK441"/>
  <sheetViews>
    <sheetView view="pageBreakPreview" zoomScale="60" zoomScaleNormal="112" workbookViewId="0">
      <selection activeCell="BK1" sqref="BK1:CT1048576"/>
    </sheetView>
  </sheetViews>
  <sheetFormatPr defaultColWidth="9.140625" defaultRowHeight="15.75"/>
  <cols>
    <col min="1" max="1" width="8.85546875" style="79" customWidth="1"/>
    <col min="2" max="2" width="39.42578125" style="79" customWidth="1"/>
    <col min="3" max="5" width="10.5703125" style="79" hidden="1" customWidth="1"/>
    <col min="6" max="6" width="2.140625" style="79" hidden="1" customWidth="1"/>
    <col min="7" max="7" width="8.42578125" style="79" hidden="1" customWidth="1"/>
    <col min="8" max="11" width="10.5703125" style="79" hidden="1" customWidth="1"/>
    <col min="12" max="17" width="14.85546875" style="79" hidden="1" customWidth="1"/>
    <col min="18" max="20" width="13.5703125" style="71" hidden="1" customWidth="1"/>
    <col min="21" max="21" width="13.5703125" style="42" hidden="1" customWidth="1"/>
    <col min="22" max="28" width="11.7109375" style="663" customWidth="1"/>
    <col min="29" max="32" width="11.7109375" style="662" customWidth="1"/>
    <col min="33" max="35" width="7.7109375" style="80" customWidth="1"/>
    <col min="36" max="36" width="9.140625" style="80"/>
    <col min="37" max="37" width="4.7109375" style="80" customWidth="1"/>
    <col min="38" max="193" width="9.140625" style="80"/>
    <col min="194" max="16384" width="9.140625" style="42"/>
  </cols>
  <sheetData>
    <row r="1" spans="1:193" ht="30" customHeight="1">
      <c r="A1" s="1023" t="s">
        <v>67</v>
      </c>
      <c r="B1" s="1023"/>
      <c r="C1" s="1023"/>
      <c r="D1" s="1023"/>
      <c r="E1" s="1023"/>
      <c r="F1" s="1023"/>
      <c r="G1" s="1023"/>
      <c r="H1" s="1023"/>
      <c r="I1" s="1023"/>
      <c r="J1" s="1023"/>
      <c r="K1" s="1023"/>
      <c r="L1" s="1023"/>
      <c r="M1" s="1023"/>
      <c r="N1" s="1023"/>
      <c r="O1" s="1023"/>
      <c r="P1" s="1023"/>
      <c r="Q1" s="1023"/>
      <c r="R1" s="1023"/>
      <c r="S1" s="1023"/>
      <c r="T1" s="1023"/>
      <c r="U1" s="1023"/>
      <c r="V1" s="1023"/>
      <c r="W1" s="1023"/>
      <c r="X1" s="1023"/>
      <c r="Y1" s="1023"/>
      <c r="Z1" s="1023"/>
      <c r="AA1" s="1023"/>
      <c r="AB1" s="1023"/>
      <c r="AC1" s="1023"/>
      <c r="AD1" s="1023"/>
      <c r="AE1" s="1023"/>
      <c r="AF1" s="1023"/>
    </row>
    <row r="2" spans="1:193" ht="15" customHeight="1">
      <c r="A2" s="1"/>
      <c r="B2" s="1"/>
      <c r="C2" s="1"/>
      <c r="D2" s="1"/>
      <c r="E2" s="1"/>
      <c r="F2" s="1"/>
      <c r="G2" s="1"/>
      <c r="H2" s="1"/>
      <c r="I2" s="1"/>
      <c r="J2" s="1"/>
      <c r="K2" s="1"/>
      <c r="L2" s="1"/>
      <c r="M2" s="1"/>
      <c r="N2" s="1"/>
      <c r="O2" s="1"/>
      <c r="P2" s="1"/>
      <c r="Q2" s="1"/>
      <c r="R2" s="1"/>
      <c r="S2" s="1"/>
      <c r="T2" s="1"/>
      <c r="U2" s="1"/>
      <c r="V2" s="628"/>
      <c r="W2" s="628"/>
      <c r="X2" s="628"/>
      <c r="Y2" s="628"/>
      <c r="Z2" s="628"/>
      <c r="AA2" s="662"/>
      <c r="AB2" s="662"/>
    </row>
    <row r="3" spans="1:193" ht="15" customHeight="1">
      <c r="A3" s="473"/>
      <c r="B3" s="473"/>
      <c r="C3" s="473">
        <v>1991</v>
      </c>
      <c r="D3" s="473">
        <v>1992</v>
      </c>
      <c r="E3" s="473">
        <v>1993</v>
      </c>
      <c r="F3" s="473">
        <v>1994</v>
      </c>
      <c r="G3" s="473">
        <v>1995</v>
      </c>
      <c r="H3" s="473">
        <v>1996</v>
      </c>
      <c r="I3" s="473">
        <v>1997</v>
      </c>
      <c r="J3" s="473">
        <v>1998</v>
      </c>
      <c r="K3" s="473">
        <v>1999</v>
      </c>
      <c r="L3" s="473">
        <v>2000</v>
      </c>
      <c r="M3" s="473">
        <v>2001</v>
      </c>
      <c r="N3" s="473">
        <v>2002</v>
      </c>
      <c r="O3" s="473">
        <v>2003</v>
      </c>
      <c r="P3" s="473">
        <v>2004</v>
      </c>
      <c r="Q3" s="473">
        <v>2005</v>
      </c>
      <c r="R3" s="496">
        <v>2006</v>
      </c>
      <c r="S3" s="496">
        <v>2007</v>
      </c>
      <c r="T3" s="496">
        <v>2008</v>
      </c>
      <c r="U3" s="496">
        <v>2009</v>
      </c>
      <c r="V3" s="756">
        <v>2010</v>
      </c>
      <c r="W3" s="756">
        <v>2011</v>
      </c>
      <c r="X3" s="756">
        <v>2012</v>
      </c>
      <c r="Y3" s="756">
        <v>2013</v>
      </c>
      <c r="Z3" s="756">
        <v>2014</v>
      </c>
      <c r="AA3" s="756">
        <v>2015</v>
      </c>
      <c r="AB3" s="756">
        <v>2016</v>
      </c>
      <c r="AC3" s="756">
        <v>2017</v>
      </c>
      <c r="AD3" s="756">
        <v>2018</v>
      </c>
      <c r="AE3" s="756">
        <v>2019</v>
      </c>
      <c r="AF3" s="756">
        <v>2020</v>
      </c>
      <c r="AG3" s="494"/>
    </row>
    <row r="4" spans="1:193" s="64" customFormat="1" ht="15" hidden="1" customHeight="1">
      <c r="A4" s="8" t="s">
        <v>68</v>
      </c>
      <c r="B4" s="8"/>
      <c r="C4" s="8">
        <f>SUM(C5:C6)</f>
        <v>35415</v>
      </c>
      <c r="D4" s="8">
        <f>SUM(D5:D7)</f>
        <v>73642</v>
      </c>
      <c r="E4" s="8">
        <f>SUM(E5:E6)</f>
        <v>43153</v>
      </c>
      <c r="F4" s="8">
        <f>SUM(F5:F7)</f>
        <v>83855</v>
      </c>
      <c r="G4" s="8">
        <f t="shared" ref="G4:N4" si="0">SUM(G5:G7)</f>
        <v>87878</v>
      </c>
      <c r="H4" s="8">
        <f t="shared" si="0"/>
        <v>90597</v>
      </c>
      <c r="I4" s="8">
        <f t="shared" si="0"/>
        <v>93375</v>
      </c>
      <c r="J4" s="8">
        <f t="shared" si="0"/>
        <v>97323</v>
      </c>
      <c r="K4" s="8">
        <f t="shared" si="0"/>
        <v>101081</v>
      </c>
      <c r="L4" s="8">
        <f t="shared" si="0"/>
        <v>105356</v>
      </c>
      <c r="M4" s="8">
        <f t="shared" si="0"/>
        <v>106391</v>
      </c>
      <c r="N4" s="8">
        <f t="shared" si="0"/>
        <v>106220</v>
      </c>
      <c r="O4" s="8">
        <f>SUM(O5:O7)</f>
        <v>104408</v>
      </c>
      <c r="P4" s="8">
        <f>SUM(P5:P7)</f>
        <v>104214</v>
      </c>
      <c r="Q4" s="8">
        <v>102073</v>
      </c>
      <c r="R4" s="83">
        <v>100241</v>
      </c>
      <c r="S4" s="83">
        <v>97131</v>
      </c>
      <c r="T4" s="83">
        <v>93433</v>
      </c>
      <c r="U4" s="83">
        <v>89841</v>
      </c>
      <c r="V4" s="757">
        <v>87600</v>
      </c>
      <c r="W4" s="757">
        <v>86946</v>
      </c>
      <c r="X4" s="757">
        <v>86510</v>
      </c>
      <c r="Y4" s="757">
        <v>86096</v>
      </c>
      <c r="Z4" s="757">
        <v>87083</v>
      </c>
      <c r="AA4" s="757">
        <v>88341</v>
      </c>
      <c r="AB4" s="757">
        <v>87788</v>
      </c>
      <c r="AC4" s="681"/>
      <c r="AD4" s="681"/>
      <c r="AE4" s="681"/>
      <c r="AF4" s="681"/>
      <c r="AG4" s="34"/>
      <c r="AH4" s="34"/>
      <c r="AI4" s="34"/>
      <c r="AJ4" s="34"/>
      <c r="AK4" s="34"/>
      <c r="AL4" s="34"/>
      <c r="AM4" s="34"/>
      <c r="AN4" s="34"/>
      <c r="AO4" s="34"/>
      <c r="AP4" s="34"/>
      <c r="AQ4" s="34"/>
      <c r="AR4" s="34"/>
      <c r="AS4" s="34"/>
      <c r="AT4" s="34"/>
      <c r="AU4" s="34"/>
      <c r="AV4" s="34"/>
      <c r="AW4" s="34"/>
      <c r="AX4" s="34"/>
      <c r="AY4" s="34"/>
      <c r="AZ4" s="34"/>
      <c r="BA4" s="34"/>
      <c r="BB4" s="34"/>
      <c r="BC4" s="34"/>
      <c r="BD4" s="34"/>
      <c r="BE4" s="34"/>
      <c r="BF4" s="34"/>
      <c r="BG4" s="34"/>
      <c r="BH4" s="34"/>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c r="CK4" s="34"/>
      <c r="CL4" s="34"/>
      <c r="CM4" s="34"/>
      <c r="CN4" s="34"/>
      <c r="CO4" s="34"/>
      <c r="CP4" s="34"/>
      <c r="CQ4" s="34"/>
      <c r="CR4" s="34"/>
      <c r="CS4" s="34"/>
      <c r="CT4" s="34"/>
      <c r="CU4" s="34"/>
      <c r="CV4" s="34"/>
      <c r="CW4" s="34"/>
      <c r="CX4" s="34"/>
      <c r="CY4" s="34"/>
      <c r="CZ4" s="34"/>
      <c r="DA4" s="34"/>
      <c r="DB4" s="34"/>
      <c r="DC4" s="34"/>
      <c r="DD4" s="34"/>
      <c r="DE4" s="34"/>
      <c r="DF4" s="34"/>
      <c r="DG4" s="34"/>
      <c r="DH4" s="34"/>
      <c r="DI4" s="34"/>
      <c r="DJ4" s="34"/>
      <c r="DK4" s="34"/>
      <c r="DL4" s="34"/>
      <c r="DM4" s="34"/>
      <c r="DN4" s="34"/>
      <c r="DO4" s="34"/>
      <c r="DP4" s="34"/>
      <c r="DQ4" s="34"/>
      <c r="DR4" s="34"/>
      <c r="DS4" s="34"/>
      <c r="DT4" s="34"/>
      <c r="DU4" s="34"/>
      <c r="DV4" s="34"/>
      <c r="DW4" s="34"/>
      <c r="DX4" s="34"/>
      <c r="DY4" s="34"/>
      <c r="DZ4" s="34"/>
      <c r="EA4" s="34"/>
      <c r="EB4" s="34"/>
      <c r="EC4" s="34"/>
      <c r="ED4" s="34"/>
      <c r="EE4" s="34"/>
      <c r="EF4" s="34"/>
      <c r="EG4" s="34"/>
      <c r="EH4" s="34"/>
      <c r="EI4" s="34"/>
      <c r="EJ4" s="34"/>
      <c r="EK4" s="34"/>
      <c r="EL4" s="34"/>
      <c r="EM4" s="34"/>
      <c r="EN4" s="34"/>
      <c r="EO4" s="34"/>
      <c r="EP4" s="34"/>
      <c r="EQ4" s="34"/>
      <c r="ER4" s="34"/>
      <c r="ES4" s="34"/>
      <c r="ET4" s="34"/>
      <c r="EU4" s="34"/>
      <c r="EV4" s="34"/>
      <c r="EW4" s="34"/>
      <c r="EX4" s="34"/>
      <c r="EY4" s="34"/>
      <c r="EZ4" s="34"/>
      <c r="FA4" s="34"/>
      <c r="FB4" s="34"/>
      <c r="FC4" s="34"/>
      <c r="FD4" s="34"/>
      <c r="FE4" s="34"/>
      <c r="FF4" s="34"/>
      <c r="FG4" s="34"/>
      <c r="FH4" s="34"/>
      <c r="FI4" s="34"/>
      <c r="FJ4" s="34"/>
      <c r="FK4" s="34"/>
      <c r="FL4" s="34"/>
      <c r="FM4" s="34"/>
      <c r="FN4" s="34"/>
      <c r="FO4" s="34"/>
      <c r="FP4" s="34"/>
      <c r="FQ4" s="34"/>
      <c r="FR4" s="34"/>
      <c r="FS4" s="34"/>
      <c r="FT4" s="34"/>
      <c r="FU4" s="34"/>
      <c r="FV4" s="34"/>
      <c r="FW4" s="34"/>
      <c r="FX4" s="34"/>
      <c r="FY4" s="34"/>
      <c r="FZ4" s="34"/>
      <c r="GA4" s="34"/>
      <c r="GB4" s="34"/>
      <c r="GC4" s="34"/>
      <c r="GD4" s="34"/>
      <c r="GE4" s="34"/>
      <c r="GF4" s="34"/>
      <c r="GG4" s="34"/>
      <c r="GH4" s="34"/>
      <c r="GI4" s="34"/>
      <c r="GJ4" s="34"/>
      <c r="GK4" s="34"/>
    </row>
    <row r="5" spans="1:193" ht="15" hidden="1" customHeight="1">
      <c r="A5" s="84"/>
      <c r="B5" s="84" t="s">
        <v>69</v>
      </c>
      <c r="C5" s="84">
        <v>27843</v>
      </c>
      <c r="D5" s="84">
        <v>32475</v>
      </c>
      <c r="E5" s="84">
        <v>35138</v>
      </c>
      <c r="F5" s="84">
        <v>36693</v>
      </c>
      <c r="G5" s="84">
        <v>39032</v>
      </c>
      <c r="H5" s="84">
        <v>40935</v>
      </c>
      <c r="I5" s="84">
        <v>43757</v>
      </c>
      <c r="J5" s="84">
        <v>46352</v>
      </c>
      <c r="K5" s="84">
        <v>49721</v>
      </c>
      <c r="L5" s="84">
        <v>53413</v>
      </c>
      <c r="M5" s="84">
        <v>56224</v>
      </c>
      <c r="N5" s="84">
        <v>56579</v>
      </c>
      <c r="O5" s="84">
        <v>58682</v>
      </c>
      <c r="P5" s="84">
        <v>57139</v>
      </c>
      <c r="Q5" s="84">
        <v>83563</v>
      </c>
      <c r="R5" s="85">
        <v>82177</v>
      </c>
      <c r="S5" s="85">
        <v>79439</v>
      </c>
      <c r="T5" s="85">
        <v>75377</v>
      </c>
      <c r="U5" s="85">
        <v>71729</v>
      </c>
      <c r="V5" s="758">
        <v>68004</v>
      </c>
      <c r="W5" s="758">
        <v>64377</v>
      </c>
      <c r="X5" s="758">
        <v>62151</v>
      </c>
      <c r="Y5" s="758">
        <v>59560</v>
      </c>
      <c r="Z5" s="758">
        <v>59914</v>
      </c>
      <c r="AA5" s="758">
        <v>60841</v>
      </c>
      <c r="AB5" s="758">
        <v>70155</v>
      </c>
    </row>
    <row r="6" spans="1:193" s="80" customFormat="1" ht="15" hidden="1" customHeight="1">
      <c r="A6" s="3"/>
      <c r="B6" s="3" t="s">
        <v>70</v>
      </c>
      <c r="C6" s="3">
        <v>7572</v>
      </c>
      <c r="D6" s="3">
        <v>7388</v>
      </c>
      <c r="E6" s="3">
        <v>8015</v>
      </c>
      <c r="F6" s="3">
        <v>8500</v>
      </c>
      <c r="G6" s="3">
        <v>9281</v>
      </c>
      <c r="H6" s="3">
        <v>9509</v>
      </c>
      <c r="I6" s="3">
        <v>8323</v>
      </c>
      <c r="J6" s="3">
        <v>8812</v>
      </c>
      <c r="K6" s="3">
        <v>8836</v>
      </c>
      <c r="L6" s="3">
        <v>9591</v>
      </c>
      <c r="M6" s="3">
        <v>9719</v>
      </c>
      <c r="N6" s="3">
        <v>8764</v>
      </c>
      <c r="O6" s="3">
        <v>8186</v>
      </c>
      <c r="P6" s="3">
        <v>9033</v>
      </c>
      <c r="Q6" s="3">
        <v>8665</v>
      </c>
      <c r="R6" s="86">
        <v>8373</v>
      </c>
      <c r="S6" s="86">
        <v>7340</v>
      </c>
      <c r="T6" s="86">
        <v>7528</v>
      </c>
      <c r="U6" s="86">
        <v>8106</v>
      </c>
      <c r="V6" s="759">
        <v>8687</v>
      </c>
      <c r="W6" s="759">
        <v>10509</v>
      </c>
      <c r="X6" s="759">
        <v>11957</v>
      </c>
      <c r="Y6" s="759">
        <v>13302</v>
      </c>
      <c r="Z6" s="759">
        <v>14149</v>
      </c>
      <c r="AA6" s="759">
        <v>14191</v>
      </c>
      <c r="AB6" s="759">
        <v>5562</v>
      </c>
      <c r="AC6" s="662"/>
      <c r="AD6" s="662"/>
      <c r="AE6" s="662"/>
      <c r="AF6" s="662"/>
    </row>
    <row r="7" spans="1:193" s="87" customFormat="1" ht="15" hidden="1" customHeight="1">
      <c r="A7" s="84"/>
      <c r="B7" s="84" t="s">
        <v>71</v>
      </c>
      <c r="C7" s="84">
        <v>32680</v>
      </c>
      <c r="D7" s="84">
        <v>33779</v>
      </c>
      <c r="E7" s="84">
        <v>35486</v>
      </c>
      <c r="F7" s="84">
        <v>38662</v>
      </c>
      <c r="G7" s="84">
        <v>39565</v>
      </c>
      <c r="H7" s="84">
        <v>40153</v>
      </c>
      <c r="I7" s="84">
        <v>41295</v>
      </c>
      <c r="J7" s="84">
        <v>42159</v>
      </c>
      <c r="K7" s="84">
        <v>42524</v>
      </c>
      <c r="L7" s="84">
        <v>42352</v>
      </c>
      <c r="M7" s="84">
        <v>40448</v>
      </c>
      <c r="N7" s="84">
        <v>40877</v>
      </c>
      <c r="O7" s="84">
        <v>37540</v>
      </c>
      <c r="P7" s="84">
        <v>38042</v>
      </c>
      <c r="Q7" s="84" t="s">
        <v>72</v>
      </c>
      <c r="R7" s="85">
        <v>9691</v>
      </c>
      <c r="S7" s="85">
        <v>10352</v>
      </c>
      <c r="T7" s="85">
        <v>10528</v>
      </c>
      <c r="U7" s="85">
        <v>10006</v>
      </c>
      <c r="V7" s="758">
        <v>10909</v>
      </c>
      <c r="W7" s="758">
        <v>11826</v>
      </c>
      <c r="X7" s="758">
        <v>12402</v>
      </c>
      <c r="Y7" s="758">
        <v>13234</v>
      </c>
      <c r="Z7" s="758">
        <v>13020</v>
      </c>
      <c r="AA7" s="758">
        <v>13309</v>
      </c>
      <c r="AB7" s="758">
        <v>12071</v>
      </c>
      <c r="AC7" s="760"/>
      <c r="AD7" s="760"/>
      <c r="AE7" s="760"/>
      <c r="AF7" s="760"/>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5"/>
      <c r="GC7" s="35"/>
      <c r="GD7" s="35"/>
      <c r="GE7" s="35"/>
      <c r="GF7" s="35"/>
      <c r="GG7" s="35"/>
      <c r="GH7" s="35"/>
      <c r="GI7" s="35"/>
      <c r="GJ7" s="35"/>
      <c r="GK7" s="35"/>
    </row>
    <row r="8" spans="1:193" s="34" customFormat="1" ht="15" customHeight="1">
      <c r="A8" s="8" t="s">
        <v>73</v>
      </c>
      <c r="B8" s="8"/>
      <c r="C8" s="8"/>
      <c r="D8" s="8"/>
      <c r="E8" s="8"/>
      <c r="F8" s="8"/>
      <c r="G8" s="8"/>
      <c r="H8" s="8"/>
      <c r="I8" s="8"/>
      <c r="J8" s="8"/>
      <c r="K8" s="8"/>
      <c r="L8" s="8"/>
      <c r="M8" s="8"/>
      <c r="N8" s="8"/>
      <c r="O8" s="8"/>
      <c r="P8" s="8"/>
      <c r="Q8" s="8"/>
      <c r="R8" s="83"/>
      <c r="S8" s="83"/>
      <c r="T8" s="83"/>
      <c r="U8" s="83"/>
      <c r="V8" s="757"/>
      <c r="W8" s="757"/>
      <c r="X8" s="757"/>
      <c r="Y8" s="757"/>
      <c r="Z8" s="757"/>
      <c r="AA8" s="757"/>
      <c r="AB8" s="757"/>
      <c r="AC8" s="680"/>
      <c r="AD8" s="680"/>
      <c r="AE8" s="680"/>
      <c r="AF8" s="680"/>
    </row>
    <row r="9" spans="1:193" s="87" customFormat="1" ht="15" customHeight="1">
      <c r="A9" s="474"/>
      <c r="B9" s="474" t="s">
        <v>74</v>
      </c>
      <c r="C9" s="474"/>
      <c r="D9" s="474">
        <v>9379</v>
      </c>
      <c r="E9" s="474">
        <v>9592</v>
      </c>
      <c r="F9" s="474">
        <v>9443</v>
      </c>
      <c r="G9" s="474">
        <v>11198</v>
      </c>
      <c r="H9" s="474">
        <v>10530</v>
      </c>
      <c r="I9" s="474">
        <v>10682</v>
      </c>
      <c r="J9" s="474">
        <v>11508</v>
      </c>
      <c r="K9" s="474">
        <v>12031</v>
      </c>
      <c r="L9" s="474">
        <v>12894</v>
      </c>
      <c r="M9" s="474">
        <v>12809</v>
      </c>
      <c r="N9" s="474">
        <v>12886</v>
      </c>
      <c r="O9" s="474">
        <v>11206</v>
      </c>
      <c r="P9" s="474">
        <v>13075</v>
      </c>
      <c r="Q9" s="474">
        <v>13505</v>
      </c>
      <c r="R9" s="497">
        <v>14325</v>
      </c>
      <c r="S9" s="497">
        <v>14851</v>
      </c>
      <c r="T9" s="497">
        <v>15536</v>
      </c>
      <c r="U9" s="497">
        <v>16126</v>
      </c>
      <c r="V9" s="761">
        <v>17623</v>
      </c>
      <c r="W9" s="761">
        <v>17885</v>
      </c>
      <c r="X9" s="761">
        <v>22049</v>
      </c>
      <c r="Y9" s="761">
        <v>22473</v>
      </c>
      <c r="Z9" s="761">
        <v>22823</v>
      </c>
      <c r="AA9" s="761">
        <v>23412</v>
      </c>
      <c r="AB9" s="761">
        <v>22263</v>
      </c>
      <c r="AC9" s="761">
        <v>21000</v>
      </c>
      <c r="AD9" s="761">
        <v>20411</v>
      </c>
      <c r="AE9" s="761">
        <v>19596</v>
      </c>
      <c r="AF9" s="761">
        <v>18649</v>
      </c>
      <c r="AG9" s="86"/>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5"/>
      <c r="GC9" s="35"/>
      <c r="GD9" s="35"/>
      <c r="GE9" s="35"/>
      <c r="GF9" s="35"/>
      <c r="GG9" s="35"/>
      <c r="GH9" s="35"/>
      <c r="GI9" s="35"/>
      <c r="GJ9" s="35"/>
      <c r="GK9" s="35"/>
    </row>
    <row r="10" spans="1:193" s="35" customFormat="1" ht="15" customHeight="1">
      <c r="A10" s="3"/>
      <c r="B10" s="3" t="s">
        <v>75</v>
      </c>
      <c r="C10" s="3"/>
      <c r="D10" s="3">
        <v>55640</v>
      </c>
      <c r="E10" s="3">
        <v>60470</v>
      </c>
      <c r="F10" s="3">
        <v>65289</v>
      </c>
      <c r="G10" s="3">
        <v>67312</v>
      </c>
      <c r="H10" s="3">
        <v>69487</v>
      </c>
      <c r="I10" s="3">
        <v>72641</v>
      </c>
      <c r="J10" s="3">
        <v>73519</v>
      </c>
      <c r="K10" s="3">
        <v>74050</v>
      </c>
      <c r="L10" s="3">
        <v>73522</v>
      </c>
      <c r="M10" s="3">
        <v>71054</v>
      </c>
      <c r="N10" s="3">
        <v>68242</v>
      </c>
      <c r="O10" s="3">
        <v>66169</v>
      </c>
      <c r="P10" s="3">
        <v>63300</v>
      </c>
      <c r="Q10" s="3">
        <v>57873</v>
      </c>
      <c r="R10" s="86">
        <v>54692</v>
      </c>
      <c r="S10" s="86">
        <v>50270</v>
      </c>
      <c r="T10" s="86">
        <v>46994</v>
      </c>
      <c r="U10" s="86">
        <v>44530</v>
      </c>
      <c r="V10" s="759">
        <v>41955</v>
      </c>
      <c r="W10" s="759">
        <v>40435</v>
      </c>
      <c r="X10" s="759">
        <v>38638</v>
      </c>
      <c r="Y10" s="759">
        <v>39408</v>
      </c>
      <c r="Z10" s="759">
        <v>40499</v>
      </c>
      <c r="AA10" s="759">
        <v>42137</v>
      </c>
      <c r="AB10" s="759">
        <v>43781</v>
      </c>
      <c r="AC10" s="759">
        <v>45326</v>
      </c>
      <c r="AD10" s="759">
        <v>47236</v>
      </c>
      <c r="AE10" s="759">
        <v>49373</v>
      </c>
      <c r="AF10" s="759">
        <v>51238</v>
      </c>
      <c r="AG10" s="86"/>
    </row>
    <row r="11" spans="1:193" s="87" customFormat="1" ht="15" customHeight="1">
      <c r="A11" s="474"/>
      <c r="B11" s="474" t="s">
        <v>76</v>
      </c>
      <c r="C11" s="474"/>
      <c r="D11" s="474">
        <v>5411</v>
      </c>
      <c r="E11" s="474">
        <v>6193</v>
      </c>
      <c r="F11" s="474">
        <v>6699</v>
      </c>
      <c r="G11" s="474">
        <v>6993</v>
      </c>
      <c r="H11" s="474">
        <v>8127</v>
      </c>
      <c r="I11" s="474">
        <v>9653</v>
      </c>
      <c r="J11" s="474">
        <v>11845</v>
      </c>
      <c r="K11" s="474">
        <v>14531</v>
      </c>
      <c r="L11" s="474">
        <v>18254</v>
      </c>
      <c r="M11" s="474">
        <v>21644</v>
      </c>
      <c r="N11" s="474">
        <v>23903</v>
      </c>
      <c r="O11" s="474">
        <v>25486</v>
      </c>
      <c r="P11" s="474">
        <v>26141</v>
      </c>
      <c r="Q11" s="474">
        <v>28646</v>
      </c>
      <c r="R11" s="497">
        <v>28966</v>
      </c>
      <c r="S11" s="497">
        <v>29417</v>
      </c>
      <c r="T11" s="497">
        <v>28164</v>
      </c>
      <c r="U11" s="497">
        <v>26120</v>
      </c>
      <c r="V11" s="761">
        <v>24588</v>
      </c>
      <c r="W11" s="761">
        <v>22788</v>
      </c>
      <c r="X11" s="761">
        <v>21444</v>
      </c>
      <c r="Y11" s="761">
        <v>19876</v>
      </c>
      <c r="Z11" s="761">
        <v>18925</v>
      </c>
      <c r="AA11" s="761">
        <v>18096</v>
      </c>
      <c r="AB11" s="761">
        <v>17256</v>
      </c>
      <c r="AC11" s="761">
        <v>16778</v>
      </c>
      <c r="AD11" s="761">
        <v>16289</v>
      </c>
      <c r="AE11" s="761">
        <v>16167</v>
      </c>
      <c r="AF11" s="761">
        <v>17031</v>
      </c>
      <c r="AG11" s="86"/>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5"/>
      <c r="GC11" s="35"/>
      <c r="GD11" s="35"/>
      <c r="GE11" s="35"/>
      <c r="GF11" s="35"/>
      <c r="GG11" s="35"/>
      <c r="GH11" s="35"/>
      <c r="GI11" s="35"/>
      <c r="GJ11" s="35"/>
      <c r="GK11" s="35"/>
    </row>
    <row r="12" spans="1:193" s="35" customFormat="1" ht="15" customHeight="1">
      <c r="A12" s="3"/>
      <c r="B12" s="3" t="s">
        <v>77</v>
      </c>
      <c r="C12" s="3"/>
      <c r="D12" s="3">
        <v>279</v>
      </c>
      <c r="E12" s="3">
        <v>313</v>
      </c>
      <c r="F12" s="3">
        <v>336</v>
      </c>
      <c r="G12" s="3">
        <v>327</v>
      </c>
      <c r="H12" s="3">
        <v>307</v>
      </c>
      <c r="I12" s="3">
        <v>399</v>
      </c>
      <c r="J12" s="3">
        <v>436</v>
      </c>
      <c r="K12" s="3">
        <v>457</v>
      </c>
      <c r="L12" s="3">
        <v>638</v>
      </c>
      <c r="M12" s="3">
        <v>824</v>
      </c>
      <c r="N12" s="3">
        <v>1131</v>
      </c>
      <c r="O12" s="3">
        <v>1481</v>
      </c>
      <c r="P12" s="3">
        <v>1622</v>
      </c>
      <c r="Q12" s="3">
        <v>1942</v>
      </c>
      <c r="R12" s="86">
        <v>2156</v>
      </c>
      <c r="S12" s="86">
        <v>2486</v>
      </c>
      <c r="T12" s="86">
        <v>2651</v>
      </c>
      <c r="U12" s="86">
        <v>2920</v>
      </c>
      <c r="V12" s="759">
        <v>3243</v>
      </c>
      <c r="W12" s="759">
        <v>5604</v>
      </c>
      <c r="X12" s="759">
        <v>4237</v>
      </c>
      <c r="Y12" s="759">
        <v>4138</v>
      </c>
      <c r="Z12" s="759">
        <v>4552</v>
      </c>
      <c r="AA12" s="759">
        <v>4380</v>
      </c>
      <c r="AB12" s="759">
        <v>4120</v>
      </c>
      <c r="AC12" s="759">
        <v>4191</v>
      </c>
      <c r="AD12" s="759">
        <v>3977</v>
      </c>
      <c r="AE12" s="759">
        <v>3776</v>
      </c>
      <c r="AF12" s="759">
        <v>3565</v>
      </c>
      <c r="AG12" s="86"/>
    </row>
    <row r="13" spans="1:193" ht="15" customHeight="1">
      <c r="A13" s="474"/>
      <c r="B13" s="474" t="s">
        <v>78</v>
      </c>
      <c r="C13" s="474"/>
      <c r="D13" s="474">
        <v>2933</v>
      </c>
      <c r="E13" s="474">
        <v>2071</v>
      </c>
      <c r="F13" s="474">
        <v>2088</v>
      </c>
      <c r="G13" s="474">
        <v>2048</v>
      </c>
      <c r="H13" s="474">
        <v>2146</v>
      </c>
      <c r="I13" s="474" t="s">
        <v>79</v>
      </c>
      <c r="J13" s="474" t="s">
        <v>80</v>
      </c>
      <c r="K13" s="474" t="s">
        <v>81</v>
      </c>
      <c r="L13" s="474">
        <v>48</v>
      </c>
      <c r="M13" s="474">
        <v>60</v>
      </c>
      <c r="N13" s="474">
        <v>58</v>
      </c>
      <c r="O13" s="474">
        <v>66</v>
      </c>
      <c r="P13" s="474">
        <v>76</v>
      </c>
      <c r="Q13" s="474">
        <v>107</v>
      </c>
      <c r="R13" s="497">
        <v>102</v>
      </c>
      <c r="S13" s="497">
        <v>107</v>
      </c>
      <c r="T13" s="497">
        <v>88</v>
      </c>
      <c r="U13" s="497">
        <v>145</v>
      </c>
      <c r="V13" s="761">
        <v>191</v>
      </c>
      <c r="W13" s="761">
        <v>234</v>
      </c>
      <c r="X13" s="761">
        <v>142</v>
      </c>
      <c r="Y13" s="761">
        <v>201</v>
      </c>
      <c r="Z13" s="761">
        <v>284</v>
      </c>
      <c r="AA13" s="761">
        <v>316</v>
      </c>
      <c r="AB13" s="761">
        <v>368</v>
      </c>
      <c r="AC13" s="761">
        <v>481</v>
      </c>
      <c r="AD13" s="761">
        <v>298</v>
      </c>
      <c r="AE13" s="761">
        <v>520</v>
      </c>
      <c r="AF13" s="761">
        <v>82</v>
      </c>
      <c r="AG13" s="86"/>
    </row>
    <row r="14" spans="1:193" s="54" customFormat="1" ht="15" hidden="1" customHeight="1">
      <c r="A14" s="88" t="s">
        <v>82</v>
      </c>
      <c r="B14" s="88"/>
      <c r="C14" s="80"/>
      <c r="D14" s="80"/>
      <c r="E14" s="80"/>
      <c r="F14" s="80"/>
      <c r="G14" s="80">
        <v>13.010827803003844</v>
      </c>
      <c r="H14" s="80">
        <v>14.569301666075857</v>
      </c>
      <c r="I14" s="80">
        <v>16.43863906241933</v>
      </c>
      <c r="J14" s="80">
        <v>20.44089124367283</v>
      </c>
      <c r="K14" s="80">
        <v>18.068860475369757</v>
      </c>
      <c r="L14" s="80">
        <v>19.752545713347203</v>
      </c>
      <c r="M14" s="80">
        <v>17.705435939699875</v>
      </c>
      <c r="N14" s="80">
        <v>20.30936054855685</v>
      </c>
      <c r="O14" s="80">
        <v>20.372195163152117</v>
      </c>
      <c r="P14" s="80">
        <v>19.980947844724938</v>
      </c>
      <c r="Q14" s="80">
        <v>14.7106693908647</v>
      </c>
      <c r="R14" s="89">
        <v>14.886360420027739</v>
      </c>
      <c r="S14" s="89">
        <v>15.780623153241887</v>
      </c>
      <c r="T14" s="89">
        <v>16</v>
      </c>
      <c r="U14" s="89">
        <v>19</v>
      </c>
      <c r="V14" s="762" t="s">
        <v>29</v>
      </c>
      <c r="W14" s="762" t="s">
        <v>29</v>
      </c>
      <c r="X14" s="762" t="s">
        <v>29</v>
      </c>
      <c r="Y14" s="762" t="s">
        <v>29</v>
      </c>
      <c r="Z14" s="762" t="s">
        <v>29</v>
      </c>
      <c r="AA14" s="762" t="s">
        <v>29</v>
      </c>
      <c r="AB14" s="762"/>
      <c r="AC14" s="762"/>
      <c r="AD14" s="762"/>
      <c r="AE14" s="762"/>
      <c r="AF14" s="762"/>
      <c r="AG14" s="89"/>
      <c r="AH14" s="70"/>
      <c r="AI14" s="70"/>
      <c r="AK14" s="70"/>
      <c r="AL14" s="70"/>
      <c r="AM14" s="70"/>
      <c r="AN14" s="70"/>
      <c r="AO14" s="70"/>
      <c r="AP14" s="70"/>
      <c r="AQ14" s="70"/>
      <c r="AR14" s="70"/>
      <c r="AS14" s="70"/>
      <c r="AT14" s="70"/>
      <c r="AU14" s="70"/>
      <c r="AV14" s="70"/>
      <c r="AW14" s="70"/>
      <c r="AX14" s="70"/>
      <c r="AY14" s="70"/>
      <c r="AZ14" s="70"/>
      <c r="BA14" s="70"/>
      <c r="BB14" s="70"/>
      <c r="BC14" s="70"/>
      <c r="BD14" s="70"/>
      <c r="BE14" s="70"/>
      <c r="BF14" s="70"/>
      <c r="BG14" s="70"/>
      <c r="BH14" s="70"/>
      <c r="BI14" s="70"/>
      <c r="BJ14" s="70"/>
      <c r="BK14" s="70"/>
      <c r="BL14" s="70"/>
      <c r="BM14" s="70"/>
      <c r="BN14" s="70"/>
      <c r="BO14" s="70"/>
      <c r="BP14" s="70"/>
      <c r="BQ14" s="70"/>
      <c r="BR14" s="70"/>
      <c r="BS14" s="70"/>
      <c r="BT14" s="70"/>
      <c r="BU14" s="70"/>
      <c r="BV14" s="70"/>
      <c r="BW14" s="70"/>
      <c r="BX14" s="70"/>
      <c r="BY14" s="70"/>
      <c r="BZ14" s="70"/>
      <c r="CA14" s="70"/>
      <c r="CB14" s="70"/>
      <c r="CC14" s="70"/>
      <c r="CD14" s="70"/>
      <c r="CE14" s="70"/>
      <c r="CF14" s="70"/>
      <c r="CG14" s="70"/>
      <c r="CH14" s="70"/>
      <c r="CI14" s="70"/>
      <c r="CJ14" s="70"/>
      <c r="CK14" s="70"/>
      <c r="CL14" s="70"/>
      <c r="CM14" s="70"/>
      <c r="CN14" s="70"/>
      <c r="CO14" s="70"/>
      <c r="CP14" s="70"/>
      <c r="CQ14" s="70"/>
      <c r="CR14" s="70"/>
      <c r="CS14" s="70"/>
    </row>
    <row r="15" spans="1:193" ht="15" customHeight="1">
      <c r="A15" s="8" t="s">
        <v>84</v>
      </c>
      <c r="B15" s="90"/>
      <c r="C15" s="1"/>
      <c r="D15" s="1"/>
      <c r="E15" s="1"/>
      <c r="F15" s="1"/>
      <c r="G15" s="1">
        <v>31</v>
      </c>
      <c r="H15" s="1">
        <v>28</v>
      </c>
      <c r="I15" s="1">
        <v>25</v>
      </c>
      <c r="J15" s="1">
        <v>25</v>
      </c>
      <c r="K15" s="1">
        <v>23</v>
      </c>
      <c r="L15" s="1">
        <v>22</v>
      </c>
      <c r="M15" s="1">
        <v>21</v>
      </c>
      <c r="N15" s="1">
        <v>19</v>
      </c>
      <c r="O15" s="1">
        <v>17</v>
      </c>
      <c r="P15" s="1">
        <v>20</v>
      </c>
      <c r="Q15" s="1">
        <v>18</v>
      </c>
      <c r="R15" s="91">
        <v>15.06024639423077</v>
      </c>
      <c r="S15" s="91">
        <v>13.891733409610984</v>
      </c>
      <c r="T15" s="91">
        <v>12</v>
      </c>
      <c r="U15" s="91">
        <v>12</v>
      </c>
      <c r="V15" s="759">
        <v>11</v>
      </c>
      <c r="W15" s="759">
        <v>12</v>
      </c>
      <c r="X15" s="759">
        <v>11</v>
      </c>
      <c r="Y15" s="759">
        <v>10.47</v>
      </c>
      <c r="Z15" s="759">
        <v>10.347997138769671</v>
      </c>
      <c r="AA15" s="759">
        <v>9.9835544969944419</v>
      </c>
      <c r="AB15" s="759">
        <v>9.8010494585240586</v>
      </c>
      <c r="AC15" s="759">
        <v>9</v>
      </c>
      <c r="AD15" s="759">
        <v>9.1709785103275614</v>
      </c>
      <c r="AE15" s="759">
        <f>AE34/AE16</f>
        <v>8.5794320798158097</v>
      </c>
      <c r="AF15" s="759">
        <v>9</v>
      </c>
      <c r="AG15" s="91"/>
      <c r="AH15" s="214"/>
      <c r="AI15" s="214"/>
      <c r="AJ15" s="214"/>
      <c r="AK15" s="214"/>
      <c r="AL15" s="214"/>
      <c r="AM15" s="214"/>
      <c r="AN15" s="214"/>
      <c r="AO15" s="214"/>
      <c r="AP15" s="214"/>
      <c r="AQ15" s="214"/>
      <c r="AR15" s="214"/>
      <c r="AS15" s="214"/>
      <c r="AT15" s="214"/>
      <c r="AU15" s="214"/>
      <c r="AV15" s="214"/>
      <c r="AW15" s="214"/>
      <c r="AX15" s="214"/>
      <c r="AY15" s="214"/>
      <c r="AZ15" s="214"/>
    </row>
    <row r="16" spans="1:193" s="93" customFormat="1" ht="15" customHeight="1">
      <c r="A16" s="473" t="s">
        <v>85</v>
      </c>
      <c r="B16" s="498"/>
      <c r="C16" s="499"/>
      <c r="D16" s="499"/>
      <c r="E16" s="499"/>
      <c r="F16" s="499"/>
      <c r="G16" s="499"/>
      <c r="H16" s="499"/>
      <c r="I16" s="499"/>
      <c r="J16" s="499"/>
      <c r="K16" s="499"/>
      <c r="L16" s="499"/>
      <c r="M16" s="499"/>
      <c r="N16" s="499"/>
      <c r="O16" s="499"/>
      <c r="P16" s="499"/>
      <c r="Q16" s="499"/>
      <c r="R16" s="500">
        <v>6656</v>
      </c>
      <c r="S16" s="500">
        <v>6992</v>
      </c>
      <c r="T16" s="500">
        <v>7534</v>
      </c>
      <c r="U16" s="500">
        <v>7807</v>
      </c>
      <c r="V16" s="763">
        <v>8012</v>
      </c>
      <c r="W16" s="763">
        <v>7070</v>
      </c>
      <c r="X16" s="763">
        <v>7830</v>
      </c>
      <c r="Y16" s="763">
        <v>8223</v>
      </c>
      <c r="Z16" s="763">
        <v>8388</v>
      </c>
      <c r="AA16" s="763">
        <v>8817</v>
      </c>
      <c r="AB16" s="763">
        <v>8957</v>
      </c>
      <c r="AC16" s="763">
        <f>SUM(AC17:AC18)</f>
        <v>9242</v>
      </c>
      <c r="AD16" s="763">
        <f>SUM(AD17:AD18)</f>
        <v>9586</v>
      </c>
      <c r="AE16" s="763">
        <f>SUM(AE17:AE18)</f>
        <v>10424</v>
      </c>
      <c r="AF16" s="763">
        <v>10615</v>
      </c>
      <c r="AG16" s="83"/>
      <c r="AH16" s="92"/>
      <c r="AI16" s="92"/>
      <c r="AJ16" s="92"/>
      <c r="AK16" s="92"/>
      <c r="AL16" s="92"/>
      <c r="AM16" s="92"/>
      <c r="AN16" s="92"/>
      <c r="AO16" s="92"/>
      <c r="AP16" s="92"/>
      <c r="AQ16" s="92"/>
      <c r="AR16" s="92"/>
      <c r="AS16" s="92"/>
      <c r="AT16" s="92"/>
      <c r="AU16" s="92"/>
      <c r="AV16" s="92"/>
      <c r="AW16" s="92"/>
      <c r="AX16" s="92"/>
      <c r="AY16" s="92"/>
      <c r="AZ16" s="92"/>
      <c r="BA16" s="92"/>
      <c r="BB16" s="92"/>
      <c r="BC16" s="92"/>
      <c r="BD16" s="92"/>
      <c r="BE16" s="92"/>
      <c r="BF16" s="92"/>
      <c r="BG16" s="92"/>
      <c r="BH16" s="92"/>
      <c r="BI16" s="92"/>
      <c r="BJ16" s="92"/>
      <c r="BK16" s="92"/>
      <c r="BL16" s="92"/>
      <c r="BM16" s="92"/>
      <c r="BN16" s="92"/>
      <c r="BO16" s="92"/>
      <c r="BP16" s="92"/>
      <c r="BQ16" s="92"/>
      <c r="BR16" s="92"/>
      <c r="BS16" s="92"/>
      <c r="BT16" s="92"/>
      <c r="BU16" s="92"/>
      <c r="BV16" s="92"/>
      <c r="BW16" s="92"/>
      <c r="BX16" s="92"/>
      <c r="BY16" s="92"/>
      <c r="BZ16" s="92"/>
      <c r="CA16" s="92"/>
      <c r="CB16" s="92"/>
      <c r="CC16" s="92"/>
      <c r="CD16" s="92"/>
      <c r="CE16" s="92"/>
      <c r="CF16" s="92"/>
      <c r="CG16" s="92"/>
      <c r="CH16" s="92"/>
      <c r="CI16" s="92"/>
      <c r="CJ16" s="92"/>
      <c r="CK16" s="92"/>
      <c r="CL16" s="92"/>
      <c r="CM16" s="92"/>
      <c r="CN16" s="92"/>
      <c r="CO16" s="92"/>
      <c r="CP16" s="92"/>
      <c r="CQ16" s="92"/>
      <c r="CR16" s="92"/>
      <c r="CS16" s="92"/>
      <c r="CT16" s="92"/>
      <c r="CU16" s="92"/>
      <c r="CV16" s="92"/>
      <c r="CW16" s="92"/>
      <c r="CX16" s="92"/>
      <c r="CY16" s="92"/>
      <c r="CZ16" s="92"/>
      <c r="DA16" s="92"/>
      <c r="DB16" s="92"/>
      <c r="DC16" s="92"/>
      <c r="DD16" s="92"/>
      <c r="DE16" s="92"/>
      <c r="DF16" s="92"/>
      <c r="DG16" s="92"/>
      <c r="DH16" s="92"/>
      <c r="DI16" s="92"/>
      <c r="DJ16" s="92"/>
      <c r="DK16" s="92"/>
      <c r="DL16" s="92"/>
      <c r="DM16" s="92"/>
      <c r="DN16" s="92"/>
      <c r="DO16" s="92"/>
      <c r="DP16" s="92"/>
      <c r="DQ16" s="92"/>
      <c r="DR16" s="92"/>
      <c r="DS16" s="92"/>
      <c r="DT16" s="92"/>
      <c r="DU16" s="92"/>
      <c r="DV16" s="92"/>
      <c r="DW16" s="92"/>
      <c r="DX16" s="92"/>
      <c r="DY16" s="92"/>
      <c r="DZ16" s="92"/>
      <c r="EA16" s="92"/>
      <c r="EB16" s="92"/>
      <c r="EC16" s="92"/>
      <c r="ED16" s="92"/>
      <c r="EE16" s="92"/>
      <c r="EF16" s="92"/>
      <c r="EG16" s="92"/>
      <c r="EH16" s="92"/>
      <c r="EI16" s="92"/>
      <c r="EJ16" s="92"/>
      <c r="EK16" s="92"/>
      <c r="EL16" s="92"/>
      <c r="EM16" s="92"/>
      <c r="EN16" s="92"/>
      <c r="EO16" s="92"/>
      <c r="EP16" s="92"/>
      <c r="EQ16" s="92"/>
      <c r="ER16" s="92"/>
      <c r="ES16" s="92"/>
      <c r="ET16" s="92"/>
      <c r="EU16" s="92"/>
      <c r="EV16" s="92"/>
      <c r="EW16" s="92"/>
      <c r="EX16" s="92"/>
      <c r="EY16" s="92"/>
      <c r="EZ16" s="92"/>
      <c r="FA16" s="92"/>
      <c r="FB16" s="92"/>
      <c r="FC16" s="92"/>
      <c r="FD16" s="92"/>
      <c r="FE16" s="92"/>
      <c r="FF16" s="92"/>
      <c r="FG16" s="92"/>
      <c r="FH16" s="92"/>
      <c r="FI16" s="92"/>
      <c r="FJ16" s="92"/>
      <c r="FK16" s="92"/>
      <c r="FL16" s="92"/>
      <c r="FM16" s="92"/>
      <c r="FN16" s="92"/>
      <c r="FO16" s="92"/>
      <c r="FP16" s="92"/>
      <c r="FQ16" s="92"/>
      <c r="FR16" s="92"/>
      <c r="FS16" s="92"/>
      <c r="FT16" s="92"/>
      <c r="FU16" s="92"/>
      <c r="FV16" s="92"/>
      <c r="FW16" s="92"/>
      <c r="FX16" s="92"/>
      <c r="FY16" s="92"/>
      <c r="FZ16" s="92"/>
      <c r="GA16" s="92"/>
      <c r="GB16" s="92"/>
      <c r="GC16" s="92"/>
      <c r="GD16" s="92"/>
      <c r="GE16" s="92"/>
      <c r="GF16" s="92"/>
      <c r="GG16" s="92"/>
      <c r="GH16" s="92"/>
      <c r="GI16" s="92"/>
      <c r="GJ16" s="92"/>
      <c r="GK16" s="92"/>
    </row>
    <row r="17" spans="1:97" ht="15" customHeight="1">
      <c r="A17" s="94" t="s">
        <v>38</v>
      </c>
      <c r="B17" s="90"/>
      <c r="C17" s="1"/>
      <c r="D17" s="1"/>
      <c r="E17" s="1"/>
      <c r="F17" s="1"/>
      <c r="G17" s="1"/>
      <c r="H17" s="1"/>
      <c r="I17" s="1"/>
      <c r="J17" s="1"/>
      <c r="K17" s="1"/>
      <c r="L17" s="1"/>
      <c r="M17" s="1"/>
      <c r="N17" s="1"/>
      <c r="O17" s="1"/>
      <c r="P17" s="1"/>
      <c r="Q17" s="1"/>
      <c r="R17" s="95">
        <v>2696</v>
      </c>
      <c r="S17" s="95">
        <v>2808</v>
      </c>
      <c r="T17" s="95">
        <v>2989</v>
      </c>
      <c r="U17" s="81">
        <v>3026</v>
      </c>
      <c r="V17" s="764">
        <v>3080</v>
      </c>
      <c r="W17" s="764">
        <v>2809</v>
      </c>
      <c r="X17" s="764">
        <v>3114</v>
      </c>
      <c r="Y17" s="764">
        <v>3225</v>
      </c>
      <c r="Z17" s="764">
        <v>2991</v>
      </c>
      <c r="AA17" s="764">
        <v>3038</v>
      </c>
      <c r="AB17" s="764">
        <v>2951</v>
      </c>
      <c r="AC17" s="764">
        <v>2990</v>
      </c>
      <c r="AD17" s="764">
        <v>2960</v>
      </c>
      <c r="AE17" s="764">
        <v>2837</v>
      </c>
      <c r="AF17" s="764">
        <v>2939</v>
      </c>
      <c r="AG17" s="81"/>
    </row>
    <row r="18" spans="1:97" ht="15" customHeight="1">
      <c r="A18" s="501" t="s">
        <v>39</v>
      </c>
      <c r="B18" s="502"/>
      <c r="C18" s="503"/>
      <c r="D18" s="503"/>
      <c r="E18" s="503"/>
      <c r="F18" s="503"/>
      <c r="G18" s="503"/>
      <c r="H18" s="503"/>
      <c r="I18" s="503"/>
      <c r="J18" s="503"/>
      <c r="K18" s="503"/>
      <c r="L18" s="503"/>
      <c r="M18" s="503"/>
      <c r="N18" s="503"/>
      <c r="O18" s="503"/>
      <c r="P18" s="503"/>
      <c r="Q18" s="503"/>
      <c r="R18" s="504">
        <v>3960</v>
      </c>
      <c r="S18" s="504">
        <v>4184</v>
      </c>
      <c r="T18" s="504">
        <v>4545</v>
      </c>
      <c r="U18" s="505">
        <v>4781</v>
      </c>
      <c r="V18" s="765">
        <v>4932</v>
      </c>
      <c r="W18" s="765">
        <v>4261</v>
      </c>
      <c r="X18" s="765">
        <v>4716</v>
      </c>
      <c r="Y18" s="765">
        <v>4998</v>
      </c>
      <c r="Z18" s="765">
        <v>5397</v>
      </c>
      <c r="AA18" s="765">
        <v>5779</v>
      </c>
      <c r="AB18" s="765">
        <v>6006</v>
      </c>
      <c r="AC18" s="765">
        <v>6252</v>
      </c>
      <c r="AD18" s="765">
        <v>6626</v>
      </c>
      <c r="AE18" s="765">
        <v>7587</v>
      </c>
      <c r="AF18" s="765">
        <v>7676</v>
      </c>
      <c r="AG18" s="81"/>
    </row>
    <row r="19" spans="1:97" ht="15" hidden="1" customHeight="1">
      <c r="A19" s="96" t="s">
        <v>12</v>
      </c>
      <c r="B19" s="90"/>
      <c r="C19" s="1"/>
      <c r="D19" s="1"/>
      <c r="E19" s="1"/>
      <c r="F19" s="1"/>
      <c r="G19" s="1"/>
      <c r="H19" s="1"/>
      <c r="I19" s="1"/>
      <c r="J19" s="1"/>
      <c r="K19" s="1"/>
      <c r="L19" s="1"/>
      <c r="M19" s="1"/>
      <c r="N19" s="1"/>
      <c r="O19" s="1"/>
      <c r="P19" s="1"/>
      <c r="Q19" s="1"/>
      <c r="R19" s="86">
        <v>1598</v>
      </c>
      <c r="S19" s="86">
        <v>1582</v>
      </c>
      <c r="T19" s="86">
        <v>5958</v>
      </c>
      <c r="U19" s="86">
        <v>1698</v>
      </c>
      <c r="V19" s="759">
        <v>1757</v>
      </c>
      <c r="W19" s="759">
        <v>1429</v>
      </c>
      <c r="X19" s="759">
        <v>1650</v>
      </c>
      <c r="Y19" s="759">
        <v>1878</v>
      </c>
      <c r="Z19" s="759">
        <v>2021</v>
      </c>
      <c r="AA19" s="759">
        <v>2258</v>
      </c>
      <c r="AB19" s="759">
        <v>2371</v>
      </c>
      <c r="AC19" s="759">
        <v>2553</v>
      </c>
      <c r="AD19" s="759">
        <v>2692</v>
      </c>
      <c r="AE19" s="759">
        <v>2791</v>
      </c>
      <c r="AF19" s="759">
        <v>2913</v>
      </c>
      <c r="AG19" s="81"/>
    </row>
    <row r="20" spans="1:97" ht="15" hidden="1" customHeight="1">
      <c r="A20" s="506" t="s">
        <v>86</v>
      </c>
      <c r="B20" s="502"/>
      <c r="C20" s="503"/>
      <c r="D20" s="503"/>
      <c r="E20" s="503"/>
      <c r="F20" s="503"/>
      <c r="G20" s="503"/>
      <c r="H20" s="503"/>
      <c r="I20" s="503"/>
      <c r="J20" s="503"/>
      <c r="K20" s="503"/>
      <c r="L20" s="503"/>
      <c r="M20" s="503"/>
      <c r="N20" s="503"/>
      <c r="O20" s="503"/>
      <c r="P20" s="503"/>
      <c r="Q20" s="503"/>
      <c r="R20" s="497">
        <v>5058</v>
      </c>
      <c r="S20" s="497">
        <v>5410</v>
      </c>
      <c r="T20" s="497">
        <v>1576</v>
      </c>
      <c r="U20" s="497">
        <v>6109</v>
      </c>
      <c r="V20" s="761">
        <v>6255</v>
      </c>
      <c r="W20" s="761">
        <v>5641</v>
      </c>
      <c r="X20" s="761">
        <v>6180</v>
      </c>
      <c r="Y20" s="761">
        <v>6345</v>
      </c>
      <c r="Z20" s="761">
        <v>6367</v>
      </c>
      <c r="AA20" s="761">
        <v>6559</v>
      </c>
      <c r="AB20" s="761">
        <v>6586</v>
      </c>
      <c r="AC20" s="761">
        <v>6689</v>
      </c>
      <c r="AD20" s="761">
        <v>6894</v>
      </c>
      <c r="AE20" s="761">
        <v>7633</v>
      </c>
      <c r="AF20" s="761">
        <v>7702</v>
      </c>
      <c r="AG20" s="81"/>
    </row>
    <row r="21" spans="1:97" ht="15" hidden="1" customHeight="1">
      <c r="A21" s="96" t="s">
        <v>87</v>
      </c>
      <c r="B21" s="98"/>
      <c r="C21" s="1"/>
      <c r="D21" s="1"/>
      <c r="E21" s="1"/>
      <c r="F21" s="1"/>
      <c r="G21" s="1"/>
      <c r="H21" s="1"/>
      <c r="I21" s="1"/>
      <c r="J21" s="1"/>
      <c r="K21" s="1"/>
      <c r="L21" s="1"/>
      <c r="M21" s="1"/>
      <c r="N21" s="1"/>
      <c r="O21" s="1"/>
      <c r="P21" s="1"/>
      <c r="Q21" s="1"/>
      <c r="R21" s="97">
        <v>4454</v>
      </c>
      <c r="S21" s="97">
        <v>4611</v>
      </c>
      <c r="T21" s="97">
        <v>4974</v>
      </c>
      <c r="U21" s="97">
        <v>5361</v>
      </c>
      <c r="V21" s="766">
        <v>5525</v>
      </c>
      <c r="W21" s="766">
        <v>4844</v>
      </c>
      <c r="X21" s="766">
        <v>5321</v>
      </c>
      <c r="Y21" s="766">
        <v>6029</v>
      </c>
      <c r="Z21" s="766">
        <v>5835</v>
      </c>
      <c r="AA21" s="766">
        <v>6368</v>
      </c>
      <c r="AB21" s="766">
        <v>6733</v>
      </c>
      <c r="AC21" s="766">
        <v>7075</v>
      </c>
      <c r="AD21" s="766">
        <v>7284</v>
      </c>
      <c r="AE21" s="766">
        <v>8384</v>
      </c>
      <c r="AF21" s="766">
        <v>8501</v>
      </c>
    </row>
    <row r="22" spans="1:97" ht="15" hidden="1" customHeight="1">
      <c r="A22" s="506" t="s">
        <v>88</v>
      </c>
      <c r="B22" s="486"/>
      <c r="C22" s="503"/>
      <c r="D22" s="503"/>
      <c r="E22" s="503"/>
      <c r="F22" s="503"/>
      <c r="G22" s="503"/>
      <c r="H22" s="503"/>
      <c r="I22" s="503"/>
      <c r="J22" s="503"/>
      <c r="K22" s="503"/>
      <c r="L22" s="503"/>
      <c r="M22" s="503"/>
      <c r="N22" s="503"/>
      <c r="O22" s="503"/>
      <c r="P22" s="503"/>
      <c r="Q22" s="503"/>
      <c r="R22" s="507">
        <v>2202</v>
      </c>
      <c r="S22" s="507">
        <v>2381</v>
      </c>
      <c r="T22" s="507">
        <v>2560</v>
      </c>
      <c r="U22" s="507">
        <v>2446</v>
      </c>
      <c r="V22" s="767">
        <v>2487</v>
      </c>
      <c r="W22" s="767">
        <v>2226</v>
      </c>
      <c r="X22" s="767">
        <v>2509</v>
      </c>
      <c r="Y22" s="767">
        <v>2194</v>
      </c>
      <c r="Z22" s="767">
        <v>2553</v>
      </c>
      <c r="AA22" s="767">
        <v>2449</v>
      </c>
      <c r="AB22" s="767">
        <v>2224</v>
      </c>
      <c r="AC22" s="767">
        <v>2167</v>
      </c>
      <c r="AD22" s="767">
        <v>2302</v>
      </c>
      <c r="AE22" s="767">
        <v>2040</v>
      </c>
      <c r="AF22" s="767">
        <v>2114</v>
      </c>
      <c r="AG22" s="81"/>
    </row>
    <row r="23" spans="1:97" ht="15" hidden="1" customHeight="1">
      <c r="A23" s="96" t="s">
        <v>89</v>
      </c>
      <c r="B23" s="98"/>
      <c r="C23" s="1"/>
      <c r="D23" s="1"/>
      <c r="E23" s="1"/>
      <c r="F23" s="1"/>
      <c r="G23" s="1"/>
      <c r="H23" s="1"/>
      <c r="I23" s="1"/>
      <c r="J23" s="1"/>
      <c r="K23" s="1"/>
      <c r="L23" s="1"/>
      <c r="M23" s="1"/>
      <c r="N23" s="1"/>
      <c r="O23" s="1"/>
      <c r="P23" s="1"/>
      <c r="Q23" s="1"/>
      <c r="R23" s="86">
        <v>5137</v>
      </c>
      <c r="S23" s="86">
        <v>5250</v>
      </c>
      <c r="T23" s="86">
        <v>5745</v>
      </c>
      <c r="U23" s="86">
        <v>6222</v>
      </c>
      <c r="V23" s="759">
        <v>6534</v>
      </c>
      <c r="W23" s="759">
        <v>6027</v>
      </c>
      <c r="X23" s="759">
        <v>6708</v>
      </c>
      <c r="Y23" s="759">
        <v>7513</v>
      </c>
      <c r="Z23" s="759">
        <v>7267</v>
      </c>
      <c r="AA23" s="759">
        <v>7626</v>
      </c>
      <c r="AB23" s="759">
        <v>7989</v>
      </c>
      <c r="AC23" s="759">
        <v>8509</v>
      </c>
      <c r="AD23" s="759">
        <v>9011</v>
      </c>
      <c r="AE23" s="759">
        <v>9102</v>
      </c>
      <c r="AF23" s="759">
        <v>8472</v>
      </c>
    </row>
    <row r="24" spans="1:97" ht="15" hidden="1" customHeight="1">
      <c r="A24" s="506" t="s">
        <v>90</v>
      </c>
      <c r="B24" s="486"/>
      <c r="C24" s="503"/>
      <c r="D24" s="503"/>
      <c r="E24" s="503"/>
      <c r="F24" s="503"/>
      <c r="G24" s="503"/>
      <c r="H24" s="503"/>
      <c r="I24" s="503"/>
      <c r="J24" s="503"/>
      <c r="K24" s="503"/>
      <c r="L24" s="503"/>
      <c r="M24" s="503"/>
      <c r="N24" s="503"/>
      <c r="O24" s="503"/>
      <c r="P24" s="503"/>
      <c r="Q24" s="503"/>
      <c r="R24" s="497">
        <v>1519</v>
      </c>
      <c r="S24" s="497">
        <v>1742</v>
      </c>
      <c r="T24" s="497">
        <v>1789</v>
      </c>
      <c r="U24" s="497">
        <v>1585</v>
      </c>
      <c r="V24" s="761">
        <v>1478</v>
      </c>
      <c r="W24" s="761">
        <v>1043</v>
      </c>
      <c r="X24" s="761">
        <v>1122</v>
      </c>
      <c r="Y24" s="761">
        <v>710</v>
      </c>
      <c r="Z24" s="761">
        <v>1121</v>
      </c>
      <c r="AA24" s="761">
        <v>1191</v>
      </c>
      <c r="AB24" s="761">
        <v>968</v>
      </c>
      <c r="AC24" s="761">
        <v>733</v>
      </c>
      <c r="AD24" s="761">
        <v>575</v>
      </c>
      <c r="AE24" s="761">
        <v>1322</v>
      </c>
      <c r="AF24" s="761">
        <v>2143</v>
      </c>
      <c r="AG24" s="81"/>
    </row>
    <row r="25" spans="1:97" ht="13.5" customHeight="1">
      <c r="A25" s="96"/>
      <c r="B25" s="98"/>
      <c r="C25" s="1"/>
      <c r="D25" s="1"/>
      <c r="E25" s="1"/>
      <c r="F25" s="1"/>
      <c r="G25" s="1"/>
      <c r="H25" s="1"/>
      <c r="I25" s="1"/>
      <c r="J25" s="1"/>
      <c r="K25" s="1"/>
      <c r="L25" s="1"/>
      <c r="M25" s="1"/>
      <c r="N25" s="1"/>
      <c r="O25" s="1"/>
      <c r="P25" s="1"/>
      <c r="Q25" s="1"/>
      <c r="R25" s="91"/>
      <c r="S25" s="91"/>
      <c r="T25" s="91"/>
      <c r="U25" s="91"/>
      <c r="V25" s="759"/>
      <c r="W25" s="759"/>
      <c r="X25" s="759"/>
      <c r="Y25" s="759"/>
      <c r="Z25" s="759"/>
      <c r="AA25" s="759"/>
      <c r="AB25" s="759"/>
      <c r="AG25" s="81"/>
    </row>
    <row r="26" spans="1:97" s="54" customFormat="1" ht="15" customHeight="1">
      <c r="A26" s="474" t="s">
        <v>91</v>
      </c>
      <c r="B26" s="474"/>
      <c r="C26" s="474" t="s">
        <v>29</v>
      </c>
      <c r="D26" s="474" t="s">
        <v>29</v>
      </c>
      <c r="E26" s="474" t="s">
        <v>29</v>
      </c>
      <c r="F26" s="474" t="s">
        <v>29</v>
      </c>
      <c r="G26" s="474" t="s">
        <v>29</v>
      </c>
      <c r="H26" s="474" t="s">
        <v>29</v>
      </c>
      <c r="I26" s="474">
        <v>127.5</v>
      </c>
      <c r="J26" s="474">
        <v>123.7</v>
      </c>
      <c r="K26" s="474">
        <v>119.8</v>
      </c>
      <c r="L26" s="474">
        <v>116.2</v>
      </c>
      <c r="M26" s="474">
        <v>127.4</v>
      </c>
      <c r="N26" s="474">
        <v>127.8</v>
      </c>
      <c r="O26" s="474">
        <v>129.30000000000001</v>
      </c>
      <c r="P26" s="474">
        <v>128.9</v>
      </c>
      <c r="Q26" s="474">
        <v>123</v>
      </c>
      <c r="R26" s="497">
        <v>120.2</v>
      </c>
      <c r="S26" s="497">
        <v>112.25321984045635</v>
      </c>
      <c r="T26" s="497">
        <v>109.6</v>
      </c>
      <c r="U26" s="497">
        <v>100.9</v>
      </c>
      <c r="V26" s="761">
        <v>105.84926036617524</v>
      </c>
      <c r="W26" s="761">
        <v>101</v>
      </c>
      <c r="X26" s="761">
        <v>101.7</v>
      </c>
      <c r="Y26" s="761">
        <v>99</v>
      </c>
      <c r="Z26" s="761">
        <v>106.8</v>
      </c>
      <c r="AA26" s="761">
        <v>104</v>
      </c>
      <c r="AB26" s="761">
        <v>109.7</v>
      </c>
      <c r="AC26" s="761">
        <v>110.3</v>
      </c>
      <c r="AD26" s="761">
        <v>96.2</v>
      </c>
      <c r="AE26" s="761">
        <v>100.2</v>
      </c>
      <c r="AF26" s="761">
        <v>101.7</v>
      </c>
      <c r="AG26" s="86"/>
      <c r="AH26" s="80"/>
      <c r="AI26" s="80"/>
      <c r="AJ26" s="80"/>
      <c r="AK26" s="80"/>
      <c r="AL26" s="80"/>
      <c r="AM26" s="80"/>
    </row>
    <row r="27" spans="1:97" ht="15" customHeight="1">
      <c r="A27" s="3" t="s">
        <v>92</v>
      </c>
      <c r="B27" s="3"/>
      <c r="C27" s="3" t="s">
        <v>29</v>
      </c>
      <c r="D27" s="3" t="s">
        <v>29</v>
      </c>
      <c r="E27" s="3" t="s">
        <v>29</v>
      </c>
      <c r="F27" s="3" t="s">
        <v>29</v>
      </c>
      <c r="G27" s="3" t="s">
        <v>29</v>
      </c>
      <c r="H27" s="3" t="s">
        <v>29</v>
      </c>
      <c r="I27" s="3">
        <v>46.2</v>
      </c>
      <c r="J27" s="3">
        <v>54.5</v>
      </c>
      <c r="K27" s="3">
        <v>64.7</v>
      </c>
      <c r="L27" s="3">
        <v>79.400000000000006</v>
      </c>
      <c r="M27" s="3">
        <v>88.1</v>
      </c>
      <c r="N27" s="3">
        <v>94.7</v>
      </c>
      <c r="O27" s="3">
        <v>101.4</v>
      </c>
      <c r="P27" s="3">
        <v>105.4</v>
      </c>
      <c r="Q27" s="3">
        <v>118</v>
      </c>
      <c r="R27" s="86">
        <v>121.9</v>
      </c>
      <c r="S27" s="86">
        <v>125.34941196522924</v>
      </c>
      <c r="T27" s="86">
        <v>123.5</v>
      </c>
      <c r="U27" s="86">
        <v>111.34319450956988</v>
      </c>
      <c r="V27" s="759">
        <v>116.9910072798211</v>
      </c>
      <c r="W27" s="759">
        <v>108.4</v>
      </c>
      <c r="X27" s="759">
        <v>112.5</v>
      </c>
      <c r="Y27" s="759">
        <v>94.6</v>
      </c>
      <c r="Z27" s="759">
        <v>108.5</v>
      </c>
      <c r="AA27" s="759">
        <v>109.1</v>
      </c>
      <c r="AB27" s="759">
        <v>106.1</v>
      </c>
      <c r="AC27" s="759">
        <v>106</v>
      </c>
      <c r="AD27" s="759">
        <v>101.2</v>
      </c>
      <c r="AE27" s="759">
        <v>110.5</v>
      </c>
      <c r="AF27" s="759">
        <v>95.6</v>
      </c>
      <c r="AG27" s="86"/>
    </row>
    <row r="28" spans="1:97" s="54" customFormat="1" ht="15" customHeight="1">
      <c r="A28" s="474" t="s">
        <v>93</v>
      </c>
      <c r="B28" s="474"/>
      <c r="C28" s="474" t="s">
        <v>29</v>
      </c>
      <c r="D28" s="474" t="s">
        <v>29</v>
      </c>
      <c r="E28" s="474" t="s">
        <v>29</v>
      </c>
      <c r="F28" s="474" t="s">
        <v>29</v>
      </c>
      <c r="G28" s="474" t="s">
        <v>29</v>
      </c>
      <c r="H28" s="474" t="s">
        <v>29</v>
      </c>
      <c r="I28" s="474">
        <v>3.3</v>
      </c>
      <c r="J28" s="474">
        <v>3.4</v>
      </c>
      <c r="K28" s="474">
        <v>3.4</v>
      </c>
      <c r="L28" s="474">
        <v>4.5</v>
      </c>
      <c r="M28" s="474">
        <v>5.6</v>
      </c>
      <c r="N28" s="474">
        <v>7.3</v>
      </c>
      <c r="O28" s="474">
        <v>7.3</v>
      </c>
      <c r="P28" s="474">
        <v>9.6999999999999993</v>
      </c>
      <c r="Q28" s="474">
        <v>11.5</v>
      </c>
      <c r="R28" s="497">
        <v>13.7</v>
      </c>
      <c r="S28" s="497">
        <v>22.416213906354923</v>
      </c>
      <c r="T28" s="497">
        <v>16.399999999999999</v>
      </c>
      <c r="U28" s="497">
        <v>17.833150116037618</v>
      </c>
      <c r="V28" s="761">
        <v>20.990291262135923</v>
      </c>
      <c r="W28" s="761">
        <v>36.299999999999997</v>
      </c>
      <c r="X28" s="761">
        <v>29.6</v>
      </c>
      <c r="Y28" s="761">
        <v>26.8</v>
      </c>
      <c r="Z28" s="761">
        <v>35</v>
      </c>
      <c r="AA28" s="761">
        <v>35.299999999999997</v>
      </c>
      <c r="AB28" s="761">
        <v>34.799999999999997</v>
      </c>
      <c r="AC28" s="761">
        <v>36.799999999999997</v>
      </c>
      <c r="AD28" s="761">
        <v>49.7</v>
      </c>
      <c r="AE28" s="761">
        <v>36</v>
      </c>
      <c r="AF28" s="761">
        <v>33.6</v>
      </c>
      <c r="AG28" s="86"/>
      <c r="AH28" s="80"/>
      <c r="AI28" s="80"/>
      <c r="AJ28" s="80"/>
      <c r="AK28" s="70"/>
      <c r="AL28" s="70"/>
      <c r="AM28" s="70"/>
      <c r="AN28" s="70"/>
      <c r="AO28" s="70"/>
      <c r="AP28" s="70"/>
      <c r="AQ28" s="70"/>
      <c r="AR28" s="70"/>
      <c r="AS28" s="70"/>
      <c r="AT28" s="70"/>
      <c r="AU28" s="70"/>
      <c r="AV28" s="70"/>
      <c r="AW28" s="70"/>
      <c r="AX28" s="70"/>
      <c r="AY28" s="70"/>
      <c r="AZ28" s="70"/>
      <c r="BA28" s="70"/>
      <c r="BB28" s="70"/>
      <c r="BC28" s="70"/>
      <c r="BD28" s="70"/>
      <c r="BE28" s="70"/>
      <c r="BF28" s="70"/>
      <c r="BG28" s="70"/>
      <c r="BH28" s="70"/>
      <c r="BI28" s="70"/>
      <c r="BJ28" s="70"/>
      <c r="BK28" s="70"/>
      <c r="BL28" s="70"/>
      <c r="BM28" s="70"/>
      <c r="BN28" s="70"/>
      <c r="BO28" s="70"/>
      <c r="BP28" s="70"/>
      <c r="BQ28" s="70"/>
      <c r="BR28" s="70"/>
      <c r="BS28" s="70"/>
      <c r="BT28" s="70"/>
      <c r="BU28" s="70"/>
      <c r="BV28" s="70"/>
      <c r="BW28" s="70"/>
      <c r="BX28" s="70"/>
      <c r="BY28" s="70"/>
      <c r="BZ28" s="70"/>
      <c r="CA28" s="70"/>
      <c r="CB28" s="70"/>
      <c r="CC28" s="70"/>
      <c r="CD28" s="70"/>
      <c r="CE28" s="70"/>
      <c r="CF28" s="70"/>
      <c r="CG28" s="70"/>
      <c r="CH28" s="70"/>
      <c r="CI28" s="70"/>
      <c r="CJ28" s="70"/>
      <c r="CK28" s="70"/>
      <c r="CL28" s="70"/>
      <c r="CM28" s="70"/>
      <c r="CN28" s="70"/>
      <c r="CO28" s="70"/>
      <c r="CP28" s="70"/>
      <c r="CQ28" s="70"/>
      <c r="CR28" s="70"/>
      <c r="CS28" s="70"/>
    </row>
    <row r="29" spans="1:97" ht="15" customHeight="1">
      <c r="A29" s="3" t="s">
        <v>94</v>
      </c>
      <c r="B29" s="3"/>
      <c r="C29" s="3" t="s">
        <v>29</v>
      </c>
      <c r="D29" s="3" t="s">
        <v>29</v>
      </c>
      <c r="E29" s="3" t="s">
        <v>29</v>
      </c>
      <c r="F29" s="3" t="s">
        <v>29</v>
      </c>
      <c r="G29" s="3" t="s">
        <v>29</v>
      </c>
      <c r="H29" s="3" t="s">
        <v>29</v>
      </c>
      <c r="I29" s="3">
        <v>99.5</v>
      </c>
      <c r="J29" s="3">
        <v>99.2</v>
      </c>
      <c r="K29" s="3">
        <v>98.7</v>
      </c>
      <c r="L29" s="3">
        <v>98</v>
      </c>
      <c r="M29" s="3">
        <v>98.2</v>
      </c>
      <c r="N29" s="3">
        <v>100.9</v>
      </c>
      <c r="O29" s="3">
        <v>102.7</v>
      </c>
      <c r="P29" s="3">
        <v>103.7</v>
      </c>
      <c r="Q29" s="3">
        <v>104.1</v>
      </c>
      <c r="R29" s="86">
        <v>104.3</v>
      </c>
      <c r="S29" s="86">
        <v>99.001738045367432</v>
      </c>
      <c r="T29" s="86">
        <v>95.8</v>
      </c>
      <c r="U29" s="86">
        <v>95</v>
      </c>
      <c r="V29" s="759">
        <v>95.539593640907142</v>
      </c>
      <c r="W29" s="759">
        <v>95.5</v>
      </c>
      <c r="X29" s="759">
        <v>93.6</v>
      </c>
      <c r="Y29" s="759">
        <v>94.4</v>
      </c>
      <c r="Z29" s="759">
        <v>98.6</v>
      </c>
      <c r="AA29" s="759">
        <v>99.4</v>
      </c>
      <c r="AB29" s="759">
        <v>106.2</v>
      </c>
      <c r="AC29" s="759">
        <v>108.4</v>
      </c>
      <c r="AD29" s="759">
        <v>95.9</v>
      </c>
      <c r="AE29" s="759">
        <v>100.2</v>
      </c>
      <c r="AF29" s="759">
        <v>101.2</v>
      </c>
      <c r="AG29" s="86"/>
    </row>
    <row r="30" spans="1:97" s="35" customFormat="1" ht="15" customHeight="1">
      <c r="A30" s="474" t="s">
        <v>95</v>
      </c>
      <c r="B30" s="474"/>
      <c r="C30" s="474" t="s">
        <v>29</v>
      </c>
      <c r="D30" s="474" t="s">
        <v>29</v>
      </c>
      <c r="E30" s="474" t="s">
        <v>29</v>
      </c>
      <c r="F30" s="474" t="s">
        <v>29</v>
      </c>
      <c r="G30" s="474" t="s">
        <v>29</v>
      </c>
      <c r="H30" s="474" t="s">
        <v>29</v>
      </c>
      <c r="I30" s="474">
        <v>18.899999999999999</v>
      </c>
      <c r="J30" s="474">
        <v>22.3</v>
      </c>
      <c r="K30" s="474">
        <v>28.2</v>
      </c>
      <c r="L30" s="474">
        <v>36.6</v>
      </c>
      <c r="M30" s="474">
        <v>42.5</v>
      </c>
      <c r="N30" s="474">
        <v>44.2</v>
      </c>
      <c r="O30" s="474">
        <v>51.7</v>
      </c>
      <c r="P30" s="474">
        <v>52.1</v>
      </c>
      <c r="Q30" s="474">
        <v>64.599999999999994</v>
      </c>
      <c r="R30" s="497">
        <v>70.3</v>
      </c>
      <c r="S30" s="497">
        <v>69.187830236918359</v>
      </c>
      <c r="T30" s="497">
        <v>69.2</v>
      </c>
      <c r="U30" s="497">
        <v>87.6</v>
      </c>
      <c r="V30" s="761">
        <v>83.613265451777139</v>
      </c>
      <c r="W30" s="761">
        <v>83.6</v>
      </c>
      <c r="X30" s="761">
        <v>81.2</v>
      </c>
      <c r="Y30" s="761">
        <v>92.3</v>
      </c>
      <c r="Z30" s="761">
        <v>81.5</v>
      </c>
      <c r="AA30" s="761">
        <v>85.4</v>
      </c>
      <c r="AB30" s="761">
        <v>83.7</v>
      </c>
      <c r="AC30" s="761">
        <v>88.6</v>
      </c>
      <c r="AD30" s="761">
        <v>90.5</v>
      </c>
      <c r="AE30" s="761">
        <v>100</v>
      </c>
      <c r="AF30" s="761">
        <v>93.6</v>
      </c>
      <c r="AG30" s="86"/>
      <c r="AH30" s="80"/>
      <c r="AI30" s="80"/>
      <c r="AJ30" s="80"/>
    </row>
    <row r="31" spans="1:97" ht="15" customHeight="1">
      <c r="A31" s="3" t="s">
        <v>96</v>
      </c>
      <c r="B31" s="3"/>
      <c r="C31" s="3" t="s">
        <v>29</v>
      </c>
      <c r="D31" s="3" t="s">
        <v>29</v>
      </c>
      <c r="E31" s="3" t="s">
        <v>29</v>
      </c>
      <c r="F31" s="3" t="s">
        <v>29</v>
      </c>
      <c r="G31" s="3" t="s">
        <v>29</v>
      </c>
      <c r="H31" s="3" t="s">
        <v>29</v>
      </c>
      <c r="I31" s="3">
        <v>1.1000000000000001</v>
      </c>
      <c r="J31" s="3">
        <v>0.2</v>
      </c>
      <c r="K31" s="3">
        <v>1</v>
      </c>
      <c r="L31" s="3">
        <v>1.3</v>
      </c>
      <c r="M31" s="3">
        <v>1.4</v>
      </c>
      <c r="N31" s="3">
        <v>1.6</v>
      </c>
      <c r="O31" s="3">
        <v>1.8</v>
      </c>
      <c r="P31" s="3">
        <v>3.9</v>
      </c>
      <c r="Q31" s="3">
        <v>7.2</v>
      </c>
      <c r="R31" s="86">
        <v>8.9</v>
      </c>
      <c r="S31" s="86">
        <v>3.9619070874793967</v>
      </c>
      <c r="T31" s="86">
        <v>6</v>
      </c>
      <c r="U31" s="86">
        <v>13.9</v>
      </c>
      <c r="V31" s="759">
        <v>17.417475728155338</v>
      </c>
      <c r="W31" s="759">
        <v>17.399999999999999</v>
      </c>
      <c r="X31" s="759">
        <v>19.3</v>
      </c>
      <c r="Y31" s="759">
        <v>23.9</v>
      </c>
      <c r="Z31" s="759">
        <v>23.6</v>
      </c>
      <c r="AA31" s="759">
        <v>26.3</v>
      </c>
      <c r="AB31" s="759">
        <v>26.9</v>
      </c>
      <c r="AC31" s="759">
        <v>31</v>
      </c>
      <c r="AD31" s="759">
        <v>44.5</v>
      </c>
      <c r="AE31" s="759">
        <v>37.200000000000003</v>
      </c>
      <c r="AF31" s="759">
        <v>40.6</v>
      </c>
      <c r="AG31" s="86"/>
    </row>
    <row r="32" spans="1:97" s="80" customFormat="1" ht="15" customHeight="1">
      <c r="A32" s="473"/>
      <c r="B32" s="473"/>
      <c r="C32" s="473"/>
      <c r="D32" s="473"/>
      <c r="E32" s="473"/>
      <c r="F32" s="473"/>
      <c r="G32" s="473"/>
      <c r="H32" s="473"/>
      <c r="I32" s="473"/>
      <c r="J32" s="473"/>
      <c r="K32" s="473"/>
      <c r="L32" s="473"/>
      <c r="M32" s="473"/>
      <c r="N32" s="473"/>
      <c r="O32" s="473"/>
      <c r="P32" s="473"/>
      <c r="Q32" s="473"/>
      <c r="R32" s="500"/>
      <c r="S32" s="500"/>
      <c r="T32" s="500"/>
      <c r="U32" s="500"/>
      <c r="V32" s="763"/>
      <c r="W32" s="763"/>
      <c r="X32" s="763"/>
      <c r="Y32" s="763"/>
      <c r="Z32" s="763"/>
      <c r="AA32" s="763"/>
      <c r="AB32" s="763"/>
      <c r="AC32" s="685"/>
      <c r="AD32" s="685"/>
      <c r="AE32" s="685"/>
      <c r="AF32" s="685"/>
    </row>
    <row r="33" spans="1:193" ht="15" customHeight="1">
      <c r="A33" s="8" t="s">
        <v>97</v>
      </c>
      <c r="B33" s="3"/>
      <c r="C33" s="3"/>
      <c r="D33" s="3"/>
      <c r="E33" s="3"/>
      <c r="F33" s="3"/>
      <c r="G33" s="3"/>
      <c r="H33" s="3"/>
      <c r="I33" s="3"/>
      <c r="J33" s="3"/>
      <c r="K33" s="3"/>
      <c r="L33" s="3"/>
      <c r="M33" s="3"/>
      <c r="N33" s="3"/>
      <c r="O33" s="3"/>
      <c r="P33" s="3"/>
      <c r="Q33" s="3"/>
      <c r="R33" s="86"/>
      <c r="S33" s="86"/>
      <c r="T33" s="86"/>
      <c r="U33" s="86"/>
      <c r="V33" s="759"/>
      <c r="W33" s="759"/>
      <c r="X33" s="759"/>
      <c r="Y33" s="759"/>
      <c r="Z33" s="759"/>
      <c r="AA33" s="759"/>
      <c r="AB33" s="759"/>
    </row>
    <row r="34" spans="1:193" s="80" customFormat="1" ht="15" customHeight="1">
      <c r="A34" s="474"/>
      <c r="B34" s="473" t="s">
        <v>98</v>
      </c>
      <c r="C34" s="473">
        <v>68095</v>
      </c>
      <c r="D34" s="473">
        <v>73642</v>
      </c>
      <c r="E34" s="473">
        <v>78639</v>
      </c>
      <c r="F34" s="473">
        <v>83855</v>
      </c>
      <c r="G34" s="473">
        <v>87878</v>
      </c>
      <c r="H34" s="473">
        <v>90597</v>
      </c>
      <c r="I34" s="473">
        <v>93375</v>
      </c>
      <c r="J34" s="473">
        <v>97323</v>
      </c>
      <c r="K34" s="473">
        <v>101081</v>
      </c>
      <c r="L34" s="473">
        <v>105356</v>
      </c>
      <c r="M34" s="473">
        <v>106391</v>
      </c>
      <c r="N34" s="473">
        <v>106220</v>
      </c>
      <c r="O34" s="473">
        <v>104408</v>
      </c>
      <c r="P34" s="473">
        <v>104214</v>
      </c>
      <c r="Q34" s="473">
        <v>102073</v>
      </c>
      <c r="R34" s="500">
        <v>100241</v>
      </c>
      <c r="S34" s="500">
        <v>97131</v>
      </c>
      <c r="T34" s="500">
        <v>93433</v>
      </c>
      <c r="U34" s="500">
        <v>89841</v>
      </c>
      <c r="V34" s="763">
        <f t="shared" ref="V34:AF34" si="1">SUM(V35:V36)</f>
        <v>87600</v>
      </c>
      <c r="W34" s="763">
        <f t="shared" si="1"/>
        <v>86946</v>
      </c>
      <c r="X34" s="763">
        <f t="shared" si="1"/>
        <v>86510</v>
      </c>
      <c r="Y34" s="763">
        <f t="shared" si="1"/>
        <v>86096</v>
      </c>
      <c r="Z34" s="763">
        <f t="shared" si="1"/>
        <v>87083</v>
      </c>
      <c r="AA34" s="763">
        <f t="shared" si="1"/>
        <v>88341</v>
      </c>
      <c r="AB34" s="763">
        <f t="shared" si="1"/>
        <v>87788</v>
      </c>
      <c r="AC34" s="763">
        <f t="shared" si="1"/>
        <v>87776</v>
      </c>
      <c r="AD34" s="763">
        <f t="shared" si="1"/>
        <v>88211</v>
      </c>
      <c r="AE34" s="763">
        <f t="shared" si="1"/>
        <v>89432</v>
      </c>
      <c r="AF34" s="763">
        <f t="shared" si="1"/>
        <v>90565</v>
      </c>
      <c r="AG34" s="83"/>
    </row>
    <row r="35" spans="1:193" ht="15" customHeight="1">
      <c r="A35" s="3"/>
      <c r="B35" s="3" t="s">
        <v>38</v>
      </c>
      <c r="C35" s="3">
        <v>34902</v>
      </c>
      <c r="D35" s="3">
        <v>37636</v>
      </c>
      <c r="E35" s="3">
        <v>40049</v>
      </c>
      <c r="F35" s="3">
        <v>42767</v>
      </c>
      <c r="G35" s="3">
        <v>44643</v>
      </c>
      <c r="H35" s="3">
        <v>46090</v>
      </c>
      <c r="I35" s="3">
        <v>47373</v>
      </c>
      <c r="J35" s="3">
        <v>49427</v>
      </c>
      <c r="K35" s="3">
        <v>51394</v>
      </c>
      <c r="L35" s="3">
        <v>53455</v>
      </c>
      <c r="M35" s="3">
        <v>53943</v>
      </c>
      <c r="N35" s="3">
        <v>53912</v>
      </c>
      <c r="O35" s="3">
        <v>52915</v>
      </c>
      <c r="P35" s="3">
        <v>52905</v>
      </c>
      <c r="Q35" s="3">
        <v>51852</v>
      </c>
      <c r="R35" s="86">
        <v>51183</v>
      </c>
      <c r="S35" s="86">
        <v>49435</v>
      </c>
      <c r="T35" s="86">
        <v>47738</v>
      </c>
      <c r="U35" s="86">
        <v>45891</v>
      </c>
      <c r="V35" s="759">
        <v>44882</v>
      </c>
      <c r="W35" s="759">
        <v>44358</v>
      </c>
      <c r="X35" s="759">
        <v>44420</v>
      </c>
      <c r="Y35" s="759">
        <v>43884</v>
      </c>
      <c r="Z35" s="759">
        <v>44511</v>
      </c>
      <c r="AA35" s="759">
        <v>45207</v>
      </c>
      <c r="AB35" s="759">
        <v>44919</v>
      </c>
      <c r="AC35" s="759">
        <v>44993</v>
      </c>
      <c r="AD35" s="759">
        <v>45319</v>
      </c>
      <c r="AE35" s="759">
        <v>45879</v>
      </c>
      <c r="AF35" s="759">
        <v>46365</v>
      </c>
      <c r="AG35" s="86"/>
    </row>
    <row r="36" spans="1:193" s="80" customFormat="1" ht="15" customHeight="1">
      <c r="A36" s="474"/>
      <c r="B36" s="474" t="s">
        <v>39</v>
      </c>
      <c r="C36" s="474">
        <v>33193</v>
      </c>
      <c r="D36" s="474">
        <v>36006</v>
      </c>
      <c r="E36" s="474">
        <v>38590</v>
      </c>
      <c r="F36" s="474">
        <v>41088</v>
      </c>
      <c r="G36" s="474">
        <v>43235</v>
      </c>
      <c r="H36" s="474">
        <v>44507</v>
      </c>
      <c r="I36" s="474">
        <v>46002</v>
      </c>
      <c r="J36" s="474">
        <v>47896</v>
      </c>
      <c r="K36" s="474">
        <v>49687</v>
      </c>
      <c r="L36" s="474">
        <v>51901</v>
      </c>
      <c r="M36" s="474">
        <v>52448</v>
      </c>
      <c r="N36" s="474">
        <v>52308</v>
      </c>
      <c r="O36" s="474">
        <v>51493</v>
      </c>
      <c r="P36" s="474">
        <v>51309</v>
      </c>
      <c r="Q36" s="474">
        <v>50221</v>
      </c>
      <c r="R36" s="497">
        <v>49058</v>
      </c>
      <c r="S36" s="497">
        <v>47696</v>
      </c>
      <c r="T36" s="497">
        <v>45695</v>
      </c>
      <c r="U36" s="497">
        <v>43950</v>
      </c>
      <c r="V36" s="761">
        <v>42718</v>
      </c>
      <c r="W36" s="761">
        <v>42588</v>
      </c>
      <c r="X36" s="761">
        <v>42090</v>
      </c>
      <c r="Y36" s="761">
        <v>42212</v>
      </c>
      <c r="Z36" s="761">
        <v>42572</v>
      </c>
      <c r="AA36" s="761">
        <v>43134</v>
      </c>
      <c r="AB36" s="761">
        <v>42869</v>
      </c>
      <c r="AC36" s="761">
        <v>42783</v>
      </c>
      <c r="AD36" s="761">
        <v>42892</v>
      </c>
      <c r="AE36" s="761">
        <v>43553</v>
      </c>
      <c r="AF36" s="761">
        <v>44200</v>
      </c>
      <c r="AG36" s="86"/>
    </row>
    <row r="37" spans="1:193" ht="15" customHeight="1">
      <c r="A37" s="99" t="s">
        <v>12</v>
      </c>
      <c r="B37" s="38"/>
      <c r="C37" s="100">
        <v>22068</v>
      </c>
      <c r="D37" s="100">
        <v>22802</v>
      </c>
      <c r="E37" s="100">
        <v>23177</v>
      </c>
      <c r="F37" s="100">
        <v>23500</v>
      </c>
      <c r="G37" s="101">
        <v>24570</v>
      </c>
      <c r="H37" s="101">
        <v>25641</v>
      </c>
      <c r="I37" s="101">
        <v>26190</v>
      </c>
      <c r="J37" s="101">
        <v>27057</v>
      </c>
      <c r="K37" s="101">
        <v>27714</v>
      </c>
      <c r="L37" s="101">
        <v>28547</v>
      </c>
      <c r="M37" s="101">
        <v>28306</v>
      </c>
      <c r="N37" s="101">
        <v>28243</v>
      </c>
      <c r="O37" s="101">
        <v>28950</v>
      </c>
      <c r="P37" s="101">
        <v>29307</v>
      </c>
      <c r="Q37" s="101">
        <v>30036</v>
      </c>
      <c r="R37" s="86">
        <v>29345</v>
      </c>
      <c r="S37" s="86">
        <v>29777</v>
      </c>
      <c r="T37" s="86">
        <v>27007</v>
      </c>
      <c r="U37" s="86">
        <v>25876</v>
      </c>
      <c r="V37" s="759">
        <v>25565</v>
      </c>
      <c r="W37" s="759">
        <v>25064</v>
      </c>
      <c r="X37" s="759">
        <v>26583</v>
      </c>
      <c r="Y37" s="759">
        <v>27204</v>
      </c>
      <c r="Z37" s="759">
        <v>28507</v>
      </c>
      <c r="AA37" s="759">
        <v>30361</v>
      </c>
      <c r="AB37" s="759">
        <v>31649</v>
      </c>
      <c r="AC37" s="759">
        <v>31487</v>
      </c>
      <c r="AD37" s="759">
        <v>32170</v>
      </c>
      <c r="AE37" s="759">
        <v>33376</v>
      </c>
      <c r="AF37" s="759">
        <v>33757</v>
      </c>
      <c r="AG37" s="86"/>
    </row>
    <row r="38" spans="1:193" s="80" customFormat="1" ht="15" customHeight="1">
      <c r="A38" s="509" t="s">
        <v>86</v>
      </c>
      <c r="B38" s="510"/>
      <c r="C38" s="511">
        <v>46027</v>
      </c>
      <c r="D38" s="511">
        <v>50840</v>
      </c>
      <c r="E38" s="511">
        <v>55462</v>
      </c>
      <c r="F38" s="511">
        <v>60355</v>
      </c>
      <c r="G38" s="512">
        <v>63308</v>
      </c>
      <c r="H38" s="512">
        <v>64956</v>
      </c>
      <c r="I38" s="512">
        <v>67185</v>
      </c>
      <c r="J38" s="512">
        <v>70266</v>
      </c>
      <c r="K38" s="512">
        <v>73367</v>
      </c>
      <c r="L38" s="512">
        <v>76809</v>
      </c>
      <c r="M38" s="512">
        <v>78085</v>
      </c>
      <c r="N38" s="512">
        <v>77977</v>
      </c>
      <c r="O38" s="512">
        <v>75458</v>
      </c>
      <c r="P38" s="512">
        <v>74907</v>
      </c>
      <c r="Q38" s="512">
        <v>72037</v>
      </c>
      <c r="R38" s="497">
        <v>70896</v>
      </c>
      <c r="S38" s="497">
        <v>67354</v>
      </c>
      <c r="T38" s="497">
        <v>66426</v>
      </c>
      <c r="U38" s="497">
        <v>63965</v>
      </c>
      <c r="V38" s="761">
        <v>62035</v>
      </c>
      <c r="W38" s="761">
        <v>61882</v>
      </c>
      <c r="X38" s="761">
        <v>59927</v>
      </c>
      <c r="Y38" s="761">
        <v>58892</v>
      </c>
      <c r="Z38" s="761">
        <v>58576</v>
      </c>
      <c r="AA38" s="761">
        <v>57980</v>
      </c>
      <c r="AB38" s="761">
        <v>56139</v>
      </c>
      <c r="AC38" s="761">
        <v>56289</v>
      </c>
      <c r="AD38" s="761">
        <v>56041</v>
      </c>
      <c r="AE38" s="761">
        <v>56056</v>
      </c>
      <c r="AF38" s="761">
        <v>56808</v>
      </c>
      <c r="AG38" s="86"/>
    </row>
    <row r="39" spans="1:193" ht="15" hidden="1" customHeight="1">
      <c r="A39" s="88"/>
      <c r="B39" s="88"/>
      <c r="C39" s="80"/>
      <c r="D39" s="80"/>
      <c r="E39" s="80"/>
      <c r="F39" s="80"/>
      <c r="G39" s="80"/>
      <c r="H39" s="80"/>
      <c r="I39" s="80"/>
      <c r="J39" s="80"/>
      <c r="K39" s="80"/>
      <c r="L39" s="80"/>
      <c r="M39" s="80"/>
      <c r="N39" s="80"/>
      <c r="O39" s="80"/>
      <c r="P39" s="80"/>
      <c r="Q39" s="80"/>
      <c r="R39" s="89"/>
      <c r="S39" s="89"/>
      <c r="T39" s="89"/>
      <c r="U39" s="89"/>
      <c r="V39" s="762"/>
      <c r="W39" s="762"/>
      <c r="X39" s="762"/>
      <c r="Y39" s="762"/>
      <c r="Z39" s="762"/>
      <c r="AA39" s="762"/>
      <c r="AB39" s="762"/>
      <c r="AC39" s="762"/>
      <c r="AD39" s="762"/>
      <c r="AE39" s="762"/>
      <c r="AF39" s="762"/>
      <c r="AG39" s="89"/>
    </row>
    <row r="40" spans="1:193" s="103" customFormat="1" ht="15" hidden="1" customHeight="1">
      <c r="A40" s="473" t="s">
        <v>99</v>
      </c>
      <c r="B40" s="473"/>
      <c r="C40" s="473">
        <f t="shared" ref="C40:P40" si="2">SUM(C41:C42)</f>
        <v>265</v>
      </c>
      <c r="D40" s="473">
        <f t="shared" si="2"/>
        <v>262</v>
      </c>
      <c r="E40" s="473">
        <f t="shared" si="2"/>
        <v>265</v>
      </c>
      <c r="F40" s="473">
        <f t="shared" si="2"/>
        <v>264</v>
      </c>
      <c r="G40" s="473">
        <f t="shared" si="2"/>
        <v>262</v>
      </c>
      <c r="H40" s="473">
        <f t="shared" si="2"/>
        <v>263</v>
      </c>
      <c r="I40" s="473">
        <f t="shared" si="2"/>
        <v>264</v>
      </c>
      <c r="J40" s="473">
        <f t="shared" si="2"/>
        <v>272</v>
      </c>
      <c r="K40" s="473">
        <f t="shared" si="2"/>
        <v>284</v>
      </c>
      <c r="L40" s="473">
        <f t="shared" si="2"/>
        <v>301</v>
      </c>
      <c r="M40" s="473">
        <f t="shared" si="2"/>
        <v>314</v>
      </c>
      <c r="N40" s="473">
        <f t="shared" si="2"/>
        <v>322</v>
      </c>
      <c r="O40" s="473">
        <f t="shared" si="2"/>
        <v>315</v>
      </c>
      <c r="P40" s="473">
        <f t="shared" si="2"/>
        <v>337</v>
      </c>
      <c r="Q40" s="473">
        <f t="shared" ref="Q40:W40" si="3">SUM(Q41:Q42)</f>
        <v>334</v>
      </c>
      <c r="R40" s="500">
        <f t="shared" si="3"/>
        <v>349</v>
      </c>
      <c r="S40" s="500">
        <f t="shared" si="3"/>
        <v>342</v>
      </c>
      <c r="T40" s="500">
        <f t="shared" si="3"/>
        <v>362</v>
      </c>
      <c r="U40" s="500">
        <f t="shared" si="3"/>
        <v>375</v>
      </c>
      <c r="V40" s="763">
        <f t="shared" si="3"/>
        <v>375</v>
      </c>
      <c r="W40" s="763">
        <f t="shared" si="3"/>
        <v>381</v>
      </c>
      <c r="X40" s="763">
        <f t="shared" ref="X40:AD40" si="4">SUM(X41:X42)</f>
        <v>408</v>
      </c>
      <c r="Y40" s="763">
        <f t="shared" si="4"/>
        <v>456</v>
      </c>
      <c r="Z40" s="763">
        <f t="shared" si="4"/>
        <v>455</v>
      </c>
      <c r="AA40" s="763">
        <f t="shared" si="4"/>
        <v>459</v>
      </c>
      <c r="AB40" s="763">
        <f t="shared" si="4"/>
        <v>376</v>
      </c>
      <c r="AC40" s="763">
        <f t="shared" si="4"/>
        <v>354</v>
      </c>
      <c r="AD40" s="763">
        <f t="shared" si="4"/>
        <v>339</v>
      </c>
      <c r="AE40" s="763">
        <f>SUM(AE41:AE42)</f>
        <v>348</v>
      </c>
      <c r="AF40" s="763">
        <f>SUM(AF41:AF42)</f>
        <v>276</v>
      </c>
      <c r="AG40" s="83"/>
      <c r="AH40" s="102"/>
      <c r="AI40" s="102"/>
      <c r="AJ40" s="102"/>
      <c r="AK40" s="102"/>
      <c r="AL40" s="102"/>
      <c r="AM40" s="102"/>
      <c r="AN40" s="102"/>
      <c r="AO40" s="102"/>
      <c r="AP40" s="102"/>
      <c r="AQ40" s="102"/>
      <c r="AR40" s="102"/>
      <c r="AS40" s="102"/>
      <c r="AT40" s="102"/>
      <c r="AU40" s="102"/>
      <c r="AV40" s="102"/>
      <c r="AW40" s="102"/>
      <c r="AX40" s="102"/>
      <c r="AY40" s="102"/>
      <c r="AZ40" s="102"/>
      <c r="BA40" s="102"/>
      <c r="BB40" s="102"/>
      <c r="BC40" s="102"/>
      <c r="BD40" s="102"/>
      <c r="BE40" s="102"/>
      <c r="BF40" s="102"/>
      <c r="BG40" s="102"/>
      <c r="BH40" s="102"/>
      <c r="BI40" s="102"/>
      <c r="BJ40" s="102"/>
      <c r="BK40" s="102"/>
      <c r="BL40" s="102"/>
      <c r="BM40" s="102"/>
      <c r="BN40" s="102"/>
      <c r="BO40" s="102"/>
      <c r="BP40" s="102"/>
      <c r="BQ40" s="102"/>
      <c r="BR40" s="102"/>
      <c r="BS40" s="102"/>
      <c r="BT40" s="102"/>
      <c r="BU40" s="102"/>
      <c r="BV40" s="102"/>
      <c r="BW40" s="102"/>
      <c r="BX40" s="102"/>
      <c r="BY40" s="102"/>
      <c r="BZ40" s="102"/>
      <c r="CA40" s="102"/>
      <c r="CB40" s="102"/>
      <c r="CC40" s="102"/>
      <c r="CD40" s="102"/>
      <c r="CE40" s="102"/>
      <c r="CF40" s="102"/>
      <c r="CG40" s="102"/>
      <c r="CH40" s="102"/>
      <c r="CI40" s="102"/>
      <c r="CJ40" s="102"/>
      <c r="CK40" s="102"/>
      <c r="CL40" s="102"/>
      <c r="CM40" s="102"/>
      <c r="CN40" s="102"/>
      <c r="CO40" s="102"/>
      <c r="CP40" s="102"/>
      <c r="CQ40" s="102"/>
      <c r="CR40" s="102"/>
      <c r="CS40" s="102"/>
      <c r="CT40" s="102"/>
      <c r="CU40" s="102"/>
      <c r="CV40" s="102"/>
      <c r="CW40" s="102"/>
      <c r="CX40" s="102"/>
      <c r="CY40" s="102"/>
      <c r="CZ40" s="102"/>
      <c r="DA40" s="102"/>
      <c r="DB40" s="102"/>
      <c r="DC40" s="102"/>
      <c r="DD40" s="102"/>
      <c r="DE40" s="102"/>
      <c r="DF40" s="102"/>
      <c r="DG40" s="102"/>
      <c r="DH40" s="102"/>
      <c r="DI40" s="102"/>
      <c r="DJ40" s="102"/>
      <c r="DK40" s="102"/>
      <c r="DL40" s="102"/>
      <c r="DM40" s="102"/>
      <c r="DN40" s="102"/>
      <c r="DO40" s="102"/>
      <c r="DP40" s="102"/>
      <c r="DQ40" s="102"/>
      <c r="DR40" s="102"/>
      <c r="DS40" s="102"/>
      <c r="DT40" s="102"/>
      <c r="DU40" s="102"/>
      <c r="DV40" s="102"/>
      <c r="DW40" s="102"/>
      <c r="DX40" s="102"/>
      <c r="DY40" s="102"/>
      <c r="DZ40" s="102"/>
      <c r="EA40" s="102"/>
      <c r="EB40" s="102"/>
      <c r="EC40" s="102"/>
      <c r="ED40" s="102"/>
      <c r="EE40" s="102"/>
      <c r="EF40" s="102"/>
      <c r="EG40" s="102"/>
      <c r="EH40" s="102"/>
      <c r="EI40" s="102"/>
      <c r="EJ40" s="102"/>
      <c r="EK40" s="102"/>
      <c r="EL40" s="102"/>
      <c r="EM40" s="102"/>
      <c r="EN40" s="102"/>
      <c r="EO40" s="102"/>
      <c r="EP40" s="102"/>
      <c r="EQ40" s="102"/>
      <c r="ER40" s="102"/>
      <c r="ES40" s="102"/>
      <c r="ET40" s="102"/>
      <c r="EU40" s="102"/>
      <c r="EV40" s="102"/>
      <c r="EW40" s="102"/>
      <c r="EX40" s="102"/>
      <c r="EY40" s="102"/>
      <c r="EZ40" s="102"/>
      <c r="FA40" s="102"/>
      <c r="FB40" s="102"/>
      <c r="FC40" s="102"/>
      <c r="FD40" s="102"/>
      <c r="FE40" s="102"/>
      <c r="FF40" s="102"/>
      <c r="FG40" s="102"/>
      <c r="FH40" s="102"/>
      <c r="FI40" s="102"/>
      <c r="FJ40" s="102"/>
      <c r="FK40" s="102"/>
      <c r="FL40" s="102"/>
      <c r="FM40" s="102"/>
      <c r="FN40" s="102"/>
      <c r="FO40" s="102"/>
      <c r="FP40" s="102"/>
      <c r="FQ40" s="102"/>
      <c r="FR40" s="102"/>
      <c r="FS40" s="102"/>
      <c r="FT40" s="102"/>
      <c r="FU40" s="102"/>
      <c r="FV40" s="102"/>
      <c r="FW40" s="102"/>
      <c r="FX40" s="102"/>
      <c r="FY40" s="102"/>
      <c r="FZ40" s="102"/>
      <c r="GA40" s="102"/>
      <c r="GB40" s="102"/>
      <c r="GC40" s="102"/>
      <c r="GD40" s="102"/>
      <c r="GE40" s="102"/>
      <c r="GF40" s="102"/>
      <c r="GG40" s="102"/>
      <c r="GH40" s="102"/>
      <c r="GI40" s="102"/>
      <c r="GJ40" s="102"/>
      <c r="GK40" s="102"/>
    </row>
    <row r="41" spans="1:193" s="80" customFormat="1" ht="15" hidden="1" customHeight="1">
      <c r="A41" s="104" t="s">
        <v>12</v>
      </c>
      <c r="B41" s="3"/>
      <c r="C41" s="3">
        <v>20</v>
      </c>
      <c r="D41" s="3">
        <v>17</v>
      </c>
      <c r="E41" s="3">
        <v>17</v>
      </c>
      <c r="F41" s="3">
        <v>17</v>
      </c>
      <c r="G41" s="3">
        <v>17</v>
      </c>
      <c r="H41" s="3">
        <v>17</v>
      </c>
      <c r="I41" s="3">
        <v>18</v>
      </c>
      <c r="J41" s="3">
        <v>18</v>
      </c>
      <c r="K41" s="3">
        <v>20</v>
      </c>
      <c r="L41" s="3">
        <v>21</v>
      </c>
      <c r="M41" s="3">
        <v>21</v>
      </c>
      <c r="N41" s="3">
        <v>22</v>
      </c>
      <c r="O41" s="3">
        <v>22</v>
      </c>
      <c r="P41" s="3">
        <v>21</v>
      </c>
      <c r="Q41" s="3">
        <v>22</v>
      </c>
      <c r="R41" s="86">
        <v>22</v>
      </c>
      <c r="S41" s="86">
        <v>22</v>
      </c>
      <c r="T41" s="86">
        <v>23</v>
      </c>
      <c r="U41" s="86">
        <v>24</v>
      </c>
      <c r="V41" s="759">
        <v>24</v>
      </c>
      <c r="W41" s="759">
        <v>25</v>
      </c>
      <c r="X41" s="759">
        <v>27</v>
      </c>
      <c r="Y41" s="759">
        <v>36</v>
      </c>
      <c r="Z41" s="759">
        <v>37</v>
      </c>
      <c r="AA41" s="759">
        <v>38</v>
      </c>
      <c r="AB41" s="759">
        <v>38</v>
      </c>
      <c r="AC41" s="759">
        <v>38</v>
      </c>
      <c r="AD41" s="759">
        <v>37</v>
      </c>
      <c r="AE41" s="759">
        <v>38</v>
      </c>
      <c r="AF41" s="759">
        <v>38</v>
      </c>
      <c r="AG41" s="86"/>
    </row>
    <row r="42" spans="1:193" hidden="1">
      <c r="A42" s="508" t="s">
        <v>86</v>
      </c>
      <c r="B42" s="474"/>
      <c r="C42" s="474">
        <v>245</v>
      </c>
      <c r="D42" s="474">
        <v>245</v>
      </c>
      <c r="E42" s="474">
        <v>248</v>
      </c>
      <c r="F42" s="474">
        <v>247</v>
      </c>
      <c r="G42" s="474">
        <v>245</v>
      </c>
      <c r="H42" s="474">
        <v>246</v>
      </c>
      <c r="I42" s="474">
        <v>246</v>
      </c>
      <c r="J42" s="474">
        <v>254</v>
      </c>
      <c r="K42" s="474">
        <v>264</v>
      </c>
      <c r="L42" s="474">
        <v>280</v>
      </c>
      <c r="M42" s="474">
        <v>293</v>
      </c>
      <c r="N42" s="474">
        <v>300</v>
      </c>
      <c r="O42" s="474">
        <v>293</v>
      </c>
      <c r="P42" s="474">
        <v>316</v>
      </c>
      <c r="Q42" s="474">
        <v>312</v>
      </c>
      <c r="R42" s="497">
        <v>327</v>
      </c>
      <c r="S42" s="497">
        <v>320</v>
      </c>
      <c r="T42" s="497">
        <v>339</v>
      </c>
      <c r="U42" s="497">
        <v>351</v>
      </c>
      <c r="V42" s="761">
        <v>351</v>
      </c>
      <c r="W42" s="761">
        <v>356</v>
      </c>
      <c r="X42" s="761">
        <v>381</v>
      </c>
      <c r="Y42" s="761">
        <v>420</v>
      </c>
      <c r="Z42" s="761">
        <v>418</v>
      </c>
      <c r="AA42" s="761">
        <v>421</v>
      </c>
      <c r="AB42" s="761">
        <v>338</v>
      </c>
      <c r="AC42" s="761">
        <v>316</v>
      </c>
      <c r="AD42" s="761">
        <v>302</v>
      </c>
      <c r="AE42" s="761">
        <v>310</v>
      </c>
      <c r="AF42" s="761">
        <v>238</v>
      </c>
      <c r="AG42" s="86"/>
    </row>
    <row r="43" spans="1:193" s="80" customFormat="1">
      <c r="A43" s="105" t="s">
        <v>100</v>
      </c>
      <c r="C43" s="3"/>
      <c r="D43" s="3"/>
      <c r="E43" s="3"/>
      <c r="F43" s="3"/>
      <c r="G43" s="3"/>
      <c r="H43" s="3"/>
      <c r="I43" s="3"/>
      <c r="J43" s="3"/>
      <c r="K43" s="3"/>
      <c r="L43" s="3"/>
      <c r="M43" s="3"/>
      <c r="N43" s="3"/>
      <c r="O43" s="3"/>
      <c r="P43" s="3"/>
      <c r="Q43" s="3"/>
      <c r="R43" s="86"/>
      <c r="S43" s="70"/>
      <c r="T43" s="70"/>
      <c r="V43" s="662"/>
      <c r="W43" s="662"/>
      <c r="X43" s="662"/>
      <c r="Y43" s="662"/>
      <c r="Z43" s="662"/>
      <c r="AA43" s="662"/>
      <c r="AB43" s="662"/>
      <c r="AC43" s="662"/>
      <c r="AD43" s="662"/>
      <c r="AE43" s="662"/>
      <c r="AF43" s="662"/>
    </row>
    <row r="44" spans="1:193" s="80" customFormat="1">
      <c r="A44" s="1013" t="s">
        <v>469</v>
      </c>
      <c r="B44" s="3"/>
      <c r="C44" s="3"/>
      <c r="D44" s="3"/>
      <c r="E44" s="3"/>
      <c r="F44" s="3"/>
      <c r="G44" s="3"/>
      <c r="H44" s="3"/>
      <c r="I44" s="3"/>
      <c r="J44" s="3"/>
      <c r="K44" s="3"/>
      <c r="L44" s="3"/>
      <c r="M44" s="3"/>
      <c r="N44" s="3"/>
      <c r="O44" s="3"/>
      <c r="P44" s="3"/>
      <c r="Q44" s="3"/>
      <c r="R44" s="106"/>
      <c r="S44" s="70"/>
      <c r="T44" s="70"/>
      <c r="V44" s="662"/>
      <c r="W44" s="662"/>
      <c r="X44" s="662"/>
      <c r="Y44" s="662"/>
      <c r="Z44" s="662"/>
      <c r="AA44" s="662"/>
      <c r="AB44" s="662"/>
      <c r="AC44" s="662"/>
      <c r="AD44" s="662"/>
      <c r="AE44" s="662"/>
      <c r="AF44" s="662"/>
    </row>
    <row r="45" spans="1:193" s="80" customFormat="1" hidden="1">
      <c r="A45" s="107" t="s">
        <v>344</v>
      </c>
      <c r="B45" s="50"/>
      <c r="C45" s="50"/>
      <c r="D45" s="50"/>
      <c r="E45" s="50"/>
      <c r="F45" s="50"/>
      <c r="G45" s="108"/>
      <c r="H45" s="108"/>
      <c r="I45" s="108"/>
      <c r="J45" s="108"/>
      <c r="K45" s="108"/>
      <c r="L45" s="108"/>
      <c r="M45" s="108"/>
      <c r="N45" s="108"/>
      <c r="O45" s="108"/>
      <c r="P45" s="108"/>
      <c r="Q45" s="108"/>
      <c r="R45" s="109"/>
      <c r="S45" s="70"/>
      <c r="T45" s="70"/>
      <c r="V45" s="662"/>
      <c r="W45" s="662"/>
      <c r="X45" s="662"/>
      <c r="Y45" s="662"/>
      <c r="Z45" s="662"/>
      <c r="AA45" s="662"/>
      <c r="AB45" s="662"/>
      <c r="AC45" s="662"/>
      <c r="AD45" s="662"/>
      <c r="AE45" s="662"/>
      <c r="AF45" s="662"/>
    </row>
    <row r="46" spans="1:193" s="80" customFormat="1">
      <c r="A46" s="1013" t="s">
        <v>470</v>
      </c>
      <c r="B46" s="50"/>
      <c r="C46" s="50"/>
      <c r="D46" s="50"/>
      <c r="E46" s="50"/>
      <c r="F46" s="50"/>
      <c r="G46" s="50"/>
      <c r="H46" s="50"/>
      <c r="I46" s="50"/>
      <c r="J46" s="50"/>
      <c r="K46" s="50"/>
      <c r="L46" s="50"/>
      <c r="M46" s="50"/>
      <c r="N46" s="50"/>
      <c r="O46" s="50"/>
      <c r="P46" s="50"/>
      <c r="Q46" s="50"/>
      <c r="R46" s="110"/>
      <c r="S46" s="110"/>
      <c r="T46" s="110"/>
      <c r="U46" s="110"/>
      <c r="V46" s="768"/>
      <c r="W46" s="768"/>
      <c r="X46" s="768"/>
      <c r="Y46" s="769"/>
      <c r="Z46" s="769"/>
      <c r="AA46" s="769"/>
      <c r="AB46" s="662"/>
      <c r="AC46" s="662"/>
      <c r="AD46" s="662"/>
      <c r="AE46" s="662"/>
      <c r="AF46" s="662"/>
    </row>
    <row r="47" spans="1:193" s="80" customFormat="1">
      <c r="A47" s="107"/>
      <c r="B47" s="50"/>
      <c r="C47" s="50"/>
      <c r="D47" s="50"/>
      <c r="E47" s="50"/>
      <c r="F47" s="50"/>
      <c r="G47" s="50"/>
      <c r="H47" s="50"/>
      <c r="I47" s="50"/>
      <c r="J47" s="50"/>
      <c r="K47" s="50"/>
      <c r="L47" s="50"/>
      <c r="M47" s="50"/>
      <c r="N47" s="50"/>
      <c r="O47" s="50"/>
      <c r="P47" s="50"/>
      <c r="Q47" s="50"/>
      <c r="R47" s="110"/>
      <c r="S47" s="110"/>
      <c r="T47" s="110"/>
      <c r="U47" s="110"/>
      <c r="V47" s="768"/>
      <c r="W47" s="768"/>
      <c r="X47" s="768"/>
      <c r="Y47" s="769"/>
      <c r="Z47" s="769"/>
      <c r="AA47" s="769"/>
      <c r="AB47" s="662"/>
      <c r="AC47" s="662"/>
      <c r="AD47" s="662"/>
      <c r="AE47" s="662"/>
      <c r="AF47" s="662"/>
    </row>
    <row r="48" spans="1:193" s="80" customFormat="1">
      <c r="A48" s="111"/>
      <c r="R48" s="112"/>
      <c r="S48" s="112"/>
      <c r="T48" s="112"/>
      <c r="U48" s="112"/>
      <c r="V48" s="770"/>
      <c r="W48" s="770"/>
      <c r="X48" s="770"/>
      <c r="Y48" s="769"/>
      <c r="Z48" s="769"/>
      <c r="AA48" s="769"/>
      <c r="AB48" s="662"/>
      <c r="AC48" s="662"/>
      <c r="AD48" s="662"/>
      <c r="AE48" s="662"/>
      <c r="AF48" s="662"/>
    </row>
    <row r="49" spans="1:32" s="80" customFormat="1">
      <c r="A49" s="113"/>
      <c r="R49" s="112"/>
      <c r="S49" s="112"/>
      <c r="T49" s="112"/>
      <c r="U49" s="112"/>
      <c r="V49" s="770"/>
      <c r="W49" s="770"/>
      <c r="X49" s="770"/>
      <c r="Y49" s="770"/>
      <c r="Z49" s="770"/>
      <c r="AA49" s="662"/>
      <c r="AB49" s="662"/>
      <c r="AC49" s="662"/>
      <c r="AD49" s="662"/>
      <c r="AE49" s="662"/>
      <c r="AF49" s="662"/>
    </row>
    <row r="50" spans="1:32" s="80" customFormat="1">
      <c r="R50" s="112"/>
      <c r="S50" s="112"/>
      <c r="T50" s="112"/>
      <c r="U50" s="112"/>
      <c r="V50" s="770"/>
      <c r="W50" s="770"/>
      <c r="X50" s="770"/>
      <c r="Y50" s="770"/>
      <c r="Z50" s="770"/>
      <c r="AA50" s="662"/>
      <c r="AB50" s="662"/>
      <c r="AC50" s="662"/>
      <c r="AD50" s="662"/>
      <c r="AE50" s="662"/>
      <c r="AF50" s="662"/>
    </row>
    <row r="51" spans="1:32" s="80" customFormat="1">
      <c r="R51" s="112"/>
      <c r="S51" s="112"/>
      <c r="T51" s="112"/>
      <c r="U51" s="112"/>
      <c r="V51" s="770"/>
      <c r="W51" s="770"/>
      <c r="X51" s="770"/>
      <c r="Y51" s="770"/>
      <c r="Z51" s="770"/>
      <c r="AA51" s="662"/>
      <c r="AB51" s="662"/>
      <c r="AC51" s="662"/>
      <c r="AD51" s="662"/>
      <c r="AE51" s="662"/>
      <c r="AF51" s="662"/>
    </row>
    <row r="52" spans="1:32" s="80" customFormat="1">
      <c r="R52" s="112"/>
      <c r="S52" s="112"/>
      <c r="T52" s="112"/>
      <c r="U52" s="112"/>
      <c r="V52" s="770"/>
      <c r="W52" s="770"/>
      <c r="X52" s="770"/>
      <c r="Y52" s="770"/>
      <c r="Z52" s="770"/>
      <c r="AA52" s="662"/>
      <c r="AB52" s="662"/>
      <c r="AC52" s="662"/>
      <c r="AD52" s="662"/>
      <c r="AE52" s="662"/>
      <c r="AF52" s="662"/>
    </row>
    <row r="53" spans="1:32" s="80" customFormat="1">
      <c r="R53" s="112"/>
      <c r="S53" s="112"/>
      <c r="T53" s="112"/>
      <c r="U53" s="112"/>
      <c r="V53" s="770"/>
      <c r="W53" s="770"/>
      <c r="X53" s="770"/>
      <c r="Y53" s="770"/>
      <c r="Z53" s="770"/>
      <c r="AA53" s="662"/>
      <c r="AB53" s="662"/>
      <c r="AC53" s="662"/>
      <c r="AD53" s="662"/>
      <c r="AE53" s="662"/>
      <c r="AF53" s="662"/>
    </row>
    <row r="54" spans="1:32" s="80" customFormat="1">
      <c r="R54" s="112"/>
      <c r="S54" s="112"/>
      <c r="T54" s="112"/>
      <c r="U54" s="112"/>
      <c r="V54" s="770"/>
      <c r="W54" s="770"/>
      <c r="X54" s="770"/>
      <c r="Y54" s="770"/>
      <c r="Z54" s="770"/>
      <c r="AA54" s="662"/>
      <c r="AB54" s="662"/>
      <c r="AC54" s="662"/>
      <c r="AD54" s="662"/>
      <c r="AE54" s="662"/>
      <c r="AF54" s="662"/>
    </row>
    <row r="55" spans="1:32" s="80" customFormat="1">
      <c r="R55" s="112"/>
      <c r="S55" s="112"/>
      <c r="T55" s="112"/>
      <c r="U55" s="112"/>
      <c r="V55" s="770"/>
      <c r="W55" s="770"/>
      <c r="X55" s="770"/>
      <c r="Y55" s="770"/>
      <c r="Z55" s="770"/>
      <c r="AA55" s="662"/>
      <c r="AB55" s="662"/>
      <c r="AC55" s="662"/>
      <c r="AD55" s="662"/>
      <c r="AE55" s="662"/>
      <c r="AF55" s="662"/>
    </row>
    <row r="56" spans="1:32" s="80" customFormat="1">
      <c r="R56" s="112"/>
      <c r="S56" s="112"/>
      <c r="T56" s="112"/>
      <c r="U56" s="112"/>
      <c r="V56" s="770"/>
      <c r="W56" s="770"/>
      <c r="X56" s="770"/>
      <c r="Y56" s="770"/>
      <c r="Z56" s="770"/>
      <c r="AA56" s="662"/>
      <c r="AB56" s="662"/>
      <c r="AC56" s="662"/>
      <c r="AD56" s="662"/>
      <c r="AE56" s="662"/>
      <c r="AF56" s="662"/>
    </row>
    <row r="57" spans="1:32" s="80" customFormat="1">
      <c r="R57" s="112"/>
      <c r="S57" s="112"/>
      <c r="T57" s="112"/>
      <c r="U57" s="112"/>
      <c r="V57" s="770"/>
      <c r="W57" s="770"/>
      <c r="X57" s="770"/>
      <c r="Y57" s="770"/>
      <c r="Z57" s="770"/>
      <c r="AA57" s="662"/>
      <c r="AB57" s="662"/>
      <c r="AC57" s="662"/>
      <c r="AD57" s="662"/>
      <c r="AE57" s="662"/>
      <c r="AF57" s="662"/>
    </row>
    <row r="58" spans="1:32" s="80" customFormat="1">
      <c r="R58" s="112"/>
      <c r="S58" s="112"/>
      <c r="T58" s="112"/>
      <c r="U58" s="112"/>
      <c r="V58" s="770"/>
      <c r="W58" s="770"/>
      <c r="X58" s="770"/>
      <c r="Y58" s="770"/>
      <c r="Z58" s="770"/>
      <c r="AA58" s="662"/>
      <c r="AB58" s="662"/>
      <c r="AC58" s="662"/>
      <c r="AD58" s="662"/>
      <c r="AE58" s="662"/>
      <c r="AF58" s="662"/>
    </row>
    <row r="59" spans="1:32" s="80" customFormat="1">
      <c r="R59" s="112"/>
      <c r="S59" s="112"/>
      <c r="T59" s="112"/>
      <c r="U59" s="112"/>
      <c r="V59" s="770"/>
      <c r="W59" s="770"/>
      <c r="X59" s="770"/>
      <c r="Y59" s="770"/>
      <c r="Z59" s="770"/>
      <c r="AA59" s="662"/>
      <c r="AB59" s="662"/>
      <c r="AC59" s="662"/>
      <c r="AD59" s="662"/>
      <c r="AE59" s="662"/>
      <c r="AF59" s="662"/>
    </row>
    <row r="60" spans="1:32" s="80" customFormat="1">
      <c r="R60" s="112"/>
      <c r="S60" s="112"/>
      <c r="T60" s="112"/>
      <c r="U60" s="112"/>
      <c r="V60" s="770"/>
      <c r="W60" s="770"/>
      <c r="X60" s="770"/>
      <c r="Y60" s="770"/>
      <c r="Z60" s="770"/>
      <c r="AA60" s="662"/>
      <c r="AB60" s="662"/>
      <c r="AC60" s="662"/>
      <c r="AD60" s="662"/>
      <c r="AE60" s="662"/>
      <c r="AF60" s="662"/>
    </row>
    <row r="61" spans="1:32" s="80" customFormat="1">
      <c r="R61" s="112"/>
      <c r="S61" s="112"/>
      <c r="T61" s="112"/>
      <c r="U61" s="112"/>
      <c r="V61" s="770"/>
      <c r="W61" s="770"/>
      <c r="X61" s="770"/>
      <c r="Y61" s="770"/>
      <c r="Z61" s="770"/>
      <c r="AA61" s="662"/>
      <c r="AB61" s="662"/>
      <c r="AC61" s="662"/>
      <c r="AD61" s="662"/>
      <c r="AE61" s="662"/>
      <c r="AF61" s="662"/>
    </row>
    <row r="62" spans="1:32" s="80" customFormat="1">
      <c r="R62" s="70"/>
      <c r="S62" s="70"/>
      <c r="T62" s="70"/>
      <c r="V62" s="662"/>
      <c r="W62" s="662"/>
      <c r="X62" s="662"/>
      <c r="Y62" s="662"/>
      <c r="Z62" s="662"/>
      <c r="AA62" s="662"/>
      <c r="AB62" s="662"/>
      <c r="AC62" s="662"/>
      <c r="AD62" s="662"/>
      <c r="AE62" s="662"/>
      <c r="AF62" s="662"/>
    </row>
    <row r="63" spans="1:32" s="80" customFormat="1">
      <c r="R63" s="70"/>
      <c r="S63" s="70"/>
      <c r="T63" s="70"/>
      <c r="V63" s="662"/>
      <c r="W63" s="662"/>
      <c r="X63" s="662"/>
      <c r="Y63" s="662"/>
      <c r="Z63" s="662"/>
      <c r="AA63" s="662"/>
      <c r="AB63" s="662"/>
      <c r="AC63" s="662"/>
      <c r="AD63" s="662"/>
      <c r="AE63" s="662"/>
      <c r="AF63" s="662"/>
    </row>
    <row r="64" spans="1:32" s="80" customFormat="1">
      <c r="R64" s="70"/>
      <c r="S64" s="70"/>
      <c r="T64" s="70"/>
      <c r="V64" s="662"/>
      <c r="W64" s="662"/>
      <c r="X64" s="662"/>
      <c r="Y64" s="662"/>
      <c r="Z64" s="662"/>
      <c r="AA64" s="662"/>
      <c r="AB64" s="662"/>
      <c r="AC64" s="662"/>
      <c r="AD64" s="662"/>
      <c r="AE64" s="662"/>
      <c r="AF64" s="662"/>
    </row>
    <row r="65" spans="18:32" s="80" customFormat="1">
      <c r="R65" s="70"/>
      <c r="S65" s="70"/>
      <c r="T65" s="70"/>
      <c r="V65" s="662"/>
      <c r="W65" s="662"/>
      <c r="X65" s="662"/>
      <c r="Y65" s="662"/>
      <c r="Z65" s="662"/>
      <c r="AA65" s="662"/>
      <c r="AB65" s="662"/>
      <c r="AC65" s="662"/>
      <c r="AD65" s="662"/>
      <c r="AE65" s="662"/>
      <c r="AF65" s="662"/>
    </row>
    <row r="66" spans="18:32" s="80" customFormat="1">
      <c r="R66" s="70"/>
      <c r="S66" s="70"/>
      <c r="T66" s="70"/>
      <c r="V66" s="662"/>
      <c r="W66" s="662"/>
      <c r="X66" s="662"/>
      <c r="Y66" s="662"/>
      <c r="Z66" s="662"/>
      <c r="AA66" s="662"/>
      <c r="AB66" s="662"/>
      <c r="AC66" s="662"/>
      <c r="AD66" s="662"/>
      <c r="AE66" s="662"/>
      <c r="AF66" s="662"/>
    </row>
    <row r="67" spans="18:32" s="80" customFormat="1">
      <c r="R67" s="70"/>
      <c r="S67" s="70"/>
      <c r="T67" s="70"/>
      <c r="V67" s="662"/>
      <c r="W67" s="662"/>
      <c r="X67" s="662"/>
      <c r="Y67" s="662"/>
      <c r="Z67" s="662"/>
      <c r="AA67" s="662"/>
      <c r="AB67" s="662"/>
      <c r="AC67" s="662"/>
      <c r="AD67" s="662"/>
      <c r="AE67" s="662"/>
      <c r="AF67" s="662"/>
    </row>
    <row r="68" spans="18:32" s="80" customFormat="1">
      <c r="V68" s="662"/>
      <c r="W68" s="662"/>
      <c r="X68" s="662"/>
      <c r="Y68" s="662"/>
      <c r="Z68" s="662"/>
      <c r="AA68" s="662"/>
      <c r="AB68" s="662"/>
      <c r="AC68" s="662"/>
      <c r="AD68" s="662"/>
      <c r="AE68" s="662"/>
      <c r="AF68" s="662"/>
    </row>
    <row r="69" spans="18:32" s="80" customFormat="1">
      <c r="V69" s="662"/>
      <c r="W69" s="662"/>
      <c r="X69" s="662"/>
      <c r="Y69" s="662"/>
      <c r="Z69" s="662"/>
      <c r="AA69" s="662"/>
      <c r="AB69" s="662"/>
      <c r="AC69" s="662"/>
      <c r="AD69" s="662"/>
      <c r="AE69" s="662"/>
      <c r="AF69" s="662"/>
    </row>
    <row r="70" spans="18:32" s="80" customFormat="1">
      <c r="V70" s="662"/>
      <c r="W70" s="662"/>
      <c r="X70" s="662"/>
      <c r="Y70" s="662"/>
      <c r="Z70" s="662"/>
      <c r="AA70" s="662"/>
      <c r="AB70" s="662"/>
      <c r="AC70" s="662"/>
      <c r="AD70" s="662"/>
      <c r="AE70" s="662"/>
      <c r="AF70" s="662"/>
    </row>
    <row r="71" spans="18:32" s="80" customFormat="1">
      <c r="V71" s="662"/>
      <c r="W71" s="662"/>
      <c r="X71" s="662"/>
      <c r="Y71" s="662"/>
      <c r="Z71" s="662"/>
      <c r="AA71" s="662"/>
      <c r="AB71" s="662"/>
      <c r="AC71" s="662"/>
      <c r="AD71" s="662"/>
      <c r="AE71" s="662"/>
      <c r="AF71" s="662"/>
    </row>
    <row r="72" spans="18:32" s="80" customFormat="1">
      <c r="V72" s="662"/>
      <c r="W72" s="662"/>
      <c r="X72" s="662"/>
      <c r="Y72" s="662"/>
      <c r="Z72" s="662"/>
      <c r="AA72" s="662"/>
      <c r="AB72" s="662"/>
      <c r="AC72" s="662"/>
      <c r="AD72" s="662"/>
      <c r="AE72" s="662"/>
      <c r="AF72" s="662"/>
    </row>
    <row r="73" spans="18:32" s="80" customFormat="1">
      <c r="V73" s="662"/>
      <c r="W73" s="662"/>
      <c r="X73" s="662"/>
      <c r="Y73" s="662"/>
      <c r="Z73" s="662"/>
      <c r="AA73" s="662"/>
      <c r="AB73" s="662"/>
      <c r="AC73" s="662"/>
      <c r="AD73" s="662"/>
      <c r="AE73" s="662"/>
      <c r="AF73" s="662"/>
    </row>
    <row r="74" spans="18:32" s="80" customFormat="1">
      <c r="V74" s="662"/>
      <c r="W74" s="662"/>
      <c r="X74" s="662"/>
      <c r="Y74" s="662"/>
      <c r="Z74" s="662"/>
      <c r="AA74" s="662"/>
      <c r="AB74" s="662"/>
      <c r="AC74" s="662"/>
      <c r="AD74" s="662"/>
      <c r="AE74" s="662"/>
      <c r="AF74" s="662"/>
    </row>
    <row r="75" spans="18:32" s="80" customFormat="1">
      <c r="V75" s="662"/>
      <c r="W75" s="662"/>
      <c r="X75" s="662"/>
      <c r="Y75" s="662"/>
      <c r="Z75" s="662"/>
      <c r="AA75" s="662"/>
      <c r="AB75" s="662"/>
      <c r="AC75" s="662"/>
      <c r="AD75" s="662"/>
      <c r="AE75" s="662"/>
      <c r="AF75" s="662"/>
    </row>
    <row r="76" spans="18:32" s="80" customFormat="1">
      <c r="V76" s="662"/>
      <c r="W76" s="662"/>
      <c r="X76" s="662"/>
      <c r="Y76" s="662"/>
      <c r="Z76" s="662"/>
      <c r="AA76" s="662"/>
      <c r="AB76" s="662"/>
      <c r="AC76" s="662"/>
      <c r="AD76" s="662"/>
      <c r="AE76" s="662"/>
      <c r="AF76" s="662"/>
    </row>
    <row r="77" spans="18:32" s="80" customFormat="1">
      <c r="V77" s="662"/>
      <c r="W77" s="662"/>
      <c r="X77" s="662"/>
      <c r="Y77" s="662"/>
      <c r="Z77" s="662"/>
      <c r="AA77" s="662"/>
      <c r="AB77" s="662"/>
      <c r="AC77" s="662"/>
      <c r="AD77" s="662"/>
      <c r="AE77" s="662"/>
      <c r="AF77" s="662"/>
    </row>
    <row r="78" spans="18:32" s="80" customFormat="1">
      <c r="V78" s="662"/>
      <c r="W78" s="662"/>
      <c r="X78" s="662"/>
      <c r="Y78" s="662"/>
      <c r="Z78" s="662"/>
      <c r="AA78" s="662"/>
      <c r="AB78" s="662"/>
      <c r="AC78" s="662"/>
      <c r="AD78" s="662"/>
      <c r="AE78" s="662"/>
      <c r="AF78" s="662"/>
    </row>
    <row r="79" spans="18:32" s="80" customFormat="1">
      <c r="V79" s="662"/>
      <c r="W79" s="662"/>
      <c r="X79" s="662"/>
      <c r="Y79" s="662"/>
      <c r="Z79" s="662"/>
      <c r="AA79" s="662"/>
      <c r="AB79" s="662"/>
      <c r="AC79" s="662"/>
      <c r="AD79" s="662"/>
      <c r="AE79" s="662"/>
      <c r="AF79" s="662"/>
    </row>
    <row r="80" spans="18:32" s="80" customFormat="1">
      <c r="V80" s="662"/>
      <c r="W80" s="662"/>
      <c r="X80" s="662"/>
      <c r="Y80" s="662"/>
      <c r="Z80" s="662"/>
      <c r="AA80" s="662"/>
      <c r="AB80" s="662"/>
      <c r="AC80" s="662"/>
      <c r="AD80" s="662"/>
      <c r="AE80" s="662"/>
      <c r="AF80" s="662"/>
    </row>
    <row r="81" spans="18:32" s="80" customFormat="1">
      <c r="V81" s="662"/>
      <c r="W81" s="662"/>
      <c r="X81" s="662"/>
      <c r="Y81" s="662"/>
      <c r="Z81" s="662"/>
      <c r="AA81" s="662"/>
      <c r="AB81" s="662"/>
      <c r="AC81" s="662"/>
      <c r="AD81" s="662"/>
      <c r="AE81" s="662"/>
      <c r="AF81" s="662"/>
    </row>
    <row r="82" spans="18:32" s="80" customFormat="1">
      <c r="V82" s="662"/>
      <c r="W82" s="662"/>
      <c r="X82" s="662"/>
      <c r="Y82" s="662"/>
      <c r="Z82" s="662"/>
      <c r="AA82" s="662"/>
      <c r="AB82" s="662"/>
      <c r="AC82" s="662"/>
      <c r="AD82" s="662"/>
      <c r="AE82" s="662"/>
      <c r="AF82" s="662"/>
    </row>
    <row r="83" spans="18:32" s="80" customFormat="1">
      <c r="R83" s="70"/>
      <c r="S83" s="70"/>
      <c r="T83" s="70"/>
      <c r="V83" s="662"/>
      <c r="W83" s="662"/>
      <c r="X83" s="662"/>
      <c r="Y83" s="662"/>
      <c r="Z83" s="662"/>
      <c r="AA83" s="662"/>
      <c r="AB83" s="662"/>
      <c r="AC83" s="662"/>
      <c r="AD83" s="662"/>
      <c r="AE83" s="662"/>
      <c r="AF83" s="662"/>
    </row>
    <row r="84" spans="18:32" s="80" customFormat="1">
      <c r="R84" s="70"/>
      <c r="S84" s="70"/>
      <c r="T84" s="70"/>
      <c r="V84" s="662"/>
      <c r="W84" s="662"/>
      <c r="X84" s="662"/>
      <c r="Y84" s="662"/>
      <c r="Z84" s="662"/>
      <c r="AA84" s="662"/>
      <c r="AB84" s="662"/>
      <c r="AC84" s="662"/>
      <c r="AD84" s="662"/>
      <c r="AE84" s="662"/>
      <c r="AF84" s="662"/>
    </row>
    <row r="85" spans="18:32" s="80" customFormat="1">
      <c r="R85" s="70"/>
      <c r="S85" s="70"/>
      <c r="T85" s="70"/>
      <c r="V85" s="662"/>
      <c r="W85" s="662"/>
      <c r="X85" s="662"/>
      <c r="Y85" s="662"/>
      <c r="Z85" s="662"/>
      <c r="AA85" s="662"/>
      <c r="AB85" s="662"/>
      <c r="AC85" s="662"/>
      <c r="AD85" s="662"/>
      <c r="AE85" s="662"/>
      <c r="AF85" s="662"/>
    </row>
    <row r="86" spans="18:32" s="80" customFormat="1">
      <c r="R86" s="70"/>
      <c r="S86" s="70"/>
      <c r="T86" s="70"/>
      <c r="V86" s="662"/>
      <c r="W86" s="662"/>
      <c r="X86" s="662"/>
      <c r="Y86" s="662"/>
      <c r="Z86" s="662"/>
      <c r="AA86" s="662"/>
      <c r="AB86" s="662"/>
      <c r="AC86" s="662"/>
      <c r="AD86" s="662"/>
      <c r="AE86" s="662"/>
      <c r="AF86" s="662"/>
    </row>
    <row r="87" spans="18:32" s="80" customFormat="1">
      <c r="R87" s="70"/>
      <c r="S87" s="70"/>
      <c r="T87" s="70"/>
      <c r="V87" s="662"/>
      <c r="W87" s="662"/>
      <c r="X87" s="662"/>
      <c r="Y87" s="662"/>
      <c r="Z87" s="662"/>
      <c r="AA87" s="662"/>
      <c r="AB87" s="662"/>
      <c r="AC87" s="662"/>
      <c r="AD87" s="662"/>
      <c r="AE87" s="662"/>
      <c r="AF87" s="662"/>
    </row>
    <row r="88" spans="18:32" s="80" customFormat="1">
      <c r="R88" s="70"/>
      <c r="S88" s="70"/>
      <c r="T88" s="70"/>
      <c r="V88" s="662"/>
      <c r="W88" s="662"/>
      <c r="X88" s="662"/>
      <c r="Y88" s="662"/>
      <c r="Z88" s="662"/>
      <c r="AA88" s="662"/>
      <c r="AB88" s="662"/>
      <c r="AC88" s="662"/>
      <c r="AD88" s="662"/>
      <c r="AE88" s="662"/>
      <c r="AF88" s="662"/>
    </row>
    <row r="89" spans="18:32" s="80" customFormat="1">
      <c r="R89" s="70"/>
      <c r="S89" s="70"/>
      <c r="T89" s="70"/>
      <c r="V89" s="662"/>
      <c r="W89" s="662"/>
      <c r="X89" s="662"/>
      <c r="Y89" s="662"/>
      <c r="Z89" s="662"/>
      <c r="AA89" s="662"/>
      <c r="AB89" s="662"/>
      <c r="AC89" s="662"/>
      <c r="AD89" s="662"/>
      <c r="AE89" s="662"/>
      <c r="AF89" s="662"/>
    </row>
    <row r="90" spans="18:32" s="80" customFormat="1">
      <c r="R90" s="70"/>
      <c r="S90" s="70"/>
      <c r="T90" s="70"/>
      <c r="V90" s="662"/>
      <c r="W90" s="662"/>
      <c r="X90" s="662"/>
      <c r="Y90" s="662"/>
      <c r="Z90" s="662"/>
      <c r="AA90" s="662"/>
      <c r="AB90" s="662"/>
      <c r="AC90" s="662"/>
      <c r="AD90" s="662"/>
      <c r="AE90" s="662"/>
      <c r="AF90" s="662"/>
    </row>
    <row r="91" spans="18:32" s="80" customFormat="1">
      <c r="R91" s="70"/>
      <c r="S91" s="70"/>
      <c r="T91" s="70"/>
      <c r="V91" s="662"/>
      <c r="W91" s="662"/>
      <c r="X91" s="662"/>
      <c r="Y91" s="662"/>
      <c r="Z91" s="662"/>
      <c r="AA91" s="662"/>
      <c r="AB91" s="662"/>
      <c r="AC91" s="662"/>
      <c r="AD91" s="662"/>
      <c r="AE91" s="662"/>
      <c r="AF91" s="662"/>
    </row>
    <row r="92" spans="18:32" s="80" customFormat="1">
      <c r="R92" s="70"/>
      <c r="S92" s="70"/>
      <c r="T92" s="70"/>
      <c r="V92" s="662"/>
      <c r="W92" s="662"/>
      <c r="X92" s="662"/>
      <c r="Y92" s="662"/>
      <c r="Z92" s="662"/>
      <c r="AA92" s="662"/>
      <c r="AB92" s="662"/>
      <c r="AC92" s="662"/>
      <c r="AD92" s="662"/>
      <c r="AE92" s="662"/>
      <c r="AF92" s="662"/>
    </row>
    <row r="93" spans="18:32" s="80" customFormat="1">
      <c r="R93" s="70"/>
      <c r="S93" s="70"/>
      <c r="T93" s="70"/>
      <c r="V93" s="662"/>
      <c r="W93" s="662"/>
      <c r="X93" s="662"/>
      <c r="Y93" s="662"/>
      <c r="Z93" s="662"/>
      <c r="AA93" s="662"/>
      <c r="AB93" s="662"/>
      <c r="AC93" s="662"/>
      <c r="AD93" s="662"/>
      <c r="AE93" s="662"/>
      <c r="AF93" s="662"/>
    </row>
    <row r="94" spans="18:32" s="80" customFormat="1">
      <c r="R94" s="70"/>
      <c r="S94" s="70"/>
      <c r="T94" s="70"/>
      <c r="V94" s="662"/>
      <c r="W94" s="662"/>
      <c r="X94" s="662"/>
      <c r="Y94" s="662"/>
      <c r="Z94" s="662"/>
      <c r="AA94" s="662"/>
      <c r="AB94" s="662"/>
      <c r="AC94" s="662"/>
      <c r="AD94" s="662"/>
      <c r="AE94" s="662"/>
      <c r="AF94" s="662"/>
    </row>
    <row r="95" spans="18:32" s="80" customFormat="1">
      <c r="R95" s="70"/>
      <c r="S95" s="70"/>
      <c r="T95" s="70"/>
      <c r="V95" s="662"/>
      <c r="W95" s="662"/>
      <c r="X95" s="662"/>
      <c r="Y95" s="662"/>
      <c r="Z95" s="662"/>
      <c r="AA95" s="662"/>
      <c r="AB95" s="662"/>
      <c r="AC95" s="662"/>
      <c r="AD95" s="662"/>
      <c r="AE95" s="662"/>
      <c r="AF95" s="662"/>
    </row>
    <row r="96" spans="18:32" s="80" customFormat="1">
      <c r="R96" s="70"/>
      <c r="S96" s="70"/>
      <c r="T96" s="70"/>
      <c r="V96" s="662"/>
      <c r="W96" s="662"/>
      <c r="X96" s="662"/>
      <c r="Y96" s="662"/>
      <c r="Z96" s="662"/>
      <c r="AA96" s="662"/>
      <c r="AB96" s="662"/>
      <c r="AC96" s="662"/>
      <c r="AD96" s="662"/>
      <c r="AE96" s="662"/>
      <c r="AF96" s="662"/>
    </row>
    <row r="97" spans="18:32" s="80" customFormat="1">
      <c r="R97" s="70"/>
      <c r="S97" s="70"/>
      <c r="T97" s="70"/>
      <c r="V97" s="662"/>
      <c r="W97" s="662"/>
      <c r="X97" s="662"/>
      <c r="Y97" s="662"/>
      <c r="Z97" s="662"/>
      <c r="AA97" s="662"/>
      <c r="AB97" s="662"/>
      <c r="AC97" s="662"/>
      <c r="AD97" s="662"/>
      <c r="AE97" s="662"/>
      <c r="AF97" s="662"/>
    </row>
    <row r="98" spans="18:32" s="80" customFormat="1">
      <c r="R98" s="70"/>
      <c r="S98" s="70"/>
      <c r="T98" s="70"/>
      <c r="V98" s="662"/>
      <c r="W98" s="662"/>
      <c r="X98" s="662"/>
      <c r="Y98" s="662"/>
      <c r="Z98" s="662"/>
      <c r="AA98" s="662"/>
      <c r="AB98" s="662"/>
      <c r="AC98" s="662"/>
      <c r="AD98" s="662"/>
      <c r="AE98" s="662"/>
      <c r="AF98" s="662"/>
    </row>
    <row r="99" spans="18:32" s="80" customFormat="1">
      <c r="R99" s="70"/>
      <c r="S99" s="70"/>
      <c r="T99" s="70"/>
      <c r="V99" s="662"/>
      <c r="W99" s="662"/>
      <c r="X99" s="662"/>
      <c r="Y99" s="662"/>
      <c r="Z99" s="662"/>
      <c r="AA99" s="662"/>
      <c r="AB99" s="662"/>
      <c r="AC99" s="662"/>
      <c r="AD99" s="662"/>
      <c r="AE99" s="662"/>
      <c r="AF99" s="662"/>
    </row>
    <row r="100" spans="18:32" s="80" customFormat="1">
      <c r="R100" s="70"/>
      <c r="S100" s="70"/>
      <c r="T100" s="70"/>
      <c r="V100" s="662"/>
      <c r="W100" s="662"/>
      <c r="X100" s="662"/>
      <c r="Y100" s="662"/>
      <c r="Z100" s="662"/>
      <c r="AA100" s="662"/>
      <c r="AB100" s="662"/>
      <c r="AC100" s="662"/>
      <c r="AD100" s="662"/>
      <c r="AE100" s="662"/>
      <c r="AF100" s="662"/>
    </row>
    <row r="101" spans="18:32" s="80" customFormat="1">
      <c r="R101" s="70"/>
      <c r="S101" s="70"/>
      <c r="T101" s="70"/>
      <c r="V101" s="662"/>
      <c r="W101" s="662"/>
      <c r="X101" s="662"/>
      <c r="Y101" s="662"/>
      <c r="Z101" s="662"/>
      <c r="AA101" s="662"/>
      <c r="AB101" s="662"/>
      <c r="AC101" s="662"/>
      <c r="AD101" s="662"/>
      <c r="AE101" s="662"/>
      <c r="AF101" s="662"/>
    </row>
    <row r="102" spans="18:32" s="80" customFormat="1">
      <c r="R102" s="70"/>
      <c r="S102" s="70"/>
      <c r="T102" s="70"/>
      <c r="V102" s="662"/>
      <c r="W102" s="662"/>
      <c r="X102" s="662"/>
      <c r="Y102" s="662"/>
      <c r="Z102" s="662"/>
      <c r="AA102" s="662"/>
      <c r="AB102" s="662"/>
      <c r="AC102" s="662"/>
      <c r="AD102" s="662"/>
      <c r="AE102" s="662"/>
      <c r="AF102" s="662"/>
    </row>
    <row r="103" spans="18:32" s="80" customFormat="1">
      <c r="R103" s="70"/>
      <c r="S103" s="70"/>
      <c r="T103" s="70"/>
      <c r="V103" s="662"/>
      <c r="W103" s="662"/>
      <c r="X103" s="662"/>
      <c r="Y103" s="662"/>
      <c r="Z103" s="662"/>
      <c r="AA103" s="662"/>
      <c r="AB103" s="662"/>
      <c r="AC103" s="662"/>
      <c r="AD103" s="662"/>
      <c r="AE103" s="662"/>
      <c r="AF103" s="662"/>
    </row>
    <row r="104" spans="18:32" s="80" customFormat="1">
      <c r="R104" s="70"/>
      <c r="S104" s="70"/>
      <c r="T104" s="70"/>
      <c r="V104" s="662"/>
      <c r="W104" s="662"/>
      <c r="X104" s="662"/>
      <c r="Y104" s="662"/>
      <c r="Z104" s="662"/>
      <c r="AA104" s="662"/>
      <c r="AB104" s="662"/>
      <c r="AC104" s="662"/>
      <c r="AD104" s="662"/>
      <c r="AE104" s="662"/>
      <c r="AF104" s="662"/>
    </row>
    <row r="105" spans="18:32" s="80" customFormat="1">
      <c r="R105" s="70"/>
      <c r="S105" s="70"/>
      <c r="T105" s="70"/>
      <c r="V105" s="662"/>
      <c r="W105" s="662"/>
      <c r="X105" s="662"/>
      <c r="Y105" s="662"/>
      <c r="Z105" s="662"/>
      <c r="AA105" s="662"/>
      <c r="AB105" s="662"/>
      <c r="AC105" s="662"/>
      <c r="AD105" s="662"/>
      <c r="AE105" s="662"/>
      <c r="AF105" s="662"/>
    </row>
    <row r="106" spans="18:32" s="80" customFormat="1">
      <c r="R106" s="70"/>
      <c r="S106" s="70"/>
      <c r="T106" s="70"/>
      <c r="V106" s="662"/>
      <c r="W106" s="662"/>
      <c r="X106" s="662"/>
      <c r="Y106" s="662"/>
      <c r="Z106" s="662"/>
      <c r="AA106" s="662"/>
      <c r="AB106" s="662"/>
      <c r="AC106" s="662"/>
      <c r="AD106" s="662"/>
      <c r="AE106" s="662"/>
      <c r="AF106" s="662"/>
    </row>
    <row r="107" spans="18:32" s="80" customFormat="1">
      <c r="R107" s="70"/>
      <c r="S107" s="70"/>
      <c r="T107" s="70"/>
      <c r="V107" s="662"/>
      <c r="W107" s="662"/>
      <c r="X107" s="662"/>
      <c r="Y107" s="662"/>
      <c r="Z107" s="662"/>
      <c r="AA107" s="662"/>
      <c r="AB107" s="662"/>
      <c r="AC107" s="662"/>
      <c r="AD107" s="662"/>
      <c r="AE107" s="662"/>
      <c r="AF107" s="662"/>
    </row>
    <row r="108" spans="18:32" s="80" customFormat="1">
      <c r="R108" s="70"/>
      <c r="S108" s="70"/>
      <c r="T108" s="70"/>
      <c r="V108" s="662"/>
      <c r="W108" s="662"/>
      <c r="X108" s="662"/>
      <c r="Y108" s="662"/>
      <c r="Z108" s="662"/>
      <c r="AA108" s="662"/>
      <c r="AB108" s="662"/>
      <c r="AC108" s="662"/>
      <c r="AD108" s="662"/>
      <c r="AE108" s="662"/>
      <c r="AF108" s="662"/>
    </row>
    <row r="109" spans="18:32" s="80" customFormat="1">
      <c r="R109" s="70"/>
      <c r="S109" s="70"/>
      <c r="T109" s="70"/>
      <c r="V109" s="662"/>
      <c r="W109" s="662"/>
      <c r="X109" s="662"/>
      <c r="Y109" s="662"/>
      <c r="Z109" s="662"/>
      <c r="AA109" s="662"/>
      <c r="AB109" s="662"/>
      <c r="AC109" s="662"/>
      <c r="AD109" s="662"/>
      <c r="AE109" s="662"/>
      <c r="AF109" s="662"/>
    </row>
    <row r="110" spans="18:32" s="80" customFormat="1">
      <c r="R110" s="70"/>
      <c r="S110" s="70"/>
      <c r="T110" s="70"/>
      <c r="V110" s="662"/>
      <c r="W110" s="662"/>
      <c r="X110" s="662"/>
      <c r="Y110" s="662"/>
      <c r="Z110" s="662"/>
      <c r="AA110" s="662"/>
      <c r="AB110" s="662"/>
      <c r="AC110" s="662"/>
      <c r="AD110" s="662"/>
      <c r="AE110" s="662"/>
      <c r="AF110" s="662"/>
    </row>
    <row r="111" spans="18:32" s="80" customFormat="1">
      <c r="R111" s="70"/>
      <c r="S111" s="70"/>
      <c r="T111" s="70"/>
      <c r="V111" s="662"/>
      <c r="W111" s="662"/>
      <c r="X111" s="662"/>
      <c r="Y111" s="662"/>
      <c r="Z111" s="662"/>
      <c r="AA111" s="662"/>
      <c r="AB111" s="662"/>
      <c r="AC111" s="662"/>
      <c r="AD111" s="662"/>
      <c r="AE111" s="662"/>
      <c r="AF111" s="662"/>
    </row>
    <row r="112" spans="18:32" s="80" customFormat="1">
      <c r="R112" s="70"/>
      <c r="S112" s="70"/>
      <c r="T112" s="70"/>
      <c r="V112" s="662"/>
      <c r="W112" s="662"/>
      <c r="X112" s="662"/>
      <c r="Y112" s="662"/>
      <c r="Z112" s="662"/>
      <c r="AA112" s="662"/>
      <c r="AB112" s="662"/>
      <c r="AC112" s="662"/>
      <c r="AD112" s="662"/>
      <c r="AE112" s="662"/>
      <c r="AF112" s="662"/>
    </row>
    <row r="113" spans="18:32" s="80" customFormat="1">
      <c r="R113" s="70"/>
      <c r="S113" s="70"/>
      <c r="T113" s="70"/>
      <c r="V113" s="662"/>
      <c r="W113" s="662"/>
      <c r="X113" s="662"/>
      <c r="Y113" s="662"/>
      <c r="Z113" s="662"/>
      <c r="AA113" s="662"/>
      <c r="AB113" s="662"/>
      <c r="AC113" s="662"/>
      <c r="AD113" s="662"/>
      <c r="AE113" s="662"/>
      <c r="AF113" s="662"/>
    </row>
    <row r="114" spans="18:32" s="80" customFormat="1">
      <c r="R114" s="70"/>
      <c r="S114" s="70"/>
      <c r="T114" s="70"/>
      <c r="V114" s="662"/>
      <c r="W114" s="662"/>
      <c r="X114" s="662"/>
      <c r="Y114" s="662"/>
      <c r="Z114" s="662"/>
      <c r="AA114" s="662"/>
      <c r="AB114" s="662"/>
      <c r="AC114" s="662"/>
      <c r="AD114" s="662"/>
      <c r="AE114" s="662"/>
      <c r="AF114" s="662"/>
    </row>
    <row r="115" spans="18:32" s="80" customFormat="1">
      <c r="R115" s="70"/>
      <c r="S115" s="70"/>
      <c r="T115" s="70"/>
      <c r="V115" s="662"/>
      <c r="W115" s="662"/>
      <c r="X115" s="662"/>
      <c r="Y115" s="662"/>
      <c r="Z115" s="662"/>
      <c r="AA115" s="662"/>
      <c r="AB115" s="662"/>
      <c r="AC115" s="662"/>
      <c r="AD115" s="662"/>
      <c r="AE115" s="662"/>
      <c r="AF115" s="662"/>
    </row>
    <row r="116" spans="18:32" s="80" customFormat="1">
      <c r="R116" s="70"/>
      <c r="S116" s="70"/>
      <c r="T116" s="70"/>
      <c r="V116" s="662"/>
      <c r="W116" s="662"/>
      <c r="X116" s="662"/>
      <c r="Y116" s="662"/>
      <c r="Z116" s="662"/>
      <c r="AA116" s="662"/>
      <c r="AB116" s="662"/>
      <c r="AC116" s="662"/>
      <c r="AD116" s="662"/>
      <c r="AE116" s="662"/>
      <c r="AF116" s="662"/>
    </row>
    <row r="117" spans="18:32" s="80" customFormat="1">
      <c r="R117" s="70"/>
      <c r="S117" s="70"/>
      <c r="T117" s="70"/>
      <c r="V117" s="662"/>
      <c r="W117" s="662"/>
      <c r="X117" s="662"/>
      <c r="Y117" s="662"/>
      <c r="Z117" s="662"/>
      <c r="AA117" s="662"/>
      <c r="AB117" s="662"/>
      <c r="AC117" s="662"/>
      <c r="AD117" s="662"/>
      <c r="AE117" s="662"/>
      <c r="AF117" s="662"/>
    </row>
    <row r="118" spans="18:32" s="80" customFormat="1">
      <c r="R118" s="70"/>
      <c r="S118" s="70"/>
      <c r="T118" s="70"/>
      <c r="V118" s="662"/>
      <c r="W118" s="662"/>
      <c r="X118" s="662"/>
      <c r="Y118" s="662"/>
      <c r="Z118" s="662"/>
      <c r="AA118" s="662"/>
      <c r="AB118" s="662"/>
      <c r="AC118" s="662"/>
      <c r="AD118" s="662"/>
      <c r="AE118" s="662"/>
      <c r="AF118" s="662"/>
    </row>
    <row r="119" spans="18:32" s="80" customFormat="1">
      <c r="R119" s="70"/>
      <c r="S119" s="70"/>
      <c r="T119" s="70"/>
      <c r="V119" s="662"/>
      <c r="W119" s="662"/>
      <c r="X119" s="662"/>
      <c r="Y119" s="662"/>
      <c r="Z119" s="662"/>
      <c r="AA119" s="662"/>
      <c r="AB119" s="662"/>
      <c r="AC119" s="662"/>
      <c r="AD119" s="662"/>
      <c r="AE119" s="662"/>
      <c r="AF119" s="662"/>
    </row>
    <row r="120" spans="18:32" s="80" customFormat="1">
      <c r="R120" s="70"/>
      <c r="S120" s="70"/>
      <c r="T120" s="70"/>
      <c r="V120" s="662"/>
      <c r="W120" s="662"/>
      <c r="X120" s="662"/>
      <c r="Y120" s="662"/>
      <c r="Z120" s="662"/>
      <c r="AA120" s="662"/>
      <c r="AB120" s="662"/>
      <c r="AC120" s="662"/>
      <c r="AD120" s="662"/>
      <c r="AE120" s="662"/>
      <c r="AF120" s="662"/>
    </row>
    <row r="121" spans="18:32" s="80" customFormat="1">
      <c r="R121" s="70"/>
      <c r="S121" s="70"/>
      <c r="T121" s="70"/>
      <c r="V121" s="662"/>
      <c r="W121" s="662"/>
      <c r="X121" s="662"/>
      <c r="Y121" s="662"/>
      <c r="Z121" s="662"/>
      <c r="AA121" s="662"/>
      <c r="AB121" s="662"/>
      <c r="AC121" s="662"/>
      <c r="AD121" s="662"/>
      <c r="AE121" s="662"/>
      <c r="AF121" s="662"/>
    </row>
    <row r="122" spans="18:32" s="80" customFormat="1">
      <c r="R122" s="70"/>
      <c r="S122" s="70"/>
      <c r="T122" s="70"/>
      <c r="V122" s="662"/>
      <c r="W122" s="662"/>
      <c r="X122" s="662"/>
      <c r="Y122" s="662"/>
      <c r="Z122" s="662"/>
      <c r="AA122" s="662"/>
      <c r="AB122" s="662"/>
      <c r="AC122" s="662"/>
      <c r="AD122" s="662"/>
      <c r="AE122" s="662"/>
      <c r="AF122" s="662"/>
    </row>
    <row r="123" spans="18:32" s="80" customFormat="1">
      <c r="R123" s="70"/>
      <c r="S123" s="70"/>
      <c r="T123" s="70"/>
      <c r="V123" s="662"/>
      <c r="W123" s="662"/>
      <c r="X123" s="662"/>
      <c r="Y123" s="662"/>
      <c r="Z123" s="662"/>
      <c r="AA123" s="662"/>
      <c r="AB123" s="662"/>
      <c r="AC123" s="662"/>
      <c r="AD123" s="662"/>
      <c r="AE123" s="662"/>
      <c r="AF123" s="662"/>
    </row>
    <row r="124" spans="18:32" s="80" customFormat="1">
      <c r="R124" s="70"/>
      <c r="S124" s="70"/>
      <c r="T124" s="70"/>
      <c r="V124" s="662"/>
      <c r="W124" s="662"/>
      <c r="X124" s="662"/>
      <c r="Y124" s="662"/>
      <c r="Z124" s="662"/>
      <c r="AA124" s="662"/>
      <c r="AB124" s="662"/>
      <c r="AC124" s="662"/>
      <c r="AD124" s="662"/>
      <c r="AE124" s="662"/>
      <c r="AF124" s="662"/>
    </row>
    <row r="125" spans="18:32" s="80" customFormat="1">
      <c r="R125" s="70"/>
      <c r="S125" s="70"/>
      <c r="T125" s="70"/>
      <c r="V125" s="662"/>
      <c r="W125" s="662"/>
      <c r="X125" s="662"/>
      <c r="Y125" s="662"/>
      <c r="Z125" s="662"/>
      <c r="AA125" s="662"/>
      <c r="AB125" s="662"/>
      <c r="AC125" s="662"/>
      <c r="AD125" s="662"/>
      <c r="AE125" s="662"/>
      <c r="AF125" s="662"/>
    </row>
    <row r="126" spans="18:32" s="80" customFormat="1">
      <c r="R126" s="70"/>
      <c r="S126" s="70"/>
      <c r="T126" s="70"/>
      <c r="V126" s="662"/>
      <c r="W126" s="662"/>
      <c r="X126" s="662"/>
      <c r="Y126" s="662"/>
      <c r="Z126" s="662"/>
      <c r="AA126" s="662"/>
      <c r="AB126" s="662"/>
      <c r="AC126" s="662"/>
      <c r="AD126" s="662"/>
      <c r="AE126" s="662"/>
      <c r="AF126" s="662"/>
    </row>
    <row r="127" spans="18:32" s="80" customFormat="1">
      <c r="R127" s="70"/>
      <c r="S127" s="70"/>
      <c r="T127" s="70"/>
      <c r="V127" s="662"/>
      <c r="W127" s="662"/>
      <c r="X127" s="662"/>
      <c r="Y127" s="662"/>
      <c r="Z127" s="662"/>
      <c r="AA127" s="662"/>
      <c r="AB127" s="662"/>
      <c r="AC127" s="662"/>
      <c r="AD127" s="662"/>
      <c r="AE127" s="662"/>
      <c r="AF127" s="662"/>
    </row>
    <row r="128" spans="18:32" s="80" customFormat="1">
      <c r="R128" s="70"/>
      <c r="S128" s="70"/>
      <c r="T128" s="70"/>
      <c r="V128" s="662"/>
      <c r="W128" s="662"/>
      <c r="X128" s="662"/>
      <c r="Y128" s="662"/>
      <c r="Z128" s="662"/>
      <c r="AA128" s="662"/>
      <c r="AB128" s="662"/>
      <c r="AC128" s="662"/>
      <c r="AD128" s="662"/>
      <c r="AE128" s="662"/>
      <c r="AF128" s="662"/>
    </row>
    <row r="129" spans="18:32" s="80" customFormat="1">
      <c r="R129" s="70"/>
      <c r="S129" s="70"/>
      <c r="T129" s="70"/>
      <c r="V129" s="662"/>
      <c r="W129" s="662"/>
      <c r="X129" s="662"/>
      <c r="Y129" s="662"/>
      <c r="Z129" s="662"/>
      <c r="AA129" s="662"/>
      <c r="AB129" s="662"/>
      <c r="AC129" s="662"/>
      <c r="AD129" s="662"/>
      <c r="AE129" s="662"/>
      <c r="AF129" s="662"/>
    </row>
    <row r="130" spans="18:32" s="80" customFormat="1">
      <c r="R130" s="70"/>
      <c r="S130" s="70"/>
      <c r="T130" s="70"/>
      <c r="V130" s="662"/>
      <c r="W130" s="662"/>
      <c r="X130" s="662"/>
      <c r="Y130" s="662"/>
      <c r="Z130" s="662"/>
      <c r="AA130" s="662"/>
      <c r="AB130" s="662"/>
      <c r="AC130" s="662"/>
      <c r="AD130" s="662"/>
      <c r="AE130" s="662"/>
      <c r="AF130" s="662"/>
    </row>
    <row r="131" spans="18:32" s="80" customFormat="1">
      <c r="R131" s="70"/>
      <c r="S131" s="70"/>
      <c r="T131" s="70"/>
      <c r="V131" s="662"/>
      <c r="W131" s="662"/>
      <c r="X131" s="662"/>
      <c r="Y131" s="662"/>
      <c r="Z131" s="662"/>
      <c r="AA131" s="662"/>
      <c r="AB131" s="662"/>
      <c r="AC131" s="662"/>
      <c r="AD131" s="662"/>
      <c r="AE131" s="662"/>
      <c r="AF131" s="662"/>
    </row>
    <row r="132" spans="18:32" s="80" customFormat="1">
      <c r="R132" s="70"/>
      <c r="S132" s="70"/>
      <c r="T132" s="70"/>
      <c r="V132" s="662"/>
      <c r="W132" s="662"/>
      <c r="X132" s="662"/>
      <c r="Y132" s="662"/>
      <c r="Z132" s="662"/>
      <c r="AA132" s="662"/>
      <c r="AB132" s="662"/>
      <c r="AC132" s="662"/>
      <c r="AD132" s="662"/>
      <c r="AE132" s="662"/>
      <c r="AF132" s="662"/>
    </row>
    <row r="133" spans="18:32" s="80" customFormat="1">
      <c r="R133" s="70"/>
      <c r="S133" s="70"/>
      <c r="T133" s="70"/>
      <c r="V133" s="662"/>
      <c r="W133" s="662"/>
      <c r="X133" s="662"/>
      <c r="Y133" s="662"/>
      <c r="Z133" s="662"/>
      <c r="AA133" s="662"/>
      <c r="AB133" s="662"/>
      <c r="AC133" s="662"/>
      <c r="AD133" s="662"/>
      <c r="AE133" s="662"/>
      <c r="AF133" s="662"/>
    </row>
    <row r="134" spans="18:32" s="80" customFormat="1">
      <c r="R134" s="70"/>
      <c r="S134" s="70"/>
      <c r="T134" s="70"/>
      <c r="V134" s="662"/>
      <c r="W134" s="662"/>
      <c r="X134" s="662"/>
      <c r="Y134" s="662"/>
      <c r="Z134" s="662"/>
      <c r="AA134" s="662"/>
      <c r="AB134" s="662"/>
      <c r="AC134" s="662"/>
      <c r="AD134" s="662"/>
      <c r="AE134" s="662"/>
      <c r="AF134" s="662"/>
    </row>
    <row r="135" spans="18:32" s="80" customFormat="1">
      <c r="R135" s="70"/>
      <c r="S135" s="70"/>
      <c r="T135" s="70"/>
      <c r="V135" s="662"/>
      <c r="W135" s="662"/>
      <c r="X135" s="662"/>
      <c r="Y135" s="662"/>
      <c r="Z135" s="662"/>
      <c r="AA135" s="662"/>
      <c r="AB135" s="662"/>
      <c r="AC135" s="662"/>
      <c r="AD135" s="662"/>
      <c r="AE135" s="662"/>
      <c r="AF135" s="662"/>
    </row>
    <row r="136" spans="18:32" s="80" customFormat="1">
      <c r="R136" s="70"/>
      <c r="S136" s="70"/>
      <c r="T136" s="70"/>
      <c r="V136" s="662"/>
      <c r="W136" s="662"/>
      <c r="X136" s="662"/>
      <c r="Y136" s="662"/>
      <c r="Z136" s="662"/>
      <c r="AA136" s="662"/>
      <c r="AB136" s="662"/>
      <c r="AC136" s="662"/>
      <c r="AD136" s="662"/>
      <c r="AE136" s="662"/>
      <c r="AF136" s="662"/>
    </row>
    <row r="137" spans="18:32" s="80" customFormat="1">
      <c r="R137" s="70"/>
      <c r="S137" s="70"/>
      <c r="T137" s="70"/>
      <c r="V137" s="662"/>
      <c r="W137" s="662"/>
      <c r="X137" s="662"/>
      <c r="Y137" s="662"/>
      <c r="Z137" s="662"/>
      <c r="AA137" s="662"/>
      <c r="AB137" s="662"/>
      <c r="AC137" s="662"/>
      <c r="AD137" s="662"/>
      <c r="AE137" s="662"/>
      <c r="AF137" s="662"/>
    </row>
    <row r="138" spans="18:32" s="80" customFormat="1">
      <c r="R138" s="70"/>
      <c r="S138" s="70"/>
      <c r="T138" s="70"/>
      <c r="V138" s="662"/>
      <c r="W138" s="662"/>
      <c r="X138" s="662"/>
      <c r="Y138" s="662"/>
      <c r="Z138" s="662"/>
      <c r="AA138" s="662"/>
      <c r="AB138" s="662"/>
      <c r="AC138" s="662"/>
      <c r="AD138" s="662"/>
      <c r="AE138" s="662"/>
      <c r="AF138" s="662"/>
    </row>
    <row r="139" spans="18:32" s="80" customFormat="1">
      <c r="R139" s="70"/>
      <c r="S139" s="70"/>
      <c r="T139" s="70"/>
      <c r="V139" s="662"/>
      <c r="W139" s="662"/>
      <c r="X139" s="662"/>
      <c r="Y139" s="662"/>
      <c r="Z139" s="662"/>
      <c r="AA139" s="662"/>
      <c r="AB139" s="662"/>
      <c r="AC139" s="662"/>
      <c r="AD139" s="662"/>
      <c r="AE139" s="662"/>
      <c r="AF139" s="662"/>
    </row>
    <row r="140" spans="18:32" s="80" customFormat="1">
      <c r="R140" s="70"/>
      <c r="S140" s="70"/>
      <c r="T140" s="70"/>
      <c r="V140" s="662"/>
      <c r="W140" s="662"/>
      <c r="X140" s="662"/>
      <c r="Y140" s="662"/>
      <c r="Z140" s="662"/>
      <c r="AA140" s="662"/>
      <c r="AB140" s="662"/>
      <c r="AC140" s="662"/>
      <c r="AD140" s="662"/>
      <c r="AE140" s="662"/>
      <c r="AF140" s="662"/>
    </row>
    <row r="141" spans="18:32" s="80" customFormat="1">
      <c r="R141" s="70"/>
      <c r="S141" s="70"/>
      <c r="T141" s="70"/>
      <c r="V141" s="662"/>
      <c r="W141" s="662"/>
      <c r="X141" s="662"/>
      <c r="Y141" s="662"/>
      <c r="Z141" s="662"/>
      <c r="AA141" s="662"/>
      <c r="AB141" s="662"/>
      <c r="AC141" s="662"/>
      <c r="AD141" s="662"/>
      <c r="AE141" s="662"/>
      <c r="AF141" s="662"/>
    </row>
    <row r="142" spans="18:32" s="80" customFormat="1">
      <c r="R142" s="70"/>
      <c r="S142" s="70"/>
      <c r="T142" s="70"/>
      <c r="V142" s="662"/>
      <c r="W142" s="662"/>
      <c r="X142" s="662"/>
      <c r="Y142" s="662"/>
      <c r="Z142" s="662"/>
      <c r="AA142" s="662"/>
      <c r="AB142" s="662"/>
      <c r="AC142" s="662"/>
      <c r="AD142" s="662"/>
      <c r="AE142" s="662"/>
      <c r="AF142" s="662"/>
    </row>
    <row r="143" spans="18:32" s="80" customFormat="1">
      <c r="R143" s="70"/>
      <c r="S143" s="70"/>
      <c r="T143" s="70"/>
      <c r="V143" s="662"/>
      <c r="W143" s="662"/>
      <c r="X143" s="662"/>
      <c r="Y143" s="662"/>
      <c r="Z143" s="662"/>
      <c r="AA143" s="662"/>
      <c r="AB143" s="662"/>
      <c r="AC143" s="662"/>
      <c r="AD143" s="662"/>
      <c r="AE143" s="662"/>
      <c r="AF143" s="662"/>
    </row>
    <row r="144" spans="18:32" s="80" customFormat="1">
      <c r="R144" s="70"/>
      <c r="S144" s="70"/>
      <c r="T144" s="70"/>
      <c r="V144" s="662"/>
      <c r="W144" s="662"/>
      <c r="X144" s="662"/>
      <c r="Y144" s="662"/>
      <c r="Z144" s="662"/>
      <c r="AA144" s="662"/>
      <c r="AB144" s="662"/>
      <c r="AC144" s="662"/>
      <c r="AD144" s="662"/>
      <c r="AE144" s="662"/>
      <c r="AF144" s="662"/>
    </row>
    <row r="145" spans="18:32" s="80" customFormat="1">
      <c r="R145" s="70"/>
      <c r="S145" s="70"/>
      <c r="T145" s="70"/>
      <c r="V145" s="662"/>
      <c r="W145" s="662"/>
      <c r="X145" s="662"/>
      <c r="Y145" s="662"/>
      <c r="Z145" s="662"/>
      <c r="AA145" s="662"/>
      <c r="AB145" s="662"/>
      <c r="AC145" s="662"/>
      <c r="AD145" s="662"/>
      <c r="AE145" s="662"/>
      <c r="AF145" s="662"/>
    </row>
    <row r="146" spans="18:32" s="80" customFormat="1">
      <c r="R146" s="70"/>
      <c r="S146" s="70"/>
      <c r="T146" s="70"/>
      <c r="V146" s="662"/>
      <c r="W146" s="662"/>
      <c r="X146" s="662"/>
      <c r="Y146" s="662"/>
      <c r="Z146" s="662"/>
      <c r="AA146" s="662"/>
      <c r="AB146" s="662"/>
      <c r="AC146" s="662"/>
      <c r="AD146" s="662"/>
      <c r="AE146" s="662"/>
      <c r="AF146" s="662"/>
    </row>
    <row r="147" spans="18:32" s="80" customFormat="1">
      <c r="R147" s="70"/>
      <c r="S147" s="70"/>
      <c r="T147" s="70"/>
      <c r="V147" s="662"/>
      <c r="W147" s="662"/>
      <c r="X147" s="662"/>
      <c r="Y147" s="662"/>
      <c r="Z147" s="662"/>
      <c r="AA147" s="662"/>
      <c r="AB147" s="662"/>
      <c r="AC147" s="662"/>
      <c r="AD147" s="662"/>
      <c r="AE147" s="662"/>
      <c r="AF147" s="662"/>
    </row>
    <row r="148" spans="18:32" s="80" customFormat="1">
      <c r="R148" s="70"/>
      <c r="S148" s="70"/>
      <c r="T148" s="70"/>
      <c r="V148" s="662"/>
      <c r="W148" s="662"/>
      <c r="X148" s="662"/>
      <c r="Y148" s="662"/>
      <c r="Z148" s="662"/>
      <c r="AA148" s="662"/>
      <c r="AB148" s="662"/>
      <c r="AC148" s="662"/>
      <c r="AD148" s="662"/>
      <c r="AE148" s="662"/>
      <c r="AF148" s="662"/>
    </row>
    <row r="149" spans="18:32" s="80" customFormat="1">
      <c r="R149" s="70"/>
      <c r="S149" s="70"/>
      <c r="T149" s="70"/>
      <c r="V149" s="662"/>
      <c r="W149" s="662"/>
      <c r="X149" s="662"/>
      <c r="Y149" s="662"/>
      <c r="Z149" s="662"/>
      <c r="AA149" s="662"/>
      <c r="AB149" s="662"/>
      <c r="AC149" s="662"/>
      <c r="AD149" s="662"/>
      <c r="AE149" s="662"/>
      <c r="AF149" s="662"/>
    </row>
    <row r="150" spans="18:32" s="80" customFormat="1">
      <c r="R150" s="70"/>
      <c r="S150" s="70"/>
      <c r="T150" s="70"/>
      <c r="V150" s="662"/>
      <c r="W150" s="662"/>
      <c r="X150" s="662"/>
      <c r="Y150" s="662"/>
      <c r="Z150" s="662"/>
      <c r="AA150" s="662"/>
      <c r="AB150" s="662"/>
      <c r="AC150" s="662"/>
      <c r="AD150" s="662"/>
      <c r="AE150" s="662"/>
      <c r="AF150" s="662"/>
    </row>
    <row r="151" spans="18:32" s="80" customFormat="1">
      <c r="R151" s="70"/>
      <c r="S151" s="70"/>
      <c r="T151" s="70"/>
      <c r="V151" s="662"/>
      <c r="W151" s="662"/>
      <c r="X151" s="662"/>
      <c r="Y151" s="662"/>
      <c r="Z151" s="662"/>
      <c r="AA151" s="662"/>
      <c r="AB151" s="662"/>
      <c r="AC151" s="662"/>
      <c r="AD151" s="662"/>
      <c r="AE151" s="662"/>
      <c r="AF151" s="662"/>
    </row>
    <row r="152" spans="18:32" s="80" customFormat="1">
      <c r="R152" s="70"/>
      <c r="S152" s="70"/>
      <c r="T152" s="70"/>
      <c r="V152" s="662"/>
      <c r="W152" s="662"/>
      <c r="X152" s="662"/>
      <c r="Y152" s="662"/>
      <c r="Z152" s="662"/>
      <c r="AA152" s="662"/>
      <c r="AB152" s="662"/>
      <c r="AC152" s="662"/>
      <c r="AD152" s="662"/>
      <c r="AE152" s="662"/>
      <c r="AF152" s="662"/>
    </row>
    <row r="153" spans="18:32" s="80" customFormat="1">
      <c r="R153" s="70"/>
      <c r="S153" s="70"/>
      <c r="T153" s="70"/>
      <c r="V153" s="662"/>
      <c r="W153" s="662"/>
      <c r="X153" s="662"/>
      <c r="Y153" s="662"/>
      <c r="Z153" s="662"/>
      <c r="AA153" s="662"/>
      <c r="AB153" s="662"/>
      <c r="AC153" s="662"/>
      <c r="AD153" s="662"/>
      <c r="AE153" s="662"/>
      <c r="AF153" s="662"/>
    </row>
    <row r="154" spans="18:32" s="80" customFormat="1">
      <c r="R154" s="70"/>
      <c r="S154" s="70"/>
      <c r="T154" s="70"/>
      <c r="V154" s="662"/>
      <c r="W154" s="662"/>
      <c r="X154" s="662"/>
      <c r="Y154" s="662"/>
      <c r="Z154" s="662"/>
      <c r="AA154" s="662"/>
      <c r="AB154" s="662"/>
      <c r="AC154" s="662"/>
      <c r="AD154" s="662"/>
      <c r="AE154" s="662"/>
      <c r="AF154" s="662"/>
    </row>
    <row r="155" spans="18:32" s="80" customFormat="1">
      <c r="R155" s="70"/>
      <c r="S155" s="70"/>
      <c r="T155" s="70"/>
      <c r="V155" s="662"/>
      <c r="W155" s="662"/>
      <c r="X155" s="662"/>
      <c r="Y155" s="662"/>
      <c r="Z155" s="662"/>
      <c r="AA155" s="662"/>
      <c r="AB155" s="662"/>
      <c r="AC155" s="662"/>
      <c r="AD155" s="662"/>
      <c r="AE155" s="662"/>
      <c r="AF155" s="662"/>
    </row>
    <row r="156" spans="18:32" s="80" customFormat="1">
      <c r="R156" s="70"/>
      <c r="S156" s="70"/>
      <c r="T156" s="70"/>
      <c r="V156" s="662"/>
      <c r="W156" s="662"/>
      <c r="X156" s="662"/>
      <c r="Y156" s="662"/>
      <c r="Z156" s="662"/>
      <c r="AA156" s="662"/>
      <c r="AB156" s="662"/>
      <c r="AC156" s="662"/>
      <c r="AD156" s="662"/>
      <c r="AE156" s="662"/>
      <c r="AF156" s="662"/>
    </row>
    <row r="157" spans="18:32" s="80" customFormat="1">
      <c r="R157" s="70"/>
      <c r="S157" s="70"/>
      <c r="T157" s="70"/>
      <c r="V157" s="662"/>
      <c r="W157" s="662"/>
      <c r="X157" s="662"/>
      <c r="Y157" s="662"/>
      <c r="Z157" s="662"/>
      <c r="AA157" s="662"/>
      <c r="AB157" s="662"/>
      <c r="AC157" s="662"/>
      <c r="AD157" s="662"/>
      <c r="AE157" s="662"/>
      <c r="AF157" s="662"/>
    </row>
    <row r="158" spans="18:32" s="80" customFormat="1">
      <c r="R158" s="70"/>
      <c r="S158" s="70"/>
      <c r="T158" s="70"/>
      <c r="V158" s="662"/>
      <c r="W158" s="662"/>
      <c r="X158" s="662"/>
      <c r="Y158" s="662"/>
      <c r="Z158" s="662"/>
      <c r="AA158" s="662"/>
      <c r="AB158" s="662"/>
      <c r="AC158" s="662"/>
      <c r="AD158" s="662"/>
      <c r="AE158" s="662"/>
      <c r="AF158" s="662"/>
    </row>
    <row r="159" spans="18:32" s="80" customFormat="1">
      <c r="R159" s="70"/>
      <c r="S159" s="70"/>
      <c r="T159" s="70"/>
      <c r="V159" s="662"/>
      <c r="W159" s="662"/>
      <c r="X159" s="662"/>
      <c r="Y159" s="662"/>
      <c r="Z159" s="662"/>
      <c r="AA159" s="662"/>
      <c r="AB159" s="662"/>
      <c r="AC159" s="662"/>
      <c r="AD159" s="662"/>
      <c r="AE159" s="662"/>
      <c r="AF159" s="662"/>
    </row>
    <row r="160" spans="18:32" s="80" customFormat="1">
      <c r="R160" s="70"/>
      <c r="S160" s="70"/>
      <c r="T160" s="70"/>
      <c r="V160" s="662"/>
      <c r="W160" s="662"/>
      <c r="X160" s="662"/>
      <c r="Y160" s="662"/>
      <c r="Z160" s="662"/>
      <c r="AA160" s="662"/>
      <c r="AB160" s="662"/>
      <c r="AC160" s="662"/>
      <c r="AD160" s="662"/>
      <c r="AE160" s="662"/>
      <c r="AF160" s="662"/>
    </row>
    <row r="161" spans="18:32" s="80" customFormat="1">
      <c r="R161" s="70"/>
      <c r="S161" s="70"/>
      <c r="T161" s="70"/>
      <c r="V161" s="662"/>
      <c r="W161" s="662"/>
      <c r="X161" s="662"/>
      <c r="Y161" s="662"/>
      <c r="Z161" s="662"/>
      <c r="AA161" s="662"/>
      <c r="AB161" s="662"/>
      <c r="AC161" s="662"/>
      <c r="AD161" s="662"/>
      <c r="AE161" s="662"/>
      <c r="AF161" s="662"/>
    </row>
    <row r="162" spans="18:32" s="80" customFormat="1">
      <c r="R162" s="70"/>
      <c r="S162" s="70"/>
      <c r="T162" s="70"/>
      <c r="V162" s="662"/>
      <c r="W162" s="662"/>
      <c r="X162" s="662"/>
      <c r="Y162" s="662"/>
      <c r="Z162" s="662"/>
      <c r="AA162" s="662"/>
      <c r="AB162" s="662"/>
      <c r="AC162" s="662"/>
      <c r="AD162" s="662"/>
      <c r="AE162" s="662"/>
      <c r="AF162" s="662"/>
    </row>
    <row r="163" spans="18:32" s="80" customFormat="1">
      <c r="R163" s="70"/>
      <c r="S163" s="70"/>
      <c r="T163" s="70"/>
      <c r="V163" s="662"/>
      <c r="W163" s="662"/>
      <c r="X163" s="662"/>
      <c r="Y163" s="662"/>
      <c r="Z163" s="662"/>
      <c r="AA163" s="662"/>
      <c r="AB163" s="662"/>
      <c r="AC163" s="662"/>
      <c r="AD163" s="662"/>
      <c r="AE163" s="662"/>
      <c r="AF163" s="662"/>
    </row>
    <row r="164" spans="18:32" s="80" customFormat="1">
      <c r="R164" s="70"/>
      <c r="S164" s="70"/>
      <c r="T164" s="70"/>
      <c r="V164" s="662"/>
      <c r="W164" s="662"/>
      <c r="X164" s="662"/>
      <c r="Y164" s="662"/>
      <c r="Z164" s="662"/>
      <c r="AA164" s="662"/>
      <c r="AB164" s="662"/>
      <c r="AC164" s="662"/>
      <c r="AD164" s="662"/>
      <c r="AE164" s="662"/>
      <c r="AF164" s="662"/>
    </row>
    <row r="165" spans="18:32" s="80" customFormat="1">
      <c r="R165" s="70"/>
      <c r="S165" s="70"/>
      <c r="T165" s="70"/>
      <c r="V165" s="662"/>
      <c r="W165" s="662"/>
      <c r="X165" s="662"/>
      <c r="Y165" s="662"/>
      <c r="Z165" s="662"/>
      <c r="AA165" s="662"/>
      <c r="AB165" s="662"/>
      <c r="AC165" s="662"/>
      <c r="AD165" s="662"/>
      <c r="AE165" s="662"/>
      <c r="AF165" s="662"/>
    </row>
    <row r="166" spans="18:32" s="80" customFormat="1">
      <c r="R166" s="70"/>
      <c r="S166" s="70"/>
      <c r="T166" s="70"/>
      <c r="V166" s="662"/>
      <c r="W166" s="662"/>
      <c r="X166" s="662"/>
      <c r="Y166" s="662"/>
      <c r="Z166" s="662"/>
      <c r="AA166" s="662"/>
      <c r="AB166" s="662"/>
      <c r="AC166" s="662"/>
      <c r="AD166" s="662"/>
      <c r="AE166" s="662"/>
      <c r="AF166" s="662"/>
    </row>
    <row r="167" spans="18:32" s="80" customFormat="1">
      <c r="R167" s="70"/>
      <c r="S167" s="70"/>
      <c r="T167" s="70"/>
      <c r="V167" s="662"/>
      <c r="W167" s="662"/>
      <c r="X167" s="662"/>
      <c r="Y167" s="662"/>
      <c r="Z167" s="662"/>
      <c r="AA167" s="662"/>
      <c r="AB167" s="662"/>
      <c r="AC167" s="662"/>
      <c r="AD167" s="662"/>
      <c r="AE167" s="662"/>
      <c r="AF167" s="662"/>
    </row>
    <row r="168" spans="18:32" s="80" customFormat="1">
      <c r="R168" s="70"/>
      <c r="S168" s="70"/>
      <c r="T168" s="70"/>
      <c r="V168" s="662"/>
      <c r="W168" s="662"/>
      <c r="X168" s="662"/>
      <c r="Y168" s="662"/>
      <c r="Z168" s="662"/>
      <c r="AA168" s="662"/>
      <c r="AB168" s="662"/>
      <c r="AC168" s="662"/>
      <c r="AD168" s="662"/>
      <c r="AE168" s="662"/>
      <c r="AF168" s="662"/>
    </row>
    <row r="169" spans="18:32" s="80" customFormat="1">
      <c r="R169" s="70"/>
      <c r="S169" s="70"/>
      <c r="T169" s="70"/>
      <c r="V169" s="662"/>
      <c r="W169" s="662"/>
      <c r="X169" s="662"/>
      <c r="Y169" s="662"/>
      <c r="Z169" s="662"/>
      <c r="AA169" s="662"/>
      <c r="AB169" s="662"/>
      <c r="AC169" s="662"/>
      <c r="AD169" s="662"/>
      <c r="AE169" s="662"/>
      <c r="AF169" s="662"/>
    </row>
    <row r="170" spans="18:32" s="80" customFormat="1">
      <c r="R170" s="70"/>
      <c r="S170" s="70"/>
      <c r="T170" s="70"/>
      <c r="V170" s="662"/>
      <c r="W170" s="662"/>
      <c r="X170" s="662"/>
      <c r="Y170" s="662"/>
      <c r="Z170" s="662"/>
      <c r="AA170" s="662"/>
      <c r="AB170" s="662"/>
      <c r="AC170" s="662"/>
      <c r="AD170" s="662"/>
      <c r="AE170" s="662"/>
      <c r="AF170" s="662"/>
    </row>
    <row r="171" spans="18:32" s="80" customFormat="1">
      <c r="R171" s="70"/>
      <c r="S171" s="70"/>
      <c r="T171" s="70"/>
      <c r="V171" s="662"/>
      <c r="W171" s="662"/>
      <c r="X171" s="662"/>
      <c r="Y171" s="662"/>
      <c r="Z171" s="662"/>
      <c r="AA171" s="662"/>
      <c r="AB171" s="662"/>
      <c r="AC171" s="662"/>
      <c r="AD171" s="662"/>
      <c r="AE171" s="662"/>
      <c r="AF171" s="662"/>
    </row>
    <row r="172" spans="18:32" s="80" customFormat="1">
      <c r="R172" s="70"/>
      <c r="S172" s="70"/>
      <c r="T172" s="70"/>
      <c r="V172" s="662"/>
      <c r="W172" s="662"/>
      <c r="X172" s="662"/>
      <c r="Y172" s="662"/>
      <c r="Z172" s="662"/>
      <c r="AA172" s="662"/>
      <c r="AB172" s="662"/>
      <c r="AC172" s="662"/>
      <c r="AD172" s="662"/>
      <c r="AE172" s="662"/>
      <c r="AF172" s="662"/>
    </row>
    <row r="173" spans="18:32" s="80" customFormat="1">
      <c r="R173" s="70"/>
      <c r="S173" s="70"/>
      <c r="T173" s="70"/>
      <c r="V173" s="662"/>
      <c r="W173" s="662"/>
      <c r="X173" s="662"/>
      <c r="Y173" s="662"/>
      <c r="Z173" s="662"/>
      <c r="AA173" s="662"/>
      <c r="AB173" s="662"/>
      <c r="AC173" s="662"/>
      <c r="AD173" s="662"/>
      <c r="AE173" s="662"/>
      <c r="AF173" s="662"/>
    </row>
    <row r="174" spans="18:32" s="80" customFormat="1">
      <c r="R174" s="70"/>
      <c r="S174" s="70"/>
      <c r="T174" s="70"/>
      <c r="V174" s="662"/>
      <c r="W174" s="662"/>
      <c r="X174" s="662"/>
      <c r="Y174" s="662"/>
      <c r="Z174" s="662"/>
      <c r="AA174" s="662"/>
      <c r="AB174" s="662"/>
      <c r="AC174" s="662"/>
      <c r="AD174" s="662"/>
      <c r="AE174" s="662"/>
      <c r="AF174" s="662"/>
    </row>
    <row r="175" spans="18:32" s="80" customFormat="1">
      <c r="R175" s="70"/>
      <c r="S175" s="70"/>
      <c r="T175" s="70"/>
      <c r="V175" s="662"/>
      <c r="W175" s="662"/>
      <c r="X175" s="662"/>
      <c r="Y175" s="662"/>
      <c r="Z175" s="662"/>
      <c r="AA175" s="662"/>
      <c r="AB175" s="662"/>
      <c r="AC175" s="662"/>
      <c r="AD175" s="662"/>
      <c r="AE175" s="662"/>
      <c r="AF175" s="662"/>
    </row>
    <row r="176" spans="18:32" s="80" customFormat="1">
      <c r="R176" s="70"/>
      <c r="S176" s="70"/>
      <c r="T176" s="70"/>
      <c r="V176" s="662"/>
      <c r="W176" s="662"/>
      <c r="X176" s="662"/>
      <c r="Y176" s="662"/>
      <c r="Z176" s="662"/>
      <c r="AA176" s="662"/>
      <c r="AB176" s="662"/>
      <c r="AC176" s="662"/>
      <c r="AD176" s="662"/>
      <c r="AE176" s="662"/>
      <c r="AF176" s="662"/>
    </row>
    <row r="177" spans="18:32" s="80" customFormat="1">
      <c r="R177" s="70"/>
      <c r="S177" s="70"/>
      <c r="T177" s="70"/>
      <c r="V177" s="662"/>
      <c r="W177" s="662"/>
      <c r="X177" s="662"/>
      <c r="Y177" s="662"/>
      <c r="Z177" s="662"/>
      <c r="AA177" s="662"/>
      <c r="AB177" s="662"/>
      <c r="AC177" s="662"/>
      <c r="AD177" s="662"/>
      <c r="AE177" s="662"/>
      <c r="AF177" s="662"/>
    </row>
    <row r="178" spans="18:32" s="80" customFormat="1">
      <c r="R178" s="70"/>
      <c r="S178" s="70"/>
      <c r="T178" s="70"/>
      <c r="V178" s="662"/>
      <c r="W178" s="662"/>
      <c r="X178" s="662"/>
      <c r="Y178" s="662"/>
      <c r="Z178" s="662"/>
      <c r="AA178" s="662"/>
      <c r="AB178" s="662"/>
      <c r="AC178" s="662"/>
      <c r="AD178" s="662"/>
      <c r="AE178" s="662"/>
      <c r="AF178" s="662"/>
    </row>
    <row r="179" spans="18:32" s="80" customFormat="1">
      <c r="R179" s="70"/>
      <c r="S179" s="70"/>
      <c r="T179" s="70"/>
      <c r="V179" s="662"/>
      <c r="W179" s="662"/>
      <c r="X179" s="662"/>
      <c r="Y179" s="662"/>
      <c r="Z179" s="662"/>
      <c r="AA179" s="662"/>
      <c r="AB179" s="662"/>
      <c r="AC179" s="662"/>
      <c r="AD179" s="662"/>
      <c r="AE179" s="662"/>
      <c r="AF179" s="662"/>
    </row>
    <row r="180" spans="18:32" s="80" customFormat="1">
      <c r="R180" s="70"/>
      <c r="S180" s="70"/>
      <c r="T180" s="70"/>
      <c r="V180" s="662"/>
      <c r="W180" s="662"/>
      <c r="X180" s="662"/>
      <c r="Y180" s="662"/>
      <c r="Z180" s="662"/>
      <c r="AA180" s="662"/>
      <c r="AB180" s="662"/>
      <c r="AC180" s="662"/>
      <c r="AD180" s="662"/>
      <c r="AE180" s="662"/>
      <c r="AF180" s="662"/>
    </row>
    <row r="181" spans="18:32" s="80" customFormat="1">
      <c r="R181" s="70"/>
      <c r="S181" s="70"/>
      <c r="T181" s="70"/>
      <c r="V181" s="662"/>
      <c r="W181" s="662"/>
      <c r="X181" s="662"/>
      <c r="Y181" s="662"/>
      <c r="Z181" s="662"/>
      <c r="AA181" s="662"/>
      <c r="AB181" s="662"/>
      <c r="AC181" s="662"/>
      <c r="AD181" s="662"/>
      <c r="AE181" s="662"/>
      <c r="AF181" s="662"/>
    </row>
    <row r="182" spans="18:32" s="80" customFormat="1">
      <c r="R182" s="70"/>
      <c r="S182" s="70"/>
      <c r="T182" s="70"/>
      <c r="V182" s="662"/>
      <c r="W182" s="662"/>
      <c r="X182" s="662"/>
      <c r="Y182" s="662"/>
      <c r="Z182" s="662"/>
      <c r="AA182" s="662"/>
      <c r="AB182" s="662"/>
      <c r="AC182" s="662"/>
      <c r="AD182" s="662"/>
      <c r="AE182" s="662"/>
      <c r="AF182" s="662"/>
    </row>
    <row r="183" spans="18:32" s="80" customFormat="1">
      <c r="R183" s="70"/>
      <c r="S183" s="70"/>
      <c r="T183" s="70"/>
      <c r="V183" s="662"/>
      <c r="W183" s="662"/>
      <c r="X183" s="662"/>
      <c r="Y183" s="662"/>
      <c r="Z183" s="662"/>
      <c r="AA183" s="662"/>
      <c r="AB183" s="662"/>
      <c r="AC183" s="662"/>
      <c r="AD183" s="662"/>
      <c r="AE183" s="662"/>
      <c r="AF183" s="662"/>
    </row>
    <row r="184" spans="18:32" s="80" customFormat="1">
      <c r="R184" s="70"/>
      <c r="S184" s="70"/>
      <c r="T184" s="70"/>
      <c r="V184" s="662"/>
      <c r="W184" s="662"/>
      <c r="X184" s="662"/>
      <c r="Y184" s="662"/>
      <c r="Z184" s="662"/>
      <c r="AA184" s="662"/>
      <c r="AB184" s="662"/>
      <c r="AC184" s="662"/>
      <c r="AD184" s="662"/>
      <c r="AE184" s="662"/>
      <c r="AF184" s="662"/>
    </row>
    <row r="185" spans="18:32" s="80" customFormat="1">
      <c r="R185" s="70"/>
      <c r="S185" s="70"/>
      <c r="T185" s="70"/>
      <c r="V185" s="662"/>
      <c r="W185" s="662"/>
      <c r="X185" s="662"/>
      <c r="Y185" s="662"/>
      <c r="Z185" s="662"/>
      <c r="AA185" s="662"/>
      <c r="AB185" s="662"/>
      <c r="AC185" s="662"/>
      <c r="AD185" s="662"/>
      <c r="AE185" s="662"/>
      <c r="AF185" s="662"/>
    </row>
    <row r="186" spans="18:32" s="80" customFormat="1">
      <c r="R186" s="70"/>
      <c r="S186" s="70"/>
      <c r="T186" s="70"/>
      <c r="V186" s="662"/>
      <c r="W186" s="662"/>
      <c r="X186" s="662"/>
      <c r="Y186" s="662"/>
      <c r="Z186" s="662"/>
      <c r="AA186" s="662"/>
      <c r="AB186" s="662"/>
      <c r="AC186" s="662"/>
      <c r="AD186" s="662"/>
      <c r="AE186" s="662"/>
      <c r="AF186" s="662"/>
    </row>
    <row r="187" spans="18:32" s="80" customFormat="1">
      <c r="R187" s="70"/>
      <c r="S187" s="70"/>
      <c r="T187" s="70"/>
      <c r="V187" s="662"/>
      <c r="W187" s="662"/>
      <c r="X187" s="662"/>
      <c r="Y187" s="662"/>
      <c r="Z187" s="662"/>
      <c r="AA187" s="662"/>
      <c r="AB187" s="662"/>
      <c r="AC187" s="662"/>
      <c r="AD187" s="662"/>
      <c r="AE187" s="662"/>
      <c r="AF187" s="662"/>
    </row>
    <row r="188" spans="18:32" s="80" customFormat="1">
      <c r="R188" s="70"/>
      <c r="S188" s="70"/>
      <c r="T188" s="70"/>
      <c r="V188" s="662"/>
      <c r="W188" s="662"/>
      <c r="X188" s="662"/>
      <c r="Y188" s="662"/>
      <c r="Z188" s="662"/>
      <c r="AA188" s="662"/>
      <c r="AB188" s="662"/>
      <c r="AC188" s="662"/>
      <c r="AD188" s="662"/>
      <c r="AE188" s="662"/>
      <c r="AF188" s="662"/>
    </row>
    <row r="189" spans="18:32" s="80" customFormat="1">
      <c r="R189" s="70"/>
      <c r="S189" s="70"/>
      <c r="T189" s="70"/>
      <c r="V189" s="662"/>
      <c r="W189" s="662"/>
      <c r="X189" s="662"/>
      <c r="Y189" s="662"/>
      <c r="Z189" s="662"/>
      <c r="AA189" s="662"/>
      <c r="AB189" s="662"/>
      <c r="AC189" s="662"/>
      <c r="AD189" s="662"/>
      <c r="AE189" s="662"/>
      <c r="AF189" s="662"/>
    </row>
    <row r="190" spans="18:32" s="80" customFormat="1">
      <c r="R190" s="70"/>
      <c r="S190" s="70"/>
      <c r="T190" s="70"/>
      <c r="V190" s="662"/>
      <c r="W190" s="662"/>
      <c r="X190" s="662"/>
      <c r="Y190" s="662"/>
      <c r="Z190" s="662"/>
      <c r="AA190" s="662"/>
      <c r="AB190" s="662"/>
      <c r="AC190" s="662"/>
      <c r="AD190" s="662"/>
      <c r="AE190" s="662"/>
      <c r="AF190" s="662"/>
    </row>
    <row r="191" spans="18:32" s="80" customFormat="1">
      <c r="R191" s="70"/>
      <c r="S191" s="70"/>
      <c r="T191" s="70"/>
      <c r="V191" s="662"/>
      <c r="W191" s="662"/>
      <c r="X191" s="662"/>
      <c r="Y191" s="662"/>
      <c r="Z191" s="662"/>
      <c r="AA191" s="662"/>
      <c r="AB191" s="662"/>
      <c r="AC191" s="662"/>
      <c r="AD191" s="662"/>
      <c r="AE191" s="662"/>
      <c r="AF191" s="662"/>
    </row>
    <row r="192" spans="18:32" s="80" customFormat="1">
      <c r="R192" s="70"/>
      <c r="S192" s="70"/>
      <c r="T192" s="70"/>
      <c r="V192" s="662"/>
      <c r="W192" s="662"/>
      <c r="X192" s="662"/>
      <c r="Y192" s="662"/>
      <c r="Z192" s="662"/>
      <c r="AA192" s="662"/>
      <c r="AB192" s="662"/>
      <c r="AC192" s="662"/>
      <c r="AD192" s="662"/>
      <c r="AE192" s="662"/>
      <c r="AF192" s="662"/>
    </row>
    <row r="193" spans="18:32" s="80" customFormat="1">
      <c r="R193" s="70"/>
      <c r="S193" s="70"/>
      <c r="T193" s="70"/>
      <c r="V193" s="662"/>
      <c r="W193" s="662"/>
      <c r="X193" s="662"/>
      <c r="Y193" s="662"/>
      <c r="Z193" s="662"/>
      <c r="AA193" s="662"/>
      <c r="AB193" s="662"/>
      <c r="AC193" s="662"/>
      <c r="AD193" s="662"/>
      <c r="AE193" s="662"/>
      <c r="AF193" s="662"/>
    </row>
    <row r="194" spans="18:32" s="80" customFormat="1">
      <c r="R194" s="70"/>
      <c r="S194" s="70"/>
      <c r="T194" s="70"/>
      <c r="V194" s="662"/>
      <c r="W194" s="662"/>
      <c r="X194" s="662"/>
      <c r="Y194" s="662"/>
      <c r="Z194" s="662"/>
      <c r="AA194" s="662"/>
      <c r="AB194" s="662"/>
      <c r="AC194" s="662"/>
      <c r="AD194" s="662"/>
      <c r="AE194" s="662"/>
      <c r="AF194" s="662"/>
    </row>
    <row r="195" spans="18:32" s="80" customFormat="1">
      <c r="R195" s="70"/>
      <c r="S195" s="70"/>
      <c r="T195" s="70"/>
      <c r="V195" s="662"/>
      <c r="W195" s="662"/>
      <c r="X195" s="662"/>
      <c r="Y195" s="662"/>
      <c r="Z195" s="662"/>
      <c r="AA195" s="662"/>
      <c r="AB195" s="662"/>
      <c r="AC195" s="662"/>
      <c r="AD195" s="662"/>
      <c r="AE195" s="662"/>
      <c r="AF195" s="662"/>
    </row>
    <row r="196" spans="18:32" s="80" customFormat="1">
      <c r="R196" s="70"/>
      <c r="S196" s="70"/>
      <c r="T196" s="70"/>
      <c r="V196" s="662"/>
      <c r="W196" s="662"/>
      <c r="X196" s="662"/>
      <c r="Y196" s="662"/>
      <c r="Z196" s="662"/>
      <c r="AA196" s="662"/>
      <c r="AB196" s="662"/>
      <c r="AC196" s="662"/>
      <c r="AD196" s="662"/>
      <c r="AE196" s="662"/>
      <c r="AF196" s="662"/>
    </row>
    <row r="197" spans="18:32" s="80" customFormat="1">
      <c r="R197" s="70"/>
      <c r="S197" s="70"/>
      <c r="T197" s="70"/>
      <c r="V197" s="662"/>
      <c r="W197" s="662"/>
      <c r="X197" s="662"/>
      <c r="Y197" s="662"/>
      <c r="Z197" s="662"/>
      <c r="AA197" s="662"/>
      <c r="AB197" s="662"/>
      <c r="AC197" s="662"/>
      <c r="AD197" s="662"/>
      <c r="AE197" s="662"/>
      <c r="AF197" s="662"/>
    </row>
    <row r="198" spans="18:32" s="80" customFormat="1">
      <c r="R198" s="70"/>
      <c r="S198" s="70"/>
      <c r="T198" s="70"/>
      <c r="V198" s="662"/>
      <c r="W198" s="662"/>
      <c r="X198" s="662"/>
      <c r="Y198" s="662"/>
      <c r="Z198" s="662"/>
      <c r="AA198" s="662"/>
      <c r="AB198" s="662"/>
      <c r="AC198" s="662"/>
      <c r="AD198" s="662"/>
      <c r="AE198" s="662"/>
      <c r="AF198" s="662"/>
    </row>
    <row r="199" spans="18:32" s="80" customFormat="1">
      <c r="R199" s="70"/>
      <c r="S199" s="70"/>
      <c r="T199" s="70"/>
      <c r="V199" s="662"/>
      <c r="W199" s="662"/>
      <c r="X199" s="662"/>
      <c r="Y199" s="662"/>
      <c r="Z199" s="662"/>
      <c r="AA199" s="662"/>
      <c r="AB199" s="662"/>
      <c r="AC199" s="662"/>
      <c r="AD199" s="662"/>
      <c r="AE199" s="662"/>
      <c r="AF199" s="662"/>
    </row>
    <row r="200" spans="18:32" s="80" customFormat="1">
      <c r="R200" s="70"/>
      <c r="S200" s="70"/>
      <c r="T200" s="70"/>
      <c r="V200" s="662"/>
      <c r="W200" s="662"/>
      <c r="X200" s="662"/>
      <c r="Y200" s="662"/>
      <c r="Z200" s="662"/>
      <c r="AA200" s="662"/>
      <c r="AB200" s="662"/>
      <c r="AC200" s="662"/>
      <c r="AD200" s="662"/>
      <c r="AE200" s="662"/>
      <c r="AF200" s="662"/>
    </row>
    <row r="201" spans="18:32" s="80" customFormat="1">
      <c r="R201" s="70"/>
      <c r="S201" s="70"/>
      <c r="T201" s="70"/>
      <c r="V201" s="662"/>
      <c r="W201" s="662"/>
      <c r="X201" s="662"/>
      <c r="Y201" s="662"/>
      <c r="Z201" s="662"/>
      <c r="AA201" s="662"/>
      <c r="AB201" s="662"/>
      <c r="AC201" s="662"/>
      <c r="AD201" s="662"/>
      <c r="AE201" s="662"/>
      <c r="AF201" s="662"/>
    </row>
    <row r="202" spans="18:32" s="80" customFormat="1">
      <c r="R202" s="70"/>
      <c r="S202" s="70"/>
      <c r="T202" s="70"/>
      <c r="V202" s="662"/>
      <c r="W202" s="662"/>
      <c r="X202" s="662"/>
      <c r="Y202" s="662"/>
      <c r="Z202" s="662"/>
      <c r="AA202" s="662"/>
      <c r="AB202" s="662"/>
      <c r="AC202" s="662"/>
      <c r="AD202" s="662"/>
      <c r="AE202" s="662"/>
      <c r="AF202" s="662"/>
    </row>
    <row r="203" spans="18:32" s="80" customFormat="1">
      <c r="R203" s="70"/>
      <c r="S203" s="70"/>
      <c r="T203" s="70"/>
      <c r="V203" s="662"/>
      <c r="W203" s="662"/>
      <c r="X203" s="662"/>
      <c r="Y203" s="662"/>
      <c r="Z203" s="662"/>
      <c r="AA203" s="662"/>
      <c r="AB203" s="662"/>
      <c r="AC203" s="662"/>
      <c r="AD203" s="662"/>
      <c r="AE203" s="662"/>
      <c r="AF203" s="662"/>
    </row>
    <row r="204" spans="18:32" s="80" customFormat="1">
      <c r="R204" s="70"/>
      <c r="S204" s="70"/>
      <c r="T204" s="70"/>
      <c r="V204" s="662"/>
      <c r="W204" s="662"/>
      <c r="X204" s="662"/>
      <c r="Y204" s="662"/>
      <c r="Z204" s="662"/>
      <c r="AA204" s="662"/>
      <c r="AB204" s="662"/>
      <c r="AC204" s="662"/>
      <c r="AD204" s="662"/>
      <c r="AE204" s="662"/>
      <c r="AF204" s="662"/>
    </row>
    <row r="205" spans="18:32" s="80" customFormat="1">
      <c r="R205" s="70"/>
      <c r="S205" s="70"/>
      <c r="T205" s="70"/>
      <c r="V205" s="662"/>
      <c r="W205" s="662"/>
      <c r="X205" s="662"/>
      <c r="Y205" s="662"/>
      <c r="Z205" s="662"/>
      <c r="AA205" s="662"/>
      <c r="AB205" s="662"/>
      <c r="AC205" s="662"/>
      <c r="AD205" s="662"/>
      <c r="AE205" s="662"/>
      <c r="AF205" s="662"/>
    </row>
    <row r="206" spans="18:32" s="80" customFormat="1">
      <c r="R206" s="70"/>
      <c r="S206" s="70"/>
      <c r="T206" s="70"/>
      <c r="V206" s="662"/>
      <c r="W206" s="662"/>
      <c r="X206" s="662"/>
      <c r="Y206" s="662"/>
      <c r="Z206" s="662"/>
      <c r="AA206" s="662"/>
      <c r="AB206" s="662"/>
      <c r="AC206" s="662"/>
      <c r="AD206" s="662"/>
      <c r="AE206" s="662"/>
      <c r="AF206" s="662"/>
    </row>
    <row r="207" spans="18:32" s="80" customFormat="1">
      <c r="R207" s="70"/>
      <c r="S207" s="70"/>
      <c r="T207" s="70"/>
      <c r="V207" s="662"/>
      <c r="W207" s="662"/>
      <c r="X207" s="662"/>
      <c r="Y207" s="662"/>
      <c r="Z207" s="662"/>
      <c r="AA207" s="662"/>
      <c r="AB207" s="662"/>
      <c r="AC207" s="662"/>
      <c r="AD207" s="662"/>
      <c r="AE207" s="662"/>
      <c r="AF207" s="662"/>
    </row>
    <row r="208" spans="18:32" s="80" customFormat="1">
      <c r="R208" s="70"/>
      <c r="S208" s="70"/>
      <c r="T208" s="70"/>
      <c r="V208" s="662"/>
      <c r="W208" s="662"/>
      <c r="X208" s="662"/>
      <c r="Y208" s="662"/>
      <c r="Z208" s="662"/>
      <c r="AA208" s="662"/>
      <c r="AB208" s="662"/>
      <c r="AC208" s="662"/>
      <c r="AD208" s="662"/>
      <c r="AE208" s="662"/>
      <c r="AF208" s="662"/>
    </row>
    <row r="209" spans="18:32" s="80" customFormat="1">
      <c r="R209" s="70"/>
      <c r="S209" s="70"/>
      <c r="T209" s="70"/>
      <c r="V209" s="662"/>
      <c r="W209" s="662"/>
      <c r="X209" s="662"/>
      <c r="Y209" s="662"/>
      <c r="Z209" s="662"/>
      <c r="AA209" s="662"/>
      <c r="AB209" s="662"/>
      <c r="AC209" s="662"/>
      <c r="AD209" s="662"/>
      <c r="AE209" s="662"/>
      <c r="AF209" s="662"/>
    </row>
    <row r="210" spans="18:32" s="80" customFormat="1">
      <c r="R210" s="70"/>
      <c r="S210" s="70"/>
      <c r="T210" s="70"/>
      <c r="V210" s="662"/>
      <c r="W210" s="662"/>
      <c r="X210" s="662"/>
      <c r="Y210" s="662"/>
      <c r="Z210" s="662"/>
      <c r="AA210" s="662"/>
      <c r="AB210" s="662"/>
      <c r="AC210" s="662"/>
      <c r="AD210" s="662"/>
      <c r="AE210" s="662"/>
      <c r="AF210" s="662"/>
    </row>
    <row r="211" spans="18:32" s="80" customFormat="1">
      <c r="R211" s="70"/>
      <c r="S211" s="70"/>
      <c r="T211" s="70"/>
      <c r="V211" s="662"/>
      <c r="W211" s="662"/>
      <c r="X211" s="662"/>
      <c r="Y211" s="662"/>
      <c r="Z211" s="662"/>
      <c r="AA211" s="662"/>
      <c r="AB211" s="662"/>
      <c r="AC211" s="662"/>
      <c r="AD211" s="662"/>
      <c r="AE211" s="662"/>
      <c r="AF211" s="662"/>
    </row>
    <row r="212" spans="18:32" s="80" customFormat="1">
      <c r="R212" s="70"/>
      <c r="S212" s="70"/>
      <c r="T212" s="70"/>
      <c r="V212" s="662"/>
      <c r="W212" s="662"/>
      <c r="X212" s="662"/>
      <c r="Y212" s="662"/>
      <c r="Z212" s="662"/>
      <c r="AA212" s="662"/>
      <c r="AB212" s="662"/>
      <c r="AC212" s="662"/>
      <c r="AD212" s="662"/>
      <c r="AE212" s="662"/>
      <c r="AF212" s="662"/>
    </row>
    <row r="213" spans="18:32" s="80" customFormat="1">
      <c r="R213" s="70"/>
      <c r="S213" s="70"/>
      <c r="T213" s="70"/>
      <c r="V213" s="662"/>
      <c r="W213" s="662"/>
      <c r="X213" s="662"/>
      <c r="Y213" s="662"/>
      <c r="Z213" s="662"/>
      <c r="AA213" s="662"/>
      <c r="AB213" s="662"/>
      <c r="AC213" s="662"/>
      <c r="AD213" s="662"/>
      <c r="AE213" s="662"/>
      <c r="AF213" s="662"/>
    </row>
    <row r="214" spans="18:32" s="80" customFormat="1">
      <c r="R214" s="70"/>
      <c r="S214" s="70"/>
      <c r="T214" s="70"/>
      <c r="V214" s="662"/>
      <c r="W214" s="662"/>
      <c r="X214" s="662"/>
      <c r="Y214" s="662"/>
      <c r="Z214" s="662"/>
      <c r="AA214" s="662"/>
      <c r="AB214" s="662"/>
      <c r="AC214" s="662"/>
      <c r="AD214" s="662"/>
      <c r="AE214" s="662"/>
      <c r="AF214" s="662"/>
    </row>
    <row r="215" spans="18:32" s="80" customFormat="1">
      <c r="R215" s="70"/>
      <c r="S215" s="70"/>
      <c r="T215" s="70"/>
      <c r="V215" s="662"/>
      <c r="W215" s="662"/>
      <c r="X215" s="662"/>
      <c r="Y215" s="662"/>
      <c r="Z215" s="662"/>
      <c r="AA215" s="662"/>
      <c r="AB215" s="662"/>
      <c r="AC215" s="662"/>
      <c r="AD215" s="662"/>
      <c r="AE215" s="662"/>
      <c r="AF215" s="662"/>
    </row>
    <row r="216" spans="18:32" s="80" customFormat="1">
      <c r="R216" s="70"/>
      <c r="S216" s="70"/>
      <c r="T216" s="70"/>
      <c r="V216" s="662"/>
      <c r="W216" s="662"/>
      <c r="X216" s="662"/>
      <c r="Y216" s="662"/>
      <c r="Z216" s="662"/>
      <c r="AA216" s="662"/>
      <c r="AB216" s="662"/>
      <c r="AC216" s="662"/>
      <c r="AD216" s="662"/>
      <c r="AE216" s="662"/>
      <c r="AF216" s="662"/>
    </row>
    <row r="217" spans="18:32" s="80" customFormat="1">
      <c r="R217" s="70"/>
      <c r="S217" s="70"/>
      <c r="T217" s="70"/>
      <c r="V217" s="662"/>
      <c r="W217" s="662"/>
      <c r="X217" s="662"/>
      <c r="Y217" s="662"/>
      <c r="Z217" s="662"/>
      <c r="AA217" s="662"/>
      <c r="AB217" s="662"/>
      <c r="AC217" s="662"/>
      <c r="AD217" s="662"/>
      <c r="AE217" s="662"/>
      <c r="AF217" s="662"/>
    </row>
    <row r="218" spans="18:32" s="80" customFormat="1">
      <c r="R218" s="70"/>
      <c r="S218" s="70"/>
      <c r="T218" s="70"/>
      <c r="V218" s="662"/>
      <c r="W218" s="662"/>
      <c r="X218" s="662"/>
      <c r="Y218" s="662"/>
      <c r="Z218" s="662"/>
      <c r="AA218" s="662"/>
      <c r="AB218" s="662"/>
      <c r="AC218" s="662"/>
      <c r="AD218" s="662"/>
      <c r="AE218" s="662"/>
      <c r="AF218" s="662"/>
    </row>
    <row r="219" spans="18:32" s="80" customFormat="1">
      <c r="R219" s="70"/>
      <c r="S219" s="70"/>
      <c r="T219" s="70"/>
      <c r="V219" s="662"/>
      <c r="W219" s="662"/>
      <c r="X219" s="662"/>
      <c r="Y219" s="662"/>
      <c r="Z219" s="662"/>
      <c r="AA219" s="662"/>
      <c r="AB219" s="662"/>
      <c r="AC219" s="662"/>
      <c r="AD219" s="662"/>
      <c r="AE219" s="662"/>
      <c r="AF219" s="662"/>
    </row>
    <row r="220" spans="18:32" s="80" customFormat="1">
      <c r="R220" s="70"/>
      <c r="S220" s="70"/>
      <c r="T220" s="70"/>
      <c r="V220" s="662"/>
      <c r="W220" s="662"/>
      <c r="X220" s="662"/>
      <c r="Y220" s="662"/>
      <c r="Z220" s="662"/>
      <c r="AA220" s="662"/>
      <c r="AB220" s="662"/>
      <c r="AC220" s="662"/>
      <c r="AD220" s="662"/>
      <c r="AE220" s="662"/>
      <c r="AF220" s="662"/>
    </row>
    <row r="221" spans="18:32" s="80" customFormat="1">
      <c r="R221" s="70"/>
      <c r="S221" s="70"/>
      <c r="T221" s="70"/>
      <c r="V221" s="662"/>
      <c r="W221" s="662"/>
      <c r="X221" s="662"/>
      <c r="Y221" s="662"/>
      <c r="Z221" s="662"/>
      <c r="AA221" s="662"/>
      <c r="AB221" s="662"/>
      <c r="AC221" s="662"/>
      <c r="AD221" s="662"/>
      <c r="AE221" s="662"/>
      <c r="AF221" s="662"/>
    </row>
    <row r="222" spans="18:32" s="80" customFormat="1">
      <c r="R222" s="70"/>
      <c r="S222" s="70"/>
      <c r="T222" s="70"/>
      <c r="V222" s="662"/>
      <c r="W222" s="662"/>
      <c r="X222" s="662"/>
      <c r="Y222" s="662"/>
      <c r="Z222" s="662"/>
      <c r="AA222" s="662"/>
      <c r="AB222" s="662"/>
      <c r="AC222" s="662"/>
      <c r="AD222" s="662"/>
      <c r="AE222" s="662"/>
      <c r="AF222" s="662"/>
    </row>
    <row r="223" spans="18:32" s="80" customFormat="1">
      <c r="R223" s="70"/>
      <c r="S223" s="70"/>
      <c r="T223" s="70"/>
      <c r="V223" s="662"/>
      <c r="W223" s="662"/>
      <c r="X223" s="662"/>
      <c r="Y223" s="662"/>
      <c r="Z223" s="662"/>
      <c r="AA223" s="662"/>
      <c r="AB223" s="662"/>
      <c r="AC223" s="662"/>
      <c r="AD223" s="662"/>
      <c r="AE223" s="662"/>
      <c r="AF223" s="662"/>
    </row>
    <row r="224" spans="18:32" s="80" customFormat="1">
      <c r="R224" s="70"/>
      <c r="S224" s="70"/>
      <c r="T224" s="70"/>
      <c r="V224" s="662"/>
      <c r="W224" s="662"/>
      <c r="X224" s="662"/>
      <c r="Y224" s="662"/>
      <c r="Z224" s="662"/>
      <c r="AA224" s="662"/>
      <c r="AB224" s="662"/>
      <c r="AC224" s="662"/>
      <c r="AD224" s="662"/>
      <c r="AE224" s="662"/>
      <c r="AF224" s="662"/>
    </row>
    <row r="225" spans="18:32" s="80" customFormat="1">
      <c r="R225" s="70"/>
      <c r="S225" s="70"/>
      <c r="T225" s="70"/>
      <c r="V225" s="662"/>
      <c r="W225" s="662"/>
      <c r="X225" s="662"/>
      <c r="Y225" s="662"/>
      <c r="Z225" s="662"/>
      <c r="AA225" s="662"/>
      <c r="AB225" s="662"/>
      <c r="AC225" s="662"/>
      <c r="AD225" s="662"/>
      <c r="AE225" s="662"/>
      <c r="AF225" s="662"/>
    </row>
    <row r="226" spans="18:32" s="80" customFormat="1">
      <c r="R226" s="70"/>
      <c r="S226" s="70"/>
      <c r="T226" s="70"/>
      <c r="V226" s="662"/>
      <c r="W226" s="662"/>
      <c r="X226" s="662"/>
      <c r="Y226" s="662"/>
      <c r="Z226" s="662"/>
      <c r="AA226" s="662"/>
      <c r="AB226" s="662"/>
      <c r="AC226" s="662"/>
      <c r="AD226" s="662"/>
      <c r="AE226" s="662"/>
      <c r="AF226" s="662"/>
    </row>
    <row r="227" spans="18:32" s="80" customFormat="1">
      <c r="R227" s="70"/>
      <c r="S227" s="70"/>
      <c r="T227" s="70"/>
      <c r="V227" s="662"/>
      <c r="W227" s="662"/>
      <c r="X227" s="662"/>
      <c r="Y227" s="662"/>
      <c r="Z227" s="662"/>
      <c r="AA227" s="662"/>
      <c r="AB227" s="662"/>
      <c r="AC227" s="662"/>
      <c r="AD227" s="662"/>
      <c r="AE227" s="662"/>
      <c r="AF227" s="662"/>
    </row>
    <row r="228" spans="18:32" s="80" customFormat="1">
      <c r="R228" s="70"/>
      <c r="S228" s="70"/>
      <c r="T228" s="70"/>
      <c r="V228" s="662"/>
      <c r="W228" s="662"/>
      <c r="X228" s="662"/>
      <c r="Y228" s="662"/>
      <c r="Z228" s="662"/>
      <c r="AA228" s="662"/>
      <c r="AB228" s="662"/>
      <c r="AC228" s="662"/>
      <c r="AD228" s="662"/>
      <c r="AE228" s="662"/>
      <c r="AF228" s="662"/>
    </row>
    <row r="229" spans="18:32" s="80" customFormat="1">
      <c r="R229" s="70"/>
      <c r="S229" s="70"/>
      <c r="T229" s="70"/>
      <c r="V229" s="662"/>
      <c r="W229" s="662"/>
      <c r="X229" s="662"/>
      <c r="Y229" s="662"/>
      <c r="Z229" s="662"/>
      <c r="AA229" s="662"/>
      <c r="AB229" s="662"/>
      <c r="AC229" s="662"/>
      <c r="AD229" s="662"/>
      <c r="AE229" s="662"/>
      <c r="AF229" s="662"/>
    </row>
    <row r="230" spans="18:32" s="80" customFormat="1">
      <c r="R230" s="70"/>
      <c r="S230" s="70"/>
      <c r="T230" s="70"/>
      <c r="V230" s="662"/>
      <c r="W230" s="662"/>
      <c r="X230" s="662"/>
      <c r="Y230" s="662"/>
      <c r="Z230" s="662"/>
      <c r="AA230" s="662"/>
      <c r="AB230" s="662"/>
      <c r="AC230" s="662"/>
      <c r="AD230" s="662"/>
      <c r="AE230" s="662"/>
      <c r="AF230" s="662"/>
    </row>
    <row r="231" spans="18:32" s="80" customFormat="1">
      <c r="R231" s="70"/>
      <c r="S231" s="70"/>
      <c r="T231" s="70"/>
      <c r="V231" s="662"/>
      <c r="W231" s="662"/>
      <c r="X231" s="662"/>
      <c r="Y231" s="662"/>
      <c r="Z231" s="662"/>
      <c r="AA231" s="662"/>
      <c r="AB231" s="662"/>
      <c r="AC231" s="662"/>
      <c r="AD231" s="662"/>
      <c r="AE231" s="662"/>
      <c r="AF231" s="662"/>
    </row>
    <row r="232" spans="18:32" s="80" customFormat="1">
      <c r="R232" s="70"/>
      <c r="S232" s="70"/>
      <c r="T232" s="70"/>
      <c r="V232" s="662"/>
      <c r="W232" s="662"/>
      <c r="X232" s="662"/>
      <c r="Y232" s="662"/>
      <c r="Z232" s="662"/>
      <c r="AA232" s="662"/>
      <c r="AB232" s="662"/>
      <c r="AC232" s="662"/>
      <c r="AD232" s="662"/>
      <c r="AE232" s="662"/>
      <c r="AF232" s="662"/>
    </row>
    <row r="233" spans="18:32" s="80" customFormat="1">
      <c r="R233" s="70"/>
      <c r="S233" s="70"/>
      <c r="T233" s="70"/>
      <c r="V233" s="662"/>
      <c r="W233" s="662"/>
      <c r="X233" s="662"/>
      <c r="Y233" s="662"/>
      <c r="Z233" s="662"/>
      <c r="AA233" s="662"/>
      <c r="AB233" s="662"/>
      <c r="AC233" s="662"/>
      <c r="AD233" s="662"/>
      <c r="AE233" s="662"/>
      <c r="AF233" s="662"/>
    </row>
    <row r="234" spans="18:32" s="80" customFormat="1">
      <c r="R234" s="70"/>
      <c r="S234" s="70"/>
      <c r="T234" s="70"/>
      <c r="V234" s="662"/>
      <c r="W234" s="662"/>
      <c r="X234" s="662"/>
      <c r="Y234" s="662"/>
      <c r="Z234" s="662"/>
      <c r="AA234" s="662"/>
      <c r="AB234" s="662"/>
      <c r="AC234" s="662"/>
      <c r="AD234" s="662"/>
      <c r="AE234" s="662"/>
      <c r="AF234" s="662"/>
    </row>
    <row r="235" spans="18:32" s="80" customFormat="1">
      <c r="R235" s="70"/>
      <c r="S235" s="70"/>
      <c r="T235" s="70"/>
      <c r="V235" s="662"/>
      <c r="W235" s="662"/>
      <c r="X235" s="662"/>
      <c r="Y235" s="662"/>
      <c r="Z235" s="662"/>
      <c r="AA235" s="662"/>
      <c r="AB235" s="662"/>
      <c r="AC235" s="662"/>
      <c r="AD235" s="662"/>
      <c r="AE235" s="662"/>
      <c r="AF235" s="662"/>
    </row>
    <row r="236" spans="18:32" s="80" customFormat="1">
      <c r="R236" s="70"/>
      <c r="S236" s="70"/>
      <c r="T236" s="70"/>
      <c r="V236" s="662"/>
      <c r="W236" s="662"/>
      <c r="X236" s="662"/>
      <c r="Y236" s="662"/>
      <c r="Z236" s="662"/>
      <c r="AA236" s="662"/>
      <c r="AB236" s="662"/>
      <c r="AC236" s="662"/>
      <c r="AD236" s="662"/>
      <c r="AE236" s="662"/>
      <c r="AF236" s="662"/>
    </row>
    <row r="237" spans="18:32" s="80" customFormat="1">
      <c r="R237" s="70"/>
      <c r="S237" s="70"/>
      <c r="T237" s="70"/>
      <c r="V237" s="662"/>
      <c r="W237" s="662"/>
      <c r="X237" s="662"/>
      <c r="Y237" s="662"/>
      <c r="Z237" s="662"/>
      <c r="AA237" s="662"/>
      <c r="AB237" s="662"/>
      <c r="AC237" s="662"/>
      <c r="AD237" s="662"/>
      <c r="AE237" s="662"/>
      <c r="AF237" s="662"/>
    </row>
    <row r="238" spans="18:32" s="80" customFormat="1">
      <c r="R238" s="70"/>
      <c r="S238" s="70"/>
      <c r="T238" s="70"/>
      <c r="V238" s="662"/>
      <c r="W238" s="662"/>
      <c r="X238" s="662"/>
      <c r="Y238" s="662"/>
      <c r="Z238" s="662"/>
      <c r="AA238" s="662"/>
      <c r="AB238" s="662"/>
      <c r="AC238" s="662"/>
      <c r="AD238" s="662"/>
      <c r="AE238" s="662"/>
      <c r="AF238" s="662"/>
    </row>
    <row r="239" spans="18:32" s="80" customFormat="1">
      <c r="R239" s="70"/>
      <c r="S239" s="70"/>
      <c r="T239" s="70"/>
      <c r="V239" s="662"/>
      <c r="W239" s="662"/>
      <c r="X239" s="662"/>
      <c r="Y239" s="662"/>
      <c r="Z239" s="662"/>
      <c r="AA239" s="662"/>
      <c r="AB239" s="662"/>
      <c r="AC239" s="662"/>
      <c r="AD239" s="662"/>
      <c r="AE239" s="662"/>
      <c r="AF239" s="662"/>
    </row>
    <row r="240" spans="18:32" s="80" customFormat="1">
      <c r="R240" s="70"/>
      <c r="S240" s="70"/>
      <c r="T240" s="70"/>
      <c r="V240" s="662"/>
      <c r="W240" s="662"/>
      <c r="X240" s="662"/>
      <c r="Y240" s="662"/>
      <c r="Z240" s="662"/>
      <c r="AA240" s="662"/>
      <c r="AB240" s="662"/>
      <c r="AC240" s="662"/>
      <c r="AD240" s="662"/>
      <c r="AE240" s="662"/>
      <c r="AF240" s="662"/>
    </row>
    <row r="241" spans="18:32" s="80" customFormat="1">
      <c r="R241" s="70"/>
      <c r="S241" s="70"/>
      <c r="T241" s="70"/>
      <c r="V241" s="662"/>
      <c r="W241" s="662"/>
      <c r="X241" s="662"/>
      <c r="Y241" s="662"/>
      <c r="Z241" s="662"/>
      <c r="AA241" s="662"/>
      <c r="AB241" s="662"/>
      <c r="AC241" s="662"/>
      <c r="AD241" s="662"/>
      <c r="AE241" s="662"/>
      <c r="AF241" s="662"/>
    </row>
    <row r="242" spans="18:32" s="80" customFormat="1">
      <c r="R242" s="70"/>
      <c r="S242" s="70"/>
      <c r="T242" s="70"/>
      <c r="V242" s="662"/>
      <c r="W242" s="662"/>
      <c r="X242" s="662"/>
      <c r="Y242" s="662"/>
      <c r="Z242" s="662"/>
      <c r="AA242" s="662"/>
      <c r="AB242" s="662"/>
      <c r="AC242" s="662"/>
      <c r="AD242" s="662"/>
      <c r="AE242" s="662"/>
      <c r="AF242" s="662"/>
    </row>
    <row r="243" spans="18:32" s="80" customFormat="1">
      <c r="R243" s="70"/>
      <c r="S243" s="70"/>
      <c r="T243" s="70"/>
      <c r="V243" s="662"/>
      <c r="W243" s="662"/>
      <c r="X243" s="662"/>
      <c r="Y243" s="662"/>
      <c r="Z243" s="662"/>
      <c r="AA243" s="662"/>
      <c r="AB243" s="662"/>
      <c r="AC243" s="662"/>
      <c r="AD243" s="662"/>
      <c r="AE243" s="662"/>
      <c r="AF243" s="662"/>
    </row>
    <row r="244" spans="18:32" s="80" customFormat="1">
      <c r="R244" s="70"/>
      <c r="S244" s="70"/>
      <c r="T244" s="70"/>
      <c r="V244" s="662"/>
      <c r="W244" s="662"/>
      <c r="X244" s="662"/>
      <c r="Y244" s="662"/>
      <c r="Z244" s="662"/>
      <c r="AA244" s="662"/>
      <c r="AB244" s="662"/>
      <c r="AC244" s="662"/>
      <c r="AD244" s="662"/>
      <c r="AE244" s="662"/>
      <c r="AF244" s="662"/>
    </row>
    <row r="245" spans="18:32" s="80" customFormat="1">
      <c r="R245" s="70"/>
      <c r="S245" s="70"/>
      <c r="T245" s="70"/>
      <c r="V245" s="662"/>
      <c r="W245" s="662"/>
      <c r="X245" s="662"/>
      <c r="Y245" s="662"/>
      <c r="Z245" s="662"/>
      <c r="AA245" s="662"/>
      <c r="AB245" s="662"/>
      <c r="AC245" s="662"/>
      <c r="AD245" s="662"/>
      <c r="AE245" s="662"/>
      <c r="AF245" s="662"/>
    </row>
    <row r="246" spans="18:32" s="80" customFormat="1">
      <c r="R246" s="70"/>
      <c r="S246" s="70"/>
      <c r="T246" s="70"/>
      <c r="V246" s="662"/>
      <c r="W246" s="662"/>
      <c r="X246" s="662"/>
      <c r="Y246" s="662"/>
      <c r="Z246" s="662"/>
      <c r="AA246" s="662"/>
      <c r="AB246" s="662"/>
      <c r="AC246" s="662"/>
      <c r="AD246" s="662"/>
      <c r="AE246" s="662"/>
      <c r="AF246" s="662"/>
    </row>
    <row r="247" spans="18:32" s="80" customFormat="1">
      <c r="R247" s="70"/>
      <c r="S247" s="70"/>
      <c r="T247" s="70"/>
      <c r="V247" s="662"/>
      <c r="W247" s="662"/>
      <c r="X247" s="662"/>
      <c r="Y247" s="662"/>
      <c r="Z247" s="662"/>
      <c r="AA247" s="662"/>
      <c r="AB247" s="662"/>
      <c r="AC247" s="662"/>
      <c r="AD247" s="662"/>
      <c r="AE247" s="662"/>
      <c r="AF247" s="662"/>
    </row>
    <row r="248" spans="18:32" s="80" customFormat="1">
      <c r="R248" s="70"/>
      <c r="S248" s="70"/>
      <c r="T248" s="70"/>
      <c r="V248" s="662"/>
      <c r="W248" s="662"/>
      <c r="X248" s="662"/>
      <c r="Y248" s="662"/>
      <c r="Z248" s="662"/>
      <c r="AA248" s="662"/>
      <c r="AB248" s="662"/>
      <c r="AC248" s="662"/>
      <c r="AD248" s="662"/>
      <c r="AE248" s="662"/>
      <c r="AF248" s="662"/>
    </row>
    <row r="249" spans="18:32" s="80" customFormat="1">
      <c r="R249" s="70"/>
      <c r="S249" s="70"/>
      <c r="T249" s="70"/>
      <c r="V249" s="662"/>
      <c r="W249" s="662"/>
      <c r="X249" s="662"/>
      <c r="Y249" s="662"/>
      <c r="Z249" s="662"/>
      <c r="AA249" s="662"/>
      <c r="AB249" s="662"/>
      <c r="AC249" s="662"/>
      <c r="AD249" s="662"/>
      <c r="AE249" s="662"/>
      <c r="AF249" s="662"/>
    </row>
    <row r="250" spans="18:32" s="80" customFormat="1">
      <c r="R250" s="70"/>
      <c r="S250" s="70"/>
      <c r="T250" s="70"/>
      <c r="V250" s="662"/>
      <c r="W250" s="662"/>
      <c r="X250" s="662"/>
      <c r="Y250" s="662"/>
      <c r="Z250" s="662"/>
      <c r="AA250" s="662"/>
      <c r="AB250" s="662"/>
      <c r="AC250" s="662"/>
      <c r="AD250" s="662"/>
      <c r="AE250" s="662"/>
      <c r="AF250" s="662"/>
    </row>
    <row r="251" spans="18:32" s="80" customFormat="1">
      <c r="R251" s="70"/>
      <c r="S251" s="70"/>
      <c r="T251" s="70"/>
      <c r="V251" s="662"/>
      <c r="W251" s="662"/>
      <c r="X251" s="662"/>
      <c r="Y251" s="662"/>
      <c r="Z251" s="662"/>
      <c r="AA251" s="662"/>
      <c r="AB251" s="662"/>
      <c r="AC251" s="662"/>
      <c r="AD251" s="662"/>
      <c r="AE251" s="662"/>
      <c r="AF251" s="662"/>
    </row>
    <row r="252" spans="18:32" s="80" customFormat="1">
      <c r="R252" s="70"/>
      <c r="S252" s="70"/>
      <c r="T252" s="70"/>
      <c r="V252" s="662"/>
      <c r="W252" s="662"/>
      <c r="X252" s="662"/>
      <c r="Y252" s="662"/>
      <c r="Z252" s="662"/>
      <c r="AA252" s="662"/>
      <c r="AB252" s="662"/>
      <c r="AC252" s="662"/>
      <c r="AD252" s="662"/>
      <c r="AE252" s="662"/>
      <c r="AF252" s="662"/>
    </row>
    <row r="253" spans="18:32" s="80" customFormat="1">
      <c r="R253" s="70"/>
      <c r="S253" s="70"/>
      <c r="T253" s="70"/>
      <c r="V253" s="662"/>
      <c r="W253" s="662"/>
      <c r="X253" s="662"/>
      <c r="Y253" s="662"/>
      <c r="Z253" s="662"/>
      <c r="AA253" s="662"/>
      <c r="AB253" s="662"/>
      <c r="AC253" s="662"/>
      <c r="AD253" s="662"/>
      <c r="AE253" s="662"/>
      <c r="AF253" s="662"/>
    </row>
    <row r="254" spans="18:32" s="80" customFormat="1">
      <c r="R254" s="70"/>
      <c r="S254" s="70"/>
      <c r="T254" s="70"/>
      <c r="V254" s="662"/>
      <c r="W254" s="662"/>
      <c r="X254" s="662"/>
      <c r="Y254" s="662"/>
      <c r="Z254" s="662"/>
      <c r="AA254" s="662"/>
      <c r="AB254" s="662"/>
      <c r="AC254" s="662"/>
      <c r="AD254" s="662"/>
      <c r="AE254" s="662"/>
      <c r="AF254" s="662"/>
    </row>
    <row r="255" spans="18:32" s="80" customFormat="1">
      <c r="R255" s="70"/>
      <c r="S255" s="70"/>
      <c r="T255" s="70"/>
      <c r="V255" s="662"/>
      <c r="W255" s="662"/>
      <c r="X255" s="662"/>
      <c r="Y255" s="662"/>
      <c r="Z255" s="662"/>
      <c r="AA255" s="662"/>
      <c r="AB255" s="662"/>
      <c r="AC255" s="662"/>
      <c r="AD255" s="662"/>
      <c r="AE255" s="662"/>
      <c r="AF255" s="662"/>
    </row>
    <row r="256" spans="18:32" s="80" customFormat="1">
      <c r="R256" s="70"/>
      <c r="S256" s="70"/>
      <c r="T256" s="70"/>
      <c r="V256" s="662"/>
      <c r="W256" s="662"/>
      <c r="X256" s="662"/>
      <c r="Y256" s="662"/>
      <c r="Z256" s="662"/>
      <c r="AA256" s="662"/>
      <c r="AB256" s="662"/>
      <c r="AC256" s="662"/>
      <c r="AD256" s="662"/>
      <c r="AE256" s="662"/>
      <c r="AF256" s="662"/>
    </row>
    <row r="257" spans="18:32" s="80" customFormat="1">
      <c r="R257" s="70"/>
      <c r="S257" s="70"/>
      <c r="T257" s="70"/>
      <c r="V257" s="662"/>
      <c r="W257" s="662"/>
      <c r="X257" s="662"/>
      <c r="Y257" s="662"/>
      <c r="Z257" s="662"/>
      <c r="AA257" s="662"/>
      <c r="AB257" s="662"/>
      <c r="AC257" s="662"/>
      <c r="AD257" s="662"/>
      <c r="AE257" s="662"/>
      <c r="AF257" s="662"/>
    </row>
    <row r="258" spans="18:32" s="80" customFormat="1">
      <c r="R258" s="70"/>
      <c r="S258" s="70"/>
      <c r="T258" s="70"/>
      <c r="V258" s="662"/>
      <c r="W258" s="662"/>
      <c r="X258" s="662"/>
      <c r="Y258" s="662"/>
      <c r="Z258" s="662"/>
      <c r="AA258" s="662"/>
      <c r="AB258" s="662"/>
      <c r="AC258" s="662"/>
      <c r="AD258" s="662"/>
      <c r="AE258" s="662"/>
      <c r="AF258" s="662"/>
    </row>
    <row r="259" spans="18:32" s="80" customFormat="1">
      <c r="R259" s="70"/>
      <c r="S259" s="70"/>
      <c r="T259" s="70"/>
      <c r="V259" s="662"/>
      <c r="W259" s="662"/>
      <c r="X259" s="662"/>
      <c r="Y259" s="662"/>
      <c r="Z259" s="662"/>
      <c r="AA259" s="662"/>
      <c r="AB259" s="662"/>
      <c r="AC259" s="662"/>
      <c r="AD259" s="662"/>
      <c r="AE259" s="662"/>
      <c r="AF259" s="662"/>
    </row>
    <row r="260" spans="18:32" s="80" customFormat="1">
      <c r="R260" s="70"/>
      <c r="S260" s="70"/>
      <c r="T260" s="70"/>
      <c r="V260" s="662"/>
      <c r="W260" s="662"/>
      <c r="X260" s="662"/>
      <c r="Y260" s="662"/>
      <c r="Z260" s="662"/>
      <c r="AA260" s="662"/>
      <c r="AB260" s="662"/>
      <c r="AC260" s="662"/>
      <c r="AD260" s="662"/>
      <c r="AE260" s="662"/>
      <c r="AF260" s="662"/>
    </row>
    <row r="261" spans="18:32" s="80" customFormat="1">
      <c r="R261" s="70"/>
      <c r="S261" s="70"/>
      <c r="T261" s="70"/>
      <c r="V261" s="662"/>
      <c r="W261" s="662"/>
      <c r="X261" s="662"/>
      <c r="Y261" s="662"/>
      <c r="Z261" s="662"/>
      <c r="AA261" s="662"/>
      <c r="AB261" s="662"/>
      <c r="AC261" s="662"/>
      <c r="AD261" s="662"/>
      <c r="AE261" s="662"/>
      <c r="AF261" s="662"/>
    </row>
    <row r="262" spans="18:32" s="80" customFormat="1">
      <c r="R262" s="70"/>
      <c r="S262" s="70"/>
      <c r="T262" s="70"/>
      <c r="V262" s="662"/>
      <c r="W262" s="662"/>
      <c r="X262" s="662"/>
      <c r="Y262" s="662"/>
      <c r="Z262" s="662"/>
      <c r="AA262" s="662"/>
      <c r="AB262" s="662"/>
      <c r="AC262" s="662"/>
      <c r="AD262" s="662"/>
      <c r="AE262" s="662"/>
      <c r="AF262" s="662"/>
    </row>
    <row r="263" spans="18:32" s="80" customFormat="1">
      <c r="R263" s="70"/>
      <c r="S263" s="70"/>
      <c r="T263" s="70"/>
      <c r="V263" s="662"/>
      <c r="W263" s="662"/>
      <c r="X263" s="662"/>
      <c r="Y263" s="662"/>
      <c r="Z263" s="662"/>
      <c r="AA263" s="662"/>
      <c r="AB263" s="662"/>
      <c r="AC263" s="662"/>
      <c r="AD263" s="662"/>
      <c r="AE263" s="662"/>
      <c r="AF263" s="662"/>
    </row>
    <row r="264" spans="18:32" s="80" customFormat="1">
      <c r="R264" s="70"/>
      <c r="S264" s="70"/>
      <c r="T264" s="70"/>
      <c r="V264" s="662"/>
      <c r="W264" s="662"/>
      <c r="X264" s="662"/>
      <c r="Y264" s="662"/>
      <c r="Z264" s="662"/>
      <c r="AA264" s="662"/>
      <c r="AB264" s="662"/>
      <c r="AC264" s="662"/>
      <c r="AD264" s="662"/>
      <c r="AE264" s="662"/>
      <c r="AF264" s="662"/>
    </row>
    <row r="265" spans="18:32" s="80" customFormat="1">
      <c r="R265" s="70"/>
      <c r="S265" s="70"/>
      <c r="T265" s="70"/>
      <c r="V265" s="662"/>
      <c r="W265" s="662"/>
      <c r="X265" s="662"/>
      <c r="Y265" s="662"/>
      <c r="Z265" s="662"/>
      <c r="AA265" s="662"/>
      <c r="AB265" s="662"/>
      <c r="AC265" s="662"/>
      <c r="AD265" s="662"/>
      <c r="AE265" s="662"/>
      <c r="AF265" s="662"/>
    </row>
    <row r="266" spans="18:32" s="80" customFormat="1">
      <c r="R266" s="70"/>
      <c r="S266" s="70"/>
      <c r="T266" s="70"/>
      <c r="V266" s="662"/>
      <c r="W266" s="662"/>
      <c r="X266" s="662"/>
      <c r="Y266" s="662"/>
      <c r="Z266" s="662"/>
      <c r="AA266" s="662"/>
      <c r="AB266" s="662"/>
      <c r="AC266" s="662"/>
      <c r="AD266" s="662"/>
      <c r="AE266" s="662"/>
      <c r="AF266" s="662"/>
    </row>
    <row r="267" spans="18:32" s="80" customFormat="1">
      <c r="R267" s="70"/>
      <c r="S267" s="70"/>
      <c r="T267" s="70"/>
      <c r="V267" s="662"/>
      <c r="W267" s="662"/>
      <c r="X267" s="662"/>
      <c r="Y267" s="662"/>
      <c r="Z267" s="662"/>
      <c r="AA267" s="662"/>
      <c r="AB267" s="662"/>
      <c r="AC267" s="662"/>
      <c r="AD267" s="662"/>
      <c r="AE267" s="662"/>
      <c r="AF267" s="662"/>
    </row>
    <row r="268" spans="18:32" s="80" customFormat="1">
      <c r="R268" s="70"/>
      <c r="S268" s="70"/>
      <c r="T268" s="70"/>
      <c r="V268" s="662"/>
      <c r="W268" s="662"/>
      <c r="X268" s="662"/>
      <c r="Y268" s="662"/>
      <c r="Z268" s="662"/>
      <c r="AA268" s="662"/>
      <c r="AB268" s="662"/>
      <c r="AC268" s="662"/>
      <c r="AD268" s="662"/>
      <c r="AE268" s="662"/>
      <c r="AF268" s="662"/>
    </row>
    <row r="269" spans="18:32" s="80" customFormat="1">
      <c r="R269" s="70"/>
      <c r="S269" s="70"/>
      <c r="T269" s="70"/>
      <c r="V269" s="662"/>
      <c r="W269" s="662"/>
      <c r="X269" s="662"/>
      <c r="Y269" s="662"/>
      <c r="Z269" s="662"/>
      <c r="AA269" s="662"/>
      <c r="AB269" s="662"/>
      <c r="AC269" s="662"/>
      <c r="AD269" s="662"/>
      <c r="AE269" s="662"/>
      <c r="AF269" s="662"/>
    </row>
    <row r="270" spans="18:32" s="80" customFormat="1">
      <c r="R270" s="70"/>
      <c r="S270" s="70"/>
      <c r="T270" s="70"/>
      <c r="V270" s="662"/>
      <c r="W270" s="662"/>
      <c r="X270" s="662"/>
      <c r="Y270" s="662"/>
      <c r="Z270" s="662"/>
      <c r="AA270" s="662"/>
      <c r="AB270" s="662"/>
      <c r="AC270" s="662"/>
      <c r="AD270" s="662"/>
      <c r="AE270" s="662"/>
      <c r="AF270" s="662"/>
    </row>
    <row r="271" spans="18:32" s="80" customFormat="1">
      <c r="R271" s="70"/>
      <c r="S271" s="70"/>
      <c r="T271" s="70"/>
      <c r="V271" s="662"/>
      <c r="W271" s="662"/>
      <c r="X271" s="662"/>
      <c r="Y271" s="662"/>
      <c r="Z271" s="662"/>
      <c r="AA271" s="662"/>
      <c r="AB271" s="662"/>
      <c r="AC271" s="662"/>
      <c r="AD271" s="662"/>
      <c r="AE271" s="662"/>
      <c r="AF271" s="662"/>
    </row>
    <row r="272" spans="18:32" s="80" customFormat="1">
      <c r="R272" s="70"/>
      <c r="S272" s="70"/>
      <c r="T272" s="70"/>
      <c r="V272" s="662"/>
      <c r="W272" s="662"/>
      <c r="X272" s="662"/>
      <c r="Y272" s="662"/>
      <c r="Z272" s="662"/>
      <c r="AA272" s="662"/>
      <c r="AB272" s="662"/>
      <c r="AC272" s="662"/>
      <c r="AD272" s="662"/>
      <c r="AE272" s="662"/>
      <c r="AF272" s="662"/>
    </row>
    <row r="273" spans="18:32" s="80" customFormat="1">
      <c r="R273" s="70"/>
      <c r="S273" s="70"/>
      <c r="T273" s="70"/>
      <c r="V273" s="662"/>
      <c r="W273" s="662"/>
      <c r="X273" s="662"/>
      <c r="Y273" s="662"/>
      <c r="Z273" s="662"/>
      <c r="AA273" s="662"/>
      <c r="AB273" s="662"/>
      <c r="AC273" s="662"/>
      <c r="AD273" s="662"/>
      <c r="AE273" s="662"/>
      <c r="AF273" s="662"/>
    </row>
    <row r="274" spans="18:32" s="80" customFormat="1">
      <c r="R274" s="70"/>
      <c r="S274" s="70"/>
      <c r="T274" s="70"/>
      <c r="V274" s="662"/>
      <c r="W274" s="662"/>
      <c r="X274" s="662"/>
      <c r="Y274" s="662"/>
      <c r="Z274" s="662"/>
      <c r="AA274" s="662"/>
      <c r="AB274" s="662"/>
      <c r="AC274" s="662"/>
      <c r="AD274" s="662"/>
      <c r="AE274" s="662"/>
      <c r="AF274" s="662"/>
    </row>
    <row r="275" spans="18:32" s="80" customFormat="1">
      <c r="R275" s="70"/>
      <c r="S275" s="70"/>
      <c r="T275" s="70"/>
      <c r="V275" s="662"/>
      <c r="W275" s="662"/>
      <c r="X275" s="662"/>
      <c r="Y275" s="662"/>
      <c r="Z275" s="662"/>
      <c r="AA275" s="662"/>
      <c r="AB275" s="662"/>
      <c r="AC275" s="662"/>
      <c r="AD275" s="662"/>
      <c r="AE275" s="662"/>
      <c r="AF275" s="662"/>
    </row>
    <row r="276" spans="18:32" s="80" customFormat="1">
      <c r="R276" s="70"/>
      <c r="S276" s="70"/>
      <c r="T276" s="70"/>
      <c r="V276" s="662"/>
      <c r="W276" s="662"/>
      <c r="X276" s="662"/>
      <c r="Y276" s="662"/>
      <c r="Z276" s="662"/>
      <c r="AA276" s="662"/>
      <c r="AB276" s="662"/>
      <c r="AC276" s="662"/>
      <c r="AD276" s="662"/>
      <c r="AE276" s="662"/>
      <c r="AF276" s="662"/>
    </row>
    <row r="277" spans="18:32" s="80" customFormat="1">
      <c r="R277" s="70"/>
      <c r="S277" s="70"/>
      <c r="T277" s="70"/>
      <c r="V277" s="662"/>
      <c r="W277" s="662"/>
      <c r="X277" s="662"/>
      <c r="Y277" s="662"/>
      <c r="Z277" s="662"/>
      <c r="AA277" s="662"/>
      <c r="AB277" s="662"/>
      <c r="AC277" s="662"/>
      <c r="AD277" s="662"/>
      <c r="AE277" s="662"/>
      <c r="AF277" s="662"/>
    </row>
    <row r="278" spans="18:32" s="80" customFormat="1">
      <c r="R278" s="70"/>
      <c r="S278" s="70"/>
      <c r="T278" s="70"/>
      <c r="V278" s="662"/>
      <c r="W278" s="662"/>
      <c r="X278" s="662"/>
      <c r="Y278" s="662"/>
      <c r="Z278" s="662"/>
      <c r="AA278" s="662"/>
      <c r="AB278" s="662"/>
      <c r="AC278" s="662"/>
      <c r="AD278" s="662"/>
      <c r="AE278" s="662"/>
      <c r="AF278" s="662"/>
    </row>
    <row r="279" spans="18:32" s="80" customFormat="1">
      <c r="R279" s="70"/>
      <c r="S279" s="70"/>
      <c r="T279" s="70"/>
      <c r="V279" s="662"/>
      <c r="W279" s="662"/>
      <c r="X279" s="662"/>
      <c r="Y279" s="662"/>
      <c r="Z279" s="662"/>
      <c r="AA279" s="662"/>
      <c r="AB279" s="662"/>
      <c r="AC279" s="662"/>
      <c r="AD279" s="662"/>
      <c r="AE279" s="662"/>
      <c r="AF279" s="662"/>
    </row>
    <row r="280" spans="18:32" s="80" customFormat="1">
      <c r="R280" s="70"/>
      <c r="S280" s="70"/>
      <c r="T280" s="70"/>
      <c r="V280" s="662"/>
      <c r="W280" s="662"/>
      <c r="X280" s="662"/>
      <c r="Y280" s="662"/>
      <c r="Z280" s="662"/>
      <c r="AA280" s="662"/>
      <c r="AB280" s="662"/>
      <c r="AC280" s="662"/>
      <c r="AD280" s="662"/>
      <c r="AE280" s="662"/>
      <c r="AF280" s="662"/>
    </row>
    <row r="281" spans="18:32" s="80" customFormat="1">
      <c r="R281" s="70"/>
      <c r="S281" s="70"/>
      <c r="T281" s="70"/>
      <c r="V281" s="662"/>
      <c r="W281" s="662"/>
      <c r="X281" s="662"/>
      <c r="Y281" s="662"/>
      <c r="Z281" s="662"/>
      <c r="AA281" s="662"/>
      <c r="AB281" s="662"/>
      <c r="AC281" s="662"/>
      <c r="AD281" s="662"/>
      <c r="AE281" s="662"/>
      <c r="AF281" s="662"/>
    </row>
    <row r="282" spans="18:32" s="80" customFormat="1">
      <c r="R282" s="70"/>
      <c r="S282" s="70"/>
      <c r="T282" s="70"/>
      <c r="V282" s="662"/>
      <c r="W282" s="662"/>
      <c r="X282" s="662"/>
      <c r="Y282" s="662"/>
      <c r="Z282" s="662"/>
      <c r="AA282" s="662"/>
      <c r="AB282" s="662"/>
      <c r="AC282" s="662"/>
      <c r="AD282" s="662"/>
      <c r="AE282" s="662"/>
      <c r="AF282" s="662"/>
    </row>
    <row r="283" spans="18:32" s="80" customFormat="1">
      <c r="R283" s="70"/>
      <c r="S283" s="70"/>
      <c r="T283" s="70"/>
      <c r="V283" s="662"/>
      <c r="W283" s="662"/>
      <c r="X283" s="662"/>
      <c r="Y283" s="662"/>
      <c r="Z283" s="662"/>
      <c r="AA283" s="662"/>
      <c r="AB283" s="662"/>
      <c r="AC283" s="662"/>
      <c r="AD283" s="662"/>
      <c r="AE283" s="662"/>
      <c r="AF283" s="662"/>
    </row>
    <row r="284" spans="18:32" s="80" customFormat="1">
      <c r="R284" s="70"/>
      <c r="S284" s="70"/>
      <c r="T284" s="70"/>
      <c r="V284" s="662"/>
      <c r="W284" s="662"/>
      <c r="X284" s="662"/>
      <c r="Y284" s="662"/>
      <c r="Z284" s="662"/>
      <c r="AA284" s="662"/>
      <c r="AB284" s="662"/>
      <c r="AC284" s="662"/>
      <c r="AD284" s="662"/>
      <c r="AE284" s="662"/>
      <c r="AF284" s="662"/>
    </row>
    <row r="285" spans="18:32" s="80" customFormat="1">
      <c r="R285" s="70"/>
      <c r="S285" s="70"/>
      <c r="T285" s="70"/>
      <c r="V285" s="662"/>
      <c r="W285" s="662"/>
      <c r="X285" s="662"/>
      <c r="Y285" s="662"/>
      <c r="Z285" s="662"/>
      <c r="AA285" s="662"/>
      <c r="AB285" s="662"/>
      <c r="AC285" s="662"/>
      <c r="AD285" s="662"/>
      <c r="AE285" s="662"/>
      <c r="AF285" s="662"/>
    </row>
    <row r="286" spans="18:32" s="80" customFormat="1">
      <c r="R286" s="70"/>
      <c r="S286" s="70"/>
      <c r="T286" s="70"/>
      <c r="V286" s="662"/>
      <c r="W286" s="662"/>
      <c r="X286" s="662"/>
      <c r="Y286" s="662"/>
      <c r="Z286" s="662"/>
      <c r="AA286" s="662"/>
      <c r="AB286" s="662"/>
      <c r="AC286" s="662"/>
      <c r="AD286" s="662"/>
      <c r="AE286" s="662"/>
      <c r="AF286" s="662"/>
    </row>
    <row r="287" spans="18:32" s="80" customFormat="1">
      <c r="R287" s="70"/>
      <c r="S287" s="70"/>
      <c r="T287" s="70"/>
      <c r="V287" s="662"/>
      <c r="W287" s="662"/>
      <c r="X287" s="662"/>
      <c r="Y287" s="662"/>
      <c r="Z287" s="662"/>
      <c r="AA287" s="662"/>
      <c r="AB287" s="662"/>
      <c r="AC287" s="662"/>
      <c r="AD287" s="662"/>
      <c r="AE287" s="662"/>
      <c r="AF287" s="662"/>
    </row>
    <row r="288" spans="18:32" s="80" customFormat="1">
      <c r="R288" s="70"/>
      <c r="S288" s="70"/>
      <c r="T288" s="70"/>
      <c r="V288" s="662"/>
      <c r="W288" s="662"/>
      <c r="X288" s="662"/>
      <c r="Y288" s="662"/>
      <c r="Z288" s="662"/>
      <c r="AA288" s="662"/>
      <c r="AB288" s="662"/>
      <c r="AC288" s="662"/>
      <c r="AD288" s="662"/>
      <c r="AE288" s="662"/>
      <c r="AF288" s="662"/>
    </row>
    <row r="289" spans="18:32" s="80" customFormat="1">
      <c r="R289" s="70"/>
      <c r="S289" s="70"/>
      <c r="T289" s="70"/>
      <c r="V289" s="662"/>
      <c r="W289" s="662"/>
      <c r="X289" s="662"/>
      <c r="Y289" s="662"/>
      <c r="Z289" s="662"/>
      <c r="AA289" s="662"/>
      <c r="AB289" s="662"/>
      <c r="AC289" s="662"/>
      <c r="AD289" s="662"/>
      <c r="AE289" s="662"/>
      <c r="AF289" s="662"/>
    </row>
    <row r="290" spans="18:32" s="80" customFormat="1">
      <c r="R290" s="70"/>
      <c r="S290" s="70"/>
      <c r="T290" s="70"/>
      <c r="V290" s="662"/>
      <c r="W290" s="662"/>
      <c r="X290" s="662"/>
      <c r="Y290" s="662"/>
      <c r="Z290" s="662"/>
      <c r="AA290" s="662"/>
      <c r="AB290" s="662"/>
      <c r="AC290" s="662"/>
      <c r="AD290" s="662"/>
      <c r="AE290" s="662"/>
      <c r="AF290" s="662"/>
    </row>
    <row r="291" spans="18:32" s="80" customFormat="1">
      <c r="R291" s="70"/>
      <c r="S291" s="70"/>
      <c r="T291" s="70"/>
      <c r="V291" s="662"/>
      <c r="W291" s="662"/>
      <c r="X291" s="662"/>
      <c r="Y291" s="662"/>
      <c r="Z291" s="662"/>
      <c r="AA291" s="662"/>
      <c r="AB291" s="662"/>
      <c r="AC291" s="662"/>
      <c r="AD291" s="662"/>
      <c r="AE291" s="662"/>
      <c r="AF291" s="662"/>
    </row>
    <row r="292" spans="18:32" s="80" customFormat="1">
      <c r="R292" s="70"/>
      <c r="S292" s="70"/>
      <c r="T292" s="70"/>
      <c r="V292" s="662"/>
      <c r="W292" s="662"/>
      <c r="X292" s="662"/>
      <c r="Y292" s="662"/>
      <c r="Z292" s="662"/>
      <c r="AA292" s="662"/>
      <c r="AB292" s="662"/>
      <c r="AC292" s="662"/>
      <c r="AD292" s="662"/>
      <c r="AE292" s="662"/>
      <c r="AF292" s="662"/>
    </row>
    <row r="293" spans="18:32" s="80" customFormat="1">
      <c r="R293" s="70"/>
      <c r="S293" s="70"/>
      <c r="T293" s="70"/>
      <c r="V293" s="662"/>
      <c r="W293" s="662"/>
      <c r="X293" s="662"/>
      <c r="Y293" s="662"/>
      <c r="Z293" s="662"/>
      <c r="AA293" s="662"/>
      <c r="AB293" s="662"/>
      <c r="AC293" s="662"/>
      <c r="AD293" s="662"/>
      <c r="AE293" s="662"/>
      <c r="AF293" s="662"/>
    </row>
    <row r="294" spans="18:32" s="80" customFormat="1">
      <c r="R294" s="70"/>
      <c r="S294" s="70"/>
      <c r="T294" s="70"/>
      <c r="V294" s="662"/>
      <c r="W294" s="662"/>
      <c r="X294" s="662"/>
      <c r="Y294" s="662"/>
      <c r="Z294" s="662"/>
      <c r="AA294" s="662"/>
      <c r="AB294" s="662"/>
      <c r="AC294" s="662"/>
      <c r="AD294" s="662"/>
      <c r="AE294" s="662"/>
      <c r="AF294" s="662"/>
    </row>
    <row r="295" spans="18:32" s="80" customFormat="1">
      <c r="R295" s="70"/>
      <c r="S295" s="70"/>
      <c r="T295" s="70"/>
      <c r="V295" s="662"/>
      <c r="W295" s="662"/>
      <c r="X295" s="662"/>
      <c r="Y295" s="662"/>
      <c r="Z295" s="662"/>
      <c r="AA295" s="662"/>
      <c r="AB295" s="662"/>
      <c r="AC295" s="662"/>
      <c r="AD295" s="662"/>
      <c r="AE295" s="662"/>
      <c r="AF295" s="662"/>
    </row>
    <row r="296" spans="18:32" s="80" customFormat="1">
      <c r="R296" s="70"/>
      <c r="S296" s="70"/>
      <c r="T296" s="70"/>
      <c r="V296" s="662"/>
      <c r="W296" s="662"/>
      <c r="X296" s="662"/>
      <c r="Y296" s="662"/>
      <c r="Z296" s="662"/>
      <c r="AA296" s="662"/>
      <c r="AB296" s="662"/>
      <c r="AC296" s="662"/>
      <c r="AD296" s="662"/>
      <c r="AE296" s="662"/>
      <c r="AF296" s="662"/>
    </row>
    <row r="297" spans="18:32" s="80" customFormat="1">
      <c r="R297" s="70"/>
      <c r="S297" s="70"/>
      <c r="T297" s="70"/>
      <c r="V297" s="662"/>
      <c r="W297" s="662"/>
      <c r="X297" s="662"/>
      <c r="Y297" s="662"/>
      <c r="Z297" s="662"/>
      <c r="AA297" s="662"/>
      <c r="AB297" s="662"/>
      <c r="AC297" s="662"/>
      <c r="AD297" s="662"/>
      <c r="AE297" s="662"/>
      <c r="AF297" s="662"/>
    </row>
    <row r="298" spans="18:32" s="80" customFormat="1">
      <c r="R298" s="70"/>
      <c r="S298" s="70"/>
      <c r="T298" s="70"/>
      <c r="V298" s="662"/>
      <c r="W298" s="662"/>
      <c r="X298" s="662"/>
      <c r="Y298" s="662"/>
      <c r="Z298" s="662"/>
      <c r="AA298" s="662"/>
      <c r="AB298" s="662"/>
      <c r="AC298" s="662"/>
      <c r="AD298" s="662"/>
      <c r="AE298" s="662"/>
      <c r="AF298" s="662"/>
    </row>
    <row r="299" spans="18:32" s="80" customFormat="1">
      <c r="R299" s="70"/>
      <c r="S299" s="70"/>
      <c r="T299" s="70"/>
      <c r="V299" s="662"/>
      <c r="W299" s="662"/>
      <c r="X299" s="662"/>
      <c r="Y299" s="662"/>
      <c r="Z299" s="662"/>
      <c r="AA299" s="662"/>
      <c r="AB299" s="662"/>
      <c r="AC299" s="662"/>
      <c r="AD299" s="662"/>
      <c r="AE299" s="662"/>
      <c r="AF299" s="662"/>
    </row>
    <row r="300" spans="18:32" s="80" customFormat="1">
      <c r="R300" s="70"/>
      <c r="S300" s="70"/>
      <c r="T300" s="70"/>
      <c r="V300" s="662"/>
      <c r="W300" s="662"/>
      <c r="X300" s="662"/>
      <c r="Y300" s="662"/>
      <c r="Z300" s="662"/>
      <c r="AA300" s="662"/>
      <c r="AB300" s="662"/>
      <c r="AC300" s="662"/>
      <c r="AD300" s="662"/>
      <c r="AE300" s="662"/>
      <c r="AF300" s="662"/>
    </row>
    <row r="301" spans="18:32" s="80" customFormat="1">
      <c r="R301" s="70"/>
      <c r="S301" s="70"/>
      <c r="T301" s="70"/>
      <c r="V301" s="662"/>
      <c r="W301" s="662"/>
      <c r="X301" s="662"/>
      <c r="Y301" s="662"/>
      <c r="Z301" s="662"/>
      <c r="AA301" s="662"/>
      <c r="AB301" s="662"/>
      <c r="AC301" s="662"/>
      <c r="AD301" s="662"/>
      <c r="AE301" s="662"/>
      <c r="AF301" s="662"/>
    </row>
    <row r="302" spans="18:32" s="80" customFormat="1">
      <c r="R302" s="70"/>
      <c r="S302" s="70"/>
      <c r="T302" s="70"/>
      <c r="V302" s="662"/>
      <c r="W302" s="662"/>
      <c r="X302" s="662"/>
      <c r="Y302" s="662"/>
      <c r="Z302" s="662"/>
      <c r="AA302" s="662"/>
      <c r="AB302" s="662"/>
      <c r="AC302" s="662"/>
      <c r="AD302" s="662"/>
      <c r="AE302" s="662"/>
      <c r="AF302" s="662"/>
    </row>
    <row r="303" spans="18:32" s="80" customFormat="1">
      <c r="R303" s="70"/>
      <c r="S303" s="70"/>
      <c r="T303" s="70"/>
      <c r="V303" s="662"/>
      <c r="W303" s="662"/>
      <c r="X303" s="662"/>
      <c r="Y303" s="662"/>
      <c r="Z303" s="662"/>
      <c r="AA303" s="662"/>
      <c r="AB303" s="662"/>
      <c r="AC303" s="662"/>
      <c r="AD303" s="662"/>
      <c r="AE303" s="662"/>
      <c r="AF303" s="662"/>
    </row>
    <row r="304" spans="18:32" s="80" customFormat="1">
      <c r="R304" s="70"/>
      <c r="S304" s="70"/>
      <c r="T304" s="70"/>
      <c r="V304" s="662"/>
      <c r="W304" s="662"/>
      <c r="X304" s="662"/>
      <c r="Y304" s="662"/>
      <c r="Z304" s="662"/>
      <c r="AA304" s="662"/>
      <c r="AB304" s="662"/>
      <c r="AC304" s="662"/>
      <c r="AD304" s="662"/>
      <c r="AE304" s="662"/>
      <c r="AF304" s="662"/>
    </row>
    <row r="305" spans="18:32" s="80" customFormat="1">
      <c r="R305" s="70"/>
      <c r="S305" s="70"/>
      <c r="T305" s="70"/>
      <c r="V305" s="662"/>
      <c r="W305" s="662"/>
      <c r="X305" s="662"/>
      <c r="Y305" s="662"/>
      <c r="Z305" s="662"/>
      <c r="AA305" s="662"/>
      <c r="AB305" s="662"/>
      <c r="AC305" s="662"/>
      <c r="AD305" s="662"/>
      <c r="AE305" s="662"/>
      <c r="AF305" s="662"/>
    </row>
    <row r="306" spans="18:32" s="80" customFormat="1">
      <c r="R306" s="70"/>
      <c r="S306" s="70"/>
      <c r="T306" s="70"/>
      <c r="V306" s="662"/>
      <c r="W306" s="662"/>
      <c r="X306" s="662"/>
      <c r="Y306" s="662"/>
      <c r="Z306" s="662"/>
      <c r="AA306" s="662"/>
      <c r="AB306" s="662"/>
      <c r="AC306" s="662"/>
      <c r="AD306" s="662"/>
      <c r="AE306" s="662"/>
      <c r="AF306" s="662"/>
    </row>
    <row r="307" spans="18:32" s="80" customFormat="1">
      <c r="R307" s="70"/>
      <c r="S307" s="70"/>
      <c r="T307" s="70"/>
      <c r="V307" s="662"/>
      <c r="W307" s="662"/>
      <c r="X307" s="662"/>
      <c r="Y307" s="662"/>
      <c r="Z307" s="662"/>
      <c r="AA307" s="662"/>
      <c r="AB307" s="662"/>
      <c r="AC307" s="662"/>
      <c r="AD307" s="662"/>
      <c r="AE307" s="662"/>
      <c r="AF307" s="662"/>
    </row>
    <row r="308" spans="18:32" s="80" customFormat="1">
      <c r="R308" s="70"/>
      <c r="S308" s="70"/>
      <c r="T308" s="70"/>
      <c r="V308" s="662"/>
      <c r="W308" s="662"/>
      <c r="X308" s="662"/>
      <c r="Y308" s="662"/>
      <c r="Z308" s="662"/>
      <c r="AA308" s="662"/>
      <c r="AB308" s="662"/>
      <c r="AC308" s="662"/>
      <c r="AD308" s="662"/>
      <c r="AE308" s="662"/>
      <c r="AF308" s="662"/>
    </row>
    <row r="309" spans="18:32" s="80" customFormat="1">
      <c r="R309" s="70"/>
      <c r="S309" s="70"/>
      <c r="T309" s="70"/>
      <c r="V309" s="662"/>
      <c r="W309" s="662"/>
      <c r="X309" s="662"/>
      <c r="Y309" s="662"/>
      <c r="Z309" s="662"/>
      <c r="AA309" s="662"/>
      <c r="AB309" s="662"/>
      <c r="AC309" s="662"/>
      <c r="AD309" s="662"/>
      <c r="AE309" s="662"/>
      <c r="AF309" s="662"/>
    </row>
    <row r="310" spans="18:32" s="80" customFormat="1">
      <c r="R310" s="70"/>
      <c r="S310" s="70"/>
      <c r="T310" s="70"/>
      <c r="V310" s="662"/>
      <c r="W310" s="662"/>
      <c r="X310" s="662"/>
      <c r="Y310" s="662"/>
      <c r="Z310" s="662"/>
      <c r="AA310" s="662"/>
      <c r="AB310" s="662"/>
      <c r="AC310" s="662"/>
      <c r="AD310" s="662"/>
      <c r="AE310" s="662"/>
      <c r="AF310" s="662"/>
    </row>
    <row r="311" spans="18:32" s="80" customFormat="1">
      <c r="R311" s="70"/>
      <c r="S311" s="70"/>
      <c r="T311" s="70"/>
      <c r="V311" s="662"/>
      <c r="W311" s="662"/>
      <c r="X311" s="662"/>
      <c r="Y311" s="662"/>
      <c r="Z311" s="662"/>
      <c r="AA311" s="662"/>
      <c r="AB311" s="662"/>
      <c r="AC311" s="662"/>
      <c r="AD311" s="662"/>
      <c r="AE311" s="662"/>
      <c r="AF311" s="662"/>
    </row>
    <row r="312" spans="18:32" s="80" customFormat="1">
      <c r="R312" s="70"/>
      <c r="S312" s="70"/>
      <c r="T312" s="70"/>
      <c r="V312" s="662"/>
      <c r="W312" s="662"/>
      <c r="X312" s="662"/>
      <c r="Y312" s="662"/>
      <c r="Z312" s="662"/>
      <c r="AA312" s="662"/>
      <c r="AB312" s="662"/>
      <c r="AC312" s="662"/>
      <c r="AD312" s="662"/>
      <c r="AE312" s="662"/>
      <c r="AF312" s="662"/>
    </row>
    <row r="313" spans="18:32" s="80" customFormat="1">
      <c r="R313" s="70"/>
      <c r="S313" s="70"/>
      <c r="T313" s="70"/>
      <c r="V313" s="662"/>
      <c r="W313" s="662"/>
      <c r="X313" s="662"/>
      <c r="Y313" s="662"/>
      <c r="Z313" s="662"/>
      <c r="AA313" s="662"/>
      <c r="AB313" s="662"/>
      <c r="AC313" s="662"/>
      <c r="AD313" s="662"/>
      <c r="AE313" s="662"/>
      <c r="AF313" s="662"/>
    </row>
    <row r="314" spans="18:32" s="80" customFormat="1">
      <c r="R314" s="70"/>
      <c r="S314" s="70"/>
      <c r="T314" s="70"/>
      <c r="V314" s="662"/>
      <c r="W314" s="662"/>
      <c r="X314" s="662"/>
      <c r="Y314" s="662"/>
      <c r="Z314" s="662"/>
      <c r="AA314" s="662"/>
      <c r="AB314" s="662"/>
      <c r="AC314" s="662"/>
      <c r="AD314" s="662"/>
      <c r="AE314" s="662"/>
      <c r="AF314" s="662"/>
    </row>
    <row r="315" spans="18:32" s="80" customFormat="1">
      <c r="R315" s="70"/>
      <c r="S315" s="70"/>
      <c r="T315" s="70"/>
      <c r="V315" s="662"/>
      <c r="W315" s="662"/>
      <c r="X315" s="662"/>
      <c r="Y315" s="662"/>
      <c r="Z315" s="662"/>
      <c r="AA315" s="662"/>
      <c r="AB315" s="662"/>
      <c r="AC315" s="662"/>
      <c r="AD315" s="662"/>
      <c r="AE315" s="662"/>
      <c r="AF315" s="662"/>
    </row>
    <row r="316" spans="18:32" s="80" customFormat="1">
      <c r="R316" s="70"/>
      <c r="S316" s="70"/>
      <c r="T316" s="70"/>
      <c r="V316" s="662"/>
      <c r="W316" s="662"/>
      <c r="X316" s="662"/>
      <c r="Y316" s="662"/>
      <c r="Z316" s="662"/>
      <c r="AA316" s="662"/>
      <c r="AB316" s="662"/>
      <c r="AC316" s="662"/>
      <c r="AD316" s="662"/>
      <c r="AE316" s="662"/>
      <c r="AF316" s="662"/>
    </row>
    <row r="317" spans="18:32" s="80" customFormat="1">
      <c r="R317" s="70"/>
      <c r="S317" s="70"/>
      <c r="T317" s="70"/>
      <c r="V317" s="662"/>
      <c r="W317" s="662"/>
      <c r="X317" s="662"/>
      <c r="Y317" s="662"/>
      <c r="Z317" s="662"/>
      <c r="AA317" s="662"/>
      <c r="AB317" s="662"/>
      <c r="AC317" s="662"/>
      <c r="AD317" s="662"/>
      <c r="AE317" s="662"/>
      <c r="AF317" s="662"/>
    </row>
    <row r="318" spans="18:32" s="80" customFormat="1">
      <c r="R318" s="70"/>
      <c r="S318" s="70"/>
      <c r="T318" s="70"/>
      <c r="V318" s="662"/>
      <c r="W318" s="662"/>
      <c r="X318" s="662"/>
      <c r="Y318" s="662"/>
      <c r="Z318" s="662"/>
      <c r="AA318" s="662"/>
      <c r="AB318" s="662"/>
      <c r="AC318" s="662"/>
      <c r="AD318" s="662"/>
      <c r="AE318" s="662"/>
      <c r="AF318" s="662"/>
    </row>
    <row r="319" spans="18:32" s="80" customFormat="1">
      <c r="R319" s="70"/>
      <c r="S319" s="70"/>
      <c r="T319" s="70"/>
      <c r="V319" s="662"/>
      <c r="W319" s="662"/>
      <c r="X319" s="662"/>
      <c r="Y319" s="662"/>
      <c r="Z319" s="662"/>
      <c r="AA319" s="662"/>
      <c r="AB319" s="662"/>
      <c r="AC319" s="662"/>
      <c r="AD319" s="662"/>
      <c r="AE319" s="662"/>
      <c r="AF319" s="662"/>
    </row>
    <row r="320" spans="18:32" s="80" customFormat="1">
      <c r="R320" s="70"/>
      <c r="S320" s="70"/>
      <c r="T320" s="70"/>
      <c r="V320" s="662"/>
      <c r="W320" s="662"/>
      <c r="X320" s="662"/>
      <c r="Y320" s="662"/>
      <c r="Z320" s="662"/>
      <c r="AA320" s="662"/>
      <c r="AB320" s="662"/>
      <c r="AC320" s="662"/>
      <c r="AD320" s="662"/>
      <c r="AE320" s="662"/>
      <c r="AF320" s="662"/>
    </row>
    <row r="321" spans="18:32" s="80" customFormat="1">
      <c r="R321" s="70"/>
      <c r="S321" s="70"/>
      <c r="T321" s="70"/>
      <c r="V321" s="662"/>
      <c r="W321" s="662"/>
      <c r="X321" s="662"/>
      <c r="Y321" s="662"/>
      <c r="Z321" s="662"/>
      <c r="AA321" s="662"/>
      <c r="AB321" s="662"/>
      <c r="AC321" s="662"/>
      <c r="AD321" s="662"/>
      <c r="AE321" s="662"/>
      <c r="AF321" s="662"/>
    </row>
    <row r="322" spans="18:32" s="80" customFormat="1">
      <c r="R322" s="70"/>
      <c r="S322" s="70"/>
      <c r="T322" s="70"/>
      <c r="V322" s="662"/>
      <c r="W322" s="662"/>
      <c r="X322" s="662"/>
      <c r="Y322" s="662"/>
      <c r="Z322" s="662"/>
      <c r="AA322" s="662"/>
      <c r="AB322" s="662"/>
      <c r="AC322" s="662"/>
      <c r="AD322" s="662"/>
      <c r="AE322" s="662"/>
      <c r="AF322" s="662"/>
    </row>
    <row r="323" spans="18:32" s="80" customFormat="1">
      <c r="R323" s="70"/>
      <c r="S323" s="70"/>
      <c r="T323" s="70"/>
      <c r="V323" s="662"/>
      <c r="W323" s="662"/>
      <c r="X323" s="662"/>
      <c r="Y323" s="662"/>
      <c r="Z323" s="662"/>
      <c r="AA323" s="662"/>
      <c r="AB323" s="662"/>
      <c r="AC323" s="662"/>
      <c r="AD323" s="662"/>
      <c r="AE323" s="662"/>
      <c r="AF323" s="662"/>
    </row>
    <row r="324" spans="18:32" s="80" customFormat="1">
      <c r="R324" s="70"/>
      <c r="S324" s="70"/>
      <c r="T324" s="70"/>
      <c r="V324" s="662"/>
      <c r="W324" s="662"/>
      <c r="X324" s="662"/>
      <c r="Y324" s="662"/>
      <c r="Z324" s="662"/>
      <c r="AA324" s="662"/>
      <c r="AB324" s="662"/>
      <c r="AC324" s="662"/>
      <c r="AD324" s="662"/>
      <c r="AE324" s="662"/>
      <c r="AF324" s="662"/>
    </row>
    <row r="325" spans="18:32" s="80" customFormat="1">
      <c r="R325" s="70"/>
      <c r="S325" s="70"/>
      <c r="T325" s="70"/>
      <c r="V325" s="662"/>
      <c r="W325" s="662"/>
      <c r="X325" s="662"/>
      <c r="Y325" s="662"/>
      <c r="Z325" s="662"/>
      <c r="AA325" s="662"/>
      <c r="AB325" s="662"/>
      <c r="AC325" s="662"/>
      <c r="AD325" s="662"/>
      <c r="AE325" s="662"/>
      <c r="AF325" s="662"/>
    </row>
    <row r="326" spans="18:32" s="80" customFormat="1">
      <c r="R326" s="70"/>
      <c r="S326" s="70"/>
      <c r="T326" s="70"/>
      <c r="V326" s="662"/>
      <c r="W326" s="662"/>
      <c r="X326" s="662"/>
      <c r="Y326" s="662"/>
      <c r="Z326" s="662"/>
      <c r="AA326" s="662"/>
      <c r="AB326" s="662"/>
      <c r="AC326" s="662"/>
      <c r="AD326" s="662"/>
      <c r="AE326" s="662"/>
      <c r="AF326" s="662"/>
    </row>
    <row r="327" spans="18:32" s="80" customFormat="1">
      <c r="R327" s="70"/>
      <c r="S327" s="70"/>
      <c r="T327" s="70"/>
      <c r="V327" s="662"/>
      <c r="W327" s="662"/>
      <c r="X327" s="662"/>
      <c r="Y327" s="662"/>
      <c r="Z327" s="662"/>
      <c r="AA327" s="662"/>
      <c r="AB327" s="662"/>
      <c r="AC327" s="662"/>
      <c r="AD327" s="662"/>
      <c r="AE327" s="662"/>
      <c r="AF327" s="662"/>
    </row>
    <row r="328" spans="18:32" s="80" customFormat="1">
      <c r="R328" s="70"/>
      <c r="S328" s="70"/>
      <c r="T328" s="70"/>
      <c r="V328" s="662"/>
      <c r="W328" s="662"/>
      <c r="X328" s="662"/>
      <c r="Y328" s="662"/>
      <c r="Z328" s="662"/>
      <c r="AA328" s="662"/>
      <c r="AB328" s="662"/>
      <c r="AC328" s="662"/>
      <c r="AD328" s="662"/>
      <c r="AE328" s="662"/>
      <c r="AF328" s="662"/>
    </row>
    <row r="329" spans="18:32" s="80" customFormat="1">
      <c r="R329" s="70"/>
      <c r="S329" s="70"/>
      <c r="T329" s="70"/>
      <c r="V329" s="662"/>
      <c r="W329" s="662"/>
      <c r="X329" s="662"/>
      <c r="Y329" s="662"/>
      <c r="Z329" s="662"/>
      <c r="AA329" s="662"/>
      <c r="AB329" s="662"/>
      <c r="AC329" s="662"/>
      <c r="AD329" s="662"/>
      <c r="AE329" s="662"/>
      <c r="AF329" s="662"/>
    </row>
    <row r="330" spans="18:32" s="80" customFormat="1">
      <c r="R330" s="70"/>
      <c r="S330" s="70"/>
      <c r="T330" s="70"/>
      <c r="V330" s="662"/>
      <c r="W330" s="662"/>
      <c r="X330" s="662"/>
      <c r="Y330" s="662"/>
      <c r="Z330" s="662"/>
      <c r="AA330" s="662"/>
      <c r="AB330" s="662"/>
      <c r="AC330" s="662"/>
      <c r="AD330" s="662"/>
      <c r="AE330" s="662"/>
      <c r="AF330" s="662"/>
    </row>
    <row r="331" spans="18:32" s="80" customFormat="1">
      <c r="R331" s="70"/>
      <c r="S331" s="70"/>
      <c r="T331" s="70"/>
      <c r="V331" s="662"/>
      <c r="W331" s="662"/>
      <c r="X331" s="662"/>
      <c r="Y331" s="662"/>
      <c r="Z331" s="662"/>
      <c r="AA331" s="662"/>
      <c r="AB331" s="662"/>
      <c r="AC331" s="662"/>
      <c r="AD331" s="662"/>
      <c r="AE331" s="662"/>
      <c r="AF331" s="662"/>
    </row>
    <row r="332" spans="18:32" s="80" customFormat="1">
      <c r="R332" s="70"/>
      <c r="S332" s="70"/>
      <c r="T332" s="70"/>
      <c r="V332" s="662"/>
      <c r="W332" s="662"/>
      <c r="X332" s="662"/>
      <c r="Y332" s="662"/>
      <c r="Z332" s="662"/>
      <c r="AA332" s="662"/>
      <c r="AB332" s="662"/>
      <c r="AC332" s="662"/>
      <c r="AD332" s="662"/>
      <c r="AE332" s="662"/>
      <c r="AF332" s="662"/>
    </row>
    <row r="333" spans="18:32" s="80" customFormat="1">
      <c r="R333" s="70"/>
      <c r="S333" s="70"/>
      <c r="T333" s="70"/>
      <c r="V333" s="662"/>
      <c r="W333" s="662"/>
      <c r="X333" s="662"/>
      <c r="Y333" s="662"/>
      <c r="Z333" s="662"/>
      <c r="AA333" s="662"/>
      <c r="AB333" s="662"/>
      <c r="AC333" s="662"/>
      <c r="AD333" s="662"/>
      <c r="AE333" s="662"/>
      <c r="AF333" s="662"/>
    </row>
    <row r="334" spans="18:32" s="80" customFormat="1">
      <c r="R334" s="70"/>
      <c r="S334" s="70"/>
      <c r="T334" s="70"/>
      <c r="V334" s="662"/>
      <c r="W334" s="662"/>
      <c r="X334" s="662"/>
      <c r="Y334" s="662"/>
      <c r="Z334" s="662"/>
      <c r="AA334" s="662"/>
      <c r="AB334" s="662"/>
      <c r="AC334" s="662"/>
      <c r="AD334" s="662"/>
      <c r="AE334" s="662"/>
      <c r="AF334" s="662"/>
    </row>
    <row r="335" spans="18:32" s="80" customFormat="1">
      <c r="R335" s="70"/>
      <c r="S335" s="70"/>
      <c r="T335" s="70"/>
      <c r="V335" s="662"/>
      <c r="W335" s="662"/>
      <c r="X335" s="662"/>
      <c r="Y335" s="662"/>
      <c r="Z335" s="662"/>
      <c r="AA335" s="662"/>
      <c r="AB335" s="662"/>
      <c r="AC335" s="662"/>
      <c r="AD335" s="662"/>
      <c r="AE335" s="662"/>
      <c r="AF335" s="662"/>
    </row>
    <row r="336" spans="18:32" s="80" customFormat="1">
      <c r="R336" s="70"/>
      <c r="S336" s="70"/>
      <c r="T336" s="70"/>
      <c r="V336" s="662"/>
      <c r="W336" s="662"/>
      <c r="X336" s="662"/>
      <c r="Y336" s="662"/>
      <c r="Z336" s="662"/>
      <c r="AA336" s="662"/>
      <c r="AB336" s="662"/>
      <c r="AC336" s="662"/>
      <c r="AD336" s="662"/>
      <c r="AE336" s="662"/>
      <c r="AF336" s="662"/>
    </row>
    <row r="337" spans="18:32" s="80" customFormat="1">
      <c r="R337" s="70"/>
      <c r="S337" s="70"/>
      <c r="T337" s="70"/>
      <c r="V337" s="662"/>
      <c r="W337" s="662"/>
      <c r="X337" s="662"/>
      <c r="Y337" s="662"/>
      <c r="Z337" s="662"/>
      <c r="AA337" s="662"/>
      <c r="AB337" s="662"/>
      <c r="AC337" s="662"/>
      <c r="AD337" s="662"/>
      <c r="AE337" s="662"/>
      <c r="AF337" s="662"/>
    </row>
    <row r="338" spans="18:32" s="80" customFormat="1">
      <c r="R338" s="70"/>
      <c r="S338" s="70"/>
      <c r="T338" s="70"/>
      <c r="V338" s="662"/>
      <c r="W338" s="662"/>
      <c r="X338" s="662"/>
      <c r="Y338" s="662"/>
      <c r="Z338" s="662"/>
      <c r="AA338" s="662"/>
      <c r="AB338" s="662"/>
      <c r="AC338" s="662"/>
      <c r="AD338" s="662"/>
      <c r="AE338" s="662"/>
      <c r="AF338" s="662"/>
    </row>
    <row r="339" spans="18:32" s="80" customFormat="1">
      <c r="R339" s="70"/>
      <c r="S339" s="70"/>
      <c r="T339" s="70"/>
      <c r="V339" s="662"/>
      <c r="W339" s="662"/>
      <c r="X339" s="662"/>
      <c r="Y339" s="662"/>
      <c r="Z339" s="662"/>
      <c r="AA339" s="662"/>
      <c r="AB339" s="662"/>
      <c r="AC339" s="662"/>
      <c r="AD339" s="662"/>
      <c r="AE339" s="662"/>
      <c r="AF339" s="662"/>
    </row>
    <row r="340" spans="18:32" s="80" customFormat="1">
      <c r="R340" s="70"/>
      <c r="S340" s="70"/>
      <c r="T340" s="70"/>
      <c r="V340" s="662"/>
      <c r="W340" s="662"/>
      <c r="X340" s="662"/>
      <c r="Y340" s="662"/>
      <c r="Z340" s="662"/>
      <c r="AA340" s="662"/>
      <c r="AB340" s="662"/>
      <c r="AC340" s="662"/>
      <c r="AD340" s="662"/>
      <c r="AE340" s="662"/>
      <c r="AF340" s="662"/>
    </row>
    <row r="341" spans="18:32" s="80" customFormat="1">
      <c r="R341" s="70"/>
      <c r="S341" s="70"/>
      <c r="T341" s="70"/>
      <c r="V341" s="662"/>
      <c r="W341" s="662"/>
      <c r="X341" s="662"/>
      <c r="Y341" s="662"/>
      <c r="Z341" s="662"/>
      <c r="AA341" s="662"/>
      <c r="AB341" s="662"/>
      <c r="AC341" s="662"/>
      <c r="AD341" s="662"/>
      <c r="AE341" s="662"/>
      <c r="AF341" s="662"/>
    </row>
    <row r="342" spans="18:32" s="80" customFormat="1">
      <c r="R342" s="70"/>
      <c r="S342" s="70"/>
      <c r="T342" s="70"/>
      <c r="V342" s="662"/>
      <c r="W342" s="662"/>
      <c r="X342" s="662"/>
      <c r="Y342" s="662"/>
      <c r="Z342" s="662"/>
      <c r="AA342" s="662"/>
      <c r="AB342" s="662"/>
      <c r="AC342" s="662"/>
      <c r="AD342" s="662"/>
      <c r="AE342" s="662"/>
      <c r="AF342" s="662"/>
    </row>
    <row r="343" spans="18:32" s="80" customFormat="1">
      <c r="R343" s="70"/>
      <c r="S343" s="70"/>
      <c r="T343" s="70"/>
      <c r="V343" s="662"/>
      <c r="W343" s="662"/>
      <c r="X343" s="662"/>
      <c r="Y343" s="662"/>
      <c r="Z343" s="662"/>
      <c r="AA343" s="662"/>
      <c r="AB343" s="662"/>
      <c r="AC343" s="662"/>
      <c r="AD343" s="662"/>
      <c r="AE343" s="662"/>
      <c r="AF343" s="662"/>
    </row>
    <row r="344" spans="18:32" s="80" customFormat="1">
      <c r="R344" s="70"/>
      <c r="S344" s="70"/>
      <c r="T344" s="70"/>
      <c r="V344" s="662"/>
      <c r="W344" s="662"/>
      <c r="X344" s="662"/>
      <c r="Y344" s="662"/>
      <c r="Z344" s="662"/>
      <c r="AA344" s="662"/>
      <c r="AB344" s="662"/>
      <c r="AC344" s="662"/>
      <c r="AD344" s="662"/>
      <c r="AE344" s="662"/>
      <c r="AF344" s="662"/>
    </row>
    <row r="345" spans="18:32" s="80" customFormat="1">
      <c r="R345" s="70"/>
      <c r="S345" s="70"/>
      <c r="T345" s="70"/>
      <c r="V345" s="662"/>
      <c r="W345" s="662"/>
      <c r="X345" s="662"/>
      <c r="Y345" s="662"/>
      <c r="Z345" s="662"/>
      <c r="AA345" s="662"/>
      <c r="AB345" s="662"/>
      <c r="AC345" s="662"/>
      <c r="AD345" s="662"/>
      <c r="AE345" s="662"/>
      <c r="AF345" s="662"/>
    </row>
    <row r="346" spans="18:32" s="80" customFormat="1">
      <c r="R346" s="70"/>
      <c r="S346" s="70"/>
      <c r="T346" s="70"/>
      <c r="V346" s="662"/>
      <c r="W346" s="662"/>
      <c r="X346" s="662"/>
      <c r="Y346" s="662"/>
      <c r="Z346" s="662"/>
      <c r="AA346" s="662"/>
      <c r="AB346" s="662"/>
      <c r="AC346" s="662"/>
      <c r="AD346" s="662"/>
      <c r="AE346" s="662"/>
      <c r="AF346" s="662"/>
    </row>
    <row r="347" spans="18:32" s="80" customFormat="1">
      <c r="R347" s="70"/>
      <c r="S347" s="70"/>
      <c r="T347" s="70"/>
      <c r="V347" s="662"/>
      <c r="W347" s="662"/>
      <c r="X347" s="662"/>
      <c r="Y347" s="662"/>
      <c r="Z347" s="662"/>
      <c r="AA347" s="662"/>
      <c r="AB347" s="662"/>
      <c r="AC347" s="662"/>
      <c r="AD347" s="662"/>
      <c r="AE347" s="662"/>
      <c r="AF347" s="662"/>
    </row>
    <row r="348" spans="18:32" s="80" customFormat="1">
      <c r="R348" s="70"/>
      <c r="S348" s="70"/>
      <c r="T348" s="70"/>
      <c r="V348" s="662"/>
      <c r="W348" s="662"/>
      <c r="X348" s="662"/>
      <c r="Y348" s="662"/>
      <c r="Z348" s="662"/>
      <c r="AA348" s="662"/>
      <c r="AB348" s="662"/>
      <c r="AC348" s="662"/>
      <c r="AD348" s="662"/>
      <c r="AE348" s="662"/>
      <c r="AF348" s="662"/>
    </row>
    <row r="349" spans="18:32" s="80" customFormat="1">
      <c r="R349" s="70"/>
      <c r="S349" s="70"/>
      <c r="T349" s="70"/>
      <c r="V349" s="662"/>
      <c r="W349" s="662"/>
      <c r="X349" s="662"/>
      <c r="Y349" s="662"/>
      <c r="Z349" s="662"/>
      <c r="AA349" s="662"/>
      <c r="AB349" s="662"/>
      <c r="AC349" s="662"/>
      <c r="AD349" s="662"/>
      <c r="AE349" s="662"/>
      <c r="AF349" s="662"/>
    </row>
    <row r="350" spans="18:32" s="80" customFormat="1">
      <c r="R350" s="70"/>
      <c r="S350" s="70"/>
      <c r="T350" s="70"/>
      <c r="V350" s="662"/>
      <c r="W350" s="662"/>
      <c r="X350" s="662"/>
      <c r="Y350" s="662"/>
      <c r="Z350" s="662"/>
      <c r="AA350" s="662"/>
      <c r="AB350" s="662"/>
      <c r="AC350" s="662"/>
      <c r="AD350" s="662"/>
      <c r="AE350" s="662"/>
      <c r="AF350" s="662"/>
    </row>
    <row r="351" spans="18:32" s="80" customFormat="1">
      <c r="R351" s="70"/>
      <c r="S351" s="70"/>
      <c r="T351" s="70"/>
      <c r="V351" s="662"/>
      <c r="W351" s="662"/>
      <c r="X351" s="662"/>
      <c r="Y351" s="662"/>
      <c r="Z351" s="662"/>
      <c r="AA351" s="662"/>
      <c r="AB351" s="662"/>
      <c r="AC351" s="662"/>
      <c r="AD351" s="662"/>
      <c r="AE351" s="662"/>
      <c r="AF351" s="662"/>
    </row>
    <row r="352" spans="18:32" s="80" customFormat="1">
      <c r="R352" s="70"/>
      <c r="S352" s="70"/>
      <c r="T352" s="70"/>
      <c r="V352" s="662"/>
      <c r="W352" s="662"/>
      <c r="X352" s="662"/>
      <c r="Y352" s="662"/>
      <c r="Z352" s="662"/>
      <c r="AA352" s="662"/>
      <c r="AB352" s="662"/>
      <c r="AC352" s="662"/>
      <c r="AD352" s="662"/>
      <c r="AE352" s="662"/>
      <c r="AF352" s="662"/>
    </row>
    <row r="353" spans="18:32" s="80" customFormat="1">
      <c r="R353" s="70"/>
      <c r="S353" s="70"/>
      <c r="T353" s="70"/>
      <c r="V353" s="662"/>
      <c r="W353" s="662"/>
      <c r="X353" s="662"/>
      <c r="Y353" s="662"/>
      <c r="Z353" s="662"/>
      <c r="AA353" s="662"/>
      <c r="AB353" s="662"/>
      <c r="AC353" s="662"/>
      <c r="AD353" s="662"/>
      <c r="AE353" s="662"/>
      <c r="AF353" s="662"/>
    </row>
    <row r="354" spans="18:32" s="80" customFormat="1">
      <c r="R354" s="70"/>
      <c r="S354" s="70"/>
      <c r="T354" s="70"/>
      <c r="V354" s="662"/>
      <c r="W354" s="662"/>
      <c r="X354" s="662"/>
      <c r="Y354" s="662"/>
      <c r="Z354" s="662"/>
      <c r="AA354" s="662"/>
      <c r="AB354" s="662"/>
      <c r="AC354" s="662"/>
      <c r="AD354" s="662"/>
      <c r="AE354" s="662"/>
      <c r="AF354" s="662"/>
    </row>
    <row r="355" spans="18:32" s="80" customFormat="1">
      <c r="R355" s="70"/>
      <c r="S355" s="70"/>
      <c r="T355" s="70"/>
      <c r="V355" s="662"/>
      <c r="W355" s="662"/>
      <c r="X355" s="662"/>
      <c r="Y355" s="662"/>
      <c r="Z355" s="662"/>
      <c r="AA355" s="662"/>
      <c r="AB355" s="662"/>
      <c r="AC355" s="662"/>
      <c r="AD355" s="662"/>
      <c r="AE355" s="662"/>
      <c r="AF355" s="662"/>
    </row>
    <row r="356" spans="18:32" s="80" customFormat="1">
      <c r="R356" s="70"/>
      <c r="S356" s="70"/>
      <c r="T356" s="70"/>
      <c r="V356" s="662"/>
      <c r="W356" s="662"/>
      <c r="X356" s="662"/>
      <c r="Y356" s="662"/>
      <c r="Z356" s="662"/>
      <c r="AA356" s="662"/>
      <c r="AB356" s="662"/>
      <c r="AC356" s="662"/>
      <c r="AD356" s="662"/>
      <c r="AE356" s="662"/>
      <c r="AF356" s="662"/>
    </row>
    <row r="357" spans="18:32" s="80" customFormat="1">
      <c r="R357" s="70"/>
      <c r="S357" s="70"/>
      <c r="T357" s="70"/>
      <c r="V357" s="662"/>
      <c r="W357" s="662"/>
      <c r="X357" s="662"/>
      <c r="Y357" s="662"/>
      <c r="Z357" s="662"/>
      <c r="AA357" s="662"/>
      <c r="AB357" s="662"/>
      <c r="AC357" s="662"/>
      <c r="AD357" s="662"/>
      <c r="AE357" s="662"/>
      <c r="AF357" s="662"/>
    </row>
    <row r="358" spans="18:32" s="80" customFormat="1">
      <c r="R358" s="70"/>
      <c r="S358" s="70"/>
      <c r="T358" s="70"/>
      <c r="V358" s="662"/>
      <c r="W358" s="662"/>
      <c r="X358" s="662"/>
      <c r="Y358" s="662"/>
      <c r="Z358" s="662"/>
      <c r="AA358" s="662"/>
      <c r="AB358" s="662"/>
      <c r="AC358" s="662"/>
      <c r="AD358" s="662"/>
      <c r="AE358" s="662"/>
      <c r="AF358" s="662"/>
    </row>
    <row r="359" spans="18:32" s="80" customFormat="1">
      <c r="R359" s="70"/>
      <c r="S359" s="70"/>
      <c r="T359" s="70"/>
      <c r="V359" s="662"/>
      <c r="W359" s="662"/>
      <c r="X359" s="662"/>
      <c r="Y359" s="662"/>
      <c r="Z359" s="662"/>
      <c r="AA359" s="662"/>
      <c r="AB359" s="662"/>
      <c r="AC359" s="662"/>
      <c r="AD359" s="662"/>
      <c r="AE359" s="662"/>
      <c r="AF359" s="662"/>
    </row>
    <row r="360" spans="18:32" s="80" customFormat="1">
      <c r="R360" s="70"/>
      <c r="S360" s="70"/>
      <c r="T360" s="70"/>
      <c r="V360" s="662"/>
      <c r="W360" s="662"/>
      <c r="X360" s="662"/>
      <c r="Y360" s="662"/>
      <c r="Z360" s="662"/>
      <c r="AA360" s="662"/>
      <c r="AB360" s="662"/>
      <c r="AC360" s="662"/>
      <c r="AD360" s="662"/>
      <c r="AE360" s="662"/>
      <c r="AF360" s="662"/>
    </row>
    <row r="361" spans="18:32" s="80" customFormat="1">
      <c r="R361" s="70"/>
      <c r="S361" s="70"/>
      <c r="T361" s="70"/>
      <c r="V361" s="662"/>
      <c r="W361" s="662"/>
      <c r="X361" s="662"/>
      <c r="Y361" s="662"/>
      <c r="Z361" s="662"/>
      <c r="AA361" s="662"/>
      <c r="AB361" s="662"/>
      <c r="AC361" s="662"/>
      <c r="AD361" s="662"/>
      <c r="AE361" s="662"/>
      <c r="AF361" s="662"/>
    </row>
    <row r="362" spans="18:32" s="80" customFormat="1">
      <c r="R362" s="70"/>
      <c r="S362" s="70"/>
      <c r="T362" s="70"/>
      <c r="V362" s="662"/>
      <c r="W362" s="662"/>
      <c r="X362" s="662"/>
      <c r="Y362" s="662"/>
      <c r="Z362" s="662"/>
      <c r="AA362" s="662"/>
      <c r="AB362" s="662"/>
      <c r="AC362" s="662"/>
      <c r="AD362" s="662"/>
      <c r="AE362" s="662"/>
      <c r="AF362" s="662"/>
    </row>
    <row r="363" spans="18:32" s="80" customFormat="1">
      <c r="R363" s="70"/>
      <c r="S363" s="70"/>
      <c r="T363" s="70"/>
      <c r="V363" s="662"/>
      <c r="W363" s="662"/>
      <c r="X363" s="662"/>
      <c r="Y363" s="662"/>
      <c r="Z363" s="662"/>
      <c r="AA363" s="662"/>
      <c r="AB363" s="662"/>
      <c r="AC363" s="662"/>
      <c r="AD363" s="662"/>
      <c r="AE363" s="662"/>
      <c r="AF363" s="662"/>
    </row>
    <row r="364" spans="18:32" s="80" customFormat="1">
      <c r="R364" s="70"/>
      <c r="S364" s="70"/>
      <c r="T364" s="70"/>
      <c r="V364" s="662"/>
      <c r="W364" s="662"/>
      <c r="X364" s="662"/>
      <c r="Y364" s="662"/>
      <c r="Z364" s="662"/>
      <c r="AA364" s="662"/>
      <c r="AB364" s="662"/>
      <c r="AC364" s="662"/>
      <c r="AD364" s="662"/>
      <c r="AE364" s="662"/>
      <c r="AF364" s="662"/>
    </row>
    <row r="365" spans="18:32" s="80" customFormat="1">
      <c r="R365" s="70"/>
      <c r="S365" s="70"/>
      <c r="T365" s="70"/>
      <c r="V365" s="662"/>
      <c r="W365" s="662"/>
      <c r="X365" s="662"/>
      <c r="Y365" s="662"/>
      <c r="Z365" s="662"/>
      <c r="AA365" s="662"/>
      <c r="AB365" s="662"/>
      <c r="AC365" s="662"/>
      <c r="AD365" s="662"/>
      <c r="AE365" s="662"/>
      <c r="AF365" s="662"/>
    </row>
    <row r="366" spans="18:32" s="80" customFormat="1">
      <c r="R366" s="70"/>
      <c r="S366" s="70"/>
      <c r="T366" s="70"/>
      <c r="V366" s="662"/>
      <c r="W366" s="662"/>
      <c r="X366" s="662"/>
      <c r="Y366" s="662"/>
      <c r="Z366" s="662"/>
      <c r="AA366" s="662"/>
      <c r="AB366" s="662"/>
      <c r="AC366" s="662"/>
      <c r="AD366" s="662"/>
      <c r="AE366" s="662"/>
      <c r="AF366" s="662"/>
    </row>
    <row r="367" spans="18:32" s="80" customFormat="1">
      <c r="R367" s="70"/>
      <c r="S367" s="70"/>
      <c r="T367" s="70"/>
      <c r="V367" s="662"/>
      <c r="W367" s="662"/>
      <c r="X367" s="662"/>
      <c r="Y367" s="662"/>
      <c r="Z367" s="662"/>
      <c r="AA367" s="662"/>
      <c r="AB367" s="662"/>
      <c r="AC367" s="662"/>
      <c r="AD367" s="662"/>
      <c r="AE367" s="662"/>
      <c r="AF367" s="662"/>
    </row>
    <row r="368" spans="18:32" s="80" customFormat="1">
      <c r="R368" s="70"/>
      <c r="S368" s="70"/>
      <c r="T368" s="70"/>
      <c r="V368" s="662"/>
      <c r="W368" s="662"/>
      <c r="X368" s="662"/>
      <c r="Y368" s="662"/>
      <c r="Z368" s="662"/>
      <c r="AA368" s="662"/>
      <c r="AB368" s="662"/>
      <c r="AC368" s="662"/>
      <c r="AD368" s="662"/>
      <c r="AE368" s="662"/>
      <c r="AF368" s="662"/>
    </row>
    <row r="369" spans="18:32" s="80" customFormat="1">
      <c r="R369" s="70"/>
      <c r="S369" s="70"/>
      <c r="T369" s="70"/>
      <c r="V369" s="662"/>
      <c r="W369" s="662"/>
      <c r="X369" s="662"/>
      <c r="Y369" s="662"/>
      <c r="Z369" s="662"/>
      <c r="AA369" s="662"/>
      <c r="AB369" s="662"/>
      <c r="AC369" s="662"/>
      <c r="AD369" s="662"/>
      <c r="AE369" s="662"/>
      <c r="AF369" s="662"/>
    </row>
    <row r="370" spans="18:32" s="80" customFormat="1">
      <c r="R370" s="70"/>
      <c r="S370" s="70"/>
      <c r="T370" s="70"/>
      <c r="V370" s="662"/>
      <c r="W370" s="662"/>
      <c r="X370" s="662"/>
      <c r="Y370" s="662"/>
      <c r="Z370" s="662"/>
      <c r="AA370" s="662"/>
      <c r="AB370" s="662"/>
      <c r="AC370" s="662"/>
      <c r="AD370" s="662"/>
      <c r="AE370" s="662"/>
      <c r="AF370" s="662"/>
    </row>
    <row r="371" spans="18:32" s="80" customFormat="1">
      <c r="R371" s="70"/>
      <c r="S371" s="70"/>
      <c r="T371" s="70"/>
      <c r="V371" s="662"/>
      <c r="W371" s="662"/>
      <c r="X371" s="662"/>
      <c r="Y371" s="662"/>
      <c r="Z371" s="662"/>
      <c r="AA371" s="662"/>
      <c r="AB371" s="662"/>
      <c r="AC371" s="662"/>
      <c r="AD371" s="662"/>
      <c r="AE371" s="662"/>
      <c r="AF371" s="662"/>
    </row>
    <row r="372" spans="18:32" s="80" customFormat="1">
      <c r="R372" s="70"/>
      <c r="S372" s="70"/>
      <c r="T372" s="70"/>
      <c r="V372" s="662"/>
      <c r="W372" s="662"/>
      <c r="X372" s="662"/>
      <c r="Y372" s="662"/>
      <c r="Z372" s="662"/>
      <c r="AA372" s="662"/>
      <c r="AB372" s="662"/>
      <c r="AC372" s="662"/>
      <c r="AD372" s="662"/>
      <c r="AE372" s="662"/>
      <c r="AF372" s="662"/>
    </row>
    <row r="373" spans="18:32" s="80" customFormat="1">
      <c r="R373" s="70"/>
      <c r="S373" s="70"/>
      <c r="T373" s="70"/>
      <c r="V373" s="662"/>
      <c r="W373" s="662"/>
      <c r="X373" s="662"/>
      <c r="Y373" s="662"/>
      <c r="Z373" s="662"/>
      <c r="AA373" s="662"/>
      <c r="AB373" s="662"/>
      <c r="AC373" s="662"/>
      <c r="AD373" s="662"/>
      <c r="AE373" s="662"/>
      <c r="AF373" s="662"/>
    </row>
    <row r="374" spans="18:32" s="80" customFormat="1">
      <c r="R374" s="70"/>
      <c r="S374" s="70"/>
      <c r="T374" s="70"/>
      <c r="V374" s="662"/>
      <c r="W374" s="662"/>
      <c r="X374" s="662"/>
      <c r="Y374" s="662"/>
      <c r="Z374" s="662"/>
      <c r="AA374" s="662"/>
      <c r="AB374" s="662"/>
      <c r="AC374" s="662"/>
      <c r="AD374" s="662"/>
      <c r="AE374" s="662"/>
      <c r="AF374" s="662"/>
    </row>
    <row r="375" spans="18:32" s="80" customFormat="1">
      <c r="R375" s="70"/>
      <c r="S375" s="70"/>
      <c r="T375" s="70"/>
      <c r="V375" s="662"/>
      <c r="W375" s="662"/>
      <c r="X375" s="662"/>
      <c r="Y375" s="662"/>
      <c r="Z375" s="662"/>
      <c r="AA375" s="662"/>
      <c r="AB375" s="662"/>
      <c r="AC375" s="662"/>
      <c r="AD375" s="662"/>
      <c r="AE375" s="662"/>
      <c r="AF375" s="662"/>
    </row>
    <row r="376" spans="18:32" s="80" customFormat="1">
      <c r="R376" s="70"/>
      <c r="S376" s="70"/>
      <c r="T376" s="70"/>
      <c r="V376" s="662"/>
      <c r="W376" s="662"/>
      <c r="X376" s="662"/>
      <c r="Y376" s="662"/>
      <c r="Z376" s="662"/>
      <c r="AA376" s="662"/>
      <c r="AB376" s="662"/>
      <c r="AC376" s="662"/>
      <c r="AD376" s="662"/>
      <c r="AE376" s="662"/>
      <c r="AF376" s="662"/>
    </row>
    <row r="377" spans="18:32" s="80" customFormat="1">
      <c r="R377" s="70"/>
      <c r="S377" s="70"/>
      <c r="T377" s="70"/>
      <c r="V377" s="662"/>
      <c r="W377" s="662"/>
      <c r="X377" s="662"/>
      <c r="Y377" s="662"/>
      <c r="Z377" s="662"/>
      <c r="AA377" s="662"/>
      <c r="AB377" s="662"/>
      <c r="AC377" s="662"/>
      <c r="AD377" s="662"/>
      <c r="AE377" s="662"/>
      <c r="AF377" s="662"/>
    </row>
    <row r="378" spans="18:32" s="80" customFormat="1">
      <c r="R378" s="70"/>
      <c r="S378" s="70"/>
      <c r="T378" s="70"/>
      <c r="V378" s="662"/>
      <c r="W378" s="662"/>
      <c r="X378" s="662"/>
      <c r="Y378" s="662"/>
      <c r="Z378" s="662"/>
      <c r="AA378" s="662"/>
      <c r="AB378" s="662"/>
      <c r="AC378" s="662"/>
      <c r="AD378" s="662"/>
      <c r="AE378" s="662"/>
      <c r="AF378" s="662"/>
    </row>
    <row r="379" spans="18:32" s="80" customFormat="1">
      <c r="R379" s="70"/>
      <c r="S379" s="70"/>
      <c r="T379" s="70"/>
      <c r="V379" s="662"/>
      <c r="W379" s="662"/>
      <c r="X379" s="662"/>
      <c r="Y379" s="662"/>
      <c r="Z379" s="662"/>
      <c r="AA379" s="662"/>
      <c r="AB379" s="662"/>
      <c r="AC379" s="662"/>
      <c r="AD379" s="662"/>
      <c r="AE379" s="662"/>
      <c r="AF379" s="662"/>
    </row>
    <row r="380" spans="18:32" s="80" customFormat="1">
      <c r="R380" s="70"/>
      <c r="S380" s="70"/>
      <c r="T380" s="70"/>
      <c r="V380" s="662"/>
      <c r="W380" s="662"/>
      <c r="X380" s="662"/>
      <c r="Y380" s="662"/>
      <c r="Z380" s="662"/>
      <c r="AA380" s="662"/>
      <c r="AB380" s="662"/>
      <c r="AC380" s="662"/>
      <c r="AD380" s="662"/>
      <c r="AE380" s="662"/>
      <c r="AF380" s="662"/>
    </row>
    <row r="381" spans="18:32" s="80" customFormat="1">
      <c r="R381" s="70"/>
      <c r="S381" s="70"/>
      <c r="T381" s="70"/>
      <c r="V381" s="662"/>
      <c r="W381" s="662"/>
      <c r="X381" s="662"/>
      <c r="Y381" s="662"/>
      <c r="Z381" s="662"/>
      <c r="AA381" s="662"/>
      <c r="AB381" s="662"/>
      <c r="AC381" s="662"/>
      <c r="AD381" s="662"/>
      <c r="AE381" s="662"/>
      <c r="AF381" s="662"/>
    </row>
    <row r="382" spans="18:32" s="80" customFormat="1">
      <c r="R382" s="70"/>
      <c r="S382" s="70"/>
      <c r="T382" s="70"/>
      <c r="V382" s="662"/>
      <c r="W382" s="662"/>
      <c r="X382" s="662"/>
      <c r="Y382" s="662"/>
      <c r="Z382" s="662"/>
      <c r="AA382" s="662"/>
      <c r="AB382" s="662"/>
      <c r="AC382" s="662"/>
      <c r="AD382" s="662"/>
      <c r="AE382" s="662"/>
      <c r="AF382" s="662"/>
    </row>
    <row r="383" spans="18:32" s="80" customFormat="1">
      <c r="R383" s="70"/>
      <c r="S383" s="70"/>
      <c r="T383" s="70"/>
      <c r="V383" s="662"/>
      <c r="W383" s="662"/>
      <c r="X383" s="662"/>
      <c r="Y383" s="662"/>
      <c r="Z383" s="662"/>
      <c r="AA383" s="662"/>
      <c r="AB383" s="662"/>
      <c r="AC383" s="662"/>
      <c r="AD383" s="662"/>
      <c r="AE383" s="662"/>
      <c r="AF383" s="662"/>
    </row>
    <row r="384" spans="18:32" s="80" customFormat="1">
      <c r="R384" s="70"/>
      <c r="S384" s="70"/>
      <c r="T384" s="70"/>
      <c r="V384" s="662"/>
      <c r="W384" s="662"/>
      <c r="X384" s="662"/>
      <c r="Y384" s="662"/>
      <c r="Z384" s="662"/>
      <c r="AA384" s="662"/>
      <c r="AB384" s="662"/>
      <c r="AC384" s="662"/>
      <c r="AD384" s="662"/>
      <c r="AE384" s="662"/>
      <c r="AF384" s="662"/>
    </row>
    <row r="385" spans="18:32" s="80" customFormat="1">
      <c r="R385" s="70"/>
      <c r="S385" s="70"/>
      <c r="T385" s="70"/>
      <c r="V385" s="662"/>
      <c r="W385" s="662"/>
      <c r="X385" s="662"/>
      <c r="Y385" s="662"/>
      <c r="Z385" s="662"/>
      <c r="AA385" s="662"/>
      <c r="AB385" s="662"/>
      <c r="AC385" s="662"/>
      <c r="AD385" s="662"/>
      <c r="AE385" s="662"/>
      <c r="AF385" s="662"/>
    </row>
    <row r="386" spans="18:32" s="80" customFormat="1">
      <c r="R386" s="70"/>
      <c r="S386" s="70"/>
      <c r="T386" s="70"/>
      <c r="V386" s="662"/>
      <c r="W386" s="662"/>
      <c r="X386" s="662"/>
      <c r="Y386" s="662"/>
      <c r="Z386" s="662"/>
      <c r="AA386" s="662"/>
      <c r="AB386" s="662"/>
      <c r="AC386" s="662"/>
      <c r="AD386" s="662"/>
      <c r="AE386" s="662"/>
      <c r="AF386" s="662"/>
    </row>
    <row r="387" spans="18:32" s="80" customFormat="1">
      <c r="R387" s="70"/>
      <c r="S387" s="70"/>
      <c r="T387" s="70"/>
      <c r="V387" s="662"/>
      <c r="W387" s="662"/>
      <c r="X387" s="662"/>
      <c r="Y387" s="662"/>
      <c r="Z387" s="662"/>
      <c r="AA387" s="662"/>
      <c r="AB387" s="662"/>
      <c r="AC387" s="662"/>
      <c r="AD387" s="662"/>
      <c r="AE387" s="662"/>
      <c r="AF387" s="662"/>
    </row>
    <row r="388" spans="18:32" s="80" customFormat="1">
      <c r="R388" s="70"/>
      <c r="S388" s="70"/>
      <c r="T388" s="70"/>
      <c r="V388" s="662"/>
      <c r="W388" s="662"/>
      <c r="X388" s="662"/>
      <c r="Y388" s="662"/>
      <c r="Z388" s="662"/>
      <c r="AA388" s="662"/>
      <c r="AB388" s="662"/>
      <c r="AC388" s="662"/>
      <c r="AD388" s="662"/>
      <c r="AE388" s="662"/>
      <c r="AF388" s="662"/>
    </row>
    <row r="389" spans="18:32" s="80" customFormat="1">
      <c r="R389" s="70"/>
      <c r="S389" s="70"/>
      <c r="T389" s="70"/>
      <c r="V389" s="662"/>
      <c r="W389" s="662"/>
      <c r="X389" s="662"/>
      <c r="Y389" s="662"/>
      <c r="Z389" s="662"/>
      <c r="AA389" s="662"/>
      <c r="AB389" s="662"/>
      <c r="AC389" s="662"/>
      <c r="AD389" s="662"/>
      <c r="AE389" s="662"/>
      <c r="AF389" s="662"/>
    </row>
    <row r="390" spans="18:32" s="80" customFormat="1">
      <c r="R390" s="70"/>
      <c r="S390" s="70"/>
      <c r="T390" s="70"/>
      <c r="V390" s="662"/>
      <c r="W390" s="662"/>
      <c r="X390" s="662"/>
      <c r="Y390" s="662"/>
      <c r="Z390" s="662"/>
      <c r="AA390" s="662"/>
      <c r="AB390" s="662"/>
      <c r="AC390" s="662"/>
      <c r="AD390" s="662"/>
      <c r="AE390" s="662"/>
      <c r="AF390" s="662"/>
    </row>
    <row r="391" spans="18:32" s="80" customFormat="1">
      <c r="R391" s="70"/>
      <c r="S391" s="70"/>
      <c r="T391" s="70"/>
      <c r="V391" s="662"/>
      <c r="W391" s="662"/>
      <c r="X391" s="662"/>
      <c r="Y391" s="662"/>
      <c r="Z391" s="662"/>
      <c r="AA391" s="662"/>
      <c r="AB391" s="662"/>
      <c r="AC391" s="662"/>
      <c r="AD391" s="662"/>
      <c r="AE391" s="662"/>
      <c r="AF391" s="662"/>
    </row>
    <row r="392" spans="18:32" s="80" customFormat="1">
      <c r="R392" s="70"/>
      <c r="S392" s="70"/>
      <c r="T392" s="70"/>
      <c r="V392" s="662"/>
      <c r="W392" s="662"/>
      <c r="X392" s="662"/>
      <c r="Y392" s="662"/>
      <c r="Z392" s="662"/>
      <c r="AA392" s="662"/>
      <c r="AB392" s="662"/>
      <c r="AC392" s="662"/>
      <c r="AD392" s="662"/>
      <c r="AE392" s="662"/>
      <c r="AF392" s="662"/>
    </row>
    <row r="393" spans="18:32" s="80" customFormat="1">
      <c r="R393" s="70"/>
      <c r="S393" s="70"/>
      <c r="T393" s="70"/>
      <c r="V393" s="662"/>
      <c r="W393" s="662"/>
      <c r="X393" s="662"/>
      <c r="Y393" s="662"/>
      <c r="Z393" s="662"/>
      <c r="AA393" s="662"/>
      <c r="AB393" s="662"/>
      <c r="AC393" s="662"/>
      <c r="AD393" s="662"/>
      <c r="AE393" s="662"/>
      <c r="AF393" s="662"/>
    </row>
    <row r="394" spans="18:32" s="80" customFormat="1">
      <c r="R394" s="70"/>
      <c r="S394" s="70"/>
      <c r="T394" s="70"/>
      <c r="V394" s="662"/>
      <c r="W394" s="662"/>
      <c r="X394" s="662"/>
      <c r="Y394" s="662"/>
      <c r="Z394" s="662"/>
      <c r="AA394" s="662"/>
      <c r="AB394" s="662"/>
      <c r="AC394" s="662"/>
      <c r="AD394" s="662"/>
      <c r="AE394" s="662"/>
      <c r="AF394" s="662"/>
    </row>
    <row r="395" spans="18:32" s="80" customFormat="1">
      <c r="R395" s="70"/>
      <c r="S395" s="70"/>
      <c r="T395" s="70"/>
      <c r="V395" s="662"/>
      <c r="W395" s="662"/>
      <c r="X395" s="662"/>
      <c r="Y395" s="662"/>
      <c r="Z395" s="662"/>
      <c r="AA395" s="662"/>
      <c r="AB395" s="662"/>
      <c r="AC395" s="662"/>
      <c r="AD395" s="662"/>
      <c r="AE395" s="662"/>
      <c r="AF395" s="662"/>
    </row>
    <row r="396" spans="18:32" s="80" customFormat="1">
      <c r="R396" s="70"/>
      <c r="S396" s="70"/>
      <c r="T396" s="70"/>
      <c r="V396" s="662"/>
      <c r="W396" s="662"/>
      <c r="X396" s="662"/>
      <c r="Y396" s="662"/>
      <c r="Z396" s="662"/>
      <c r="AA396" s="662"/>
      <c r="AB396" s="662"/>
      <c r="AC396" s="662"/>
      <c r="AD396" s="662"/>
      <c r="AE396" s="662"/>
      <c r="AF396" s="662"/>
    </row>
    <row r="397" spans="18:32" s="80" customFormat="1">
      <c r="R397" s="70"/>
      <c r="S397" s="70"/>
      <c r="T397" s="70"/>
      <c r="V397" s="662"/>
      <c r="W397" s="662"/>
      <c r="X397" s="662"/>
      <c r="Y397" s="662"/>
      <c r="Z397" s="662"/>
      <c r="AA397" s="662"/>
      <c r="AB397" s="662"/>
      <c r="AC397" s="662"/>
      <c r="AD397" s="662"/>
      <c r="AE397" s="662"/>
      <c r="AF397" s="662"/>
    </row>
    <row r="398" spans="18:32" s="80" customFormat="1">
      <c r="R398" s="70"/>
      <c r="S398" s="70"/>
      <c r="T398" s="70"/>
      <c r="V398" s="662"/>
      <c r="W398" s="662"/>
      <c r="X398" s="662"/>
      <c r="Y398" s="662"/>
      <c r="Z398" s="662"/>
      <c r="AA398" s="662"/>
      <c r="AB398" s="662"/>
      <c r="AC398" s="662"/>
      <c r="AD398" s="662"/>
      <c r="AE398" s="662"/>
      <c r="AF398" s="662"/>
    </row>
    <row r="399" spans="18:32" s="80" customFormat="1">
      <c r="R399" s="70"/>
      <c r="S399" s="70"/>
      <c r="T399" s="70"/>
      <c r="V399" s="662"/>
      <c r="W399" s="662"/>
      <c r="X399" s="662"/>
      <c r="Y399" s="662"/>
      <c r="Z399" s="662"/>
      <c r="AA399" s="662"/>
      <c r="AB399" s="662"/>
      <c r="AC399" s="662"/>
      <c r="AD399" s="662"/>
      <c r="AE399" s="662"/>
      <c r="AF399" s="662"/>
    </row>
    <row r="400" spans="18:32" s="80" customFormat="1">
      <c r="R400" s="70"/>
      <c r="S400" s="70"/>
      <c r="T400" s="70"/>
      <c r="V400" s="662"/>
      <c r="W400" s="662"/>
      <c r="X400" s="662"/>
      <c r="Y400" s="662"/>
      <c r="Z400" s="662"/>
      <c r="AA400" s="662"/>
      <c r="AB400" s="662"/>
      <c r="AC400" s="662"/>
      <c r="AD400" s="662"/>
      <c r="AE400" s="662"/>
      <c r="AF400" s="662"/>
    </row>
    <row r="401" spans="18:32" s="80" customFormat="1">
      <c r="R401" s="70"/>
      <c r="S401" s="70"/>
      <c r="T401" s="70"/>
      <c r="V401" s="662"/>
      <c r="W401" s="662"/>
      <c r="X401" s="662"/>
      <c r="Y401" s="662"/>
      <c r="Z401" s="662"/>
      <c r="AA401" s="662"/>
      <c r="AB401" s="662"/>
      <c r="AC401" s="662"/>
      <c r="AD401" s="662"/>
      <c r="AE401" s="662"/>
      <c r="AF401" s="662"/>
    </row>
    <row r="402" spans="18:32" s="80" customFormat="1">
      <c r="R402" s="70"/>
      <c r="S402" s="70"/>
      <c r="T402" s="70"/>
      <c r="V402" s="662"/>
      <c r="W402" s="662"/>
      <c r="X402" s="662"/>
      <c r="Y402" s="662"/>
      <c r="Z402" s="662"/>
      <c r="AA402" s="662"/>
      <c r="AB402" s="662"/>
      <c r="AC402" s="662"/>
      <c r="AD402" s="662"/>
      <c r="AE402" s="662"/>
      <c r="AF402" s="662"/>
    </row>
    <row r="403" spans="18:32" s="80" customFormat="1">
      <c r="R403" s="70"/>
      <c r="S403" s="70"/>
      <c r="T403" s="70"/>
      <c r="V403" s="662"/>
      <c r="W403" s="662"/>
      <c r="X403" s="662"/>
      <c r="Y403" s="662"/>
      <c r="Z403" s="662"/>
      <c r="AA403" s="662"/>
      <c r="AB403" s="662"/>
      <c r="AC403" s="662"/>
      <c r="AD403" s="662"/>
      <c r="AE403" s="662"/>
      <c r="AF403" s="662"/>
    </row>
    <row r="404" spans="18:32" s="80" customFormat="1">
      <c r="R404" s="70"/>
      <c r="S404" s="70"/>
      <c r="T404" s="70"/>
      <c r="V404" s="662"/>
      <c r="W404" s="662"/>
      <c r="X404" s="662"/>
      <c r="Y404" s="662"/>
      <c r="Z404" s="662"/>
      <c r="AA404" s="662"/>
      <c r="AB404" s="662"/>
      <c r="AC404" s="662"/>
      <c r="AD404" s="662"/>
      <c r="AE404" s="662"/>
      <c r="AF404" s="662"/>
    </row>
    <row r="405" spans="18:32" s="80" customFormat="1">
      <c r="R405" s="70"/>
      <c r="S405" s="70"/>
      <c r="T405" s="70"/>
      <c r="V405" s="662"/>
      <c r="W405" s="662"/>
      <c r="X405" s="662"/>
      <c r="Y405" s="662"/>
      <c r="Z405" s="662"/>
      <c r="AA405" s="662"/>
      <c r="AB405" s="662"/>
      <c r="AC405" s="662"/>
      <c r="AD405" s="662"/>
      <c r="AE405" s="662"/>
      <c r="AF405" s="662"/>
    </row>
    <row r="406" spans="18:32" s="80" customFormat="1">
      <c r="R406" s="70"/>
      <c r="S406" s="70"/>
      <c r="T406" s="70"/>
      <c r="V406" s="662"/>
      <c r="W406" s="662"/>
      <c r="X406" s="662"/>
      <c r="Y406" s="662"/>
      <c r="Z406" s="662"/>
      <c r="AA406" s="662"/>
      <c r="AB406" s="662"/>
      <c r="AC406" s="662"/>
      <c r="AD406" s="662"/>
      <c r="AE406" s="662"/>
      <c r="AF406" s="662"/>
    </row>
    <row r="407" spans="18:32" s="80" customFormat="1">
      <c r="R407" s="70"/>
      <c r="S407" s="70"/>
      <c r="T407" s="70"/>
      <c r="V407" s="662"/>
      <c r="W407" s="662"/>
      <c r="X407" s="662"/>
      <c r="Y407" s="662"/>
      <c r="Z407" s="662"/>
      <c r="AA407" s="662"/>
      <c r="AB407" s="662"/>
      <c r="AC407" s="662"/>
      <c r="AD407" s="662"/>
      <c r="AE407" s="662"/>
      <c r="AF407" s="662"/>
    </row>
    <row r="408" spans="18:32" s="80" customFormat="1">
      <c r="R408" s="70"/>
      <c r="S408" s="70"/>
      <c r="T408" s="70"/>
      <c r="V408" s="662"/>
      <c r="W408" s="662"/>
      <c r="X408" s="662"/>
      <c r="Y408" s="662"/>
      <c r="Z408" s="662"/>
      <c r="AA408" s="662"/>
      <c r="AB408" s="662"/>
      <c r="AC408" s="662"/>
      <c r="AD408" s="662"/>
      <c r="AE408" s="662"/>
      <c r="AF408" s="662"/>
    </row>
    <row r="409" spans="18:32" s="80" customFormat="1">
      <c r="R409" s="70"/>
      <c r="S409" s="70"/>
      <c r="T409" s="70"/>
      <c r="V409" s="662"/>
      <c r="W409" s="662"/>
      <c r="X409" s="662"/>
      <c r="Y409" s="662"/>
      <c r="Z409" s="662"/>
      <c r="AA409" s="662"/>
      <c r="AB409" s="662"/>
      <c r="AC409" s="662"/>
      <c r="AD409" s="662"/>
      <c r="AE409" s="662"/>
      <c r="AF409" s="662"/>
    </row>
    <row r="410" spans="18:32" s="80" customFormat="1">
      <c r="R410" s="70"/>
      <c r="S410" s="70"/>
      <c r="T410" s="70"/>
      <c r="V410" s="662"/>
      <c r="W410" s="662"/>
      <c r="X410" s="662"/>
      <c r="Y410" s="662"/>
      <c r="Z410" s="662"/>
      <c r="AA410" s="662"/>
      <c r="AB410" s="662"/>
      <c r="AC410" s="662"/>
      <c r="AD410" s="662"/>
      <c r="AE410" s="662"/>
      <c r="AF410" s="662"/>
    </row>
    <row r="411" spans="18:32" s="80" customFormat="1">
      <c r="R411" s="70"/>
      <c r="S411" s="70"/>
      <c r="T411" s="70"/>
      <c r="V411" s="662"/>
      <c r="W411" s="662"/>
      <c r="X411" s="662"/>
      <c r="Y411" s="662"/>
      <c r="Z411" s="662"/>
      <c r="AA411" s="662"/>
      <c r="AB411" s="662"/>
      <c r="AC411" s="662"/>
      <c r="AD411" s="662"/>
      <c r="AE411" s="662"/>
      <c r="AF411" s="662"/>
    </row>
    <row r="412" spans="18:32" s="80" customFormat="1">
      <c r="R412" s="70"/>
      <c r="S412" s="70"/>
      <c r="T412" s="70"/>
      <c r="V412" s="662"/>
      <c r="W412" s="662"/>
      <c r="X412" s="662"/>
      <c r="Y412" s="662"/>
      <c r="Z412" s="662"/>
      <c r="AA412" s="662"/>
      <c r="AB412" s="662"/>
      <c r="AC412" s="662"/>
      <c r="AD412" s="662"/>
      <c r="AE412" s="662"/>
      <c r="AF412" s="662"/>
    </row>
    <row r="413" spans="18:32" s="80" customFormat="1">
      <c r="R413" s="70"/>
      <c r="S413" s="70"/>
      <c r="T413" s="70"/>
      <c r="V413" s="662"/>
      <c r="W413" s="662"/>
      <c r="X413" s="662"/>
      <c r="Y413" s="662"/>
      <c r="Z413" s="662"/>
      <c r="AA413" s="662"/>
      <c r="AB413" s="662"/>
      <c r="AC413" s="662"/>
      <c r="AD413" s="662"/>
      <c r="AE413" s="662"/>
      <c r="AF413" s="662"/>
    </row>
    <row r="414" spans="18:32" s="80" customFormat="1">
      <c r="R414" s="70"/>
      <c r="S414" s="70"/>
      <c r="T414" s="70"/>
      <c r="V414" s="662"/>
      <c r="W414" s="662"/>
      <c r="X414" s="662"/>
      <c r="Y414" s="662"/>
      <c r="Z414" s="662"/>
      <c r="AA414" s="662"/>
      <c r="AB414" s="662"/>
      <c r="AC414" s="662"/>
      <c r="AD414" s="662"/>
      <c r="AE414" s="662"/>
      <c r="AF414" s="662"/>
    </row>
    <row r="415" spans="18:32" s="80" customFormat="1">
      <c r="R415" s="70"/>
      <c r="S415" s="70"/>
      <c r="T415" s="70"/>
      <c r="V415" s="662"/>
      <c r="W415" s="662"/>
      <c r="X415" s="662"/>
      <c r="Y415" s="662"/>
      <c r="Z415" s="662"/>
      <c r="AA415" s="662"/>
      <c r="AB415" s="662"/>
      <c r="AC415" s="662"/>
      <c r="AD415" s="662"/>
      <c r="AE415" s="662"/>
      <c r="AF415" s="662"/>
    </row>
    <row r="416" spans="18:32" s="80" customFormat="1">
      <c r="R416" s="70"/>
      <c r="S416" s="70"/>
      <c r="T416" s="70"/>
      <c r="V416" s="662"/>
      <c r="W416" s="662"/>
      <c r="X416" s="662"/>
      <c r="Y416" s="662"/>
      <c r="Z416" s="662"/>
      <c r="AA416" s="662"/>
      <c r="AB416" s="662"/>
      <c r="AC416" s="662"/>
      <c r="AD416" s="662"/>
      <c r="AE416" s="662"/>
      <c r="AF416" s="662"/>
    </row>
    <row r="417" spans="18:32" s="80" customFormat="1">
      <c r="R417" s="70"/>
      <c r="S417" s="70"/>
      <c r="T417" s="70"/>
      <c r="V417" s="662"/>
      <c r="W417" s="662"/>
      <c r="X417" s="662"/>
      <c r="Y417" s="662"/>
      <c r="Z417" s="662"/>
      <c r="AA417" s="662"/>
      <c r="AB417" s="662"/>
      <c r="AC417" s="662"/>
      <c r="AD417" s="662"/>
      <c r="AE417" s="662"/>
      <c r="AF417" s="662"/>
    </row>
    <row r="418" spans="18:32" s="80" customFormat="1">
      <c r="R418" s="70"/>
      <c r="S418" s="70"/>
      <c r="T418" s="70"/>
      <c r="V418" s="662"/>
      <c r="W418" s="662"/>
      <c r="X418" s="662"/>
      <c r="Y418" s="662"/>
      <c r="Z418" s="662"/>
      <c r="AA418" s="662"/>
      <c r="AB418" s="662"/>
      <c r="AC418" s="662"/>
      <c r="AD418" s="662"/>
      <c r="AE418" s="662"/>
      <c r="AF418" s="662"/>
    </row>
    <row r="419" spans="18:32" s="80" customFormat="1">
      <c r="R419" s="70"/>
      <c r="S419" s="70"/>
      <c r="T419" s="70"/>
      <c r="V419" s="662"/>
      <c r="W419" s="662"/>
      <c r="X419" s="662"/>
      <c r="Y419" s="662"/>
      <c r="Z419" s="662"/>
      <c r="AA419" s="662"/>
      <c r="AB419" s="662"/>
      <c r="AC419" s="662"/>
      <c r="AD419" s="662"/>
      <c r="AE419" s="662"/>
      <c r="AF419" s="662"/>
    </row>
    <row r="420" spans="18:32" s="80" customFormat="1">
      <c r="R420" s="70"/>
      <c r="S420" s="70"/>
      <c r="T420" s="70"/>
      <c r="V420" s="662"/>
      <c r="W420" s="662"/>
      <c r="X420" s="662"/>
      <c r="Y420" s="662"/>
      <c r="Z420" s="662"/>
      <c r="AA420" s="662"/>
      <c r="AB420" s="662"/>
      <c r="AC420" s="662"/>
      <c r="AD420" s="662"/>
      <c r="AE420" s="662"/>
      <c r="AF420" s="662"/>
    </row>
    <row r="421" spans="18:32" s="80" customFormat="1">
      <c r="R421" s="70"/>
      <c r="S421" s="70"/>
      <c r="T421" s="70"/>
      <c r="V421" s="662"/>
      <c r="W421" s="662"/>
      <c r="X421" s="662"/>
      <c r="Y421" s="662"/>
      <c r="Z421" s="662"/>
      <c r="AA421" s="662"/>
      <c r="AB421" s="662"/>
      <c r="AC421" s="662"/>
      <c r="AD421" s="662"/>
      <c r="AE421" s="662"/>
      <c r="AF421" s="662"/>
    </row>
    <row r="422" spans="18:32" s="80" customFormat="1">
      <c r="R422" s="70"/>
      <c r="S422" s="70"/>
      <c r="T422" s="70"/>
      <c r="V422" s="662"/>
      <c r="W422" s="662"/>
      <c r="X422" s="662"/>
      <c r="Y422" s="662"/>
      <c r="Z422" s="662"/>
      <c r="AA422" s="662"/>
      <c r="AB422" s="662"/>
      <c r="AC422" s="662"/>
      <c r="AD422" s="662"/>
      <c r="AE422" s="662"/>
      <c r="AF422" s="662"/>
    </row>
    <row r="423" spans="18:32" s="80" customFormat="1">
      <c r="R423" s="70"/>
      <c r="S423" s="70"/>
      <c r="T423" s="70"/>
      <c r="V423" s="662"/>
      <c r="W423" s="662"/>
      <c r="X423" s="662"/>
      <c r="Y423" s="662"/>
      <c r="Z423" s="662"/>
      <c r="AA423" s="662"/>
      <c r="AB423" s="662"/>
      <c r="AC423" s="662"/>
      <c r="AD423" s="662"/>
      <c r="AE423" s="662"/>
      <c r="AF423" s="662"/>
    </row>
    <row r="424" spans="18:32" s="80" customFormat="1">
      <c r="R424" s="70"/>
      <c r="S424" s="70"/>
      <c r="T424" s="70"/>
      <c r="V424" s="662"/>
      <c r="W424" s="662"/>
      <c r="X424" s="662"/>
      <c r="Y424" s="662"/>
      <c r="Z424" s="662"/>
      <c r="AA424" s="662"/>
      <c r="AB424" s="662"/>
      <c r="AC424" s="662"/>
      <c r="AD424" s="662"/>
      <c r="AE424" s="662"/>
      <c r="AF424" s="662"/>
    </row>
    <row r="425" spans="18:32" s="80" customFormat="1">
      <c r="R425" s="70"/>
      <c r="S425" s="70"/>
      <c r="T425" s="70"/>
      <c r="V425" s="662"/>
      <c r="W425" s="662"/>
      <c r="X425" s="662"/>
      <c r="Y425" s="662"/>
      <c r="Z425" s="662"/>
      <c r="AA425" s="662"/>
      <c r="AB425" s="662"/>
      <c r="AC425" s="662"/>
      <c r="AD425" s="662"/>
      <c r="AE425" s="662"/>
      <c r="AF425" s="662"/>
    </row>
    <row r="426" spans="18:32" s="80" customFormat="1">
      <c r="R426" s="70"/>
      <c r="S426" s="70"/>
      <c r="T426" s="70"/>
      <c r="V426" s="662"/>
      <c r="W426" s="662"/>
      <c r="X426" s="662"/>
      <c r="Y426" s="662"/>
      <c r="Z426" s="662"/>
      <c r="AA426" s="662"/>
      <c r="AB426" s="662"/>
      <c r="AC426" s="662"/>
      <c r="AD426" s="662"/>
      <c r="AE426" s="662"/>
      <c r="AF426" s="662"/>
    </row>
    <row r="427" spans="18:32" s="80" customFormat="1">
      <c r="R427" s="70"/>
      <c r="S427" s="70"/>
      <c r="T427" s="70"/>
      <c r="V427" s="662"/>
      <c r="W427" s="662"/>
      <c r="X427" s="662"/>
      <c r="Y427" s="662"/>
      <c r="Z427" s="662"/>
      <c r="AA427" s="662"/>
      <c r="AB427" s="662"/>
      <c r="AC427" s="662"/>
      <c r="AD427" s="662"/>
      <c r="AE427" s="662"/>
      <c r="AF427" s="662"/>
    </row>
    <row r="428" spans="18:32" s="80" customFormat="1">
      <c r="R428" s="70"/>
      <c r="S428" s="70"/>
      <c r="T428" s="70"/>
      <c r="V428" s="662"/>
      <c r="W428" s="662"/>
      <c r="X428" s="662"/>
      <c r="Y428" s="662"/>
      <c r="Z428" s="662"/>
      <c r="AA428" s="662"/>
      <c r="AB428" s="662"/>
      <c r="AC428" s="662"/>
      <c r="AD428" s="662"/>
      <c r="AE428" s="662"/>
      <c r="AF428" s="662"/>
    </row>
    <row r="429" spans="18:32" s="80" customFormat="1">
      <c r="R429" s="70"/>
      <c r="S429" s="70"/>
      <c r="T429" s="70"/>
      <c r="V429" s="662"/>
      <c r="W429" s="662"/>
      <c r="X429" s="662"/>
      <c r="Y429" s="662"/>
      <c r="Z429" s="662"/>
      <c r="AA429" s="662"/>
      <c r="AB429" s="662"/>
      <c r="AC429" s="662"/>
      <c r="AD429" s="662"/>
      <c r="AE429" s="662"/>
      <c r="AF429" s="662"/>
    </row>
    <row r="430" spans="18:32" s="80" customFormat="1">
      <c r="R430" s="70"/>
      <c r="S430" s="70"/>
      <c r="T430" s="70"/>
      <c r="V430" s="662"/>
      <c r="W430" s="662"/>
      <c r="X430" s="662"/>
      <c r="Y430" s="662"/>
      <c r="Z430" s="662"/>
      <c r="AA430" s="662"/>
      <c r="AB430" s="662"/>
      <c r="AC430" s="662"/>
      <c r="AD430" s="662"/>
      <c r="AE430" s="662"/>
      <c r="AF430" s="662"/>
    </row>
    <row r="431" spans="18:32" s="80" customFormat="1">
      <c r="R431" s="70"/>
      <c r="S431" s="70"/>
      <c r="T431" s="70"/>
      <c r="V431" s="662"/>
      <c r="W431" s="662"/>
      <c r="X431" s="662"/>
      <c r="Y431" s="662"/>
      <c r="Z431" s="662"/>
      <c r="AA431" s="662"/>
      <c r="AB431" s="662"/>
      <c r="AC431" s="662"/>
      <c r="AD431" s="662"/>
      <c r="AE431" s="662"/>
      <c r="AF431" s="662"/>
    </row>
    <row r="432" spans="18:32" s="80" customFormat="1">
      <c r="R432" s="70"/>
      <c r="S432" s="70"/>
      <c r="T432" s="70"/>
      <c r="V432" s="662"/>
      <c r="W432" s="662"/>
      <c r="X432" s="662"/>
      <c r="Y432" s="662"/>
      <c r="Z432" s="662"/>
      <c r="AA432" s="662"/>
      <c r="AB432" s="662"/>
      <c r="AC432" s="662"/>
      <c r="AD432" s="662"/>
      <c r="AE432" s="662"/>
      <c r="AF432" s="662"/>
    </row>
    <row r="433" spans="18:32" s="80" customFormat="1">
      <c r="R433" s="70"/>
      <c r="S433" s="70"/>
      <c r="T433" s="70"/>
      <c r="V433" s="662"/>
      <c r="W433" s="662"/>
      <c r="X433" s="662"/>
      <c r="Y433" s="662"/>
      <c r="Z433" s="662"/>
      <c r="AA433" s="662"/>
      <c r="AB433" s="662"/>
      <c r="AC433" s="662"/>
      <c r="AD433" s="662"/>
      <c r="AE433" s="662"/>
      <c r="AF433" s="662"/>
    </row>
    <row r="434" spans="18:32" s="80" customFormat="1">
      <c r="R434" s="70"/>
      <c r="S434" s="70"/>
      <c r="T434" s="70"/>
      <c r="V434" s="662"/>
      <c r="W434" s="662"/>
      <c r="X434" s="662"/>
      <c r="Y434" s="662"/>
      <c r="Z434" s="662"/>
      <c r="AA434" s="662"/>
      <c r="AB434" s="662"/>
      <c r="AC434" s="662"/>
      <c r="AD434" s="662"/>
      <c r="AE434" s="662"/>
      <c r="AF434" s="662"/>
    </row>
    <row r="435" spans="18:32" s="80" customFormat="1">
      <c r="R435" s="70"/>
      <c r="S435" s="70"/>
      <c r="T435" s="70"/>
      <c r="V435" s="662"/>
      <c r="W435" s="662"/>
      <c r="X435" s="662"/>
      <c r="Y435" s="662"/>
      <c r="Z435" s="662"/>
      <c r="AA435" s="662"/>
      <c r="AB435" s="662"/>
      <c r="AC435" s="662"/>
      <c r="AD435" s="662"/>
      <c r="AE435" s="662"/>
      <c r="AF435" s="662"/>
    </row>
    <row r="436" spans="18:32" s="80" customFormat="1">
      <c r="R436" s="70"/>
      <c r="S436" s="70"/>
      <c r="T436" s="70"/>
      <c r="V436" s="662"/>
      <c r="W436" s="662"/>
      <c r="X436" s="662"/>
      <c r="Y436" s="662"/>
      <c r="Z436" s="662"/>
      <c r="AA436" s="662"/>
      <c r="AB436" s="662"/>
      <c r="AC436" s="662"/>
      <c r="AD436" s="662"/>
      <c r="AE436" s="662"/>
      <c r="AF436" s="662"/>
    </row>
    <row r="437" spans="18:32" s="80" customFormat="1">
      <c r="R437" s="70"/>
      <c r="S437" s="70"/>
      <c r="T437" s="70"/>
      <c r="V437" s="662"/>
      <c r="W437" s="662"/>
      <c r="X437" s="662"/>
      <c r="Y437" s="662"/>
      <c r="Z437" s="662"/>
      <c r="AA437" s="662"/>
      <c r="AB437" s="662"/>
      <c r="AC437" s="662"/>
      <c r="AD437" s="662"/>
      <c r="AE437" s="662"/>
      <c r="AF437" s="662"/>
    </row>
    <row r="438" spans="18:32" s="80" customFormat="1">
      <c r="R438" s="70"/>
      <c r="S438" s="70"/>
      <c r="T438" s="70"/>
      <c r="V438" s="662"/>
      <c r="W438" s="662"/>
      <c r="X438" s="662"/>
      <c r="Y438" s="662"/>
      <c r="Z438" s="662"/>
      <c r="AA438" s="662"/>
      <c r="AB438" s="662"/>
      <c r="AC438" s="662"/>
      <c r="AD438" s="662"/>
      <c r="AE438" s="662"/>
      <c r="AF438" s="662"/>
    </row>
    <row r="439" spans="18:32" s="80" customFormat="1">
      <c r="R439" s="70"/>
      <c r="S439" s="70"/>
      <c r="T439" s="70"/>
      <c r="V439" s="662"/>
      <c r="W439" s="662"/>
      <c r="X439" s="662"/>
      <c r="Y439" s="662"/>
      <c r="Z439" s="662"/>
      <c r="AA439" s="662"/>
      <c r="AB439" s="662"/>
      <c r="AC439" s="662"/>
      <c r="AD439" s="662"/>
      <c r="AE439" s="662"/>
      <c r="AF439" s="662"/>
    </row>
    <row r="440" spans="18:32" s="80" customFormat="1">
      <c r="R440" s="70"/>
      <c r="S440" s="70"/>
      <c r="T440" s="70"/>
      <c r="V440" s="662"/>
      <c r="W440" s="662"/>
      <c r="X440" s="662"/>
      <c r="Y440" s="662"/>
      <c r="Z440" s="662"/>
      <c r="AA440" s="662"/>
      <c r="AB440" s="662"/>
      <c r="AC440" s="662"/>
      <c r="AD440" s="662"/>
      <c r="AE440" s="662"/>
      <c r="AF440" s="662"/>
    </row>
    <row r="441" spans="18:32" s="80" customFormat="1">
      <c r="R441" s="70"/>
      <c r="S441" s="70"/>
      <c r="T441" s="70"/>
      <c r="V441" s="662"/>
      <c r="W441" s="662"/>
      <c r="X441" s="662"/>
      <c r="Y441" s="662"/>
      <c r="Z441" s="662"/>
      <c r="AA441" s="662"/>
      <c r="AB441" s="662"/>
      <c r="AC441" s="662"/>
      <c r="AD441" s="662"/>
      <c r="AE441" s="662"/>
      <c r="AF441" s="662"/>
    </row>
  </sheetData>
  <mergeCells count="1">
    <mergeCell ref="A1:AF1"/>
  </mergeCells>
  <pageMargins left="0.70866141732283472" right="0.70866141732283472" top="0.74803149606299213" bottom="0.74803149606299213" header="0.31496062992125984" footer="0.31496062992125984"/>
  <pageSetup scale="65" orientation="landscape" horizontalDpi="0" verticalDpi="0" r:id="rId1"/>
  <colBreaks count="1" manualBreakCount="1">
    <brk id="32" max="1048575" man="1"/>
  </colBreaks>
  <ignoredErrors>
    <ignoredError sqref="AC16:AD16 V34:AE34" formulaRange="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O195"/>
  <sheetViews>
    <sheetView view="pageBreakPreview" zoomScale="60" zoomScaleNormal="100" workbookViewId="0">
      <selection activeCell="AO25" sqref="AO25"/>
    </sheetView>
  </sheetViews>
  <sheetFormatPr defaultColWidth="9.140625" defaultRowHeight="15.75"/>
  <cols>
    <col min="1" max="1" width="22.5703125" style="79" customWidth="1"/>
    <col min="2" max="2" width="11.28515625" style="79" customWidth="1"/>
    <col min="3" max="7" width="9.140625" style="79" hidden="1" customWidth="1"/>
    <col min="8" max="8" width="9.28515625" style="79" hidden="1" customWidth="1"/>
    <col min="9" max="9" width="7.7109375" style="79" hidden="1" customWidth="1"/>
    <col min="10" max="10" width="5" style="79" hidden="1" customWidth="1"/>
    <col min="11" max="11" width="5.7109375" style="79" hidden="1" customWidth="1"/>
    <col min="12" max="12" width="4.7109375" style="79" hidden="1" customWidth="1"/>
    <col min="13" max="17" width="8" style="79" hidden="1" customWidth="1"/>
    <col min="18" max="21" width="11" style="79" hidden="1" customWidth="1"/>
    <col min="22" max="22" width="11" style="42" hidden="1" customWidth="1"/>
    <col min="23" max="26" width="11.7109375" style="663" customWidth="1"/>
    <col min="27" max="33" width="11.7109375" style="662" customWidth="1"/>
    <col min="34" max="41" width="8" style="80" customWidth="1"/>
    <col min="42" max="16384" width="9.140625" style="42"/>
  </cols>
  <sheetData>
    <row r="1" spans="1:41" ht="30" customHeight="1">
      <c r="A1" s="1023" t="s">
        <v>101</v>
      </c>
      <c r="B1" s="1023"/>
      <c r="C1" s="1023"/>
      <c r="D1" s="1023"/>
      <c r="E1" s="1023"/>
      <c r="F1" s="1023"/>
      <c r="G1" s="1023"/>
      <c r="H1" s="1023"/>
      <c r="I1" s="1023"/>
      <c r="J1" s="1023"/>
      <c r="K1" s="1023"/>
      <c r="L1" s="1023"/>
      <c r="M1" s="1023"/>
      <c r="N1" s="1023"/>
      <c r="O1" s="1023"/>
      <c r="P1" s="1023"/>
      <c r="Q1" s="1023"/>
      <c r="R1" s="1023"/>
      <c r="S1" s="1023"/>
      <c r="T1" s="1023"/>
      <c r="U1" s="1023"/>
      <c r="V1" s="1023"/>
      <c r="W1" s="1023"/>
      <c r="X1" s="1023"/>
      <c r="Y1" s="1023"/>
      <c r="Z1" s="1023"/>
      <c r="AA1" s="1023"/>
      <c r="AB1" s="1023"/>
      <c r="AC1" s="1023"/>
      <c r="AD1" s="1023"/>
      <c r="AE1" s="1023"/>
      <c r="AF1" s="1023"/>
      <c r="AG1" s="1023"/>
      <c r="AH1" s="33"/>
      <c r="AI1" s="33"/>
      <c r="AJ1" s="33"/>
      <c r="AK1" s="33"/>
      <c r="AL1" s="33"/>
      <c r="AM1" s="33"/>
      <c r="AN1" s="33"/>
      <c r="AO1" s="33"/>
    </row>
    <row r="2" spans="1:41" ht="15" customHeight="1">
      <c r="A2" s="1"/>
      <c r="B2" s="1"/>
      <c r="C2" s="1"/>
      <c r="D2" s="1"/>
      <c r="E2" s="1"/>
      <c r="F2" s="1"/>
      <c r="G2" s="1"/>
      <c r="H2" s="1"/>
      <c r="I2" s="1"/>
      <c r="J2" s="1"/>
      <c r="K2" s="1"/>
      <c r="L2" s="1"/>
      <c r="M2" s="1"/>
      <c r="N2" s="1"/>
      <c r="O2" s="1"/>
      <c r="P2" s="1"/>
      <c r="Q2" s="1"/>
      <c r="R2" s="1"/>
      <c r="S2" s="1"/>
      <c r="T2" s="1"/>
      <c r="U2" s="1"/>
      <c r="V2" s="1"/>
      <c r="W2" s="628"/>
      <c r="X2" s="628"/>
      <c r="Y2" s="628"/>
      <c r="Z2" s="628"/>
      <c r="AA2" s="628"/>
      <c r="AB2" s="691"/>
      <c r="AC2" s="691"/>
      <c r="AD2" s="691"/>
      <c r="AE2" s="691"/>
      <c r="AF2" s="691"/>
      <c r="AG2" s="691"/>
      <c r="AH2" s="33"/>
      <c r="AI2" s="33"/>
      <c r="AJ2" s="33"/>
      <c r="AK2" s="33"/>
      <c r="AL2" s="33"/>
      <c r="AM2" s="33"/>
      <c r="AN2" s="33"/>
      <c r="AO2" s="33"/>
    </row>
    <row r="3" spans="1:41" s="115" customFormat="1" ht="15" customHeight="1">
      <c r="A3" s="473"/>
      <c r="B3" s="545"/>
      <c r="C3" s="545">
        <v>1991</v>
      </c>
      <c r="D3" s="545">
        <v>1992</v>
      </c>
      <c r="E3" s="545">
        <v>1993</v>
      </c>
      <c r="F3" s="545">
        <v>1994</v>
      </c>
      <c r="G3" s="545"/>
      <c r="H3" s="545">
        <v>1990</v>
      </c>
      <c r="I3" s="545">
        <v>1996</v>
      </c>
      <c r="J3" s="545">
        <v>1997</v>
      </c>
      <c r="K3" s="545">
        <v>1998</v>
      </c>
      <c r="L3" s="545">
        <v>1999</v>
      </c>
      <c r="M3" s="545">
        <v>2000</v>
      </c>
      <c r="N3" s="545">
        <v>2001</v>
      </c>
      <c r="O3" s="545">
        <v>2002</v>
      </c>
      <c r="P3" s="545">
        <v>2003</v>
      </c>
      <c r="Q3" s="545">
        <v>2004</v>
      </c>
      <c r="R3" s="496">
        <v>2005</v>
      </c>
      <c r="S3" s="496">
        <v>2006</v>
      </c>
      <c r="T3" s="496">
        <v>2007</v>
      </c>
      <c r="U3" s="496">
        <v>2008</v>
      </c>
      <c r="V3" s="496">
        <v>2009</v>
      </c>
      <c r="W3" s="756">
        <v>2010</v>
      </c>
      <c r="X3" s="756">
        <v>2011</v>
      </c>
      <c r="Y3" s="756">
        <v>2012</v>
      </c>
      <c r="Z3" s="756">
        <v>2013</v>
      </c>
      <c r="AA3" s="756">
        <v>2014</v>
      </c>
      <c r="AB3" s="756">
        <v>2015</v>
      </c>
      <c r="AC3" s="756">
        <v>2016</v>
      </c>
      <c r="AD3" s="756">
        <v>2017</v>
      </c>
      <c r="AE3" s="756">
        <v>2018</v>
      </c>
      <c r="AF3" s="756">
        <v>2019</v>
      </c>
      <c r="AG3" s="756">
        <v>2020</v>
      </c>
      <c r="AH3" s="33"/>
      <c r="AI3" s="33"/>
      <c r="AJ3" s="33"/>
      <c r="AK3" s="114"/>
      <c r="AL3" s="114"/>
      <c r="AM3" s="114"/>
      <c r="AN3" s="114"/>
      <c r="AO3" s="114"/>
    </row>
    <row r="4" spans="1:41" s="115" customFormat="1" ht="15" customHeight="1">
      <c r="A4" s="3" t="s">
        <v>102</v>
      </c>
      <c r="B4" s="3"/>
      <c r="C4" s="3"/>
      <c r="D4" s="3"/>
      <c r="E4" s="3"/>
      <c r="F4" s="3"/>
      <c r="G4" s="3"/>
      <c r="H4" s="3"/>
      <c r="I4" s="3"/>
      <c r="J4" s="3"/>
      <c r="K4" s="3"/>
      <c r="L4" s="3"/>
      <c r="M4" s="3">
        <v>4567</v>
      </c>
      <c r="N4" s="3">
        <v>6417</v>
      </c>
      <c r="O4" s="3">
        <v>7045</v>
      </c>
      <c r="P4" s="3">
        <v>9085</v>
      </c>
      <c r="Q4" s="3">
        <v>9140</v>
      </c>
      <c r="R4" s="116">
        <v>8230</v>
      </c>
      <c r="S4" s="117">
        <v>8560</v>
      </c>
      <c r="T4" s="117">
        <v>11452</v>
      </c>
      <c r="U4" s="117">
        <v>17674</v>
      </c>
      <c r="V4" s="117">
        <v>19259</v>
      </c>
      <c r="W4" s="232">
        <v>16994</v>
      </c>
      <c r="X4" s="232">
        <v>17803</v>
      </c>
      <c r="Y4" s="232">
        <v>20512</v>
      </c>
      <c r="Z4" s="232">
        <v>21885</v>
      </c>
      <c r="AA4" s="232">
        <v>18193</v>
      </c>
      <c r="AB4" s="232">
        <v>16362</v>
      </c>
      <c r="AC4" s="232">
        <v>16287</v>
      </c>
      <c r="AD4" s="232">
        <v>15535</v>
      </c>
      <c r="AE4" s="232">
        <v>14811</v>
      </c>
      <c r="AF4" s="232">
        <v>16480</v>
      </c>
      <c r="AG4" s="232">
        <v>12787</v>
      </c>
      <c r="AH4" s="33"/>
      <c r="AI4" s="33"/>
      <c r="AJ4" s="33"/>
      <c r="AK4" s="118"/>
      <c r="AL4" s="118"/>
      <c r="AM4" s="118"/>
      <c r="AN4" s="118"/>
      <c r="AO4" s="118"/>
    </row>
    <row r="5" spans="1:41" s="115" customFormat="1" ht="15" customHeight="1">
      <c r="A5" s="474" t="s">
        <v>103</v>
      </c>
      <c r="B5" s="474"/>
      <c r="C5" s="474" t="e">
        <f>SUM(#REF!)</f>
        <v>#REF!</v>
      </c>
      <c r="D5" s="474" t="e">
        <f>SUM(#REF!)</f>
        <v>#REF!</v>
      </c>
      <c r="E5" s="474" t="e">
        <f>SUM(#REF!)</f>
        <v>#REF!</v>
      </c>
      <c r="F5" s="474" t="e">
        <f>SUM(#REF!)</f>
        <v>#REF!</v>
      </c>
      <c r="G5" s="474"/>
      <c r="H5" s="474">
        <v>7675</v>
      </c>
      <c r="I5" s="474">
        <v>13938</v>
      </c>
      <c r="J5" s="474">
        <v>15140</v>
      </c>
      <c r="K5" s="474">
        <v>12760</v>
      </c>
      <c r="L5" s="474">
        <v>10967</v>
      </c>
      <c r="M5" s="474">
        <v>11307</v>
      </c>
      <c r="N5" s="474">
        <v>11547</v>
      </c>
      <c r="O5" s="474">
        <v>12390</v>
      </c>
      <c r="P5" s="474">
        <v>11317</v>
      </c>
      <c r="Q5" s="474">
        <v>10776</v>
      </c>
      <c r="R5" s="546">
        <v>12107</v>
      </c>
      <c r="S5" s="547">
        <v>14084</v>
      </c>
      <c r="T5" s="547">
        <v>13820</v>
      </c>
      <c r="U5" s="547">
        <v>12921</v>
      </c>
      <c r="V5" s="547">
        <v>15997</v>
      </c>
      <c r="W5" s="572">
        <v>15036</v>
      </c>
      <c r="X5" s="572">
        <v>14710</v>
      </c>
      <c r="Y5" s="572">
        <v>14329</v>
      </c>
      <c r="Z5" s="572">
        <v>16654</v>
      </c>
      <c r="AA5" s="572">
        <v>19579</v>
      </c>
      <c r="AB5" s="572">
        <v>19372</v>
      </c>
      <c r="AC5" s="572">
        <v>20698</v>
      </c>
      <c r="AD5" s="572">
        <v>18383</v>
      </c>
      <c r="AE5" s="572">
        <v>19793</v>
      </c>
      <c r="AF5" s="572">
        <v>20788</v>
      </c>
      <c r="AG5" s="572">
        <v>15103</v>
      </c>
      <c r="AH5" s="33"/>
      <c r="AI5" s="33"/>
      <c r="AJ5" s="33"/>
      <c r="AK5" s="118"/>
      <c r="AL5" s="118"/>
      <c r="AM5" s="118"/>
      <c r="AN5" s="118"/>
      <c r="AO5" s="118"/>
    </row>
    <row r="6" spans="1:41" s="115" customFormat="1" ht="15" customHeight="1">
      <c r="A6" s="8" t="s">
        <v>104</v>
      </c>
      <c r="B6" s="3"/>
      <c r="C6" s="3"/>
      <c r="D6" s="3"/>
      <c r="E6" s="3"/>
      <c r="F6" s="3"/>
      <c r="G6" s="3"/>
      <c r="H6" s="3"/>
      <c r="I6" s="3"/>
      <c r="J6" s="3"/>
      <c r="K6" s="3"/>
      <c r="L6" s="3"/>
      <c r="M6" s="3"/>
      <c r="N6" s="3"/>
      <c r="O6" s="3"/>
      <c r="P6" s="3"/>
      <c r="Q6" s="3"/>
      <c r="R6" s="119"/>
      <c r="S6" s="119"/>
      <c r="T6" s="119"/>
      <c r="U6" s="119"/>
      <c r="V6" s="119"/>
      <c r="W6" s="771"/>
      <c r="X6" s="771"/>
      <c r="Y6" s="771"/>
      <c r="Z6" s="771"/>
      <c r="AA6" s="771"/>
      <c r="AB6" s="771"/>
      <c r="AC6" s="771"/>
      <c r="AD6" s="771"/>
      <c r="AE6" s="771"/>
      <c r="AF6" s="771"/>
      <c r="AG6" s="771"/>
      <c r="AH6" s="33"/>
      <c r="AI6" s="33"/>
      <c r="AJ6" s="33"/>
      <c r="AK6" s="36"/>
      <c r="AL6" s="36"/>
      <c r="AM6" s="36"/>
      <c r="AN6" s="36"/>
      <c r="AO6" s="36"/>
    </row>
    <row r="7" spans="1:41" s="115" customFormat="1" ht="15" customHeight="1">
      <c r="A7" s="548" t="s">
        <v>105</v>
      </c>
      <c r="B7" s="473"/>
      <c r="C7" s="473">
        <v>94</v>
      </c>
      <c r="D7" s="473">
        <v>104</v>
      </c>
      <c r="E7" s="473">
        <v>89</v>
      </c>
      <c r="F7" s="473">
        <v>168</v>
      </c>
      <c r="G7" s="473"/>
      <c r="H7" s="473">
        <v>85</v>
      </c>
      <c r="I7" s="473">
        <v>164</v>
      </c>
      <c r="J7" s="473">
        <v>170</v>
      </c>
      <c r="K7" s="473">
        <v>212</v>
      </c>
      <c r="L7" s="473">
        <v>222</v>
      </c>
      <c r="M7" s="473">
        <v>213</v>
      </c>
      <c r="N7" s="473">
        <v>197</v>
      </c>
      <c r="O7" s="473">
        <v>194</v>
      </c>
      <c r="P7" s="473">
        <v>205</v>
      </c>
      <c r="Q7" s="473">
        <v>194</v>
      </c>
      <c r="R7" s="549">
        <v>195</v>
      </c>
      <c r="S7" s="550">
        <v>269</v>
      </c>
      <c r="T7" s="550">
        <v>263</v>
      </c>
      <c r="U7" s="550">
        <v>340</v>
      </c>
      <c r="V7" s="550">
        <v>415</v>
      </c>
      <c r="W7" s="744">
        <v>280</v>
      </c>
      <c r="X7" s="744">
        <v>342</v>
      </c>
      <c r="Y7" s="744">
        <v>371</v>
      </c>
      <c r="Z7" s="744">
        <v>401</v>
      </c>
      <c r="AA7" s="744">
        <v>365</v>
      </c>
      <c r="AB7" s="744">
        <v>413</v>
      </c>
      <c r="AC7" s="744">
        <v>615</v>
      </c>
      <c r="AD7" s="744">
        <v>473</v>
      </c>
      <c r="AE7" s="744">
        <v>484</v>
      </c>
      <c r="AF7" s="744">
        <v>713</v>
      </c>
      <c r="AG7" s="744">
        <v>340</v>
      </c>
      <c r="AH7" s="33"/>
      <c r="AI7" s="33"/>
      <c r="AJ7" s="33"/>
      <c r="AK7" s="36"/>
      <c r="AL7" s="36"/>
      <c r="AM7" s="36"/>
      <c r="AN7" s="36"/>
      <c r="AO7" s="36"/>
    </row>
    <row r="8" spans="1:41" s="115" customFormat="1" ht="15" customHeight="1">
      <c r="A8" s="120" t="s">
        <v>106</v>
      </c>
      <c r="B8" s="3"/>
      <c r="C8" s="3">
        <v>108</v>
      </c>
      <c r="D8" s="3">
        <v>96</v>
      </c>
      <c r="E8" s="3">
        <v>108</v>
      </c>
      <c r="F8" s="3">
        <v>119</v>
      </c>
      <c r="G8" s="3"/>
      <c r="H8" s="3">
        <v>80</v>
      </c>
      <c r="I8" s="3">
        <v>117</v>
      </c>
      <c r="J8" s="3">
        <v>204</v>
      </c>
      <c r="K8" s="3">
        <v>203</v>
      </c>
      <c r="L8" s="3">
        <v>225</v>
      </c>
      <c r="M8" s="3">
        <v>254</v>
      </c>
      <c r="N8" s="3">
        <v>205</v>
      </c>
      <c r="O8" s="3">
        <v>213</v>
      </c>
      <c r="P8" s="3">
        <v>162</v>
      </c>
      <c r="Q8" s="3">
        <v>219</v>
      </c>
      <c r="R8" s="119">
        <v>187</v>
      </c>
      <c r="S8" s="121">
        <v>176</v>
      </c>
      <c r="T8" s="121">
        <v>227</v>
      </c>
      <c r="U8" s="121">
        <v>227</v>
      </c>
      <c r="V8" s="121">
        <v>401</v>
      </c>
      <c r="W8" s="742">
        <v>180</v>
      </c>
      <c r="X8" s="742">
        <v>328</v>
      </c>
      <c r="Y8" s="742">
        <v>560</v>
      </c>
      <c r="Z8" s="742">
        <v>389</v>
      </c>
      <c r="AA8" s="742">
        <v>414</v>
      </c>
      <c r="AB8" s="742">
        <v>329</v>
      </c>
      <c r="AC8" s="742">
        <v>373</v>
      </c>
      <c r="AD8" s="742">
        <v>552</v>
      </c>
      <c r="AE8" s="742">
        <v>311</v>
      </c>
      <c r="AF8" s="742">
        <v>477</v>
      </c>
      <c r="AG8" s="742">
        <v>443</v>
      </c>
      <c r="AH8" s="33"/>
      <c r="AI8" s="33"/>
      <c r="AJ8" s="33"/>
      <c r="AK8" s="36"/>
      <c r="AL8" s="36"/>
      <c r="AM8" s="36"/>
      <c r="AN8" s="36"/>
      <c r="AO8" s="36"/>
    </row>
    <row r="9" spans="1:41" s="115" customFormat="1" ht="15" customHeight="1">
      <c r="A9" s="548" t="s">
        <v>107</v>
      </c>
      <c r="B9" s="474"/>
      <c r="C9" s="474">
        <v>58</v>
      </c>
      <c r="D9" s="474">
        <v>66</v>
      </c>
      <c r="E9" s="474">
        <v>47</v>
      </c>
      <c r="F9" s="474">
        <v>96</v>
      </c>
      <c r="G9" s="474"/>
      <c r="H9" s="474">
        <v>72</v>
      </c>
      <c r="I9" s="474">
        <v>163</v>
      </c>
      <c r="J9" s="474">
        <v>129</v>
      </c>
      <c r="K9" s="474">
        <v>138</v>
      </c>
      <c r="L9" s="474">
        <v>135</v>
      </c>
      <c r="M9" s="474">
        <v>95</v>
      </c>
      <c r="N9" s="474">
        <v>87</v>
      </c>
      <c r="O9" s="474">
        <v>68</v>
      </c>
      <c r="P9" s="474">
        <v>111</v>
      </c>
      <c r="Q9" s="474">
        <v>86</v>
      </c>
      <c r="R9" s="551">
        <v>94</v>
      </c>
      <c r="S9" s="550">
        <v>187</v>
      </c>
      <c r="T9" s="550">
        <v>223</v>
      </c>
      <c r="U9" s="550">
        <v>337</v>
      </c>
      <c r="V9" s="550">
        <v>351</v>
      </c>
      <c r="W9" s="744">
        <v>452</v>
      </c>
      <c r="X9" s="744">
        <v>466</v>
      </c>
      <c r="Y9" s="744">
        <v>277</v>
      </c>
      <c r="Z9" s="744">
        <v>289</v>
      </c>
      <c r="AA9" s="744">
        <v>238</v>
      </c>
      <c r="AB9" s="744">
        <v>323</v>
      </c>
      <c r="AC9" s="744">
        <v>563</v>
      </c>
      <c r="AD9" s="744">
        <v>484</v>
      </c>
      <c r="AE9" s="744">
        <v>646</v>
      </c>
      <c r="AF9" s="744">
        <v>882</v>
      </c>
      <c r="AG9" s="744">
        <v>779</v>
      </c>
      <c r="AH9" s="33"/>
      <c r="AI9" s="33"/>
      <c r="AJ9" s="33"/>
      <c r="AK9" s="36"/>
      <c r="AL9" s="36"/>
      <c r="AM9" s="36"/>
      <c r="AN9" s="36"/>
      <c r="AO9" s="36"/>
    </row>
    <row r="10" spans="1:41" s="115" customFormat="1" ht="15" customHeight="1">
      <c r="A10" s="8" t="s">
        <v>108</v>
      </c>
      <c r="B10" s="3"/>
      <c r="C10" s="3"/>
      <c r="D10" s="3"/>
      <c r="E10" s="3"/>
      <c r="F10" s="3"/>
      <c r="G10" s="3"/>
      <c r="H10" s="3"/>
      <c r="I10" s="3"/>
      <c r="J10" s="3"/>
      <c r="K10" s="3"/>
      <c r="L10" s="3"/>
      <c r="M10" s="3"/>
      <c r="N10" s="3"/>
      <c r="O10" s="3"/>
      <c r="P10" s="3"/>
      <c r="Q10" s="3"/>
      <c r="R10" s="119"/>
      <c r="S10" s="119"/>
      <c r="T10" s="119"/>
      <c r="U10" s="119"/>
      <c r="V10" s="119"/>
      <c r="W10" s="771"/>
      <c r="X10" s="771"/>
      <c r="Y10" s="771"/>
      <c r="Z10" s="771"/>
      <c r="AA10" s="771"/>
      <c r="AB10" s="771"/>
      <c r="AC10" s="771"/>
      <c r="AD10" s="771"/>
      <c r="AE10" s="644"/>
      <c r="AF10" s="644"/>
      <c r="AG10" s="644"/>
      <c r="AH10" s="33"/>
      <c r="AI10" s="33"/>
      <c r="AJ10" s="33"/>
      <c r="AK10" s="122"/>
      <c r="AL10" s="122"/>
      <c r="AM10" s="122"/>
      <c r="AN10" s="122"/>
      <c r="AO10" s="122"/>
    </row>
    <row r="11" spans="1:41" s="115" customFormat="1" ht="15" customHeight="1">
      <c r="A11" s="552" t="s">
        <v>44</v>
      </c>
      <c r="B11" s="473"/>
      <c r="C11" s="473">
        <f>SUM(C12:C13)</f>
        <v>1001</v>
      </c>
      <c r="D11" s="473">
        <f>SUM(D12:D13)</f>
        <v>936</v>
      </c>
      <c r="E11" s="473">
        <f>SUM(E12:E13)</f>
        <v>1042</v>
      </c>
      <c r="F11" s="473">
        <v>1044</v>
      </c>
      <c r="G11" s="473"/>
      <c r="H11" s="473">
        <f>SUM(H12:H13)</f>
        <v>872</v>
      </c>
      <c r="I11" s="473">
        <v>1098</v>
      </c>
      <c r="J11" s="473">
        <v>1204</v>
      </c>
      <c r="K11" s="473">
        <v>1745</v>
      </c>
      <c r="L11" s="473">
        <v>1661</v>
      </c>
      <c r="M11" s="473">
        <v>2166</v>
      </c>
      <c r="N11" s="473">
        <v>1897</v>
      </c>
      <c r="O11" s="473">
        <v>1889</v>
      </c>
      <c r="P11" s="473">
        <v>1380</v>
      </c>
      <c r="Q11" s="473">
        <f>SUM(Q12:Q13)</f>
        <v>1110</v>
      </c>
      <c r="R11" s="553" t="s">
        <v>29</v>
      </c>
      <c r="S11" s="554" t="s">
        <v>29</v>
      </c>
      <c r="T11" s="554" t="s">
        <v>29</v>
      </c>
      <c r="U11" s="554">
        <v>5556</v>
      </c>
      <c r="V11" s="554">
        <v>5081</v>
      </c>
      <c r="W11" s="575">
        <v>4141</v>
      </c>
      <c r="X11" s="575">
        <v>5279</v>
      </c>
      <c r="Y11" s="575">
        <v>6339</v>
      </c>
      <c r="Z11" s="575">
        <v>6981</v>
      </c>
      <c r="AA11" s="575">
        <v>6983</v>
      </c>
      <c r="AB11" s="575">
        <v>5831</v>
      </c>
      <c r="AC11" s="575">
        <v>5511</v>
      </c>
      <c r="AD11" s="575">
        <f>SUM(AD12:AD13)</f>
        <v>3961</v>
      </c>
      <c r="AE11" s="575">
        <f>SUM(AE12:AE13)</f>
        <v>2878</v>
      </c>
      <c r="AF11" s="575">
        <f>SUM(AF12:AF13)</f>
        <v>3316</v>
      </c>
      <c r="AG11" s="575">
        <v>3819</v>
      </c>
      <c r="AH11" s="33"/>
      <c r="AI11" s="33"/>
      <c r="AJ11" s="33"/>
      <c r="AK11" s="36"/>
      <c r="AL11" s="36"/>
      <c r="AM11" s="36"/>
      <c r="AN11" s="36"/>
      <c r="AO11" s="36"/>
    </row>
    <row r="12" spans="1:41" s="115" customFormat="1" ht="15" customHeight="1">
      <c r="A12" s="120" t="s">
        <v>38</v>
      </c>
      <c r="B12" s="3"/>
      <c r="C12" s="3">
        <v>627</v>
      </c>
      <c r="D12" s="3">
        <v>585</v>
      </c>
      <c r="E12" s="3">
        <v>569</v>
      </c>
      <c r="F12" s="3">
        <v>656</v>
      </c>
      <c r="G12" s="3"/>
      <c r="H12" s="3">
        <v>563</v>
      </c>
      <c r="I12" s="3">
        <v>806</v>
      </c>
      <c r="J12" s="3">
        <v>856</v>
      </c>
      <c r="K12" s="3">
        <v>1396</v>
      </c>
      <c r="L12" s="3">
        <v>1342</v>
      </c>
      <c r="M12" s="3">
        <v>1802</v>
      </c>
      <c r="N12" s="3">
        <v>1602</v>
      </c>
      <c r="O12" s="3">
        <v>1588</v>
      </c>
      <c r="P12" s="3">
        <v>1118</v>
      </c>
      <c r="Q12" s="3">
        <v>862</v>
      </c>
      <c r="R12" s="123" t="s">
        <v>29</v>
      </c>
      <c r="S12" s="117" t="s">
        <v>29</v>
      </c>
      <c r="T12" s="117" t="s">
        <v>29</v>
      </c>
      <c r="U12" s="117">
        <v>5353</v>
      </c>
      <c r="V12" s="117">
        <v>4913</v>
      </c>
      <c r="W12" s="232">
        <v>4002</v>
      </c>
      <c r="X12" s="232">
        <v>5110</v>
      </c>
      <c r="Y12" s="232">
        <v>6115</v>
      </c>
      <c r="Z12" s="232">
        <v>6706</v>
      </c>
      <c r="AA12" s="232">
        <v>6709</v>
      </c>
      <c r="AB12" s="232">
        <v>5552</v>
      </c>
      <c r="AC12" s="232">
        <v>5279</v>
      </c>
      <c r="AD12" s="232">
        <v>3811</v>
      </c>
      <c r="AE12" s="232">
        <v>2801</v>
      </c>
      <c r="AF12" s="232">
        <v>3229</v>
      </c>
      <c r="AG12" s="232">
        <v>3758</v>
      </c>
      <c r="AH12" s="33"/>
      <c r="AI12" s="33"/>
      <c r="AJ12" s="33"/>
      <c r="AK12" s="36"/>
      <c r="AL12" s="36"/>
      <c r="AM12" s="36"/>
      <c r="AN12" s="36"/>
      <c r="AO12" s="36"/>
    </row>
    <row r="13" spans="1:41" s="115" customFormat="1" ht="15" customHeight="1">
      <c r="A13" s="548" t="s">
        <v>39</v>
      </c>
      <c r="B13" s="503"/>
      <c r="C13" s="503">
        <v>374</v>
      </c>
      <c r="D13" s="503">
        <v>351</v>
      </c>
      <c r="E13" s="503">
        <v>473</v>
      </c>
      <c r="F13" s="503">
        <v>388</v>
      </c>
      <c r="G13" s="503"/>
      <c r="H13" s="503">
        <v>309</v>
      </c>
      <c r="I13" s="503">
        <v>292</v>
      </c>
      <c r="J13" s="503">
        <v>348</v>
      </c>
      <c r="K13" s="503">
        <v>349</v>
      </c>
      <c r="L13" s="503">
        <v>319</v>
      </c>
      <c r="M13" s="503">
        <v>364</v>
      </c>
      <c r="N13" s="503">
        <v>295</v>
      </c>
      <c r="O13" s="503">
        <v>301</v>
      </c>
      <c r="P13" s="503">
        <v>262</v>
      </c>
      <c r="Q13" s="503">
        <v>248</v>
      </c>
      <c r="R13" s="475" t="s">
        <v>29</v>
      </c>
      <c r="S13" s="547" t="s">
        <v>29</v>
      </c>
      <c r="T13" s="547" t="s">
        <v>29</v>
      </c>
      <c r="U13" s="547">
        <v>203</v>
      </c>
      <c r="V13" s="547">
        <v>168</v>
      </c>
      <c r="W13" s="572">
        <v>139</v>
      </c>
      <c r="X13" s="572">
        <v>169</v>
      </c>
      <c r="Y13" s="572">
        <v>224</v>
      </c>
      <c r="Z13" s="572">
        <v>275</v>
      </c>
      <c r="AA13" s="572">
        <v>274</v>
      </c>
      <c r="AB13" s="572">
        <v>279</v>
      </c>
      <c r="AC13" s="572">
        <v>232</v>
      </c>
      <c r="AD13" s="572">
        <v>150</v>
      </c>
      <c r="AE13" s="572">
        <v>77</v>
      </c>
      <c r="AF13" s="572">
        <v>87</v>
      </c>
      <c r="AG13" s="572">
        <v>61</v>
      </c>
      <c r="AH13" s="33"/>
      <c r="AI13" s="33"/>
      <c r="AJ13" s="33"/>
      <c r="AK13" s="36"/>
      <c r="AL13" s="36"/>
      <c r="AM13" s="36"/>
      <c r="AN13" s="36"/>
      <c r="AO13" s="36"/>
    </row>
    <row r="14" spans="1:41" s="115" customFormat="1" ht="15" customHeight="1">
      <c r="A14" s="8" t="s">
        <v>109</v>
      </c>
      <c r="B14" s="43"/>
      <c r="C14" s="43"/>
      <c r="D14" s="43"/>
      <c r="E14" s="43"/>
      <c r="F14" s="124"/>
      <c r="G14" s="43"/>
      <c r="H14" s="125"/>
      <c r="I14" s="125"/>
      <c r="J14" s="125"/>
      <c r="K14" s="125"/>
      <c r="L14" s="125"/>
      <c r="M14" s="125"/>
      <c r="N14" s="125"/>
      <c r="O14" s="125"/>
      <c r="P14" s="125"/>
      <c r="Q14" s="125"/>
      <c r="R14" s="125"/>
      <c r="S14" s="125"/>
      <c r="T14" s="125"/>
      <c r="U14" s="125"/>
      <c r="V14" s="125"/>
      <c r="W14" s="772"/>
      <c r="X14" s="772"/>
      <c r="Y14" s="772"/>
      <c r="Z14" s="772"/>
      <c r="AA14" s="772"/>
      <c r="AB14" s="772"/>
      <c r="AC14" s="772"/>
      <c r="AD14" s="772"/>
      <c r="AE14" s="702"/>
      <c r="AF14" s="702"/>
      <c r="AG14" s="702"/>
      <c r="AH14" s="33"/>
      <c r="AI14" s="33"/>
      <c r="AJ14" s="33"/>
      <c r="AK14" s="36"/>
      <c r="AL14" s="36"/>
      <c r="AM14" s="36"/>
      <c r="AN14" s="36"/>
      <c r="AO14" s="36"/>
    </row>
    <row r="15" spans="1:41" s="115" customFormat="1" ht="15" customHeight="1">
      <c r="A15" s="552" t="s">
        <v>44</v>
      </c>
      <c r="B15" s="555"/>
      <c r="C15" s="556">
        <f>SUM(C16:C17)</f>
        <v>1001</v>
      </c>
      <c r="D15" s="557">
        <f>SUM(D16:D17)</f>
        <v>936</v>
      </c>
      <c r="E15" s="557">
        <f>SUM(E16:E17)</f>
        <v>1042</v>
      </c>
      <c r="F15" s="557">
        <v>1044</v>
      </c>
      <c r="G15" s="557"/>
      <c r="H15" s="558">
        <f>SUM(H16:H17)</f>
        <v>872</v>
      </c>
      <c r="I15" s="558">
        <v>1098</v>
      </c>
      <c r="J15" s="558">
        <v>1204</v>
      </c>
      <c r="K15" s="558">
        <v>1745</v>
      </c>
      <c r="L15" s="558">
        <v>1661</v>
      </c>
      <c r="M15" s="559">
        <v>2166</v>
      </c>
      <c r="N15" s="559">
        <v>1897</v>
      </c>
      <c r="O15" s="559">
        <v>1889</v>
      </c>
      <c r="P15" s="559">
        <v>1380</v>
      </c>
      <c r="Q15" s="559">
        <f>SUM(Q16:Q17)</f>
        <v>1110</v>
      </c>
      <c r="R15" s="549">
        <v>983</v>
      </c>
      <c r="S15" s="554">
        <v>1489</v>
      </c>
      <c r="T15" s="554">
        <v>1371</v>
      </c>
      <c r="U15" s="554">
        <v>1002</v>
      </c>
      <c r="V15" s="554">
        <v>2039</v>
      </c>
      <c r="W15" s="575">
        <v>954</v>
      </c>
      <c r="X15" s="575" t="s">
        <v>29</v>
      </c>
      <c r="Y15" s="575" t="s">
        <v>29</v>
      </c>
      <c r="Z15" s="575" t="s">
        <v>29</v>
      </c>
      <c r="AA15" s="575">
        <v>401</v>
      </c>
      <c r="AB15" s="575">
        <v>358</v>
      </c>
      <c r="AC15" s="575">
        <v>828</v>
      </c>
      <c r="AD15" s="575">
        <f>SUM(AD16:AD17)</f>
        <v>1124</v>
      </c>
      <c r="AE15" s="575">
        <v>1262</v>
      </c>
      <c r="AF15" s="575">
        <v>1241</v>
      </c>
      <c r="AG15" s="575">
        <v>611</v>
      </c>
      <c r="AH15" s="33"/>
      <c r="AI15" s="33"/>
      <c r="AJ15" s="33"/>
      <c r="AK15" s="36"/>
      <c r="AL15" s="36"/>
      <c r="AM15" s="36"/>
      <c r="AN15" s="36"/>
      <c r="AO15" s="36"/>
    </row>
    <row r="16" spans="1:41" s="115" customFormat="1" ht="15" customHeight="1">
      <c r="A16" s="120" t="s">
        <v>38</v>
      </c>
      <c r="B16" s="126"/>
      <c r="C16" s="126">
        <v>627</v>
      </c>
      <c r="D16" s="126">
        <v>585</v>
      </c>
      <c r="E16" s="126">
        <v>569</v>
      </c>
      <c r="F16" s="127">
        <v>656</v>
      </c>
      <c r="G16" s="126"/>
      <c r="H16" s="128">
        <v>563</v>
      </c>
      <c r="I16" s="128">
        <v>806</v>
      </c>
      <c r="J16" s="128">
        <v>856</v>
      </c>
      <c r="K16" s="128">
        <v>1396</v>
      </c>
      <c r="L16" s="128">
        <v>1342</v>
      </c>
      <c r="M16" s="128">
        <v>1802</v>
      </c>
      <c r="N16" s="128">
        <v>1602</v>
      </c>
      <c r="O16" s="128">
        <v>1588</v>
      </c>
      <c r="P16" s="128">
        <v>1118</v>
      </c>
      <c r="Q16" s="128">
        <v>862</v>
      </c>
      <c r="R16" s="129">
        <v>768</v>
      </c>
      <c r="S16" s="117">
        <v>1256</v>
      </c>
      <c r="T16" s="117">
        <v>1168</v>
      </c>
      <c r="U16" s="117">
        <v>883</v>
      </c>
      <c r="V16" s="117">
        <v>1809</v>
      </c>
      <c r="W16" s="232">
        <v>831</v>
      </c>
      <c r="X16" s="232" t="s">
        <v>29</v>
      </c>
      <c r="Y16" s="232" t="s">
        <v>29</v>
      </c>
      <c r="Z16" s="232" t="s">
        <v>29</v>
      </c>
      <c r="AA16" s="232">
        <v>342</v>
      </c>
      <c r="AB16" s="232">
        <v>302</v>
      </c>
      <c r="AC16" s="232">
        <v>752</v>
      </c>
      <c r="AD16" s="232">
        <v>1058</v>
      </c>
      <c r="AE16" s="232">
        <v>1189</v>
      </c>
      <c r="AF16" s="232">
        <v>1182</v>
      </c>
      <c r="AG16" s="232">
        <v>599</v>
      </c>
      <c r="AH16" s="33"/>
      <c r="AI16" s="33"/>
      <c r="AJ16" s="33"/>
      <c r="AK16" s="36"/>
      <c r="AL16" s="36"/>
      <c r="AM16" s="36"/>
      <c r="AN16" s="36"/>
      <c r="AO16" s="36"/>
    </row>
    <row r="17" spans="1:41" s="115" customFormat="1" ht="17.25" customHeight="1">
      <c r="A17" s="548" t="s">
        <v>39</v>
      </c>
      <c r="B17" s="555"/>
      <c r="C17" s="556">
        <v>374</v>
      </c>
      <c r="D17" s="557">
        <v>351</v>
      </c>
      <c r="E17" s="557">
        <v>473</v>
      </c>
      <c r="F17" s="557">
        <v>388</v>
      </c>
      <c r="G17" s="557"/>
      <c r="H17" s="558">
        <v>309</v>
      </c>
      <c r="I17" s="558">
        <v>292</v>
      </c>
      <c r="J17" s="558">
        <v>348</v>
      </c>
      <c r="K17" s="558">
        <v>349</v>
      </c>
      <c r="L17" s="558">
        <v>319</v>
      </c>
      <c r="M17" s="559">
        <v>364</v>
      </c>
      <c r="N17" s="559">
        <v>295</v>
      </c>
      <c r="O17" s="559">
        <v>301</v>
      </c>
      <c r="P17" s="559">
        <v>262</v>
      </c>
      <c r="Q17" s="559">
        <v>248</v>
      </c>
      <c r="R17" s="551">
        <v>215</v>
      </c>
      <c r="S17" s="550">
        <v>233</v>
      </c>
      <c r="T17" s="550">
        <v>203</v>
      </c>
      <c r="U17" s="550">
        <v>119</v>
      </c>
      <c r="V17" s="550">
        <v>228</v>
      </c>
      <c r="W17" s="744">
        <v>123</v>
      </c>
      <c r="X17" s="744" t="s">
        <v>29</v>
      </c>
      <c r="Y17" s="744" t="s">
        <v>29</v>
      </c>
      <c r="Z17" s="744" t="s">
        <v>29</v>
      </c>
      <c r="AA17" s="744">
        <v>59</v>
      </c>
      <c r="AB17" s="744">
        <v>56</v>
      </c>
      <c r="AC17" s="744">
        <v>76</v>
      </c>
      <c r="AD17" s="744">
        <v>66</v>
      </c>
      <c r="AE17" s="744">
        <v>73</v>
      </c>
      <c r="AF17" s="744">
        <v>59</v>
      </c>
      <c r="AG17" s="744">
        <v>12</v>
      </c>
      <c r="AH17" s="33"/>
      <c r="AI17" s="33"/>
      <c r="AJ17" s="33"/>
      <c r="AK17" s="36"/>
      <c r="AL17" s="36"/>
      <c r="AM17" s="36"/>
      <c r="AN17" s="36"/>
      <c r="AO17" s="36"/>
    </row>
    <row r="18" spans="1:41" s="47" customFormat="1" ht="15.75" customHeight="1">
      <c r="A18" s="48"/>
      <c r="B18" s="1"/>
      <c r="C18" s="1"/>
      <c r="D18" s="1"/>
      <c r="E18" s="1"/>
      <c r="F18" s="1"/>
      <c r="G18" s="1"/>
      <c r="H18" s="1"/>
      <c r="I18" s="1"/>
      <c r="J18" s="1"/>
      <c r="K18" s="1"/>
      <c r="L18" s="1"/>
      <c r="M18" s="1"/>
      <c r="N18" s="1"/>
      <c r="O18" s="1"/>
      <c r="P18" s="1"/>
      <c r="Q18" s="1"/>
      <c r="R18" s="119"/>
      <c r="S18" s="119"/>
      <c r="T18" s="119"/>
      <c r="U18" s="119"/>
      <c r="V18" s="119"/>
      <c r="W18" s="771"/>
      <c r="X18" s="771"/>
      <c r="Y18" s="771"/>
      <c r="Z18" s="771"/>
      <c r="AA18" s="771"/>
      <c r="AB18" s="771"/>
      <c r="AC18" s="771"/>
      <c r="AD18" s="773"/>
      <c r="AE18" s="691"/>
      <c r="AF18" s="691"/>
      <c r="AG18" s="691"/>
      <c r="AH18" s="33"/>
      <c r="AI18" s="33"/>
      <c r="AJ18" s="33"/>
      <c r="AK18" s="130"/>
      <c r="AL18" s="130"/>
      <c r="AM18" s="130"/>
      <c r="AN18" s="130"/>
      <c r="AO18" s="130"/>
    </row>
    <row r="19" spans="1:41" s="80" customFormat="1" hidden="1">
      <c r="A19" s="3"/>
      <c r="B19" s="1"/>
      <c r="C19" s="1"/>
      <c r="D19" s="1"/>
      <c r="E19" s="1"/>
      <c r="F19" s="1"/>
      <c r="G19" s="1"/>
      <c r="H19" s="1"/>
      <c r="I19" s="1"/>
      <c r="J19" s="1"/>
      <c r="K19" s="1"/>
      <c r="L19" s="1"/>
      <c r="M19" s="1"/>
      <c r="N19" s="1"/>
      <c r="O19" s="1"/>
      <c r="P19" s="1"/>
      <c r="Q19" s="1"/>
      <c r="R19" s="6"/>
      <c r="S19" s="6"/>
      <c r="T19" s="6"/>
      <c r="U19" s="6"/>
      <c r="V19" s="6"/>
      <c r="W19" s="644"/>
      <c r="X19" s="774"/>
      <c r="Y19" s="775"/>
      <c r="Z19" s="775"/>
      <c r="AA19" s="775"/>
      <c r="AB19" s="775"/>
      <c r="AC19" s="775"/>
      <c r="AD19" s="775"/>
      <c r="AE19" s="691"/>
      <c r="AF19" s="691"/>
      <c r="AG19" s="691"/>
      <c r="AH19" s="33"/>
      <c r="AI19" s="33"/>
      <c r="AJ19" s="33"/>
      <c r="AK19" s="59"/>
      <c r="AL19" s="59"/>
      <c r="AM19" s="59"/>
      <c r="AN19" s="59"/>
      <c r="AO19" s="59"/>
    </row>
    <row r="20" spans="1:41" s="80" customFormat="1">
      <c r="A20" s="3"/>
      <c r="B20" s="1"/>
      <c r="C20" s="1"/>
      <c r="D20" s="1"/>
      <c r="E20" s="1"/>
      <c r="F20" s="1"/>
      <c r="G20" s="1"/>
      <c r="H20" s="1"/>
      <c r="I20" s="1"/>
      <c r="J20" s="1"/>
      <c r="K20" s="1"/>
      <c r="L20" s="1"/>
      <c r="M20" s="1"/>
      <c r="N20" s="1"/>
      <c r="O20" s="1"/>
      <c r="P20" s="1"/>
      <c r="Q20" s="1"/>
      <c r="R20" s="6"/>
      <c r="S20" s="6"/>
      <c r="T20" s="6"/>
      <c r="U20" s="6"/>
      <c r="V20" s="6"/>
      <c r="W20" s="644"/>
      <c r="X20" s="774"/>
      <c r="Y20" s="662"/>
      <c r="Z20" s="662"/>
      <c r="AA20" s="662"/>
      <c r="AB20" s="662"/>
      <c r="AC20" s="662"/>
      <c r="AD20" s="662"/>
      <c r="AE20" s="691"/>
      <c r="AF20" s="691"/>
      <c r="AG20" s="691"/>
      <c r="AH20" s="33"/>
      <c r="AI20" s="33"/>
      <c r="AJ20" s="33"/>
    </row>
    <row r="21" spans="1:41" s="80" customFormat="1">
      <c r="A21" s="3"/>
      <c r="B21" s="1"/>
      <c r="C21" s="1"/>
      <c r="D21" s="1"/>
      <c r="E21" s="1"/>
      <c r="F21" s="1"/>
      <c r="G21" s="1"/>
      <c r="H21" s="1"/>
      <c r="I21" s="1"/>
      <c r="J21" s="1"/>
      <c r="K21" s="1"/>
      <c r="L21" s="1"/>
      <c r="M21" s="1"/>
      <c r="N21" s="1"/>
      <c r="O21" s="1"/>
      <c r="P21" s="1"/>
      <c r="Q21" s="1"/>
      <c r="R21" s="6"/>
      <c r="S21" s="6"/>
      <c r="T21" s="6"/>
      <c r="U21" s="6"/>
      <c r="V21" s="6"/>
      <c r="W21" s="644"/>
      <c r="X21" s="774"/>
      <c r="Y21" s="662"/>
      <c r="Z21" s="662"/>
      <c r="AA21" s="662"/>
      <c r="AB21" s="662"/>
      <c r="AC21" s="662"/>
      <c r="AD21" s="662"/>
      <c r="AE21" s="691"/>
      <c r="AF21" s="691"/>
      <c r="AG21" s="691"/>
      <c r="AH21" s="33"/>
      <c r="AI21" s="33"/>
      <c r="AJ21" s="33"/>
    </row>
    <row r="22" spans="1:41" s="80" customFormat="1">
      <c r="A22" s="131"/>
      <c r="B22" s="130"/>
      <c r="C22" s="130"/>
      <c r="D22" s="130"/>
      <c r="E22" s="130"/>
      <c r="F22" s="130"/>
      <c r="G22" s="130"/>
      <c r="H22" s="130"/>
      <c r="I22" s="130"/>
      <c r="J22" s="130"/>
      <c r="K22" s="130"/>
      <c r="L22" s="130"/>
      <c r="M22" s="130"/>
      <c r="N22" s="130"/>
      <c r="O22" s="130"/>
      <c r="P22" s="130"/>
      <c r="Q22" s="130"/>
      <c r="R22" s="132"/>
      <c r="S22" s="132"/>
      <c r="T22" s="132"/>
      <c r="U22" s="130"/>
      <c r="V22" s="130"/>
      <c r="W22" s="773"/>
      <c r="X22" s="773"/>
      <c r="Y22" s="662"/>
      <c r="Z22" s="662"/>
      <c r="AA22" s="662"/>
      <c r="AB22" s="662"/>
      <c r="AC22" s="662"/>
      <c r="AD22" s="776"/>
      <c r="AE22" s="691"/>
      <c r="AF22" s="691"/>
      <c r="AG22" s="691"/>
      <c r="AH22" s="33"/>
      <c r="AI22" s="33"/>
      <c r="AJ22" s="33"/>
    </row>
    <row r="23" spans="1:41" s="80" customFormat="1">
      <c r="A23" s="59"/>
      <c r="B23" s="59"/>
      <c r="C23" s="59"/>
      <c r="D23" s="59"/>
      <c r="E23" s="59"/>
      <c r="F23" s="59"/>
      <c r="G23" s="59"/>
      <c r="H23" s="59"/>
      <c r="I23" s="59"/>
      <c r="J23" s="59"/>
      <c r="K23" s="59"/>
      <c r="L23" s="59"/>
      <c r="M23" s="59"/>
      <c r="N23" s="59"/>
      <c r="O23" s="59"/>
      <c r="P23" s="59"/>
      <c r="Q23" s="59"/>
      <c r="R23" s="59"/>
      <c r="S23" s="59"/>
      <c r="T23" s="59"/>
      <c r="U23" s="59"/>
      <c r="V23" s="59"/>
      <c r="W23" s="775"/>
      <c r="X23" s="775"/>
      <c r="Y23" s="662"/>
      <c r="Z23" s="662"/>
      <c r="AA23" s="662"/>
      <c r="AB23" s="662"/>
      <c r="AC23" s="662"/>
      <c r="AD23" s="777"/>
      <c r="AE23" s="691"/>
      <c r="AF23" s="691"/>
      <c r="AG23" s="691"/>
      <c r="AH23" s="33"/>
      <c r="AI23" s="33"/>
      <c r="AJ23" s="33"/>
    </row>
    <row r="24" spans="1:41" s="80" customFormat="1" ht="21" customHeight="1">
      <c r="W24" s="662"/>
      <c r="X24" s="662"/>
      <c r="Y24" s="662"/>
      <c r="Z24" s="662"/>
      <c r="AA24" s="662"/>
      <c r="AB24" s="662"/>
      <c r="AC24" s="662"/>
      <c r="AD24" s="777"/>
      <c r="AE24" s="691"/>
      <c r="AF24" s="691"/>
      <c r="AG24" s="691"/>
      <c r="AH24" s="33"/>
      <c r="AI24" s="33"/>
      <c r="AJ24" s="33"/>
    </row>
    <row r="25" spans="1:41" s="80" customFormat="1" ht="14.25" customHeight="1">
      <c r="W25" s="662"/>
      <c r="X25" s="662"/>
      <c r="Y25" s="662"/>
      <c r="Z25" s="662"/>
      <c r="AA25" s="662"/>
      <c r="AB25" s="662"/>
      <c r="AC25" s="662"/>
      <c r="AD25" s="662"/>
      <c r="AE25" s="662"/>
      <c r="AF25" s="662"/>
      <c r="AG25" s="662"/>
    </row>
    <row r="26" spans="1:41" s="80" customFormat="1" ht="14.25" customHeight="1">
      <c r="W26" s="662"/>
      <c r="X26" s="662"/>
      <c r="Y26" s="662"/>
      <c r="Z26" s="662"/>
      <c r="AA26" s="662"/>
      <c r="AB26" s="662"/>
      <c r="AC26" s="662"/>
      <c r="AD26" s="662"/>
      <c r="AE26" s="662"/>
      <c r="AF26" s="662"/>
      <c r="AG26" s="662"/>
    </row>
    <row r="27" spans="1:41" s="80" customFormat="1" ht="14.25" customHeight="1">
      <c r="W27" s="662"/>
      <c r="X27" s="662"/>
      <c r="Y27" s="662"/>
      <c r="Z27" s="662"/>
      <c r="AA27" s="662"/>
      <c r="AB27" s="662"/>
      <c r="AC27" s="662"/>
      <c r="AD27" s="662"/>
      <c r="AE27" s="662"/>
      <c r="AF27" s="662"/>
      <c r="AG27" s="662"/>
    </row>
    <row r="28" spans="1:41" s="80" customFormat="1" ht="14.25" customHeight="1">
      <c r="W28" s="662"/>
      <c r="X28" s="662"/>
      <c r="Y28" s="662"/>
      <c r="Z28" s="662"/>
      <c r="AA28" s="662"/>
      <c r="AB28" s="662"/>
      <c r="AC28" s="662"/>
      <c r="AD28" s="662"/>
      <c r="AE28" s="662"/>
      <c r="AF28" s="662"/>
      <c r="AG28" s="662"/>
    </row>
    <row r="29" spans="1:41" s="80" customFormat="1" ht="14.25" customHeight="1">
      <c r="W29" s="662"/>
      <c r="X29" s="662"/>
      <c r="Y29" s="662"/>
      <c r="Z29" s="662"/>
      <c r="AA29" s="662"/>
      <c r="AB29" s="662"/>
      <c r="AC29" s="662"/>
      <c r="AD29" s="662"/>
      <c r="AE29" s="662"/>
      <c r="AF29" s="662"/>
      <c r="AG29" s="662"/>
    </row>
    <row r="30" spans="1:41" s="80" customFormat="1" ht="14.25" customHeight="1">
      <c r="W30" s="662"/>
      <c r="X30" s="662"/>
      <c r="Y30" s="662"/>
      <c r="Z30" s="662"/>
      <c r="AA30" s="662"/>
      <c r="AB30" s="662"/>
      <c r="AC30" s="662"/>
      <c r="AD30" s="662"/>
      <c r="AE30" s="662"/>
      <c r="AF30" s="662"/>
      <c r="AG30" s="662"/>
    </row>
    <row r="31" spans="1:41" s="80" customFormat="1" ht="14.25" customHeight="1">
      <c r="W31" s="662"/>
      <c r="X31" s="662"/>
      <c r="Y31" s="662"/>
      <c r="Z31" s="662"/>
      <c r="AA31" s="662"/>
      <c r="AB31" s="662"/>
      <c r="AC31" s="662"/>
      <c r="AD31" s="662"/>
      <c r="AE31" s="662"/>
      <c r="AF31" s="662"/>
      <c r="AG31" s="662"/>
    </row>
    <row r="32" spans="1:41" s="80" customFormat="1" ht="14.25" customHeight="1">
      <c r="W32" s="662"/>
      <c r="X32" s="662"/>
      <c r="Y32" s="662"/>
      <c r="Z32" s="662"/>
      <c r="AA32" s="662"/>
      <c r="AB32" s="662"/>
      <c r="AC32" s="662"/>
      <c r="AD32" s="662"/>
      <c r="AE32" s="662"/>
      <c r="AF32" s="662"/>
      <c r="AG32" s="662"/>
    </row>
    <row r="33" spans="23:33" s="80" customFormat="1" ht="14.25" customHeight="1">
      <c r="W33" s="662"/>
      <c r="X33" s="662"/>
      <c r="Y33" s="662"/>
      <c r="Z33" s="662"/>
      <c r="AA33" s="662"/>
      <c r="AB33" s="662"/>
      <c r="AC33" s="662"/>
      <c r="AD33" s="662"/>
      <c r="AE33" s="662"/>
      <c r="AF33" s="662"/>
      <c r="AG33" s="662"/>
    </row>
    <row r="34" spans="23:33" s="80" customFormat="1" ht="14.25" customHeight="1">
      <c r="W34" s="662"/>
      <c r="X34" s="662"/>
      <c r="Y34" s="662"/>
      <c r="Z34" s="662"/>
      <c r="AA34" s="662"/>
      <c r="AB34" s="662"/>
      <c r="AC34" s="662"/>
      <c r="AD34" s="662"/>
      <c r="AE34" s="662"/>
      <c r="AF34" s="662"/>
      <c r="AG34" s="662"/>
    </row>
    <row r="35" spans="23:33" s="80" customFormat="1" ht="14.25" customHeight="1">
      <c r="W35" s="662"/>
      <c r="X35" s="662"/>
      <c r="Y35" s="662"/>
      <c r="Z35" s="662"/>
      <c r="AA35" s="662"/>
      <c r="AB35" s="662"/>
      <c r="AC35" s="662"/>
      <c r="AD35" s="662"/>
      <c r="AE35" s="662"/>
      <c r="AF35" s="662"/>
      <c r="AG35" s="662"/>
    </row>
    <row r="36" spans="23:33" s="80" customFormat="1" ht="12" customHeight="1">
      <c r="W36" s="662"/>
      <c r="X36" s="662"/>
      <c r="Y36" s="662"/>
      <c r="Z36" s="662"/>
      <c r="AA36" s="662"/>
      <c r="AB36" s="662"/>
      <c r="AC36" s="662"/>
      <c r="AD36" s="662"/>
      <c r="AE36" s="662"/>
      <c r="AF36" s="662"/>
      <c r="AG36" s="662"/>
    </row>
    <row r="37" spans="23:33" s="80" customFormat="1" ht="14.25" hidden="1" customHeight="1">
      <c r="W37" s="662"/>
      <c r="X37" s="662"/>
      <c r="Y37" s="662"/>
      <c r="Z37" s="662"/>
      <c r="AA37" s="662"/>
      <c r="AB37" s="662"/>
      <c r="AC37" s="662"/>
      <c r="AD37" s="662"/>
      <c r="AE37" s="662"/>
      <c r="AF37" s="662"/>
      <c r="AG37" s="662"/>
    </row>
    <row r="38" spans="23:33" s="80" customFormat="1">
      <c r="W38" s="662"/>
      <c r="X38" s="662"/>
      <c r="Y38" s="662"/>
      <c r="Z38" s="662"/>
      <c r="AA38" s="662"/>
      <c r="AB38" s="662"/>
      <c r="AC38" s="662"/>
      <c r="AD38" s="662"/>
      <c r="AE38" s="662"/>
      <c r="AF38" s="662"/>
      <c r="AG38" s="662"/>
    </row>
    <row r="39" spans="23:33" s="80" customFormat="1">
      <c r="W39" s="662"/>
      <c r="X39" s="662"/>
      <c r="Y39" s="662"/>
      <c r="Z39" s="662"/>
      <c r="AA39" s="662"/>
      <c r="AB39" s="662"/>
      <c r="AC39" s="662"/>
      <c r="AD39" s="662"/>
      <c r="AE39" s="662"/>
      <c r="AF39" s="662"/>
      <c r="AG39" s="662"/>
    </row>
    <row r="40" spans="23:33" s="80" customFormat="1">
      <c r="W40" s="662"/>
      <c r="X40" s="662"/>
      <c r="Y40" s="662"/>
      <c r="Z40" s="662"/>
      <c r="AA40" s="662"/>
      <c r="AB40" s="662"/>
      <c r="AC40" s="662"/>
      <c r="AD40" s="662"/>
      <c r="AE40" s="662"/>
      <c r="AF40" s="662"/>
      <c r="AG40" s="662"/>
    </row>
    <row r="41" spans="23:33" s="80" customFormat="1">
      <c r="W41" s="662"/>
      <c r="X41" s="662"/>
      <c r="Y41" s="662"/>
      <c r="Z41" s="662"/>
      <c r="AA41" s="662"/>
      <c r="AB41" s="662"/>
      <c r="AC41" s="662"/>
      <c r="AD41" s="662"/>
      <c r="AE41" s="662"/>
      <c r="AF41" s="662"/>
      <c r="AG41" s="662"/>
    </row>
    <row r="42" spans="23:33" s="80" customFormat="1">
      <c r="W42" s="662"/>
      <c r="X42" s="662"/>
      <c r="Y42" s="662"/>
      <c r="Z42" s="662"/>
      <c r="AA42" s="662"/>
      <c r="AB42" s="662"/>
      <c r="AC42" s="662"/>
      <c r="AD42" s="662"/>
      <c r="AE42" s="662"/>
      <c r="AF42" s="662"/>
      <c r="AG42" s="662"/>
    </row>
    <row r="43" spans="23:33" s="80" customFormat="1">
      <c r="W43" s="662"/>
      <c r="X43" s="662"/>
      <c r="Y43" s="662"/>
      <c r="Z43" s="662"/>
      <c r="AA43" s="662"/>
      <c r="AB43" s="662"/>
      <c r="AC43" s="662"/>
      <c r="AD43" s="662"/>
      <c r="AE43" s="662"/>
      <c r="AF43" s="662"/>
      <c r="AG43" s="662"/>
    </row>
    <row r="44" spans="23:33" s="80" customFormat="1">
      <c r="W44" s="662"/>
      <c r="X44" s="662"/>
      <c r="Y44" s="662"/>
      <c r="Z44" s="662"/>
      <c r="AA44" s="662"/>
      <c r="AB44" s="662"/>
      <c r="AC44" s="662"/>
      <c r="AD44" s="662"/>
      <c r="AE44" s="662"/>
      <c r="AF44" s="662"/>
      <c r="AG44" s="662"/>
    </row>
    <row r="45" spans="23:33" s="80" customFormat="1">
      <c r="W45" s="662"/>
      <c r="X45" s="662"/>
      <c r="Y45" s="662"/>
      <c r="Z45" s="662"/>
      <c r="AA45" s="662"/>
      <c r="AB45" s="662"/>
      <c r="AC45" s="662"/>
      <c r="AD45" s="662"/>
      <c r="AE45" s="662"/>
      <c r="AF45" s="662"/>
      <c r="AG45" s="662"/>
    </row>
    <row r="46" spans="23:33" s="80" customFormat="1">
      <c r="W46" s="662"/>
      <c r="X46" s="662"/>
      <c r="Y46" s="662"/>
      <c r="Z46" s="662"/>
      <c r="AA46" s="662"/>
      <c r="AB46" s="662"/>
      <c r="AC46" s="662"/>
      <c r="AD46" s="662"/>
      <c r="AE46" s="662"/>
      <c r="AF46" s="662"/>
      <c r="AG46" s="662"/>
    </row>
    <row r="47" spans="23:33" s="80" customFormat="1">
      <c r="W47" s="662"/>
      <c r="X47" s="662"/>
      <c r="Y47" s="662"/>
      <c r="Z47" s="662"/>
      <c r="AA47" s="662"/>
      <c r="AB47" s="662"/>
      <c r="AC47" s="662"/>
      <c r="AD47" s="662"/>
      <c r="AE47" s="662"/>
      <c r="AF47" s="662"/>
      <c r="AG47" s="662"/>
    </row>
    <row r="48" spans="23:33" s="80" customFormat="1">
      <c r="W48" s="662"/>
      <c r="X48" s="662"/>
      <c r="Y48" s="662"/>
      <c r="Z48" s="662"/>
      <c r="AA48" s="662"/>
      <c r="AB48" s="662"/>
      <c r="AC48" s="662"/>
      <c r="AD48" s="662"/>
      <c r="AE48" s="662"/>
      <c r="AF48" s="662"/>
      <c r="AG48" s="662"/>
    </row>
    <row r="49" spans="23:33" s="80" customFormat="1">
      <c r="W49" s="662"/>
      <c r="X49" s="662"/>
      <c r="Y49" s="662"/>
      <c r="Z49" s="662"/>
      <c r="AA49" s="662"/>
      <c r="AB49" s="662"/>
      <c r="AC49" s="662"/>
      <c r="AD49" s="662"/>
      <c r="AE49" s="662"/>
      <c r="AF49" s="662"/>
      <c r="AG49" s="662"/>
    </row>
    <row r="50" spans="23:33" s="80" customFormat="1">
      <c r="W50" s="662"/>
      <c r="X50" s="662"/>
      <c r="Y50" s="662"/>
      <c r="Z50" s="662"/>
      <c r="AA50" s="662"/>
      <c r="AB50" s="662"/>
      <c r="AC50" s="662"/>
      <c r="AD50" s="662"/>
      <c r="AE50" s="662"/>
      <c r="AF50" s="662"/>
      <c r="AG50" s="662"/>
    </row>
    <row r="51" spans="23:33" s="80" customFormat="1">
      <c r="W51" s="662"/>
      <c r="X51" s="662"/>
      <c r="Y51" s="662"/>
      <c r="Z51" s="662"/>
      <c r="AA51" s="662"/>
      <c r="AB51" s="662"/>
      <c r="AC51" s="662"/>
      <c r="AD51" s="662"/>
      <c r="AE51" s="662"/>
      <c r="AF51" s="662"/>
      <c r="AG51" s="662"/>
    </row>
    <row r="52" spans="23:33" s="80" customFormat="1">
      <c r="W52" s="662"/>
      <c r="X52" s="662"/>
      <c r="Y52" s="662"/>
      <c r="Z52" s="662"/>
      <c r="AA52" s="662"/>
      <c r="AB52" s="662"/>
      <c r="AC52" s="662"/>
      <c r="AD52" s="662"/>
      <c r="AE52" s="662"/>
      <c r="AF52" s="662"/>
      <c r="AG52" s="662"/>
    </row>
    <row r="53" spans="23:33" s="80" customFormat="1">
      <c r="W53" s="662"/>
      <c r="X53" s="662"/>
      <c r="Y53" s="662"/>
      <c r="Z53" s="662"/>
      <c r="AA53" s="662"/>
      <c r="AB53" s="662"/>
      <c r="AC53" s="662"/>
      <c r="AD53" s="662"/>
      <c r="AE53" s="662"/>
      <c r="AF53" s="662"/>
      <c r="AG53" s="662"/>
    </row>
    <row r="54" spans="23:33" s="80" customFormat="1">
      <c r="W54" s="662"/>
      <c r="X54" s="662"/>
      <c r="Y54" s="662"/>
      <c r="Z54" s="662"/>
      <c r="AA54" s="662"/>
      <c r="AB54" s="662"/>
      <c r="AC54" s="662"/>
      <c r="AD54" s="662"/>
      <c r="AE54" s="662"/>
      <c r="AF54" s="662"/>
      <c r="AG54" s="662"/>
    </row>
    <row r="55" spans="23:33" s="80" customFormat="1">
      <c r="W55" s="662"/>
      <c r="X55" s="662"/>
      <c r="Y55" s="662"/>
      <c r="Z55" s="662"/>
      <c r="AA55" s="662"/>
      <c r="AB55" s="662"/>
      <c r="AC55" s="662"/>
      <c r="AD55" s="662"/>
      <c r="AE55" s="662"/>
      <c r="AF55" s="662"/>
      <c r="AG55" s="662"/>
    </row>
    <row r="56" spans="23:33" s="80" customFormat="1">
      <c r="W56" s="662"/>
      <c r="X56" s="662"/>
      <c r="Y56" s="662"/>
      <c r="Z56" s="662"/>
      <c r="AA56" s="662"/>
      <c r="AB56" s="662"/>
      <c r="AC56" s="662"/>
      <c r="AD56" s="662"/>
      <c r="AE56" s="662"/>
      <c r="AF56" s="662"/>
      <c r="AG56" s="662"/>
    </row>
    <row r="57" spans="23:33" s="80" customFormat="1">
      <c r="W57" s="662"/>
      <c r="X57" s="662"/>
      <c r="Y57" s="662"/>
      <c r="Z57" s="662"/>
      <c r="AA57" s="662"/>
      <c r="AB57" s="662"/>
      <c r="AC57" s="662"/>
      <c r="AD57" s="662"/>
      <c r="AE57" s="662"/>
      <c r="AF57" s="662"/>
      <c r="AG57" s="662"/>
    </row>
    <row r="58" spans="23:33" s="80" customFormat="1">
      <c r="W58" s="662"/>
      <c r="X58" s="662"/>
      <c r="Y58" s="662"/>
      <c r="Z58" s="662"/>
      <c r="AA58" s="662"/>
      <c r="AB58" s="662"/>
      <c r="AC58" s="662"/>
      <c r="AD58" s="662"/>
      <c r="AE58" s="662"/>
      <c r="AF58" s="662"/>
      <c r="AG58" s="662"/>
    </row>
    <row r="59" spans="23:33" s="80" customFormat="1">
      <c r="W59" s="662"/>
      <c r="X59" s="662"/>
      <c r="Y59" s="662"/>
      <c r="Z59" s="662"/>
      <c r="AA59" s="662"/>
      <c r="AB59" s="662"/>
      <c r="AC59" s="662"/>
      <c r="AD59" s="662"/>
      <c r="AE59" s="662"/>
      <c r="AF59" s="662"/>
      <c r="AG59" s="662"/>
    </row>
    <row r="60" spans="23:33" s="80" customFormat="1">
      <c r="W60" s="662"/>
      <c r="X60" s="662"/>
      <c r="Y60" s="662"/>
      <c r="Z60" s="662"/>
      <c r="AA60" s="662"/>
      <c r="AB60" s="662"/>
      <c r="AC60" s="662"/>
      <c r="AD60" s="662"/>
      <c r="AE60" s="662"/>
      <c r="AF60" s="662"/>
      <c r="AG60" s="662"/>
    </row>
    <row r="61" spans="23:33" s="80" customFormat="1">
      <c r="W61" s="662"/>
      <c r="X61" s="662"/>
      <c r="Y61" s="662"/>
      <c r="Z61" s="662"/>
      <c r="AA61" s="662"/>
      <c r="AB61" s="662"/>
      <c r="AC61" s="662"/>
      <c r="AD61" s="662"/>
      <c r="AE61" s="662"/>
      <c r="AF61" s="662"/>
      <c r="AG61" s="662"/>
    </row>
    <row r="62" spans="23:33" s="80" customFormat="1">
      <c r="W62" s="662"/>
      <c r="X62" s="662"/>
      <c r="Y62" s="662"/>
      <c r="Z62" s="662"/>
      <c r="AA62" s="662"/>
      <c r="AB62" s="662"/>
      <c r="AC62" s="662"/>
      <c r="AD62" s="662"/>
      <c r="AE62" s="662"/>
      <c r="AF62" s="662"/>
      <c r="AG62" s="662"/>
    </row>
    <row r="63" spans="23:33" s="80" customFormat="1">
      <c r="W63" s="662"/>
      <c r="X63" s="662"/>
      <c r="Y63" s="662"/>
      <c r="Z63" s="662"/>
      <c r="AA63" s="662"/>
      <c r="AB63" s="662"/>
      <c r="AC63" s="662"/>
      <c r="AD63" s="662"/>
      <c r="AE63" s="662"/>
      <c r="AF63" s="662"/>
      <c r="AG63" s="662"/>
    </row>
    <row r="64" spans="23:33" s="80" customFormat="1">
      <c r="W64" s="662"/>
      <c r="X64" s="662"/>
      <c r="Y64" s="662"/>
      <c r="Z64" s="662"/>
      <c r="AA64" s="662"/>
      <c r="AB64" s="662"/>
      <c r="AC64" s="662"/>
      <c r="AD64" s="662"/>
      <c r="AE64" s="662"/>
      <c r="AF64" s="662"/>
      <c r="AG64" s="662"/>
    </row>
    <row r="65" spans="23:33" s="80" customFormat="1">
      <c r="W65" s="662"/>
      <c r="X65" s="662"/>
      <c r="Y65" s="662"/>
      <c r="Z65" s="662"/>
      <c r="AA65" s="662"/>
      <c r="AB65" s="662"/>
      <c r="AC65" s="662"/>
      <c r="AD65" s="662"/>
      <c r="AE65" s="662"/>
      <c r="AF65" s="662"/>
      <c r="AG65" s="662"/>
    </row>
    <row r="66" spans="23:33" s="80" customFormat="1">
      <c r="W66" s="662"/>
      <c r="X66" s="662"/>
      <c r="Y66" s="662"/>
      <c r="Z66" s="662"/>
      <c r="AA66" s="662"/>
      <c r="AB66" s="662"/>
      <c r="AC66" s="662"/>
      <c r="AD66" s="662"/>
      <c r="AE66" s="662"/>
      <c r="AF66" s="662"/>
      <c r="AG66" s="662"/>
    </row>
    <row r="67" spans="23:33" s="80" customFormat="1">
      <c r="W67" s="662"/>
      <c r="X67" s="662"/>
      <c r="Y67" s="662"/>
      <c r="Z67" s="662"/>
      <c r="AA67" s="662"/>
      <c r="AB67" s="662"/>
      <c r="AC67" s="662"/>
      <c r="AD67" s="662"/>
      <c r="AE67" s="662"/>
      <c r="AF67" s="662"/>
      <c r="AG67" s="662"/>
    </row>
    <row r="68" spans="23:33" s="80" customFormat="1">
      <c r="W68" s="662"/>
      <c r="X68" s="662"/>
      <c r="Y68" s="662"/>
      <c r="Z68" s="662"/>
      <c r="AA68" s="662"/>
      <c r="AB68" s="662"/>
      <c r="AC68" s="662"/>
      <c r="AD68" s="662"/>
      <c r="AE68" s="662"/>
      <c r="AF68" s="662"/>
      <c r="AG68" s="662"/>
    </row>
    <row r="69" spans="23:33" s="80" customFormat="1">
      <c r="W69" s="662"/>
      <c r="X69" s="662"/>
      <c r="Y69" s="662"/>
      <c r="Z69" s="662"/>
      <c r="AA69" s="662"/>
      <c r="AB69" s="662"/>
      <c r="AC69" s="662"/>
      <c r="AD69" s="662"/>
      <c r="AE69" s="662"/>
      <c r="AF69" s="662"/>
      <c r="AG69" s="662"/>
    </row>
    <row r="70" spans="23:33" s="80" customFormat="1">
      <c r="W70" s="662"/>
      <c r="X70" s="662"/>
      <c r="Y70" s="662"/>
      <c r="Z70" s="662"/>
      <c r="AA70" s="662"/>
      <c r="AB70" s="662"/>
      <c r="AC70" s="662"/>
      <c r="AD70" s="662"/>
      <c r="AE70" s="662"/>
      <c r="AF70" s="662"/>
      <c r="AG70" s="662"/>
    </row>
    <row r="71" spans="23:33" s="80" customFormat="1">
      <c r="W71" s="662"/>
      <c r="X71" s="662"/>
      <c r="Y71" s="662"/>
      <c r="Z71" s="662"/>
      <c r="AA71" s="662"/>
      <c r="AB71" s="662"/>
      <c r="AC71" s="662"/>
      <c r="AD71" s="662"/>
      <c r="AE71" s="662"/>
      <c r="AF71" s="662"/>
      <c r="AG71" s="662"/>
    </row>
    <row r="72" spans="23:33" s="80" customFormat="1">
      <c r="W72" s="662"/>
      <c r="X72" s="662"/>
      <c r="Y72" s="662"/>
      <c r="Z72" s="662"/>
      <c r="AA72" s="662"/>
      <c r="AB72" s="662"/>
      <c r="AC72" s="662"/>
      <c r="AD72" s="662"/>
      <c r="AE72" s="662"/>
      <c r="AF72" s="662"/>
      <c r="AG72" s="662"/>
    </row>
    <row r="73" spans="23:33" s="80" customFormat="1">
      <c r="W73" s="662"/>
      <c r="X73" s="662"/>
      <c r="Y73" s="662"/>
      <c r="Z73" s="662"/>
      <c r="AA73" s="662"/>
      <c r="AB73" s="662"/>
      <c r="AC73" s="662"/>
      <c r="AD73" s="662"/>
      <c r="AE73" s="662"/>
      <c r="AF73" s="662"/>
      <c r="AG73" s="662"/>
    </row>
    <row r="74" spans="23:33" s="80" customFormat="1">
      <c r="W74" s="662"/>
      <c r="X74" s="662"/>
      <c r="Y74" s="662"/>
      <c r="Z74" s="662"/>
      <c r="AA74" s="662"/>
      <c r="AB74" s="662"/>
      <c r="AC74" s="662"/>
      <c r="AD74" s="662"/>
      <c r="AE74" s="662"/>
      <c r="AF74" s="662"/>
      <c r="AG74" s="662"/>
    </row>
    <row r="75" spans="23:33" s="80" customFormat="1">
      <c r="W75" s="662"/>
      <c r="X75" s="662"/>
      <c r="Y75" s="662"/>
      <c r="Z75" s="662"/>
      <c r="AA75" s="662"/>
      <c r="AB75" s="662"/>
      <c r="AC75" s="662"/>
      <c r="AD75" s="662"/>
      <c r="AE75" s="662"/>
      <c r="AF75" s="662"/>
      <c r="AG75" s="662"/>
    </row>
    <row r="76" spans="23:33" s="80" customFormat="1">
      <c r="W76" s="662"/>
      <c r="X76" s="662"/>
      <c r="Y76" s="662"/>
      <c r="Z76" s="662"/>
      <c r="AA76" s="662"/>
      <c r="AB76" s="662"/>
      <c r="AC76" s="662"/>
      <c r="AD76" s="662"/>
      <c r="AE76" s="662"/>
      <c r="AF76" s="662"/>
      <c r="AG76" s="662"/>
    </row>
    <row r="77" spans="23:33" s="80" customFormat="1">
      <c r="W77" s="662"/>
      <c r="X77" s="662"/>
      <c r="Y77" s="662"/>
      <c r="Z77" s="662"/>
      <c r="AA77" s="662"/>
      <c r="AB77" s="662"/>
      <c r="AC77" s="662"/>
      <c r="AD77" s="662"/>
      <c r="AE77" s="662"/>
      <c r="AF77" s="662"/>
      <c r="AG77" s="662"/>
    </row>
    <row r="78" spans="23:33" s="80" customFormat="1">
      <c r="W78" s="662"/>
      <c r="X78" s="662"/>
      <c r="Y78" s="662"/>
      <c r="Z78" s="662"/>
      <c r="AA78" s="662"/>
      <c r="AB78" s="662"/>
      <c r="AC78" s="662"/>
      <c r="AD78" s="662"/>
      <c r="AE78" s="662"/>
      <c r="AF78" s="662"/>
      <c r="AG78" s="662"/>
    </row>
    <row r="79" spans="23:33" s="80" customFormat="1">
      <c r="W79" s="662"/>
      <c r="X79" s="662"/>
      <c r="Y79" s="662"/>
      <c r="Z79" s="662"/>
      <c r="AA79" s="662"/>
      <c r="AB79" s="662"/>
      <c r="AC79" s="662"/>
      <c r="AD79" s="662"/>
      <c r="AE79" s="662"/>
      <c r="AF79" s="662"/>
      <c r="AG79" s="662"/>
    </row>
    <row r="80" spans="23:33" s="80" customFormat="1">
      <c r="W80" s="662"/>
      <c r="X80" s="662"/>
      <c r="Y80" s="662"/>
      <c r="Z80" s="662"/>
      <c r="AA80" s="662"/>
      <c r="AB80" s="662"/>
      <c r="AC80" s="662"/>
      <c r="AD80" s="662"/>
      <c r="AE80" s="662"/>
      <c r="AF80" s="662"/>
      <c r="AG80" s="662"/>
    </row>
    <row r="81" spans="23:33" s="80" customFormat="1">
      <c r="W81" s="662"/>
      <c r="X81" s="662"/>
      <c r="Y81" s="662"/>
      <c r="Z81" s="662"/>
      <c r="AA81" s="662"/>
      <c r="AB81" s="662"/>
      <c r="AC81" s="662"/>
      <c r="AD81" s="662"/>
      <c r="AE81" s="662"/>
      <c r="AF81" s="662"/>
      <c r="AG81" s="662"/>
    </row>
    <row r="82" spans="23:33" s="80" customFormat="1">
      <c r="W82" s="662"/>
      <c r="X82" s="662"/>
      <c r="Y82" s="662"/>
      <c r="Z82" s="662"/>
      <c r="AA82" s="662"/>
      <c r="AB82" s="662"/>
      <c r="AC82" s="662"/>
      <c r="AD82" s="662"/>
      <c r="AE82" s="662"/>
      <c r="AF82" s="662"/>
      <c r="AG82" s="662"/>
    </row>
    <row r="83" spans="23:33" s="80" customFormat="1">
      <c r="W83" s="662"/>
      <c r="X83" s="662"/>
      <c r="Y83" s="662"/>
      <c r="Z83" s="662"/>
      <c r="AA83" s="662"/>
      <c r="AB83" s="662"/>
      <c r="AC83" s="662"/>
      <c r="AD83" s="662"/>
      <c r="AE83" s="662"/>
      <c r="AF83" s="662"/>
      <c r="AG83" s="662"/>
    </row>
    <row r="84" spans="23:33" s="80" customFormat="1">
      <c r="W84" s="662"/>
      <c r="X84" s="662"/>
      <c r="Y84" s="662"/>
      <c r="Z84" s="662"/>
      <c r="AA84" s="662"/>
      <c r="AB84" s="662"/>
      <c r="AC84" s="662"/>
      <c r="AD84" s="662"/>
      <c r="AE84" s="662"/>
      <c r="AF84" s="662"/>
      <c r="AG84" s="662"/>
    </row>
    <row r="85" spans="23:33" s="80" customFormat="1">
      <c r="W85" s="662"/>
      <c r="X85" s="662"/>
      <c r="Y85" s="662"/>
      <c r="Z85" s="662"/>
      <c r="AA85" s="662"/>
      <c r="AB85" s="662"/>
      <c r="AC85" s="662"/>
      <c r="AD85" s="662"/>
      <c r="AE85" s="662"/>
      <c r="AF85" s="662"/>
      <c r="AG85" s="662"/>
    </row>
    <row r="86" spans="23:33" s="80" customFormat="1">
      <c r="W86" s="662"/>
      <c r="X86" s="662"/>
      <c r="Y86" s="662"/>
      <c r="Z86" s="662"/>
      <c r="AA86" s="662"/>
      <c r="AB86" s="662"/>
      <c r="AC86" s="662"/>
      <c r="AD86" s="662"/>
      <c r="AE86" s="662"/>
      <c r="AF86" s="662"/>
      <c r="AG86" s="662"/>
    </row>
    <row r="87" spans="23:33" s="80" customFormat="1">
      <c r="W87" s="662"/>
      <c r="X87" s="662"/>
      <c r="Y87" s="662"/>
      <c r="Z87" s="662"/>
      <c r="AA87" s="662"/>
      <c r="AB87" s="662"/>
      <c r="AC87" s="662"/>
      <c r="AD87" s="662"/>
      <c r="AE87" s="662"/>
      <c r="AF87" s="662"/>
      <c r="AG87" s="662"/>
    </row>
    <row r="88" spans="23:33" s="80" customFormat="1">
      <c r="W88" s="662"/>
      <c r="X88" s="662"/>
      <c r="Y88" s="662"/>
      <c r="Z88" s="662"/>
      <c r="AA88" s="662"/>
      <c r="AB88" s="662"/>
      <c r="AC88" s="662"/>
      <c r="AD88" s="662"/>
      <c r="AE88" s="662"/>
      <c r="AF88" s="662"/>
      <c r="AG88" s="662"/>
    </row>
    <row r="89" spans="23:33" s="80" customFormat="1">
      <c r="W89" s="662"/>
      <c r="X89" s="662"/>
      <c r="Y89" s="662"/>
      <c r="Z89" s="662"/>
      <c r="AA89" s="662"/>
      <c r="AB89" s="662"/>
      <c r="AC89" s="662"/>
      <c r="AD89" s="662"/>
      <c r="AE89" s="662"/>
      <c r="AF89" s="662"/>
      <c r="AG89" s="662"/>
    </row>
    <row r="90" spans="23:33" s="80" customFormat="1">
      <c r="W90" s="662"/>
      <c r="X90" s="662"/>
      <c r="Y90" s="662"/>
      <c r="Z90" s="662"/>
      <c r="AA90" s="662"/>
      <c r="AB90" s="662"/>
      <c r="AC90" s="662"/>
      <c r="AD90" s="662"/>
      <c r="AE90" s="662"/>
      <c r="AF90" s="662"/>
      <c r="AG90" s="662"/>
    </row>
    <row r="91" spans="23:33" s="80" customFormat="1">
      <c r="W91" s="662"/>
      <c r="X91" s="662"/>
      <c r="Y91" s="662"/>
      <c r="Z91" s="662"/>
      <c r="AA91" s="662"/>
      <c r="AB91" s="662"/>
      <c r="AC91" s="662"/>
      <c r="AD91" s="662"/>
      <c r="AE91" s="662"/>
      <c r="AF91" s="662"/>
      <c r="AG91" s="662"/>
    </row>
    <row r="92" spans="23:33" s="80" customFormat="1">
      <c r="W92" s="662"/>
      <c r="X92" s="662"/>
      <c r="Y92" s="662"/>
      <c r="Z92" s="662"/>
      <c r="AA92" s="662"/>
      <c r="AB92" s="662"/>
      <c r="AC92" s="662"/>
      <c r="AD92" s="662"/>
      <c r="AE92" s="662"/>
      <c r="AF92" s="662"/>
      <c r="AG92" s="662"/>
    </row>
    <row r="93" spans="23:33" s="80" customFormat="1">
      <c r="W93" s="662"/>
      <c r="X93" s="662"/>
      <c r="Y93" s="662"/>
      <c r="Z93" s="662"/>
      <c r="AA93" s="662"/>
      <c r="AB93" s="662"/>
      <c r="AC93" s="662"/>
      <c r="AD93" s="662"/>
      <c r="AE93" s="662"/>
      <c r="AF93" s="662"/>
      <c r="AG93" s="662"/>
    </row>
    <row r="94" spans="23:33" s="80" customFormat="1">
      <c r="W94" s="662"/>
      <c r="X94" s="662"/>
      <c r="Y94" s="662"/>
      <c r="Z94" s="662"/>
      <c r="AA94" s="662"/>
      <c r="AB94" s="662"/>
      <c r="AC94" s="662"/>
      <c r="AD94" s="662"/>
      <c r="AE94" s="662"/>
      <c r="AF94" s="662"/>
      <c r="AG94" s="662"/>
    </row>
    <row r="95" spans="23:33" s="80" customFormat="1">
      <c r="W95" s="662"/>
      <c r="X95" s="662"/>
      <c r="Y95" s="662"/>
      <c r="Z95" s="662"/>
      <c r="AA95" s="662"/>
      <c r="AB95" s="662"/>
      <c r="AC95" s="662"/>
      <c r="AD95" s="662"/>
      <c r="AE95" s="662"/>
      <c r="AF95" s="662"/>
      <c r="AG95" s="662"/>
    </row>
    <row r="96" spans="23:33" s="80" customFormat="1">
      <c r="W96" s="662"/>
      <c r="X96" s="662"/>
      <c r="Y96" s="662"/>
      <c r="Z96" s="662"/>
      <c r="AA96" s="662"/>
      <c r="AB96" s="662"/>
      <c r="AC96" s="662"/>
      <c r="AD96" s="662"/>
      <c r="AE96" s="662"/>
      <c r="AF96" s="662"/>
      <c r="AG96" s="662"/>
    </row>
    <row r="97" spans="23:33" s="80" customFormat="1">
      <c r="W97" s="662"/>
      <c r="X97" s="662"/>
      <c r="Y97" s="662"/>
      <c r="Z97" s="662"/>
      <c r="AA97" s="662"/>
      <c r="AB97" s="662"/>
      <c r="AC97" s="662"/>
      <c r="AD97" s="662"/>
      <c r="AE97" s="662"/>
      <c r="AF97" s="662"/>
      <c r="AG97" s="662"/>
    </row>
    <row r="98" spans="23:33" s="80" customFormat="1">
      <c r="W98" s="662"/>
      <c r="X98" s="662"/>
      <c r="Y98" s="662"/>
      <c r="Z98" s="662"/>
      <c r="AA98" s="662"/>
      <c r="AB98" s="662"/>
      <c r="AC98" s="662"/>
      <c r="AD98" s="662"/>
      <c r="AE98" s="662"/>
      <c r="AF98" s="662"/>
      <c r="AG98" s="662"/>
    </row>
    <row r="99" spans="23:33" s="80" customFormat="1">
      <c r="W99" s="662"/>
      <c r="X99" s="662"/>
      <c r="Y99" s="662"/>
      <c r="Z99" s="662"/>
      <c r="AA99" s="662"/>
      <c r="AB99" s="662"/>
      <c r="AC99" s="662"/>
      <c r="AD99" s="662"/>
      <c r="AE99" s="662"/>
      <c r="AF99" s="662"/>
      <c r="AG99" s="662"/>
    </row>
    <row r="100" spans="23:33" s="80" customFormat="1">
      <c r="W100" s="662"/>
      <c r="X100" s="662"/>
      <c r="Y100" s="662"/>
      <c r="Z100" s="662"/>
      <c r="AA100" s="662"/>
      <c r="AB100" s="662"/>
      <c r="AC100" s="662"/>
      <c r="AD100" s="662"/>
      <c r="AE100" s="662"/>
      <c r="AF100" s="662"/>
      <c r="AG100" s="662"/>
    </row>
    <row r="101" spans="23:33" s="80" customFormat="1">
      <c r="W101" s="662"/>
      <c r="X101" s="662"/>
      <c r="Y101" s="662"/>
      <c r="Z101" s="662"/>
      <c r="AA101" s="662"/>
      <c r="AB101" s="662"/>
      <c r="AC101" s="662"/>
      <c r="AD101" s="662"/>
      <c r="AE101" s="662"/>
      <c r="AF101" s="662"/>
      <c r="AG101" s="662"/>
    </row>
    <row r="102" spans="23:33" s="80" customFormat="1">
      <c r="W102" s="662"/>
      <c r="X102" s="662"/>
      <c r="Y102" s="662"/>
      <c r="Z102" s="662"/>
      <c r="AA102" s="662"/>
      <c r="AB102" s="662"/>
      <c r="AC102" s="662"/>
      <c r="AD102" s="662"/>
      <c r="AE102" s="662"/>
      <c r="AF102" s="662"/>
      <c r="AG102" s="662"/>
    </row>
    <row r="103" spans="23:33" s="80" customFormat="1">
      <c r="W103" s="662"/>
      <c r="X103" s="662"/>
      <c r="Y103" s="662"/>
      <c r="Z103" s="662"/>
      <c r="AA103" s="662"/>
      <c r="AB103" s="662"/>
      <c r="AC103" s="662"/>
      <c r="AD103" s="662"/>
      <c r="AE103" s="662"/>
      <c r="AF103" s="662"/>
      <c r="AG103" s="662"/>
    </row>
    <row r="104" spans="23:33" s="80" customFormat="1">
      <c r="W104" s="662"/>
      <c r="X104" s="662"/>
      <c r="Y104" s="662"/>
      <c r="Z104" s="662"/>
      <c r="AA104" s="662"/>
      <c r="AB104" s="662"/>
      <c r="AC104" s="662"/>
      <c r="AD104" s="662"/>
      <c r="AE104" s="662"/>
      <c r="AF104" s="662"/>
      <c r="AG104" s="662"/>
    </row>
    <row r="105" spans="23:33" s="80" customFormat="1">
      <c r="W105" s="662"/>
      <c r="X105" s="662"/>
      <c r="Y105" s="662"/>
      <c r="Z105" s="662"/>
      <c r="AA105" s="662"/>
      <c r="AB105" s="662"/>
      <c r="AC105" s="662"/>
      <c r="AD105" s="662"/>
      <c r="AE105" s="662"/>
      <c r="AF105" s="662"/>
      <c r="AG105" s="662"/>
    </row>
    <row r="106" spans="23:33" s="80" customFormat="1">
      <c r="W106" s="662"/>
      <c r="X106" s="662"/>
      <c r="Y106" s="662"/>
      <c r="Z106" s="662"/>
      <c r="AA106" s="662"/>
      <c r="AB106" s="662"/>
      <c r="AC106" s="662"/>
      <c r="AD106" s="662"/>
      <c r="AE106" s="662"/>
      <c r="AF106" s="662"/>
      <c r="AG106" s="662"/>
    </row>
    <row r="107" spans="23:33" s="80" customFormat="1">
      <c r="W107" s="662"/>
      <c r="X107" s="662"/>
      <c r="Y107" s="662"/>
      <c r="Z107" s="662"/>
      <c r="AA107" s="662"/>
      <c r="AB107" s="662"/>
      <c r="AC107" s="662"/>
      <c r="AD107" s="662"/>
      <c r="AE107" s="662"/>
      <c r="AF107" s="662"/>
      <c r="AG107" s="662"/>
    </row>
    <row r="108" spans="23:33" s="80" customFormat="1">
      <c r="W108" s="662"/>
      <c r="X108" s="662"/>
      <c r="Y108" s="662"/>
      <c r="Z108" s="662"/>
      <c r="AA108" s="662"/>
      <c r="AB108" s="662"/>
      <c r="AC108" s="662"/>
      <c r="AD108" s="662"/>
      <c r="AE108" s="662"/>
      <c r="AF108" s="662"/>
      <c r="AG108" s="662"/>
    </row>
    <row r="109" spans="23:33" s="80" customFormat="1">
      <c r="W109" s="662"/>
      <c r="X109" s="662"/>
      <c r="Y109" s="662"/>
      <c r="Z109" s="662"/>
      <c r="AA109" s="662"/>
      <c r="AB109" s="662"/>
      <c r="AC109" s="662"/>
      <c r="AD109" s="662"/>
      <c r="AE109" s="662"/>
      <c r="AF109" s="662"/>
      <c r="AG109" s="662"/>
    </row>
    <row r="110" spans="23:33" s="80" customFormat="1">
      <c r="W110" s="662"/>
      <c r="X110" s="662"/>
      <c r="Y110" s="662"/>
      <c r="Z110" s="662"/>
      <c r="AA110" s="662"/>
      <c r="AB110" s="662"/>
      <c r="AC110" s="662"/>
      <c r="AD110" s="662"/>
      <c r="AE110" s="662"/>
      <c r="AF110" s="662"/>
      <c r="AG110" s="662"/>
    </row>
    <row r="111" spans="23:33" s="80" customFormat="1">
      <c r="W111" s="662"/>
      <c r="X111" s="662"/>
      <c r="Y111" s="662"/>
      <c r="Z111" s="662"/>
      <c r="AA111" s="662"/>
      <c r="AB111" s="662"/>
      <c r="AC111" s="662"/>
      <c r="AD111" s="662"/>
      <c r="AE111" s="662"/>
      <c r="AF111" s="662"/>
      <c r="AG111" s="662"/>
    </row>
    <row r="112" spans="23:33" s="80" customFormat="1">
      <c r="W112" s="662"/>
      <c r="X112" s="662"/>
      <c r="Y112" s="662"/>
      <c r="Z112" s="662"/>
      <c r="AA112" s="662"/>
      <c r="AB112" s="662"/>
      <c r="AC112" s="662"/>
      <c r="AD112" s="662"/>
      <c r="AE112" s="662"/>
      <c r="AF112" s="662"/>
      <c r="AG112" s="662"/>
    </row>
    <row r="113" spans="23:33" s="80" customFormat="1">
      <c r="W113" s="662"/>
      <c r="X113" s="662"/>
      <c r="Y113" s="662"/>
      <c r="Z113" s="662"/>
      <c r="AA113" s="662"/>
      <c r="AB113" s="662"/>
      <c r="AC113" s="662"/>
      <c r="AD113" s="662"/>
      <c r="AE113" s="662"/>
      <c r="AF113" s="662"/>
      <c r="AG113" s="662"/>
    </row>
    <row r="114" spans="23:33" s="80" customFormat="1">
      <c r="W114" s="662"/>
      <c r="X114" s="662"/>
      <c r="Y114" s="662"/>
      <c r="Z114" s="662"/>
      <c r="AA114" s="662"/>
      <c r="AB114" s="662"/>
      <c r="AC114" s="662"/>
      <c r="AD114" s="662"/>
      <c r="AE114" s="662"/>
      <c r="AF114" s="662"/>
      <c r="AG114" s="662"/>
    </row>
    <row r="115" spans="23:33" s="80" customFormat="1">
      <c r="W115" s="662"/>
      <c r="X115" s="662"/>
      <c r="Y115" s="662"/>
      <c r="Z115" s="662"/>
      <c r="AA115" s="662"/>
      <c r="AB115" s="662"/>
      <c r="AC115" s="662"/>
      <c r="AD115" s="662"/>
      <c r="AE115" s="662"/>
      <c r="AF115" s="662"/>
      <c r="AG115" s="662"/>
    </row>
    <row r="116" spans="23:33" s="80" customFormat="1">
      <c r="W116" s="662"/>
      <c r="X116" s="662"/>
      <c r="Y116" s="662"/>
      <c r="Z116" s="662"/>
      <c r="AA116" s="662"/>
      <c r="AB116" s="662"/>
      <c r="AC116" s="662"/>
      <c r="AD116" s="662"/>
      <c r="AE116" s="662"/>
      <c r="AF116" s="662"/>
      <c r="AG116" s="662"/>
    </row>
    <row r="117" spans="23:33" s="80" customFormat="1">
      <c r="W117" s="662"/>
      <c r="X117" s="662"/>
      <c r="Y117" s="662"/>
      <c r="Z117" s="662"/>
      <c r="AA117" s="662"/>
      <c r="AB117" s="662"/>
      <c r="AC117" s="662"/>
      <c r="AD117" s="662"/>
      <c r="AE117" s="662"/>
      <c r="AF117" s="662"/>
      <c r="AG117" s="662"/>
    </row>
    <row r="118" spans="23:33" s="80" customFormat="1">
      <c r="W118" s="662"/>
      <c r="X118" s="662"/>
      <c r="Y118" s="662"/>
      <c r="Z118" s="662"/>
      <c r="AA118" s="662"/>
      <c r="AB118" s="662"/>
      <c r="AC118" s="662"/>
      <c r="AD118" s="662"/>
      <c r="AE118" s="662"/>
      <c r="AF118" s="662"/>
      <c r="AG118" s="662"/>
    </row>
    <row r="119" spans="23:33" s="80" customFormat="1">
      <c r="W119" s="662"/>
      <c r="X119" s="662"/>
      <c r="Y119" s="662"/>
      <c r="Z119" s="662"/>
      <c r="AA119" s="662"/>
      <c r="AB119" s="662"/>
      <c r="AC119" s="662"/>
      <c r="AD119" s="662"/>
      <c r="AE119" s="662"/>
      <c r="AF119" s="662"/>
      <c r="AG119" s="662"/>
    </row>
    <row r="120" spans="23:33" s="80" customFormat="1">
      <c r="W120" s="662"/>
      <c r="X120" s="662"/>
      <c r="Y120" s="662"/>
      <c r="Z120" s="662"/>
      <c r="AA120" s="662"/>
      <c r="AB120" s="662"/>
      <c r="AC120" s="662"/>
      <c r="AD120" s="662"/>
      <c r="AE120" s="662"/>
      <c r="AF120" s="662"/>
      <c r="AG120" s="662"/>
    </row>
    <row r="121" spans="23:33" s="80" customFormat="1">
      <c r="W121" s="662"/>
      <c r="X121" s="662"/>
      <c r="Y121" s="662"/>
      <c r="Z121" s="662"/>
      <c r="AA121" s="662"/>
      <c r="AB121" s="662"/>
      <c r="AC121" s="662"/>
      <c r="AD121" s="662"/>
      <c r="AE121" s="662"/>
      <c r="AF121" s="662"/>
      <c r="AG121" s="662"/>
    </row>
    <row r="122" spans="23:33" s="80" customFormat="1">
      <c r="W122" s="662"/>
      <c r="X122" s="662"/>
      <c r="Y122" s="662"/>
      <c r="Z122" s="662"/>
      <c r="AA122" s="662"/>
      <c r="AB122" s="662"/>
      <c r="AC122" s="662"/>
      <c r="AD122" s="662"/>
      <c r="AE122" s="662"/>
      <c r="AF122" s="662"/>
      <c r="AG122" s="662"/>
    </row>
    <row r="123" spans="23:33" s="80" customFormat="1">
      <c r="W123" s="662"/>
      <c r="X123" s="662"/>
      <c r="Y123" s="662"/>
      <c r="Z123" s="662"/>
      <c r="AA123" s="662"/>
      <c r="AB123" s="662"/>
      <c r="AC123" s="662"/>
      <c r="AD123" s="662"/>
      <c r="AE123" s="662"/>
      <c r="AF123" s="662"/>
      <c r="AG123" s="662"/>
    </row>
    <row r="124" spans="23:33" s="80" customFormat="1">
      <c r="W124" s="662"/>
      <c r="X124" s="662"/>
      <c r="Y124" s="662"/>
      <c r="Z124" s="662"/>
      <c r="AA124" s="662"/>
      <c r="AB124" s="662"/>
      <c r="AC124" s="662"/>
      <c r="AD124" s="662"/>
      <c r="AE124" s="662"/>
      <c r="AF124" s="662"/>
      <c r="AG124" s="662"/>
    </row>
    <row r="125" spans="23:33" s="80" customFormat="1">
      <c r="W125" s="662"/>
      <c r="X125" s="662"/>
      <c r="Y125" s="662"/>
      <c r="Z125" s="662"/>
      <c r="AA125" s="662"/>
      <c r="AB125" s="662"/>
      <c r="AC125" s="662"/>
      <c r="AD125" s="662"/>
      <c r="AE125" s="662"/>
      <c r="AF125" s="662"/>
      <c r="AG125" s="662"/>
    </row>
    <row r="126" spans="23:33" s="80" customFormat="1">
      <c r="W126" s="662"/>
      <c r="X126" s="662"/>
      <c r="Y126" s="662"/>
      <c r="Z126" s="662"/>
      <c r="AA126" s="662"/>
      <c r="AB126" s="662"/>
      <c r="AC126" s="662"/>
      <c r="AD126" s="662"/>
      <c r="AE126" s="662"/>
      <c r="AF126" s="662"/>
      <c r="AG126" s="662"/>
    </row>
    <row r="127" spans="23:33" s="80" customFormat="1">
      <c r="W127" s="662"/>
      <c r="X127" s="662"/>
      <c r="Y127" s="662"/>
      <c r="Z127" s="662"/>
      <c r="AA127" s="662"/>
      <c r="AB127" s="662"/>
      <c r="AC127" s="662"/>
      <c r="AD127" s="662"/>
      <c r="AE127" s="662"/>
      <c r="AF127" s="662"/>
      <c r="AG127" s="662"/>
    </row>
    <row r="128" spans="23:33" s="80" customFormat="1">
      <c r="W128" s="662"/>
      <c r="X128" s="662"/>
      <c r="Y128" s="662"/>
      <c r="Z128" s="662"/>
      <c r="AA128" s="662"/>
      <c r="AB128" s="662"/>
      <c r="AC128" s="662"/>
      <c r="AD128" s="662"/>
      <c r="AE128" s="662"/>
      <c r="AF128" s="662"/>
      <c r="AG128" s="662"/>
    </row>
    <row r="129" spans="23:33" s="80" customFormat="1">
      <c r="W129" s="662"/>
      <c r="X129" s="662"/>
      <c r="Y129" s="662"/>
      <c r="Z129" s="662"/>
      <c r="AA129" s="662"/>
      <c r="AB129" s="662"/>
      <c r="AC129" s="662"/>
      <c r="AD129" s="662"/>
      <c r="AE129" s="662"/>
      <c r="AF129" s="662"/>
      <c r="AG129" s="662"/>
    </row>
    <row r="130" spans="23:33" s="80" customFormat="1">
      <c r="W130" s="662"/>
      <c r="X130" s="662"/>
      <c r="Y130" s="662"/>
      <c r="Z130" s="662"/>
      <c r="AA130" s="662"/>
      <c r="AB130" s="662"/>
      <c r="AC130" s="662"/>
      <c r="AD130" s="662"/>
      <c r="AE130" s="662"/>
      <c r="AF130" s="662"/>
      <c r="AG130" s="662"/>
    </row>
    <row r="131" spans="23:33" s="80" customFormat="1">
      <c r="W131" s="662"/>
      <c r="X131" s="662"/>
      <c r="Y131" s="662"/>
      <c r="Z131" s="662"/>
      <c r="AA131" s="662"/>
      <c r="AB131" s="662"/>
      <c r="AC131" s="662"/>
      <c r="AD131" s="662"/>
      <c r="AE131" s="662"/>
      <c r="AF131" s="662"/>
      <c r="AG131" s="662"/>
    </row>
    <row r="132" spans="23:33" s="80" customFormat="1">
      <c r="W132" s="662"/>
      <c r="X132" s="662"/>
      <c r="Y132" s="662"/>
      <c r="Z132" s="662"/>
      <c r="AA132" s="662"/>
      <c r="AB132" s="662"/>
      <c r="AC132" s="662"/>
      <c r="AD132" s="662"/>
      <c r="AE132" s="662"/>
      <c r="AF132" s="662"/>
      <c r="AG132" s="662"/>
    </row>
    <row r="133" spans="23:33" s="80" customFormat="1">
      <c r="W133" s="662"/>
      <c r="X133" s="662"/>
      <c r="Y133" s="662"/>
      <c r="Z133" s="662"/>
      <c r="AA133" s="662"/>
      <c r="AB133" s="662"/>
      <c r="AC133" s="662"/>
      <c r="AD133" s="662"/>
      <c r="AE133" s="662"/>
      <c r="AF133" s="662"/>
      <c r="AG133" s="662"/>
    </row>
    <row r="134" spans="23:33" s="80" customFormat="1">
      <c r="W134" s="662"/>
      <c r="X134" s="662"/>
      <c r="Y134" s="662"/>
      <c r="Z134" s="662"/>
      <c r="AA134" s="662"/>
      <c r="AB134" s="662"/>
      <c r="AC134" s="662"/>
      <c r="AD134" s="662"/>
      <c r="AE134" s="662"/>
      <c r="AF134" s="662"/>
      <c r="AG134" s="662"/>
    </row>
    <row r="135" spans="23:33" s="80" customFormat="1">
      <c r="W135" s="662"/>
      <c r="X135" s="662"/>
      <c r="Y135" s="662"/>
      <c r="Z135" s="662"/>
      <c r="AA135" s="662"/>
      <c r="AB135" s="662"/>
      <c r="AC135" s="662"/>
      <c r="AD135" s="662"/>
      <c r="AE135" s="662"/>
      <c r="AF135" s="662"/>
      <c r="AG135" s="662"/>
    </row>
    <row r="136" spans="23:33" s="80" customFormat="1">
      <c r="W136" s="662"/>
      <c r="X136" s="662"/>
      <c r="Y136" s="662"/>
      <c r="Z136" s="662"/>
      <c r="AA136" s="662"/>
      <c r="AB136" s="662"/>
      <c r="AC136" s="662"/>
      <c r="AD136" s="662"/>
      <c r="AE136" s="662"/>
      <c r="AF136" s="662"/>
      <c r="AG136" s="662"/>
    </row>
    <row r="137" spans="23:33" s="80" customFormat="1">
      <c r="W137" s="662"/>
      <c r="X137" s="662"/>
      <c r="Y137" s="662"/>
      <c r="Z137" s="662"/>
      <c r="AA137" s="662"/>
      <c r="AB137" s="662"/>
      <c r="AC137" s="662"/>
      <c r="AD137" s="662"/>
      <c r="AE137" s="662"/>
      <c r="AF137" s="662"/>
      <c r="AG137" s="662"/>
    </row>
    <row r="138" spans="23:33" s="80" customFormat="1">
      <c r="W138" s="662"/>
      <c r="X138" s="662"/>
      <c r="Y138" s="662"/>
      <c r="Z138" s="662"/>
      <c r="AA138" s="662"/>
      <c r="AB138" s="662"/>
      <c r="AC138" s="662"/>
      <c r="AD138" s="662"/>
      <c r="AE138" s="662"/>
      <c r="AF138" s="662"/>
      <c r="AG138" s="662"/>
    </row>
    <row r="139" spans="23:33" s="80" customFormat="1">
      <c r="W139" s="662"/>
      <c r="X139" s="662"/>
      <c r="Y139" s="662"/>
      <c r="Z139" s="662"/>
      <c r="AA139" s="662"/>
      <c r="AB139" s="662"/>
      <c r="AC139" s="662"/>
      <c r="AD139" s="662"/>
      <c r="AE139" s="662"/>
      <c r="AF139" s="662"/>
      <c r="AG139" s="662"/>
    </row>
    <row r="140" spans="23:33" s="80" customFormat="1">
      <c r="W140" s="662"/>
      <c r="X140" s="662"/>
      <c r="Y140" s="662"/>
      <c r="Z140" s="662"/>
      <c r="AA140" s="662"/>
      <c r="AB140" s="662"/>
      <c r="AC140" s="662"/>
      <c r="AD140" s="662"/>
      <c r="AE140" s="662"/>
      <c r="AF140" s="662"/>
      <c r="AG140" s="662"/>
    </row>
    <row r="141" spans="23:33" s="80" customFormat="1">
      <c r="W141" s="662"/>
      <c r="X141" s="662"/>
      <c r="Y141" s="662"/>
      <c r="Z141" s="662"/>
      <c r="AA141" s="662"/>
      <c r="AB141" s="662"/>
      <c r="AC141" s="662"/>
      <c r="AD141" s="662"/>
      <c r="AE141" s="662"/>
      <c r="AF141" s="662"/>
      <c r="AG141" s="662"/>
    </row>
    <row r="142" spans="23:33" s="80" customFormat="1">
      <c r="W142" s="662"/>
      <c r="X142" s="662"/>
      <c r="Y142" s="662"/>
      <c r="Z142" s="662"/>
      <c r="AA142" s="662"/>
      <c r="AB142" s="662"/>
      <c r="AC142" s="662"/>
      <c r="AD142" s="662"/>
      <c r="AE142" s="662"/>
      <c r="AF142" s="662"/>
      <c r="AG142" s="662"/>
    </row>
    <row r="143" spans="23:33" s="80" customFormat="1">
      <c r="W143" s="662"/>
      <c r="X143" s="662"/>
      <c r="Y143" s="662"/>
      <c r="Z143" s="662"/>
      <c r="AA143" s="662"/>
      <c r="AB143" s="662"/>
      <c r="AC143" s="662"/>
      <c r="AD143" s="662"/>
      <c r="AE143" s="662"/>
      <c r="AF143" s="662"/>
      <c r="AG143" s="662"/>
    </row>
    <row r="144" spans="23:33" s="80" customFormat="1">
      <c r="W144" s="662"/>
      <c r="X144" s="662"/>
      <c r="Y144" s="662"/>
      <c r="Z144" s="662"/>
      <c r="AA144" s="662"/>
      <c r="AB144" s="662"/>
      <c r="AC144" s="662"/>
      <c r="AD144" s="662"/>
      <c r="AE144" s="662"/>
      <c r="AF144" s="662"/>
      <c r="AG144" s="662"/>
    </row>
    <row r="145" spans="23:33" s="80" customFormat="1">
      <c r="W145" s="662"/>
      <c r="X145" s="662"/>
      <c r="Y145" s="662"/>
      <c r="Z145" s="662"/>
      <c r="AA145" s="662"/>
      <c r="AB145" s="662"/>
      <c r="AC145" s="662"/>
      <c r="AD145" s="662"/>
      <c r="AE145" s="662"/>
      <c r="AF145" s="662"/>
      <c r="AG145" s="662"/>
    </row>
    <row r="146" spans="23:33" s="80" customFormat="1">
      <c r="W146" s="662"/>
      <c r="X146" s="662"/>
      <c r="Y146" s="662"/>
      <c r="Z146" s="662"/>
      <c r="AA146" s="662"/>
      <c r="AB146" s="662"/>
      <c r="AC146" s="662"/>
      <c r="AD146" s="662"/>
      <c r="AE146" s="662"/>
      <c r="AF146" s="662"/>
      <c r="AG146" s="662"/>
    </row>
    <row r="147" spans="23:33" s="80" customFormat="1">
      <c r="W147" s="662"/>
      <c r="X147" s="662"/>
      <c r="Y147" s="662"/>
      <c r="Z147" s="662"/>
      <c r="AA147" s="662"/>
      <c r="AB147" s="662"/>
      <c r="AC147" s="662"/>
      <c r="AD147" s="662"/>
      <c r="AE147" s="662"/>
      <c r="AF147" s="662"/>
      <c r="AG147" s="662"/>
    </row>
    <row r="148" spans="23:33" s="80" customFormat="1">
      <c r="W148" s="662"/>
      <c r="X148" s="662"/>
      <c r="Y148" s="662"/>
      <c r="Z148" s="662"/>
      <c r="AA148" s="662"/>
      <c r="AB148" s="662"/>
      <c r="AC148" s="662"/>
      <c r="AD148" s="662"/>
      <c r="AE148" s="662"/>
      <c r="AF148" s="662"/>
      <c r="AG148" s="662"/>
    </row>
    <row r="149" spans="23:33" s="80" customFormat="1">
      <c r="W149" s="662"/>
      <c r="X149" s="662"/>
      <c r="Y149" s="662"/>
      <c r="Z149" s="662"/>
      <c r="AA149" s="662"/>
      <c r="AB149" s="662"/>
      <c r="AC149" s="662"/>
      <c r="AD149" s="662"/>
      <c r="AE149" s="662"/>
      <c r="AF149" s="662"/>
      <c r="AG149" s="662"/>
    </row>
    <row r="150" spans="23:33" s="80" customFormat="1">
      <c r="W150" s="662"/>
      <c r="X150" s="662"/>
      <c r="Y150" s="662"/>
      <c r="Z150" s="662"/>
      <c r="AA150" s="662"/>
      <c r="AB150" s="662"/>
      <c r="AC150" s="662"/>
      <c r="AD150" s="662"/>
      <c r="AE150" s="662"/>
      <c r="AF150" s="662"/>
      <c r="AG150" s="662"/>
    </row>
    <row r="151" spans="23:33" s="80" customFormat="1">
      <c r="W151" s="662"/>
      <c r="X151" s="662"/>
      <c r="Y151" s="662"/>
      <c r="Z151" s="662"/>
      <c r="AA151" s="662"/>
      <c r="AB151" s="662"/>
      <c r="AC151" s="662"/>
      <c r="AD151" s="662"/>
      <c r="AE151" s="662"/>
      <c r="AF151" s="662"/>
      <c r="AG151" s="662"/>
    </row>
    <row r="152" spans="23:33" s="80" customFormat="1">
      <c r="W152" s="662"/>
      <c r="X152" s="662"/>
      <c r="Y152" s="662"/>
      <c r="Z152" s="662"/>
      <c r="AA152" s="662"/>
      <c r="AB152" s="662"/>
      <c r="AC152" s="662"/>
      <c r="AD152" s="662"/>
      <c r="AE152" s="662"/>
      <c r="AF152" s="662"/>
      <c r="AG152" s="662"/>
    </row>
    <row r="153" spans="23:33" s="80" customFormat="1">
      <c r="W153" s="662"/>
      <c r="X153" s="662"/>
      <c r="Y153" s="662"/>
      <c r="Z153" s="662"/>
      <c r="AA153" s="662"/>
      <c r="AB153" s="662"/>
      <c r="AC153" s="662"/>
      <c r="AD153" s="662"/>
      <c r="AE153" s="662"/>
      <c r="AF153" s="662"/>
      <c r="AG153" s="662"/>
    </row>
    <row r="154" spans="23:33" s="80" customFormat="1">
      <c r="W154" s="662"/>
      <c r="X154" s="662"/>
      <c r="Y154" s="662"/>
      <c r="Z154" s="662"/>
      <c r="AA154" s="662"/>
      <c r="AB154" s="662"/>
      <c r="AC154" s="662"/>
      <c r="AD154" s="662"/>
      <c r="AE154" s="662"/>
      <c r="AF154" s="662"/>
      <c r="AG154" s="662"/>
    </row>
    <row r="155" spans="23:33" s="80" customFormat="1">
      <c r="W155" s="662"/>
      <c r="X155" s="662"/>
      <c r="Y155" s="662"/>
      <c r="Z155" s="662"/>
      <c r="AA155" s="662"/>
      <c r="AB155" s="662"/>
      <c r="AC155" s="662"/>
      <c r="AD155" s="662"/>
      <c r="AE155" s="662"/>
      <c r="AF155" s="662"/>
      <c r="AG155" s="662"/>
    </row>
    <row r="156" spans="23:33" s="80" customFormat="1">
      <c r="W156" s="662"/>
      <c r="X156" s="662"/>
      <c r="Y156" s="662"/>
      <c r="Z156" s="662"/>
      <c r="AA156" s="662"/>
      <c r="AB156" s="662"/>
      <c r="AC156" s="662"/>
      <c r="AD156" s="662"/>
      <c r="AE156" s="662"/>
      <c r="AF156" s="662"/>
      <c r="AG156" s="662"/>
    </row>
    <row r="157" spans="23:33" s="80" customFormat="1">
      <c r="W157" s="662"/>
      <c r="X157" s="662"/>
      <c r="Y157" s="662"/>
      <c r="Z157" s="662"/>
      <c r="AA157" s="662"/>
      <c r="AB157" s="662"/>
      <c r="AC157" s="662"/>
      <c r="AD157" s="662"/>
      <c r="AE157" s="662"/>
      <c r="AF157" s="662"/>
      <c r="AG157" s="662"/>
    </row>
    <row r="158" spans="23:33" s="80" customFormat="1">
      <c r="W158" s="662"/>
      <c r="X158" s="662"/>
      <c r="Y158" s="662"/>
      <c r="Z158" s="662"/>
      <c r="AA158" s="662"/>
      <c r="AB158" s="662"/>
      <c r="AC158" s="662"/>
      <c r="AD158" s="662"/>
      <c r="AE158" s="662"/>
      <c r="AF158" s="662"/>
      <c r="AG158" s="662"/>
    </row>
    <row r="159" spans="23:33" s="80" customFormat="1">
      <c r="W159" s="662"/>
      <c r="X159" s="662"/>
      <c r="Y159" s="662"/>
      <c r="Z159" s="662"/>
      <c r="AA159" s="662"/>
      <c r="AB159" s="662"/>
      <c r="AC159" s="662"/>
      <c r="AD159" s="662"/>
      <c r="AE159" s="662"/>
      <c r="AF159" s="662"/>
      <c r="AG159" s="662"/>
    </row>
    <row r="160" spans="23:33" s="80" customFormat="1">
      <c r="W160" s="662"/>
      <c r="X160" s="662"/>
      <c r="Y160" s="662"/>
      <c r="Z160" s="662"/>
      <c r="AA160" s="662"/>
      <c r="AB160" s="662"/>
      <c r="AC160" s="662"/>
      <c r="AD160" s="662"/>
      <c r="AE160" s="662"/>
      <c r="AF160" s="662"/>
      <c r="AG160" s="662"/>
    </row>
    <row r="161" spans="23:33" s="80" customFormat="1">
      <c r="W161" s="662"/>
      <c r="X161" s="662"/>
      <c r="Y161" s="662"/>
      <c r="Z161" s="662"/>
      <c r="AA161" s="662"/>
      <c r="AB161" s="662"/>
      <c r="AC161" s="662"/>
      <c r="AD161" s="662"/>
      <c r="AE161" s="662"/>
      <c r="AF161" s="662"/>
      <c r="AG161" s="662"/>
    </row>
    <row r="162" spans="23:33" s="80" customFormat="1">
      <c r="W162" s="662"/>
      <c r="X162" s="662"/>
      <c r="Y162" s="662"/>
      <c r="Z162" s="662"/>
      <c r="AA162" s="662"/>
      <c r="AB162" s="662"/>
      <c r="AC162" s="662"/>
      <c r="AD162" s="662"/>
      <c r="AE162" s="662"/>
      <c r="AF162" s="662"/>
      <c r="AG162" s="662"/>
    </row>
    <row r="163" spans="23:33" s="80" customFormat="1">
      <c r="W163" s="662"/>
      <c r="X163" s="662"/>
      <c r="Y163" s="662"/>
      <c r="Z163" s="662"/>
      <c r="AA163" s="662"/>
      <c r="AB163" s="662"/>
      <c r="AC163" s="662"/>
      <c r="AD163" s="662"/>
      <c r="AE163" s="662"/>
      <c r="AF163" s="662"/>
      <c r="AG163" s="662"/>
    </row>
    <row r="164" spans="23:33" s="80" customFormat="1">
      <c r="W164" s="662"/>
      <c r="X164" s="662"/>
      <c r="Y164" s="662"/>
      <c r="Z164" s="662"/>
      <c r="AA164" s="662"/>
      <c r="AB164" s="662"/>
      <c r="AC164" s="662"/>
      <c r="AD164" s="662"/>
      <c r="AE164" s="662"/>
      <c r="AF164" s="662"/>
      <c r="AG164" s="662"/>
    </row>
    <row r="165" spans="23:33" s="80" customFormat="1">
      <c r="W165" s="662"/>
      <c r="X165" s="662"/>
      <c r="Y165" s="662"/>
      <c r="Z165" s="662"/>
      <c r="AA165" s="662"/>
      <c r="AB165" s="662"/>
      <c r="AC165" s="662"/>
      <c r="AD165" s="662"/>
      <c r="AE165" s="662"/>
      <c r="AF165" s="662"/>
      <c r="AG165" s="662"/>
    </row>
    <row r="166" spans="23:33" s="80" customFormat="1">
      <c r="W166" s="662"/>
      <c r="X166" s="662"/>
      <c r="Y166" s="662"/>
      <c r="Z166" s="662"/>
      <c r="AA166" s="662"/>
      <c r="AB166" s="662"/>
      <c r="AC166" s="662"/>
      <c r="AD166" s="662"/>
      <c r="AE166" s="662"/>
      <c r="AF166" s="662"/>
      <c r="AG166" s="662"/>
    </row>
    <row r="167" spans="23:33" s="80" customFormat="1">
      <c r="W167" s="662"/>
      <c r="X167" s="662"/>
      <c r="Y167" s="662"/>
      <c r="Z167" s="662"/>
      <c r="AA167" s="662"/>
      <c r="AB167" s="662"/>
      <c r="AC167" s="662"/>
      <c r="AD167" s="662"/>
      <c r="AE167" s="662"/>
      <c r="AF167" s="662"/>
      <c r="AG167" s="662"/>
    </row>
    <row r="168" spans="23:33" s="80" customFormat="1">
      <c r="W168" s="662"/>
      <c r="X168" s="662"/>
      <c r="Y168" s="662"/>
      <c r="Z168" s="662"/>
      <c r="AA168" s="662"/>
      <c r="AB168" s="662"/>
      <c r="AC168" s="662"/>
      <c r="AD168" s="662"/>
      <c r="AE168" s="662"/>
      <c r="AF168" s="662"/>
      <c r="AG168" s="662"/>
    </row>
    <row r="169" spans="23:33" s="80" customFormat="1">
      <c r="W169" s="662"/>
      <c r="X169" s="662"/>
      <c r="Y169" s="662"/>
      <c r="Z169" s="662"/>
      <c r="AA169" s="662"/>
      <c r="AB169" s="662"/>
      <c r="AC169" s="662"/>
      <c r="AD169" s="662"/>
      <c r="AE169" s="662"/>
      <c r="AF169" s="662"/>
      <c r="AG169" s="662"/>
    </row>
    <row r="170" spans="23:33" s="80" customFormat="1">
      <c r="W170" s="662"/>
      <c r="X170" s="662"/>
      <c r="Y170" s="662"/>
      <c r="Z170" s="662"/>
      <c r="AA170" s="662"/>
      <c r="AB170" s="662"/>
      <c r="AC170" s="662"/>
      <c r="AD170" s="662"/>
      <c r="AE170" s="662"/>
      <c r="AF170" s="662"/>
      <c r="AG170" s="662"/>
    </row>
    <row r="171" spans="23:33" s="80" customFormat="1">
      <c r="W171" s="662"/>
      <c r="X171" s="662"/>
      <c r="Y171" s="662"/>
      <c r="Z171" s="662"/>
      <c r="AA171" s="662"/>
      <c r="AB171" s="662"/>
      <c r="AC171" s="662"/>
      <c r="AD171" s="662"/>
      <c r="AE171" s="662"/>
      <c r="AF171" s="662"/>
      <c r="AG171" s="662"/>
    </row>
    <row r="172" spans="23:33" s="80" customFormat="1">
      <c r="W172" s="662"/>
      <c r="X172" s="662"/>
      <c r="Y172" s="662"/>
      <c r="Z172" s="662"/>
      <c r="AA172" s="662"/>
      <c r="AB172" s="662"/>
      <c r="AC172" s="662"/>
      <c r="AD172" s="662"/>
      <c r="AE172" s="662"/>
      <c r="AF172" s="662"/>
      <c r="AG172" s="662"/>
    </row>
    <row r="173" spans="23:33" s="80" customFormat="1">
      <c r="W173" s="662"/>
      <c r="X173" s="662"/>
      <c r="Y173" s="662"/>
      <c r="Z173" s="662"/>
      <c r="AA173" s="662"/>
      <c r="AB173" s="662"/>
      <c r="AC173" s="662"/>
      <c r="AD173" s="662"/>
      <c r="AE173" s="662"/>
      <c r="AF173" s="662"/>
      <c r="AG173" s="662"/>
    </row>
    <row r="174" spans="23:33" s="80" customFormat="1">
      <c r="W174" s="662"/>
      <c r="X174" s="662"/>
      <c r="Y174" s="662"/>
      <c r="Z174" s="662"/>
      <c r="AA174" s="662"/>
      <c r="AB174" s="662"/>
      <c r="AC174" s="662"/>
      <c r="AD174" s="662"/>
      <c r="AE174" s="662"/>
      <c r="AF174" s="662"/>
      <c r="AG174" s="662"/>
    </row>
    <row r="175" spans="23:33" s="80" customFormat="1">
      <c r="W175" s="662"/>
      <c r="X175" s="662"/>
      <c r="Y175" s="662"/>
      <c r="Z175" s="662"/>
      <c r="AA175" s="662"/>
      <c r="AB175" s="662"/>
      <c r="AC175" s="662"/>
      <c r="AD175" s="662"/>
      <c r="AE175" s="662"/>
      <c r="AF175" s="662"/>
      <c r="AG175" s="662"/>
    </row>
    <row r="176" spans="23:33" s="80" customFormat="1">
      <c r="W176" s="662"/>
      <c r="X176" s="662"/>
      <c r="Y176" s="662"/>
      <c r="Z176" s="662"/>
      <c r="AA176" s="662"/>
      <c r="AB176" s="662"/>
      <c r="AC176" s="662"/>
      <c r="AD176" s="662"/>
      <c r="AE176" s="662"/>
      <c r="AF176" s="662"/>
      <c r="AG176" s="662"/>
    </row>
    <row r="177" spans="1:33" s="80" customFormat="1">
      <c r="W177" s="662"/>
      <c r="X177" s="662"/>
      <c r="Y177" s="662"/>
      <c r="Z177" s="662"/>
      <c r="AA177" s="662"/>
      <c r="AB177" s="662"/>
      <c r="AC177" s="662"/>
      <c r="AD177" s="662"/>
      <c r="AE177" s="662"/>
      <c r="AF177" s="662"/>
      <c r="AG177" s="662"/>
    </row>
    <row r="178" spans="1:33" s="80" customFormat="1">
      <c r="W178" s="662"/>
      <c r="X178" s="662"/>
      <c r="Y178" s="662"/>
      <c r="Z178" s="662"/>
      <c r="AA178" s="662"/>
      <c r="AB178" s="662"/>
      <c r="AC178" s="662"/>
      <c r="AD178" s="662"/>
      <c r="AE178" s="662"/>
      <c r="AF178" s="662"/>
      <c r="AG178" s="662"/>
    </row>
    <row r="179" spans="1:33" s="80" customFormat="1">
      <c r="W179" s="662"/>
      <c r="X179" s="662"/>
      <c r="Y179" s="662"/>
      <c r="Z179" s="662"/>
      <c r="AA179" s="662"/>
      <c r="AB179" s="662"/>
      <c r="AC179" s="662"/>
      <c r="AD179" s="662"/>
      <c r="AE179" s="662"/>
      <c r="AF179" s="662"/>
      <c r="AG179" s="662"/>
    </row>
    <row r="180" spans="1:33" s="80" customFormat="1">
      <c r="W180" s="662"/>
      <c r="X180" s="662"/>
      <c r="Y180" s="662"/>
      <c r="Z180" s="662"/>
      <c r="AA180" s="662"/>
      <c r="AB180" s="662"/>
      <c r="AC180" s="662"/>
      <c r="AD180" s="662"/>
      <c r="AE180" s="662"/>
      <c r="AF180" s="662"/>
      <c r="AG180" s="662"/>
    </row>
    <row r="181" spans="1:33" s="80" customFormat="1">
      <c r="W181" s="662"/>
      <c r="X181" s="662"/>
      <c r="Y181" s="662"/>
      <c r="Z181" s="662"/>
      <c r="AA181" s="662"/>
      <c r="AB181" s="662"/>
      <c r="AC181" s="662"/>
      <c r="AD181" s="662"/>
      <c r="AE181" s="662"/>
      <c r="AF181" s="662"/>
      <c r="AG181" s="662"/>
    </row>
    <row r="182" spans="1:33" s="80" customFormat="1">
      <c r="W182" s="662"/>
      <c r="X182" s="662"/>
      <c r="Y182" s="662"/>
      <c r="Z182" s="662"/>
      <c r="AA182" s="662"/>
      <c r="AB182" s="662"/>
      <c r="AC182" s="662"/>
      <c r="AD182" s="662"/>
      <c r="AE182" s="662"/>
      <c r="AF182" s="662"/>
      <c r="AG182" s="662"/>
    </row>
    <row r="183" spans="1:33" s="80" customFormat="1">
      <c r="W183" s="662"/>
      <c r="X183" s="662"/>
      <c r="Y183" s="662"/>
      <c r="Z183" s="662"/>
      <c r="AA183" s="662"/>
      <c r="AB183" s="662"/>
      <c r="AC183" s="662"/>
      <c r="AD183" s="662"/>
      <c r="AE183" s="662"/>
      <c r="AF183" s="662"/>
      <c r="AG183" s="662"/>
    </row>
    <row r="184" spans="1:33" s="80" customFormat="1">
      <c r="W184" s="662"/>
      <c r="X184" s="662"/>
      <c r="Y184" s="662"/>
      <c r="Z184" s="662"/>
      <c r="AA184" s="662"/>
      <c r="AB184" s="662"/>
      <c r="AC184" s="662"/>
      <c r="AD184" s="662"/>
      <c r="AE184" s="662"/>
      <c r="AF184" s="662"/>
      <c r="AG184" s="662"/>
    </row>
    <row r="185" spans="1:33" s="80" customFormat="1">
      <c r="W185" s="662"/>
      <c r="X185" s="662"/>
      <c r="Y185" s="662"/>
      <c r="Z185" s="662"/>
      <c r="AA185" s="662"/>
      <c r="AB185" s="662"/>
      <c r="AC185" s="662"/>
      <c r="AD185" s="662"/>
      <c r="AE185" s="662"/>
      <c r="AF185" s="662"/>
      <c r="AG185" s="662"/>
    </row>
    <row r="186" spans="1:33" s="80" customFormat="1">
      <c r="W186" s="662"/>
      <c r="X186" s="662"/>
      <c r="Y186" s="662"/>
      <c r="Z186" s="662"/>
      <c r="AA186" s="662"/>
      <c r="AB186" s="662"/>
      <c r="AC186" s="662"/>
      <c r="AD186" s="662"/>
      <c r="AE186" s="662"/>
      <c r="AF186" s="662"/>
      <c r="AG186" s="662"/>
    </row>
    <row r="187" spans="1:33" s="80" customFormat="1">
      <c r="W187" s="662"/>
      <c r="X187" s="662"/>
      <c r="Y187" s="662"/>
      <c r="Z187" s="662"/>
      <c r="AA187" s="662"/>
      <c r="AB187" s="662"/>
      <c r="AC187" s="662"/>
      <c r="AD187" s="662"/>
      <c r="AE187" s="662"/>
      <c r="AF187" s="662"/>
      <c r="AG187" s="662"/>
    </row>
    <row r="188" spans="1:33" s="80" customFormat="1">
      <c r="W188" s="662"/>
      <c r="X188" s="662"/>
      <c r="Y188" s="662"/>
      <c r="Z188" s="662"/>
      <c r="AA188" s="662"/>
      <c r="AB188" s="662"/>
      <c r="AC188" s="662"/>
      <c r="AD188" s="662"/>
      <c r="AE188" s="662"/>
      <c r="AF188" s="662"/>
      <c r="AG188" s="662"/>
    </row>
    <row r="189" spans="1:33" s="80" customFormat="1">
      <c r="W189" s="662"/>
      <c r="X189" s="662"/>
      <c r="Y189" s="662"/>
      <c r="Z189" s="662"/>
      <c r="AA189" s="662"/>
      <c r="AB189" s="662"/>
      <c r="AC189" s="662"/>
      <c r="AD189" s="662"/>
      <c r="AE189" s="662"/>
      <c r="AF189" s="662"/>
      <c r="AG189" s="662"/>
    </row>
    <row r="190" spans="1:33" s="80" customFormat="1">
      <c r="W190" s="662"/>
      <c r="X190" s="662"/>
      <c r="Y190" s="662"/>
      <c r="Z190" s="662"/>
      <c r="AA190" s="662"/>
      <c r="AB190" s="662"/>
      <c r="AC190" s="662"/>
      <c r="AD190" s="662"/>
      <c r="AE190" s="662"/>
      <c r="AF190" s="662"/>
      <c r="AG190" s="662"/>
    </row>
    <row r="191" spans="1:33" s="80" customFormat="1">
      <c r="W191" s="662"/>
      <c r="X191" s="662"/>
      <c r="Y191" s="662"/>
      <c r="Z191" s="662"/>
      <c r="AA191" s="662"/>
      <c r="AB191" s="662"/>
      <c r="AC191" s="662"/>
      <c r="AD191" s="662"/>
      <c r="AE191" s="662"/>
      <c r="AF191" s="662"/>
      <c r="AG191" s="662"/>
    </row>
    <row r="192" spans="1:33">
      <c r="A192" s="80"/>
      <c r="B192" s="80"/>
      <c r="C192" s="80"/>
      <c r="D192" s="80"/>
      <c r="E192" s="80"/>
      <c r="F192" s="80"/>
      <c r="G192" s="80"/>
      <c r="H192" s="80"/>
      <c r="I192" s="80"/>
      <c r="J192" s="80"/>
      <c r="K192" s="80"/>
      <c r="L192" s="80"/>
      <c r="M192" s="80"/>
      <c r="N192" s="80"/>
      <c r="O192" s="80"/>
      <c r="P192" s="80"/>
      <c r="Q192" s="80"/>
      <c r="R192" s="80"/>
      <c r="S192" s="80"/>
      <c r="T192" s="80"/>
      <c r="U192" s="80"/>
      <c r="V192" s="80"/>
      <c r="W192" s="662"/>
      <c r="X192" s="662"/>
    </row>
    <row r="193" spans="1:24">
      <c r="A193" s="80"/>
      <c r="B193" s="80"/>
      <c r="C193" s="80"/>
      <c r="D193" s="80"/>
      <c r="E193" s="80"/>
      <c r="F193" s="80"/>
      <c r="G193" s="80"/>
      <c r="H193" s="80"/>
      <c r="I193" s="80"/>
      <c r="J193" s="80"/>
      <c r="K193" s="80"/>
      <c r="L193" s="80"/>
      <c r="M193" s="80"/>
      <c r="N193" s="80"/>
      <c r="O193" s="80"/>
      <c r="P193" s="80"/>
      <c r="Q193" s="80"/>
      <c r="R193" s="80"/>
      <c r="S193" s="80"/>
      <c r="T193" s="80"/>
      <c r="U193" s="80"/>
      <c r="V193" s="80"/>
      <c r="W193" s="662"/>
      <c r="X193" s="662"/>
    </row>
    <row r="194" spans="1:24">
      <c r="A194" s="80"/>
      <c r="B194" s="80"/>
      <c r="C194" s="80"/>
      <c r="D194" s="80"/>
      <c r="E194" s="80"/>
      <c r="F194" s="80"/>
      <c r="G194" s="80"/>
      <c r="H194" s="80"/>
      <c r="I194" s="80"/>
      <c r="J194" s="80"/>
      <c r="K194" s="80"/>
      <c r="L194" s="80"/>
      <c r="M194" s="80"/>
      <c r="N194" s="80"/>
      <c r="O194" s="80"/>
      <c r="P194" s="80"/>
      <c r="Q194" s="80"/>
      <c r="R194" s="80"/>
      <c r="S194" s="80"/>
      <c r="T194" s="80"/>
      <c r="U194" s="80"/>
      <c r="V194" s="80"/>
      <c r="W194" s="662"/>
      <c r="X194" s="662"/>
    </row>
    <row r="195" spans="1:24">
      <c r="A195" s="80"/>
      <c r="B195" s="80"/>
      <c r="C195" s="80"/>
      <c r="D195" s="80"/>
      <c r="E195" s="80"/>
      <c r="F195" s="80"/>
      <c r="G195" s="80"/>
      <c r="H195" s="80"/>
      <c r="I195" s="80"/>
      <c r="J195" s="80"/>
      <c r="K195" s="80"/>
      <c r="L195" s="80"/>
      <c r="M195" s="80"/>
      <c r="N195" s="80"/>
      <c r="O195" s="80"/>
      <c r="P195" s="80"/>
      <c r="Q195" s="80"/>
      <c r="R195" s="80"/>
      <c r="S195" s="80"/>
      <c r="T195" s="80"/>
      <c r="U195" s="80"/>
      <c r="V195" s="80"/>
      <c r="W195" s="662"/>
      <c r="X195" s="662"/>
    </row>
  </sheetData>
  <mergeCells count="1">
    <mergeCell ref="A1:AG1"/>
  </mergeCells>
  <pageMargins left="0.70866141732283472" right="0.70866141732283472" top="0.74803149606299213" bottom="0.74803149606299213" header="0.31496062992125984" footer="0.31496062992125984"/>
  <pageSetup scale="65"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G55"/>
  <sheetViews>
    <sheetView view="pageBreakPreview" zoomScale="60" zoomScaleNormal="100" workbookViewId="0">
      <selection sqref="A1:AB1"/>
    </sheetView>
  </sheetViews>
  <sheetFormatPr defaultColWidth="9.140625" defaultRowHeight="15.75"/>
  <cols>
    <col min="1" max="1" width="44.5703125" style="80" customWidth="1"/>
    <col min="2" max="2" width="12.7109375" style="80" hidden="1" customWidth="1"/>
    <col min="3" max="3" width="9.28515625" style="80" hidden="1" customWidth="1"/>
    <col min="4" max="6" width="9.42578125" style="80" hidden="1" customWidth="1"/>
    <col min="7" max="7" width="9.140625" style="80" hidden="1" customWidth="1"/>
    <col min="8" max="8" width="9.5703125" style="80" hidden="1" customWidth="1"/>
    <col min="9" max="11" width="9" style="80" hidden="1" customWidth="1"/>
    <col min="12" max="12" width="7.5703125" style="80" hidden="1" customWidth="1"/>
    <col min="13" max="17" width="11.7109375" style="80" hidden="1" customWidth="1"/>
    <col min="18" max="28" width="11.7109375" style="662" customWidth="1"/>
    <col min="29" max="33" width="10.5703125" style="80" customWidth="1"/>
    <col min="34" max="60" width="0" style="80" hidden="1" customWidth="1"/>
    <col min="61" max="16384" width="9.140625" style="80"/>
  </cols>
  <sheetData>
    <row r="1" spans="1:52" ht="30.75" customHeight="1">
      <c r="A1" s="1023" t="s">
        <v>110</v>
      </c>
      <c r="B1" s="1023"/>
      <c r="C1" s="1023"/>
      <c r="D1" s="1023"/>
      <c r="E1" s="1023"/>
      <c r="F1" s="1023"/>
      <c r="G1" s="1023"/>
      <c r="H1" s="1023"/>
      <c r="I1" s="1023"/>
      <c r="J1" s="1023"/>
      <c r="K1" s="1023"/>
      <c r="L1" s="1023"/>
      <c r="M1" s="1023"/>
      <c r="N1" s="1023"/>
      <c r="O1" s="1023"/>
      <c r="P1" s="1023"/>
      <c r="Q1" s="1023"/>
      <c r="R1" s="1023"/>
      <c r="S1" s="1023"/>
      <c r="T1" s="1023"/>
      <c r="U1" s="1023"/>
      <c r="V1" s="1023"/>
      <c r="W1" s="1023"/>
      <c r="X1" s="1023"/>
      <c r="Y1" s="1023"/>
      <c r="Z1" s="1023"/>
      <c r="AA1" s="1023"/>
      <c r="AB1" s="1023"/>
      <c r="AC1" s="134"/>
    </row>
    <row r="2" spans="1:52" ht="21" customHeight="1">
      <c r="A2" s="1"/>
      <c r="B2" s="1"/>
      <c r="C2" s="1"/>
      <c r="D2" s="1"/>
      <c r="E2" s="1"/>
      <c r="F2" s="1"/>
      <c r="G2" s="1"/>
      <c r="H2" s="1"/>
      <c r="I2" s="1"/>
      <c r="J2" s="1"/>
      <c r="K2" s="1"/>
      <c r="L2" s="1"/>
      <c r="M2" s="1"/>
      <c r="N2" s="1"/>
      <c r="O2" s="1"/>
      <c r="P2" s="1"/>
      <c r="Q2" s="1"/>
      <c r="R2" s="628"/>
      <c r="S2" s="628"/>
      <c r="T2" s="628"/>
      <c r="U2" s="628"/>
      <c r="V2" s="628"/>
      <c r="W2" s="628"/>
      <c r="X2" s="628"/>
      <c r="Y2" s="628"/>
      <c r="Z2" s="628"/>
      <c r="AA2" s="628"/>
      <c r="AB2" s="628"/>
      <c r="AC2" s="1"/>
      <c r="AD2" s="1"/>
      <c r="AE2" s="1"/>
      <c r="AF2" s="1"/>
      <c r="AG2" s="1"/>
    </row>
    <row r="3" spans="1:52" s="47" customFormat="1" ht="15.75" customHeight="1">
      <c r="A3" s="490"/>
      <c r="B3" s="473">
        <v>1990</v>
      </c>
      <c r="C3" s="473">
        <v>1995</v>
      </c>
      <c r="D3" s="473">
        <v>1996</v>
      </c>
      <c r="E3" s="473">
        <v>1997</v>
      </c>
      <c r="F3" s="473">
        <v>1998</v>
      </c>
      <c r="G3" s="473">
        <v>1999</v>
      </c>
      <c r="H3" s="473">
        <v>2000</v>
      </c>
      <c r="I3" s="473">
        <v>2001</v>
      </c>
      <c r="J3" s="473">
        <v>2002</v>
      </c>
      <c r="K3" s="473">
        <v>2003</v>
      </c>
      <c r="L3" s="473">
        <v>2004</v>
      </c>
      <c r="M3" s="560">
        <v>2005</v>
      </c>
      <c r="N3" s="560">
        <v>2006</v>
      </c>
      <c r="O3" s="560">
        <v>2007</v>
      </c>
      <c r="P3" s="560">
        <v>2008</v>
      </c>
      <c r="Q3" s="560">
        <v>2009</v>
      </c>
      <c r="R3" s="799">
        <v>2010</v>
      </c>
      <c r="S3" s="799">
        <v>2011</v>
      </c>
      <c r="T3" s="799">
        <v>2012</v>
      </c>
      <c r="U3" s="799">
        <v>2013</v>
      </c>
      <c r="V3" s="799">
        <v>2014</v>
      </c>
      <c r="W3" s="799">
        <v>2015</v>
      </c>
      <c r="X3" s="799">
        <v>2016</v>
      </c>
      <c r="Y3" s="799">
        <v>2017</v>
      </c>
      <c r="Z3" s="799">
        <v>2018</v>
      </c>
      <c r="AA3" s="799">
        <v>2019</v>
      </c>
      <c r="AB3" s="799">
        <v>2020</v>
      </c>
      <c r="AC3" s="135"/>
      <c r="AD3" s="135"/>
      <c r="AE3" s="135"/>
      <c r="AF3" s="135"/>
      <c r="AG3" s="135"/>
      <c r="AH3" s="136"/>
      <c r="AM3" s="137">
        <v>2000</v>
      </c>
      <c r="AN3" s="137">
        <v>2001</v>
      </c>
      <c r="AO3" s="137">
        <v>2002</v>
      </c>
      <c r="AP3" s="137">
        <v>2003</v>
      </c>
      <c r="AQ3" s="137">
        <v>2004</v>
      </c>
      <c r="AR3" s="137">
        <v>2005</v>
      </c>
      <c r="AS3" s="137">
        <v>2006</v>
      </c>
      <c r="AT3" s="137">
        <v>2007</v>
      </c>
      <c r="AU3" s="137">
        <v>2008</v>
      </c>
      <c r="AV3" s="137">
        <v>2009</v>
      </c>
      <c r="AW3" s="137">
        <v>2010</v>
      </c>
      <c r="AX3" s="137">
        <v>2011</v>
      </c>
      <c r="AY3" s="137">
        <v>2012</v>
      </c>
      <c r="AZ3" s="47">
        <v>2013</v>
      </c>
    </row>
    <row r="4" spans="1:52" s="47" customFormat="1" ht="15.75" customHeight="1">
      <c r="A4" s="3" t="s">
        <v>111</v>
      </c>
      <c r="B4" s="3">
        <v>76.400000000000006</v>
      </c>
      <c r="C4" s="3">
        <v>104.6</v>
      </c>
      <c r="D4" s="3">
        <v>105.4</v>
      </c>
      <c r="E4" s="3">
        <v>107.4</v>
      </c>
      <c r="F4" s="3">
        <v>118.2</v>
      </c>
      <c r="G4" s="3">
        <v>124.1</v>
      </c>
      <c r="H4" s="3">
        <v>118.9</v>
      </c>
      <c r="I4" s="3">
        <v>127.1836148</v>
      </c>
      <c r="J4" s="3">
        <v>163.38852709999998</v>
      </c>
      <c r="K4" s="3">
        <v>155.41505599999999</v>
      </c>
      <c r="L4" s="3">
        <v>158.6</v>
      </c>
      <c r="M4" s="138">
        <v>185.97997877813799</v>
      </c>
      <c r="N4" s="138">
        <v>184.2</v>
      </c>
      <c r="O4" s="138">
        <v>144.19999999999999</v>
      </c>
      <c r="P4" s="138">
        <v>132.6</v>
      </c>
      <c r="Q4" s="138">
        <v>116.7</v>
      </c>
      <c r="R4" s="778">
        <v>122.2</v>
      </c>
      <c r="S4" s="778">
        <v>120.8</v>
      </c>
      <c r="T4" s="778">
        <v>120</v>
      </c>
      <c r="U4" s="778">
        <v>129.80000000000001</v>
      </c>
      <c r="V4" s="778">
        <v>128.69999999999999</v>
      </c>
      <c r="W4" s="778">
        <v>127.35057148143278</v>
      </c>
      <c r="X4" s="778">
        <v>129.17570510655216</v>
      </c>
      <c r="Y4" s="644">
        <v>143.15996433162482</v>
      </c>
      <c r="Z4" s="644">
        <v>151.02432375223387</v>
      </c>
      <c r="AA4" s="644">
        <v>135.0689255701877</v>
      </c>
      <c r="AB4" s="644">
        <v>148.58296918261513</v>
      </c>
      <c r="AC4" s="138"/>
      <c r="AD4" s="138"/>
      <c r="AE4" s="138"/>
      <c r="AF4" s="138"/>
      <c r="AG4" s="138"/>
      <c r="AH4" s="139" t="s">
        <v>112</v>
      </c>
      <c r="AL4" s="136" t="s">
        <v>113</v>
      </c>
      <c r="AM4" s="140">
        <v>79682.553</v>
      </c>
      <c r="AN4" s="140">
        <v>88043.980999999985</v>
      </c>
      <c r="AO4" s="140">
        <v>115321.78199999999</v>
      </c>
      <c r="AP4" s="140">
        <v>108328.95899999999</v>
      </c>
      <c r="AQ4" s="140">
        <v>109749</v>
      </c>
      <c r="AR4" s="140">
        <v>132060.38010399402</v>
      </c>
      <c r="AS4" s="141">
        <v>138458.43036881002</v>
      </c>
      <c r="AT4" s="140">
        <v>97342</v>
      </c>
      <c r="AU4" s="140">
        <v>87275.756780001</v>
      </c>
      <c r="AV4" s="140">
        <v>66179</v>
      </c>
    </row>
    <row r="5" spans="1:52" s="47" customFormat="1" ht="15.75" customHeight="1">
      <c r="A5" s="474" t="s">
        <v>114</v>
      </c>
      <c r="B5" s="474">
        <v>7.3</v>
      </c>
      <c r="C5" s="474">
        <v>0.57692307692305766</v>
      </c>
      <c r="D5" s="474">
        <v>0.76481835564053269</v>
      </c>
      <c r="E5" s="474">
        <v>1.8975332068311332</v>
      </c>
      <c r="F5" s="474">
        <v>10.055865921787706</v>
      </c>
      <c r="G5" s="474">
        <v>4.9915397631133596</v>
      </c>
      <c r="H5" s="474">
        <v>-4.190169218372283</v>
      </c>
      <c r="I5" s="474">
        <v>6.9668753574432376</v>
      </c>
      <c r="J5" s="474">
        <v>28.466648284005192</v>
      </c>
      <c r="K5" s="474">
        <v>-4.8800679224679691</v>
      </c>
      <c r="L5" s="474">
        <v>2.0493149646968578</v>
      </c>
      <c r="M5" s="561">
        <v>17.27586156184049</v>
      </c>
      <c r="N5" s="561">
        <v>-1</v>
      </c>
      <c r="O5" s="561">
        <v>-21.715526601520089</v>
      </c>
      <c r="P5" s="561">
        <v>-8.0443828016643515</v>
      </c>
      <c r="Q5" s="561">
        <v>-11.9</v>
      </c>
      <c r="R5" s="779">
        <v>4.7129391602399311</v>
      </c>
      <c r="S5" s="779">
        <v>-1.145662847790512</v>
      </c>
      <c r="T5" s="779">
        <v>-0.66225165562913668</v>
      </c>
      <c r="U5" s="779">
        <v>8.1666666666666767</v>
      </c>
      <c r="V5" s="779">
        <v>-0.9</v>
      </c>
      <c r="W5" s="779">
        <v>-1.0346402943154343</v>
      </c>
      <c r="X5" s="779">
        <v>1.4</v>
      </c>
      <c r="Y5" s="653">
        <v>10.81264929769408</v>
      </c>
      <c r="Z5" s="653">
        <v>5.4934069432928521</v>
      </c>
      <c r="AA5" s="653">
        <v>-10.564787039352765</v>
      </c>
      <c r="AB5" s="653">
        <v>10.005294374985599</v>
      </c>
      <c r="AC5" s="142"/>
      <c r="AD5" s="142"/>
      <c r="AE5" s="142"/>
      <c r="AF5" s="142"/>
      <c r="AG5" s="142"/>
    </row>
    <row r="6" spans="1:52" s="47" customFormat="1" ht="15.75" customHeight="1">
      <c r="A6" s="3" t="s">
        <v>115</v>
      </c>
      <c r="B6" s="3"/>
      <c r="C6" s="3"/>
      <c r="D6" s="3"/>
      <c r="E6" s="3"/>
      <c r="F6" s="3"/>
      <c r="G6" s="3"/>
      <c r="H6" s="3"/>
      <c r="I6" s="3"/>
      <c r="J6" s="3"/>
      <c r="K6" s="3"/>
      <c r="L6" s="3"/>
      <c r="M6" s="138"/>
      <c r="N6" s="138"/>
      <c r="O6" s="138"/>
      <c r="P6" s="138"/>
      <c r="Q6" s="138"/>
      <c r="R6" s="778"/>
      <c r="S6" s="778"/>
      <c r="T6" s="778"/>
      <c r="U6" s="778"/>
      <c r="V6" s="778"/>
      <c r="W6" s="778"/>
      <c r="X6" s="778"/>
      <c r="Y6" s="644"/>
      <c r="Z6" s="644"/>
      <c r="AA6" s="644"/>
      <c r="AB6" s="644"/>
      <c r="AC6" s="138"/>
      <c r="AD6" s="138"/>
      <c r="AE6" s="138"/>
      <c r="AF6" s="138"/>
      <c r="AG6" s="138"/>
    </row>
    <row r="7" spans="1:52" s="47" customFormat="1" ht="15.75" customHeight="1">
      <c r="A7" s="473" t="s">
        <v>116</v>
      </c>
      <c r="B7" s="473">
        <v>76374</v>
      </c>
      <c r="C7" s="473">
        <v>104566.32399999999</v>
      </c>
      <c r="D7" s="473">
        <v>105413.23</v>
      </c>
      <c r="E7" s="473">
        <v>107358.17</v>
      </c>
      <c r="F7" s="473">
        <v>118115.4</v>
      </c>
      <c r="G7" s="473">
        <v>124109</v>
      </c>
      <c r="H7" s="473">
        <v>118963.22</v>
      </c>
      <c r="I7" s="473">
        <v>127183.78</v>
      </c>
      <c r="J7" s="473">
        <v>163387.9601</v>
      </c>
      <c r="K7" s="473">
        <v>155415.00099999999</v>
      </c>
      <c r="L7" s="473">
        <v>158576</v>
      </c>
      <c r="M7" s="562">
        <v>185980.45680921903</v>
      </c>
      <c r="N7" s="562">
        <v>184158.29795340699</v>
      </c>
      <c r="O7" s="562">
        <v>144169</v>
      </c>
      <c r="P7" s="562">
        <v>132574</v>
      </c>
      <c r="Q7" s="562">
        <v>116736</v>
      </c>
      <c r="R7" s="642">
        <v>122175.1379</v>
      </c>
      <c r="S7" s="642">
        <v>120836.0318</v>
      </c>
      <c r="T7" s="642">
        <v>120001</v>
      </c>
      <c r="U7" s="642">
        <v>129843.14697257293</v>
      </c>
      <c r="V7" s="642">
        <v>128683</v>
      </c>
      <c r="W7" s="642">
        <v>127351.81848143297</v>
      </c>
      <c r="X7" s="642">
        <v>129190.9951065522</v>
      </c>
      <c r="Y7" s="642">
        <v>143159.96433162465</v>
      </c>
      <c r="Z7" s="642">
        <v>151024.32375223387</v>
      </c>
      <c r="AA7" s="642">
        <v>135068.92557018774</v>
      </c>
      <c r="AB7" s="642">
        <v>148582.96918261508</v>
      </c>
      <c r="AC7" s="143"/>
      <c r="AD7" s="143"/>
      <c r="AE7" s="143"/>
      <c r="AF7" s="143"/>
      <c r="AG7" s="143"/>
    </row>
    <row r="8" spans="1:52" s="47" customFormat="1" ht="15.75" customHeight="1">
      <c r="A8" s="3" t="s">
        <v>113</v>
      </c>
      <c r="B8" s="3">
        <v>59899</v>
      </c>
      <c r="C8" s="3">
        <v>70372.040999999997</v>
      </c>
      <c r="D8" s="3">
        <v>66501.88</v>
      </c>
      <c r="E8" s="3">
        <v>69015.28</v>
      </c>
      <c r="F8" s="3">
        <v>78409.429999999993</v>
      </c>
      <c r="G8" s="3">
        <v>92888</v>
      </c>
      <c r="H8" s="3">
        <v>79682.553</v>
      </c>
      <c r="I8" s="3">
        <v>88043.980999999985</v>
      </c>
      <c r="J8" s="3">
        <v>115321.78199999999</v>
      </c>
      <c r="K8" s="3">
        <v>108328.95899999999</v>
      </c>
      <c r="L8" s="3">
        <v>109749</v>
      </c>
      <c r="M8" s="133">
        <v>132060.38010399402</v>
      </c>
      <c r="N8" s="133">
        <v>138458.43036881002</v>
      </c>
      <c r="O8" s="133">
        <v>97342</v>
      </c>
      <c r="P8" s="133">
        <v>87072</v>
      </c>
      <c r="Q8" s="133">
        <v>66189</v>
      </c>
      <c r="R8" s="780">
        <v>73721.292000000001</v>
      </c>
      <c r="S8" s="780">
        <v>57671.722000000002</v>
      </c>
      <c r="T8" s="780">
        <v>53391.6</v>
      </c>
      <c r="U8" s="780">
        <v>74421.630037020906</v>
      </c>
      <c r="V8" s="780">
        <v>68522</v>
      </c>
      <c r="W8" s="780">
        <v>69244.324399131321</v>
      </c>
      <c r="X8" s="780">
        <v>69589.480938961424</v>
      </c>
      <c r="Y8" s="780">
        <v>89683.148024090726</v>
      </c>
      <c r="Z8" s="780">
        <v>100099.4869059859</v>
      </c>
      <c r="AA8" s="780">
        <v>88019.666239199301</v>
      </c>
      <c r="AB8" s="780">
        <v>103870.66972179353</v>
      </c>
      <c r="AC8" s="138"/>
      <c r="AD8" s="138"/>
      <c r="AE8" s="138"/>
      <c r="AF8" s="138"/>
      <c r="AG8" s="138"/>
    </row>
    <row r="9" spans="1:52" s="130" customFormat="1" ht="15.75" customHeight="1">
      <c r="A9" s="474" t="s">
        <v>117</v>
      </c>
      <c r="B9" s="474">
        <v>5279</v>
      </c>
      <c r="C9" s="474">
        <v>12504.340999999999</v>
      </c>
      <c r="D9" s="474">
        <v>12440.26</v>
      </c>
      <c r="E9" s="474">
        <v>18618.78</v>
      </c>
      <c r="F9" s="474">
        <v>17164.32</v>
      </c>
      <c r="G9" s="474">
        <v>15079</v>
      </c>
      <c r="H9" s="474">
        <v>15705.858999999999</v>
      </c>
      <c r="I9" s="474">
        <v>15246.319</v>
      </c>
      <c r="J9" s="474">
        <v>24525.265799999997</v>
      </c>
      <c r="K9" s="474">
        <v>22914.133899999997</v>
      </c>
      <c r="L9" s="474">
        <v>24818</v>
      </c>
      <c r="M9" s="563">
        <v>24570.818985680002</v>
      </c>
      <c r="N9" s="563">
        <v>22953.53829973</v>
      </c>
      <c r="O9" s="563">
        <v>24415</v>
      </c>
      <c r="P9" s="563">
        <v>23769</v>
      </c>
      <c r="Q9" s="563">
        <v>20733</v>
      </c>
      <c r="R9" s="781">
        <v>21835.378000000001</v>
      </c>
      <c r="S9" s="781">
        <v>35575.213000000003</v>
      </c>
      <c r="T9" s="781">
        <v>44977.38</v>
      </c>
      <c r="U9" s="781">
        <v>47146.416175683698</v>
      </c>
      <c r="V9" s="781">
        <v>49101</v>
      </c>
      <c r="W9" s="781">
        <v>51472.456475638173</v>
      </c>
      <c r="X9" s="781">
        <v>53705.451966178975</v>
      </c>
      <c r="Y9" s="781">
        <v>49376.811349197844</v>
      </c>
      <c r="Z9" s="781">
        <v>47216.695506999989</v>
      </c>
      <c r="AA9" s="781">
        <v>44423.897166028532</v>
      </c>
      <c r="AB9" s="781">
        <v>42704.576500856863</v>
      </c>
      <c r="AC9" s="138"/>
      <c r="AD9" s="138"/>
      <c r="AE9" s="138"/>
      <c r="AF9" s="138"/>
      <c r="AG9" s="138"/>
      <c r="AI9" s="130" t="s">
        <v>114</v>
      </c>
      <c r="AM9" s="136" t="s">
        <v>118</v>
      </c>
      <c r="AN9" s="136" t="s">
        <v>119</v>
      </c>
      <c r="AO9" s="136" t="s">
        <v>120</v>
      </c>
    </row>
    <row r="10" spans="1:52" s="47" customFormat="1" ht="15.75" customHeight="1">
      <c r="A10" s="3" t="s">
        <v>121</v>
      </c>
      <c r="B10" s="3">
        <v>5185</v>
      </c>
      <c r="C10" s="3">
        <v>7070.75</v>
      </c>
      <c r="D10" s="3">
        <v>10897.45</v>
      </c>
      <c r="E10" s="3">
        <v>5066.54</v>
      </c>
      <c r="F10" s="3">
        <v>8311.94</v>
      </c>
      <c r="G10" s="3">
        <v>5520</v>
      </c>
      <c r="H10" s="3">
        <v>6339.1250000000009</v>
      </c>
      <c r="I10" s="3">
        <v>6778.0590000000002</v>
      </c>
      <c r="J10" s="3">
        <v>7218.9319999999998</v>
      </c>
      <c r="K10" s="3">
        <v>7508.183</v>
      </c>
      <c r="L10" s="3">
        <v>6543</v>
      </c>
      <c r="M10" s="133">
        <v>8302.1354397649993</v>
      </c>
      <c r="N10" s="133">
        <v>5717.5900617870002</v>
      </c>
      <c r="O10" s="133">
        <v>7100</v>
      </c>
      <c r="P10" s="133">
        <v>6699</v>
      </c>
      <c r="Q10" s="133">
        <v>8876</v>
      </c>
      <c r="R10" s="780">
        <v>7123.6269000000002</v>
      </c>
      <c r="S10" s="780">
        <v>4947.2398000000003</v>
      </c>
      <c r="T10" s="780">
        <v>2537.79</v>
      </c>
      <c r="U10" s="780">
        <v>1664.0466762930218</v>
      </c>
      <c r="V10" s="780">
        <v>3924</v>
      </c>
      <c r="W10" s="780">
        <v>2218</v>
      </c>
      <c r="X10" s="780">
        <v>2679.9581847279765</v>
      </c>
      <c r="Y10" s="780">
        <v>1606.0786556591074</v>
      </c>
      <c r="Z10" s="780">
        <v>882.6865923288949</v>
      </c>
      <c r="AA10" s="780">
        <v>582.12911143500605</v>
      </c>
      <c r="AB10" s="780">
        <v>311.42431884410684</v>
      </c>
      <c r="AC10" s="138"/>
      <c r="AD10" s="138"/>
      <c r="AE10" s="138"/>
      <c r="AF10" s="138"/>
      <c r="AG10" s="138"/>
      <c r="AL10" s="47">
        <v>1995</v>
      </c>
      <c r="AM10" s="82">
        <v>43.5</v>
      </c>
      <c r="AN10" s="82">
        <v>56</v>
      </c>
      <c r="AO10" s="82">
        <v>5.0999999999999996</v>
      </c>
    </row>
    <row r="11" spans="1:52" s="47" customFormat="1" ht="15.75" customHeight="1">
      <c r="A11" s="474" t="s">
        <v>122</v>
      </c>
      <c r="B11" s="473">
        <v>6011</v>
      </c>
      <c r="C11" s="473">
        <v>14619.191999999999</v>
      </c>
      <c r="D11" s="473">
        <v>15573.64</v>
      </c>
      <c r="E11" s="473">
        <v>14657.57</v>
      </c>
      <c r="F11" s="473">
        <v>14229.71</v>
      </c>
      <c r="G11" s="473">
        <v>10622</v>
      </c>
      <c r="H11" s="473">
        <v>17235.683000000001</v>
      </c>
      <c r="I11" s="473">
        <v>17115.420999999998</v>
      </c>
      <c r="J11" s="473">
        <v>16321.980300000001</v>
      </c>
      <c r="K11" s="473">
        <v>16663.7251</v>
      </c>
      <c r="L11" s="473">
        <v>17466</v>
      </c>
      <c r="M11" s="563">
        <v>21047.122279780004</v>
      </c>
      <c r="N11" s="563">
        <v>17028.73922308</v>
      </c>
      <c r="O11" s="563">
        <v>15312</v>
      </c>
      <c r="P11" s="563">
        <v>15034</v>
      </c>
      <c r="Q11" s="563">
        <v>20938</v>
      </c>
      <c r="R11" s="781">
        <v>19494.841</v>
      </c>
      <c r="S11" s="781">
        <v>22641.857</v>
      </c>
      <c r="T11" s="781">
        <v>19094.060000000001</v>
      </c>
      <c r="U11" s="781">
        <v>6611.0540835753109</v>
      </c>
      <c r="V11" s="781">
        <v>7136</v>
      </c>
      <c r="W11" s="781">
        <v>4417.3809339078225</v>
      </c>
      <c r="X11" s="781">
        <v>3216.1040166838452</v>
      </c>
      <c r="Y11" s="781">
        <v>2493.9263026769804</v>
      </c>
      <c r="Z11" s="781">
        <v>2825.4547469191089</v>
      </c>
      <c r="AA11" s="781">
        <v>2043.233053524893</v>
      </c>
      <c r="AB11" s="781">
        <v>1696.6090211673259</v>
      </c>
      <c r="AC11" s="138"/>
      <c r="AD11" s="143"/>
      <c r="AE11" s="143"/>
      <c r="AF11" s="143"/>
      <c r="AG11" s="143"/>
      <c r="AL11" s="47">
        <v>1996</v>
      </c>
      <c r="AM11" s="82">
        <v>41.7</v>
      </c>
      <c r="AN11" s="82">
        <v>60.4</v>
      </c>
      <c r="AO11" s="82">
        <v>3.3</v>
      </c>
    </row>
    <row r="12" spans="1:52" s="47" customFormat="1" ht="15.75" customHeight="1">
      <c r="A12" s="3" t="s">
        <v>123</v>
      </c>
      <c r="B12" s="8"/>
      <c r="C12" s="8"/>
      <c r="D12" s="8"/>
      <c r="E12" s="8"/>
      <c r="F12" s="8"/>
      <c r="G12" s="8"/>
      <c r="H12" s="8"/>
      <c r="I12" s="8"/>
      <c r="J12" s="8"/>
      <c r="K12" s="8"/>
      <c r="L12" s="8"/>
      <c r="M12" s="123" t="s">
        <v>124</v>
      </c>
      <c r="N12" s="123" t="s">
        <v>124</v>
      </c>
      <c r="O12" s="123" t="s">
        <v>124</v>
      </c>
      <c r="P12" s="123" t="s">
        <v>124</v>
      </c>
      <c r="Q12" s="123" t="s">
        <v>124</v>
      </c>
      <c r="R12" s="644" t="s">
        <v>124</v>
      </c>
      <c r="S12" s="644" t="s">
        <v>124</v>
      </c>
      <c r="T12" s="780">
        <v>9973.2153715049062</v>
      </c>
      <c r="U12" s="780">
        <v>9284.1709889907397</v>
      </c>
      <c r="V12" s="780">
        <v>8595.9331314201481</v>
      </c>
      <c r="W12" s="780">
        <v>7908.6475563130498</v>
      </c>
      <c r="X12" s="780">
        <v>7045</v>
      </c>
      <c r="Y12" s="780">
        <v>17589</v>
      </c>
      <c r="Z12" s="644" t="s">
        <v>29</v>
      </c>
      <c r="AA12" s="644" t="s">
        <v>29</v>
      </c>
      <c r="AB12" s="644" t="s">
        <v>29</v>
      </c>
      <c r="AC12" s="138"/>
      <c r="AD12" s="143"/>
      <c r="AE12" s="143"/>
      <c r="AF12" s="143"/>
      <c r="AG12" s="143"/>
      <c r="AM12" s="82"/>
      <c r="AN12" s="82"/>
      <c r="AO12" s="82"/>
    </row>
    <row r="13" spans="1:52" s="47" customFormat="1" ht="30" customHeight="1">
      <c r="A13" s="564" t="s">
        <v>125</v>
      </c>
      <c r="B13" s="473"/>
      <c r="C13" s="473"/>
      <c r="D13" s="473"/>
      <c r="E13" s="473"/>
      <c r="F13" s="473"/>
      <c r="G13" s="473"/>
      <c r="H13" s="473"/>
      <c r="I13" s="473"/>
      <c r="J13" s="473"/>
      <c r="K13" s="473"/>
      <c r="L13" s="473"/>
      <c r="M13" s="475" t="s">
        <v>124</v>
      </c>
      <c r="N13" s="475" t="s">
        <v>124</v>
      </c>
      <c r="O13" s="563">
        <v>124157.65514</v>
      </c>
      <c r="P13" s="563">
        <v>139514.46875999999</v>
      </c>
      <c r="Q13" s="563">
        <v>138967.57131999999</v>
      </c>
      <c r="R13" s="781">
        <v>152525.99507999999</v>
      </c>
      <c r="S13" s="781">
        <v>186677.28172</v>
      </c>
      <c r="T13" s="781">
        <v>240437.87307</v>
      </c>
      <c r="U13" s="781">
        <v>276241.36057000002</v>
      </c>
      <c r="V13" s="781">
        <v>302002.60759000003</v>
      </c>
      <c r="W13" s="781">
        <v>330503.71594000002</v>
      </c>
      <c r="X13" s="647">
        <v>356030.84086999996</v>
      </c>
      <c r="Y13" s="647">
        <v>400897.83512256003</v>
      </c>
      <c r="Z13" s="647">
        <v>437440.28820000007</v>
      </c>
      <c r="AA13" s="647">
        <v>514951.81251000008</v>
      </c>
      <c r="AB13" s="647">
        <v>314954.00874000002</v>
      </c>
      <c r="AC13" s="138"/>
      <c r="AD13" s="143"/>
      <c r="AE13" s="143"/>
      <c r="AF13" s="143"/>
      <c r="AG13" s="143"/>
      <c r="AM13" s="82"/>
      <c r="AN13" s="82"/>
      <c r="AO13" s="82"/>
    </row>
    <row r="14" spans="1:52" s="47" customFormat="1" ht="17.25" hidden="1" customHeight="1">
      <c r="A14" s="8" t="s">
        <v>126</v>
      </c>
      <c r="B14" s="8"/>
      <c r="C14" s="8"/>
      <c r="D14" s="8"/>
      <c r="E14" s="8"/>
      <c r="F14" s="8"/>
      <c r="G14" s="8"/>
      <c r="H14" s="8"/>
      <c r="I14" s="8"/>
      <c r="J14" s="8"/>
      <c r="K14" s="8"/>
      <c r="L14" s="8"/>
      <c r="M14" s="144">
        <v>940</v>
      </c>
      <c r="N14" s="144">
        <v>942</v>
      </c>
      <c r="O14" s="144">
        <v>670</v>
      </c>
      <c r="P14" s="144">
        <v>943</v>
      </c>
      <c r="Q14" s="144" t="s">
        <v>29</v>
      </c>
      <c r="R14" s="782" t="s">
        <v>29</v>
      </c>
      <c r="S14" s="782" t="s">
        <v>29</v>
      </c>
      <c r="T14" s="782">
        <v>41</v>
      </c>
      <c r="U14" s="782" t="s">
        <v>29</v>
      </c>
      <c r="V14" s="782">
        <v>81</v>
      </c>
      <c r="W14" s="782">
        <v>43</v>
      </c>
      <c r="X14" s="783"/>
      <c r="Y14" s="783"/>
      <c r="Z14" s="783"/>
      <c r="AA14" s="783"/>
      <c r="AB14" s="644">
        <v>1</v>
      </c>
      <c r="AC14" s="138"/>
      <c r="AD14" s="143"/>
      <c r="AE14" s="143"/>
      <c r="AF14" s="143"/>
      <c r="AG14" s="143"/>
      <c r="AM14" s="82"/>
      <c r="AN14" s="82"/>
      <c r="AO14" s="82"/>
    </row>
    <row r="15" spans="1:52" s="47" customFormat="1" ht="17.25" hidden="1" customHeight="1">
      <c r="A15" s="145"/>
      <c r="B15" s="145"/>
      <c r="C15" s="145"/>
      <c r="D15" s="145"/>
      <c r="E15" s="145"/>
      <c r="F15" s="145"/>
      <c r="G15" s="145"/>
      <c r="H15" s="145"/>
      <c r="I15" s="145"/>
      <c r="J15" s="145"/>
      <c r="K15" s="145"/>
      <c r="L15" s="145"/>
      <c r="M15" s="146"/>
      <c r="N15" s="146"/>
      <c r="O15" s="146"/>
      <c r="P15" s="146"/>
      <c r="Q15" s="146"/>
      <c r="R15" s="784"/>
      <c r="S15" s="784"/>
      <c r="T15" s="784"/>
      <c r="U15" s="784"/>
      <c r="V15" s="784"/>
      <c r="W15" s="784"/>
      <c r="X15" s="783"/>
      <c r="Y15" s="783"/>
      <c r="Z15" s="783"/>
      <c r="AA15" s="783"/>
      <c r="AB15" s="644" t="s">
        <v>29</v>
      </c>
      <c r="AC15" s="138"/>
      <c r="AD15" s="143"/>
      <c r="AE15" s="143"/>
      <c r="AF15" s="143"/>
      <c r="AG15" s="143"/>
      <c r="AM15" s="82"/>
      <c r="AN15" s="82"/>
      <c r="AO15" s="82"/>
    </row>
    <row r="16" spans="1:52" ht="16.5" hidden="1" customHeight="1">
      <c r="A16" s="7" t="s">
        <v>127</v>
      </c>
      <c r="B16" s="3">
        <v>351</v>
      </c>
      <c r="C16" s="3">
        <v>648</v>
      </c>
      <c r="D16" s="3">
        <v>654</v>
      </c>
      <c r="E16" s="3">
        <v>1374</v>
      </c>
      <c r="F16" s="3">
        <v>1373</v>
      </c>
      <c r="G16" s="3">
        <v>1373</v>
      </c>
      <c r="H16" s="3">
        <v>1373</v>
      </c>
      <c r="I16" s="3">
        <v>1592</v>
      </c>
      <c r="J16" s="3">
        <v>1579.2819999999999</v>
      </c>
      <c r="K16" s="3">
        <v>1560.758</v>
      </c>
      <c r="L16" s="3">
        <v>1355</v>
      </c>
      <c r="M16" s="147">
        <v>1407</v>
      </c>
      <c r="N16" s="147">
        <v>1615</v>
      </c>
      <c r="O16" s="147">
        <v>3097</v>
      </c>
      <c r="P16" s="147">
        <v>12752</v>
      </c>
      <c r="Q16" s="144" t="s">
        <v>29</v>
      </c>
      <c r="R16" s="782" t="s">
        <v>29</v>
      </c>
      <c r="S16" s="782" t="s">
        <v>29</v>
      </c>
      <c r="T16" s="785">
        <v>6544</v>
      </c>
      <c r="U16" s="782" t="s">
        <v>29</v>
      </c>
      <c r="V16" s="785">
        <v>14767</v>
      </c>
      <c r="W16" s="785">
        <v>11258</v>
      </c>
      <c r="X16" s="778"/>
      <c r="Y16" s="778">
        <v>4134452.3999999994</v>
      </c>
      <c r="Z16" s="786">
        <v>1140874.06</v>
      </c>
      <c r="AA16" s="786"/>
      <c r="AB16" s="644">
        <v>180000</v>
      </c>
      <c r="AC16" s="138"/>
      <c r="AD16" s="138"/>
      <c r="AE16" s="138"/>
      <c r="AF16" s="138"/>
      <c r="AG16" s="138"/>
      <c r="AL16" s="80">
        <v>1997</v>
      </c>
      <c r="AM16" s="148">
        <v>40</v>
      </c>
      <c r="AN16" s="148">
        <v>64.5</v>
      </c>
      <c r="AO16" s="148">
        <v>2.9</v>
      </c>
    </row>
    <row r="17" spans="1:59" ht="15" hidden="1" customHeight="1">
      <c r="A17" s="149"/>
      <c r="B17" s="149"/>
      <c r="C17" s="149"/>
      <c r="D17" s="149"/>
      <c r="E17" s="149"/>
      <c r="F17" s="149"/>
      <c r="G17" s="149"/>
      <c r="H17" s="149"/>
      <c r="I17" s="149"/>
      <c r="J17" s="149"/>
      <c r="K17" s="149"/>
      <c r="L17" s="149"/>
      <c r="M17" s="150"/>
      <c r="N17" s="150"/>
      <c r="O17" s="150"/>
      <c r="P17" s="150"/>
      <c r="Q17" s="150"/>
      <c r="R17" s="787"/>
      <c r="S17" s="787"/>
      <c r="T17" s="787"/>
      <c r="U17" s="787"/>
      <c r="V17" s="787"/>
      <c r="W17" s="787"/>
      <c r="X17" s="682"/>
      <c r="Y17" s="778"/>
      <c r="Z17" s="682"/>
      <c r="AA17" s="682"/>
      <c r="AB17" s="644" t="s">
        <v>29</v>
      </c>
      <c r="AC17" s="138"/>
      <c r="AD17" s="151"/>
      <c r="AE17" s="151"/>
      <c r="AF17" s="151"/>
      <c r="AG17" s="151"/>
      <c r="AL17" s="80">
        <v>1998</v>
      </c>
      <c r="AM17" s="148">
        <v>44.4</v>
      </c>
      <c r="AN17" s="148">
        <v>68</v>
      </c>
      <c r="AO17" s="148">
        <v>5.8</v>
      </c>
    </row>
    <row r="18" spans="1:59" ht="9.75" hidden="1" customHeight="1">
      <c r="A18" s="8"/>
      <c r="B18" s="8"/>
      <c r="C18" s="8"/>
      <c r="D18" s="8"/>
      <c r="E18" s="8"/>
      <c r="F18" s="8"/>
      <c r="G18" s="8"/>
      <c r="H18" s="8"/>
      <c r="I18" s="8"/>
      <c r="J18" s="8"/>
      <c r="K18" s="8"/>
      <c r="L18" s="8"/>
      <c r="M18" s="143"/>
      <c r="N18" s="143"/>
      <c r="O18" s="143"/>
      <c r="P18" s="143"/>
      <c r="Q18" s="143"/>
      <c r="R18" s="783"/>
      <c r="S18" s="783"/>
      <c r="T18" s="783"/>
      <c r="V18" s="783"/>
      <c r="W18" s="783"/>
      <c r="X18" s="783"/>
      <c r="Y18" s="788">
        <f>Y16/1000</f>
        <v>4134.4523999999992</v>
      </c>
      <c r="Z18" s="788">
        <f>Z16/1000</f>
        <v>1140.8740600000001</v>
      </c>
      <c r="AA18" s="788"/>
      <c r="AB18" s="644" t="s">
        <v>29</v>
      </c>
      <c r="AC18" s="138"/>
      <c r="AD18" s="143"/>
      <c r="AE18" s="143"/>
      <c r="AF18" s="143"/>
      <c r="AG18" s="143"/>
      <c r="AL18" s="80">
        <v>1999</v>
      </c>
      <c r="AM18" s="148">
        <v>49.7</v>
      </c>
      <c r="AN18" s="148">
        <v>62.8</v>
      </c>
      <c r="AO18" s="148">
        <v>11.6</v>
      </c>
    </row>
    <row r="19" spans="1:59" ht="16.5" customHeight="1">
      <c r="A19" s="3"/>
      <c r="B19" s="3"/>
      <c r="C19" s="3"/>
      <c r="D19" s="3"/>
      <c r="E19" s="3"/>
      <c r="F19" s="3"/>
      <c r="G19" s="3"/>
      <c r="H19" s="3"/>
      <c r="I19" s="3"/>
      <c r="J19" s="3"/>
      <c r="K19" s="3"/>
      <c r="L19" s="3"/>
      <c r="M19" s="138"/>
      <c r="N19" s="138"/>
      <c r="O19" s="138"/>
      <c r="P19" s="138"/>
      <c r="Q19" s="138"/>
      <c r="R19" s="778"/>
      <c r="S19" s="778"/>
      <c r="T19" s="778"/>
      <c r="V19" s="778"/>
      <c r="X19" s="778"/>
      <c r="Y19" s="778"/>
      <c r="Z19" s="778"/>
      <c r="AA19" s="778"/>
      <c r="AC19" s="138"/>
      <c r="AD19" s="138"/>
      <c r="AE19" s="138"/>
      <c r="AF19" s="138"/>
      <c r="AG19" s="138"/>
      <c r="AL19" s="80">
        <v>2000</v>
      </c>
      <c r="AM19" s="148">
        <v>56.5</v>
      </c>
      <c r="AN19" s="148">
        <v>57.3</v>
      </c>
      <c r="AO19" s="148">
        <v>5.0999999999999996</v>
      </c>
    </row>
    <row r="20" spans="1:59" ht="16.5" customHeight="1">
      <c r="A20" s="3"/>
      <c r="B20" s="3"/>
      <c r="C20" s="3"/>
      <c r="D20" s="3"/>
      <c r="E20" s="3"/>
      <c r="F20" s="3"/>
      <c r="G20" s="3"/>
      <c r="H20" s="3"/>
      <c r="I20" s="3"/>
      <c r="J20" s="3"/>
      <c r="K20" s="3"/>
      <c r="L20" s="3"/>
      <c r="M20" s="138"/>
      <c r="N20" s="138"/>
      <c r="O20" s="138"/>
      <c r="P20" s="138"/>
      <c r="Q20" s="138"/>
      <c r="R20" s="778"/>
      <c r="S20" s="778"/>
      <c r="T20" s="778"/>
      <c r="V20" s="789"/>
      <c r="W20" s="789"/>
      <c r="X20" s="789"/>
      <c r="Y20" s="789"/>
      <c r="Z20" s="789"/>
      <c r="AA20" s="789"/>
      <c r="AB20" s="790"/>
      <c r="AC20" s="138"/>
      <c r="AD20" s="138"/>
      <c r="AE20" s="138"/>
      <c r="AF20" s="138"/>
      <c r="AG20" s="138"/>
      <c r="AI20" s="152" t="s">
        <v>128</v>
      </c>
      <c r="AL20" s="80">
        <v>2001</v>
      </c>
      <c r="AM20" s="148">
        <v>57.4</v>
      </c>
      <c r="AN20" s="148">
        <v>64.8</v>
      </c>
      <c r="AO20" s="148">
        <v>2.7</v>
      </c>
    </row>
    <row r="21" spans="1:59" ht="14.25" customHeight="1">
      <c r="A21" s="3"/>
      <c r="B21" s="3"/>
      <c r="C21" s="3"/>
      <c r="D21" s="3"/>
      <c r="E21" s="3"/>
      <c r="F21" s="3"/>
      <c r="G21" s="3"/>
      <c r="H21" s="3"/>
      <c r="I21" s="3"/>
      <c r="J21" s="3"/>
      <c r="K21" s="3"/>
      <c r="L21" s="3"/>
      <c r="M21" s="138"/>
      <c r="N21" s="138"/>
      <c r="O21" s="138"/>
      <c r="P21" s="138"/>
      <c r="Q21" s="138"/>
      <c r="R21" s="778"/>
      <c r="S21" s="778"/>
      <c r="T21" s="778"/>
      <c r="U21" s="778"/>
      <c r="V21" s="778"/>
      <c r="W21" s="778"/>
      <c r="X21" s="778"/>
      <c r="Y21" s="778"/>
      <c r="Z21" s="778"/>
      <c r="AA21" s="778"/>
      <c r="AB21" s="778"/>
      <c r="AC21" s="138"/>
      <c r="AD21" s="138"/>
      <c r="AE21" s="138"/>
      <c r="AF21" s="138"/>
      <c r="AG21" s="138"/>
      <c r="AH21" s="80">
        <v>1996</v>
      </c>
      <c r="AI21" s="152">
        <v>0.76481835564053269</v>
      </c>
      <c r="AL21" s="80">
        <v>2003</v>
      </c>
      <c r="AM21" s="148">
        <v>37.631039099999988</v>
      </c>
      <c r="AN21" s="148">
        <v>112</v>
      </c>
      <c r="AO21" s="148">
        <v>5.7840179000000003</v>
      </c>
    </row>
    <row r="22" spans="1:59" ht="13.9" customHeight="1">
      <c r="A22" s="8"/>
      <c r="B22" s="8"/>
      <c r="C22" s="8"/>
      <c r="D22" s="8"/>
      <c r="E22" s="8"/>
      <c r="F22" s="8"/>
      <c r="G22" s="8"/>
      <c r="H22" s="8"/>
      <c r="I22" s="8"/>
      <c r="J22" s="8"/>
      <c r="K22" s="8"/>
      <c r="L22" s="8"/>
      <c r="M22" s="143"/>
      <c r="N22" s="143"/>
      <c r="O22" s="143"/>
      <c r="P22" s="143"/>
      <c r="Q22" s="143"/>
      <c r="R22" s="783"/>
      <c r="S22" s="783"/>
      <c r="T22" s="783"/>
      <c r="U22" s="783"/>
      <c r="V22" s="783"/>
      <c r="W22" s="783"/>
      <c r="X22" s="783"/>
      <c r="Y22" s="783"/>
      <c r="Z22" s="783"/>
      <c r="AA22" s="783"/>
      <c r="AB22" s="783"/>
      <c r="AC22" s="143"/>
      <c r="AD22" s="143"/>
      <c r="AF22" s="143"/>
      <c r="AG22" s="143"/>
      <c r="AI22" s="152"/>
      <c r="AM22" s="148"/>
      <c r="AN22" s="148"/>
      <c r="AO22" s="148"/>
    </row>
    <row r="23" spans="1:59" s="47" customFormat="1" ht="17.25" customHeight="1">
      <c r="R23" s="791"/>
      <c r="S23" s="791"/>
      <c r="T23" s="791"/>
      <c r="U23" s="791"/>
      <c r="V23" s="791"/>
      <c r="W23" s="778"/>
      <c r="X23" s="778"/>
      <c r="Y23" s="778"/>
      <c r="Z23" s="778"/>
      <c r="AA23" s="783"/>
      <c r="AB23" s="783"/>
      <c r="AC23" s="143"/>
      <c r="AD23" s="143"/>
      <c r="AE23" s="138"/>
      <c r="AF23" s="138"/>
      <c r="AG23" s="138"/>
      <c r="AH23" s="47">
        <v>1997</v>
      </c>
      <c r="AI23" s="153">
        <v>1.8975332068311332</v>
      </c>
      <c r="AL23" s="47">
        <v>2004</v>
      </c>
      <c r="AM23" s="82">
        <v>29.85334042600001</v>
      </c>
      <c r="AN23" s="82">
        <v>122.2</v>
      </c>
      <c r="AO23" s="82">
        <v>6.6</v>
      </c>
    </row>
    <row r="24" spans="1:59" s="156" customFormat="1">
      <c r="A24" s="55"/>
      <c r="B24" s="154"/>
      <c r="C24" s="154"/>
      <c r="D24" s="154"/>
      <c r="E24" s="154"/>
      <c r="F24" s="154"/>
      <c r="G24" s="154"/>
      <c r="H24" s="154"/>
      <c r="I24" s="154"/>
      <c r="J24" s="154"/>
      <c r="K24" s="154"/>
      <c r="L24" s="154"/>
      <c r="M24" s="154"/>
      <c r="N24" s="154"/>
      <c r="O24" s="154"/>
      <c r="P24" s="154"/>
      <c r="Q24" s="154"/>
      <c r="R24" s="792"/>
      <c r="S24" s="792"/>
      <c r="T24" s="792"/>
      <c r="U24" s="792"/>
      <c r="V24" s="791"/>
      <c r="W24" s="791"/>
      <c r="X24" s="791"/>
      <c r="Y24" s="791"/>
      <c r="Z24" s="791"/>
      <c r="AA24" s="783"/>
      <c r="AB24" s="783"/>
      <c r="AC24" s="143"/>
      <c r="AD24" s="143"/>
      <c r="AE24" s="47"/>
      <c r="AF24" s="47"/>
      <c r="AG24" s="47"/>
      <c r="AH24" s="80">
        <v>1998</v>
      </c>
      <c r="AI24" s="155">
        <v>10.055865921787706</v>
      </c>
      <c r="AL24" s="80">
        <v>2005</v>
      </c>
      <c r="AM24" s="155">
        <v>50.079978778137999</v>
      </c>
      <c r="AN24" s="155">
        <v>129.6</v>
      </c>
      <c r="AO24" s="155">
        <v>6.3</v>
      </c>
    </row>
    <row r="25" spans="1:59">
      <c r="A25" s="107"/>
      <c r="B25" s="14"/>
      <c r="C25" s="157"/>
      <c r="D25" s="157"/>
      <c r="E25" s="157"/>
      <c r="F25" s="157"/>
      <c r="G25" s="157"/>
      <c r="H25" s="157"/>
      <c r="I25" s="157"/>
      <c r="J25" s="157"/>
      <c r="K25" s="157"/>
      <c r="L25" s="157"/>
      <c r="M25" s="14"/>
      <c r="N25" s="14"/>
      <c r="O25" s="14"/>
      <c r="P25" s="14"/>
      <c r="Q25" s="14"/>
      <c r="R25" s="793"/>
      <c r="S25" s="793"/>
      <c r="T25" s="793"/>
      <c r="U25" s="793"/>
      <c r="AA25" s="783"/>
      <c r="AB25" s="783"/>
      <c r="AC25" s="143"/>
      <c r="AD25" s="143"/>
      <c r="AH25" s="80">
        <v>1999</v>
      </c>
      <c r="AI25" s="152">
        <v>4.9915397631133596</v>
      </c>
      <c r="AL25" s="80">
        <v>2006</v>
      </c>
      <c r="AM25" s="148">
        <v>148.44467879000001</v>
      </c>
      <c r="AN25" s="148">
        <v>33.123882012674976</v>
      </c>
      <c r="AO25" s="148">
        <v>2.5896615199999995</v>
      </c>
    </row>
    <row r="26" spans="1:59">
      <c r="C26" s="69"/>
      <c r="D26" s="69"/>
      <c r="E26" s="69"/>
      <c r="F26" s="69"/>
      <c r="G26" s="69"/>
      <c r="H26" s="69"/>
      <c r="I26" s="69"/>
      <c r="J26" s="69"/>
      <c r="K26" s="69"/>
      <c r="L26" s="69"/>
      <c r="S26" s="794"/>
      <c r="T26" s="794"/>
      <c r="U26" s="794"/>
      <c r="AA26" s="783"/>
      <c r="AB26" s="783"/>
      <c r="AC26" s="143"/>
      <c r="AD26" s="143"/>
      <c r="AH26" s="80">
        <v>2000</v>
      </c>
      <c r="AI26" s="152">
        <v>-4.190169218372283</v>
      </c>
      <c r="AL26" s="80">
        <v>2007</v>
      </c>
      <c r="AM26" s="148">
        <v>97.577284269999993</v>
      </c>
      <c r="AN26" s="148">
        <v>43.427311462669422</v>
      </c>
      <c r="AO26" s="148">
        <v>2.5920999999999998</v>
      </c>
    </row>
    <row r="27" spans="1:59">
      <c r="C27" s="69"/>
      <c r="D27" s="69"/>
      <c r="E27" s="69"/>
      <c r="F27" s="69"/>
      <c r="G27" s="69"/>
      <c r="H27" s="69"/>
      <c r="I27" s="69"/>
      <c r="J27" s="69"/>
      <c r="K27" s="69"/>
      <c r="L27" s="69"/>
      <c r="AA27" s="783"/>
      <c r="AB27" s="783"/>
      <c r="AC27" s="143"/>
      <c r="AD27" s="143"/>
      <c r="AH27" s="80">
        <v>2001</v>
      </c>
      <c r="AI27" s="152">
        <v>6.9668753574432376</v>
      </c>
    </row>
    <row r="28" spans="1:59">
      <c r="C28" s="69"/>
      <c r="D28" s="69"/>
      <c r="E28" s="69"/>
      <c r="F28" s="69"/>
      <c r="G28" s="69"/>
      <c r="H28" s="69"/>
      <c r="I28" s="69"/>
      <c r="J28" s="69"/>
      <c r="K28" s="69"/>
      <c r="L28" s="69"/>
      <c r="AA28" s="783"/>
      <c r="AB28" s="783"/>
      <c r="AC28" s="143"/>
      <c r="AD28" s="143"/>
      <c r="AH28" s="80">
        <v>2002</v>
      </c>
      <c r="AI28" s="152">
        <v>28.466648284005192</v>
      </c>
    </row>
    <row r="29" spans="1:59">
      <c r="W29" s="795"/>
      <c r="AA29" s="783"/>
      <c r="AB29" s="783"/>
      <c r="AC29" s="143"/>
      <c r="AD29" s="143"/>
      <c r="AH29" s="80">
        <v>2003</v>
      </c>
      <c r="AI29" s="152">
        <v>-4.8800679224679691</v>
      </c>
    </row>
    <row r="30" spans="1:59">
      <c r="W30" s="795"/>
      <c r="AA30" s="783"/>
      <c r="AB30" s="783"/>
      <c r="AC30" s="143"/>
      <c r="AD30" s="143"/>
      <c r="AH30" s="80">
        <v>2004</v>
      </c>
      <c r="AI30" s="152">
        <v>2.0493149646968578</v>
      </c>
    </row>
    <row r="31" spans="1:59">
      <c r="W31" s="795"/>
      <c r="AA31" s="783"/>
      <c r="AB31" s="783"/>
      <c r="AC31" s="143"/>
      <c r="AD31" s="143"/>
      <c r="AH31" s="80">
        <v>2005</v>
      </c>
      <c r="AI31" s="152">
        <v>17.27586156184049</v>
      </c>
      <c r="AM31" s="80">
        <v>1990</v>
      </c>
      <c r="AN31" s="80">
        <v>1995</v>
      </c>
      <c r="AO31" s="80">
        <v>1996</v>
      </c>
      <c r="AP31" s="80">
        <v>1997</v>
      </c>
      <c r="AQ31" s="80">
        <v>1998</v>
      </c>
      <c r="AR31" s="80">
        <v>1999</v>
      </c>
      <c r="AS31" s="80">
        <v>2000</v>
      </c>
      <c r="AT31" s="80">
        <v>2001</v>
      </c>
      <c r="AU31" s="80">
        <v>2002</v>
      </c>
      <c r="AV31" s="80">
        <v>2003</v>
      </c>
      <c r="AW31" s="80">
        <v>2004</v>
      </c>
      <c r="AX31" s="80">
        <v>2005</v>
      </c>
      <c r="AY31" s="80">
        <v>2006</v>
      </c>
      <c r="AZ31" s="80">
        <v>2007</v>
      </c>
      <c r="BA31" s="80">
        <v>2008</v>
      </c>
      <c r="BB31" s="80">
        <v>2009</v>
      </c>
      <c r="BC31" s="80">
        <v>2010</v>
      </c>
      <c r="BD31" s="80">
        <v>2011</v>
      </c>
      <c r="BE31" s="80">
        <v>2012</v>
      </c>
      <c r="BF31" s="80">
        <v>2013</v>
      </c>
      <c r="BG31" s="80">
        <v>2014</v>
      </c>
    </row>
    <row r="32" spans="1:59">
      <c r="W32" s="796"/>
      <c r="AA32" s="783"/>
      <c r="AB32" s="783"/>
      <c r="AC32" s="143"/>
      <c r="AD32" s="143"/>
      <c r="AH32" s="80">
        <v>2006</v>
      </c>
      <c r="AI32" s="152">
        <v>-1</v>
      </c>
      <c r="AL32" s="80" t="s">
        <v>114</v>
      </c>
      <c r="AM32" s="148">
        <v>7.3</v>
      </c>
      <c r="AN32" s="148">
        <v>0.57692307692305766</v>
      </c>
      <c r="AO32" s="148">
        <v>0.76481835564053269</v>
      </c>
      <c r="AP32" s="148">
        <v>1.8975332068311332</v>
      </c>
      <c r="AQ32" s="148">
        <v>10.055865921787706</v>
      </c>
      <c r="AR32" s="148">
        <v>4.9915397631133596</v>
      </c>
      <c r="AS32" s="148">
        <v>-4.190169218372283</v>
      </c>
      <c r="AT32" s="148">
        <v>6.9668753574432376</v>
      </c>
      <c r="AU32" s="148">
        <v>28.466648284005192</v>
      </c>
      <c r="AV32" s="148">
        <v>-4.8800679224679691</v>
      </c>
      <c r="AW32" s="148">
        <v>2.0493149646968578</v>
      </c>
      <c r="AX32" s="148">
        <v>17.27586156184049</v>
      </c>
      <c r="AY32" s="148">
        <v>-1</v>
      </c>
      <c r="AZ32" s="148">
        <v>-21.715526601520089</v>
      </c>
      <c r="BA32" s="148">
        <v>-8.0443828016643515</v>
      </c>
      <c r="BB32" s="148">
        <v>-11.9</v>
      </c>
      <c r="BC32" s="148">
        <v>4.7129391602399311</v>
      </c>
      <c r="BD32" s="148">
        <v>-1.145662847790512</v>
      </c>
      <c r="BE32" s="148">
        <v>-0.66225165562913668</v>
      </c>
      <c r="BF32" s="148">
        <v>8.1666666666666767</v>
      </c>
      <c r="BG32" s="148">
        <v>-0.9</v>
      </c>
    </row>
    <row r="33" spans="22:35">
      <c r="W33" s="796"/>
      <c r="AH33" s="80">
        <v>2007</v>
      </c>
      <c r="AI33" s="152">
        <v>-22.7</v>
      </c>
    </row>
    <row r="34" spans="22:35">
      <c r="W34" s="795"/>
      <c r="AH34" s="80">
        <v>2008</v>
      </c>
      <c r="AI34" s="152">
        <v>-7.7</v>
      </c>
    </row>
    <row r="35" spans="22:35">
      <c r="V35" s="790"/>
      <c r="W35" s="790"/>
      <c r="X35" s="790"/>
      <c r="Y35" s="790"/>
    </row>
    <row r="54" spans="1:33">
      <c r="A54" s="159"/>
      <c r="B54" s="160"/>
      <c r="C54" s="160"/>
      <c r="D54" s="160"/>
      <c r="E54" s="160"/>
      <c r="F54" s="160"/>
      <c r="G54" s="160"/>
      <c r="H54" s="161"/>
      <c r="I54" s="161"/>
      <c r="J54" s="161"/>
      <c r="K54" s="161"/>
      <c r="L54" s="161"/>
      <c r="M54" s="161"/>
      <c r="N54" s="161"/>
      <c r="O54" s="161"/>
      <c r="P54" s="161"/>
      <c r="Q54" s="161"/>
      <c r="R54" s="797"/>
      <c r="S54" s="797"/>
      <c r="T54" s="797"/>
      <c r="U54" s="797"/>
      <c r="V54" s="797"/>
      <c r="W54" s="797"/>
      <c r="X54" s="797"/>
      <c r="Y54" s="797"/>
      <c r="Z54" s="797"/>
      <c r="AA54" s="797"/>
      <c r="AB54" s="797"/>
      <c r="AC54" s="161"/>
      <c r="AD54" s="161"/>
      <c r="AE54" s="161"/>
      <c r="AF54" s="161"/>
      <c r="AG54" s="161"/>
    </row>
    <row r="55" spans="1:33">
      <c r="A55" s="162"/>
      <c r="B55" s="163"/>
      <c r="C55" s="163"/>
      <c r="D55" s="163"/>
      <c r="E55" s="163"/>
      <c r="F55" s="163"/>
      <c r="G55" s="163"/>
      <c r="H55" s="164"/>
      <c r="I55" s="164"/>
      <c r="J55" s="164"/>
      <c r="K55" s="164"/>
      <c r="L55" s="164"/>
      <c r="M55" s="164"/>
      <c r="N55" s="164"/>
      <c r="O55" s="164"/>
      <c r="P55" s="164"/>
      <c r="Q55" s="165"/>
      <c r="R55" s="798"/>
      <c r="S55" s="798"/>
      <c r="T55" s="798"/>
      <c r="U55" s="798"/>
      <c r="V55" s="798"/>
      <c r="W55" s="798"/>
      <c r="X55" s="798"/>
      <c r="Y55" s="798"/>
      <c r="Z55" s="798"/>
      <c r="AA55" s="798"/>
      <c r="AB55" s="798"/>
      <c r="AC55" s="165"/>
      <c r="AD55" s="165"/>
      <c r="AE55" s="165"/>
      <c r="AF55" s="165"/>
      <c r="AG55" s="165"/>
    </row>
  </sheetData>
  <mergeCells count="1">
    <mergeCell ref="A1:AB1"/>
  </mergeCells>
  <pageMargins left="0.70866141732283472" right="0.70866141732283472" top="0.74803149606299213" bottom="0.74803149606299213" header="0.31496062992125984" footer="0.31496062992125984"/>
  <pageSetup paperSize="9" scale="70" orientation="landscape"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P1490"/>
  <sheetViews>
    <sheetView view="pageBreakPreview" zoomScale="60" zoomScaleNormal="95" workbookViewId="0">
      <selection activeCell="AO33" sqref="AO33"/>
    </sheetView>
  </sheetViews>
  <sheetFormatPr defaultColWidth="9.140625" defaultRowHeight="15.75"/>
  <cols>
    <col min="1" max="1" width="14" style="79" customWidth="1"/>
    <col min="2" max="3" width="8.85546875" style="79" customWidth="1"/>
    <col min="4" max="4" width="16.42578125" style="79" customWidth="1"/>
    <col min="5" max="5" width="4.5703125" style="79" customWidth="1"/>
    <col min="6" max="6" width="3.5703125" style="79" hidden="1" customWidth="1"/>
    <col min="7" max="7" width="5.42578125" style="79" hidden="1" customWidth="1"/>
    <col min="8" max="8" width="5.28515625" style="79" hidden="1" customWidth="1"/>
    <col min="9" max="9" width="7.7109375" style="79" hidden="1" customWidth="1"/>
    <col min="10" max="10" width="7.28515625" style="79" hidden="1" customWidth="1"/>
    <col min="11" max="11" width="8.28515625" style="79" hidden="1" customWidth="1"/>
    <col min="12" max="13" width="8.7109375" style="79" hidden="1" customWidth="1"/>
    <col min="14" max="14" width="2.5703125" style="79" hidden="1" customWidth="1"/>
    <col min="15" max="15" width="8.28515625" style="79" hidden="1" customWidth="1"/>
    <col min="16" max="17" width="10.28515625" style="79" hidden="1" customWidth="1"/>
    <col min="18" max="18" width="6.5703125" style="79" hidden="1" customWidth="1"/>
    <col min="19" max="19" width="8.140625" style="79" hidden="1" customWidth="1"/>
    <col min="20" max="20" width="8.42578125" style="79" hidden="1" customWidth="1"/>
    <col min="21" max="23" width="10.5703125" style="79" hidden="1" customWidth="1"/>
    <col min="24" max="24" width="10.5703125" style="42" hidden="1" customWidth="1"/>
    <col min="25" max="30" width="11.7109375" style="663" customWidth="1"/>
    <col min="31" max="35" width="11.7109375" style="662" customWidth="1"/>
    <col min="36" max="45" width="13.140625" style="80" customWidth="1"/>
    <col min="46" max="68" width="9.140625" style="80"/>
    <col min="69" max="16384" width="9.140625" style="42"/>
  </cols>
  <sheetData>
    <row r="1" spans="1:68" s="71" customFormat="1" ht="30" customHeight="1">
      <c r="A1" s="1023" t="s">
        <v>129</v>
      </c>
      <c r="B1" s="1023"/>
      <c r="C1" s="1023"/>
      <c r="D1" s="1023"/>
      <c r="E1" s="1023"/>
      <c r="F1" s="1023"/>
      <c r="G1" s="1023"/>
      <c r="H1" s="1023"/>
      <c r="I1" s="1023"/>
      <c r="J1" s="1023"/>
      <c r="K1" s="1023"/>
      <c r="L1" s="1023"/>
      <c r="M1" s="1023"/>
      <c r="N1" s="1023"/>
      <c r="O1" s="1023"/>
      <c r="P1" s="1023"/>
      <c r="Q1" s="1023"/>
      <c r="R1" s="1023"/>
      <c r="S1" s="1023"/>
      <c r="T1" s="1023"/>
      <c r="U1" s="1023"/>
      <c r="V1" s="1023"/>
      <c r="W1" s="1023"/>
      <c r="X1" s="1023"/>
      <c r="Y1" s="1023"/>
      <c r="Z1" s="1023"/>
      <c r="AA1" s="1023"/>
      <c r="AB1" s="1023"/>
      <c r="AC1" s="1023"/>
      <c r="AD1" s="1023"/>
      <c r="AE1" s="1023"/>
      <c r="AF1" s="1023"/>
      <c r="AG1" s="1023"/>
      <c r="AH1" s="1023"/>
      <c r="AI1" s="1023"/>
      <c r="AJ1" s="70"/>
      <c r="AK1" s="70"/>
      <c r="AL1" s="70"/>
      <c r="AM1" s="70"/>
      <c r="AN1" s="70"/>
      <c r="AO1" s="70"/>
      <c r="AP1" s="70"/>
      <c r="AQ1" s="70"/>
      <c r="AR1" s="70"/>
      <c r="AS1" s="70"/>
      <c r="AT1" s="70"/>
      <c r="AU1" s="70"/>
      <c r="AV1" s="70"/>
      <c r="AW1" s="70"/>
      <c r="AX1" s="70"/>
      <c r="AY1" s="70"/>
      <c r="AZ1" s="70"/>
      <c r="BA1" s="70"/>
      <c r="BB1" s="70"/>
      <c r="BC1" s="70"/>
      <c r="BD1" s="70"/>
      <c r="BE1" s="70"/>
      <c r="BF1" s="70"/>
      <c r="BG1" s="70"/>
      <c r="BH1" s="70"/>
      <c r="BI1" s="70"/>
      <c r="BJ1" s="70"/>
      <c r="BK1" s="70"/>
      <c r="BL1" s="70"/>
      <c r="BM1" s="70"/>
      <c r="BN1" s="70"/>
      <c r="BO1" s="70"/>
      <c r="BP1" s="70"/>
    </row>
    <row r="2" spans="1:68" s="71" customFormat="1" ht="15" customHeight="1">
      <c r="A2" s="166"/>
      <c r="B2" s="50"/>
      <c r="C2" s="50"/>
      <c r="D2" s="50"/>
      <c r="E2" s="50"/>
      <c r="F2" s="50"/>
      <c r="G2" s="50"/>
      <c r="H2" s="50"/>
      <c r="I2" s="50"/>
      <c r="J2" s="50"/>
      <c r="K2" s="50"/>
      <c r="L2" s="50"/>
      <c r="M2" s="50"/>
      <c r="N2" s="50"/>
      <c r="O2" s="50"/>
      <c r="P2" s="50"/>
      <c r="Q2" s="50"/>
      <c r="R2" s="50"/>
      <c r="S2" s="50"/>
      <c r="T2" s="50"/>
      <c r="U2" s="50"/>
      <c r="V2" s="50"/>
      <c r="W2" s="50"/>
      <c r="X2" s="50"/>
      <c r="Y2" s="800"/>
      <c r="Z2" s="800"/>
      <c r="AA2" s="800"/>
      <c r="AB2" s="800"/>
      <c r="AC2" s="800"/>
      <c r="AD2" s="800"/>
      <c r="AE2" s="800"/>
      <c r="AF2" s="800"/>
      <c r="AG2" s="800"/>
      <c r="AH2" s="800"/>
      <c r="AI2" s="801"/>
      <c r="AJ2" s="70"/>
      <c r="AK2" s="70"/>
      <c r="AL2" s="70"/>
      <c r="AM2" s="70"/>
      <c r="AN2" s="70"/>
      <c r="AO2" s="70"/>
      <c r="AP2" s="70"/>
      <c r="AQ2" s="70"/>
      <c r="AR2" s="70"/>
      <c r="AS2" s="70"/>
      <c r="AT2" s="70"/>
      <c r="AU2" s="70"/>
      <c r="AV2" s="70"/>
      <c r="AW2" s="70"/>
      <c r="AX2" s="70"/>
      <c r="AY2" s="70"/>
      <c r="AZ2" s="70"/>
      <c r="BA2" s="70"/>
      <c r="BB2" s="70"/>
      <c r="BC2" s="70"/>
      <c r="BD2" s="70"/>
      <c r="BE2" s="70"/>
      <c r="BF2" s="70"/>
      <c r="BG2" s="70"/>
      <c r="BH2" s="70"/>
      <c r="BI2" s="70"/>
      <c r="BJ2" s="70"/>
      <c r="BK2" s="70"/>
      <c r="BL2" s="70"/>
      <c r="BM2" s="70"/>
      <c r="BN2" s="70"/>
      <c r="BO2" s="70"/>
      <c r="BP2" s="70"/>
    </row>
    <row r="3" spans="1:68" s="168" customFormat="1" ht="15.75" customHeight="1">
      <c r="A3" s="513"/>
      <c r="B3" s="514"/>
      <c r="C3" s="515"/>
      <c r="D3" s="516"/>
      <c r="E3" s="516"/>
      <c r="F3" s="516">
        <v>1991</v>
      </c>
      <c r="G3" s="516">
        <v>1992</v>
      </c>
      <c r="H3" s="515">
        <v>1993</v>
      </c>
      <c r="I3" s="515">
        <v>1994</v>
      </c>
      <c r="J3" s="517">
        <v>1990</v>
      </c>
      <c r="K3" s="517">
        <v>1996</v>
      </c>
      <c r="L3" s="517">
        <v>1997</v>
      </c>
      <c r="M3" s="518">
        <v>1998</v>
      </c>
      <c r="N3" s="518">
        <v>1999</v>
      </c>
      <c r="O3" s="519">
        <v>2000</v>
      </c>
      <c r="P3" s="519">
        <v>2001</v>
      </c>
      <c r="Q3" s="519">
        <v>2002</v>
      </c>
      <c r="R3" s="519">
        <v>2003</v>
      </c>
      <c r="S3" s="519">
        <v>2004</v>
      </c>
      <c r="T3" s="519">
        <v>2005</v>
      </c>
      <c r="U3" s="519">
        <v>2006</v>
      </c>
      <c r="V3" s="519">
        <v>2007</v>
      </c>
      <c r="W3" s="519">
        <v>2008</v>
      </c>
      <c r="X3" s="519">
        <v>2009</v>
      </c>
      <c r="Y3" s="665">
        <v>2010</v>
      </c>
      <c r="Z3" s="665">
        <v>2011</v>
      </c>
      <c r="AA3" s="665">
        <v>2012</v>
      </c>
      <c r="AB3" s="665">
        <v>2013</v>
      </c>
      <c r="AC3" s="665">
        <v>2014</v>
      </c>
      <c r="AD3" s="665">
        <v>2015</v>
      </c>
      <c r="AE3" s="665">
        <v>2016</v>
      </c>
      <c r="AF3" s="665">
        <v>2017</v>
      </c>
      <c r="AG3" s="665">
        <v>2018</v>
      </c>
      <c r="AH3" s="665">
        <v>2019</v>
      </c>
      <c r="AI3" s="665">
        <v>2020</v>
      </c>
      <c r="AJ3" s="57"/>
      <c r="AK3" s="167"/>
      <c r="AL3" s="167"/>
      <c r="AM3" s="167"/>
      <c r="AN3" s="167"/>
      <c r="AO3" s="167"/>
      <c r="AP3" s="167"/>
      <c r="AQ3" s="167"/>
      <c r="AR3" s="167"/>
      <c r="AS3" s="167"/>
      <c r="AT3" s="80"/>
      <c r="AU3" s="80"/>
      <c r="AV3" s="80"/>
      <c r="AW3" s="80"/>
      <c r="AX3" s="80"/>
      <c r="AY3" s="80"/>
      <c r="AZ3" s="80"/>
      <c r="BA3" s="80"/>
      <c r="BB3" s="80"/>
      <c r="BC3" s="80"/>
      <c r="BD3" s="80"/>
      <c r="BE3" s="80"/>
      <c r="BF3" s="80"/>
      <c r="BG3" s="80"/>
      <c r="BH3" s="80"/>
      <c r="BI3" s="80"/>
      <c r="BJ3" s="80"/>
      <c r="BK3" s="80"/>
      <c r="BL3" s="80"/>
      <c r="BM3" s="80"/>
      <c r="BN3" s="80"/>
      <c r="BO3" s="80"/>
      <c r="BP3" s="80"/>
    </row>
    <row r="4" spans="1:68" s="71" customFormat="1" ht="15.75" customHeight="1">
      <c r="A4" s="587" t="s">
        <v>130</v>
      </c>
      <c r="B4" s="46"/>
      <c r="C4" s="46"/>
      <c r="D4" s="46"/>
      <c r="E4" s="46"/>
      <c r="F4" s="46">
        <v>67</v>
      </c>
      <c r="G4" s="46">
        <v>69</v>
      </c>
      <c r="H4" s="46">
        <v>69</v>
      </c>
      <c r="I4" s="46">
        <v>69</v>
      </c>
      <c r="J4" s="46">
        <v>64</v>
      </c>
      <c r="K4" s="46">
        <v>73</v>
      </c>
      <c r="L4" s="46">
        <v>73</v>
      </c>
      <c r="M4" s="46">
        <v>79</v>
      </c>
      <c r="N4" s="46">
        <v>84</v>
      </c>
      <c r="O4" s="169">
        <v>86</v>
      </c>
      <c r="P4" s="169">
        <v>87</v>
      </c>
      <c r="Q4" s="170">
        <v>87</v>
      </c>
      <c r="R4" s="169">
        <v>87</v>
      </c>
      <c r="S4" s="171">
        <v>87</v>
      </c>
      <c r="T4" s="171">
        <v>87</v>
      </c>
      <c r="U4" s="172">
        <v>88</v>
      </c>
      <c r="V4" s="172">
        <v>91</v>
      </c>
      <c r="W4" s="172">
        <v>94</v>
      </c>
      <c r="X4" s="172">
        <v>97</v>
      </c>
      <c r="Y4" s="232">
        <v>97</v>
      </c>
      <c r="Z4" s="232">
        <v>101</v>
      </c>
      <c r="AA4" s="232">
        <v>105</v>
      </c>
      <c r="AB4" s="232">
        <v>110</v>
      </c>
      <c r="AC4" s="232">
        <v>111</v>
      </c>
      <c r="AD4" s="232">
        <v>115</v>
      </c>
      <c r="AE4" s="232">
        <v>126</v>
      </c>
      <c r="AF4" s="232">
        <v>135</v>
      </c>
      <c r="AG4" s="232">
        <v>145</v>
      </c>
      <c r="AH4" s="232">
        <v>164</v>
      </c>
      <c r="AI4" s="232">
        <v>159</v>
      </c>
      <c r="AJ4" s="173"/>
      <c r="AK4" s="173"/>
      <c r="AL4" s="173"/>
      <c r="AM4" s="173"/>
      <c r="AN4" s="173"/>
      <c r="AO4" s="173"/>
      <c r="AP4" s="173"/>
      <c r="AQ4" s="41"/>
      <c r="AR4" s="41"/>
      <c r="AS4" s="41"/>
      <c r="AT4" s="70"/>
      <c r="AU4" s="70"/>
      <c r="AV4" s="70"/>
      <c r="AW4" s="70"/>
      <c r="AX4" s="70"/>
      <c r="AY4" s="70"/>
      <c r="AZ4" s="70"/>
      <c r="BA4" s="70"/>
      <c r="BB4" s="70"/>
      <c r="BC4" s="70"/>
      <c r="BD4" s="70"/>
      <c r="BE4" s="70"/>
      <c r="BF4" s="70"/>
      <c r="BG4" s="70"/>
      <c r="BH4" s="70"/>
      <c r="BI4" s="70"/>
      <c r="BJ4" s="70"/>
      <c r="BK4" s="70"/>
      <c r="BL4" s="70"/>
      <c r="BM4" s="70"/>
      <c r="BN4" s="70"/>
      <c r="BO4" s="70"/>
      <c r="BP4" s="70"/>
    </row>
    <row r="5" spans="1:68" s="180" customFormat="1" ht="17.25" hidden="1" customHeight="1">
      <c r="A5" s="588" t="s">
        <v>131</v>
      </c>
      <c r="B5" s="175"/>
      <c r="C5" s="175"/>
      <c r="D5" s="175"/>
      <c r="E5" s="175"/>
      <c r="F5" s="175">
        <v>196112</v>
      </c>
      <c r="G5" s="175">
        <v>235852</v>
      </c>
      <c r="H5" s="175">
        <v>241020</v>
      </c>
      <c r="I5" s="175">
        <v>279982</v>
      </c>
      <c r="J5" s="176">
        <v>195156</v>
      </c>
      <c r="K5" s="176">
        <v>338733</v>
      </c>
      <c r="L5" s="176">
        <v>365563</v>
      </c>
      <c r="M5" s="176">
        <v>395725</v>
      </c>
      <c r="N5" s="176">
        <v>429666</v>
      </c>
      <c r="O5" s="177">
        <v>467154</v>
      </c>
      <c r="P5" s="177">
        <v>460984</v>
      </c>
      <c r="Q5" s="177">
        <v>484680</v>
      </c>
      <c r="R5" s="177">
        <v>563593</v>
      </c>
      <c r="S5" s="177">
        <v>616716</v>
      </c>
      <c r="T5" s="177">
        <v>395320</v>
      </c>
      <c r="U5" s="178">
        <v>601923</v>
      </c>
      <c r="V5" s="178">
        <v>675889</v>
      </c>
      <c r="W5" s="178">
        <v>683012</v>
      </c>
      <c r="X5" s="178">
        <v>655852</v>
      </c>
      <c r="Y5" s="802">
        <v>791917</v>
      </c>
      <c r="Z5" s="802">
        <v>931333</v>
      </c>
      <c r="AA5" s="802">
        <v>958025</v>
      </c>
      <c r="AB5" s="802">
        <v>1125202</v>
      </c>
      <c r="AC5" s="802">
        <v>1204857</v>
      </c>
      <c r="AD5" s="802">
        <v>1234248</v>
      </c>
      <c r="AE5" s="802">
        <v>1286135</v>
      </c>
      <c r="AF5" s="803"/>
      <c r="AG5" s="803"/>
      <c r="AH5" s="803"/>
      <c r="AI5" s="803"/>
      <c r="AJ5" s="173"/>
      <c r="AK5" s="181"/>
      <c r="AL5" s="181"/>
      <c r="AM5" s="181"/>
      <c r="AN5" s="181"/>
      <c r="AO5" s="181"/>
      <c r="AP5" s="181"/>
      <c r="AQ5" s="179"/>
      <c r="AR5" s="179"/>
      <c r="AS5" s="179"/>
      <c r="AT5" s="182"/>
      <c r="AU5" s="182"/>
      <c r="AV5" s="182"/>
      <c r="AW5" s="182"/>
      <c r="AX5" s="182"/>
      <c r="AY5" s="182"/>
      <c r="AZ5" s="182"/>
      <c r="BA5" s="182"/>
      <c r="BB5" s="182"/>
      <c r="BC5" s="182"/>
      <c r="BD5" s="182"/>
      <c r="BE5" s="182"/>
      <c r="BF5" s="182"/>
      <c r="BG5" s="182"/>
      <c r="BH5" s="182"/>
      <c r="BI5" s="182"/>
      <c r="BJ5" s="182"/>
      <c r="BK5" s="182"/>
      <c r="BL5" s="182"/>
      <c r="BM5" s="182"/>
      <c r="BN5" s="182"/>
      <c r="BO5" s="182"/>
      <c r="BP5" s="182"/>
    </row>
    <row r="6" spans="1:68" s="168" customFormat="1" ht="17.25" customHeight="1">
      <c r="A6" s="589" t="s">
        <v>132</v>
      </c>
      <c r="B6" s="520"/>
      <c r="C6" s="520"/>
      <c r="D6" s="520"/>
      <c r="E6" s="520"/>
      <c r="F6" s="520">
        <v>196112</v>
      </c>
      <c r="G6" s="520">
        <v>235852</v>
      </c>
      <c r="H6" s="520">
        <v>241020</v>
      </c>
      <c r="I6" s="520">
        <v>279982</v>
      </c>
      <c r="J6" s="521">
        <v>195156</v>
      </c>
      <c r="K6" s="521">
        <v>338733</v>
      </c>
      <c r="L6" s="521">
        <v>365563</v>
      </c>
      <c r="M6" s="521">
        <v>395725</v>
      </c>
      <c r="N6" s="521">
        <v>429666</v>
      </c>
      <c r="O6" s="522">
        <v>467154</v>
      </c>
      <c r="P6" s="522">
        <v>460984</v>
      </c>
      <c r="Q6" s="522">
        <v>484680</v>
      </c>
      <c r="R6" s="522">
        <v>563593</v>
      </c>
      <c r="S6" s="522">
        <v>616716</v>
      </c>
      <c r="T6" s="522">
        <v>395320</v>
      </c>
      <c r="U6" s="491">
        <f t="shared" ref="U6:AE6" si="0">U5/1000</f>
        <v>601.923</v>
      </c>
      <c r="V6" s="491">
        <f t="shared" si="0"/>
        <v>675.88900000000001</v>
      </c>
      <c r="W6" s="491">
        <f t="shared" si="0"/>
        <v>683.01199999999994</v>
      </c>
      <c r="X6" s="491">
        <f t="shared" si="0"/>
        <v>655.85199999999998</v>
      </c>
      <c r="Y6" s="572">
        <f t="shared" si="0"/>
        <v>791.91700000000003</v>
      </c>
      <c r="Z6" s="572">
        <f t="shared" si="0"/>
        <v>931.33299999999997</v>
      </c>
      <c r="AA6" s="572">
        <f t="shared" si="0"/>
        <v>958.02499999999998</v>
      </c>
      <c r="AB6" s="572">
        <f t="shared" si="0"/>
        <v>1125.202</v>
      </c>
      <c r="AC6" s="572">
        <f t="shared" si="0"/>
        <v>1204.857</v>
      </c>
      <c r="AD6" s="572">
        <f t="shared" si="0"/>
        <v>1234.248</v>
      </c>
      <c r="AE6" s="572">
        <f t="shared" si="0"/>
        <v>1286.135</v>
      </c>
      <c r="AF6" s="572">
        <v>1389.5419999999999</v>
      </c>
      <c r="AG6" s="572">
        <v>1484.2739999999999</v>
      </c>
      <c r="AH6" s="572">
        <v>1702.8869999999999</v>
      </c>
      <c r="AI6" s="572">
        <v>555.49400000000003</v>
      </c>
      <c r="AJ6" s="173"/>
      <c r="AK6" s="36"/>
      <c r="AL6" s="36"/>
      <c r="AM6" s="36"/>
      <c r="AN6" s="36"/>
      <c r="AO6" s="36"/>
      <c r="AP6" s="36"/>
      <c r="AQ6" s="183"/>
      <c r="AR6" s="183"/>
      <c r="AS6" s="183"/>
      <c r="AT6" s="80"/>
      <c r="AU6" s="80"/>
      <c r="AV6" s="80"/>
      <c r="AW6" s="80"/>
      <c r="AX6" s="80"/>
      <c r="AY6" s="80"/>
      <c r="AZ6" s="80"/>
      <c r="BA6" s="80"/>
      <c r="BB6" s="80"/>
      <c r="BC6" s="80"/>
      <c r="BD6" s="80"/>
      <c r="BE6" s="80"/>
      <c r="BF6" s="80"/>
      <c r="BG6" s="80"/>
      <c r="BH6" s="80"/>
      <c r="BI6" s="80"/>
      <c r="BJ6" s="80"/>
      <c r="BK6" s="80"/>
      <c r="BL6" s="80"/>
      <c r="BM6" s="80"/>
      <c r="BN6" s="80"/>
      <c r="BO6" s="80"/>
      <c r="BP6" s="80"/>
    </row>
    <row r="7" spans="1:68" s="71" customFormat="1" ht="15.75" customHeight="1">
      <c r="A7" s="587" t="s">
        <v>133</v>
      </c>
      <c r="B7" s="46"/>
      <c r="C7" s="46"/>
      <c r="D7" s="46"/>
      <c r="E7" s="46"/>
      <c r="F7" s="184">
        <v>0.5</v>
      </c>
      <c r="G7" s="184">
        <v>20.3</v>
      </c>
      <c r="H7" s="184">
        <v>2.2000000000000002</v>
      </c>
      <c r="I7" s="46">
        <v>16.2</v>
      </c>
      <c r="J7" s="184">
        <v>23.14</v>
      </c>
      <c r="K7" s="46">
        <v>7.6</v>
      </c>
      <c r="L7" s="184">
        <f>SUM(L6-K6)/K6*100</f>
        <v>7.9206926989693951</v>
      </c>
      <c r="M7" s="184">
        <f>SUM(M6-L6)/L6*100</f>
        <v>8.2508350133903043</v>
      </c>
      <c r="N7" s="184">
        <f>SUM(N6-M6)/M6*100</f>
        <v>8.5769157874786792</v>
      </c>
      <c r="O7" s="185">
        <f t="shared" ref="O7:T7" si="1">SUM(O6-N6)/N6*100</f>
        <v>8.7249165630978478</v>
      </c>
      <c r="P7" s="185">
        <f t="shared" si="1"/>
        <v>-1.3207636025807334</v>
      </c>
      <c r="Q7" s="185">
        <f t="shared" si="1"/>
        <v>5.1403085573468923</v>
      </c>
      <c r="R7" s="185">
        <f t="shared" si="1"/>
        <v>16.28146405876042</v>
      </c>
      <c r="S7" s="185">
        <f t="shared" si="1"/>
        <v>9.425773563546743</v>
      </c>
      <c r="T7" s="185">
        <f t="shared" si="1"/>
        <v>-35.899182119484493</v>
      </c>
      <c r="U7" s="186">
        <v>52.262217950015177</v>
      </c>
      <c r="V7" s="186">
        <v>12.288282720547313</v>
      </c>
      <c r="W7" s="186">
        <v>1.0538712717620793</v>
      </c>
      <c r="X7" s="186">
        <v>-4</v>
      </c>
      <c r="Y7" s="804">
        <v>20.746296420533902</v>
      </c>
      <c r="Z7" s="804">
        <v>17.600000000000001</v>
      </c>
      <c r="AA7" s="804">
        <v>2.9</v>
      </c>
      <c r="AB7" s="804">
        <v>17.450170924558336</v>
      </c>
      <c r="AC7" s="804">
        <v>7.1</v>
      </c>
      <c r="AD7" s="804">
        <v>2.4393766231179304</v>
      </c>
      <c r="AE7" s="804">
        <v>4.2039363239802698</v>
      </c>
      <c r="AF7" s="804">
        <v>8.0401357555777579</v>
      </c>
      <c r="AG7" s="804">
        <v>6.8174981396748002</v>
      </c>
      <c r="AH7" s="804">
        <v>14.728614797537382</v>
      </c>
      <c r="AI7" s="804">
        <v>-67.379280010946118</v>
      </c>
      <c r="AJ7" s="173"/>
      <c r="AK7" s="70"/>
      <c r="AL7" s="70"/>
      <c r="AM7" s="36"/>
      <c r="AN7" s="36"/>
      <c r="AO7" s="36"/>
      <c r="AP7" s="36"/>
      <c r="AQ7" s="187"/>
      <c r="AR7" s="187"/>
      <c r="AS7" s="187"/>
      <c r="AT7" s="70"/>
      <c r="AU7" s="70"/>
      <c r="AV7" s="70"/>
      <c r="AW7" s="70"/>
      <c r="AX7" s="70"/>
      <c r="AY7" s="70"/>
      <c r="AZ7" s="70"/>
      <c r="BA7" s="70"/>
      <c r="BB7" s="70"/>
      <c r="BC7" s="70"/>
      <c r="BD7" s="70"/>
      <c r="BE7" s="70"/>
      <c r="BF7" s="70"/>
      <c r="BG7" s="70"/>
      <c r="BH7" s="70"/>
      <c r="BI7" s="70"/>
      <c r="BJ7" s="70"/>
      <c r="BK7" s="70"/>
      <c r="BL7" s="70"/>
      <c r="BM7" s="70"/>
      <c r="BN7" s="70"/>
      <c r="BO7" s="70"/>
      <c r="BP7" s="70"/>
    </row>
    <row r="8" spans="1:68" s="189" customFormat="1" ht="15.75" customHeight="1">
      <c r="A8" s="589" t="s">
        <v>134</v>
      </c>
      <c r="B8" s="523"/>
      <c r="C8" s="523"/>
      <c r="D8" s="523"/>
      <c r="E8" s="523"/>
      <c r="F8" s="524">
        <v>9046</v>
      </c>
      <c r="G8" s="524">
        <v>9662</v>
      </c>
      <c r="H8" s="524">
        <v>10351</v>
      </c>
      <c r="I8" s="525">
        <v>11638</v>
      </c>
      <c r="J8" s="526" t="s">
        <v>58</v>
      </c>
      <c r="K8" s="526">
        <v>11423</v>
      </c>
      <c r="L8" s="526">
        <v>11557</v>
      </c>
      <c r="M8" s="526">
        <v>12455</v>
      </c>
      <c r="N8" s="526">
        <v>15118</v>
      </c>
      <c r="O8" s="522">
        <v>16478</v>
      </c>
      <c r="P8" s="522">
        <v>15812</v>
      </c>
      <c r="Q8" s="527">
        <v>16131</v>
      </c>
      <c r="R8" s="522">
        <v>16692</v>
      </c>
      <c r="S8" s="522">
        <v>16621</v>
      </c>
      <c r="T8" s="528">
        <v>13946</v>
      </c>
      <c r="U8" s="491">
        <v>16244</v>
      </c>
      <c r="V8" s="491">
        <v>17533</v>
      </c>
      <c r="W8" s="491">
        <v>19081</v>
      </c>
      <c r="X8" s="491">
        <v>20136.75</v>
      </c>
      <c r="Y8" s="572">
        <v>21701</v>
      </c>
      <c r="Z8" s="572">
        <v>24493</v>
      </c>
      <c r="AA8" s="572">
        <v>25062</v>
      </c>
      <c r="AB8" s="572">
        <v>26101</v>
      </c>
      <c r="AC8" s="572">
        <v>29515.25</v>
      </c>
      <c r="AD8" s="572">
        <v>31423.916666666668</v>
      </c>
      <c r="AE8" s="572">
        <v>33802.25</v>
      </c>
      <c r="AF8" s="572">
        <v>38592.333333333336</v>
      </c>
      <c r="AG8" s="572">
        <v>41886.666666666672</v>
      </c>
      <c r="AH8" s="572">
        <v>47268.5</v>
      </c>
      <c r="AI8" s="572">
        <v>27744.666666666668</v>
      </c>
      <c r="AJ8" s="173"/>
      <c r="AK8" s="188"/>
      <c r="AL8" s="188"/>
      <c r="AM8" s="188"/>
      <c r="AN8" s="188"/>
      <c r="AO8" s="188"/>
      <c r="AP8" s="188"/>
      <c r="AQ8" s="188"/>
      <c r="AR8" s="188"/>
      <c r="AS8" s="188"/>
      <c r="AT8" s="188"/>
      <c r="AU8" s="188"/>
      <c r="AV8" s="188"/>
      <c r="AW8" s="188"/>
      <c r="AX8" s="188"/>
      <c r="AY8" s="188"/>
      <c r="AZ8" s="188"/>
      <c r="BA8" s="188"/>
      <c r="BB8" s="188"/>
      <c r="BC8" s="188"/>
      <c r="BD8" s="188"/>
      <c r="BE8" s="188"/>
      <c r="BF8" s="188"/>
      <c r="BG8" s="188"/>
      <c r="BH8" s="188"/>
      <c r="BI8" s="188"/>
      <c r="BJ8" s="188"/>
      <c r="BK8" s="188"/>
      <c r="BL8" s="188"/>
      <c r="BM8" s="188"/>
      <c r="BN8" s="188"/>
      <c r="BO8" s="188"/>
      <c r="BP8" s="188"/>
    </row>
    <row r="9" spans="1:68" s="63" customFormat="1" ht="15.75" customHeight="1">
      <c r="A9" s="587" t="s">
        <v>135</v>
      </c>
      <c r="B9" s="46"/>
      <c r="C9" s="46"/>
      <c r="D9" s="46"/>
      <c r="E9" s="46"/>
      <c r="F9" s="46">
        <v>9046</v>
      </c>
      <c r="G9" s="46">
        <v>9662</v>
      </c>
      <c r="H9" s="46">
        <v>10351</v>
      </c>
      <c r="I9" s="46">
        <v>11638</v>
      </c>
      <c r="J9" s="190">
        <f>SUM(J10:J13)</f>
        <v>8729</v>
      </c>
      <c r="K9" s="190">
        <v>13508</v>
      </c>
      <c r="L9" s="190">
        <v>14031</v>
      </c>
      <c r="M9" s="190">
        <v>16096</v>
      </c>
      <c r="N9" s="190">
        <v>17531</v>
      </c>
      <c r="O9" s="171">
        <v>18730</v>
      </c>
      <c r="P9" s="171">
        <v>18765</v>
      </c>
      <c r="Q9" s="171">
        <v>18827</v>
      </c>
      <c r="R9" s="171">
        <v>19110</v>
      </c>
      <c r="S9" s="171">
        <f>SUM(S10:S13)</f>
        <v>19595</v>
      </c>
      <c r="T9" s="171">
        <f>SUM(T10:T13)</f>
        <v>20198</v>
      </c>
      <c r="U9" s="172">
        <v>20505</v>
      </c>
      <c r="V9" s="172">
        <v>22187</v>
      </c>
      <c r="W9" s="172">
        <v>23464</v>
      </c>
      <c r="X9" s="172">
        <v>24978</v>
      </c>
      <c r="Y9" s="232">
        <v>25709</v>
      </c>
      <c r="Z9" s="232">
        <v>26896</v>
      </c>
      <c r="AA9" s="232">
        <v>28120</v>
      </c>
      <c r="AB9" s="232">
        <v>29829</v>
      </c>
      <c r="AC9" s="232">
        <v>31673</v>
      </c>
      <c r="AD9" s="232">
        <v>34085</v>
      </c>
      <c r="AE9" s="232">
        <v>37374</v>
      </c>
      <c r="AF9" s="232">
        <v>41255</v>
      </c>
      <c r="AG9" s="232">
        <v>45154</v>
      </c>
      <c r="AH9" s="232">
        <v>51362</v>
      </c>
      <c r="AI9" s="232">
        <v>51827</v>
      </c>
      <c r="AJ9" s="173"/>
      <c r="AK9" s="188"/>
      <c r="AL9" s="54"/>
      <c r="AM9" s="188"/>
      <c r="AN9" s="188"/>
      <c r="AO9" s="188"/>
      <c r="AP9" s="188"/>
      <c r="AQ9" s="188"/>
      <c r="AR9" s="188"/>
      <c r="AS9" s="188"/>
      <c r="AT9" s="54"/>
      <c r="AU9" s="54"/>
      <c r="AV9" s="54"/>
      <c r="AW9" s="54"/>
      <c r="AX9" s="54"/>
      <c r="AY9" s="54"/>
      <c r="AZ9" s="54"/>
      <c r="BA9" s="54"/>
      <c r="BB9" s="54"/>
      <c r="BC9" s="54"/>
      <c r="BD9" s="54"/>
      <c r="BE9" s="54"/>
      <c r="BF9" s="54"/>
      <c r="BG9" s="54"/>
      <c r="BH9" s="54"/>
      <c r="BI9" s="54"/>
      <c r="BJ9" s="54"/>
      <c r="BK9" s="54"/>
      <c r="BL9" s="54"/>
      <c r="BM9" s="54"/>
      <c r="BN9" s="54"/>
      <c r="BO9" s="54"/>
      <c r="BP9" s="54"/>
    </row>
    <row r="10" spans="1:68" s="70" customFormat="1" ht="15.75" customHeight="1">
      <c r="A10" s="589"/>
      <c r="B10" s="520" t="s">
        <v>136</v>
      </c>
      <c r="C10" s="520"/>
      <c r="D10" s="520"/>
      <c r="E10" s="520"/>
      <c r="F10" s="521">
        <v>7855</v>
      </c>
      <c r="G10" s="521">
        <v>8487</v>
      </c>
      <c r="H10" s="521">
        <v>9061</v>
      </c>
      <c r="I10" s="521">
        <v>10160</v>
      </c>
      <c r="J10" s="521">
        <v>7621</v>
      </c>
      <c r="K10" s="521">
        <v>11472</v>
      </c>
      <c r="L10" s="521">
        <v>11958</v>
      </c>
      <c r="M10" s="526">
        <v>13808</v>
      </c>
      <c r="N10" s="521">
        <v>15044</v>
      </c>
      <c r="O10" s="522">
        <v>15914</v>
      </c>
      <c r="P10" s="522">
        <v>16318</v>
      </c>
      <c r="Q10" s="522">
        <v>16400</v>
      </c>
      <c r="R10" s="522">
        <v>16444</v>
      </c>
      <c r="S10" s="522">
        <v>16858</v>
      </c>
      <c r="T10" s="522">
        <v>17298</v>
      </c>
      <c r="U10" s="491">
        <v>17712</v>
      </c>
      <c r="V10" s="491">
        <v>18938</v>
      </c>
      <c r="W10" s="491">
        <v>19860</v>
      </c>
      <c r="X10" s="491">
        <v>20942</v>
      </c>
      <c r="Y10" s="572">
        <v>21350</v>
      </c>
      <c r="Z10" s="572">
        <v>22120</v>
      </c>
      <c r="AA10" s="572">
        <v>22889</v>
      </c>
      <c r="AB10" s="572">
        <v>23487</v>
      </c>
      <c r="AC10" s="572">
        <v>24031</v>
      </c>
      <c r="AD10" s="572">
        <v>24877</v>
      </c>
      <c r="AE10" s="572">
        <v>26933</v>
      </c>
      <c r="AF10" s="572">
        <v>29977</v>
      </c>
      <c r="AG10" s="572">
        <v>31971</v>
      </c>
      <c r="AH10" s="572">
        <v>37004</v>
      </c>
      <c r="AI10" s="572">
        <v>37134</v>
      </c>
      <c r="AJ10" s="173"/>
      <c r="AP10" s="188"/>
      <c r="AQ10" s="188"/>
      <c r="AR10" s="188"/>
      <c r="AS10" s="188"/>
    </row>
    <row r="11" spans="1:68" s="71" customFormat="1" ht="15.75" customHeight="1">
      <c r="A11" s="587"/>
      <c r="B11" s="46" t="s">
        <v>137</v>
      </c>
      <c r="C11" s="46"/>
      <c r="D11" s="46"/>
      <c r="E11" s="46"/>
      <c r="F11" s="46">
        <v>158</v>
      </c>
      <c r="G11" s="46">
        <v>158</v>
      </c>
      <c r="H11" s="46">
        <v>158</v>
      </c>
      <c r="I11" s="46">
        <v>216</v>
      </c>
      <c r="J11" s="190">
        <v>166</v>
      </c>
      <c r="K11" s="190">
        <v>312</v>
      </c>
      <c r="L11" s="190">
        <v>276</v>
      </c>
      <c r="M11" s="190">
        <v>418</v>
      </c>
      <c r="N11" s="190">
        <v>466</v>
      </c>
      <c r="O11" s="171">
        <v>744</v>
      </c>
      <c r="P11" s="171">
        <v>688</v>
      </c>
      <c r="Q11" s="171">
        <v>670</v>
      </c>
      <c r="R11" s="171">
        <v>670</v>
      </c>
      <c r="S11" s="171">
        <v>636</v>
      </c>
      <c r="T11" s="171">
        <v>636</v>
      </c>
      <c r="U11" s="172">
        <v>713</v>
      </c>
      <c r="V11" s="172">
        <v>836</v>
      </c>
      <c r="W11" s="172">
        <v>1110</v>
      </c>
      <c r="X11" s="172">
        <v>1368</v>
      </c>
      <c r="Y11" s="232">
        <v>1449</v>
      </c>
      <c r="Z11" s="232">
        <v>1603</v>
      </c>
      <c r="AA11" s="232">
        <v>1627</v>
      </c>
      <c r="AB11" s="232">
        <v>1708</v>
      </c>
      <c r="AC11" s="232">
        <v>1704</v>
      </c>
      <c r="AD11" s="232">
        <v>1648</v>
      </c>
      <c r="AE11" s="232">
        <v>1713</v>
      </c>
      <c r="AF11" s="232">
        <v>1456</v>
      </c>
      <c r="AG11" s="232">
        <v>1862</v>
      </c>
      <c r="AH11" s="232">
        <v>1642</v>
      </c>
      <c r="AI11" s="232">
        <v>1698</v>
      </c>
      <c r="AJ11" s="173"/>
      <c r="AK11" s="70"/>
      <c r="AL11" s="70"/>
      <c r="AM11" s="188"/>
      <c r="AN11" s="188"/>
      <c r="AO11" s="188"/>
      <c r="AP11" s="188"/>
      <c r="AQ11" s="188"/>
      <c r="AR11" s="188"/>
      <c r="AS11" s="188"/>
      <c r="AT11" s="70"/>
      <c r="AU11" s="70"/>
      <c r="AV11" s="70"/>
      <c r="AW11" s="70"/>
      <c r="AX11" s="70"/>
      <c r="AY11" s="70"/>
      <c r="AZ11" s="70"/>
      <c r="BA11" s="70"/>
      <c r="BB11" s="70"/>
      <c r="BC11" s="70"/>
      <c r="BD11" s="70"/>
      <c r="BE11" s="70"/>
      <c r="BF11" s="70"/>
      <c r="BG11" s="70"/>
      <c r="BH11" s="70"/>
      <c r="BI11" s="70"/>
      <c r="BJ11" s="70"/>
      <c r="BK11" s="70"/>
      <c r="BL11" s="70"/>
      <c r="BM11" s="70"/>
      <c r="BN11" s="70"/>
      <c r="BO11" s="70"/>
      <c r="BP11" s="70"/>
    </row>
    <row r="12" spans="1:68" s="191" customFormat="1" ht="15.75" customHeight="1">
      <c r="A12" s="589"/>
      <c r="B12" s="520" t="s">
        <v>138</v>
      </c>
      <c r="C12" s="520"/>
      <c r="D12" s="520"/>
      <c r="E12" s="520"/>
      <c r="F12" s="520">
        <v>374</v>
      </c>
      <c r="G12" s="520">
        <v>408</v>
      </c>
      <c r="H12" s="520">
        <v>467</v>
      </c>
      <c r="I12" s="520">
        <v>472</v>
      </c>
      <c r="J12" s="521">
        <v>339</v>
      </c>
      <c r="K12" s="521">
        <v>246</v>
      </c>
      <c r="L12" s="521">
        <v>313</v>
      </c>
      <c r="M12" s="521">
        <v>293</v>
      </c>
      <c r="N12" s="521">
        <v>321</v>
      </c>
      <c r="O12" s="522">
        <v>356</v>
      </c>
      <c r="P12" s="522">
        <v>367</v>
      </c>
      <c r="Q12" s="522">
        <v>282</v>
      </c>
      <c r="R12" s="522">
        <v>360</v>
      </c>
      <c r="S12" s="522">
        <v>425</v>
      </c>
      <c r="T12" s="522">
        <v>475</v>
      </c>
      <c r="U12" s="491">
        <v>481</v>
      </c>
      <c r="V12" s="491">
        <v>490</v>
      </c>
      <c r="W12" s="491">
        <v>400</v>
      </c>
      <c r="X12" s="491">
        <v>462</v>
      </c>
      <c r="Y12" s="572">
        <v>476</v>
      </c>
      <c r="Z12" s="572">
        <v>659</v>
      </c>
      <c r="AA12" s="572">
        <v>1101</v>
      </c>
      <c r="AB12" s="572">
        <v>1918</v>
      </c>
      <c r="AC12" s="572">
        <v>3199</v>
      </c>
      <c r="AD12" s="572">
        <v>4621</v>
      </c>
      <c r="AE12" s="572">
        <v>6034</v>
      </c>
      <c r="AF12" s="572">
        <v>7304</v>
      </c>
      <c r="AG12" s="572">
        <v>8563</v>
      </c>
      <c r="AH12" s="572">
        <v>9753</v>
      </c>
      <c r="AI12" s="572">
        <v>10343</v>
      </c>
      <c r="AJ12" s="439"/>
      <c r="AK12" s="70"/>
      <c r="AL12" s="70"/>
      <c r="AM12" s="188"/>
      <c r="AN12" s="188"/>
      <c r="AO12" s="188"/>
      <c r="AP12" s="188"/>
      <c r="AQ12" s="188"/>
      <c r="AR12" s="188"/>
      <c r="AS12" s="188"/>
      <c r="AT12" s="70"/>
      <c r="AU12" s="70"/>
      <c r="AV12" s="70"/>
      <c r="AW12" s="70"/>
      <c r="AX12" s="70"/>
      <c r="AY12" s="70"/>
      <c r="AZ12" s="70"/>
      <c r="BA12" s="70"/>
      <c r="BB12" s="70"/>
      <c r="BC12" s="70"/>
      <c r="BD12" s="70"/>
      <c r="BE12" s="70"/>
      <c r="BF12" s="70"/>
      <c r="BG12" s="70"/>
      <c r="BH12" s="70"/>
      <c r="BI12" s="70"/>
      <c r="BJ12" s="70"/>
      <c r="BK12" s="70"/>
      <c r="BL12" s="70"/>
      <c r="BM12" s="70"/>
      <c r="BN12" s="70"/>
      <c r="BO12" s="70"/>
      <c r="BP12" s="70"/>
    </row>
    <row r="13" spans="1:68" s="71" customFormat="1" ht="15.75" customHeight="1">
      <c r="A13" s="587"/>
      <c r="B13" s="46" t="s">
        <v>139</v>
      </c>
      <c r="C13" s="46"/>
      <c r="D13" s="46"/>
      <c r="E13" s="46"/>
      <c r="F13" s="46">
        <v>659</v>
      </c>
      <c r="G13" s="46">
        <v>609</v>
      </c>
      <c r="H13" s="46">
        <v>665</v>
      </c>
      <c r="I13" s="190">
        <v>790</v>
      </c>
      <c r="J13" s="46">
        <v>603</v>
      </c>
      <c r="K13" s="190">
        <v>1478</v>
      </c>
      <c r="L13" s="190">
        <v>1484</v>
      </c>
      <c r="M13" s="190">
        <v>1577</v>
      </c>
      <c r="N13" s="190">
        <v>1700</v>
      </c>
      <c r="O13" s="171">
        <v>1716</v>
      </c>
      <c r="P13" s="171">
        <v>1392</v>
      </c>
      <c r="Q13" s="192">
        <v>1475</v>
      </c>
      <c r="R13" s="171">
        <v>1636</v>
      </c>
      <c r="S13" s="171">
        <v>1676</v>
      </c>
      <c r="T13" s="171">
        <v>1789</v>
      </c>
      <c r="U13" s="172">
        <v>1599</v>
      </c>
      <c r="V13" s="172">
        <v>1923</v>
      </c>
      <c r="W13" s="172">
        <v>2094</v>
      </c>
      <c r="X13" s="172">
        <v>2206</v>
      </c>
      <c r="Y13" s="232">
        <v>2434</v>
      </c>
      <c r="Z13" s="232">
        <v>2514</v>
      </c>
      <c r="AA13" s="232">
        <v>2503</v>
      </c>
      <c r="AB13" s="232">
        <v>2716</v>
      </c>
      <c r="AC13" s="232">
        <v>2739</v>
      </c>
      <c r="AD13" s="232">
        <v>2939</v>
      </c>
      <c r="AE13" s="232">
        <v>2694</v>
      </c>
      <c r="AF13" s="232">
        <v>2518</v>
      </c>
      <c r="AG13" s="232">
        <v>2758</v>
      </c>
      <c r="AH13" s="232">
        <v>2963</v>
      </c>
      <c r="AI13" s="232">
        <v>2652</v>
      </c>
      <c r="AJ13" s="70"/>
      <c r="AK13" s="70"/>
      <c r="AL13" s="70"/>
      <c r="AM13" s="188"/>
      <c r="AN13" s="188"/>
      <c r="AO13" s="188"/>
      <c r="AP13" s="188"/>
      <c r="AQ13" s="188"/>
      <c r="AR13" s="188"/>
      <c r="AS13" s="188"/>
      <c r="AT13" s="70"/>
      <c r="AU13" s="70"/>
      <c r="AV13" s="70"/>
      <c r="AW13" s="70"/>
      <c r="AX13" s="70"/>
      <c r="AY13" s="70"/>
      <c r="AZ13" s="70"/>
      <c r="BA13" s="70"/>
      <c r="BB13" s="70"/>
      <c r="BC13" s="70"/>
      <c r="BD13" s="70"/>
      <c r="BE13" s="70"/>
      <c r="BF13" s="70"/>
      <c r="BG13" s="70"/>
      <c r="BH13" s="70"/>
      <c r="BI13" s="70"/>
      <c r="BJ13" s="70"/>
      <c r="BK13" s="70"/>
      <c r="BL13" s="70"/>
      <c r="BM13" s="70"/>
      <c r="BN13" s="70"/>
      <c r="BO13" s="70"/>
      <c r="BP13" s="70"/>
    </row>
    <row r="14" spans="1:68" s="191" customFormat="1" ht="15.75" customHeight="1">
      <c r="A14" s="589" t="s">
        <v>140</v>
      </c>
      <c r="B14" s="520"/>
      <c r="C14" s="520"/>
      <c r="D14" s="520"/>
      <c r="E14" s="520"/>
      <c r="F14" s="520">
        <f>SUM(F10-J10)/J10*100</f>
        <v>3.0704631938065869</v>
      </c>
      <c r="G14" s="520">
        <f>SUM(G10-F10)/F10*100</f>
        <v>8.0458306810948432</v>
      </c>
      <c r="H14" s="520">
        <f>SUM(H10-G10)/G10*100</f>
        <v>6.7632850241545892</v>
      </c>
      <c r="I14" s="520">
        <f>SUM(I10-H10)/H10*100</f>
        <v>12.128904094470808</v>
      </c>
      <c r="J14" s="529">
        <v>0.94</v>
      </c>
      <c r="K14" s="529">
        <v>7.34</v>
      </c>
      <c r="L14" s="529">
        <f t="shared" ref="L14:R14" si="2">SUM(L10-K10)/K10*100</f>
        <v>4.2364016736401675</v>
      </c>
      <c r="M14" s="529">
        <f t="shared" si="2"/>
        <v>15.470814517477837</v>
      </c>
      <c r="N14" s="529">
        <f t="shared" si="2"/>
        <v>8.9513325608342988</v>
      </c>
      <c r="O14" s="530">
        <f t="shared" si="2"/>
        <v>5.7830364264823189</v>
      </c>
      <c r="P14" s="530">
        <f t="shared" si="2"/>
        <v>2.5386452180470025</v>
      </c>
      <c r="Q14" s="530">
        <f t="shared" si="2"/>
        <v>0.50251256281407031</v>
      </c>
      <c r="R14" s="530">
        <f t="shared" si="2"/>
        <v>0.26829268292682928</v>
      </c>
      <c r="S14" s="530">
        <f>SUM(S10-R10)/R10*100</f>
        <v>2.517635611773291</v>
      </c>
      <c r="T14" s="530">
        <f>SUM(T10-S10)/S10*100</f>
        <v>2.6100367777909597</v>
      </c>
      <c r="U14" s="531">
        <v>2.3933402705515086</v>
      </c>
      <c r="V14" s="531">
        <f t="shared" ref="V14:AE14" si="3">(V10-U10)/(U10)*100</f>
        <v>6.9218608852755201</v>
      </c>
      <c r="W14" s="531">
        <f t="shared" si="3"/>
        <v>4.8685183229485691</v>
      </c>
      <c r="X14" s="531">
        <f t="shared" si="3"/>
        <v>5.4481369587109763</v>
      </c>
      <c r="Y14" s="582">
        <f t="shared" si="3"/>
        <v>1.9482379906408176</v>
      </c>
      <c r="Z14" s="582">
        <f t="shared" si="3"/>
        <v>3.6065573770491808</v>
      </c>
      <c r="AA14" s="582">
        <f t="shared" si="3"/>
        <v>3.4764918625678121</v>
      </c>
      <c r="AB14" s="582">
        <f t="shared" si="3"/>
        <v>2.6126086766569094</v>
      </c>
      <c r="AC14" s="582">
        <f t="shared" si="3"/>
        <v>2.3161749052667431</v>
      </c>
      <c r="AD14" s="582">
        <f t="shared" si="3"/>
        <v>3.5204527485331449</v>
      </c>
      <c r="AE14" s="582">
        <f t="shared" si="3"/>
        <v>8.264662137717572</v>
      </c>
      <c r="AF14" s="582">
        <f>(AF10-AE10)/(AE10)*100</f>
        <v>11.302120075743511</v>
      </c>
      <c r="AG14" s="582">
        <f>(AG10-AF10)/(AF10)*100</f>
        <v>6.6517663542048915</v>
      </c>
      <c r="AH14" s="582">
        <f>(AH10-AG10)/(AG10)*100</f>
        <v>15.742391542335241</v>
      </c>
      <c r="AI14" s="582">
        <f>(AI10-AH10)/(AH10)*100</f>
        <v>0.35131337152740244</v>
      </c>
      <c r="AJ14" s="188"/>
      <c r="AK14" s="188"/>
      <c r="AL14" s="188"/>
      <c r="AM14" s="188"/>
      <c r="AN14" s="188"/>
      <c r="AO14" s="188"/>
      <c r="AP14" s="188"/>
      <c r="AQ14" s="188"/>
      <c r="AR14" s="188"/>
      <c r="AS14" s="188"/>
      <c r="AT14" s="70"/>
      <c r="AU14" s="70"/>
      <c r="AV14" s="70"/>
      <c r="AW14" s="70"/>
      <c r="AX14" s="70"/>
      <c r="AY14" s="70"/>
      <c r="AZ14" s="70"/>
      <c r="BA14" s="70"/>
      <c r="BB14" s="70"/>
      <c r="BC14" s="70"/>
      <c r="BD14" s="70"/>
      <c r="BE14" s="70"/>
      <c r="BF14" s="70"/>
      <c r="BG14" s="70"/>
      <c r="BH14" s="70"/>
      <c r="BI14" s="70"/>
      <c r="BJ14" s="70"/>
      <c r="BK14" s="70"/>
      <c r="BL14" s="70"/>
      <c r="BM14" s="70"/>
      <c r="BN14" s="70"/>
      <c r="BO14" s="70"/>
      <c r="BP14" s="70"/>
    </row>
    <row r="15" spans="1:68" s="71" customFormat="1" ht="15.75" customHeight="1">
      <c r="A15" s="590" t="s">
        <v>413</v>
      </c>
      <c r="B15" s="46"/>
      <c r="C15" s="46"/>
      <c r="D15" s="46"/>
      <c r="E15" s="46"/>
      <c r="F15" s="46">
        <v>63.2</v>
      </c>
      <c r="G15" s="46">
        <v>66.2</v>
      </c>
      <c r="H15" s="46">
        <v>64.8</v>
      </c>
      <c r="I15" s="46">
        <v>67.900000000000006</v>
      </c>
      <c r="J15" s="46">
        <v>60.3</v>
      </c>
      <c r="K15" s="46">
        <v>72.8</v>
      </c>
      <c r="L15" s="46">
        <v>77.400000000000006</v>
      </c>
      <c r="M15" s="46">
        <v>76.2</v>
      </c>
      <c r="N15" s="46">
        <v>69.7</v>
      </c>
      <c r="O15" s="169">
        <v>68.2</v>
      </c>
      <c r="P15" s="169">
        <v>65.599999999999994</v>
      </c>
      <c r="Q15" s="194">
        <v>69</v>
      </c>
      <c r="R15" s="195">
        <v>77.225679708380724</v>
      </c>
      <c r="S15" s="185">
        <v>83.928714663678406</v>
      </c>
      <c r="T15" s="185">
        <v>64.460345878664029</v>
      </c>
      <c r="U15" s="196">
        <v>81.400000000000006</v>
      </c>
      <c r="V15" s="75">
        <v>82.8</v>
      </c>
      <c r="W15" s="75">
        <v>78.3</v>
      </c>
      <c r="X15" s="75">
        <v>70.2</v>
      </c>
      <c r="Y15" s="805">
        <v>75.599999999999994</v>
      </c>
      <c r="Z15" s="805">
        <v>73.099999999999994</v>
      </c>
      <c r="AA15" s="749">
        <v>70.378540137143531</v>
      </c>
      <c r="AB15" s="749">
        <v>74</v>
      </c>
      <c r="AC15" s="749">
        <v>69.743726404978432</v>
      </c>
      <c r="AD15" s="749">
        <v>63.947492985110166</v>
      </c>
      <c r="AE15" s="749">
        <v>62.89655235922644</v>
      </c>
      <c r="AF15" s="749">
        <v>61.105983456729064</v>
      </c>
      <c r="AG15" s="749">
        <v>62.132135362377618</v>
      </c>
      <c r="AH15" s="749">
        <v>62.3</v>
      </c>
      <c r="AI15" s="749">
        <v>25.684780565572808</v>
      </c>
      <c r="AJ15" s="188"/>
      <c r="AK15" s="188"/>
      <c r="AL15" s="188"/>
      <c r="AM15" s="188"/>
      <c r="AN15" s="188"/>
      <c r="AO15" s="188"/>
      <c r="AP15" s="188"/>
      <c r="AQ15" s="188"/>
      <c r="AR15" s="188"/>
      <c r="AS15" s="188"/>
      <c r="AT15" s="70"/>
      <c r="AU15" s="70"/>
      <c r="AV15" s="70"/>
      <c r="AW15" s="70"/>
      <c r="AX15" s="70"/>
      <c r="AY15" s="70"/>
      <c r="AZ15" s="70"/>
      <c r="BA15" s="70"/>
      <c r="BB15" s="70"/>
      <c r="BC15" s="70"/>
      <c r="BD15" s="70"/>
      <c r="BE15" s="70"/>
      <c r="BF15" s="70"/>
      <c r="BG15" s="70"/>
      <c r="BH15" s="70"/>
      <c r="BI15" s="70"/>
      <c r="BJ15" s="70"/>
      <c r="BK15" s="70"/>
      <c r="BL15" s="70"/>
      <c r="BM15" s="70"/>
      <c r="BN15" s="70"/>
      <c r="BO15" s="70"/>
      <c r="BP15" s="70"/>
    </row>
    <row r="16" spans="1:68" s="191" customFormat="1" ht="15.75" customHeight="1">
      <c r="A16" s="589" t="s">
        <v>141</v>
      </c>
      <c r="B16" s="520"/>
      <c r="C16" s="520"/>
      <c r="D16" s="520"/>
      <c r="E16" s="520"/>
      <c r="F16" s="520">
        <v>1725</v>
      </c>
      <c r="G16" s="520">
        <v>1975</v>
      </c>
      <c r="H16" s="520">
        <v>2092</v>
      </c>
      <c r="I16" s="520">
        <v>2350.8029999999999</v>
      </c>
      <c r="J16" s="521">
        <v>1681.723</v>
      </c>
      <c r="K16" s="521">
        <v>3038.6979999999999</v>
      </c>
      <c r="L16" s="521">
        <v>3271.0430000000001</v>
      </c>
      <c r="M16" s="521">
        <v>3466.549</v>
      </c>
      <c r="N16" s="521">
        <v>3718.2069999999999</v>
      </c>
      <c r="O16" s="522">
        <v>3937</v>
      </c>
      <c r="P16" s="522">
        <v>3933</v>
      </c>
      <c r="Q16" s="522">
        <v>4067</v>
      </c>
      <c r="R16" s="522">
        <v>4704.5640000000003</v>
      </c>
      <c r="S16" s="522">
        <v>5110</v>
      </c>
      <c r="T16" s="522">
        <v>3300</v>
      </c>
      <c r="U16" s="491">
        <v>4826</v>
      </c>
      <c r="V16" s="491">
        <v>5293</v>
      </c>
      <c r="W16" s="491">
        <v>5451</v>
      </c>
      <c r="X16" s="491">
        <v>5147</v>
      </c>
      <c r="Y16" s="572">
        <v>5986</v>
      </c>
      <c r="Z16" s="572">
        <v>6529</v>
      </c>
      <c r="AA16" s="572">
        <v>6451</v>
      </c>
      <c r="AB16" s="572">
        <v>7041</v>
      </c>
      <c r="AC16" s="572">
        <v>7505.6222623784997</v>
      </c>
      <c r="AD16" s="572">
        <v>7322.6830686780295</v>
      </c>
      <c r="AE16" s="572">
        <v>7770.9226420378209</v>
      </c>
      <c r="AF16" s="572">
        <v>8593.2836177621466</v>
      </c>
      <c r="AG16" s="572">
        <v>9478.0939017162746</v>
      </c>
      <c r="AH16" s="572">
        <v>10688.387114665871</v>
      </c>
      <c r="AI16" s="572">
        <v>3984.7124466208597</v>
      </c>
      <c r="AJ16" s="188"/>
      <c r="AK16" s="188"/>
      <c r="AL16" s="188"/>
      <c r="AM16" s="188"/>
      <c r="AN16" s="188"/>
      <c r="AO16" s="188"/>
      <c r="AP16" s="188"/>
      <c r="AQ16" s="188"/>
      <c r="AR16" s="188"/>
      <c r="AS16" s="188"/>
      <c r="AT16" s="70"/>
      <c r="AU16" s="70"/>
      <c r="AV16" s="70"/>
      <c r="AW16" s="70"/>
      <c r="AX16" s="70"/>
      <c r="AY16" s="70"/>
      <c r="AZ16" s="70"/>
      <c r="BA16" s="70"/>
      <c r="BB16" s="70"/>
      <c r="BC16" s="70"/>
      <c r="BD16" s="70"/>
      <c r="BE16" s="70"/>
      <c r="BF16" s="70"/>
      <c r="BG16" s="70"/>
      <c r="BH16" s="70"/>
      <c r="BI16" s="70"/>
      <c r="BJ16" s="70"/>
      <c r="BK16" s="70"/>
      <c r="BL16" s="70"/>
      <c r="BM16" s="70"/>
      <c r="BN16" s="70"/>
      <c r="BO16" s="70"/>
      <c r="BP16" s="70"/>
    </row>
    <row r="17" spans="1:68" s="71" customFormat="1" ht="15.75" customHeight="1">
      <c r="A17" s="587" t="s">
        <v>142</v>
      </c>
      <c r="B17" s="46"/>
      <c r="C17" s="197"/>
      <c r="D17" s="197"/>
      <c r="E17" s="197"/>
      <c r="F17" s="197"/>
      <c r="G17" s="197"/>
      <c r="H17" s="197"/>
      <c r="I17" s="197"/>
      <c r="J17" s="198">
        <v>15</v>
      </c>
      <c r="K17" s="199">
        <v>11.5</v>
      </c>
      <c r="L17" s="199">
        <f t="shared" ref="L17:S17" si="4">SUM(L16-K16)/K16*100</f>
        <v>7.6462024195889251</v>
      </c>
      <c r="M17" s="199">
        <f>SUM(M16-L16)/L16*100</f>
        <v>5.9768703743729406</v>
      </c>
      <c r="N17" s="199">
        <f>SUM(N16-M16)/M16*100</f>
        <v>7.2596117925925725</v>
      </c>
      <c r="O17" s="200">
        <f>SUM(O16-N16)/N16*100</f>
        <v>5.8843684603896484</v>
      </c>
      <c r="P17" s="200">
        <f t="shared" si="4"/>
        <v>-0.10160020320040639</v>
      </c>
      <c r="Q17" s="200">
        <f t="shared" si="4"/>
        <v>3.407068395626748</v>
      </c>
      <c r="R17" s="200">
        <f t="shared" si="4"/>
        <v>15.676518318170649</v>
      </c>
      <c r="S17" s="200">
        <f t="shared" si="4"/>
        <v>8.6179293128970009</v>
      </c>
      <c r="T17" s="200">
        <f>SUM(T16-S16)/S16*100</f>
        <v>-35.420743639921717</v>
      </c>
      <c r="U17" s="186">
        <v>46.242424242424242</v>
      </c>
      <c r="V17" s="186">
        <f t="shared" ref="V17:AC17" si="5">(V16-U16)/(U16)*100</f>
        <v>9.6767509324492345</v>
      </c>
      <c r="W17" s="186">
        <f t="shared" si="5"/>
        <v>2.9850746268656714</v>
      </c>
      <c r="X17" s="186">
        <f t="shared" si="5"/>
        <v>-5.5769583562649059</v>
      </c>
      <c r="Y17" s="804">
        <f t="shared" si="5"/>
        <v>16.300757722945406</v>
      </c>
      <c r="Z17" s="804">
        <f t="shared" si="5"/>
        <v>9.0711660541262944</v>
      </c>
      <c r="AA17" s="804">
        <f t="shared" si="5"/>
        <v>-1.1946699341399909</v>
      </c>
      <c r="AB17" s="804">
        <f t="shared" si="5"/>
        <v>9.1458688575414673</v>
      </c>
      <c r="AC17" s="804">
        <f t="shared" si="5"/>
        <v>6.5988107140818029</v>
      </c>
      <c r="AD17" s="804">
        <f t="shared" ref="AD17:AI17" si="6">(AD16-AC16)/(AC16)*100</f>
        <v>-2.4373621174281901</v>
      </c>
      <c r="AE17" s="804">
        <f t="shared" si="6"/>
        <v>6.1212477606341702</v>
      </c>
      <c r="AF17" s="804">
        <f t="shared" si="6"/>
        <v>10.582539726694185</v>
      </c>
      <c r="AG17" s="804">
        <f t="shared" si="6"/>
        <v>10.296533005442095</v>
      </c>
      <c r="AH17" s="804">
        <f t="shared" si="6"/>
        <v>12.769373520665786</v>
      </c>
      <c r="AI17" s="804">
        <f t="shared" si="6"/>
        <v>-62.719235335766321</v>
      </c>
      <c r="AJ17" s="188"/>
      <c r="AK17" s="188"/>
      <c r="AL17" s="188"/>
      <c r="AM17" s="188"/>
      <c r="AN17" s="188"/>
      <c r="AO17" s="188"/>
      <c r="AP17" s="188"/>
      <c r="AQ17" s="188"/>
      <c r="AR17" s="188"/>
      <c r="AS17" s="188"/>
      <c r="AT17" s="70"/>
      <c r="AU17" s="70"/>
      <c r="AV17" s="70"/>
      <c r="AW17" s="70"/>
      <c r="AX17" s="70"/>
      <c r="AY17" s="70"/>
      <c r="AZ17" s="70"/>
      <c r="BA17" s="70"/>
      <c r="BB17" s="70"/>
      <c r="BC17" s="70"/>
      <c r="BD17" s="70"/>
      <c r="BE17" s="70"/>
      <c r="BF17" s="70"/>
      <c r="BG17" s="70"/>
      <c r="BH17" s="70"/>
      <c r="BI17" s="70"/>
      <c r="BJ17" s="70"/>
      <c r="BK17" s="70"/>
      <c r="BL17" s="70"/>
      <c r="BM17" s="70"/>
      <c r="BN17" s="70"/>
      <c r="BO17" s="70"/>
      <c r="BP17" s="70"/>
    </row>
    <row r="18" spans="1:68" s="191" customFormat="1" ht="15.75" customHeight="1">
      <c r="A18" s="589" t="s">
        <v>143</v>
      </c>
      <c r="B18" s="520"/>
      <c r="C18" s="520"/>
      <c r="D18" s="520"/>
      <c r="E18" s="520"/>
      <c r="F18" s="520">
        <v>8.8000000000000007</v>
      </c>
      <c r="G18" s="520">
        <v>8.4</v>
      </c>
      <c r="H18" s="520">
        <v>8.6999999999999993</v>
      </c>
      <c r="I18" s="520">
        <v>8.4</v>
      </c>
      <c r="J18" s="532">
        <v>8.6</v>
      </c>
      <c r="K18" s="532">
        <v>9</v>
      </c>
      <c r="L18" s="532">
        <v>8.9</v>
      </c>
      <c r="M18" s="532">
        <v>8.8000000000000007</v>
      </c>
      <c r="N18" s="532">
        <v>8.6999999999999993</v>
      </c>
      <c r="O18" s="533">
        <v>8.4</v>
      </c>
      <c r="P18" s="533">
        <v>8.5</v>
      </c>
      <c r="Q18" s="533">
        <v>8.4</v>
      </c>
      <c r="R18" s="533">
        <v>8.3474493118260877</v>
      </c>
      <c r="S18" s="533">
        <v>8.2857868127306578</v>
      </c>
      <c r="T18" s="533">
        <v>8.3477334817363147</v>
      </c>
      <c r="U18" s="492">
        <v>8</v>
      </c>
      <c r="V18" s="492">
        <v>8.5</v>
      </c>
      <c r="W18" s="492">
        <v>8.8000000000000007</v>
      </c>
      <c r="X18" s="492">
        <v>8.6</v>
      </c>
      <c r="Y18" s="751">
        <v>7.6</v>
      </c>
      <c r="Z18" s="751">
        <v>7</v>
      </c>
      <c r="AA18" s="751">
        <v>6.7</v>
      </c>
      <c r="AB18" s="751">
        <v>6.3</v>
      </c>
      <c r="AC18" s="751">
        <v>6.1</v>
      </c>
      <c r="AD18" s="751">
        <v>5.6623346324798476</v>
      </c>
      <c r="AE18" s="751">
        <v>6.0249999999999995</v>
      </c>
      <c r="AF18" s="751">
        <v>6.1750000000000007</v>
      </c>
      <c r="AG18" s="751">
        <v>6.3666666666666671</v>
      </c>
      <c r="AH18" s="751">
        <v>6.3</v>
      </c>
      <c r="AI18" s="751">
        <v>7.1732772030316436</v>
      </c>
      <c r="AJ18" s="188"/>
      <c r="AK18" s="188"/>
      <c r="AL18" s="188"/>
      <c r="AM18" s="70"/>
      <c r="AN18" s="70"/>
      <c r="AO18" s="70"/>
      <c r="AP18" s="70"/>
      <c r="AQ18" s="70"/>
      <c r="AR18" s="70"/>
      <c r="AS18" s="70"/>
      <c r="AT18" s="70"/>
      <c r="AU18" s="70"/>
      <c r="AV18" s="70"/>
      <c r="AW18" s="70"/>
      <c r="AX18" s="70"/>
      <c r="AY18" s="70"/>
      <c r="AZ18" s="70"/>
      <c r="BA18" s="70"/>
      <c r="BB18" s="70"/>
      <c r="BC18" s="70"/>
      <c r="BD18" s="70"/>
      <c r="BE18" s="70"/>
      <c r="BF18" s="70"/>
      <c r="BG18" s="70"/>
      <c r="BH18" s="70"/>
      <c r="BI18" s="70"/>
      <c r="BJ18" s="70"/>
      <c r="BK18" s="70"/>
      <c r="BL18" s="70"/>
      <c r="BM18" s="70"/>
      <c r="BN18" s="70"/>
      <c r="BO18" s="70"/>
      <c r="BP18" s="70"/>
    </row>
    <row r="19" spans="1:68" s="71" customFormat="1" ht="15.75" customHeight="1">
      <c r="A19" s="587" t="s">
        <v>144</v>
      </c>
      <c r="B19" s="46"/>
      <c r="C19" s="46"/>
      <c r="D19" s="46"/>
      <c r="E19" s="46"/>
      <c r="F19" s="46">
        <v>108.1</v>
      </c>
      <c r="G19" s="46">
        <v>129.1</v>
      </c>
      <c r="H19" s="46">
        <v>136</v>
      </c>
      <c r="I19" s="184">
        <v>161.30000000000001</v>
      </c>
      <c r="J19" s="46">
        <v>95.1</v>
      </c>
      <c r="K19" s="201">
        <v>215.75</v>
      </c>
      <c r="L19" s="201">
        <v>256.98</v>
      </c>
      <c r="M19" s="201">
        <v>257.72000000000003</v>
      </c>
      <c r="N19" s="201">
        <v>276</v>
      </c>
      <c r="O19" s="185">
        <v>276.60000000000002</v>
      </c>
      <c r="P19" s="185">
        <v>292.7</v>
      </c>
      <c r="Q19" s="194">
        <v>305.2</v>
      </c>
      <c r="R19" s="169">
        <v>359.8</v>
      </c>
      <c r="S19" s="169">
        <v>409.5</v>
      </c>
      <c r="T19" s="185">
        <v>345</v>
      </c>
      <c r="U19" s="75">
        <v>495.7</v>
      </c>
      <c r="V19" s="75">
        <v>547.29999999999995</v>
      </c>
      <c r="W19" s="75">
        <v>566.6</v>
      </c>
      <c r="X19" s="75">
        <v>531.4</v>
      </c>
      <c r="Y19" s="749">
        <v>597.29999999999995</v>
      </c>
      <c r="Z19" s="749">
        <v>750.73984492149998</v>
      </c>
      <c r="AA19" s="749">
        <v>804.72110199999997</v>
      </c>
      <c r="AB19" s="749">
        <v>861.64270799999997</v>
      </c>
      <c r="AC19" s="749">
        <v>804.82832599999995</v>
      </c>
      <c r="AD19" s="749">
        <v>0.64350200000000002</v>
      </c>
      <c r="AE19" s="749">
        <v>0.15296662</v>
      </c>
      <c r="AF19" s="749">
        <v>3.0720000000000001E-3</v>
      </c>
      <c r="AG19" s="749">
        <v>3.5609999999999999E-3</v>
      </c>
      <c r="AH19" s="749">
        <v>0</v>
      </c>
      <c r="AI19" s="749">
        <v>0</v>
      </c>
      <c r="AJ19" s="188"/>
      <c r="AK19" s="188"/>
      <c r="AL19" s="188"/>
      <c r="AM19" s="202"/>
      <c r="AN19" s="202"/>
      <c r="AO19" s="202"/>
      <c r="AP19" s="202"/>
      <c r="AQ19" s="202"/>
      <c r="AR19" s="202"/>
      <c r="AS19" s="202"/>
      <c r="AT19" s="70"/>
      <c r="AU19" s="70"/>
      <c r="AV19" s="70"/>
      <c r="AW19" s="70"/>
      <c r="AX19" s="70"/>
      <c r="AY19" s="70"/>
      <c r="AZ19" s="70"/>
      <c r="BA19" s="70"/>
      <c r="BB19" s="70"/>
      <c r="BC19" s="70"/>
      <c r="BD19" s="70"/>
      <c r="BE19" s="70"/>
      <c r="BF19" s="70"/>
      <c r="BG19" s="70"/>
      <c r="BH19" s="70"/>
      <c r="BI19" s="70"/>
      <c r="BJ19" s="70"/>
      <c r="BK19" s="70"/>
      <c r="BL19" s="70"/>
      <c r="BM19" s="70"/>
      <c r="BN19" s="70"/>
      <c r="BO19" s="70"/>
      <c r="BP19" s="70"/>
    </row>
    <row r="20" spans="1:68" s="71" customFormat="1" ht="17.25" hidden="1" customHeight="1">
      <c r="A20" s="591"/>
      <c r="B20" s="215"/>
      <c r="C20" s="215"/>
      <c r="D20" s="215"/>
      <c r="E20" s="215"/>
      <c r="F20" s="215"/>
      <c r="G20" s="215"/>
      <c r="H20" s="215"/>
      <c r="I20" s="216"/>
      <c r="J20" s="215"/>
      <c r="K20" s="427"/>
      <c r="L20" s="427"/>
      <c r="M20" s="427"/>
      <c r="N20" s="427"/>
      <c r="O20" s="217"/>
      <c r="P20" s="217"/>
      <c r="Q20" s="219"/>
      <c r="R20" s="218"/>
      <c r="S20" s="218"/>
      <c r="T20" s="217"/>
      <c r="U20" s="28"/>
      <c r="V20" s="28"/>
      <c r="W20" s="28"/>
      <c r="X20" s="28"/>
      <c r="Y20" s="806"/>
      <c r="Z20" s="806"/>
      <c r="AA20" s="806"/>
      <c r="AB20" s="806"/>
      <c r="AC20" s="806"/>
      <c r="AD20" s="806"/>
      <c r="AE20" s="806"/>
      <c r="AF20" s="806"/>
      <c r="AG20" s="806"/>
      <c r="AH20" s="806"/>
      <c r="AI20" s="806"/>
      <c r="AJ20" s="188"/>
      <c r="AK20" s="188"/>
      <c r="AL20" s="188"/>
      <c r="AM20" s="202"/>
      <c r="AN20" s="202"/>
      <c r="AO20" s="202"/>
      <c r="AP20" s="202"/>
      <c r="AQ20" s="202"/>
      <c r="AR20" s="202"/>
      <c r="AS20" s="202"/>
      <c r="AT20" s="70"/>
      <c r="AU20" s="70"/>
      <c r="AV20" s="70"/>
      <c r="AW20" s="70"/>
      <c r="AX20" s="70"/>
      <c r="AY20" s="70"/>
      <c r="AZ20" s="70"/>
      <c r="BA20" s="70"/>
      <c r="BB20" s="70"/>
      <c r="BC20" s="70"/>
      <c r="BD20" s="70"/>
      <c r="BE20" s="70"/>
      <c r="BF20" s="70"/>
      <c r="BG20" s="70"/>
      <c r="BH20" s="70"/>
      <c r="BI20" s="70"/>
      <c r="BJ20" s="70"/>
      <c r="BK20" s="70"/>
      <c r="BL20" s="70"/>
      <c r="BM20" s="70"/>
      <c r="BN20" s="70"/>
      <c r="BO20" s="70"/>
      <c r="BP20" s="70"/>
    </row>
    <row r="21" spans="1:68" s="191" customFormat="1" ht="15.75" customHeight="1">
      <c r="A21" s="589" t="s">
        <v>145</v>
      </c>
      <c r="B21" s="520"/>
      <c r="C21" s="520"/>
      <c r="D21" s="520"/>
      <c r="E21" s="520"/>
      <c r="F21" s="520">
        <v>159.69999999999999</v>
      </c>
      <c r="G21" s="520">
        <v>191.1</v>
      </c>
      <c r="H21" s="520">
        <v>217.1</v>
      </c>
      <c r="I21" s="520">
        <v>280.5</v>
      </c>
      <c r="J21" s="520">
        <v>141.69999999999999</v>
      </c>
      <c r="K21" s="520">
        <v>400.9</v>
      </c>
      <c r="L21" s="520">
        <v>505.5</v>
      </c>
      <c r="M21" s="520">
        <v>525.1</v>
      </c>
      <c r="N21" s="520">
        <v>627.9</v>
      </c>
      <c r="O21" s="534">
        <v>693.3</v>
      </c>
      <c r="P21" s="534">
        <v>715.9</v>
      </c>
      <c r="Q21" s="534">
        <v>883.1</v>
      </c>
      <c r="R21" s="534">
        <v>899.7</v>
      </c>
      <c r="S21" s="534">
        <v>921.5</v>
      </c>
      <c r="T21" s="534">
        <v>911.8</v>
      </c>
      <c r="U21" s="491">
        <v>1777</v>
      </c>
      <c r="V21" s="491">
        <v>2216.0705779999998</v>
      </c>
      <c r="W21" s="491">
        <v>1969.8000000000002</v>
      </c>
      <c r="X21" s="491">
        <v>1429.8078089999999</v>
      </c>
      <c r="Y21" s="572">
        <v>1703.6</v>
      </c>
      <c r="Z21" s="572">
        <v>2568.2981019999997</v>
      </c>
      <c r="AA21" s="572">
        <v>3389.5097959999998</v>
      </c>
      <c r="AB21" s="572">
        <v>4122.6634639999993</v>
      </c>
      <c r="AC21" s="572">
        <v>5621.5076369999997</v>
      </c>
      <c r="AD21" s="572">
        <v>6532.7918000000009</v>
      </c>
      <c r="AE21" s="624">
        <v>6471.0405261699998</v>
      </c>
      <c r="AF21" s="624">
        <v>6595.9007819999988</v>
      </c>
      <c r="AG21" s="624">
        <v>7329.377437000001</v>
      </c>
      <c r="AH21" s="624">
        <v>7797.4296160000004</v>
      </c>
      <c r="AI21" s="624">
        <v>2892.2325249999999</v>
      </c>
      <c r="AJ21" s="188"/>
      <c r="AK21" s="188"/>
      <c r="AL21" s="188"/>
      <c r="AM21" s="202"/>
      <c r="AN21" s="202"/>
      <c r="AO21" s="202"/>
      <c r="AP21" s="202"/>
      <c r="AQ21" s="202"/>
      <c r="AR21" s="202"/>
      <c r="AS21" s="202"/>
      <c r="AT21" s="70"/>
      <c r="AU21" s="70"/>
      <c r="AV21" s="70"/>
      <c r="AW21" s="70"/>
      <c r="AX21" s="70"/>
      <c r="AY21" s="70"/>
      <c r="AZ21" s="70"/>
      <c r="BA21" s="70"/>
      <c r="BB21" s="70"/>
      <c r="BC21" s="70"/>
      <c r="BD21" s="70"/>
      <c r="BE21" s="70"/>
      <c r="BF21" s="70"/>
      <c r="BG21" s="70"/>
      <c r="BH21" s="70"/>
      <c r="BI21" s="70"/>
      <c r="BJ21" s="70"/>
      <c r="BK21" s="70"/>
      <c r="BL21" s="70"/>
      <c r="BM21" s="70"/>
      <c r="BN21" s="70"/>
      <c r="BO21" s="70"/>
      <c r="BP21" s="70"/>
    </row>
    <row r="22" spans="1:68" s="71" customFormat="1" ht="15.75" customHeight="1">
      <c r="A22" s="587" t="s">
        <v>414</v>
      </c>
      <c r="B22" s="46"/>
      <c r="C22" s="46"/>
      <c r="D22" s="46"/>
      <c r="E22" s="46"/>
      <c r="F22" s="46">
        <v>8.5</v>
      </c>
      <c r="G22" s="46">
        <v>9.6</v>
      </c>
      <c r="H22" s="46">
        <v>10.5</v>
      </c>
      <c r="I22" s="184">
        <v>13</v>
      </c>
      <c r="J22" s="46">
        <v>6.6</v>
      </c>
      <c r="K22" s="203">
        <v>17.7</v>
      </c>
      <c r="L22" s="203">
        <v>23.9</v>
      </c>
      <c r="M22" s="203">
        <v>15.8</v>
      </c>
      <c r="N22" s="203">
        <v>22.9</v>
      </c>
      <c r="O22" s="193">
        <v>27.7</v>
      </c>
      <c r="P22" s="193">
        <v>31.4</v>
      </c>
      <c r="Q22" s="170">
        <v>35.9</v>
      </c>
      <c r="R22" s="170">
        <v>34.9</v>
      </c>
      <c r="S22" s="169">
        <v>56.3</v>
      </c>
      <c r="T22" s="169">
        <v>57.4</v>
      </c>
      <c r="U22" s="172">
        <v>100.8</v>
      </c>
      <c r="V22" s="172">
        <v>108.2</v>
      </c>
      <c r="W22" s="172">
        <v>93.3</v>
      </c>
      <c r="X22" s="172">
        <v>56.6</v>
      </c>
      <c r="Y22" s="232">
        <v>46.9</v>
      </c>
      <c r="Z22" s="232">
        <v>33.700000000000003</v>
      </c>
      <c r="AA22" s="232">
        <v>52.6</v>
      </c>
      <c r="AB22" s="232">
        <v>33.124519409999998</v>
      </c>
      <c r="AC22" s="232">
        <v>49.642775</v>
      </c>
      <c r="AD22" s="232">
        <v>103.70914999999999</v>
      </c>
      <c r="AE22" s="232">
        <v>143.48095713999999</v>
      </c>
      <c r="AF22" s="232">
        <v>62.798475164999999</v>
      </c>
      <c r="AG22" s="232">
        <v>63.142949999999999</v>
      </c>
      <c r="AH22" s="232">
        <v>44.180428999999997</v>
      </c>
      <c r="AI22" s="232">
        <v>41.969962000000002</v>
      </c>
      <c r="AJ22" s="188"/>
      <c r="AK22" s="188"/>
      <c r="AL22" s="188"/>
      <c r="AM22" s="202"/>
      <c r="AN22" s="202"/>
      <c r="AO22" s="202"/>
      <c r="AP22" s="202"/>
      <c r="AQ22" s="202"/>
      <c r="AR22" s="202"/>
      <c r="AS22" s="202"/>
      <c r="AT22" s="70"/>
      <c r="AU22" s="70"/>
      <c r="AV22" s="70"/>
      <c r="AW22" s="70"/>
      <c r="AX22" s="70"/>
      <c r="AY22" s="70"/>
      <c r="AZ22" s="70"/>
      <c r="BA22" s="70"/>
      <c r="BB22" s="70"/>
      <c r="BC22" s="70"/>
      <c r="BD22" s="70"/>
      <c r="BE22" s="70"/>
      <c r="BF22" s="70"/>
      <c r="BG22" s="70"/>
      <c r="BH22" s="70"/>
      <c r="BI22" s="70"/>
      <c r="BJ22" s="70"/>
      <c r="BK22" s="70"/>
      <c r="BL22" s="70"/>
      <c r="BM22" s="70"/>
      <c r="BN22" s="70"/>
      <c r="BO22" s="70"/>
      <c r="BP22" s="70"/>
    </row>
    <row r="23" spans="1:68" s="71" customFormat="1" ht="15.75" customHeight="1">
      <c r="A23" s="592" t="s">
        <v>146</v>
      </c>
      <c r="B23" s="535"/>
      <c r="C23" s="535"/>
      <c r="D23" s="535"/>
      <c r="E23" s="535"/>
      <c r="F23" s="535">
        <v>95.3</v>
      </c>
      <c r="G23" s="535">
        <v>138</v>
      </c>
      <c r="H23" s="535">
        <v>146.38252400000002</v>
      </c>
      <c r="I23" s="535">
        <v>180.72179799999998</v>
      </c>
      <c r="J23" s="536">
        <v>88.7</v>
      </c>
      <c r="K23" s="536">
        <v>265.60516199999995</v>
      </c>
      <c r="L23" s="536">
        <v>286.01564199999996</v>
      </c>
      <c r="M23" s="536">
        <v>302.98644999999999</v>
      </c>
      <c r="N23" s="536">
        <v>313.51556100000005</v>
      </c>
      <c r="O23" s="537">
        <v>320.74916400000001</v>
      </c>
      <c r="P23" s="537">
        <v>327.14180257647058</v>
      </c>
      <c r="Q23" s="537">
        <v>337.07669241176472</v>
      </c>
      <c r="R23" s="537">
        <v>401.56998318823531</v>
      </c>
      <c r="S23" s="537">
        <v>470.9</v>
      </c>
      <c r="T23" s="538">
        <v>286.60000000000002</v>
      </c>
      <c r="U23" s="539" t="s">
        <v>29</v>
      </c>
      <c r="V23" s="539" t="s">
        <v>29</v>
      </c>
      <c r="W23" s="539" t="s">
        <v>29</v>
      </c>
      <c r="X23" s="539" t="s">
        <v>29</v>
      </c>
      <c r="Y23" s="807" t="s">
        <v>29</v>
      </c>
      <c r="Z23" s="807" t="s">
        <v>29</v>
      </c>
      <c r="AA23" s="807" t="s">
        <v>29</v>
      </c>
      <c r="AB23" s="807" t="s">
        <v>29</v>
      </c>
      <c r="AC23" s="572">
        <v>2695.69</v>
      </c>
      <c r="AD23" s="572">
        <v>2569.12</v>
      </c>
      <c r="AE23" s="624">
        <v>2505.5700000000002</v>
      </c>
      <c r="AF23" s="624">
        <v>2743.7</v>
      </c>
      <c r="AG23" s="624">
        <v>3028</v>
      </c>
      <c r="AH23" s="624">
        <v>3157</v>
      </c>
      <c r="AI23" s="624" t="s">
        <v>29</v>
      </c>
      <c r="AJ23" s="188"/>
      <c r="AK23" s="188"/>
      <c r="AL23" s="188"/>
      <c r="AM23" s="202"/>
      <c r="AN23" s="202"/>
      <c r="AO23" s="202"/>
      <c r="AP23" s="202"/>
      <c r="AQ23" s="202"/>
      <c r="AR23" s="202"/>
      <c r="AS23" s="202"/>
      <c r="AT23" s="70"/>
      <c r="AU23" s="70"/>
      <c r="AV23" s="70"/>
      <c r="AW23" s="70"/>
      <c r="AX23" s="70"/>
      <c r="AY23" s="70"/>
      <c r="AZ23" s="70"/>
      <c r="BA23" s="70"/>
      <c r="BB23" s="70"/>
      <c r="BC23" s="70"/>
      <c r="BD23" s="70"/>
      <c r="BE23" s="70"/>
      <c r="BF23" s="70"/>
      <c r="BG23" s="70"/>
      <c r="BH23" s="70"/>
      <c r="BI23" s="70"/>
      <c r="BJ23" s="70"/>
      <c r="BK23" s="70"/>
      <c r="BL23" s="70"/>
      <c r="BM23" s="70"/>
      <c r="BN23" s="70"/>
      <c r="BO23" s="70"/>
      <c r="BP23" s="70"/>
    </row>
    <row r="24" spans="1:68" s="71" customFormat="1" ht="15.75" customHeight="1">
      <c r="A24" s="587" t="s">
        <v>394</v>
      </c>
      <c r="B24" s="46"/>
      <c r="C24" s="46"/>
      <c r="D24" s="46"/>
      <c r="E24" s="46"/>
      <c r="F24" s="46"/>
      <c r="G24" s="46"/>
      <c r="H24" s="46"/>
      <c r="I24" s="46"/>
      <c r="J24" s="204"/>
      <c r="K24" s="204"/>
      <c r="L24" s="204"/>
      <c r="M24" s="204"/>
      <c r="N24" s="204"/>
      <c r="O24" s="195"/>
      <c r="P24" s="195"/>
      <c r="Q24" s="195"/>
      <c r="R24" s="195"/>
      <c r="S24" s="195"/>
      <c r="T24" s="169"/>
      <c r="U24" s="75" t="s">
        <v>58</v>
      </c>
      <c r="V24" s="75" t="s">
        <v>58</v>
      </c>
      <c r="W24" s="75" t="s">
        <v>58</v>
      </c>
      <c r="X24" s="75" t="s">
        <v>58</v>
      </c>
      <c r="Y24" s="749" t="s">
        <v>58</v>
      </c>
      <c r="Z24" s="749" t="s">
        <v>58</v>
      </c>
      <c r="AA24" s="232">
        <v>1553.5654959999999</v>
      </c>
      <c r="AB24" s="232">
        <v>2154.68813</v>
      </c>
      <c r="AC24" s="232">
        <v>3001.8213529999998</v>
      </c>
      <c r="AD24" s="232">
        <v>4150.3114690000002</v>
      </c>
      <c r="AE24" s="232">
        <v>3920.6999466000007</v>
      </c>
      <c r="AF24" s="232">
        <v>4198.5125120000002</v>
      </c>
      <c r="AG24" s="232">
        <v>4783.3383210000002</v>
      </c>
      <c r="AH24" s="232">
        <v>4903.4014909999996</v>
      </c>
      <c r="AI24" s="232">
        <v>1957.560602</v>
      </c>
      <c r="AK24" s="188"/>
      <c r="AL24" s="188"/>
      <c r="AM24" s="202"/>
      <c r="AN24" s="202"/>
      <c r="AO24" s="202"/>
      <c r="AP24" s="202"/>
      <c r="AQ24" s="202"/>
      <c r="AR24" s="202"/>
      <c r="AS24" s="202"/>
      <c r="AT24" s="70"/>
      <c r="AU24" s="70"/>
      <c r="AV24" s="70"/>
      <c r="AW24" s="70"/>
      <c r="AX24" s="70"/>
      <c r="AY24" s="70"/>
      <c r="AZ24" s="70"/>
      <c r="BA24" s="70"/>
      <c r="BB24" s="70"/>
      <c r="BC24" s="70"/>
      <c r="BD24" s="70"/>
      <c r="BE24" s="70"/>
      <c r="BF24" s="70"/>
      <c r="BG24" s="70"/>
      <c r="BH24" s="70"/>
      <c r="BI24" s="70"/>
      <c r="BJ24" s="70"/>
      <c r="BK24" s="70"/>
      <c r="BL24" s="70"/>
      <c r="BM24" s="70"/>
      <c r="BN24" s="70"/>
      <c r="BO24" s="70"/>
      <c r="BP24" s="70"/>
    </row>
    <row r="25" spans="1:68" s="191" customFormat="1" ht="15.75" customHeight="1">
      <c r="A25" s="589" t="s">
        <v>367</v>
      </c>
      <c r="B25" s="520"/>
      <c r="C25" s="520"/>
      <c r="D25" s="520"/>
      <c r="E25" s="520"/>
      <c r="F25" s="520">
        <v>32.9</v>
      </c>
      <c r="G25" s="520">
        <v>33.4</v>
      </c>
      <c r="H25" s="520">
        <v>32.6</v>
      </c>
      <c r="I25" s="540">
        <v>33.5</v>
      </c>
      <c r="J25" s="520">
        <v>34.1</v>
      </c>
      <c r="K25" s="541">
        <v>35.044234872029371</v>
      </c>
      <c r="L25" s="541">
        <v>34.088916945766471</v>
      </c>
      <c r="M25" s="541">
        <v>32.828843110353816</v>
      </c>
      <c r="N25" s="541">
        <v>32.729280067019715</v>
      </c>
      <c r="O25" s="542">
        <v>33</v>
      </c>
      <c r="P25" s="542">
        <v>31.9</v>
      </c>
      <c r="Q25" s="543">
        <v>30.9</v>
      </c>
      <c r="R25" s="544">
        <v>28.078517934617697</v>
      </c>
      <c r="S25" s="544">
        <v>27.410637407683897</v>
      </c>
      <c r="T25" s="544">
        <v>18.703168590986504</v>
      </c>
      <c r="U25" s="531">
        <v>26.661248767963819</v>
      </c>
      <c r="V25" s="531">
        <v>26.885701548709829</v>
      </c>
      <c r="W25" s="531">
        <v>24.755873104394404</v>
      </c>
      <c r="X25" s="531">
        <v>25.202047250230663</v>
      </c>
      <c r="Y25" s="582">
        <v>26.33077834477502</v>
      </c>
      <c r="Z25" s="582">
        <v>26.409129691426088</v>
      </c>
      <c r="AA25" s="582">
        <v>25.709637855505868</v>
      </c>
      <c r="AB25" s="582">
        <v>26.380833552063532</v>
      </c>
      <c r="AC25" s="582">
        <v>25.222220343669495</v>
      </c>
      <c r="AD25" s="582">
        <v>23.577265793825415</v>
      </c>
      <c r="AE25" s="808">
        <v>23.776007716906278</v>
      </c>
      <c r="AF25" s="808">
        <v>24.470478687910209</v>
      </c>
      <c r="AG25" s="808">
        <v>24.820645423933822</v>
      </c>
      <c r="AH25" s="808">
        <v>26.267896009992388</v>
      </c>
      <c r="AI25" s="808">
        <v>14.820529248455566</v>
      </c>
      <c r="AJ25" s="188"/>
      <c r="AK25" s="188"/>
      <c r="AL25" s="188"/>
      <c r="AM25" s="202"/>
      <c r="AN25" s="202"/>
      <c r="AO25" s="202"/>
      <c r="AP25" s="202"/>
      <c r="AQ25" s="202"/>
      <c r="AR25" s="202"/>
      <c r="AS25" s="202"/>
      <c r="AT25" s="70"/>
      <c r="AU25" s="70"/>
      <c r="AV25" s="70"/>
      <c r="AW25" s="70"/>
      <c r="AX25" s="70"/>
      <c r="AY25" s="70"/>
      <c r="AZ25" s="70"/>
      <c r="BA25" s="70"/>
      <c r="BB25" s="70"/>
      <c r="BC25" s="70"/>
      <c r="BD25" s="70"/>
      <c r="BE25" s="70"/>
      <c r="BF25" s="70"/>
      <c r="BG25" s="70"/>
      <c r="BH25" s="70"/>
      <c r="BI25" s="70"/>
      <c r="BJ25" s="70"/>
      <c r="BK25" s="70"/>
      <c r="BL25" s="70"/>
      <c r="BM25" s="70"/>
      <c r="BN25" s="70"/>
      <c r="BO25" s="70"/>
      <c r="BP25" s="70"/>
    </row>
    <row r="26" spans="1:68" s="210" customFormat="1" ht="13.5" customHeight="1">
      <c r="A26" s="205" t="s">
        <v>147</v>
      </c>
      <c r="B26" s="46"/>
      <c r="C26" s="46"/>
      <c r="D26" s="46"/>
      <c r="E26" s="46"/>
      <c r="F26" s="46"/>
      <c r="G26" s="46"/>
      <c r="H26" s="46"/>
      <c r="I26" s="204"/>
      <c r="J26" s="46"/>
      <c r="K26" s="206"/>
      <c r="L26" s="206"/>
      <c r="M26" s="206"/>
      <c r="N26" s="206"/>
      <c r="O26" s="206"/>
      <c r="P26" s="206"/>
      <c r="Q26" s="207"/>
      <c r="R26" s="208"/>
      <c r="S26" s="208"/>
      <c r="T26" s="208"/>
      <c r="U26" s="209"/>
      <c r="Y26" s="809"/>
      <c r="Z26" s="809"/>
      <c r="AA26" s="809"/>
      <c r="AB26" s="810"/>
      <c r="AC26" s="742"/>
      <c r="AD26" s="742"/>
      <c r="AE26" s="232"/>
      <c r="AF26" s="232"/>
      <c r="AG26" s="232"/>
      <c r="AH26" s="811"/>
      <c r="AI26" s="811"/>
      <c r="AJ26" s="188"/>
      <c r="AK26" s="188"/>
      <c r="AL26" s="188"/>
    </row>
    <row r="27" spans="1:68" s="210" customFormat="1" ht="13.5" customHeight="1">
      <c r="A27" s="205" t="s">
        <v>148</v>
      </c>
      <c r="B27" s="46"/>
      <c r="C27" s="46"/>
      <c r="D27" s="46"/>
      <c r="E27" s="46"/>
      <c r="F27" s="46"/>
      <c r="G27" s="46"/>
      <c r="H27" s="46"/>
      <c r="I27" s="46"/>
      <c r="J27" s="46"/>
      <c r="K27" s="46"/>
      <c r="L27" s="46"/>
      <c r="M27" s="46"/>
      <c r="N27" s="46"/>
      <c r="O27" s="46"/>
      <c r="P27" s="46"/>
      <c r="Q27" s="46"/>
      <c r="R27" s="46"/>
      <c r="S27" s="46"/>
      <c r="T27" s="46"/>
      <c r="Y27" s="812"/>
      <c r="Z27" s="812"/>
      <c r="AA27" s="812"/>
      <c r="AB27" s="812"/>
      <c r="AC27" s="813"/>
      <c r="AD27" s="813"/>
      <c r="AE27" s="814"/>
      <c r="AF27" s="814"/>
      <c r="AG27" s="814"/>
      <c r="AH27" s="814"/>
      <c r="AI27" s="815"/>
      <c r="AJ27" s="188"/>
      <c r="AK27" s="188"/>
      <c r="AL27" s="188"/>
    </row>
    <row r="28" spans="1:68" s="70" customFormat="1" ht="12" customHeight="1">
      <c r="A28" s="205" t="s">
        <v>149</v>
      </c>
      <c r="B28" s="46"/>
      <c r="C28" s="46"/>
      <c r="D28" s="46"/>
      <c r="E28" s="46"/>
      <c r="F28" s="46"/>
      <c r="G28" s="46"/>
      <c r="H28" s="46"/>
      <c r="I28" s="46"/>
      <c r="J28" s="46"/>
      <c r="K28" s="46"/>
      <c r="L28" s="46"/>
      <c r="M28" s="46"/>
      <c r="N28" s="46"/>
      <c r="O28" s="46"/>
      <c r="P28" s="46"/>
      <c r="Q28" s="46"/>
      <c r="R28" s="184"/>
      <c r="S28" s="184"/>
      <c r="T28" s="184"/>
      <c r="U28" s="460"/>
      <c r="V28" s="460"/>
      <c r="W28" s="460"/>
      <c r="X28" s="460"/>
      <c r="Y28" s="816"/>
      <c r="Z28" s="816"/>
      <c r="AA28" s="816"/>
      <c r="AB28" s="816"/>
      <c r="AC28" s="816"/>
      <c r="AD28" s="816"/>
      <c r="AE28" s="811"/>
      <c r="AF28" s="811"/>
      <c r="AG28" s="811"/>
      <c r="AH28" s="811"/>
      <c r="AI28" s="811"/>
    </row>
    <row r="29" spans="1:68" s="70" customFormat="1" ht="12.75" customHeight="1">
      <c r="A29" s="205"/>
      <c r="B29" s="46"/>
      <c r="C29" s="46"/>
      <c r="D29" s="46"/>
      <c r="E29" s="46"/>
      <c r="F29" s="46"/>
      <c r="G29" s="46"/>
      <c r="H29" s="46"/>
      <c r="I29" s="46"/>
      <c r="J29" s="46"/>
      <c r="K29" s="46"/>
      <c r="L29" s="46"/>
      <c r="M29" s="46"/>
      <c r="N29" s="46"/>
      <c r="O29" s="46"/>
      <c r="P29" s="46"/>
      <c r="Q29" s="46"/>
      <c r="R29" s="184"/>
      <c r="S29" s="184"/>
      <c r="T29" s="184"/>
      <c r="U29" s="75"/>
      <c r="V29" s="75"/>
      <c r="W29" s="75"/>
      <c r="X29" s="75"/>
      <c r="Y29" s="749"/>
      <c r="Z29" s="749"/>
      <c r="AA29" s="749"/>
      <c r="AB29" s="749"/>
      <c r="AC29" s="749"/>
      <c r="AD29" s="749"/>
      <c r="AE29" s="811"/>
      <c r="AF29" s="811"/>
      <c r="AG29" s="811"/>
      <c r="AH29" s="811"/>
      <c r="AI29" s="811"/>
    </row>
    <row r="30" spans="1:68" s="80" customFormat="1">
      <c r="A30" s="211"/>
      <c r="U30" s="212"/>
      <c r="V30" s="212"/>
      <c r="W30" s="212"/>
      <c r="X30" s="212"/>
      <c r="Y30" s="817"/>
      <c r="Z30" s="817"/>
      <c r="AA30" s="817"/>
      <c r="AB30" s="817"/>
      <c r="AC30" s="817"/>
      <c r="AD30" s="662"/>
      <c r="AE30" s="662"/>
      <c r="AF30" s="790"/>
      <c r="AG30" s="815"/>
      <c r="AH30" s="815"/>
      <c r="AI30" s="815"/>
      <c r="AJ30" s="188"/>
      <c r="AK30" s="158"/>
      <c r="AL30" s="158"/>
      <c r="AM30" s="158"/>
      <c r="AN30" s="158"/>
      <c r="AO30" s="158"/>
      <c r="AP30" s="158"/>
      <c r="AQ30" s="158"/>
      <c r="AR30" s="158"/>
      <c r="AS30" s="158"/>
    </row>
    <row r="31" spans="1:68" s="80" customFormat="1">
      <c r="A31" s="69"/>
      <c r="Y31" s="662"/>
      <c r="Z31" s="662"/>
      <c r="AA31" s="662"/>
      <c r="AB31" s="662"/>
      <c r="AC31" s="662"/>
      <c r="AD31" s="662"/>
      <c r="AE31" s="662"/>
      <c r="AF31" s="662"/>
      <c r="AG31" s="662"/>
      <c r="AH31" s="662"/>
      <c r="AI31" s="662"/>
    </row>
    <row r="32" spans="1:68" s="80" customFormat="1">
      <c r="Y32" s="662"/>
      <c r="Z32" s="662"/>
      <c r="AA32" s="662"/>
      <c r="AB32" s="662"/>
      <c r="AC32" s="790"/>
      <c r="AD32" s="790"/>
      <c r="AE32" s="790"/>
      <c r="AF32" s="790"/>
      <c r="AG32" s="790"/>
      <c r="AH32" s="790"/>
      <c r="AI32" s="790"/>
      <c r="AJ32" s="158"/>
      <c r="AK32" s="158"/>
      <c r="AL32" s="158"/>
      <c r="AM32" s="158"/>
      <c r="AN32" s="158"/>
      <c r="AO32" s="158"/>
      <c r="AP32" s="158"/>
      <c r="AQ32" s="158"/>
      <c r="AR32" s="158"/>
      <c r="AS32" s="158"/>
    </row>
    <row r="33" spans="21:35" s="80" customFormat="1">
      <c r="Y33" s="662"/>
      <c r="Z33" s="662"/>
      <c r="AA33" s="662"/>
      <c r="AB33" s="662"/>
      <c r="AC33" s="662"/>
      <c r="AD33" s="662"/>
      <c r="AE33" s="662"/>
      <c r="AF33" s="662"/>
      <c r="AG33" s="662"/>
      <c r="AH33" s="662"/>
      <c r="AI33" s="232"/>
    </row>
    <row r="34" spans="21:35" s="80" customFormat="1">
      <c r="Y34" s="662"/>
      <c r="Z34" s="662"/>
      <c r="AA34" s="662"/>
      <c r="AB34" s="662"/>
      <c r="AC34" s="662"/>
      <c r="AD34" s="662"/>
      <c r="AE34" s="662"/>
      <c r="AF34" s="662"/>
      <c r="AG34" s="662"/>
      <c r="AH34" s="662"/>
      <c r="AI34" s="662"/>
    </row>
    <row r="35" spans="21:35" s="80" customFormat="1">
      <c r="Y35" s="662"/>
      <c r="Z35" s="662"/>
      <c r="AA35" s="662"/>
      <c r="AB35" s="662"/>
      <c r="AC35" s="662"/>
      <c r="AD35" s="662"/>
      <c r="AE35" s="662"/>
      <c r="AF35" s="662"/>
      <c r="AG35" s="662"/>
      <c r="AH35" s="662"/>
      <c r="AI35" s="662"/>
    </row>
    <row r="36" spans="21:35" s="80" customFormat="1">
      <c r="Y36" s="668"/>
      <c r="Z36" s="662"/>
      <c r="AA36" s="662"/>
      <c r="AB36" s="662"/>
      <c r="AC36" s="662"/>
      <c r="AD36" s="662"/>
      <c r="AE36" s="662"/>
      <c r="AF36" s="662"/>
      <c r="AG36" s="662"/>
      <c r="AH36" s="662"/>
      <c r="AI36" s="662"/>
    </row>
    <row r="37" spans="21:35" s="80" customFormat="1">
      <c r="Y37" s="662"/>
      <c r="Z37" s="662"/>
      <c r="AA37" s="662"/>
      <c r="AB37" s="662"/>
      <c r="AC37" s="662"/>
      <c r="AD37" s="662"/>
      <c r="AE37" s="662"/>
      <c r="AF37" s="662"/>
      <c r="AG37" s="662"/>
      <c r="AH37" s="662"/>
      <c r="AI37" s="662"/>
    </row>
    <row r="38" spans="21:35" s="80" customFormat="1">
      <c r="Y38" s="662"/>
      <c r="Z38" s="662"/>
      <c r="AA38" s="662"/>
      <c r="AB38" s="662"/>
      <c r="AC38" s="662"/>
      <c r="AD38" s="662"/>
      <c r="AE38" s="662"/>
      <c r="AF38" s="662"/>
      <c r="AG38" s="662"/>
      <c r="AH38" s="662"/>
      <c r="AI38" s="662"/>
    </row>
    <row r="39" spans="21:35" s="80" customFormat="1">
      <c r="Y39" s="662"/>
      <c r="Z39" s="662"/>
      <c r="AA39" s="662"/>
      <c r="AB39" s="662"/>
      <c r="AC39" s="662"/>
      <c r="AD39" s="662"/>
      <c r="AE39" s="662"/>
      <c r="AF39" s="662"/>
      <c r="AG39" s="662"/>
      <c r="AH39" s="662"/>
      <c r="AI39" s="662"/>
    </row>
    <row r="40" spans="21:35" s="80" customFormat="1">
      <c r="Y40" s="662"/>
      <c r="Z40" s="662"/>
      <c r="AA40" s="662"/>
      <c r="AB40" s="662"/>
      <c r="AC40" s="662"/>
      <c r="AD40" s="662"/>
      <c r="AE40" s="662"/>
      <c r="AF40" s="662"/>
      <c r="AG40" s="662"/>
      <c r="AH40" s="662"/>
      <c r="AI40" s="662"/>
    </row>
    <row r="41" spans="21:35" s="80" customFormat="1">
      <c r="Y41" s="662"/>
      <c r="Z41" s="662"/>
      <c r="AA41" s="662"/>
      <c r="AB41" s="662"/>
      <c r="AC41" s="662"/>
      <c r="AD41" s="662"/>
      <c r="AE41" s="662"/>
      <c r="AF41" s="662"/>
      <c r="AG41" s="662"/>
      <c r="AH41" s="662"/>
      <c r="AI41" s="662"/>
    </row>
    <row r="42" spans="21:35" s="25" customFormat="1">
      <c r="Y42" s="736"/>
      <c r="Z42" s="736"/>
      <c r="AA42" s="736"/>
      <c r="AB42" s="736"/>
      <c r="AC42" s="736"/>
      <c r="AD42" s="736"/>
      <c r="AE42" s="736"/>
      <c r="AF42" s="736"/>
      <c r="AG42" s="736"/>
      <c r="AH42" s="736"/>
      <c r="AI42" s="736"/>
    </row>
    <row r="43" spans="21:35" s="80" customFormat="1">
      <c r="U43" s="213"/>
      <c r="V43" s="213"/>
      <c r="W43" s="213"/>
      <c r="X43" s="213"/>
      <c r="Y43" s="818"/>
      <c r="Z43" s="818"/>
      <c r="AA43" s="818"/>
      <c r="AB43" s="818"/>
      <c r="AC43" s="818"/>
      <c r="AD43" s="818"/>
      <c r="AE43" s="818"/>
      <c r="AF43" s="818"/>
      <c r="AG43" s="662"/>
      <c r="AH43" s="662"/>
      <c r="AI43" s="662"/>
    </row>
    <row r="44" spans="21:35" s="80" customFormat="1">
      <c r="U44" s="214"/>
      <c r="V44" s="214"/>
      <c r="W44" s="214"/>
      <c r="X44" s="214"/>
      <c r="Y44" s="819"/>
      <c r="Z44" s="819"/>
      <c r="AA44" s="819"/>
      <c r="AB44" s="819"/>
      <c r="AC44" s="819"/>
      <c r="AD44" s="819"/>
      <c r="AE44" s="819"/>
      <c r="AF44" s="662"/>
      <c r="AG44" s="662"/>
      <c r="AH44" s="662"/>
      <c r="AI44" s="662"/>
    </row>
    <row r="45" spans="21:35" s="80" customFormat="1">
      <c r="Y45" s="662"/>
      <c r="Z45" s="662"/>
      <c r="AA45" s="662"/>
      <c r="AB45" s="662"/>
      <c r="AC45" s="662"/>
      <c r="AD45" s="662"/>
      <c r="AE45" s="662"/>
      <c r="AF45" s="662"/>
      <c r="AG45" s="662"/>
      <c r="AH45" s="662"/>
      <c r="AI45" s="662"/>
    </row>
    <row r="46" spans="21:35" s="80" customFormat="1">
      <c r="Y46" s="662"/>
      <c r="Z46" s="662"/>
      <c r="AA46" s="662"/>
      <c r="AB46" s="662"/>
      <c r="AC46" s="662"/>
      <c r="AD46" s="662"/>
      <c r="AE46" s="662"/>
      <c r="AF46" s="662"/>
      <c r="AG46" s="662"/>
      <c r="AH46" s="662"/>
      <c r="AI46" s="662"/>
    </row>
    <row r="47" spans="21:35" s="80" customFormat="1">
      <c r="Y47" s="662"/>
      <c r="Z47" s="662"/>
      <c r="AA47" s="662"/>
      <c r="AB47" s="662"/>
      <c r="AC47" s="662"/>
      <c r="AD47" s="662"/>
      <c r="AE47" s="662"/>
      <c r="AF47" s="662"/>
      <c r="AG47" s="820"/>
      <c r="AH47" s="820"/>
      <c r="AI47" s="662"/>
    </row>
    <row r="48" spans="21:35" s="80" customFormat="1">
      <c r="Y48" s="662"/>
      <c r="Z48" s="662"/>
      <c r="AA48" s="662"/>
      <c r="AB48" s="662"/>
      <c r="AC48" s="662"/>
      <c r="AD48" s="662"/>
      <c r="AE48" s="662"/>
      <c r="AF48" s="662"/>
      <c r="AG48" s="668"/>
      <c r="AH48" s="821"/>
      <c r="AI48" s="662"/>
    </row>
    <row r="49" spans="25:35" s="80" customFormat="1">
      <c r="Y49" s="662"/>
      <c r="Z49" s="662"/>
      <c r="AA49" s="662"/>
      <c r="AB49" s="662"/>
      <c r="AC49" s="662"/>
      <c r="AD49" s="662"/>
      <c r="AE49" s="662"/>
      <c r="AF49" s="662"/>
      <c r="AG49" s="821"/>
      <c r="AH49" s="821"/>
      <c r="AI49" s="662"/>
    </row>
    <row r="50" spans="25:35" s="80" customFormat="1">
      <c r="Y50" s="662"/>
      <c r="Z50" s="662"/>
      <c r="AA50" s="662"/>
      <c r="AB50" s="662"/>
      <c r="AC50" s="662"/>
      <c r="AD50" s="662"/>
      <c r="AE50" s="662"/>
      <c r="AF50" s="662"/>
      <c r="AG50" s="821"/>
      <c r="AH50" s="821"/>
      <c r="AI50" s="662"/>
    </row>
    <row r="51" spans="25:35" s="80" customFormat="1">
      <c r="Y51" s="662"/>
      <c r="Z51" s="662"/>
      <c r="AA51" s="662"/>
      <c r="AB51" s="662"/>
      <c r="AC51" s="662"/>
      <c r="AD51" s="662"/>
      <c r="AE51" s="662"/>
      <c r="AF51" s="662"/>
      <c r="AG51" s="821"/>
      <c r="AH51" s="821"/>
      <c r="AI51" s="662"/>
    </row>
    <row r="52" spans="25:35" s="80" customFormat="1">
      <c r="Y52" s="662"/>
      <c r="Z52" s="662"/>
      <c r="AA52" s="662"/>
      <c r="AB52" s="662"/>
      <c r="AC52" s="662"/>
      <c r="AD52" s="662"/>
      <c r="AE52" s="662"/>
      <c r="AF52" s="662"/>
      <c r="AG52" s="821"/>
      <c r="AH52" s="821"/>
      <c r="AI52" s="662"/>
    </row>
    <row r="53" spans="25:35" s="80" customFormat="1">
      <c r="Y53" s="662"/>
      <c r="Z53" s="662"/>
      <c r="AA53" s="662"/>
      <c r="AB53" s="662"/>
      <c r="AC53" s="662"/>
      <c r="AD53" s="662"/>
      <c r="AE53" s="662"/>
      <c r="AF53" s="662"/>
      <c r="AG53" s="821"/>
      <c r="AH53" s="821"/>
      <c r="AI53" s="662"/>
    </row>
    <row r="54" spans="25:35" s="80" customFormat="1">
      <c r="Y54" s="662"/>
      <c r="Z54" s="662"/>
      <c r="AA54" s="662"/>
      <c r="AB54" s="662"/>
      <c r="AC54" s="662"/>
      <c r="AD54" s="662"/>
      <c r="AE54" s="662"/>
      <c r="AF54" s="662"/>
      <c r="AG54" s="821"/>
      <c r="AH54" s="821"/>
      <c r="AI54" s="662"/>
    </row>
    <row r="55" spans="25:35" s="80" customFormat="1">
      <c r="Y55" s="662"/>
      <c r="Z55" s="662"/>
      <c r="AA55" s="766"/>
      <c r="AB55" s="766"/>
      <c r="AC55" s="766"/>
      <c r="AD55" s="766"/>
      <c r="AE55" s="766"/>
      <c r="AF55" s="766"/>
      <c r="AG55" s="766"/>
      <c r="AH55" s="766"/>
      <c r="AI55" s="662"/>
    </row>
    <row r="56" spans="25:35" s="80" customFormat="1">
      <c r="Y56" s="662"/>
      <c r="Z56" s="662"/>
      <c r="AA56" s="766"/>
      <c r="AB56" s="766"/>
      <c r="AC56" s="766"/>
      <c r="AD56" s="766"/>
      <c r="AE56" s="766"/>
      <c r="AF56" s="766"/>
      <c r="AG56" s="766"/>
      <c r="AH56" s="766"/>
      <c r="AI56" s="662"/>
    </row>
    <row r="57" spans="25:35" s="80" customFormat="1">
      <c r="Y57" s="662"/>
      <c r="Z57" s="662"/>
      <c r="AA57" s="766"/>
      <c r="AB57" s="766"/>
      <c r="AC57" s="766"/>
      <c r="AD57" s="766"/>
      <c r="AE57" s="766"/>
      <c r="AF57" s="766"/>
      <c r="AG57" s="766"/>
      <c r="AH57" s="766"/>
      <c r="AI57" s="662"/>
    </row>
    <row r="58" spans="25:35" s="80" customFormat="1">
      <c r="Y58" s="662"/>
      <c r="Z58" s="662"/>
      <c r="AA58" s="766"/>
      <c r="AB58" s="766"/>
      <c r="AC58" s="766"/>
      <c r="AD58" s="766"/>
      <c r="AE58" s="766"/>
      <c r="AF58" s="766"/>
      <c r="AG58" s="766"/>
      <c r="AH58" s="766"/>
      <c r="AI58" s="662"/>
    </row>
    <row r="59" spans="25:35" s="80" customFormat="1">
      <c r="Y59" s="662"/>
      <c r="Z59" s="662"/>
      <c r="AA59" s="766"/>
      <c r="AB59" s="766"/>
      <c r="AC59" s="766"/>
      <c r="AD59" s="766"/>
      <c r="AE59" s="766"/>
      <c r="AF59" s="766"/>
      <c r="AG59" s="766"/>
      <c r="AH59" s="766"/>
      <c r="AI59" s="662"/>
    </row>
    <row r="60" spans="25:35" s="80" customFormat="1">
      <c r="Y60" s="662"/>
      <c r="Z60" s="662"/>
      <c r="AA60" s="662"/>
      <c r="AB60" s="662"/>
      <c r="AC60" s="662"/>
      <c r="AD60" s="662"/>
      <c r="AE60" s="662"/>
      <c r="AF60" s="662"/>
      <c r="AG60" s="662"/>
      <c r="AH60" s="662"/>
      <c r="AI60" s="662"/>
    </row>
    <row r="61" spans="25:35" s="80" customFormat="1">
      <c r="Y61" s="662"/>
      <c r="Z61" s="662"/>
      <c r="AA61" s="662"/>
      <c r="AB61" s="662"/>
      <c r="AC61" s="662"/>
      <c r="AD61" s="662"/>
      <c r="AE61" s="662"/>
      <c r="AF61" s="662"/>
      <c r="AG61" s="662"/>
      <c r="AH61" s="662"/>
      <c r="AI61" s="662"/>
    </row>
    <row r="62" spans="25:35" s="80" customFormat="1">
      <c r="Y62" s="662"/>
      <c r="Z62" s="662"/>
      <c r="AA62" s="662"/>
      <c r="AB62" s="662"/>
      <c r="AC62" s="662"/>
      <c r="AD62" s="662"/>
      <c r="AE62" s="662"/>
      <c r="AF62" s="662"/>
      <c r="AG62" s="662"/>
      <c r="AH62" s="662"/>
      <c r="AI62" s="662"/>
    </row>
    <row r="63" spans="25:35" s="80" customFormat="1">
      <c r="Y63" s="662"/>
      <c r="Z63" s="662"/>
      <c r="AA63" s="662"/>
      <c r="AB63" s="662"/>
      <c r="AC63" s="662"/>
      <c r="AD63" s="662"/>
      <c r="AE63" s="662"/>
      <c r="AF63" s="662"/>
      <c r="AG63" s="662"/>
      <c r="AH63" s="662"/>
      <c r="AI63" s="662"/>
    </row>
    <row r="64" spans="25:35" s="80" customFormat="1">
      <c r="Y64" s="662"/>
      <c r="Z64" s="662"/>
      <c r="AA64" s="662"/>
      <c r="AB64" s="662"/>
      <c r="AC64" s="662"/>
      <c r="AD64" s="662"/>
      <c r="AE64" s="662"/>
      <c r="AF64" s="662"/>
      <c r="AG64" s="662"/>
      <c r="AH64" s="662"/>
      <c r="AI64" s="662"/>
    </row>
    <row r="65" spans="25:35" s="80" customFormat="1">
      <c r="Y65" s="662"/>
      <c r="Z65" s="662"/>
      <c r="AA65" s="662"/>
      <c r="AB65" s="662"/>
      <c r="AC65" s="662"/>
      <c r="AD65" s="662"/>
      <c r="AE65" s="662"/>
      <c r="AF65" s="662"/>
      <c r="AG65" s="662"/>
      <c r="AH65" s="662"/>
      <c r="AI65" s="662"/>
    </row>
    <row r="66" spans="25:35" s="80" customFormat="1">
      <c r="Y66" s="662"/>
      <c r="Z66" s="662"/>
      <c r="AA66" s="662"/>
      <c r="AB66" s="662"/>
      <c r="AC66" s="662"/>
      <c r="AD66" s="662"/>
      <c r="AE66" s="662"/>
      <c r="AF66" s="662"/>
      <c r="AG66" s="662"/>
      <c r="AH66" s="662"/>
      <c r="AI66" s="662"/>
    </row>
    <row r="67" spans="25:35" s="80" customFormat="1">
      <c r="Y67" s="662"/>
      <c r="Z67" s="662"/>
      <c r="AA67" s="662"/>
      <c r="AB67" s="662"/>
      <c r="AC67" s="662"/>
      <c r="AD67" s="662"/>
      <c r="AE67" s="662"/>
      <c r="AF67" s="662"/>
      <c r="AG67" s="662"/>
      <c r="AH67" s="662"/>
      <c r="AI67" s="662"/>
    </row>
    <row r="68" spans="25:35" s="80" customFormat="1">
      <c r="Y68" s="662"/>
      <c r="Z68" s="662"/>
      <c r="AA68" s="662"/>
      <c r="AB68" s="662"/>
      <c r="AC68" s="662"/>
      <c r="AD68" s="662"/>
      <c r="AE68" s="662"/>
      <c r="AF68" s="662"/>
      <c r="AG68" s="662"/>
      <c r="AH68" s="662"/>
      <c r="AI68" s="662"/>
    </row>
    <row r="69" spans="25:35" s="80" customFormat="1">
      <c r="Y69" s="662"/>
      <c r="Z69" s="662"/>
      <c r="AA69" s="662"/>
      <c r="AB69" s="662"/>
      <c r="AC69" s="662"/>
      <c r="AD69" s="662"/>
      <c r="AE69" s="662"/>
      <c r="AF69" s="662"/>
      <c r="AG69" s="662"/>
      <c r="AH69" s="662"/>
      <c r="AI69" s="662"/>
    </row>
    <row r="70" spans="25:35" s="80" customFormat="1">
      <c r="Y70" s="662"/>
      <c r="Z70" s="662"/>
      <c r="AA70" s="662"/>
      <c r="AB70" s="662"/>
      <c r="AC70" s="662"/>
      <c r="AD70" s="662"/>
      <c r="AE70" s="662"/>
      <c r="AF70" s="662"/>
      <c r="AG70" s="662"/>
      <c r="AH70" s="662"/>
      <c r="AI70" s="662"/>
    </row>
    <row r="71" spans="25:35" s="80" customFormat="1">
      <c r="Y71" s="662"/>
      <c r="Z71" s="662"/>
      <c r="AA71" s="662"/>
      <c r="AB71" s="662"/>
      <c r="AC71" s="662"/>
      <c r="AD71" s="662"/>
      <c r="AE71" s="662"/>
      <c r="AF71" s="662"/>
      <c r="AG71" s="662"/>
      <c r="AH71" s="662"/>
      <c r="AI71" s="662"/>
    </row>
    <row r="72" spans="25:35" s="80" customFormat="1">
      <c r="Y72" s="662"/>
      <c r="Z72" s="662"/>
      <c r="AA72" s="662"/>
      <c r="AB72" s="662"/>
      <c r="AC72" s="662"/>
      <c r="AD72" s="662"/>
      <c r="AE72" s="662"/>
      <c r="AF72" s="662"/>
      <c r="AG72" s="662"/>
      <c r="AH72" s="662"/>
      <c r="AI72" s="662"/>
    </row>
    <row r="73" spans="25:35" s="80" customFormat="1">
      <c r="Y73" s="662"/>
      <c r="Z73" s="662"/>
      <c r="AA73" s="662"/>
      <c r="AB73" s="662"/>
      <c r="AC73" s="662"/>
      <c r="AD73" s="662"/>
      <c r="AE73" s="662"/>
      <c r="AF73" s="662"/>
      <c r="AG73" s="662"/>
      <c r="AH73" s="662"/>
      <c r="AI73" s="662"/>
    </row>
    <row r="74" spans="25:35" s="80" customFormat="1">
      <c r="Y74" s="662"/>
      <c r="Z74" s="662"/>
      <c r="AA74" s="662"/>
      <c r="AB74" s="662"/>
      <c r="AC74" s="662"/>
      <c r="AD74" s="662"/>
      <c r="AE74" s="662"/>
      <c r="AF74" s="662"/>
      <c r="AG74" s="662"/>
      <c r="AH74" s="662"/>
      <c r="AI74" s="662"/>
    </row>
    <row r="75" spans="25:35" s="80" customFormat="1">
      <c r="Y75" s="662"/>
      <c r="Z75" s="662"/>
      <c r="AA75" s="662"/>
      <c r="AB75" s="662"/>
      <c r="AC75" s="662"/>
      <c r="AD75" s="662"/>
      <c r="AE75" s="662"/>
      <c r="AF75" s="662"/>
      <c r="AG75" s="662"/>
      <c r="AH75" s="662"/>
      <c r="AI75" s="662"/>
    </row>
    <row r="76" spans="25:35" s="80" customFormat="1">
      <c r="Y76" s="662"/>
      <c r="Z76" s="662"/>
      <c r="AA76" s="662"/>
      <c r="AB76" s="662"/>
      <c r="AC76" s="662"/>
      <c r="AD76" s="662"/>
      <c r="AE76" s="662"/>
      <c r="AF76" s="662"/>
      <c r="AG76" s="662"/>
      <c r="AH76" s="662"/>
      <c r="AI76" s="662"/>
    </row>
    <row r="77" spans="25:35" s="80" customFormat="1">
      <c r="Y77" s="662"/>
      <c r="Z77" s="662"/>
      <c r="AA77" s="662"/>
      <c r="AB77" s="662"/>
      <c r="AC77" s="662"/>
      <c r="AD77" s="662"/>
      <c r="AE77" s="662"/>
      <c r="AF77" s="662"/>
      <c r="AG77" s="662"/>
      <c r="AH77" s="662"/>
      <c r="AI77" s="662"/>
    </row>
    <row r="78" spans="25:35" s="80" customFormat="1">
      <c r="Y78" s="662"/>
      <c r="Z78" s="662"/>
      <c r="AA78" s="662"/>
      <c r="AB78" s="662"/>
      <c r="AC78" s="662"/>
      <c r="AD78" s="662"/>
      <c r="AE78" s="662"/>
      <c r="AF78" s="662"/>
      <c r="AG78" s="662"/>
      <c r="AH78" s="662"/>
      <c r="AI78" s="662"/>
    </row>
    <row r="79" spans="25:35" s="80" customFormat="1">
      <c r="Y79" s="662"/>
      <c r="Z79" s="662"/>
      <c r="AA79" s="662"/>
      <c r="AB79" s="662"/>
      <c r="AC79" s="662"/>
      <c r="AD79" s="662"/>
      <c r="AE79" s="662"/>
      <c r="AF79" s="662"/>
      <c r="AG79" s="662"/>
      <c r="AH79" s="662"/>
      <c r="AI79" s="662"/>
    </row>
    <row r="80" spans="25:35" s="80" customFormat="1">
      <c r="Y80" s="662"/>
      <c r="Z80" s="662"/>
      <c r="AA80" s="662"/>
      <c r="AB80" s="662"/>
      <c r="AC80" s="662"/>
      <c r="AD80" s="662"/>
      <c r="AE80" s="662"/>
      <c r="AF80" s="662"/>
      <c r="AG80" s="662"/>
      <c r="AH80" s="662"/>
      <c r="AI80" s="662"/>
    </row>
    <row r="81" spans="25:35" s="80" customFormat="1">
      <c r="Y81" s="662"/>
      <c r="Z81" s="662"/>
      <c r="AA81" s="662"/>
      <c r="AB81" s="662"/>
      <c r="AC81" s="662"/>
      <c r="AD81" s="662"/>
      <c r="AE81" s="662"/>
      <c r="AF81" s="662"/>
      <c r="AG81" s="662"/>
      <c r="AH81" s="662"/>
      <c r="AI81" s="662"/>
    </row>
    <row r="82" spans="25:35" s="80" customFormat="1">
      <c r="Y82" s="662"/>
      <c r="Z82" s="662"/>
      <c r="AA82" s="662"/>
      <c r="AB82" s="662"/>
      <c r="AC82" s="662"/>
      <c r="AD82" s="662"/>
      <c r="AE82" s="662"/>
      <c r="AF82" s="662"/>
      <c r="AG82" s="662"/>
      <c r="AH82" s="662"/>
      <c r="AI82" s="662"/>
    </row>
    <row r="83" spans="25:35" s="80" customFormat="1">
      <c r="Y83" s="662"/>
      <c r="Z83" s="662"/>
      <c r="AA83" s="662"/>
      <c r="AB83" s="662"/>
      <c r="AC83" s="662"/>
      <c r="AD83" s="662"/>
      <c r="AE83" s="662"/>
      <c r="AF83" s="662"/>
      <c r="AG83" s="662"/>
      <c r="AH83" s="662"/>
      <c r="AI83" s="662"/>
    </row>
    <row r="84" spans="25:35" s="80" customFormat="1">
      <c r="Y84" s="662"/>
      <c r="Z84" s="662"/>
      <c r="AA84" s="662"/>
      <c r="AB84" s="662"/>
      <c r="AC84" s="662"/>
      <c r="AD84" s="662"/>
      <c r="AE84" s="662"/>
      <c r="AF84" s="662"/>
      <c r="AG84" s="662"/>
      <c r="AH84" s="662"/>
      <c r="AI84" s="662"/>
    </row>
    <row r="85" spans="25:35" s="80" customFormat="1">
      <c r="Y85" s="662"/>
      <c r="Z85" s="662"/>
      <c r="AA85" s="662"/>
      <c r="AB85" s="662"/>
      <c r="AC85" s="662"/>
      <c r="AD85" s="662"/>
      <c r="AE85" s="662"/>
      <c r="AF85" s="662"/>
      <c r="AG85" s="662"/>
      <c r="AH85" s="662"/>
      <c r="AI85" s="662"/>
    </row>
    <row r="86" spans="25:35" s="80" customFormat="1">
      <c r="Y86" s="662"/>
      <c r="Z86" s="662"/>
      <c r="AA86" s="662"/>
      <c r="AB86" s="662"/>
      <c r="AC86" s="662"/>
      <c r="AD86" s="662"/>
      <c r="AE86" s="662"/>
      <c r="AF86" s="662"/>
      <c r="AG86" s="662"/>
      <c r="AH86" s="662"/>
      <c r="AI86" s="662"/>
    </row>
    <row r="87" spans="25:35" s="80" customFormat="1">
      <c r="Y87" s="662"/>
      <c r="Z87" s="662"/>
      <c r="AA87" s="662"/>
      <c r="AB87" s="662"/>
      <c r="AC87" s="662"/>
      <c r="AD87" s="662"/>
      <c r="AE87" s="662"/>
      <c r="AF87" s="662"/>
      <c r="AG87" s="662"/>
      <c r="AH87" s="662"/>
      <c r="AI87" s="662"/>
    </row>
    <row r="88" spans="25:35" s="80" customFormat="1">
      <c r="Y88" s="662"/>
      <c r="Z88" s="662"/>
      <c r="AA88" s="662"/>
      <c r="AB88" s="662"/>
      <c r="AC88" s="662"/>
      <c r="AD88" s="662"/>
      <c r="AE88" s="662"/>
      <c r="AF88" s="662"/>
      <c r="AG88" s="662"/>
      <c r="AH88" s="662"/>
      <c r="AI88" s="662"/>
    </row>
    <row r="89" spans="25:35" s="80" customFormat="1">
      <c r="Y89" s="662"/>
      <c r="Z89" s="662"/>
      <c r="AA89" s="662"/>
      <c r="AB89" s="662"/>
      <c r="AC89" s="662"/>
      <c r="AD89" s="662"/>
      <c r="AE89" s="662"/>
      <c r="AF89" s="662"/>
      <c r="AG89" s="662"/>
      <c r="AH89" s="662"/>
      <c r="AI89" s="662"/>
    </row>
    <row r="90" spans="25:35" s="80" customFormat="1">
      <c r="Y90" s="662"/>
      <c r="Z90" s="662"/>
      <c r="AA90" s="662"/>
      <c r="AB90" s="662"/>
      <c r="AC90" s="662"/>
      <c r="AD90" s="662"/>
      <c r="AE90" s="662"/>
      <c r="AF90" s="662"/>
      <c r="AG90" s="662"/>
      <c r="AH90" s="662"/>
      <c r="AI90" s="662"/>
    </row>
    <row r="91" spans="25:35" s="80" customFormat="1">
      <c r="Y91" s="662"/>
      <c r="Z91" s="662"/>
      <c r="AA91" s="662"/>
      <c r="AB91" s="662"/>
      <c r="AC91" s="662"/>
      <c r="AD91" s="662"/>
      <c r="AE91" s="662"/>
      <c r="AF91" s="662"/>
      <c r="AG91" s="662"/>
      <c r="AH91" s="662"/>
      <c r="AI91" s="662"/>
    </row>
    <row r="92" spans="25:35" s="80" customFormat="1">
      <c r="Y92" s="662"/>
      <c r="Z92" s="662"/>
      <c r="AA92" s="662"/>
      <c r="AB92" s="662"/>
      <c r="AC92" s="662"/>
      <c r="AD92" s="662"/>
      <c r="AE92" s="662"/>
      <c r="AF92" s="662"/>
      <c r="AG92" s="662"/>
      <c r="AH92" s="662"/>
      <c r="AI92" s="662"/>
    </row>
    <row r="93" spans="25:35" s="80" customFormat="1">
      <c r="Y93" s="662"/>
      <c r="Z93" s="662"/>
      <c r="AA93" s="662"/>
      <c r="AB93" s="662"/>
      <c r="AC93" s="662"/>
      <c r="AD93" s="662"/>
      <c r="AE93" s="662"/>
      <c r="AF93" s="662"/>
      <c r="AG93" s="662"/>
      <c r="AH93" s="662"/>
      <c r="AI93" s="662"/>
    </row>
    <row r="94" spans="25:35" s="80" customFormat="1">
      <c r="Y94" s="662"/>
      <c r="Z94" s="662"/>
      <c r="AA94" s="662"/>
      <c r="AB94" s="662"/>
      <c r="AC94" s="662"/>
      <c r="AD94" s="662"/>
      <c r="AE94" s="662"/>
      <c r="AF94" s="662"/>
      <c r="AG94" s="662"/>
      <c r="AH94" s="662"/>
      <c r="AI94" s="662"/>
    </row>
    <row r="95" spans="25:35" s="80" customFormat="1">
      <c r="Y95" s="662"/>
      <c r="Z95" s="662"/>
      <c r="AA95" s="662"/>
      <c r="AB95" s="662"/>
      <c r="AC95" s="662"/>
      <c r="AD95" s="662"/>
      <c r="AE95" s="662"/>
      <c r="AF95" s="662"/>
      <c r="AG95" s="662"/>
      <c r="AH95" s="662"/>
      <c r="AI95" s="662"/>
    </row>
    <row r="96" spans="25:35" s="80" customFormat="1">
      <c r="Y96" s="662"/>
      <c r="Z96" s="662"/>
      <c r="AA96" s="662"/>
      <c r="AB96" s="662"/>
      <c r="AC96" s="662"/>
      <c r="AD96" s="662"/>
      <c r="AE96" s="662"/>
      <c r="AF96" s="662"/>
      <c r="AG96" s="662"/>
      <c r="AH96" s="662"/>
      <c r="AI96" s="662"/>
    </row>
    <row r="97" spans="25:35" s="80" customFormat="1">
      <c r="Y97" s="662"/>
      <c r="Z97" s="662"/>
      <c r="AA97" s="662"/>
      <c r="AB97" s="662"/>
      <c r="AC97" s="662"/>
      <c r="AD97" s="662"/>
      <c r="AE97" s="662"/>
      <c r="AF97" s="662"/>
      <c r="AG97" s="662"/>
      <c r="AH97" s="662"/>
      <c r="AI97" s="662"/>
    </row>
    <row r="98" spans="25:35" s="80" customFormat="1">
      <c r="Y98" s="662"/>
      <c r="Z98" s="662"/>
      <c r="AA98" s="662"/>
      <c r="AB98" s="662"/>
      <c r="AC98" s="662"/>
      <c r="AD98" s="662"/>
      <c r="AE98" s="662"/>
      <c r="AF98" s="662"/>
      <c r="AG98" s="662"/>
      <c r="AH98" s="662"/>
      <c r="AI98" s="662"/>
    </row>
    <row r="99" spans="25:35" s="80" customFormat="1">
      <c r="Y99" s="662"/>
      <c r="Z99" s="662"/>
      <c r="AA99" s="662"/>
      <c r="AB99" s="662"/>
      <c r="AC99" s="662"/>
      <c r="AD99" s="662"/>
      <c r="AE99" s="662"/>
      <c r="AF99" s="662"/>
      <c r="AG99" s="662"/>
      <c r="AH99" s="662"/>
      <c r="AI99" s="662"/>
    </row>
    <row r="100" spans="25:35" s="80" customFormat="1">
      <c r="Y100" s="662"/>
      <c r="Z100" s="662"/>
      <c r="AA100" s="662"/>
      <c r="AB100" s="662"/>
      <c r="AC100" s="662"/>
      <c r="AD100" s="662"/>
      <c r="AE100" s="662"/>
      <c r="AF100" s="662"/>
      <c r="AG100" s="662"/>
      <c r="AH100" s="662"/>
      <c r="AI100" s="662"/>
    </row>
    <row r="101" spans="25:35" s="80" customFormat="1">
      <c r="Y101" s="662"/>
      <c r="Z101" s="662"/>
      <c r="AA101" s="662"/>
      <c r="AB101" s="662"/>
      <c r="AC101" s="662"/>
      <c r="AD101" s="662"/>
      <c r="AE101" s="662"/>
      <c r="AF101" s="662"/>
      <c r="AG101" s="662"/>
      <c r="AH101" s="662"/>
      <c r="AI101" s="662"/>
    </row>
    <row r="102" spans="25:35" s="80" customFormat="1">
      <c r="Y102" s="662"/>
      <c r="Z102" s="662"/>
      <c r="AA102" s="662"/>
      <c r="AB102" s="662"/>
      <c r="AC102" s="662"/>
      <c r="AD102" s="662"/>
      <c r="AE102" s="662"/>
      <c r="AF102" s="662"/>
      <c r="AG102" s="662"/>
      <c r="AH102" s="662"/>
      <c r="AI102" s="662"/>
    </row>
    <row r="103" spans="25:35" s="80" customFormat="1">
      <c r="Y103" s="662"/>
      <c r="Z103" s="662"/>
      <c r="AA103" s="662"/>
      <c r="AB103" s="662"/>
      <c r="AC103" s="662"/>
      <c r="AD103" s="662"/>
      <c r="AE103" s="662"/>
      <c r="AF103" s="662"/>
      <c r="AG103" s="662"/>
      <c r="AH103" s="662"/>
      <c r="AI103" s="662"/>
    </row>
    <row r="104" spans="25:35" s="80" customFormat="1">
      <c r="Y104" s="662"/>
      <c r="Z104" s="662"/>
      <c r="AA104" s="662"/>
      <c r="AB104" s="662"/>
      <c r="AC104" s="662"/>
      <c r="AD104" s="662"/>
      <c r="AE104" s="662"/>
      <c r="AF104" s="662"/>
      <c r="AG104" s="662"/>
      <c r="AH104" s="662"/>
      <c r="AI104" s="662"/>
    </row>
    <row r="105" spans="25:35" s="80" customFormat="1">
      <c r="Y105" s="662"/>
      <c r="Z105" s="662"/>
      <c r="AA105" s="662"/>
      <c r="AB105" s="662"/>
      <c r="AC105" s="662"/>
      <c r="AD105" s="662"/>
      <c r="AE105" s="662"/>
      <c r="AF105" s="662"/>
      <c r="AG105" s="662"/>
      <c r="AH105" s="662"/>
      <c r="AI105" s="662"/>
    </row>
    <row r="106" spans="25:35" s="80" customFormat="1">
      <c r="Y106" s="662"/>
      <c r="Z106" s="662"/>
      <c r="AA106" s="662"/>
      <c r="AB106" s="662"/>
      <c r="AC106" s="662"/>
      <c r="AD106" s="662"/>
      <c r="AE106" s="662"/>
      <c r="AF106" s="662"/>
      <c r="AG106" s="662"/>
      <c r="AH106" s="662"/>
      <c r="AI106" s="662"/>
    </row>
    <row r="107" spans="25:35" s="80" customFormat="1">
      <c r="Y107" s="662"/>
      <c r="Z107" s="662"/>
      <c r="AA107" s="662"/>
      <c r="AB107" s="662"/>
      <c r="AC107" s="662"/>
      <c r="AD107" s="662"/>
      <c r="AE107" s="662"/>
      <c r="AF107" s="662"/>
      <c r="AG107" s="662"/>
      <c r="AH107" s="662"/>
      <c r="AI107" s="662"/>
    </row>
    <row r="108" spans="25:35" s="80" customFormat="1">
      <c r="Y108" s="662"/>
      <c r="Z108" s="662"/>
      <c r="AA108" s="662"/>
      <c r="AB108" s="662"/>
      <c r="AC108" s="662"/>
      <c r="AD108" s="662"/>
      <c r="AE108" s="662"/>
      <c r="AF108" s="662"/>
      <c r="AG108" s="662"/>
      <c r="AH108" s="662"/>
      <c r="AI108" s="662"/>
    </row>
    <row r="109" spans="25:35" s="80" customFormat="1">
      <c r="Y109" s="662"/>
      <c r="Z109" s="662"/>
      <c r="AA109" s="662"/>
      <c r="AB109" s="662"/>
      <c r="AC109" s="662"/>
      <c r="AD109" s="662"/>
      <c r="AE109" s="662"/>
      <c r="AF109" s="662"/>
      <c r="AG109" s="662"/>
      <c r="AH109" s="662"/>
      <c r="AI109" s="662"/>
    </row>
    <row r="110" spans="25:35" s="80" customFormat="1">
      <c r="Y110" s="662"/>
      <c r="Z110" s="662"/>
      <c r="AA110" s="662"/>
      <c r="AB110" s="662"/>
      <c r="AC110" s="662"/>
      <c r="AD110" s="662"/>
      <c r="AE110" s="662"/>
      <c r="AF110" s="662"/>
      <c r="AG110" s="662"/>
      <c r="AH110" s="662"/>
      <c r="AI110" s="662"/>
    </row>
    <row r="111" spans="25:35" s="80" customFormat="1">
      <c r="Y111" s="662"/>
      <c r="Z111" s="662"/>
      <c r="AA111" s="662"/>
      <c r="AB111" s="662"/>
      <c r="AC111" s="662"/>
      <c r="AD111" s="662"/>
      <c r="AE111" s="662"/>
      <c r="AF111" s="662"/>
      <c r="AG111" s="662"/>
      <c r="AH111" s="662"/>
      <c r="AI111" s="662"/>
    </row>
    <row r="112" spans="25:35" s="80" customFormat="1">
      <c r="Y112" s="662"/>
      <c r="Z112" s="662"/>
      <c r="AA112" s="662"/>
      <c r="AB112" s="662"/>
      <c r="AC112" s="662"/>
      <c r="AD112" s="662"/>
      <c r="AE112" s="662"/>
      <c r="AF112" s="662"/>
      <c r="AG112" s="662"/>
      <c r="AH112" s="662"/>
      <c r="AI112" s="662"/>
    </row>
    <row r="113" spans="25:35" s="80" customFormat="1">
      <c r="Y113" s="662"/>
      <c r="Z113" s="662"/>
      <c r="AA113" s="662"/>
      <c r="AB113" s="662"/>
      <c r="AC113" s="662"/>
      <c r="AD113" s="662"/>
      <c r="AE113" s="662"/>
      <c r="AF113" s="662"/>
      <c r="AG113" s="662"/>
      <c r="AH113" s="662"/>
      <c r="AI113" s="662"/>
    </row>
    <row r="114" spans="25:35" s="80" customFormat="1">
      <c r="Y114" s="662"/>
      <c r="Z114" s="662"/>
      <c r="AA114" s="662"/>
      <c r="AB114" s="662"/>
      <c r="AC114" s="662"/>
      <c r="AD114" s="662"/>
      <c r="AE114" s="662"/>
      <c r="AF114" s="662"/>
      <c r="AG114" s="662"/>
      <c r="AH114" s="662"/>
      <c r="AI114" s="662"/>
    </row>
    <row r="115" spans="25:35" s="80" customFormat="1">
      <c r="Y115" s="662"/>
      <c r="Z115" s="662"/>
      <c r="AA115" s="662"/>
      <c r="AB115" s="662"/>
      <c r="AC115" s="662"/>
      <c r="AD115" s="662"/>
      <c r="AE115" s="662"/>
      <c r="AF115" s="662"/>
      <c r="AG115" s="662"/>
      <c r="AH115" s="662"/>
      <c r="AI115" s="662"/>
    </row>
    <row r="116" spans="25:35" s="80" customFormat="1">
      <c r="Y116" s="662"/>
      <c r="Z116" s="662"/>
      <c r="AA116" s="662"/>
      <c r="AB116" s="662"/>
      <c r="AC116" s="662"/>
      <c r="AD116" s="662"/>
      <c r="AE116" s="662"/>
      <c r="AF116" s="662"/>
      <c r="AG116" s="662"/>
      <c r="AH116" s="662"/>
      <c r="AI116" s="662"/>
    </row>
    <row r="117" spans="25:35" s="80" customFormat="1">
      <c r="Y117" s="662"/>
      <c r="Z117" s="662"/>
      <c r="AA117" s="662"/>
      <c r="AB117" s="662"/>
      <c r="AC117" s="662"/>
      <c r="AD117" s="662"/>
      <c r="AE117" s="662"/>
      <c r="AF117" s="662"/>
      <c r="AG117" s="662"/>
      <c r="AH117" s="662"/>
      <c r="AI117" s="662"/>
    </row>
    <row r="118" spans="25:35" s="80" customFormat="1">
      <c r="Y118" s="662"/>
      <c r="Z118" s="662"/>
      <c r="AA118" s="662"/>
      <c r="AB118" s="662"/>
      <c r="AC118" s="662"/>
      <c r="AD118" s="662"/>
      <c r="AE118" s="662"/>
      <c r="AF118" s="662"/>
      <c r="AG118" s="662"/>
      <c r="AH118" s="662"/>
      <c r="AI118" s="662"/>
    </row>
    <row r="119" spans="25:35" s="80" customFormat="1">
      <c r="Y119" s="662"/>
      <c r="Z119" s="662"/>
      <c r="AA119" s="662"/>
      <c r="AB119" s="662"/>
      <c r="AC119" s="662"/>
      <c r="AD119" s="662"/>
      <c r="AE119" s="662"/>
      <c r="AF119" s="662"/>
      <c r="AG119" s="662"/>
      <c r="AH119" s="662"/>
      <c r="AI119" s="662"/>
    </row>
    <row r="120" spans="25:35" s="80" customFormat="1">
      <c r="Y120" s="662"/>
      <c r="Z120" s="662"/>
      <c r="AA120" s="662"/>
      <c r="AB120" s="662"/>
      <c r="AC120" s="662"/>
      <c r="AD120" s="662"/>
      <c r="AE120" s="662"/>
      <c r="AF120" s="662"/>
      <c r="AG120" s="662"/>
      <c r="AH120" s="662"/>
      <c r="AI120" s="662"/>
    </row>
    <row r="121" spans="25:35" s="80" customFormat="1">
      <c r="Y121" s="662"/>
      <c r="Z121" s="662"/>
      <c r="AA121" s="662"/>
      <c r="AB121" s="662"/>
      <c r="AC121" s="662"/>
      <c r="AD121" s="662"/>
      <c r="AE121" s="662"/>
      <c r="AF121" s="662"/>
      <c r="AG121" s="662"/>
      <c r="AH121" s="662"/>
      <c r="AI121" s="662"/>
    </row>
    <row r="122" spans="25:35" s="80" customFormat="1">
      <c r="Y122" s="662"/>
      <c r="Z122" s="662"/>
      <c r="AA122" s="662"/>
      <c r="AB122" s="662"/>
      <c r="AC122" s="662"/>
      <c r="AD122" s="662"/>
      <c r="AE122" s="662"/>
      <c r="AF122" s="662"/>
      <c r="AG122" s="662"/>
      <c r="AH122" s="662"/>
      <c r="AI122" s="662"/>
    </row>
    <row r="123" spans="25:35" s="80" customFormat="1">
      <c r="Y123" s="662"/>
      <c r="Z123" s="662"/>
      <c r="AA123" s="662"/>
      <c r="AB123" s="662"/>
      <c r="AC123" s="662"/>
      <c r="AD123" s="662"/>
      <c r="AE123" s="662"/>
      <c r="AF123" s="662"/>
      <c r="AG123" s="662"/>
      <c r="AH123" s="662"/>
      <c r="AI123" s="662"/>
    </row>
    <row r="124" spans="25:35" s="80" customFormat="1">
      <c r="Y124" s="662"/>
      <c r="Z124" s="662"/>
      <c r="AA124" s="662"/>
      <c r="AB124" s="662"/>
      <c r="AC124" s="662"/>
      <c r="AD124" s="662"/>
      <c r="AE124" s="662"/>
      <c r="AF124" s="662"/>
      <c r="AG124" s="662"/>
      <c r="AH124" s="662"/>
      <c r="AI124" s="662"/>
    </row>
    <row r="125" spans="25:35" s="80" customFormat="1">
      <c r="Y125" s="662"/>
      <c r="Z125" s="662"/>
      <c r="AA125" s="662"/>
      <c r="AB125" s="662"/>
      <c r="AC125" s="662"/>
      <c r="AD125" s="662"/>
      <c r="AE125" s="662"/>
      <c r="AF125" s="662"/>
      <c r="AG125" s="662"/>
      <c r="AH125" s="662"/>
      <c r="AI125" s="662"/>
    </row>
    <row r="126" spans="25:35" s="80" customFormat="1">
      <c r="Y126" s="662"/>
      <c r="Z126" s="662"/>
      <c r="AA126" s="662"/>
      <c r="AB126" s="662"/>
      <c r="AC126" s="662"/>
      <c r="AD126" s="662"/>
      <c r="AE126" s="662"/>
      <c r="AF126" s="662"/>
      <c r="AG126" s="662"/>
      <c r="AH126" s="662"/>
      <c r="AI126" s="662"/>
    </row>
    <row r="127" spans="25:35" s="80" customFormat="1">
      <c r="Y127" s="662"/>
      <c r="Z127" s="662"/>
      <c r="AA127" s="662"/>
      <c r="AB127" s="662"/>
      <c r="AC127" s="662"/>
      <c r="AD127" s="662"/>
      <c r="AE127" s="662"/>
      <c r="AF127" s="662"/>
      <c r="AG127" s="662"/>
      <c r="AH127" s="662"/>
      <c r="AI127" s="662"/>
    </row>
    <row r="128" spans="25:35" s="80" customFormat="1">
      <c r="Y128" s="662"/>
      <c r="Z128" s="662"/>
      <c r="AA128" s="662"/>
      <c r="AB128" s="662"/>
      <c r="AC128" s="662"/>
      <c r="AD128" s="662"/>
      <c r="AE128" s="662"/>
      <c r="AF128" s="662"/>
      <c r="AG128" s="662"/>
      <c r="AH128" s="662"/>
      <c r="AI128" s="662"/>
    </row>
    <row r="129" spans="25:35" s="80" customFormat="1">
      <c r="Y129" s="662"/>
      <c r="Z129" s="662"/>
      <c r="AA129" s="662"/>
      <c r="AB129" s="662"/>
      <c r="AC129" s="662"/>
      <c r="AD129" s="662"/>
      <c r="AE129" s="662"/>
      <c r="AF129" s="662"/>
      <c r="AG129" s="662"/>
      <c r="AH129" s="662"/>
      <c r="AI129" s="662"/>
    </row>
    <row r="130" spans="25:35" s="80" customFormat="1">
      <c r="Y130" s="662"/>
      <c r="Z130" s="662"/>
      <c r="AA130" s="662"/>
      <c r="AB130" s="662"/>
      <c r="AC130" s="662"/>
      <c r="AD130" s="662"/>
      <c r="AE130" s="662"/>
      <c r="AF130" s="662"/>
      <c r="AG130" s="662"/>
      <c r="AH130" s="662"/>
      <c r="AI130" s="662"/>
    </row>
    <row r="131" spans="25:35" s="80" customFormat="1">
      <c r="Y131" s="662"/>
      <c r="Z131" s="662"/>
      <c r="AA131" s="662"/>
      <c r="AB131" s="662"/>
      <c r="AC131" s="662"/>
      <c r="AD131" s="662"/>
      <c r="AE131" s="662"/>
      <c r="AF131" s="662"/>
      <c r="AG131" s="662"/>
      <c r="AH131" s="662"/>
      <c r="AI131" s="662"/>
    </row>
    <row r="132" spans="25:35" s="80" customFormat="1">
      <c r="Y132" s="662"/>
      <c r="Z132" s="662"/>
      <c r="AA132" s="662"/>
      <c r="AB132" s="662"/>
      <c r="AC132" s="662"/>
      <c r="AD132" s="662"/>
      <c r="AE132" s="662"/>
      <c r="AF132" s="662"/>
      <c r="AG132" s="662"/>
      <c r="AH132" s="662"/>
      <c r="AI132" s="662"/>
    </row>
    <row r="133" spans="25:35" s="80" customFormat="1">
      <c r="Y133" s="662"/>
      <c r="Z133" s="662"/>
      <c r="AA133" s="662"/>
      <c r="AB133" s="662"/>
      <c r="AC133" s="662"/>
      <c r="AD133" s="662"/>
      <c r="AE133" s="662"/>
      <c r="AF133" s="662"/>
      <c r="AG133" s="662"/>
      <c r="AH133" s="662"/>
      <c r="AI133" s="662"/>
    </row>
    <row r="134" spans="25:35" s="80" customFormat="1">
      <c r="Y134" s="662"/>
      <c r="Z134" s="662"/>
      <c r="AA134" s="662"/>
      <c r="AB134" s="662"/>
      <c r="AC134" s="662"/>
      <c r="AD134" s="662"/>
      <c r="AE134" s="662"/>
      <c r="AF134" s="662"/>
      <c r="AG134" s="662"/>
      <c r="AH134" s="662"/>
      <c r="AI134" s="662"/>
    </row>
    <row r="135" spans="25:35" s="80" customFormat="1">
      <c r="Y135" s="662"/>
      <c r="Z135" s="662"/>
      <c r="AA135" s="662"/>
      <c r="AB135" s="662"/>
      <c r="AC135" s="662"/>
      <c r="AD135" s="662"/>
      <c r="AE135" s="662"/>
      <c r="AF135" s="662"/>
      <c r="AG135" s="662"/>
      <c r="AH135" s="662"/>
      <c r="AI135" s="662"/>
    </row>
    <row r="136" spans="25:35" s="80" customFormat="1">
      <c r="Y136" s="662"/>
      <c r="Z136" s="662"/>
      <c r="AA136" s="662"/>
      <c r="AB136" s="662"/>
      <c r="AC136" s="662"/>
      <c r="AD136" s="662"/>
      <c r="AE136" s="662"/>
      <c r="AF136" s="662"/>
      <c r="AG136" s="662"/>
      <c r="AH136" s="662"/>
      <c r="AI136" s="662"/>
    </row>
    <row r="137" spans="25:35" s="80" customFormat="1">
      <c r="Y137" s="662"/>
      <c r="Z137" s="662"/>
      <c r="AA137" s="662"/>
      <c r="AB137" s="662"/>
      <c r="AC137" s="662"/>
      <c r="AD137" s="662"/>
      <c r="AE137" s="662"/>
      <c r="AF137" s="662"/>
      <c r="AG137" s="662"/>
      <c r="AH137" s="662"/>
      <c r="AI137" s="662"/>
    </row>
    <row r="138" spans="25:35" s="80" customFormat="1">
      <c r="Y138" s="662"/>
      <c r="Z138" s="662"/>
      <c r="AA138" s="662"/>
      <c r="AB138" s="662"/>
      <c r="AC138" s="662"/>
      <c r="AD138" s="662"/>
      <c r="AE138" s="662"/>
      <c r="AF138" s="662"/>
      <c r="AG138" s="662"/>
      <c r="AH138" s="662"/>
      <c r="AI138" s="662"/>
    </row>
    <row r="139" spans="25:35" s="80" customFormat="1">
      <c r="Y139" s="662"/>
      <c r="Z139" s="662"/>
      <c r="AA139" s="662"/>
      <c r="AB139" s="662"/>
      <c r="AC139" s="662"/>
      <c r="AD139" s="662"/>
      <c r="AE139" s="662"/>
      <c r="AF139" s="662"/>
      <c r="AG139" s="662"/>
      <c r="AH139" s="662"/>
      <c r="AI139" s="662"/>
    </row>
    <row r="140" spans="25:35" s="80" customFormat="1">
      <c r="Y140" s="662"/>
      <c r="Z140" s="662"/>
      <c r="AA140" s="662"/>
      <c r="AB140" s="662"/>
      <c r="AC140" s="662"/>
      <c r="AD140" s="662"/>
      <c r="AE140" s="662"/>
      <c r="AF140" s="662"/>
      <c r="AG140" s="662"/>
      <c r="AH140" s="662"/>
      <c r="AI140" s="662"/>
    </row>
    <row r="141" spans="25:35" s="80" customFormat="1">
      <c r="Y141" s="662"/>
      <c r="Z141" s="662"/>
      <c r="AA141" s="662"/>
      <c r="AB141" s="662"/>
      <c r="AC141" s="662"/>
      <c r="AD141" s="662"/>
      <c r="AE141" s="662"/>
      <c r="AF141" s="662"/>
      <c r="AG141" s="662"/>
      <c r="AH141" s="662"/>
      <c r="AI141" s="662"/>
    </row>
    <row r="142" spans="25:35" s="80" customFormat="1">
      <c r="Y142" s="662"/>
      <c r="Z142" s="662"/>
      <c r="AA142" s="662"/>
      <c r="AB142" s="662"/>
      <c r="AC142" s="662"/>
      <c r="AD142" s="662"/>
      <c r="AE142" s="662"/>
      <c r="AF142" s="662"/>
      <c r="AG142" s="662"/>
      <c r="AH142" s="662"/>
      <c r="AI142" s="662"/>
    </row>
    <row r="143" spans="25:35" s="80" customFormat="1">
      <c r="Y143" s="662"/>
      <c r="Z143" s="662"/>
      <c r="AA143" s="662"/>
      <c r="AB143" s="662"/>
      <c r="AC143" s="662"/>
      <c r="AD143" s="662"/>
      <c r="AE143" s="662"/>
      <c r="AF143" s="662"/>
      <c r="AG143" s="662"/>
      <c r="AH143" s="662"/>
      <c r="AI143" s="662"/>
    </row>
    <row r="144" spans="25:35" s="80" customFormat="1">
      <c r="Y144" s="662"/>
      <c r="Z144" s="662"/>
      <c r="AA144" s="662"/>
      <c r="AB144" s="662"/>
      <c r="AC144" s="662"/>
      <c r="AD144" s="662"/>
      <c r="AE144" s="662"/>
      <c r="AF144" s="662"/>
      <c r="AG144" s="662"/>
      <c r="AH144" s="662"/>
      <c r="AI144" s="662"/>
    </row>
    <row r="145" spans="25:35" s="80" customFormat="1">
      <c r="Y145" s="662"/>
      <c r="Z145" s="662"/>
      <c r="AA145" s="662"/>
      <c r="AB145" s="662"/>
      <c r="AC145" s="662"/>
      <c r="AD145" s="662"/>
      <c r="AE145" s="662"/>
      <c r="AF145" s="662"/>
      <c r="AG145" s="662"/>
      <c r="AH145" s="662"/>
      <c r="AI145" s="662"/>
    </row>
    <row r="146" spans="25:35" s="80" customFormat="1">
      <c r="Y146" s="662"/>
      <c r="Z146" s="662"/>
      <c r="AA146" s="662"/>
      <c r="AB146" s="662"/>
      <c r="AC146" s="662"/>
      <c r="AD146" s="662"/>
      <c r="AE146" s="662"/>
      <c r="AF146" s="662"/>
      <c r="AG146" s="662"/>
      <c r="AH146" s="662"/>
      <c r="AI146" s="662"/>
    </row>
    <row r="147" spans="25:35" s="80" customFormat="1">
      <c r="Y147" s="662"/>
      <c r="Z147" s="662"/>
      <c r="AA147" s="662"/>
      <c r="AB147" s="662"/>
      <c r="AC147" s="662"/>
      <c r="AD147" s="662"/>
      <c r="AE147" s="662"/>
      <c r="AF147" s="662"/>
      <c r="AG147" s="662"/>
      <c r="AH147" s="662"/>
      <c r="AI147" s="662"/>
    </row>
    <row r="148" spans="25:35" s="80" customFormat="1">
      <c r="Y148" s="662"/>
      <c r="Z148" s="662"/>
      <c r="AA148" s="662"/>
      <c r="AB148" s="662"/>
      <c r="AC148" s="662"/>
      <c r="AD148" s="662"/>
      <c r="AE148" s="662"/>
      <c r="AF148" s="662"/>
      <c r="AG148" s="662"/>
      <c r="AH148" s="662"/>
      <c r="AI148" s="662"/>
    </row>
    <row r="149" spans="25:35" s="80" customFormat="1">
      <c r="Y149" s="662"/>
      <c r="Z149" s="662"/>
      <c r="AA149" s="662"/>
      <c r="AB149" s="662"/>
      <c r="AC149" s="662"/>
      <c r="AD149" s="662"/>
      <c r="AE149" s="662"/>
      <c r="AF149" s="662"/>
      <c r="AG149" s="662"/>
      <c r="AH149" s="662"/>
      <c r="AI149" s="662"/>
    </row>
    <row r="150" spans="25:35" s="80" customFormat="1">
      <c r="Y150" s="662"/>
      <c r="Z150" s="662"/>
      <c r="AA150" s="662"/>
      <c r="AB150" s="662"/>
      <c r="AC150" s="662"/>
      <c r="AD150" s="662"/>
      <c r="AE150" s="662"/>
      <c r="AF150" s="662"/>
      <c r="AG150" s="662"/>
      <c r="AH150" s="662"/>
      <c r="AI150" s="662"/>
    </row>
    <row r="151" spans="25:35" s="80" customFormat="1">
      <c r="Y151" s="662"/>
      <c r="Z151" s="662"/>
      <c r="AA151" s="662"/>
      <c r="AB151" s="662"/>
      <c r="AC151" s="662"/>
      <c r="AD151" s="662"/>
      <c r="AE151" s="662"/>
      <c r="AF151" s="662"/>
      <c r="AG151" s="662"/>
      <c r="AH151" s="662"/>
      <c r="AI151" s="662"/>
    </row>
    <row r="152" spans="25:35" s="80" customFormat="1">
      <c r="Y152" s="662"/>
      <c r="Z152" s="662"/>
      <c r="AA152" s="662"/>
      <c r="AB152" s="662"/>
      <c r="AC152" s="662"/>
      <c r="AD152" s="662"/>
      <c r="AE152" s="662"/>
      <c r="AF152" s="662"/>
      <c r="AG152" s="662"/>
      <c r="AH152" s="662"/>
      <c r="AI152" s="662"/>
    </row>
    <row r="153" spans="25:35" s="80" customFormat="1">
      <c r="Y153" s="662"/>
      <c r="Z153" s="662"/>
      <c r="AA153" s="662"/>
      <c r="AB153" s="662"/>
      <c r="AC153" s="662"/>
      <c r="AD153" s="662"/>
      <c r="AE153" s="662"/>
      <c r="AF153" s="662"/>
      <c r="AG153" s="662"/>
      <c r="AH153" s="662"/>
      <c r="AI153" s="662"/>
    </row>
    <row r="154" spans="25:35" s="80" customFormat="1">
      <c r="Y154" s="662"/>
      <c r="Z154" s="662"/>
      <c r="AA154" s="662"/>
      <c r="AB154" s="662"/>
      <c r="AC154" s="662"/>
      <c r="AD154" s="662"/>
      <c r="AE154" s="662"/>
      <c r="AF154" s="662"/>
      <c r="AG154" s="662"/>
      <c r="AH154" s="662"/>
      <c r="AI154" s="662"/>
    </row>
    <row r="155" spans="25:35" s="80" customFormat="1">
      <c r="Y155" s="662"/>
      <c r="Z155" s="662"/>
      <c r="AA155" s="662"/>
      <c r="AB155" s="662"/>
      <c r="AC155" s="662"/>
      <c r="AD155" s="662"/>
      <c r="AE155" s="662"/>
      <c r="AF155" s="662"/>
      <c r="AG155" s="662"/>
      <c r="AH155" s="662"/>
      <c r="AI155" s="662"/>
    </row>
    <row r="156" spans="25:35" s="80" customFormat="1">
      <c r="Y156" s="662"/>
      <c r="Z156" s="662"/>
      <c r="AA156" s="662"/>
      <c r="AB156" s="662"/>
      <c r="AC156" s="662"/>
      <c r="AD156" s="662"/>
      <c r="AE156" s="662"/>
      <c r="AF156" s="662"/>
      <c r="AG156" s="662"/>
      <c r="AH156" s="662"/>
      <c r="AI156" s="662"/>
    </row>
    <row r="157" spans="25:35" s="80" customFormat="1">
      <c r="Y157" s="662"/>
      <c r="Z157" s="662"/>
      <c r="AA157" s="662"/>
      <c r="AB157" s="662"/>
      <c r="AC157" s="662"/>
      <c r="AD157" s="662"/>
      <c r="AE157" s="662"/>
      <c r="AF157" s="662"/>
      <c r="AG157" s="662"/>
      <c r="AH157" s="662"/>
      <c r="AI157" s="662"/>
    </row>
    <row r="158" spans="25:35" s="80" customFormat="1">
      <c r="Y158" s="662"/>
      <c r="Z158" s="662"/>
      <c r="AA158" s="662"/>
      <c r="AB158" s="662"/>
      <c r="AC158" s="662"/>
      <c r="AD158" s="662"/>
      <c r="AE158" s="662"/>
      <c r="AF158" s="662"/>
      <c r="AG158" s="662"/>
      <c r="AH158" s="662"/>
      <c r="AI158" s="662"/>
    </row>
    <row r="159" spans="25:35" s="80" customFormat="1">
      <c r="Y159" s="662"/>
      <c r="Z159" s="662"/>
      <c r="AA159" s="662"/>
      <c r="AB159" s="662"/>
      <c r="AC159" s="662"/>
      <c r="AD159" s="662"/>
      <c r="AE159" s="662"/>
      <c r="AF159" s="662"/>
      <c r="AG159" s="662"/>
      <c r="AH159" s="662"/>
      <c r="AI159" s="662"/>
    </row>
    <row r="160" spans="25:35" s="80" customFormat="1">
      <c r="Y160" s="662"/>
      <c r="Z160" s="662"/>
      <c r="AA160" s="662"/>
      <c r="AB160" s="662"/>
      <c r="AC160" s="662"/>
      <c r="AD160" s="662"/>
      <c r="AE160" s="662"/>
      <c r="AF160" s="662"/>
      <c r="AG160" s="662"/>
      <c r="AH160" s="662"/>
      <c r="AI160" s="662"/>
    </row>
    <row r="161" spans="25:35" s="80" customFormat="1">
      <c r="Y161" s="662"/>
      <c r="Z161" s="662"/>
      <c r="AA161" s="662"/>
      <c r="AB161" s="662"/>
      <c r="AC161" s="662"/>
      <c r="AD161" s="662"/>
      <c r="AE161" s="662"/>
      <c r="AF161" s="662"/>
      <c r="AG161" s="662"/>
      <c r="AH161" s="662"/>
      <c r="AI161" s="662"/>
    </row>
    <row r="162" spans="25:35" s="80" customFormat="1">
      <c r="Y162" s="662"/>
      <c r="Z162" s="662"/>
      <c r="AA162" s="662"/>
      <c r="AB162" s="662"/>
      <c r="AC162" s="662"/>
      <c r="AD162" s="662"/>
      <c r="AE162" s="662"/>
      <c r="AF162" s="662"/>
      <c r="AG162" s="662"/>
      <c r="AH162" s="662"/>
      <c r="AI162" s="662"/>
    </row>
    <row r="163" spans="25:35" s="80" customFormat="1">
      <c r="Y163" s="662"/>
      <c r="Z163" s="662"/>
      <c r="AA163" s="662"/>
      <c r="AB163" s="662"/>
      <c r="AC163" s="662"/>
      <c r="AD163" s="662"/>
      <c r="AE163" s="662"/>
      <c r="AF163" s="662"/>
      <c r="AG163" s="662"/>
      <c r="AH163" s="662"/>
      <c r="AI163" s="662"/>
    </row>
    <row r="164" spans="25:35" s="80" customFormat="1">
      <c r="Y164" s="662"/>
      <c r="Z164" s="662"/>
      <c r="AA164" s="662"/>
      <c r="AB164" s="662"/>
      <c r="AC164" s="662"/>
      <c r="AD164" s="662"/>
      <c r="AE164" s="662"/>
      <c r="AF164" s="662"/>
      <c r="AG164" s="662"/>
      <c r="AH164" s="662"/>
      <c r="AI164" s="662"/>
    </row>
    <row r="165" spans="25:35" s="80" customFormat="1">
      <c r="Y165" s="662"/>
      <c r="Z165" s="662"/>
      <c r="AA165" s="662"/>
      <c r="AB165" s="662"/>
      <c r="AC165" s="662"/>
      <c r="AD165" s="662"/>
      <c r="AE165" s="662"/>
      <c r="AF165" s="662"/>
      <c r="AG165" s="662"/>
      <c r="AH165" s="662"/>
      <c r="AI165" s="662"/>
    </row>
    <row r="166" spans="25:35" s="80" customFormat="1">
      <c r="Y166" s="662"/>
      <c r="Z166" s="662"/>
      <c r="AA166" s="662"/>
      <c r="AB166" s="662"/>
      <c r="AC166" s="662"/>
      <c r="AD166" s="662"/>
      <c r="AE166" s="662"/>
      <c r="AF166" s="662"/>
      <c r="AG166" s="662"/>
      <c r="AH166" s="662"/>
      <c r="AI166" s="662"/>
    </row>
    <row r="167" spans="25:35" s="80" customFormat="1">
      <c r="Y167" s="662"/>
      <c r="Z167" s="662"/>
      <c r="AA167" s="662"/>
      <c r="AB167" s="662"/>
      <c r="AC167" s="662"/>
      <c r="AD167" s="662"/>
      <c r="AE167" s="662"/>
      <c r="AF167" s="662"/>
      <c r="AG167" s="662"/>
      <c r="AH167" s="662"/>
      <c r="AI167" s="662"/>
    </row>
    <row r="168" spans="25:35" s="80" customFormat="1">
      <c r="Y168" s="662"/>
      <c r="Z168" s="662"/>
      <c r="AA168" s="662"/>
      <c r="AB168" s="662"/>
      <c r="AC168" s="662"/>
      <c r="AD168" s="662"/>
      <c r="AE168" s="662"/>
      <c r="AF168" s="662"/>
      <c r="AG168" s="662"/>
      <c r="AH168" s="662"/>
      <c r="AI168" s="662"/>
    </row>
    <row r="169" spans="25:35" s="80" customFormat="1">
      <c r="Y169" s="662"/>
      <c r="Z169" s="662"/>
      <c r="AA169" s="662"/>
      <c r="AB169" s="662"/>
      <c r="AC169" s="662"/>
      <c r="AD169" s="662"/>
      <c r="AE169" s="662"/>
      <c r="AF169" s="662"/>
      <c r="AG169" s="662"/>
      <c r="AH169" s="662"/>
      <c r="AI169" s="662"/>
    </row>
    <row r="170" spans="25:35" s="80" customFormat="1">
      <c r="Y170" s="662"/>
      <c r="Z170" s="662"/>
      <c r="AA170" s="662"/>
      <c r="AB170" s="662"/>
      <c r="AC170" s="662"/>
      <c r="AD170" s="662"/>
      <c r="AE170" s="662"/>
      <c r="AF170" s="662"/>
      <c r="AG170" s="662"/>
      <c r="AH170" s="662"/>
      <c r="AI170" s="662"/>
    </row>
    <row r="171" spans="25:35" s="80" customFormat="1">
      <c r="Y171" s="662"/>
      <c r="Z171" s="662"/>
      <c r="AA171" s="662"/>
      <c r="AB171" s="662"/>
      <c r="AC171" s="662"/>
      <c r="AD171" s="662"/>
      <c r="AE171" s="662"/>
      <c r="AF171" s="662"/>
      <c r="AG171" s="662"/>
      <c r="AH171" s="662"/>
      <c r="AI171" s="662"/>
    </row>
    <row r="172" spans="25:35" s="80" customFormat="1">
      <c r="Y172" s="662"/>
      <c r="Z172" s="662"/>
      <c r="AA172" s="662"/>
      <c r="AB172" s="662"/>
      <c r="AC172" s="662"/>
      <c r="AD172" s="662"/>
      <c r="AE172" s="662"/>
      <c r="AF172" s="662"/>
      <c r="AG172" s="662"/>
      <c r="AH172" s="662"/>
      <c r="AI172" s="662"/>
    </row>
    <row r="173" spans="25:35" s="80" customFormat="1">
      <c r="Y173" s="662"/>
      <c r="Z173" s="662"/>
      <c r="AA173" s="662"/>
      <c r="AB173" s="662"/>
      <c r="AC173" s="662"/>
      <c r="AD173" s="662"/>
      <c r="AE173" s="662"/>
      <c r="AF173" s="662"/>
      <c r="AG173" s="662"/>
      <c r="AH173" s="662"/>
      <c r="AI173" s="662"/>
    </row>
    <row r="174" spans="25:35" s="80" customFormat="1">
      <c r="Y174" s="662"/>
      <c r="Z174" s="662"/>
      <c r="AA174" s="662"/>
      <c r="AB174" s="662"/>
      <c r="AC174" s="662"/>
      <c r="AD174" s="662"/>
      <c r="AE174" s="662"/>
      <c r="AF174" s="662"/>
      <c r="AG174" s="662"/>
      <c r="AH174" s="662"/>
      <c r="AI174" s="662"/>
    </row>
    <row r="175" spans="25:35" s="80" customFormat="1">
      <c r="Y175" s="662"/>
      <c r="Z175" s="662"/>
      <c r="AA175" s="662"/>
      <c r="AB175" s="662"/>
      <c r="AC175" s="662"/>
      <c r="AD175" s="662"/>
      <c r="AE175" s="662"/>
      <c r="AF175" s="662"/>
      <c r="AG175" s="662"/>
      <c r="AH175" s="662"/>
      <c r="AI175" s="662"/>
    </row>
    <row r="176" spans="25:35" s="80" customFormat="1">
      <c r="Y176" s="662"/>
      <c r="Z176" s="662"/>
      <c r="AA176" s="662"/>
      <c r="AB176" s="662"/>
      <c r="AC176" s="662"/>
      <c r="AD176" s="662"/>
      <c r="AE176" s="662"/>
      <c r="AF176" s="662"/>
      <c r="AG176" s="662"/>
      <c r="AH176" s="662"/>
      <c r="AI176" s="662"/>
    </row>
    <row r="177" spans="25:35" s="80" customFormat="1">
      <c r="Y177" s="662"/>
      <c r="Z177" s="662"/>
      <c r="AA177" s="662"/>
      <c r="AB177" s="662"/>
      <c r="AC177" s="662"/>
      <c r="AD177" s="662"/>
      <c r="AE177" s="662"/>
      <c r="AF177" s="662"/>
      <c r="AG177" s="662"/>
      <c r="AH177" s="662"/>
      <c r="AI177" s="662"/>
    </row>
    <row r="178" spans="25:35" s="80" customFormat="1">
      <c r="Y178" s="662"/>
      <c r="Z178" s="662"/>
      <c r="AA178" s="662"/>
      <c r="AB178" s="662"/>
      <c r="AC178" s="662"/>
      <c r="AD178" s="662"/>
      <c r="AE178" s="662"/>
      <c r="AF178" s="662"/>
      <c r="AG178" s="662"/>
      <c r="AH178" s="662"/>
      <c r="AI178" s="662"/>
    </row>
    <row r="179" spans="25:35" s="80" customFormat="1">
      <c r="Y179" s="662"/>
      <c r="Z179" s="662"/>
      <c r="AA179" s="662"/>
      <c r="AB179" s="662"/>
      <c r="AC179" s="662"/>
      <c r="AD179" s="662"/>
      <c r="AE179" s="662"/>
      <c r="AF179" s="662"/>
      <c r="AG179" s="662"/>
      <c r="AH179" s="662"/>
      <c r="AI179" s="662"/>
    </row>
    <row r="180" spans="25:35" s="80" customFormat="1">
      <c r="Y180" s="662"/>
      <c r="Z180" s="662"/>
      <c r="AA180" s="662"/>
      <c r="AB180" s="662"/>
      <c r="AC180" s="662"/>
      <c r="AD180" s="662"/>
      <c r="AE180" s="662"/>
      <c r="AF180" s="662"/>
      <c r="AG180" s="662"/>
      <c r="AH180" s="662"/>
      <c r="AI180" s="662"/>
    </row>
    <row r="181" spans="25:35" s="80" customFormat="1">
      <c r="Y181" s="662"/>
      <c r="Z181" s="662"/>
      <c r="AA181" s="662"/>
      <c r="AB181" s="662"/>
      <c r="AC181" s="662"/>
      <c r="AD181" s="662"/>
      <c r="AE181" s="662"/>
      <c r="AF181" s="662"/>
      <c r="AG181" s="662"/>
      <c r="AH181" s="662"/>
      <c r="AI181" s="662"/>
    </row>
    <row r="182" spans="25:35" s="80" customFormat="1">
      <c r="Y182" s="662"/>
      <c r="Z182" s="662"/>
      <c r="AA182" s="662"/>
      <c r="AB182" s="662"/>
      <c r="AC182" s="662"/>
      <c r="AD182" s="662"/>
      <c r="AE182" s="662"/>
      <c r="AF182" s="662"/>
      <c r="AG182" s="662"/>
      <c r="AH182" s="662"/>
      <c r="AI182" s="662"/>
    </row>
    <row r="183" spans="25:35" s="80" customFormat="1">
      <c r="Y183" s="662"/>
      <c r="Z183" s="662"/>
      <c r="AA183" s="662"/>
      <c r="AB183" s="662"/>
      <c r="AC183" s="662"/>
      <c r="AD183" s="662"/>
      <c r="AE183" s="662"/>
      <c r="AF183" s="662"/>
      <c r="AG183" s="662"/>
      <c r="AH183" s="662"/>
      <c r="AI183" s="662"/>
    </row>
    <row r="184" spans="25:35" s="80" customFormat="1">
      <c r="Y184" s="662"/>
      <c r="Z184" s="662"/>
      <c r="AA184" s="662"/>
      <c r="AB184" s="662"/>
      <c r="AC184" s="662"/>
      <c r="AD184" s="662"/>
      <c r="AE184" s="662"/>
      <c r="AF184" s="662"/>
      <c r="AG184" s="662"/>
      <c r="AH184" s="662"/>
      <c r="AI184" s="662"/>
    </row>
    <row r="185" spans="25:35" s="80" customFormat="1">
      <c r="Y185" s="662"/>
      <c r="Z185" s="662"/>
      <c r="AA185" s="662"/>
      <c r="AB185" s="662"/>
      <c r="AC185" s="662"/>
      <c r="AD185" s="662"/>
      <c r="AE185" s="662"/>
      <c r="AF185" s="662"/>
      <c r="AG185" s="662"/>
      <c r="AH185" s="662"/>
      <c r="AI185" s="662"/>
    </row>
    <row r="186" spans="25:35" s="80" customFormat="1">
      <c r="Y186" s="662"/>
      <c r="Z186" s="662"/>
      <c r="AA186" s="662"/>
      <c r="AB186" s="662"/>
      <c r="AC186" s="662"/>
      <c r="AD186" s="662"/>
      <c r="AE186" s="662"/>
      <c r="AF186" s="662"/>
      <c r="AG186" s="662"/>
      <c r="AH186" s="662"/>
      <c r="AI186" s="662"/>
    </row>
    <row r="187" spans="25:35" s="80" customFormat="1">
      <c r="Y187" s="662"/>
      <c r="Z187" s="662"/>
      <c r="AA187" s="662"/>
      <c r="AB187" s="662"/>
      <c r="AC187" s="662"/>
      <c r="AD187" s="662"/>
      <c r="AE187" s="662"/>
      <c r="AF187" s="662"/>
      <c r="AG187" s="662"/>
      <c r="AH187" s="662"/>
      <c r="AI187" s="662"/>
    </row>
    <row r="188" spans="25:35" s="80" customFormat="1">
      <c r="Y188" s="662"/>
      <c r="Z188" s="662"/>
      <c r="AA188" s="662"/>
      <c r="AB188" s="662"/>
      <c r="AC188" s="662"/>
      <c r="AD188" s="662"/>
      <c r="AE188" s="662"/>
      <c r="AF188" s="662"/>
      <c r="AG188" s="662"/>
      <c r="AH188" s="662"/>
      <c r="AI188" s="662"/>
    </row>
    <row r="189" spans="25:35" s="80" customFormat="1">
      <c r="Y189" s="662"/>
      <c r="Z189" s="662"/>
      <c r="AA189" s="662"/>
      <c r="AB189" s="662"/>
      <c r="AC189" s="662"/>
      <c r="AD189" s="662"/>
      <c r="AE189" s="662"/>
      <c r="AF189" s="662"/>
      <c r="AG189" s="662"/>
      <c r="AH189" s="662"/>
      <c r="AI189" s="662"/>
    </row>
    <row r="190" spans="25:35" s="80" customFormat="1">
      <c r="Y190" s="662"/>
      <c r="Z190" s="662"/>
      <c r="AA190" s="662"/>
      <c r="AB190" s="662"/>
      <c r="AC190" s="662"/>
      <c r="AD190" s="662"/>
      <c r="AE190" s="662"/>
      <c r="AF190" s="662"/>
      <c r="AG190" s="662"/>
      <c r="AH190" s="662"/>
      <c r="AI190" s="662"/>
    </row>
    <row r="191" spans="25:35" s="80" customFormat="1">
      <c r="Y191" s="662"/>
      <c r="Z191" s="662"/>
      <c r="AA191" s="662"/>
      <c r="AB191" s="662"/>
      <c r="AC191" s="662"/>
      <c r="AD191" s="662"/>
      <c r="AE191" s="662"/>
      <c r="AF191" s="662"/>
      <c r="AG191" s="662"/>
      <c r="AH191" s="662"/>
      <c r="AI191" s="662"/>
    </row>
    <row r="192" spans="25:35" s="80" customFormat="1">
      <c r="Y192" s="662"/>
      <c r="Z192" s="662"/>
      <c r="AA192" s="662"/>
      <c r="AB192" s="662"/>
      <c r="AC192" s="662"/>
      <c r="AD192" s="662"/>
      <c r="AE192" s="662"/>
      <c r="AF192" s="662"/>
      <c r="AG192" s="662"/>
      <c r="AH192" s="662"/>
      <c r="AI192" s="662"/>
    </row>
    <row r="193" spans="25:35" s="80" customFormat="1">
      <c r="Y193" s="662"/>
      <c r="Z193" s="662"/>
      <c r="AA193" s="662"/>
      <c r="AB193" s="662"/>
      <c r="AC193" s="662"/>
      <c r="AD193" s="662"/>
      <c r="AE193" s="662"/>
      <c r="AF193" s="662"/>
      <c r="AG193" s="662"/>
      <c r="AH193" s="662"/>
      <c r="AI193" s="662"/>
    </row>
    <row r="194" spans="25:35" s="80" customFormat="1">
      <c r="Y194" s="662"/>
      <c r="Z194" s="662"/>
      <c r="AA194" s="662"/>
      <c r="AB194" s="662"/>
      <c r="AC194" s="662"/>
      <c r="AD194" s="662"/>
      <c r="AE194" s="662"/>
      <c r="AF194" s="662"/>
      <c r="AG194" s="662"/>
      <c r="AH194" s="662"/>
      <c r="AI194" s="662"/>
    </row>
    <row r="195" spans="25:35" s="80" customFormat="1">
      <c r="Y195" s="662"/>
      <c r="Z195" s="662"/>
      <c r="AA195" s="662"/>
      <c r="AB195" s="662"/>
      <c r="AC195" s="662"/>
      <c r="AD195" s="662"/>
      <c r="AE195" s="662"/>
      <c r="AF195" s="662"/>
      <c r="AG195" s="662"/>
      <c r="AH195" s="662"/>
      <c r="AI195" s="662"/>
    </row>
    <row r="196" spans="25:35" s="80" customFormat="1">
      <c r="Y196" s="662"/>
      <c r="Z196" s="662"/>
      <c r="AA196" s="662"/>
      <c r="AB196" s="662"/>
      <c r="AC196" s="662"/>
      <c r="AD196" s="662"/>
      <c r="AE196" s="662"/>
      <c r="AF196" s="662"/>
      <c r="AG196" s="662"/>
      <c r="AH196" s="662"/>
      <c r="AI196" s="662"/>
    </row>
    <row r="197" spans="25:35" s="80" customFormat="1">
      <c r="Y197" s="662"/>
      <c r="Z197" s="662"/>
      <c r="AA197" s="662"/>
      <c r="AB197" s="662"/>
      <c r="AC197" s="662"/>
      <c r="AD197" s="662"/>
      <c r="AE197" s="662"/>
      <c r="AF197" s="662"/>
      <c r="AG197" s="662"/>
      <c r="AH197" s="662"/>
      <c r="AI197" s="662"/>
    </row>
    <row r="198" spans="25:35" s="80" customFormat="1">
      <c r="Y198" s="662"/>
      <c r="Z198" s="662"/>
      <c r="AA198" s="662"/>
      <c r="AB198" s="662"/>
      <c r="AC198" s="662"/>
      <c r="AD198" s="662"/>
      <c r="AE198" s="662"/>
      <c r="AF198" s="662"/>
      <c r="AG198" s="662"/>
      <c r="AH198" s="662"/>
      <c r="AI198" s="662"/>
    </row>
    <row r="199" spans="25:35" s="80" customFormat="1">
      <c r="Y199" s="662"/>
      <c r="Z199" s="662"/>
      <c r="AA199" s="662"/>
      <c r="AB199" s="662"/>
      <c r="AC199" s="662"/>
      <c r="AD199" s="662"/>
      <c r="AE199" s="662"/>
      <c r="AF199" s="662"/>
      <c r="AG199" s="662"/>
      <c r="AH199" s="662"/>
      <c r="AI199" s="662"/>
    </row>
    <row r="200" spans="25:35" s="80" customFormat="1">
      <c r="Y200" s="662"/>
      <c r="Z200" s="662"/>
      <c r="AA200" s="662"/>
      <c r="AB200" s="662"/>
      <c r="AC200" s="662"/>
      <c r="AD200" s="662"/>
      <c r="AE200" s="662"/>
      <c r="AF200" s="662"/>
      <c r="AG200" s="662"/>
      <c r="AH200" s="662"/>
      <c r="AI200" s="662"/>
    </row>
    <row r="201" spans="25:35" s="80" customFormat="1">
      <c r="Y201" s="662"/>
      <c r="Z201" s="662"/>
      <c r="AA201" s="662"/>
      <c r="AB201" s="662"/>
      <c r="AC201" s="662"/>
      <c r="AD201" s="662"/>
      <c r="AE201" s="662"/>
      <c r="AF201" s="662"/>
      <c r="AG201" s="662"/>
      <c r="AH201" s="662"/>
      <c r="AI201" s="662"/>
    </row>
    <row r="202" spans="25:35" s="80" customFormat="1">
      <c r="Y202" s="662"/>
      <c r="Z202" s="662"/>
      <c r="AA202" s="662"/>
      <c r="AB202" s="662"/>
      <c r="AC202" s="662"/>
      <c r="AD202" s="662"/>
      <c r="AE202" s="662"/>
      <c r="AF202" s="662"/>
      <c r="AG202" s="662"/>
      <c r="AH202" s="662"/>
      <c r="AI202" s="662"/>
    </row>
    <row r="203" spans="25:35" s="80" customFormat="1">
      <c r="Y203" s="662"/>
      <c r="Z203" s="662"/>
      <c r="AA203" s="662"/>
      <c r="AB203" s="662"/>
      <c r="AC203" s="662"/>
      <c r="AD203" s="662"/>
      <c r="AE203" s="662"/>
      <c r="AF203" s="662"/>
      <c r="AG203" s="662"/>
      <c r="AH203" s="662"/>
      <c r="AI203" s="662"/>
    </row>
    <row r="204" spans="25:35" s="80" customFormat="1">
      <c r="Y204" s="662"/>
      <c r="Z204" s="662"/>
      <c r="AA204" s="662"/>
      <c r="AB204" s="662"/>
      <c r="AC204" s="662"/>
      <c r="AD204" s="662"/>
      <c r="AE204" s="662"/>
      <c r="AF204" s="662"/>
      <c r="AG204" s="662"/>
      <c r="AH204" s="662"/>
      <c r="AI204" s="662"/>
    </row>
    <row r="205" spans="25:35" s="80" customFormat="1">
      <c r="Y205" s="662"/>
      <c r="Z205" s="662"/>
      <c r="AA205" s="662"/>
      <c r="AB205" s="662"/>
      <c r="AC205" s="662"/>
      <c r="AD205" s="662"/>
      <c r="AE205" s="662"/>
      <c r="AF205" s="662"/>
      <c r="AG205" s="662"/>
      <c r="AH205" s="662"/>
      <c r="AI205" s="662"/>
    </row>
    <row r="206" spans="25:35" s="80" customFormat="1">
      <c r="Y206" s="662"/>
      <c r="Z206" s="662"/>
      <c r="AA206" s="662"/>
      <c r="AB206" s="662"/>
      <c r="AC206" s="662"/>
      <c r="AD206" s="662"/>
      <c r="AE206" s="662"/>
      <c r="AF206" s="662"/>
      <c r="AG206" s="662"/>
      <c r="AH206" s="662"/>
      <c r="AI206" s="662"/>
    </row>
    <row r="207" spans="25:35" s="80" customFormat="1">
      <c r="Y207" s="662"/>
      <c r="Z207" s="662"/>
      <c r="AA207" s="662"/>
      <c r="AB207" s="662"/>
      <c r="AC207" s="662"/>
      <c r="AD207" s="662"/>
      <c r="AE207" s="662"/>
      <c r="AF207" s="662"/>
      <c r="AG207" s="662"/>
      <c r="AH207" s="662"/>
      <c r="AI207" s="662"/>
    </row>
    <row r="208" spans="25:35" s="80" customFormat="1">
      <c r="Y208" s="662"/>
      <c r="Z208" s="662"/>
      <c r="AA208" s="662"/>
      <c r="AB208" s="662"/>
      <c r="AC208" s="662"/>
      <c r="AD208" s="662"/>
      <c r="AE208" s="662"/>
      <c r="AF208" s="662"/>
      <c r="AG208" s="662"/>
      <c r="AH208" s="662"/>
      <c r="AI208" s="662"/>
    </row>
    <row r="209" spans="25:35" s="80" customFormat="1">
      <c r="Y209" s="662"/>
      <c r="Z209" s="662"/>
      <c r="AA209" s="662"/>
      <c r="AB209" s="662"/>
      <c r="AC209" s="662"/>
      <c r="AD209" s="662"/>
      <c r="AE209" s="662"/>
      <c r="AF209" s="662"/>
      <c r="AG209" s="662"/>
      <c r="AH209" s="662"/>
      <c r="AI209" s="662"/>
    </row>
    <row r="210" spans="25:35" s="80" customFormat="1">
      <c r="Y210" s="662"/>
      <c r="Z210" s="662"/>
      <c r="AA210" s="662"/>
      <c r="AB210" s="662"/>
      <c r="AC210" s="662"/>
      <c r="AD210" s="662"/>
      <c r="AE210" s="662"/>
      <c r="AF210" s="662"/>
      <c r="AG210" s="662"/>
      <c r="AH210" s="662"/>
      <c r="AI210" s="662"/>
    </row>
    <row r="211" spans="25:35" s="80" customFormat="1">
      <c r="Y211" s="662"/>
      <c r="Z211" s="662"/>
      <c r="AA211" s="662"/>
      <c r="AB211" s="662"/>
      <c r="AC211" s="662"/>
      <c r="AD211" s="662"/>
      <c r="AE211" s="662"/>
      <c r="AF211" s="662"/>
      <c r="AG211" s="662"/>
      <c r="AH211" s="662"/>
      <c r="AI211" s="662"/>
    </row>
    <row r="212" spans="25:35" s="80" customFormat="1">
      <c r="Y212" s="662"/>
      <c r="Z212" s="662"/>
      <c r="AA212" s="662"/>
      <c r="AB212" s="662"/>
      <c r="AC212" s="662"/>
      <c r="AD212" s="662"/>
      <c r="AE212" s="662"/>
      <c r="AF212" s="662"/>
      <c r="AG212" s="662"/>
      <c r="AH212" s="662"/>
      <c r="AI212" s="662"/>
    </row>
    <row r="213" spans="25:35" s="80" customFormat="1">
      <c r="Y213" s="662"/>
      <c r="Z213" s="662"/>
      <c r="AA213" s="662"/>
      <c r="AB213" s="662"/>
      <c r="AC213" s="662"/>
      <c r="AD213" s="662"/>
      <c r="AE213" s="662"/>
      <c r="AF213" s="662"/>
      <c r="AG213" s="662"/>
      <c r="AH213" s="662"/>
      <c r="AI213" s="662"/>
    </row>
    <row r="214" spans="25:35" s="80" customFormat="1">
      <c r="Y214" s="662"/>
      <c r="Z214" s="662"/>
      <c r="AA214" s="662"/>
      <c r="AB214" s="662"/>
      <c r="AC214" s="662"/>
      <c r="AD214" s="662"/>
      <c r="AE214" s="662"/>
      <c r="AF214" s="662"/>
      <c r="AG214" s="662"/>
      <c r="AH214" s="662"/>
      <c r="AI214" s="662"/>
    </row>
    <row r="215" spans="25:35" s="80" customFormat="1">
      <c r="Y215" s="662"/>
      <c r="Z215" s="662"/>
      <c r="AA215" s="662"/>
      <c r="AB215" s="662"/>
      <c r="AC215" s="662"/>
      <c r="AD215" s="662"/>
      <c r="AE215" s="662"/>
      <c r="AF215" s="662"/>
      <c r="AG215" s="662"/>
      <c r="AH215" s="662"/>
      <c r="AI215" s="662"/>
    </row>
    <row r="216" spans="25:35" s="80" customFormat="1">
      <c r="Y216" s="662"/>
      <c r="Z216" s="662"/>
      <c r="AA216" s="662"/>
      <c r="AB216" s="662"/>
      <c r="AC216" s="662"/>
      <c r="AD216" s="662"/>
      <c r="AE216" s="662"/>
      <c r="AF216" s="662"/>
      <c r="AG216" s="662"/>
      <c r="AH216" s="662"/>
      <c r="AI216" s="662"/>
    </row>
    <row r="217" spans="25:35" s="80" customFormat="1">
      <c r="Y217" s="662"/>
      <c r="Z217" s="662"/>
      <c r="AA217" s="662"/>
      <c r="AB217" s="662"/>
      <c r="AC217" s="662"/>
      <c r="AD217" s="662"/>
      <c r="AE217" s="662"/>
      <c r="AF217" s="662"/>
      <c r="AG217" s="662"/>
      <c r="AH217" s="662"/>
      <c r="AI217" s="662"/>
    </row>
    <row r="218" spans="25:35" s="80" customFormat="1">
      <c r="Y218" s="662"/>
      <c r="Z218" s="662"/>
      <c r="AA218" s="662"/>
      <c r="AB218" s="662"/>
      <c r="AC218" s="662"/>
      <c r="AD218" s="662"/>
      <c r="AE218" s="662"/>
      <c r="AF218" s="662"/>
      <c r="AG218" s="662"/>
      <c r="AH218" s="662"/>
      <c r="AI218" s="662"/>
    </row>
    <row r="219" spans="25:35" s="80" customFormat="1">
      <c r="Y219" s="662"/>
      <c r="Z219" s="662"/>
      <c r="AA219" s="662"/>
      <c r="AB219" s="662"/>
      <c r="AC219" s="662"/>
      <c r="AD219" s="662"/>
      <c r="AE219" s="662"/>
      <c r="AF219" s="662"/>
      <c r="AG219" s="662"/>
      <c r="AH219" s="662"/>
      <c r="AI219" s="662"/>
    </row>
    <row r="220" spans="25:35" s="80" customFormat="1">
      <c r="Y220" s="662"/>
      <c r="Z220" s="662"/>
      <c r="AA220" s="662"/>
      <c r="AB220" s="662"/>
      <c r="AC220" s="662"/>
      <c r="AD220" s="662"/>
      <c r="AE220" s="662"/>
      <c r="AF220" s="662"/>
      <c r="AG220" s="662"/>
      <c r="AH220" s="662"/>
      <c r="AI220" s="662"/>
    </row>
    <row r="221" spans="25:35" s="80" customFormat="1">
      <c r="Y221" s="662"/>
      <c r="Z221" s="662"/>
      <c r="AA221" s="662"/>
      <c r="AB221" s="662"/>
      <c r="AC221" s="662"/>
      <c r="AD221" s="662"/>
      <c r="AE221" s="662"/>
      <c r="AF221" s="662"/>
      <c r="AG221" s="662"/>
      <c r="AH221" s="662"/>
      <c r="AI221" s="662"/>
    </row>
    <row r="222" spans="25:35" s="80" customFormat="1">
      <c r="Y222" s="662"/>
      <c r="Z222" s="662"/>
      <c r="AA222" s="662"/>
      <c r="AB222" s="662"/>
      <c r="AC222" s="662"/>
      <c r="AD222" s="662"/>
      <c r="AE222" s="662"/>
      <c r="AF222" s="662"/>
      <c r="AG222" s="662"/>
      <c r="AH222" s="662"/>
      <c r="AI222" s="662"/>
    </row>
    <row r="223" spans="25:35" s="80" customFormat="1">
      <c r="Y223" s="662"/>
      <c r="Z223" s="662"/>
      <c r="AA223" s="662"/>
      <c r="AB223" s="662"/>
      <c r="AC223" s="662"/>
      <c r="AD223" s="662"/>
      <c r="AE223" s="662"/>
      <c r="AF223" s="662"/>
      <c r="AG223" s="662"/>
      <c r="AH223" s="662"/>
      <c r="AI223" s="662"/>
    </row>
    <row r="224" spans="25:35" s="80" customFormat="1">
      <c r="Y224" s="662"/>
      <c r="Z224" s="662"/>
      <c r="AA224" s="662"/>
      <c r="AB224" s="662"/>
      <c r="AC224" s="662"/>
      <c r="AD224" s="662"/>
      <c r="AE224" s="662"/>
      <c r="AF224" s="662"/>
      <c r="AG224" s="662"/>
      <c r="AH224" s="662"/>
      <c r="AI224" s="662"/>
    </row>
    <row r="225" spans="25:35" s="80" customFormat="1">
      <c r="Y225" s="662"/>
      <c r="Z225" s="662"/>
      <c r="AA225" s="662"/>
      <c r="AB225" s="662"/>
      <c r="AC225" s="662"/>
      <c r="AD225" s="662"/>
      <c r="AE225" s="662"/>
      <c r="AF225" s="662"/>
      <c r="AG225" s="662"/>
      <c r="AH225" s="662"/>
      <c r="AI225" s="662"/>
    </row>
    <row r="226" spans="25:35" s="80" customFormat="1">
      <c r="Y226" s="662"/>
      <c r="Z226" s="662"/>
      <c r="AA226" s="662"/>
      <c r="AB226" s="662"/>
      <c r="AC226" s="662"/>
      <c r="AD226" s="662"/>
      <c r="AE226" s="662"/>
      <c r="AF226" s="662"/>
      <c r="AG226" s="662"/>
      <c r="AH226" s="662"/>
      <c r="AI226" s="662"/>
    </row>
    <row r="227" spans="25:35" s="80" customFormat="1">
      <c r="Y227" s="662"/>
      <c r="Z227" s="662"/>
      <c r="AA227" s="662"/>
      <c r="AB227" s="662"/>
      <c r="AC227" s="662"/>
      <c r="AD227" s="662"/>
      <c r="AE227" s="662"/>
      <c r="AF227" s="662"/>
      <c r="AG227" s="662"/>
      <c r="AH227" s="662"/>
      <c r="AI227" s="662"/>
    </row>
    <row r="228" spans="25:35" s="80" customFormat="1">
      <c r="Y228" s="662"/>
      <c r="Z228" s="662"/>
      <c r="AA228" s="662"/>
      <c r="AB228" s="662"/>
      <c r="AC228" s="662"/>
      <c r="AD228" s="662"/>
      <c r="AE228" s="662"/>
      <c r="AF228" s="662"/>
      <c r="AG228" s="662"/>
      <c r="AH228" s="662"/>
      <c r="AI228" s="662"/>
    </row>
    <row r="229" spans="25:35" s="80" customFormat="1">
      <c r="Y229" s="662"/>
      <c r="Z229" s="662"/>
      <c r="AA229" s="662"/>
      <c r="AB229" s="662"/>
      <c r="AC229" s="662"/>
      <c r="AD229" s="662"/>
      <c r="AE229" s="662"/>
      <c r="AF229" s="662"/>
      <c r="AG229" s="662"/>
      <c r="AH229" s="662"/>
      <c r="AI229" s="662"/>
    </row>
    <row r="230" spans="25:35" s="80" customFormat="1">
      <c r="Y230" s="662"/>
      <c r="Z230" s="662"/>
      <c r="AA230" s="662"/>
      <c r="AB230" s="662"/>
      <c r="AC230" s="662"/>
      <c r="AD230" s="662"/>
      <c r="AE230" s="662"/>
      <c r="AF230" s="662"/>
      <c r="AG230" s="662"/>
      <c r="AH230" s="662"/>
      <c r="AI230" s="662"/>
    </row>
    <row r="231" spans="25:35" s="80" customFormat="1">
      <c r="Y231" s="662"/>
      <c r="Z231" s="662"/>
      <c r="AA231" s="662"/>
      <c r="AB231" s="662"/>
      <c r="AC231" s="662"/>
      <c r="AD231" s="662"/>
      <c r="AE231" s="662"/>
      <c r="AF231" s="662"/>
      <c r="AG231" s="662"/>
      <c r="AH231" s="662"/>
      <c r="AI231" s="662"/>
    </row>
    <row r="232" spans="25:35" s="80" customFormat="1">
      <c r="Y232" s="662"/>
      <c r="Z232" s="662"/>
      <c r="AA232" s="662"/>
      <c r="AB232" s="662"/>
      <c r="AC232" s="662"/>
      <c r="AD232" s="662"/>
      <c r="AE232" s="662"/>
      <c r="AF232" s="662"/>
      <c r="AG232" s="662"/>
      <c r="AH232" s="662"/>
      <c r="AI232" s="662"/>
    </row>
    <row r="233" spans="25:35" s="80" customFormat="1">
      <c r="Y233" s="662"/>
      <c r="Z233" s="662"/>
      <c r="AA233" s="662"/>
      <c r="AB233" s="662"/>
      <c r="AC233" s="662"/>
      <c r="AD233" s="662"/>
      <c r="AE233" s="662"/>
      <c r="AF233" s="662"/>
      <c r="AG233" s="662"/>
      <c r="AH233" s="662"/>
      <c r="AI233" s="662"/>
    </row>
    <row r="234" spans="25:35" s="80" customFormat="1">
      <c r="Y234" s="662"/>
      <c r="Z234" s="662"/>
      <c r="AA234" s="662"/>
      <c r="AB234" s="662"/>
      <c r="AC234" s="662"/>
      <c r="AD234" s="662"/>
      <c r="AE234" s="662"/>
      <c r="AF234" s="662"/>
      <c r="AG234" s="662"/>
      <c r="AH234" s="662"/>
      <c r="AI234" s="662"/>
    </row>
    <row r="235" spans="25:35" s="80" customFormat="1">
      <c r="Y235" s="662"/>
      <c r="Z235" s="662"/>
      <c r="AA235" s="662"/>
      <c r="AB235" s="662"/>
      <c r="AC235" s="662"/>
      <c r="AD235" s="662"/>
      <c r="AE235" s="662"/>
      <c r="AF235" s="662"/>
      <c r="AG235" s="662"/>
      <c r="AH235" s="662"/>
      <c r="AI235" s="662"/>
    </row>
    <row r="236" spans="25:35" s="80" customFormat="1">
      <c r="Y236" s="662"/>
      <c r="Z236" s="662"/>
      <c r="AA236" s="662"/>
      <c r="AB236" s="662"/>
      <c r="AC236" s="662"/>
      <c r="AD236" s="662"/>
      <c r="AE236" s="662"/>
      <c r="AF236" s="662"/>
      <c r="AG236" s="662"/>
      <c r="AH236" s="662"/>
      <c r="AI236" s="662"/>
    </row>
    <row r="237" spans="25:35" s="80" customFormat="1">
      <c r="Y237" s="662"/>
      <c r="Z237" s="662"/>
      <c r="AA237" s="662"/>
      <c r="AB237" s="662"/>
      <c r="AC237" s="662"/>
      <c r="AD237" s="662"/>
      <c r="AE237" s="662"/>
      <c r="AF237" s="662"/>
      <c r="AG237" s="662"/>
      <c r="AH237" s="662"/>
      <c r="AI237" s="662"/>
    </row>
    <row r="238" spans="25:35" s="80" customFormat="1">
      <c r="Y238" s="662"/>
      <c r="Z238" s="662"/>
      <c r="AA238" s="662"/>
      <c r="AB238" s="662"/>
      <c r="AC238" s="662"/>
      <c r="AD238" s="662"/>
      <c r="AE238" s="662"/>
      <c r="AF238" s="662"/>
      <c r="AG238" s="662"/>
      <c r="AH238" s="662"/>
      <c r="AI238" s="662"/>
    </row>
    <row r="239" spans="25:35" s="80" customFormat="1">
      <c r="Y239" s="662"/>
      <c r="Z239" s="662"/>
      <c r="AA239" s="662"/>
      <c r="AB239" s="662"/>
      <c r="AC239" s="662"/>
      <c r="AD239" s="662"/>
      <c r="AE239" s="662"/>
      <c r="AF239" s="662"/>
      <c r="AG239" s="662"/>
      <c r="AH239" s="662"/>
      <c r="AI239" s="662"/>
    </row>
    <row r="240" spans="25:35" s="80" customFormat="1">
      <c r="Y240" s="662"/>
      <c r="Z240" s="662"/>
      <c r="AA240" s="662"/>
      <c r="AB240" s="662"/>
      <c r="AC240" s="662"/>
      <c r="AD240" s="662"/>
      <c r="AE240" s="662"/>
      <c r="AF240" s="662"/>
      <c r="AG240" s="662"/>
      <c r="AH240" s="662"/>
      <c r="AI240" s="662"/>
    </row>
    <row r="241" spans="25:35" s="80" customFormat="1">
      <c r="Y241" s="662"/>
      <c r="Z241" s="662"/>
      <c r="AA241" s="662"/>
      <c r="AB241" s="662"/>
      <c r="AC241" s="662"/>
      <c r="AD241" s="662"/>
      <c r="AE241" s="662"/>
      <c r="AF241" s="662"/>
      <c r="AG241" s="662"/>
      <c r="AH241" s="662"/>
      <c r="AI241" s="662"/>
    </row>
    <row r="242" spans="25:35" s="80" customFormat="1">
      <c r="Y242" s="662"/>
      <c r="Z242" s="662"/>
      <c r="AA242" s="662"/>
      <c r="AB242" s="662"/>
      <c r="AC242" s="662"/>
      <c r="AD242" s="662"/>
      <c r="AE242" s="662"/>
      <c r="AF242" s="662"/>
      <c r="AG242" s="662"/>
      <c r="AH242" s="662"/>
      <c r="AI242" s="662"/>
    </row>
    <row r="243" spans="25:35" s="80" customFormat="1">
      <c r="Y243" s="662"/>
      <c r="Z243" s="662"/>
      <c r="AA243" s="662"/>
      <c r="AB243" s="662"/>
      <c r="AC243" s="662"/>
      <c r="AD243" s="662"/>
      <c r="AE243" s="662"/>
      <c r="AF243" s="662"/>
      <c r="AG243" s="662"/>
      <c r="AH243" s="662"/>
      <c r="AI243" s="662"/>
    </row>
    <row r="244" spans="25:35" s="80" customFormat="1">
      <c r="Y244" s="662"/>
      <c r="Z244" s="662"/>
      <c r="AA244" s="662"/>
      <c r="AB244" s="662"/>
      <c r="AC244" s="662"/>
      <c r="AD244" s="662"/>
      <c r="AE244" s="662"/>
      <c r="AF244" s="662"/>
      <c r="AG244" s="662"/>
      <c r="AH244" s="662"/>
      <c r="AI244" s="662"/>
    </row>
    <row r="245" spans="25:35" s="80" customFormat="1">
      <c r="Y245" s="662"/>
      <c r="Z245" s="662"/>
      <c r="AA245" s="662"/>
      <c r="AB245" s="662"/>
      <c r="AC245" s="662"/>
      <c r="AD245" s="662"/>
      <c r="AE245" s="662"/>
      <c r="AF245" s="662"/>
      <c r="AG245" s="662"/>
      <c r="AH245" s="662"/>
      <c r="AI245" s="662"/>
    </row>
    <row r="246" spans="25:35" s="80" customFormat="1">
      <c r="Y246" s="662"/>
      <c r="Z246" s="662"/>
      <c r="AA246" s="662"/>
      <c r="AB246" s="662"/>
      <c r="AC246" s="662"/>
      <c r="AD246" s="662"/>
      <c r="AE246" s="662"/>
      <c r="AF246" s="662"/>
      <c r="AG246" s="662"/>
      <c r="AH246" s="662"/>
      <c r="AI246" s="662"/>
    </row>
    <row r="247" spans="25:35" s="80" customFormat="1">
      <c r="Y247" s="662"/>
      <c r="Z247" s="662"/>
      <c r="AA247" s="662"/>
      <c r="AB247" s="662"/>
      <c r="AC247" s="662"/>
      <c r="AD247" s="662"/>
      <c r="AE247" s="662"/>
      <c r="AF247" s="662"/>
      <c r="AG247" s="662"/>
      <c r="AH247" s="662"/>
      <c r="AI247" s="662"/>
    </row>
    <row r="248" spans="25:35" s="80" customFormat="1">
      <c r="Y248" s="662"/>
      <c r="Z248" s="662"/>
      <c r="AA248" s="662"/>
      <c r="AB248" s="662"/>
      <c r="AC248" s="662"/>
      <c r="AD248" s="662"/>
      <c r="AE248" s="662"/>
      <c r="AF248" s="662"/>
      <c r="AG248" s="662"/>
      <c r="AH248" s="662"/>
      <c r="AI248" s="662"/>
    </row>
    <row r="249" spans="25:35" s="80" customFormat="1">
      <c r="Y249" s="662"/>
      <c r="Z249" s="662"/>
      <c r="AA249" s="662"/>
      <c r="AB249" s="662"/>
      <c r="AC249" s="662"/>
      <c r="AD249" s="662"/>
      <c r="AE249" s="662"/>
      <c r="AF249" s="662"/>
      <c r="AG249" s="662"/>
      <c r="AH249" s="662"/>
      <c r="AI249" s="662"/>
    </row>
    <row r="250" spans="25:35" s="80" customFormat="1">
      <c r="Y250" s="662"/>
      <c r="Z250" s="662"/>
      <c r="AA250" s="662"/>
      <c r="AB250" s="662"/>
      <c r="AC250" s="662"/>
      <c r="AD250" s="662"/>
      <c r="AE250" s="662"/>
      <c r="AF250" s="662"/>
      <c r="AG250" s="662"/>
      <c r="AH250" s="662"/>
      <c r="AI250" s="662"/>
    </row>
    <row r="251" spans="25:35" s="80" customFormat="1">
      <c r="Y251" s="662"/>
      <c r="Z251" s="662"/>
      <c r="AA251" s="662"/>
      <c r="AB251" s="662"/>
      <c r="AC251" s="662"/>
      <c r="AD251" s="662"/>
      <c r="AE251" s="662"/>
      <c r="AF251" s="662"/>
      <c r="AG251" s="662"/>
      <c r="AH251" s="662"/>
      <c r="AI251" s="662"/>
    </row>
    <row r="252" spans="25:35" s="80" customFormat="1">
      <c r="Y252" s="662"/>
      <c r="Z252" s="662"/>
      <c r="AA252" s="662"/>
      <c r="AB252" s="662"/>
      <c r="AC252" s="662"/>
      <c r="AD252" s="662"/>
      <c r="AE252" s="662"/>
      <c r="AF252" s="662"/>
      <c r="AG252" s="662"/>
      <c r="AH252" s="662"/>
      <c r="AI252" s="662"/>
    </row>
    <row r="253" spans="25:35" s="80" customFormat="1">
      <c r="Y253" s="662"/>
      <c r="Z253" s="662"/>
      <c r="AA253" s="662"/>
      <c r="AB253" s="662"/>
      <c r="AC253" s="662"/>
      <c r="AD253" s="662"/>
      <c r="AE253" s="662"/>
      <c r="AF253" s="662"/>
      <c r="AG253" s="662"/>
      <c r="AH253" s="662"/>
      <c r="AI253" s="662"/>
    </row>
    <row r="254" spans="25:35" s="80" customFormat="1">
      <c r="Y254" s="662"/>
      <c r="Z254" s="662"/>
      <c r="AA254" s="662"/>
      <c r="AB254" s="662"/>
      <c r="AC254" s="662"/>
      <c r="AD254" s="662"/>
      <c r="AE254" s="662"/>
      <c r="AF254" s="662"/>
      <c r="AG254" s="662"/>
      <c r="AH254" s="662"/>
      <c r="AI254" s="662"/>
    </row>
    <row r="255" spans="25:35" s="80" customFormat="1">
      <c r="Y255" s="662"/>
      <c r="Z255" s="662"/>
      <c r="AA255" s="662"/>
      <c r="AB255" s="662"/>
      <c r="AC255" s="662"/>
      <c r="AD255" s="662"/>
      <c r="AE255" s="662"/>
      <c r="AF255" s="662"/>
      <c r="AG255" s="662"/>
      <c r="AH255" s="662"/>
      <c r="AI255" s="662"/>
    </row>
    <row r="256" spans="25:35" s="80" customFormat="1">
      <c r="Y256" s="662"/>
      <c r="Z256" s="662"/>
      <c r="AA256" s="662"/>
      <c r="AB256" s="662"/>
      <c r="AC256" s="662"/>
      <c r="AD256" s="662"/>
      <c r="AE256" s="662"/>
      <c r="AF256" s="662"/>
      <c r="AG256" s="662"/>
      <c r="AH256" s="662"/>
      <c r="AI256" s="662"/>
    </row>
    <row r="257" spans="25:35" s="80" customFormat="1">
      <c r="Y257" s="662"/>
      <c r="Z257" s="662"/>
      <c r="AA257" s="662"/>
      <c r="AB257" s="662"/>
      <c r="AC257" s="662"/>
      <c r="AD257" s="662"/>
      <c r="AE257" s="662"/>
      <c r="AF257" s="662"/>
      <c r="AG257" s="662"/>
      <c r="AH257" s="662"/>
      <c r="AI257" s="662"/>
    </row>
    <row r="258" spans="25:35" s="80" customFormat="1">
      <c r="Y258" s="662"/>
      <c r="Z258" s="662"/>
      <c r="AA258" s="662"/>
      <c r="AB258" s="662"/>
      <c r="AC258" s="662"/>
      <c r="AD258" s="662"/>
      <c r="AE258" s="662"/>
      <c r="AF258" s="662"/>
      <c r="AG258" s="662"/>
      <c r="AH258" s="662"/>
      <c r="AI258" s="662"/>
    </row>
    <row r="259" spans="25:35" s="80" customFormat="1">
      <c r="Y259" s="662"/>
      <c r="Z259" s="662"/>
      <c r="AA259" s="662"/>
      <c r="AB259" s="662"/>
      <c r="AC259" s="662"/>
      <c r="AD259" s="662"/>
      <c r="AE259" s="662"/>
      <c r="AF259" s="662"/>
      <c r="AG259" s="662"/>
      <c r="AH259" s="662"/>
      <c r="AI259" s="662"/>
    </row>
    <row r="260" spans="25:35" s="80" customFormat="1">
      <c r="Y260" s="662"/>
      <c r="Z260" s="662"/>
      <c r="AA260" s="662"/>
      <c r="AB260" s="662"/>
      <c r="AC260" s="662"/>
      <c r="AD260" s="662"/>
      <c r="AE260" s="662"/>
      <c r="AF260" s="662"/>
      <c r="AG260" s="662"/>
      <c r="AH260" s="662"/>
      <c r="AI260" s="662"/>
    </row>
    <row r="261" spans="25:35" s="80" customFormat="1">
      <c r="Y261" s="662"/>
      <c r="Z261" s="662"/>
      <c r="AA261" s="662"/>
      <c r="AB261" s="662"/>
      <c r="AC261" s="662"/>
      <c r="AD261" s="662"/>
      <c r="AE261" s="662"/>
      <c r="AF261" s="662"/>
      <c r="AG261" s="662"/>
      <c r="AH261" s="662"/>
      <c r="AI261" s="662"/>
    </row>
    <row r="262" spans="25:35" s="80" customFormat="1">
      <c r="Y262" s="662"/>
      <c r="Z262" s="662"/>
      <c r="AA262" s="662"/>
      <c r="AB262" s="662"/>
      <c r="AC262" s="662"/>
      <c r="AD262" s="662"/>
      <c r="AE262" s="662"/>
      <c r="AF262" s="662"/>
      <c r="AG262" s="662"/>
      <c r="AH262" s="662"/>
      <c r="AI262" s="662"/>
    </row>
    <row r="263" spans="25:35" s="80" customFormat="1">
      <c r="Y263" s="662"/>
      <c r="Z263" s="662"/>
      <c r="AA263" s="662"/>
      <c r="AB263" s="662"/>
      <c r="AC263" s="662"/>
      <c r="AD263" s="662"/>
      <c r="AE263" s="662"/>
      <c r="AF263" s="662"/>
      <c r="AG263" s="662"/>
      <c r="AH263" s="662"/>
      <c r="AI263" s="662"/>
    </row>
    <row r="264" spans="25:35" s="80" customFormat="1">
      <c r="Y264" s="662"/>
      <c r="Z264" s="662"/>
      <c r="AA264" s="662"/>
      <c r="AB264" s="662"/>
      <c r="AC264" s="662"/>
      <c r="AD264" s="662"/>
      <c r="AE264" s="662"/>
      <c r="AF264" s="662"/>
      <c r="AG264" s="662"/>
      <c r="AH264" s="662"/>
      <c r="AI264" s="662"/>
    </row>
    <row r="265" spans="25:35" s="80" customFormat="1">
      <c r="Y265" s="662"/>
      <c r="Z265" s="662"/>
      <c r="AA265" s="662"/>
      <c r="AB265" s="662"/>
      <c r="AC265" s="662"/>
      <c r="AD265" s="662"/>
      <c r="AE265" s="662"/>
      <c r="AF265" s="662"/>
      <c r="AG265" s="662"/>
      <c r="AH265" s="662"/>
      <c r="AI265" s="662"/>
    </row>
    <row r="266" spans="25:35" s="80" customFormat="1">
      <c r="Y266" s="662"/>
      <c r="Z266" s="662"/>
      <c r="AA266" s="662"/>
      <c r="AB266" s="662"/>
      <c r="AC266" s="662"/>
      <c r="AD266" s="662"/>
      <c r="AE266" s="662"/>
      <c r="AF266" s="662"/>
      <c r="AG266" s="662"/>
      <c r="AH266" s="662"/>
      <c r="AI266" s="662"/>
    </row>
    <row r="267" spans="25:35" s="80" customFormat="1">
      <c r="Y267" s="662"/>
      <c r="Z267" s="662"/>
      <c r="AA267" s="662"/>
      <c r="AB267" s="662"/>
      <c r="AC267" s="662"/>
      <c r="AD267" s="662"/>
      <c r="AE267" s="662"/>
      <c r="AF267" s="662"/>
      <c r="AG267" s="662"/>
      <c r="AH267" s="662"/>
      <c r="AI267" s="662"/>
    </row>
    <row r="268" spans="25:35" s="80" customFormat="1">
      <c r="Y268" s="662"/>
      <c r="Z268" s="662"/>
      <c r="AA268" s="662"/>
      <c r="AB268" s="662"/>
      <c r="AC268" s="662"/>
      <c r="AD268" s="662"/>
      <c r="AE268" s="662"/>
      <c r="AF268" s="662"/>
      <c r="AG268" s="662"/>
      <c r="AH268" s="662"/>
      <c r="AI268" s="662"/>
    </row>
    <row r="269" spans="25:35" s="80" customFormat="1">
      <c r="Y269" s="662"/>
      <c r="Z269" s="662"/>
      <c r="AA269" s="662"/>
      <c r="AB269" s="662"/>
      <c r="AC269" s="662"/>
      <c r="AD269" s="662"/>
      <c r="AE269" s="662"/>
      <c r="AF269" s="662"/>
      <c r="AG269" s="662"/>
      <c r="AH269" s="662"/>
      <c r="AI269" s="662"/>
    </row>
    <row r="270" spans="25:35" s="80" customFormat="1">
      <c r="Y270" s="662"/>
      <c r="Z270" s="662"/>
      <c r="AA270" s="662"/>
      <c r="AB270" s="662"/>
      <c r="AC270" s="662"/>
      <c r="AD270" s="662"/>
      <c r="AE270" s="662"/>
      <c r="AF270" s="662"/>
      <c r="AG270" s="662"/>
      <c r="AH270" s="662"/>
      <c r="AI270" s="662"/>
    </row>
    <row r="271" spans="25:35" s="80" customFormat="1">
      <c r="Y271" s="662"/>
      <c r="Z271" s="662"/>
      <c r="AA271" s="662"/>
      <c r="AB271" s="662"/>
      <c r="AC271" s="662"/>
      <c r="AD271" s="662"/>
      <c r="AE271" s="662"/>
      <c r="AF271" s="662"/>
      <c r="AG271" s="662"/>
      <c r="AH271" s="662"/>
      <c r="AI271" s="662"/>
    </row>
    <row r="272" spans="25:35" s="80" customFormat="1">
      <c r="Y272" s="662"/>
      <c r="Z272" s="662"/>
      <c r="AA272" s="662"/>
      <c r="AB272" s="662"/>
      <c r="AC272" s="662"/>
      <c r="AD272" s="662"/>
      <c r="AE272" s="662"/>
      <c r="AF272" s="662"/>
      <c r="AG272" s="662"/>
      <c r="AH272" s="662"/>
      <c r="AI272" s="662"/>
    </row>
    <row r="273" spans="25:35" s="80" customFormat="1">
      <c r="Y273" s="662"/>
      <c r="Z273" s="662"/>
      <c r="AA273" s="662"/>
      <c r="AB273" s="662"/>
      <c r="AC273" s="662"/>
      <c r="AD273" s="662"/>
      <c r="AE273" s="662"/>
      <c r="AF273" s="662"/>
      <c r="AG273" s="662"/>
      <c r="AH273" s="662"/>
      <c r="AI273" s="662"/>
    </row>
    <row r="274" spans="25:35" s="80" customFormat="1">
      <c r="Y274" s="662"/>
      <c r="Z274" s="662"/>
      <c r="AA274" s="662"/>
      <c r="AB274" s="662"/>
      <c r="AC274" s="662"/>
      <c r="AD274" s="662"/>
      <c r="AE274" s="662"/>
      <c r="AF274" s="662"/>
      <c r="AG274" s="662"/>
      <c r="AH274" s="662"/>
      <c r="AI274" s="662"/>
    </row>
    <row r="275" spans="25:35" s="80" customFormat="1">
      <c r="Y275" s="662"/>
      <c r="Z275" s="662"/>
      <c r="AA275" s="662"/>
      <c r="AB275" s="662"/>
      <c r="AC275" s="662"/>
      <c r="AD275" s="662"/>
      <c r="AE275" s="662"/>
      <c r="AF275" s="662"/>
      <c r="AG275" s="662"/>
      <c r="AH275" s="662"/>
      <c r="AI275" s="662"/>
    </row>
    <row r="276" spans="25:35" s="80" customFormat="1">
      <c r="Y276" s="662"/>
      <c r="Z276" s="662"/>
      <c r="AA276" s="662"/>
      <c r="AB276" s="662"/>
      <c r="AC276" s="662"/>
      <c r="AD276" s="662"/>
      <c r="AE276" s="662"/>
      <c r="AF276" s="662"/>
      <c r="AG276" s="662"/>
      <c r="AH276" s="662"/>
      <c r="AI276" s="662"/>
    </row>
    <row r="277" spans="25:35" s="80" customFormat="1">
      <c r="Y277" s="662"/>
      <c r="Z277" s="662"/>
      <c r="AA277" s="662"/>
      <c r="AB277" s="662"/>
      <c r="AC277" s="662"/>
      <c r="AD277" s="662"/>
      <c r="AE277" s="662"/>
      <c r="AF277" s="662"/>
      <c r="AG277" s="662"/>
      <c r="AH277" s="662"/>
      <c r="AI277" s="662"/>
    </row>
    <row r="278" spans="25:35" s="80" customFormat="1">
      <c r="Y278" s="662"/>
      <c r="Z278" s="662"/>
      <c r="AA278" s="662"/>
      <c r="AB278" s="662"/>
      <c r="AC278" s="662"/>
      <c r="AD278" s="662"/>
      <c r="AE278" s="662"/>
      <c r="AF278" s="662"/>
      <c r="AG278" s="662"/>
      <c r="AH278" s="662"/>
      <c r="AI278" s="662"/>
    </row>
    <row r="279" spans="25:35" s="80" customFormat="1">
      <c r="Y279" s="662"/>
      <c r="Z279" s="662"/>
      <c r="AA279" s="662"/>
      <c r="AB279" s="662"/>
      <c r="AC279" s="662"/>
      <c r="AD279" s="662"/>
      <c r="AE279" s="662"/>
      <c r="AF279" s="662"/>
      <c r="AG279" s="662"/>
      <c r="AH279" s="662"/>
      <c r="AI279" s="662"/>
    </row>
    <row r="280" spans="25:35" s="80" customFormat="1">
      <c r="Y280" s="662"/>
      <c r="Z280" s="662"/>
      <c r="AA280" s="662"/>
      <c r="AB280" s="662"/>
      <c r="AC280" s="662"/>
      <c r="AD280" s="662"/>
      <c r="AE280" s="662"/>
      <c r="AF280" s="662"/>
      <c r="AG280" s="662"/>
      <c r="AH280" s="662"/>
      <c r="AI280" s="662"/>
    </row>
    <row r="281" spans="25:35" s="80" customFormat="1">
      <c r="Y281" s="662"/>
      <c r="Z281" s="662"/>
      <c r="AA281" s="662"/>
      <c r="AB281" s="662"/>
      <c r="AC281" s="662"/>
      <c r="AD281" s="662"/>
      <c r="AE281" s="662"/>
      <c r="AF281" s="662"/>
      <c r="AG281" s="662"/>
      <c r="AH281" s="662"/>
      <c r="AI281" s="662"/>
    </row>
    <row r="282" spans="25:35" s="80" customFormat="1">
      <c r="Y282" s="662"/>
      <c r="Z282" s="662"/>
      <c r="AA282" s="662"/>
      <c r="AB282" s="662"/>
      <c r="AC282" s="662"/>
      <c r="AD282" s="662"/>
      <c r="AE282" s="662"/>
      <c r="AF282" s="662"/>
      <c r="AG282" s="662"/>
      <c r="AH282" s="662"/>
      <c r="AI282" s="662"/>
    </row>
    <row r="283" spans="25:35" s="80" customFormat="1">
      <c r="Y283" s="662"/>
      <c r="Z283" s="662"/>
      <c r="AA283" s="662"/>
      <c r="AB283" s="662"/>
      <c r="AC283" s="662"/>
      <c r="AD283" s="662"/>
      <c r="AE283" s="662"/>
      <c r="AF283" s="662"/>
      <c r="AG283" s="662"/>
      <c r="AH283" s="662"/>
      <c r="AI283" s="662"/>
    </row>
    <row r="284" spans="25:35" s="80" customFormat="1">
      <c r="Y284" s="662"/>
      <c r="Z284" s="662"/>
      <c r="AA284" s="662"/>
      <c r="AB284" s="662"/>
      <c r="AC284" s="662"/>
      <c r="AD284" s="662"/>
      <c r="AE284" s="662"/>
      <c r="AF284" s="662"/>
      <c r="AG284" s="662"/>
      <c r="AH284" s="662"/>
      <c r="AI284" s="662"/>
    </row>
    <row r="285" spans="25:35" s="80" customFormat="1">
      <c r="Y285" s="662"/>
      <c r="Z285" s="662"/>
      <c r="AA285" s="662"/>
      <c r="AB285" s="662"/>
      <c r="AC285" s="662"/>
      <c r="AD285" s="662"/>
      <c r="AE285" s="662"/>
      <c r="AF285" s="662"/>
      <c r="AG285" s="662"/>
      <c r="AH285" s="662"/>
      <c r="AI285" s="662"/>
    </row>
    <row r="286" spans="25:35" s="80" customFormat="1">
      <c r="Y286" s="662"/>
      <c r="Z286" s="662"/>
      <c r="AA286" s="662"/>
      <c r="AB286" s="662"/>
      <c r="AC286" s="662"/>
      <c r="AD286" s="662"/>
      <c r="AE286" s="662"/>
      <c r="AF286" s="662"/>
      <c r="AG286" s="662"/>
      <c r="AH286" s="662"/>
      <c r="AI286" s="662"/>
    </row>
    <row r="287" spans="25:35" s="80" customFormat="1">
      <c r="Y287" s="662"/>
      <c r="Z287" s="662"/>
      <c r="AA287" s="662"/>
      <c r="AB287" s="662"/>
      <c r="AC287" s="662"/>
      <c r="AD287" s="662"/>
      <c r="AE287" s="662"/>
      <c r="AF287" s="662"/>
      <c r="AG287" s="662"/>
      <c r="AH287" s="662"/>
      <c r="AI287" s="662"/>
    </row>
    <row r="288" spans="25:35" s="80" customFormat="1">
      <c r="Y288" s="662"/>
      <c r="Z288" s="662"/>
      <c r="AA288" s="662"/>
      <c r="AB288" s="662"/>
      <c r="AC288" s="662"/>
      <c r="AD288" s="662"/>
      <c r="AE288" s="662"/>
      <c r="AF288" s="662"/>
      <c r="AG288" s="662"/>
      <c r="AH288" s="662"/>
      <c r="AI288" s="662"/>
    </row>
    <row r="289" spans="25:35" s="80" customFormat="1">
      <c r="Y289" s="662"/>
      <c r="Z289" s="662"/>
      <c r="AA289" s="662"/>
      <c r="AB289" s="662"/>
      <c r="AC289" s="662"/>
      <c r="AD289" s="662"/>
      <c r="AE289" s="662"/>
      <c r="AF289" s="662"/>
      <c r="AG289" s="662"/>
      <c r="AH289" s="662"/>
      <c r="AI289" s="662"/>
    </row>
    <row r="290" spans="25:35" s="80" customFormat="1">
      <c r="Y290" s="662"/>
      <c r="Z290" s="662"/>
      <c r="AA290" s="662"/>
      <c r="AB290" s="662"/>
      <c r="AC290" s="662"/>
      <c r="AD290" s="662"/>
      <c r="AE290" s="662"/>
      <c r="AF290" s="662"/>
      <c r="AG290" s="662"/>
      <c r="AH290" s="662"/>
      <c r="AI290" s="662"/>
    </row>
    <row r="291" spans="25:35" s="80" customFormat="1">
      <c r="Y291" s="662"/>
      <c r="Z291" s="662"/>
      <c r="AA291" s="662"/>
      <c r="AB291" s="662"/>
      <c r="AC291" s="662"/>
      <c r="AD291" s="662"/>
      <c r="AE291" s="662"/>
      <c r="AF291" s="662"/>
      <c r="AG291" s="662"/>
      <c r="AH291" s="662"/>
      <c r="AI291" s="662"/>
    </row>
    <row r="292" spans="25:35" s="80" customFormat="1">
      <c r="Y292" s="662"/>
      <c r="Z292" s="662"/>
      <c r="AA292" s="662"/>
      <c r="AB292" s="662"/>
      <c r="AC292" s="662"/>
      <c r="AD292" s="662"/>
      <c r="AE292" s="662"/>
      <c r="AF292" s="662"/>
      <c r="AG292" s="662"/>
      <c r="AH292" s="662"/>
      <c r="AI292" s="662"/>
    </row>
    <row r="293" spans="25:35" s="80" customFormat="1">
      <c r="Y293" s="662"/>
      <c r="Z293" s="662"/>
      <c r="AA293" s="662"/>
      <c r="AB293" s="662"/>
      <c r="AC293" s="662"/>
      <c r="AD293" s="662"/>
      <c r="AE293" s="662"/>
      <c r="AF293" s="662"/>
      <c r="AG293" s="662"/>
      <c r="AH293" s="662"/>
      <c r="AI293" s="662"/>
    </row>
    <row r="294" spans="25:35" s="80" customFormat="1">
      <c r="Y294" s="662"/>
      <c r="Z294" s="662"/>
      <c r="AA294" s="662"/>
      <c r="AB294" s="662"/>
      <c r="AC294" s="662"/>
      <c r="AD294" s="662"/>
      <c r="AE294" s="662"/>
      <c r="AF294" s="662"/>
      <c r="AG294" s="662"/>
      <c r="AH294" s="662"/>
      <c r="AI294" s="662"/>
    </row>
    <row r="295" spans="25:35" s="80" customFormat="1">
      <c r="Y295" s="662"/>
      <c r="Z295" s="662"/>
      <c r="AA295" s="662"/>
      <c r="AB295" s="662"/>
      <c r="AC295" s="662"/>
      <c r="AD295" s="662"/>
      <c r="AE295" s="662"/>
      <c r="AF295" s="662"/>
      <c r="AG295" s="662"/>
      <c r="AH295" s="662"/>
      <c r="AI295" s="662"/>
    </row>
    <row r="296" spans="25:35" s="80" customFormat="1">
      <c r="Y296" s="662"/>
      <c r="Z296" s="662"/>
      <c r="AA296" s="662"/>
      <c r="AB296" s="662"/>
      <c r="AC296" s="662"/>
      <c r="AD296" s="662"/>
      <c r="AE296" s="662"/>
      <c r="AF296" s="662"/>
      <c r="AG296" s="662"/>
      <c r="AH296" s="662"/>
      <c r="AI296" s="662"/>
    </row>
    <row r="297" spans="25:35" s="80" customFormat="1">
      <c r="Y297" s="662"/>
      <c r="Z297" s="662"/>
      <c r="AA297" s="662"/>
      <c r="AB297" s="662"/>
      <c r="AC297" s="662"/>
      <c r="AD297" s="662"/>
      <c r="AE297" s="662"/>
      <c r="AF297" s="662"/>
      <c r="AG297" s="662"/>
      <c r="AH297" s="662"/>
      <c r="AI297" s="662"/>
    </row>
    <row r="298" spans="25:35" s="80" customFormat="1">
      <c r="Y298" s="662"/>
      <c r="Z298" s="662"/>
      <c r="AA298" s="662"/>
      <c r="AB298" s="662"/>
      <c r="AC298" s="662"/>
      <c r="AD298" s="662"/>
      <c r="AE298" s="662"/>
      <c r="AF298" s="662"/>
      <c r="AG298" s="662"/>
      <c r="AH298" s="662"/>
      <c r="AI298" s="662"/>
    </row>
    <row r="299" spans="25:35" s="80" customFormat="1">
      <c r="Y299" s="662"/>
      <c r="Z299" s="662"/>
      <c r="AA299" s="662"/>
      <c r="AB299" s="662"/>
      <c r="AC299" s="662"/>
      <c r="AD299" s="662"/>
      <c r="AE299" s="662"/>
      <c r="AF299" s="662"/>
      <c r="AG299" s="662"/>
      <c r="AH299" s="662"/>
      <c r="AI299" s="662"/>
    </row>
    <row r="300" spans="25:35" s="80" customFormat="1">
      <c r="Y300" s="662"/>
      <c r="Z300" s="662"/>
      <c r="AA300" s="662"/>
      <c r="AB300" s="662"/>
      <c r="AC300" s="662"/>
      <c r="AD300" s="662"/>
      <c r="AE300" s="662"/>
      <c r="AF300" s="662"/>
      <c r="AG300" s="662"/>
      <c r="AH300" s="662"/>
      <c r="AI300" s="662"/>
    </row>
    <row r="301" spans="25:35" s="80" customFormat="1">
      <c r="Y301" s="662"/>
      <c r="Z301" s="662"/>
      <c r="AA301" s="662"/>
      <c r="AB301" s="662"/>
      <c r="AC301" s="662"/>
      <c r="AD301" s="662"/>
      <c r="AE301" s="662"/>
      <c r="AF301" s="662"/>
      <c r="AG301" s="662"/>
      <c r="AH301" s="662"/>
      <c r="AI301" s="662"/>
    </row>
    <row r="302" spans="25:35" s="80" customFormat="1">
      <c r="Y302" s="662"/>
      <c r="Z302" s="662"/>
      <c r="AA302" s="662"/>
      <c r="AB302" s="662"/>
      <c r="AC302" s="662"/>
      <c r="AD302" s="662"/>
      <c r="AE302" s="662"/>
      <c r="AF302" s="662"/>
      <c r="AG302" s="662"/>
      <c r="AH302" s="662"/>
      <c r="AI302" s="662"/>
    </row>
    <row r="303" spans="25:35" s="80" customFormat="1">
      <c r="Y303" s="662"/>
      <c r="Z303" s="662"/>
      <c r="AA303" s="662"/>
      <c r="AB303" s="662"/>
      <c r="AC303" s="662"/>
      <c r="AD303" s="662"/>
      <c r="AE303" s="662"/>
      <c r="AF303" s="662"/>
      <c r="AG303" s="662"/>
      <c r="AH303" s="662"/>
      <c r="AI303" s="662"/>
    </row>
    <row r="304" spans="25:35" s="80" customFormat="1">
      <c r="Y304" s="662"/>
      <c r="Z304" s="662"/>
      <c r="AA304" s="662"/>
      <c r="AB304" s="662"/>
      <c r="AC304" s="662"/>
      <c r="AD304" s="662"/>
      <c r="AE304" s="662"/>
      <c r="AF304" s="662"/>
      <c r="AG304" s="662"/>
      <c r="AH304" s="662"/>
      <c r="AI304" s="662"/>
    </row>
    <row r="305" spans="25:35" s="80" customFormat="1">
      <c r="Y305" s="662"/>
      <c r="Z305" s="662"/>
      <c r="AA305" s="662"/>
      <c r="AB305" s="662"/>
      <c r="AC305" s="662"/>
      <c r="AD305" s="662"/>
      <c r="AE305" s="662"/>
      <c r="AF305" s="662"/>
      <c r="AG305" s="662"/>
      <c r="AH305" s="662"/>
      <c r="AI305" s="662"/>
    </row>
    <row r="306" spans="25:35" s="80" customFormat="1">
      <c r="Y306" s="662"/>
      <c r="Z306" s="662"/>
      <c r="AA306" s="662"/>
      <c r="AB306" s="662"/>
      <c r="AC306" s="662"/>
      <c r="AD306" s="662"/>
      <c r="AE306" s="662"/>
      <c r="AF306" s="662"/>
      <c r="AG306" s="662"/>
      <c r="AH306" s="662"/>
      <c r="AI306" s="662"/>
    </row>
    <row r="307" spans="25:35" s="80" customFormat="1">
      <c r="Y307" s="662"/>
      <c r="Z307" s="662"/>
      <c r="AA307" s="662"/>
      <c r="AB307" s="662"/>
      <c r="AC307" s="662"/>
      <c r="AD307" s="662"/>
      <c r="AE307" s="662"/>
      <c r="AF307" s="662"/>
      <c r="AG307" s="662"/>
      <c r="AH307" s="662"/>
      <c r="AI307" s="662"/>
    </row>
    <row r="308" spans="25:35" s="80" customFormat="1">
      <c r="Y308" s="662"/>
      <c r="Z308" s="662"/>
      <c r="AA308" s="662"/>
      <c r="AB308" s="662"/>
      <c r="AC308" s="662"/>
      <c r="AD308" s="662"/>
      <c r="AE308" s="662"/>
      <c r="AF308" s="662"/>
      <c r="AG308" s="662"/>
      <c r="AH308" s="662"/>
      <c r="AI308" s="662"/>
    </row>
    <row r="309" spans="25:35" s="80" customFormat="1">
      <c r="Y309" s="662"/>
      <c r="Z309" s="662"/>
      <c r="AA309" s="662"/>
      <c r="AB309" s="662"/>
      <c r="AC309" s="662"/>
      <c r="AD309" s="662"/>
      <c r="AE309" s="662"/>
      <c r="AF309" s="662"/>
      <c r="AG309" s="662"/>
      <c r="AH309" s="662"/>
      <c r="AI309" s="662"/>
    </row>
    <row r="310" spans="25:35" s="80" customFormat="1">
      <c r="Y310" s="662"/>
      <c r="Z310" s="662"/>
      <c r="AA310" s="662"/>
      <c r="AB310" s="662"/>
      <c r="AC310" s="662"/>
      <c r="AD310" s="662"/>
      <c r="AE310" s="662"/>
      <c r="AF310" s="662"/>
      <c r="AG310" s="662"/>
      <c r="AH310" s="662"/>
      <c r="AI310" s="662"/>
    </row>
    <row r="311" spans="25:35" s="80" customFormat="1">
      <c r="Y311" s="662"/>
      <c r="Z311" s="662"/>
      <c r="AA311" s="662"/>
      <c r="AB311" s="662"/>
      <c r="AC311" s="662"/>
      <c r="AD311" s="662"/>
      <c r="AE311" s="662"/>
      <c r="AF311" s="662"/>
      <c r="AG311" s="662"/>
      <c r="AH311" s="662"/>
      <c r="AI311" s="662"/>
    </row>
    <row r="312" spans="25:35" s="80" customFormat="1">
      <c r="Y312" s="662"/>
      <c r="Z312" s="662"/>
      <c r="AA312" s="662"/>
      <c r="AB312" s="662"/>
      <c r="AC312" s="662"/>
      <c r="AD312" s="662"/>
      <c r="AE312" s="662"/>
      <c r="AF312" s="662"/>
      <c r="AG312" s="662"/>
      <c r="AH312" s="662"/>
      <c r="AI312" s="662"/>
    </row>
    <row r="313" spans="25:35" s="80" customFormat="1">
      <c r="Y313" s="662"/>
      <c r="Z313" s="662"/>
      <c r="AA313" s="662"/>
      <c r="AB313" s="662"/>
      <c r="AC313" s="662"/>
      <c r="AD313" s="662"/>
      <c r="AE313" s="662"/>
      <c r="AF313" s="662"/>
      <c r="AG313" s="662"/>
      <c r="AH313" s="662"/>
      <c r="AI313" s="662"/>
    </row>
    <row r="314" spans="25:35" s="80" customFormat="1">
      <c r="Y314" s="662"/>
      <c r="Z314" s="662"/>
      <c r="AA314" s="662"/>
      <c r="AB314" s="662"/>
      <c r="AC314" s="662"/>
      <c r="AD314" s="662"/>
      <c r="AE314" s="662"/>
      <c r="AF314" s="662"/>
      <c r="AG314" s="662"/>
      <c r="AH314" s="662"/>
      <c r="AI314" s="662"/>
    </row>
    <row r="315" spans="25:35" s="80" customFormat="1">
      <c r="Y315" s="662"/>
      <c r="Z315" s="662"/>
      <c r="AA315" s="662"/>
      <c r="AB315" s="662"/>
      <c r="AC315" s="662"/>
      <c r="AD315" s="662"/>
      <c r="AE315" s="662"/>
      <c r="AF315" s="662"/>
      <c r="AG315" s="662"/>
      <c r="AH315" s="662"/>
      <c r="AI315" s="662"/>
    </row>
    <row r="316" spans="25:35" s="80" customFormat="1">
      <c r="Y316" s="662"/>
      <c r="Z316" s="662"/>
      <c r="AA316" s="662"/>
      <c r="AB316" s="662"/>
      <c r="AC316" s="662"/>
      <c r="AD316" s="662"/>
      <c r="AE316" s="662"/>
      <c r="AF316" s="662"/>
      <c r="AG316" s="662"/>
      <c r="AH316" s="662"/>
      <c r="AI316" s="662"/>
    </row>
    <row r="317" spans="25:35" s="80" customFormat="1">
      <c r="Y317" s="662"/>
      <c r="Z317" s="662"/>
      <c r="AA317" s="662"/>
      <c r="AB317" s="662"/>
      <c r="AC317" s="662"/>
      <c r="AD317" s="662"/>
      <c r="AE317" s="662"/>
      <c r="AF317" s="662"/>
      <c r="AG317" s="662"/>
      <c r="AH317" s="662"/>
      <c r="AI317" s="662"/>
    </row>
    <row r="318" spans="25:35" s="80" customFormat="1">
      <c r="Y318" s="662"/>
      <c r="Z318" s="662"/>
      <c r="AA318" s="662"/>
      <c r="AB318" s="662"/>
      <c r="AC318" s="662"/>
      <c r="AD318" s="662"/>
      <c r="AE318" s="662"/>
      <c r="AF318" s="662"/>
      <c r="AG318" s="662"/>
      <c r="AH318" s="662"/>
      <c r="AI318" s="662"/>
    </row>
    <row r="319" spans="25:35" s="80" customFormat="1">
      <c r="Y319" s="662"/>
      <c r="Z319" s="662"/>
      <c r="AA319" s="662"/>
      <c r="AB319" s="662"/>
      <c r="AC319" s="662"/>
      <c r="AD319" s="662"/>
      <c r="AE319" s="662"/>
      <c r="AF319" s="662"/>
      <c r="AG319" s="662"/>
      <c r="AH319" s="662"/>
      <c r="AI319" s="662"/>
    </row>
    <row r="320" spans="25:35" s="80" customFormat="1">
      <c r="Y320" s="662"/>
      <c r="Z320" s="662"/>
      <c r="AA320" s="662"/>
      <c r="AB320" s="662"/>
      <c r="AC320" s="662"/>
      <c r="AD320" s="662"/>
      <c r="AE320" s="662"/>
      <c r="AF320" s="662"/>
      <c r="AG320" s="662"/>
      <c r="AH320" s="662"/>
      <c r="AI320" s="662"/>
    </row>
    <row r="321" spans="25:35" s="80" customFormat="1">
      <c r="Y321" s="662"/>
      <c r="Z321" s="662"/>
      <c r="AA321" s="662"/>
      <c r="AB321" s="662"/>
      <c r="AC321" s="662"/>
      <c r="AD321" s="662"/>
      <c r="AE321" s="662"/>
      <c r="AF321" s="662"/>
      <c r="AG321" s="662"/>
      <c r="AH321" s="662"/>
      <c r="AI321" s="662"/>
    </row>
    <row r="322" spans="25:35" s="80" customFormat="1">
      <c r="Y322" s="662"/>
      <c r="Z322" s="662"/>
      <c r="AA322" s="662"/>
      <c r="AB322" s="662"/>
      <c r="AC322" s="662"/>
      <c r="AD322" s="662"/>
      <c r="AE322" s="662"/>
      <c r="AF322" s="662"/>
      <c r="AG322" s="662"/>
      <c r="AH322" s="662"/>
      <c r="AI322" s="662"/>
    </row>
    <row r="323" spans="25:35" s="80" customFormat="1">
      <c r="Y323" s="662"/>
      <c r="Z323" s="662"/>
      <c r="AA323" s="662"/>
      <c r="AB323" s="662"/>
      <c r="AC323" s="662"/>
      <c r="AD323" s="662"/>
      <c r="AE323" s="662"/>
      <c r="AF323" s="662"/>
      <c r="AG323" s="662"/>
      <c r="AH323" s="662"/>
      <c r="AI323" s="662"/>
    </row>
    <row r="324" spans="25:35" s="80" customFormat="1">
      <c r="Y324" s="662"/>
      <c r="Z324" s="662"/>
      <c r="AA324" s="662"/>
      <c r="AB324" s="662"/>
      <c r="AC324" s="662"/>
      <c r="AD324" s="662"/>
      <c r="AE324" s="662"/>
      <c r="AF324" s="662"/>
      <c r="AG324" s="662"/>
      <c r="AH324" s="662"/>
      <c r="AI324" s="662"/>
    </row>
    <row r="325" spans="25:35" s="80" customFormat="1">
      <c r="Y325" s="662"/>
      <c r="Z325" s="662"/>
      <c r="AA325" s="662"/>
      <c r="AB325" s="662"/>
      <c r="AC325" s="662"/>
      <c r="AD325" s="662"/>
      <c r="AE325" s="662"/>
      <c r="AF325" s="662"/>
      <c r="AG325" s="662"/>
      <c r="AH325" s="662"/>
      <c r="AI325" s="662"/>
    </row>
    <row r="326" spans="25:35" s="80" customFormat="1">
      <c r="Y326" s="662"/>
      <c r="Z326" s="662"/>
      <c r="AA326" s="662"/>
      <c r="AB326" s="662"/>
      <c r="AC326" s="662"/>
      <c r="AD326" s="662"/>
      <c r="AE326" s="662"/>
      <c r="AF326" s="662"/>
      <c r="AG326" s="662"/>
      <c r="AH326" s="662"/>
      <c r="AI326" s="662"/>
    </row>
    <row r="327" spans="25:35" s="80" customFormat="1">
      <c r="Y327" s="662"/>
      <c r="Z327" s="662"/>
      <c r="AA327" s="662"/>
      <c r="AB327" s="662"/>
      <c r="AC327" s="662"/>
      <c r="AD327" s="662"/>
      <c r="AE327" s="662"/>
      <c r="AF327" s="662"/>
      <c r="AG327" s="662"/>
      <c r="AH327" s="662"/>
      <c r="AI327" s="662"/>
    </row>
    <row r="328" spans="25:35" s="80" customFormat="1">
      <c r="Y328" s="662"/>
      <c r="Z328" s="662"/>
      <c r="AA328" s="662"/>
      <c r="AB328" s="662"/>
      <c r="AC328" s="662"/>
      <c r="AD328" s="662"/>
      <c r="AE328" s="662"/>
      <c r="AF328" s="662"/>
      <c r="AG328" s="662"/>
      <c r="AH328" s="662"/>
      <c r="AI328" s="662"/>
    </row>
    <row r="329" spans="25:35" s="80" customFormat="1">
      <c r="Y329" s="662"/>
      <c r="Z329" s="662"/>
      <c r="AA329" s="662"/>
      <c r="AB329" s="662"/>
      <c r="AC329" s="662"/>
      <c r="AD329" s="662"/>
      <c r="AE329" s="662"/>
      <c r="AF329" s="662"/>
      <c r="AG329" s="662"/>
      <c r="AH329" s="662"/>
      <c r="AI329" s="662"/>
    </row>
    <row r="330" spans="25:35" s="80" customFormat="1">
      <c r="Y330" s="662"/>
      <c r="Z330" s="662"/>
      <c r="AA330" s="662"/>
      <c r="AB330" s="662"/>
      <c r="AC330" s="662"/>
      <c r="AD330" s="662"/>
      <c r="AE330" s="662"/>
      <c r="AF330" s="662"/>
      <c r="AG330" s="662"/>
      <c r="AH330" s="662"/>
      <c r="AI330" s="662"/>
    </row>
    <row r="331" spans="25:35" s="80" customFormat="1">
      <c r="Y331" s="662"/>
      <c r="Z331" s="662"/>
      <c r="AA331" s="662"/>
      <c r="AB331" s="662"/>
      <c r="AC331" s="662"/>
      <c r="AD331" s="662"/>
      <c r="AE331" s="662"/>
      <c r="AF331" s="662"/>
      <c r="AG331" s="662"/>
      <c r="AH331" s="662"/>
      <c r="AI331" s="662"/>
    </row>
    <row r="332" spans="25:35" s="80" customFormat="1">
      <c r="Y332" s="662"/>
      <c r="Z332" s="662"/>
      <c r="AA332" s="662"/>
      <c r="AB332" s="662"/>
      <c r="AC332" s="662"/>
      <c r="AD332" s="662"/>
      <c r="AE332" s="662"/>
      <c r="AF332" s="662"/>
      <c r="AG332" s="662"/>
      <c r="AH332" s="662"/>
      <c r="AI332" s="662"/>
    </row>
    <row r="333" spans="25:35" s="80" customFormat="1">
      <c r="Y333" s="662"/>
      <c r="Z333" s="662"/>
      <c r="AA333" s="662"/>
      <c r="AB333" s="662"/>
      <c r="AC333" s="662"/>
      <c r="AD333" s="662"/>
      <c r="AE333" s="662"/>
      <c r="AF333" s="662"/>
      <c r="AG333" s="662"/>
      <c r="AH333" s="662"/>
      <c r="AI333" s="662"/>
    </row>
    <row r="334" spans="25:35" s="80" customFormat="1">
      <c r="Y334" s="662"/>
      <c r="Z334" s="662"/>
      <c r="AA334" s="662"/>
      <c r="AB334" s="662"/>
      <c r="AC334" s="662"/>
      <c r="AD334" s="662"/>
      <c r="AE334" s="662"/>
      <c r="AF334" s="662"/>
      <c r="AG334" s="662"/>
      <c r="AH334" s="662"/>
      <c r="AI334" s="662"/>
    </row>
    <row r="335" spans="25:35" s="80" customFormat="1">
      <c r="Y335" s="662"/>
      <c r="Z335" s="662"/>
      <c r="AA335" s="662"/>
      <c r="AB335" s="662"/>
      <c r="AC335" s="662"/>
      <c r="AD335" s="662"/>
      <c r="AE335" s="662"/>
      <c r="AF335" s="662"/>
      <c r="AG335" s="662"/>
      <c r="AH335" s="662"/>
      <c r="AI335" s="662"/>
    </row>
    <row r="336" spans="25:35" s="80" customFormat="1">
      <c r="Y336" s="662"/>
      <c r="Z336" s="662"/>
      <c r="AA336" s="662"/>
      <c r="AB336" s="662"/>
      <c r="AC336" s="662"/>
      <c r="AD336" s="662"/>
      <c r="AE336" s="662"/>
      <c r="AF336" s="662"/>
      <c r="AG336" s="662"/>
      <c r="AH336" s="662"/>
      <c r="AI336" s="662"/>
    </row>
    <row r="337" spans="25:35" s="80" customFormat="1">
      <c r="Y337" s="662"/>
      <c r="Z337" s="662"/>
      <c r="AA337" s="662"/>
      <c r="AB337" s="662"/>
      <c r="AC337" s="662"/>
      <c r="AD337" s="662"/>
      <c r="AE337" s="662"/>
      <c r="AF337" s="662"/>
      <c r="AG337" s="662"/>
      <c r="AH337" s="662"/>
      <c r="AI337" s="662"/>
    </row>
    <row r="338" spans="25:35" s="80" customFormat="1">
      <c r="Y338" s="662"/>
      <c r="Z338" s="662"/>
      <c r="AA338" s="662"/>
      <c r="AB338" s="662"/>
      <c r="AC338" s="662"/>
      <c r="AD338" s="662"/>
      <c r="AE338" s="662"/>
      <c r="AF338" s="662"/>
      <c r="AG338" s="662"/>
      <c r="AH338" s="662"/>
      <c r="AI338" s="662"/>
    </row>
    <row r="339" spans="25:35" s="80" customFormat="1">
      <c r="Y339" s="662"/>
      <c r="Z339" s="662"/>
      <c r="AA339" s="662"/>
      <c r="AB339" s="662"/>
      <c r="AC339" s="662"/>
      <c r="AD339" s="662"/>
      <c r="AE339" s="662"/>
      <c r="AF339" s="662"/>
      <c r="AG339" s="662"/>
      <c r="AH339" s="662"/>
      <c r="AI339" s="662"/>
    </row>
    <row r="340" spans="25:35" s="80" customFormat="1">
      <c r="Y340" s="662"/>
      <c r="Z340" s="662"/>
      <c r="AA340" s="662"/>
      <c r="AB340" s="662"/>
      <c r="AC340" s="662"/>
      <c r="AD340" s="662"/>
      <c r="AE340" s="662"/>
      <c r="AF340" s="662"/>
      <c r="AG340" s="662"/>
      <c r="AH340" s="662"/>
      <c r="AI340" s="662"/>
    </row>
    <row r="341" spans="25:35" s="80" customFormat="1">
      <c r="Y341" s="662"/>
      <c r="Z341" s="662"/>
      <c r="AA341" s="662"/>
      <c r="AB341" s="662"/>
      <c r="AC341" s="662"/>
      <c r="AD341" s="662"/>
      <c r="AE341" s="662"/>
      <c r="AF341" s="662"/>
      <c r="AG341" s="662"/>
      <c r="AH341" s="662"/>
      <c r="AI341" s="662"/>
    </row>
    <row r="342" spans="25:35" s="80" customFormat="1">
      <c r="Y342" s="662"/>
      <c r="Z342" s="662"/>
      <c r="AA342" s="662"/>
      <c r="AB342" s="662"/>
      <c r="AC342" s="662"/>
      <c r="AD342" s="662"/>
      <c r="AE342" s="662"/>
      <c r="AF342" s="662"/>
      <c r="AG342" s="662"/>
      <c r="AH342" s="662"/>
      <c r="AI342" s="662"/>
    </row>
    <row r="343" spans="25:35" s="80" customFormat="1">
      <c r="Y343" s="662"/>
      <c r="Z343" s="662"/>
      <c r="AA343" s="662"/>
      <c r="AB343" s="662"/>
      <c r="AC343" s="662"/>
      <c r="AD343" s="662"/>
      <c r="AE343" s="662"/>
      <c r="AF343" s="662"/>
      <c r="AG343" s="662"/>
      <c r="AH343" s="662"/>
      <c r="AI343" s="662"/>
    </row>
    <row r="344" spans="25:35" s="80" customFormat="1">
      <c r="Y344" s="662"/>
      <c r="Z344" s="662"/>
      <c r="AA344" s="662"/>
      <c r="AB344" s="662"/>
      <c r="AC344" s="662"/>
      <c r="AD344" s="662"/>
      <c r="AE344" s="662"/>
      <c r="AF344" s="662"/>
      <c r="AG344" s="662"/>
      <c r="AH344" s="662"/>
      <c r="AI344" s="662"/>
    </row>
    <row r="345" spans="25:35" s="80" customFormat="1">
      <c r="Y345" s="662"/>
      <c r="Z345" s="662"/>
      <c r="AA345" s="662"/>
      <c r="AB345" s="662"/>
      <c r="AC345" s="662"/>
      <c r="AD345" s="662"/>
      <c r="AE345" s="662"/>
      <c r="AF345" s="662"/>
      <c r="AG345" s="662"/>
      <c r="AH345" s="662"/>
      <c r="AI345" s="662"/>
    </row>
    <row r="346" spans="25:35" s="80" customFormat="1">
      <c r="Y346" s="662"/>
      <c r="Z346" s="662"/>
      <c r="AA346" s="662"/>
      <c r="AB346" s="662"/>
      <c r="AC346" s="662"/>
      <c r="AD346" s="662"/>
      <c r="AE346" s="662"/>
      <c r="AF346" s="662"/>
      <c r="AG346" s="662"/>
      <c r="AH346" s="662"/>
      <c r="AI346" s="662"/>
    </row>
    <row r="347" spans="25:35" s="80" customFormat="1">
      <c r="Y347" s="662"/>
      <c r="Z347" s="662"/>
      <c r="AA347" s="662"/>
      <c r="AB347" s="662"/>
      <c r="AC347" s="662"/>
      <c r="AD347" s="662"/>
      <c r="AE347" s="662"/>
      <c r="AF347" s="662"/>
      <c r="AG347" s="662"/>
      <c r="AH347" s="662"/>
      <c r="AI347" s="662"/>
    </row>
    <row r="348" spans="25:35" s="80" customFormat="1">
      <c r="Y348" s="662"/>
      <c r="Z348" s="662"/>
      <c r="AA348" s="662"/>
      <c r="AB348" s="662"/>
      <c r="AC348" s="662"/>
      <c r="AD348" s="662"/>
      <c r="AE348" s="662"/>
      <c r="AF348" s="662"/>
      <c r="AG348" s="662"/>
      <c r="AH348" s="662"/>
      <c r="AI348" s="662"/>
    </row>
    <row r="349" spans="25:35" s="80" customFormat="1">
      <c r="Y349" s="662"/>
      <c r="Z349" s="662"/>
      <c r="AA349" s="662"/>
      <c r="AB349" s="662"/>
      <c r="AC349" s="662"/>
      <c r="AD349" s="662"/>
      <c r="AE349" s="662"/>
      <c r="AF349" s="662"/>
      <c r="AG349" s="662"/>
      <c r="AH349" s="662"/>
      <c r="AI349" s="662"/>
    </row>
    <row r="350" spans="25:35" s="80" customFormat="1">
      <c r="Y350" s="662"/>
      <c r="Z350" s="662"/>
      <c r="AA350" s="662"/>
      <c r="AB350" s="662"/>
      <c r="AC350" s="662"/>
      <c r="AD350" s="662"/>
      <c r="AE350" s="662"/>
      <c r="AF350" s="662"/>
      <c r="AG350" s="662"/>
      <c r="AH350" s="662"/>
      <c r="AI350" s="662"/>
    </row>
    <row r="351" spans="25:35" s="80" customFormat="1">
      <c r="Y351" s="662"/>
      <c r="Z351" s="662"/>
      <c r="AA351" s="662"/>
      <c r="AB351" s="662"/>
      <c r="AC351" s="662"/>
      <c r="AD351" s="662"/>
      <c r="AE351" s="662"/>
      <c r="AF351" s="662"/>
      <c r="AG351" s="662"/>
      <c r="AH351" s="662"/>
      <c r="AI351" s="662"/>
    </row>
    <row r="352" spans="25:35" s="80" customFormat="1">
      <c r="Y352" s="662"/>
      <c r="Z352" s="662"/>
      <c r="AA352" s="662"/>
      <c r="AB352" s="662"/>
      <c r="AC352" s="662"/>
      <c r="AD352" s="662"/>
      <c r="AE352" s="662"/>
      <c r="AF352" s="662"/>
      <c r="AG352" s="662"/>
      <c r="AH352" s="662"/>
      <c r="AI352" s="662"/>
    </row>
    <row r="353" spans="25:35" s="80" customFormat="1">
      <c r="Y353" s="662"/>
      <c r="Z353" s="662"/>
      <c r="AA353" s="662"/>
      <c r="AB353" s="662"/>
      <c r="AC353" s="662"/>
      <c r="AD353" s="662"/>
      <c r="AE353" s="662"/>
      <c r="AF353" s="662"/>
      <c r="AG353" s="662"/>
      <c r="AH353" s="662"/>
      <c r="AI353" s="662"/>
    </row>
    <row r="354" spans="25:35" s="80" customFormat="1">
      <c r="Y354" s="662"/>
      <c r="Z354" s="662"/>
      <c r="AA354" s="662"/>
      <c r="AB354" s="662"/>
      <c r="AC354" s="662"/>
      <c r="AD354" s="662"/>
      <c r="AE354" s="662"/>
      <c r="AF354" s="662"/>
      <c r="AG354" s="662"/>
      <c r="AH354" s="662"/>
      <c r="AI354" s="662"/>
    </row>
    <row r="355" spans="25:35" s="80" customFormat="1">
      <c r="Y355" s="662"/>
      <c r="Z355" s="662"/>
      <c r="AA355" s="662"/>
      <c r="AB355" s="662"/>
      <c r="AC355" s="662"/>
      <c r="AD355" s="662"/>
      <c r="AE355" s="662"/>
      <c r="AF355" s="662"/>
      <c r="AG355" s="662"/>
      <c r="AH355" s="662"/>
      <c r="AI355" s="662"/>
    </row>
    <row r="356" spans="25:35" s="80" customFormat="1">
      <c r="Y356" s="662"/>
      <c r="Z356" s="662"/>
      <c r="AA356" s="662"/>
      <c r="AB356" s="662"/>
      <c r="AC356" s="662"/>
      <c r="AD356" s="662"/>
      <c r="AE356" s="662"/>
      <c r="AF356" s="662"/>
      <c r="AG356" s="662"/>
      <c r="AH356" s="662"/>
      <c r="AI356" s="662"/>
    </row>
    <row r="357" spans="25:35" s="80" customFormat="1">
      <c r="Y357" s="662"/>
      <c r="Z357" s="662"/>
      <c r="AA357" s="662"/>
      <c r="AB357" s="662"/>
      <c r="AC357" s="662"/>
      <c r="AD357" s="662"/>
      <c r="AE357" s="662"/>
      <c r="AF357" s="662"/>
      <c r="AG357" s="662"/>
      <c r="AH357" s="662"/>
      <c r="AI357" s="662"/>
    </row>
    <row r="358" spans="25:35" s="80" customFormat="1">
      <c r="Y358" s="662"/>
      <c r="Z358" s="662"/>
      <c r="AA358" s="662"/>
      <c r="AB358" s="662"/>
      <c r="AC358" s="662"/>
      <c r="AD358" s="662"/>
      <c r="AE358" s="662"/>
      <c r="AF358" s="662"/>
      <c r="AG358" s="662"/>
      <c r="AH358" s="662"/>
      <c r="AI358" s="662"/>
    </row>
    <row r="359" spans="25:35" s="80" customFormat="1">
      <c r="Y359" s="662"/>
      <c r="Z359" s="662"/>
      <c r="AA359" s="662"/>
      <c r="AB359" s="662"/>
      <c r="AC359" s="662"/>
      <c r="AD359" s="662"/>
      <c r="AE359" s="662"/>
      <c r="AF359" s="662"/>
      <c r="AG359" s="662"/>
      <c r="AH359" s="662"/>
      <c r="AI359" s="662"/>
    </row>
    <row r="360" spans="25:35" s="80" customFormat="1">
      <c r="Y360" s="662"/>
      <c r="Z360" s="662"/>
      <c r="AA360" s="662"/>
      <c r="AB360" s="662"/>
      <c r="AC360" s="662"/>
      <c r="AD360" s="662"/>
      <c r="AE360" s="662"/>
      <c r="AF360" s="662"/>
      <c r="AG360" s="662"/>
      <c r="AH360" s="662"/>
      <c r="AI360" s="662"/>
    </row>
    <row r="361" spans="25:35" s="80" customFormat="1">
      <c r="Y361" s="662"/>
      <c r="Z361" s="662"/>
      <c r="AA361" s="662"/>
      <c r="AB361" s="662"/>
      <c r="AC361" s="662"/>
      <c r="AD361" s="662"/>
      <c r="AE361" s="662"/>
      <c r="AF361" s="662"/>
      <c r="AG361" s="662"/>
      <c r="AH361" s="662"/>
      <c r="AI361" s="662"/>
    </row>
    <row r="362" spans="25:35" s="80" customFormat="1">
      <c r="Y362" s="662"/>
      <c r="Z362" s="662"/>
      <c r="AA362" s="662"/>
      <c r="AB362" s="662"/>
      <c r="AC362" s="662"/>
      <c r="AD362" s="662"/>
      <c r="AE362" s="662"/>
      <c r="AF362" s="662"/>
      <c r="AG362" s="662"/>
      <c r="AH362" s="662"/>
      <c r="AI362" s="662"/>
    </row>
    <row r="363" spans="25:35" s="80" customFormat="1">
      <c r="Y363" s="662"/>
      <c r="Z363" s="662"/>
      <c r="AA363" s="662"/>
      <c r="AB363" s="662"/>
      <c r="AC363" s="662"/>
      <c r="AD363" s="662"/>
      <c r="AE363" s="662"/>
      <c r="AF363" s="662"/>
      <c r="AG363" s="662"/>
      <c r="AH363" s="662"/>
      <c r="AI363" s="662"/>
    </row>
    <row r="364" spans="25:35" s="80" customFormat="1">
      <c r="Y364" s="662"/>
      <c r="Z364" s="662"/>
      <c r="AA364" s="662"/>
      <c r="AB364" s="662"/>
      <c r="AC364" s="662"/>
      <c r="AD364" s="662"/>
      <c r="AE364" s="662"/>
      <c r="AF364" s="662"/>
      <c r="AG364" s="662"/>
      <c r="AH364" s="662"/>
      <c r="AI364" s="662"/>
    </row>
    <row r="365" spans="25:35" s="80" customFormat="1">
      <c r="Y365" s="662"/>
      <c r="Z365" s="662"/>
      <c r="AA365" s="662"/>
      <c r="AB365" s="662"/>
      <c r="AC365" s="662"/>
      <c r="AD365" s="662"/>
      <c r="AE365" s="662"/>
      <c r="AF365" s="662"/>
      <c r="AG365" s="662"/>
      <c r="AH365" s="662"/>
      <c r="AI365" s="662"/>
    </row>
    <row r="366" spans="25:35" s="80" customFormat="1">
      <c r="Y366" s="662"/>
      <c r="Z366" s="662"/>
      <c r="AA366" s="662"/>
      <c r="AB366" s="662"/>
      <c r="AC366" s="662"/>
      <c r="AD366" s="662"/>
      <c r="AE366" s="662"/>
      <c r="AF366" s="662"/>
      <c r="AG366" s="662"/>
      <c r="AH366" s="662"/>
      <c r="AI366" s="662"/>
    </row>
    <row r="367" spans="25:35" s="80" customFormat="1">
      <c r="Y367" s="662"/>
      <c r="Z367" s="662"/>
      <c r="AA367" s="662"/>
      <c r="AB367" s="662"/>
      <c r="AC367" s="662"/>
      <c r="AD367" s="662"/>
      <c r="AE367" s="662"/>
      <c r="AF367" s="662"/>
      <c r="AG367" s="662"/>
      <c r="AH367" s="662"/>
      <c r="AI367" s="662"/>
    </row>
    <row r="368" spans="25:35" s="80" customFormat="1">
      <c r="Y368" s="662"/>
      <c r="Z368" s="662"/>
      <c r="AA368" s="662"/>
      <c r="AB368" s="662"/>
      <c r="AC368" s="662"/>
      <c r="AD368" s="662"/>
      <c r="AE368" s="662"/>
      <c r="AF368" s="662"/>
      <c r="AG368" s="662"/>
      <c r="AH368" s="662"/>
      <c r="AI368" s="662"/>
    </row>
    <row r="369" spans="25:35" s="80" customFormat="1">
      <c r="Y369" s="662"/>
      <c r="Z369" s="662"/>
      <c r="AA369" s="662"/>
      <c r="AB369" s="662"/>
      <c r="AC369" s="662"/>
      <c r="AD369" s="662"/>
      <c r="AE369" s="662"/>
      <c r="AF369" s="662"/>
      <c r="AG369" s="662"/>
      <c r="AH369" s="662"/>
      <c r="AI369" s="662"/>
    </row>
    <row r="370" spans="25:35" s="80" customFormat="1">
      <c r="Y370" s="662"/>
      <c r="Z370" s="662"/>
      <c r="AA370" s="662"/>
      <c r="AB370" s="662"/>
      <c r="AC370" s="662"/>
      <c r="AD370" s="662"/>
      <c r="AE370" s="662"/>
      <c r="AF370" s="662"/>
      <c r="AG370" s="662"/>
      <c r="AH370" s="662"/>
      <c r="AI370" s="662"/>
    </row>
    <row r="371" spans="25:35" s="80" customFormat="1">
      <c r="Y371" s="662"/>
      <c r="Z371" s="662"/>
      <c r="AA371" s="662"/>
      <c r="AB371" s="662"/>
      <c r="AC371" s="662"/>
      <c r="AD371" s="662"/>
      <c r="AE371" s="662"/>
      <c r="AF371" s="662"/>
      <c r="AG371" s="662"/>
      <c r="AH371" s="662"/>
      <c r="AI371" s="662"/>
    </row>
    <row r="372" spans="25:35" s="80" customFormat="1">
      <c r="Y372" s="662"/>
      <c r="Z372" s="662"/>
      <c r="AA372" s="662"/>
      <c r="AB372" s="662"/>
      <c r="AC372" s="662"/>
      <c r="AD372" s="662"/>
      <c r="AE372" s="662"/>
      <c r="AF372" s="662"/>
      <c r="AG372" s="662"/>
      <c r="AH372" s="662"/>
      <c r="AI372" s="662"/>
    </row>
    <row r="373" spans="25:35" s="80" customFormat="1">
      <c r="Y373" s="662"/>
      <c r="Z373" s="662"/>
      <c r="AA373" s="662"/>
      <c r="AB373" s="662"/>
      <c r="AC373" s="662"/>
      <c r="AD373" s="662"/>
      <c r="AE373" s="662"/>
      <c r="AF373" s="662"/>
      <c r="AG373" s="662"/>
      <c r="AH373" s="662"/>
      <c r="AI373" s="662"/>
    </row>
    <row r="374" spans="25:35" s="80" customFormat="1">
      <c r="Y374" s="662"/>
      <c r="Z374" s="662"/>
      <c r="AA374" s="662"/>
      <c r="AB374" s="662"/>
      <c r="AC374" s="662"/>
      <c r="AD374" s="662"/>
      <c r="AE374" s="662"/>
      <c r="AF374" s="662"/>
      <c r="AG374" s="662"/>
      <c r="AH374" s="662"/>
      <c r="AI374" s="662"/>
    </row>
    <row r="375" spans="25:35" s="80" customFormat="1">
      <c r="Y375" s="662"/>
      <c r="Z375" s="662"/>
      <c r="AA375" s="662"/>
      <c r="AB375" s="662"/>
      <c r="AC375" s="662"/>
      <c r="AD375" s="662"/>
      <c r="AE375" s="662"/>
      <c r="AF375" s="662"/>
      <c r="AG375" s="662"/>
      <c r="AH375" s="662"/>
      <c r="AI375" s="662"/>
    </row>
    <row r="376" spans="25:35" s="80" customFormat="1">
      <c r="Y376" s="662"/>
      <c r="Z376" s="662"/>
      <c r="AA376" s="662"/>
      <c r="AB376" s="662"/>
      <c r="AC376" s="662"/>
      <c r="AD376" s="662"/>
      <c r="AE376" s="662"/>
      <c r="AF376" s="662"/>
      <c r="AG376" s="662"/>
      <c r="AH376" s="662"/>
      <c r="AI376" s="662"/>
    </row>
    <row r="377" spans="25:35" s="80" customFormat="1">
      <c r="Y377" s="662"/>
      <c r="Z377" s="662"/>
      <c r="AA377" s="662"/>
      <c r="AB377" s="662"/>
      <c r="AC377" s="662"/>
      <c r="AD377" s="662"/>
      <c r="AE377" s="662"/>
      <c r="AF377" s="662"/>
      <c r="AG377" s="662"/>
      <c r="AH377" s="662"/>
      <c r="AI377" s="662"/>
    </row>
    <row r="378" spans="25:35" s="80" customFormat="1">
      <c r="Y378" s="662"/>
      <c r="Z378" s="662"/>
      <c r="AA378" s="662"/>
      <c r="AB378" s="662"/>
      <c r="AC378" s="662"/>
      <c r="AD378" s="662"/>
      <c r="AE378" s="662"/>
      <c r="AF378" s="662"/>
      <c r="AG378" s="662"/>
      <c r="AH378" s="662"/>
      <c r="AI378" s="662"/>
    </row>
    <row r="379" spans="25:35" s="80" customFormat="1">
      <c r="Y379" s="662"/>
      <c r="Z379" s="662"/>
      <c r="AA379" s="662"/>
      <c r="AB379" s="662"/>
      <c r="AC379" s="662"/>
      <c r="AD379" s="662"/>
      <c r="AE379" s="662"/>
      <c r="AF379" s="662"/>
      <c r="AG379" s="662"/>
      <c r="AH379" s="662"/>
      <c r="AI379" s="662"/>
    </row>
    <row r="380" spans="25:35" s="80" customFormat="1">
      <c r="Y380" s="662"/>
      <c r="Z380" s="662"/>
      <c r="AA380" s="662"/>
      <c r="AB380" s="662"/>
      <c r="AC380" s="662"/>
      <c r="AD380" s="662"/>
      <c r="AE380" s="662"/>
      <c r="AF380" s="662"/>
      <c r="AG380" s="662"/>
      <c r="AH380" s="662"/>
      <c r="AI380" s="662"/>
    </row>
    <row r="381" spans="25:35" s="80" customFormat="1">
      <c r="Y381" s="662"/>
      <c r="Z381" s="662"/>
      <c r="AA381" s="662"/>
      <c r="AB381" s="662"/>
      <c r="AC381" s="662"/>
      <c r="AD381" s="662"/>
      <c r="AE381" s="662"/>
      <c r="AF381" s="662"/>
      <c r="AG381" s="662"/>
      <c r="AH381" s="662"/>
      <c r="AI381" s="662"/>
    </row>
    <row r="382" spans="25:35" s="80" customFormat="1">
      <c r="Y382" s="662"/>
      <c r="Z382" s="662"/>
      <c r="AA382" s="662"/>
      <c r="AB382" s="662"/>
      <c r="AC382" s="662"/>
      <c r="AD382" s="662"/>
      <c r="AE382" s="662"/>
      <c r="AF382" s="662"/>
      <c r="AG382" s="662"/>
      <c r="AH382" s="662"/>
      <c r="AI382" s="662"/>
    </row>
    <row r="383" spans="25:35" s="80" customFormat="1">
      <c r="Y383" s="662"/>
      <c r="Z383" s="662"/>
      <c r="AA383" s="662"/>
      <c r="AB383" s="662"/>
      <c r="AC383" s="662"/>
      <c r="AD383" s="662"/>
      <c r="AE383" s="662"/>
      <c r="AF383" s="662"/>
      <c r="AG383" s="662"/>
      <c r="AH383" s="662"/>
      <c r="AI383" s="662"/>
    </row>
    <row r="384" spans="25:35" s="80" customFormat="1">
      <c r="Y384" s="662"/>
      <c r="Z384" s="662"/>
      <c r="AA384" s="662"/>
      <c r="AB384" s="662"/>
      <c r="AC384" s="662"/>
      <c r="AD384" s="662"/>
      <c r="AE384" s="662"/>
      <c r="AF384" s="662"/>
      <c r="AG384" s="662"/>
      <c r="AH384" s="662"/>
      <c r="AI384" s="662"/>
    </row>
    <row r="385" spans="25:35" s="80" customFormat="1">
      <c r="Y385" s="662"/>
      <c r="Z385" s="662"/>
      <c r="AA385" s="662"/>
      <c r="AB385" s="662"/>
      <c r="AC385" s="662"/>
      <c r="AD385" s="662"/>
      <c r="AE385" s="662"/>
      <c r="AF385" s="662"/>
      <c r="AG385" s="662"/>
      <c r="AH385" s="662"/>
      <c r="AI385" s="662"/>
    </row>
    <row r="386" spans="25:35" s="80" customFormat="1">
      <c r="Y386" s="662"/>
      <c r="Z386" s="662"/>
      <c r="AA386" s="662"/>
      <c r="AB386" s="662"/>
      <c r="AC386" s="662"/>
      <c r="AD386" s="662"/>
      <c r="AE386" s="662"/>
      <c r="AF386" s="662"/>
      <c r="AG386" s="662"/>
      <c r="AH386" s="662"/>
      <c r="AI386" s="662"/>
    </row>
    <row r="387" spans="25:35" s="80" customFormat="1">
      <c r="Y387" s="662"/>
      <c r="Z387" s="662"/>
      <c r="AA387" s="662"/>
      <c r="AB387" s="662"/>
      <c r="AC387" s="662"/>
      <c r="AD387" s="662"/>
      <c r="AE387" s="662"/>
      <c r="AF387" s="662"/>
      <c r="AG387" s="662"/>
      <c r="AH387" s="662"/>
      <c r="AI387" s="662"/>
    </row>
    <row r="388" spans="25:35" s="80" customFormat="1">
      <c r="Y388" s="662"/>
      <c r="Z388" s="662"/>
      <c r="AA388" s="662"/>
      <c r="AB388" s="662"/>
      <c r="AC388" s="662"/>
      <c r="AD388" s="662"/>
      <c r="AE388" s="662"/>
      <c r="AF388" s="662"/>
      <c r="AG388" s="662"/>
      <c r="AH388" s="662"/>
      <c r="AI388" s="662"/>
    </row>
    <row r="389" spans="25:35" s="80" customFormat="1">
      <c r="Y389" s="662"/>
      <c r="Z389" s="662"/>
      <c r="AA389" s="662"/>
      <c r="AB389" s="662"/>
      <c r="AC389" s="662"/>
      <c r="AD389" s="662"/>
      <c r="AE389" s="662"/>
      <c r="AF389" s="662"/>
      <c r="AG389" s="662"/>
      <c r="AH389" s="662"/>
      <c r="AI389" s="662"/>
    </row>
    <row r="390" spans="25:35" s="80" customFormat="1">
      <c r="Y390" s="662"/>
      <c r="Z390" s="662"/>
      <c r="AA390" s="662"/>
      <c r="AB390" s="662"/>
      <c r="AC390" s="662"/>
      <c r="AD390" s="662"/>
      <c r="AE390" s="662"/>
      <c r="AF390" s="662"/>
      <c r="AG390" s="662"/>
      <c r="AH390" s="662"/>
      <c r="AI390" s="662"/>
    </row>
    <row r="391" spans="25:35" s="80" customFormat="1">
      <c r="Y391" s="662"/>
      <c r="Z391" s="662"/>
      <c r="AA391" s="662"/>
      <c r="AB391" s="662"/>
      <c r="AC391" s="662"/>
      <c r="AD391" s="662"/>
      <c r="AE391" s="662"/>
      <c r="AF391" s="662"/>
      <c r="AG391" s="662"/>
      <c r="AH391" s="662"/>
      <c r="AI391" s="662"/>
    </row>
    <row r="392" spans="25:35" s="80" customFormat="1">
      <c r="Y392" s="662"/>
      <c r="Z392" s="662"/>
      <c r="AA392" s="662"/>
      <c r="AB392" s="662"/>
      <c r="AC392" s="662"/>
      <c r="AD392" s="662"/>
      <c r="AE392" s="662"/>
      <c r="AF392" s="662"/>
      <c r="AG392" s="662"/>
      <c r="AH392" s="662"/>
      <c r="AI392" s="662"/>
    </row>
    <row r="393" spans="25:35" s="80" customFormat="1">
      <c r="Y393" s="662"/>
      <c r="Z393" s="662"/>
      <c r="AA393" s="662"/>
      <c r="AB393" s="662"/>
      <c r="AC393" s="662"/>
      <c r="AD393" s="662"/>
      <c r="AE393" s="662"/>
      <c r="AF393" s="662"/>
      <c r="AG393" s="662"/>
      <c r="AH393" s="662"/>
      <c r="AI393" s="662"/>
    </row>
    <row r="394" spans="25:35" s="80" customFormat="1">
      <c r="Y394" s="662"/>
      <c r="Z394" s="662"/>
      <c r="AA394" s="662"/>
      <c r="AB394" s="662"/>
      <c r="AC394" s="662"/>
      <c r="AD394" s="662"/>
      <c r="AE394" s="662"/>
      <c r="AF394" s="662"/>
      <c r="AG394" s="662"/>
      <c r="AH394" s="662"/>
      <c r="AI394" s="662"/>
    </row>
    <row r="395" spans="25:35" s="80" customFormat="1">
      <c r="Y395" s="662"/>
      <c r="Z395" s="662"/>
      <c r="AA395" s="662"/>
      <c r="AB395" s="662"/>
      <c r="AC395" s="662"/>
      <c r="AD395" s="662"/>
      <c r="AE395" s="662"/>
      <c r="AF395" s="662"/>
      <c r="AG395" s="662"/>
      <c r="AH395" s="662"/>
      <c r="AI395" s="662"/>
    </row>
    <row r="396" spans="25:35" s="80" customFormat="1">
      <c r="Y396" s="662"/>
      <c r="Z396" s="662"/>
      <c r="AA396" s="662"/>
      <c r="AB396" s="662"/>
      <c r="AC396" s="662"/>
      <c r="AD396" s="662"/>
      <c r="AE396" s="662"/>
      <c r="AF396" s="662"/>
      <c r="AG396" s="662"/>
      <c r="AH396" s="662"/>
      <c r="AI396" s="662"/>
    </row>
    <row r="397" spans="25:35" s="80" customFormat="1">
      <c r="Y397" s="662"/>
      <c r="Z397" s="662"/>
      <c r="AA397" s="662"/>
      <c r="AB397" s="662"/>
      <c r="AC397" s="662"/>
      <c r="AD397" s="662"/>
      <c r="AE397" s="662"/>
      <c r="AF397" s="662"/>
      <c r="AG397" s="662"/>
      <c r="AH397" s="662"/>
      <c r="AI397" s="662"/>
    </row>
    <row r="398" spans="25:35" s="80" customFormat="1">
      <c r="Y398" s="662"/>
      <c r="Z398" s="662"/>
      <c r="AA398" s="662"/>
      <c r="AB398" s="662"/>
      <c r="AC398" s="662"/>
      <c r="AD398" s="662"/>
      <c r="AE398" s="662"/>
      <c r="AF398" s="662"/>
      <c r="AG398" s="662"/>
      <c r="AH398" s="662"/>
      <c r="AI398" s="662"/>
    </row>
    <row r="399" spans="25:35" s="80" customFormat="1">
      <c r="Y399" s="662"/>
      <c r="Z399" s="662"/>
      <c r="AA399" s="662"/>
      <c r="AB399" s="662"/>
      <c r="AC399" s="662"/>
      <c r="AD399" s="662"/>
      <c r="AE399" s="662"/>
      <c r="AF399" s="662"/>
      <c r="AG399" s="662"/>
      <c r="AH399" s="662"/>
      <c r="AI399" s="662"/>
    </row>
    <row r="400" spans="25:35" s="80" customFormat="1">
      <c r="Y400" s="662"/>
      <c r="Z400" s="662"/>
      <c r="AA400" s="662"/>
      <c r="AB400" s="662"/>
      <c r="AC400" s="662"/>
      <c r="AD400" s="662"/>
      <c r="AE400" s="662"/>
      <c r="AF400" s="662"/>
      <c r="AG400" s="662"/>
      <c r="AH400" s="662"/>
      <c r="AI400" s="662"/>
    </row>
    <row r="401" spans="25:35" s="80" customFormat="1">
      <c r="Y401" s="662"/>
      <c r="Z401" s="662"/>
      <c r="AA401" s="662"/>
      <c r="AB401" s="662"/>
      <c r="AC401" s="662"/>
      <c r="AD401" s="662"/>
      <c r="AE401" s="662"/>
      <c r="AF401" s="662"/>
      <c r="AG401" s="662"/>
      <c r="AH401" s="662"/>
      <c r="AI401" s="662"/>
    </row>
    <row r="402" spans="25:35" s="80" customFormat="1">
      <c r="Y402" s="662"/>
      <c r="Z402" s="662"/>
      <c r="AA402" s="662"/>
      <c r="AB402" s="662"/>
      <c r="AC402" s="662"/>
      <c r="AD402" s="662"/>
      <c r="AE402" s="662"/>
      <c r="AF402" s="662"/>
      <c r="AG402" s="662"/>
      <c r="AH402" s="662"/>
      <c r="AI402" s="662"/>
    </row>
    <row r="403" spans="25:35" s="80" customFormat="1">
      <c r="Y403" s="662"/>
      <c r="Z403" s="662"/>
      <c r="AA403" s="662"/>
      <c r="AB403" s="662"/>
      <c r="AC403" s="662"/>
      <c r="AD403" s="662"/>
      <c r="AE403" s="662"/>
      <c r="AF403" s="662"/>
      <c r="AG403" s="662"/>
      <c r="AH403" s="662"/>
      <c r="AI403" s="662"/>
    </row>
    <row r="404" spans="25:35" s="80" customFormat="1">
      <c r="Y404" s="662"/>
      <c r="Z404" s="662"/>
      <c r="AA404" s="662"/>
      <c r="AB404" s="662"/>
      <c r="AC404" s="662"/>
      <c r="AD404" s="662"/>
      <c r="AE404" s="662"/>
      <c r="AF404" s="662"/>
      <c r="AG404" s="662"/>
      <c r="AH404" s="662"/>
      <c r="AI404" s="662"/>
    </row>
    <row r="405" spans="25:35" s="80" customFormat="1">
      <c r="Y405" s="662"/>
      <c r="Z405" s="662"/>
      <c r="AA405" s="662"/>
      <c r="AB405" s="662"/>
      <c r="AC405" s="662"/>
      <c r="AD405" s="662"/>
      <c r="AE405" s="662"/>
      <c r="AF405" s="662"/>
      <c r="AG405" s="662"/>
      <c r="AH405" s="662"/>
      <c r="AI405" s="662"/>
    </row>
    <row r="406" spans="25:35" s="80" customFormat="1">
      <c r="Y406" s="662"/>
      <c r="Z406" s="662"/>
      <c r="AA406" s="662"/>
      <c r="AB406" s="662"/>
      <c r="AC406" s="662"/>
      <c r="AD406" s="662"/>
      <c r="AE406" s="662"/>
      <c r="AF406" s="662"/>
      <c r="AG406" s="662"/>
      <c r="AH406" s="662"/>
      <c r="AI406" s="662"/>
    </row>
    <row r="407" spans="25:35" s="80" customFormat="1">
      <c r="Y407" s="662"/>
      <c r="Z407" s="662"/>
      <c r="AA407" s="662"/>
      <c r="AB407" s="662"/>
      <c r="AC407" s="662"/>
      <c r="AD407" s="662"/>
      <c r="AE407" s="662"/>
      <c r="AF407" s="662"/>
      <c r="AG407" s="662"/>
      <c r="AH407" s="662"/>
      <c r="AI407" s="662"/>
    </row>
    <row r="408" spans="25:35" s="80" customFormat="1">
      <c r="Y408" s="662"/>
      <c r="Z408" s="662"/>
      <c r="AA408" s="662"/>
      <c r="AB408" s="662"/>
      <c r="AC408" s="662"/>
      <c r="AD408" s="662"/>
      <c r="AE408" s="662"/>
      <c r="AF408" s="662"/>
      <c r="AG408" s="662"/>
      <c r="AH408" s="662"/>
      <c r="AI408" s="662"/>
    </row>
    <row r="409" spans="25:35" s="80" customFormat="1">
      <c r="Y409" s="662"/>
      <c r="Z409" s="662"/>
      <c r="AA409" s="662"/>
      <c r="AB409" s="662"/>
      <c r="AC409" s="662"/>
      <c r="AD409" s="662"/>
      <c r="AE409" s="662"/>
      <c r="AF409" s="662"/>
      <c r="AG409" s="662"/>
      <c r="AH409" s="662"/>
      <c r="AI409" s="662"/>
    </row>
    <row r="410" spans="25:35" s="80" customFormat="1">
      <c r="Y410" s="662"/>
      <c r="Z410" s="662"/>
      <c r="AA410" s="662"/>
      <c r="AB410" s="662"/>
      <c r="AC410" s="662"/>
      <c r="AD410" s="662"/>
      <c r="AE410" s="662"/>
      <c r="AF410" s="662"/>
      <c r="AG410" s="662"/>
      <c r="AH410" s="662"/>
      <c r="AI410" s="662"/>
    </row>
    <row r="411" spans="25:35" s="80" customFormat="1">
      <c r="Y411" s="662"/>
      <c r="Z411" s="662"/>
      <c r="AA411" s="662"/>
      <c r="AB411" s="662"/>
      <c r="AC411" s="662"/>
      <c r="AD411" s="662"/>
      <c r="AE411" s="662"/>
      <c r="AF411" s="662"/>
      <c r="AG411" s="662"/>
      <c r="AH411" s="662"/>
      <c r="AI411" s="662"/>
    </row>
    <row r="412" spans="25:35" s="80" customFormat="1">
      <c r="Y412" s="662"/>
      <c r="Z412" s="662"/>
      <c r="AA412" s="662"/>
      <c r="AB412" s="662"/>
      <c r="AC412" s="662"/>
      <c r="AD412" s="662"/>
      <c r="AE412" s="662"/>
      <c r="AF412" s="662"/>
      <c r="AG412" s="662"/>
      <c r="AH412" s="662"/>
      <c r="AI412" s="662"/>
    </row>
    <row r="413" spans="25:35" s="80" customFormat="1">
      <c r="Y413" s="662"/>
      <c r="Z413" s="662"/>
      <c r="AA413" s="662"/>
      <c r="AB413" s="662"/>
      <c r="AC413" s="662"/>
      <c r="AD413" s="662"/>
      <c r="AE413" s="662"/>
      <c r="AF413" s="662"/>
      <c r="AG413" s="662"/>
      <c r="AH413" s="662"/>
      <c r="AI413" s="662"/>
    </row>
    <row r="414" spans="25:35" s="80" customFormat="1">
      <c r="Y414" s="662"/>
      <c r="Z414" s="662"/>
      <c r="AA414" s="662"/>
      <c r="AB414" s="662"/>
      <c r="AC414" s="662"/>
      <c r="AD414" s="662"/>
      <c r="AE414" s="662"/>
      <c r="AF414" s="662"/>
      <c r="AG414" s="662"/>
      <c r="AH414" s="662"/>
      <c r="AI414" s="662"/>
    </row>
    <row r="415" spans="25:35" s="80" customFormat="1">
      <c r="Y415" s="662"/>
      <c r="Z415" s="662"/>
      <c r="AA415" s="662"/>
      <c r="AB415" s="662"/>
      <c r="AC415" s="662"/>
      <c r="AD415" s="662"/>
      <c r="AE415" s="662"/>
      <c r="AF415" s="662"/>
      <c r="AG415" s="662"/>
      <c r="AH415" s="662"/>
      <c r="AI415" s="662"/>
    </row>
    <row r="416" spans="25:35" s="80" customFormat="1">
      <c r="Y416" s="662"/>
      <c r="Z416" s="662"/>
      <c r="AA416" s="662"/>
      <c r="AB416" s="662"/>
      <c r="AC416" s="662"/>
      <c r="AD416" s="662"/>
      <c r="AE416" s="662"/>
      <c r="AF416" s="662"/>
      <c r="AG416" s="662"/>
      <c r="AH416" s="662"/>
      <c r="AI416" s="662"/>
    </row>
    <row r="417" spans="25:35" s="80" customFormat="1">
      <c r="Y417" s="662"/>
      <c r="Z417" s="662"/>
      <c r="AA417" s="662"/>
      <c r="AB417" s="662"/>
      <c r="AC417" s="662"/>
      <c r="AD417" s="662"/>
      <c r="AE417" s="662"/>
      <c r="AF417" s="662"/>
      <c r="AG417" s="662"/>
      <c r="AH417" s="662"/>
      <c r="AI417" s="662"/>
    </row>
    <row r="418" spans="25:35" s="80" customFormat="1">
      <c r="Y418" s="662"/>
      <c r="Z418" s="662"/>
      <c r="AA418" s="662"/>
      <c r="AB418" s="662"/>
      <c r="AC418" s="662"/>
      <c r="AD418" s="662"/>
      <c r="AE418" s="662"/>
      <c r="AF418" s="662"/>
      <c r="AG418" s="662"/>
      <c r="AH418" s="662"/>
      <c r="AI418" s="662"/>
    </row>
    <row r="419" spans="25:35" s="80" customFormat="1">
      <c r="Y419" s="662"/>
      <c r="Z419" s="662"/>
      <c r="AA419" s="662"/>
      <c r="AB419" s="662"/>
      <c r="AC419" s="662"/>
      <c r="AD419" s="662"/>
      <c r="AE419" s="662"/>
      <c r="AF419" s="662"/>
      <c r="AG419" s="662"/>
      <c r="AH419" s="662"/>
      <c r="AI419" s="662"/>
    </row>
    <row r="420" spans="25:35" s="80" customFormat="1">
      <c r="Y420" s="662"/>
      <c r="Z420" s="662"/>
      <c r="AA420" s="662"/>
      <c r="AB420" s="662"/>
      <c r="AC420" s="662"/>
      <c r="AD420" s="662"/>
      <c r="AE420" s="662"/>
      <c r="AF420" s="662"/>
      <c r="AG420" s="662"/>
      <c r="AH420" s="662"/>
      <c r="AI420" s="662"/>
    </row>
    <row r="421" spans="25:35" s="80" customFormat="1">
      <c r="Y421" s="662"/>
      <c r="Z421" s="662"/>
      <c r="AA421" s="662"/>
      <c r="AB421" s="662"/>
      <c r="AC421" s="662"/>
      <c r="AD421" s="662"/>
      <c r="AE421" s="662"/>
      <c r="AF421" s="662"/>
      <c r="AG421" s="662"/>
      <c r="AH421" s="662"/>
      <c r="AI421" s="662"/>
    </row>
    <row r="422" spans="25:35" s="80" customFormat="1">
      <c r="Y422" s="662"/>
      <c r="Z422" s="662"/>
      <c r="AA422" s="662"/>
      <c r="AB422" s="662"/>
      <c r="AC422" s="662"/>
      <c r="AD422" s="662"/>
      <c r="AE422" s="662"/>
      <c r="AF422" s="662"/>
      <c r="AG422" s="662"/>
      <c r="AH422" s="662"/>
      <c r="AI422" s="662"/>
    </row>
    <row r="423" spans="25:35" s="80" customFormat="1">
      <c r="Y423" s="662"/>
      <c r="Z423" s="662"/>
      <c r="AA423" s="662"/>
      <c r="AB423" s="662"/>
      <c r="AC423" s="662"/>
      <c r="AD423" s="662"/>
      <c r="AE423" s="662"/>
      <c r="AF423" s="662"/>
      <c r="AG423" s="662"/>
      <c r="AH423" s="662"/>
      <c r="AI423" s="662"/>
    </row>
    <row r="424" spans="25:35" s="80" customFormat="1">
      <c r="Y424" s="662"/>
      <c r="Z424" s="662"/>
      <c r="AA424" s="662"/>
      <c r="AB424" s="662"/>
      <c r="AC424" s="662"/>
      <c r="AD424" s="662"/>
      <c r="AE424" s="662"/>
      <c r="AF424" s="662"/>
      <c r="AG424" s="662"/>
      <c r="AH424" s="662"/>
      <c r="AI424" s="662"/>
    </row>
    <row r="425" spans="25:35" s="80" customFormat="1">
      <c r="Y425" s="662"/>
      <c r="Z425" s="662"/>
      <c r="AA425" s="662"/>
      <c r="AB425" s="662"/>
      <c r="AC425" s="662"/>
      <c r="AD425" s="662"/>
      <c r="AE425" s="662"/>
      <c r="AF425" s="662"/>
      <c r="AG425" s="662"/>
      <c r="AH425" s="662"/>
      <c r="AI425" s="662"/>
    </row>
    <row r="426" spans="25:35" s="80" customFormat="1">
      <c r="Y426" s="662"/>
      <c r="Z426" s="662"/>
      <c r="AA426" s="662"/>
      <c r="AB426" s="662"/>
      <c r="AC426" s="662"/>
      <c r="AD426" s="662"/>
      <c r="AE426" s="662"/>
      <c r="AF426" s="662"/>
      <c r="AG426" s="662"/>
      <c r="AH426" s="662"/>
      <c r="AI426" s="662"/>
    </row>
    <row r="427" spans="25:35" s="80" customFormat="1">
      <c r="Y427" s="662"/>
      <c r="Z427" s="662"/>
      <c r="AA427" s="662"/>
      <c r="AB427" s="662"/>
      <c r="AC427" s="662"/>
      <c r="AD427" s="662"/>
      <c r="AE427" s="662"/>
      <c r="AF427" s="662"/>
      <c r="AG427" s="662"/>
      <c r="AH427" s="662"/>
      <c r="AI427" s="662"/>
    </row>
    <row r="428" spans="25:35" s="80" customFormat="1">
      <c r="Y428" s="662"/>
      <c r="Z428" s="662"/>
      <c r="AA428" s="662"/>
      <c r="AB428" s="662"/>
      <c r="AC428" s="662"/>
      <c r="AD428" s="662"/>
      <c r="AE428" s="662"/>
      <c r="AF428" s="662"/>
      <c r="AG428" s="662"/>
      <c r="AH428" s="662"/>
      <c r="AI428" s="662"/>
    </row>
    <row r="429" spans="25:35" s="80" customFormat="1">
      <c r="Y429" s="662"/>
      <c r="Z429" s="662"/>
      <c r="AA429" s="662"/>
      <c r="AB429" s="662"/>
      <c r="AC429" s="662"/>
      <c r="AD429" s="662"/>
      <c r="AE429" s="662"/>
      <c r="AF429" s="662"/>
      <c r="AG429" s="662"/>
      <c r="AH429" s="662"/>
      <c r="AI429" s="662"/>
    </row>
    <row r="430" spans="25:35" s="80" customFormat="1">
      <c r="Y430" s="662"/>
      <c r="Z430" s="662"/>
      <c r="AA430" s="662"/>
      <c r="AB430" s="662"/>
      <c r="AC430" s="662"/>
      <c r="AD430" s="662"/>
      <c r="AE430" s="662"/>
      <c r="AF430" s="662"/>
      <c r="AG430" s="662"/>
      <c r="AH430" s="662"/>
      <c r="AI430" s="662"/>
    </row>
    <row r="431" spans="25:35" s="80" customFormat="1">
      <c r="Y431" s="662"/>
      <c r="Z431" s="662"/>
      <c r="AA431" s="662"/>
      <c r="AB431" s="662"/>
      <c r="AC431" s="662"/>
      <c r="AD431" s="662"/>
      <c r="AE431" s="662"/>
      <c r="AF431" s="662"/>
      <c r="AG431" s="662"/>
      <c r="AH431" s="662"/>
      <c r="AI431" s="662"/>
    </row>
    <row r="432" spans="25:35" s="80" customFormat="1">
      <c r="Y432" s="662"/>
      <c r="Z432" s="662"/>
      <c r="AA432" s="662"/>
      <c r="AB432" s="662"/>
      <c r="AC432" s="662"/>
      <c r="AD432" s="662"/>
      <c r="AE432" s="662"/>
      <c r="AF432" s="662"/>
      <c r="AG432" s="662"/>
      <c r="AH432" s="662"/>
      <c r="AI432" s="662"/>
    </row>
    <row r="433" spans="25:35" s="80" customFormat="1">
      <c r="Y433" s="662"/>
      <c r="Z433" s="662"/>
      <c r="AA433" s="662"/>
      <c r="AB433" s="662"/>
      <c r="AC433" s="662"/>
      <c r="AD433" s="662"/>
      <c r="AE433" s="662"/>
      <c r="AF433" s="662"/>
      <c r="AG433" s="662"/>
      <c r="AH433" s="662"/>
      <c r="AI433" s="662"/>
    </row>
    <row r="434" spans="25:35" s="80" customFormat="1">
      <c r="Y434" s="662"/>
      <c r="Z434" s="662"/>
      <c r="AA434" s="662"/>
      <c r="AB434" s="662"/>
      <c r="AC434" s="662"/>
      <c r="AD434" s="662"/>
      <c r="AE434" s="662"/>
      <c r="AF434" s="662"/>
      <c r="AG434" s="662"/>
      <c r="AH434" s="662"/>
      <c r="AI434" s="662"/>
    </row>
    <row r="435" spans="25:35" s="80" customFormat="1">
      <c r="Y435" s="662"/>
      <c r="Z435" s="662"/>
      <c r="AA435" s="662"/>
      <c r="AB435" s="662"/>
      <c r="AC435" s="662"/>
      <c r="AD435" s="662"/>
      <c r="AE435" s="662"/>
      <c r="AF435" s="662"/>
      <c r="AG435" s="662"/>
      <c r="AH435" s="662"/>
      <c r="AI435" s="662"/>
    </row>
    <row r="436" spans="25:35" s="80" customFormat="1">
      <c r="Y436" s="662"/>
      <c r="Z436" s="662"/>
      <c r="AA436" s="662"/>
      <c r="AB436" s="662"/>
      <c r="AC436" s="662"/>
      <c r="AD436" s="662"/>
      <c r="AE436" s="662"/>
      <c r="AF436" s="662"/>
      <c r="AG436" s="662"/>
      <c r="AH436" s="662"/>
      <c r="AI436" s="662"/>
    </row>
    <row r="437" spans="25:35" s="80" customFormat="1">
      <c r="Y437" s="662"/>
      <c r="Z437" s="662"/>
      <c r="AA437" s="662"/>
      <c r="AB437" s="662"/>
      <c r="AC437" s="662"/>
      <c r="AD437" s="662"/>
      <c r="AE437" s="662"/>
      <c r="AF437" s="662"/>
      <c r="AG437" s="662"/>
      <c r="AH437" s="662"/>
      <c r="AI437" s="662"/>
    </row>
    <row r="438" spans="25:35" s="80" customFormat="1">
      <c r="Y438" s="662"/>
      <c r="Z438" s="662"/>
      <c r="AA438" s="662"/>
      <c r="AB438" s="662"/>
      <c r="AC438" s="662"/>
      <c r="AD438" s="662"/>
      <c r="AE438" s="662"/>
      <c r="AF438" s="662"/>
      <c r="AG438" s="662"/>
      <c r="AH438" s="662"/>
      <c r="AI438" s="662"/>
    </row>
    <row r="439" spans="25:35" s="80" customFormat="1">
      <c r="Y439" s="662"/>
      <c r="Z439" s="662"/>
      <c r="AA439" s="662"/>
      <c r="AB439" s="662"/>
      <c r="AC439" s="662"/>
      <c r="AD439" s="662"/>
      <c r="AE439" s="662"/>
      <c r="AF439" s="662"/>
      <c r="AG439" s="662"/>
      <c r="AH439" s="662"/>
      <c r="AI439" s="662"/>
    </row>
    <row r="440" spans="25:35" s="80" customFormat="1">
      <c r="Y440" s="662"/>
      <c r="Z440" s="662"/>
      <c r="AA440" s="662"/>
      <c r="AB440" s="662"/>
      <c r="AC440" s="662"/>
      <c r="AD440" s="662"/>
      <c r="AE440" s="662"/>
      <c r="AF440" s="662"/>
      <c r="AG440" s="662"/>
      <c r="AH440" s="662"/>
      <c r="AI440" s="662"/>
    </row>
    <row r="441" spans="25:35" s="80" customFormat="1">
      <c r="Y441" s="662"/>
      <c r="Z441" s="662"/>
      <c r="AA441" s="662"/>
      <c r="AB441" s="662"/>
      <c r="AC441" s="662"/>
      <c r="AD441" s="662"/>
      <c r="AE441" s="662"/>
      <c r="AF441" s="662"/>
      <c r="AG441" s="662"/>
      <c r="AH441" s="662"/>
      <c r="AI441" s="662"/>
    </row>
    <row r="442" spans="25:35" s="80" customFormat="1">
      <c r="Y442" s="662"/>
      <c r="Z442" s="662"/>
      <c r="AA442" s="662"/>
      <c r="AB442" s="662"/>
      <c r="AC442" s="662"/>
      <c r="AD442" s="662"/>
      <c r="AE442" s="662"/>
      <c r="AF442" s="662"/>
      <c r="AG442" s="662"/>
      <c r="AH442" s="662"/>
      <c r="AI442" s="662"/>
    </row>
    <row r="443" spans="25:35" s="80" customFormat="1">
      <c r="Y443" s="662"/>
      <c r="Z443" s="662"/>
      <c r="AA443" s="662"/>
      <c r="AB443" s="662"/>
      <c r="AC443" s="662"/>
      <c r="AD443" s="662"/>
      <c r="AE443" s="662"/>
      <c r="AF443" s="662"/>
      <c r="AG443" s="662"/>
      <c r="AH443" s="662"/>
      <c r="AI443" s="662"/>
    </row>
    <row r="444" spans="25:35" s="80" customFormat="1">
      <c r="Y444" s="662"/>
      <c r="Z444" s="662"/>
      <c r="AA444" s="662"/>
      <c r="AB444" s="662"/>
      <c r="AC444" s="662"/>
      <c r="AD444" s="662"/>
      <c r="AE444" s="662"/>
      <c r="AF444" s="662"/>
      <c r="AG444" s="662"/>
      <c r="AH444" s="662"/>
      <c r="AI444" s="662"/>
    </row>
    <row r="445" spans="25:35" s="80" customFormat="1">
      <c r="Y445" s="662"/>
      <c r="Z445" s="662"/>
      <c r="AA445" s="662"/>
      <c r="AB445" s="662"/>
      <c r="AC445" s="662"/>
      <c r="AD445" s="662"/>
      <c r="AE445" s="662"/>
      <c r="AF445" s="662"/>
      <c r="AG445" s="662"/>
      <c r="AH445" s="662"/>
      <c r="AI445" s="662"/>
    </row>
    <row r="446" spans="25:35" s="80" customFormat="1">
      <c r="Y446" s="662"/>
      <c r="Z446" s="662"/>
      <c r="AA446" s="662"/>
      <c r="AB446" s="662"/>
      <c r="AC446" s="662"/>
      <c r="AD446" s="662"/>
      <c r="AE446" s="662"/>
      <c r="AF446" s="662"/>
      <c r="AG446" s="662"/>
      <c r="AH446" s="662"/>
      <c r="AI446" s="662"/>
    </row>
    <row r="447" spans="25:35" s="80" customFormat="1">
      <c r="Y447" s="662"/>
      <c r="Z447" s="662"/>
      <c r="AA447" s="662"/>
      <c r="AB447" s="662"/>
      <c r="AC447" s="662"/>
      <c r="AD447" s="662"/>
      <c r="AE447" s="662"/>
      <c r="AF447" s="662"/>
      <c r="AG447" s="662"/>
      <c r="AH447" s="662"/>
      <c r="AI447" s="662"/>
    </row>
    <row r="448" spans="25:35" s="80" customFormat="1">
      <c r="Y448" s="662"/>
      <c r="Z448" s="662"/>
      <c r="AA448" s="662"/>
      <c r="AB448" s="662"/>
      <c r="AC448" s="662"/>
      <c r="AD448" s="662"/>
      <c r="AE448" s="662"/>
      <c r="AF448" s="662"/>
      <c r="AG448" s="662"/>
      <c r="AH448" s="662"/>
      <c r="AI448" s="662"/>
    </row>
    <row r="449" spans="25:35" s="80" customFormat="1">
      <c r="Y449" s="662"/>
      <c r="Z449" s="662"/>
      <c r="AA449" s="662"/>
      <c r="AB449" s="662"/>
      <c r="AC449" s="662"/>
      <c r="AD449" s="662"/>
      <c r="AE449" s="662"/>
      <c r="AF449" s="662"/>
      <c r="AG449" s="662"/>
      <c r="AH449" s="662"/>
      <c r="AI449" s="662"/>
    </row>
    <row r="450" spans="25:35" s="80" customFormat="1">
      <c r="Y450" s="662"/>
      <c r="Z450" s="662"/>
      <c r="AA450" s="662"/>
      <c r="AB450" s="662"/>
      <c r="AC450" s="662"/>
      <c r="AD450" s="662"/>
      <c r="AE450" s="662"/>
      <c r="AF450" s="662"/>
      <c r="AG450" s="662"/>
      <c r="AH450" s="662"/>
      <c r="AI450" s="662"/>
    </row>
    <row r="451" spans="25:35" s="80" customFormat="1">
      <c r="Y451" s="662"/>
      <c r="Z451" s="662"/>
      <c r="AA451" s="662"/>
      <c r="AB451" s="662"/>
      <c r="AC451" s="662"/>
      <c r="AD451" s="662"/>
      <c r="AE451" s="662"/>
      <c r="AF451" s="662"/>
      <c r="AG451" s="662"/>
      <c r="AH451" s="662"/>
      <c r="AI451" s="662"/>
    </row>
    <row r="452" spans="25:35" s="80" customFormat="1">
      <c r="Y452" s="662"/>
      <c r="Z452" s="662"/>
      <c r="AA452" s="662"/>
      <c r="AB452" s="662"/>
      <c r="AC452" s="662"/>
      <c r="AD452" s="662"/>
      <c r="AE452" s="662"/>
      <c r="AF452" s="662"/>
      <c r="AG452" s="662"/>
      <c r="AH452" s="662"/>
      <c r="AI452" s="662"/>
    </row>
    <row r="453" spans="25:35" s="80" customFormat="1">
      <c r="Y453" s="662"/>
      <c r="Z453" s="662"/>
      <c r="AA453" s="662"/>
      <c r="AB453" s="662"/>
      <c r="AC453" s="662"/>
      <c r="AD453" s="662"/>
      <c r="AE453" s="662"/>
      <c r="AF453" s="662"/>
      <c r="AG453" s="662"/>
      <c r="AH453" s="662"/>
      <c r="AI453" s="662"/>
    </row>
    <row r="454" spans="25:35" s="80" customFormat="1">
      <c r="Y454" s="662"/>
      <c r="Z454" s="662"/>
      <c r="AA454" s="662"/>
      <c r="AB454" s="662"/>
      <c r="AC454" s="662"/>
      <c r="AD454" s="662"/>
      <c r="AE454" s="662"/>
      <c r="AF454" s="662"/>
      <c r="AG454" s="662"/>
      <c r="AH454" s="662"/>
      <c r="AI454" s="662"/>
    </row>
    <row r="455" spans="25:35" s="80" customFormat="1">
      <c r="Y455" s="662"/>
      <c r="Z455" s="662"/>
      <c r="AA455" s="662"/>
      <c r="AB455" s="662"/>
      <c r="AC455" s="662"/>
      <c r="AD455" s="662"/>
      <c r="AE455" s="662"/>
      <c r="AF455" s="662"/>
      <c r="AG455" s="662"/>
      <c r="AH455" s="662"/>
      <c r="AI455" s="662"/>
    </row>
    <row r="456" spans="25:35" s="80" customFormat="1">
      <c r="Y456" s="662"/>
      <c r="Z456" s="662"/>
      <c r="AA456" s="662"/>
      <c r="AB456" s="662"/>
      <c r="AC456" s="662"/>
      <c r="AD456" s="662"/>
      <c r="AE456" s="662"/>
      <c r="AF456" s="662"/>
      <c r="AG456" s="662"/>
      <c r="AH456" s="662"/>
      <c r="AI456" s="662"/>
    </row>
    <row r="457" spans="25:35" s="80" customFormat="1">
      <c r="Y457" s="662"/>
      <c r="Z457" s="662"/>
      <c r="AA457" s="662"/>
      <c r="AB457" s="662"/>
      <c r="AC457" s="662"/>
      <c r="AD457" s="662"/>
      <c r="AE457" s="662"/>
      <c r="AF457" s="662"/>
      <c r="AG457" s="662"/>
      <c r="AH457" s="662"/>
      <c r="AI457" s="662"/>
    </row>
    <row r="458" spans="25:35" s="80" customFormat="1">
      <c r="Y458" s="662"/>
      <c r="Z458" s="662"/>
      <c r="AA458" s="662"/>
      <c r="AB458" s="662"/>
      <c r="AC458" s="662"/>
      <c r="AD458" s="662"/>
      <c r="AE458" s="662"/>
      <c r="AF458" s="662"/>
      <c r="AG458" s="662"/>
      <c r="AH458" s="662"/>
      <c r="AI458" s="662"/>
    </row>
    <row r="459" spans="25:35" s="80" customFormat="1">
      <c r="Y459" s="662"/>
      <c r="Z459" s="662"/>
      <c r="AA459" s="662"/>
      <c r="AB459" s="662"/>
      <c r="AC459" s="662"/>
      <c r="AD459" s="662"/>
      <c r="AE459" s="662"/>
      <c r="AF459" s="662"/>
      <c r="AG459" s="662"/>
      <c r="AH459" s="662"/>
      <c r="AI459" s="662"/>
    </row>
    <row r="460" spans="25:35" s="80" customFormat="1">
      <c r="Y460" s="662"/>
      <c r="Z460" s="662"/>
      <c r="AA460" s="662"/>
      <c r="AB460" s="662"/>
      <c r="AC460" s="662"/>
      <c r="AD460" s="662"/>
      <c r="AE460" s="662"/>
      <c r="AF460" s="662"/>
      <c r="AG460" s="662"/>
      <c r="AH460" s="662"/>
      <c r="AI460" s="662"/>
    </row>
    <row r="461" spans="25:35" s="80" customFormat="1">
      <c r="Y461" s="662"/>
      <c r="Z461" s="662"/>
      <c r="AA461" s="662"/>
      <c r="AB461" s="662"/>
      <c r="AC461" s="662"/>
      <c r="AD461" s="662"/>
      <c r="AE461" s="662"/>
      <c r="AF461" s="662"/>
      <c r="AG461" s="662"/>
      <c r="AH461" s="662"/>
      <c r="AI461" s="662"/>
    </row>
    <row r="462" spans="25:35" s="80" customFormat="1">
      <c r="Y462" s="662"/>
      <c r="Z462" s="662"/>
      <c r="AA462" s="662"/>
      <c r="AB462" s="662"/>
      <c r="AC462" s="662"/>
      <c r="AD462" s="662"/>
      <c r="AE462" s="662"/>
      <c r="AF462" s="662"/>
      <c r="AG462" s="662"/>
      <c r="AH462" s="662"/>
      <c r="AI462" s="662"/>
    </row>
    <row r="463" spans="25:35" s="80" customFormat="1">
      <c r="Y463" s="662"/>
      <c r="Z463" s="662"/>
      <c r="AA463" s="662"/>
      <c r="AB463" s="662"/>
      <c r="AC463" s="662"/>
      <c r="AD463" s="662"/>
      <c r="AE463" s="662"/>
      <c r="AF463" s="662"/>
      <c r="AG463" s="662"/>
      <c r="AH463" s="662"/>
      <c r="AI463" s="662"/>
    </row>
    <row r="464" spans="25:35" s="80" customFormat="1">
      <c r="Y464" s="662"/>
      <c r="Z464" s="662"/>
      <c r="AA464" s="662"/>
      <c r="AB464" s="662"/>
      <c r="AC464" s="662"/>
      <c r="AD464" s="662"/>
      <c r="AE464" s="662"/>
      <c r="AF464" s="662"/>
      <c r="AG464" s="662"/>
      <c r="AH464" s="662"/>
      <c r="AI464" s="662"/>
    </row>
    <row r="465" spans="25:35" s="80" customFormat="1">
      <c r="Y465" s="662"/>
      <c r="Z465" s="662"/>
      <c r="AA465" s="662"/>
      <c r="AB465" s="662"/>
      <c r="AC465" s="662"/>
      <c r="AD465" s="662"/>
      <c r="AE465" s="662"/>
      <c r="AF465" s="662"/>
      <c r="AG465" s="662"/>
      <c r="AH465" s="662"/>
      <c r="AI465" s="662"/>
    </row>
    <row r="466" spans="25:35" s="80" customFormat="1">
      <c r="Y466" s="662"/>
      <c r="Z466" s="662"/>
      <c r="AA466" s="662"/>
      <c r="AB466" s="662"/>
      <c r="AC466" s="662"/>
      <c r="AD466" s="662"/>
      <c r="AE466" s="662"/>
      <c r="AF466" s="662"/>
      <c r="AG466" s="662"/>
      <c r="AH466" s="662"/>
      <c r="AI466" s="662"/>
    </row>
    <row r="467" spans="25:35" s="80" customFormat="1">
      <c r="Y467" s="662"/>
      <c r="Z467" s="662"/>
      <c r="AA467" s="662"/>
      <c r="AB467" s="662"/>
      <c r="AC467" s="662"/>
      <c r="AD467" s="662"/>
      <c r="AE467" s="662"/>
      <c r="AF467" s="662"/>
      <c r="AG467" s="662"/>
      <c r="AH467" s="662"/>
      <c r="AI467" s="662"/>
    </row>
    <row r="468" spans="25:35" s="80" customFormat="1">
      <c r="Y468" s="662"/>
      <c r="Z468" s="662"/>
      <c r="AA468" s="662"/>
      <c r="AB468" s="662"/>
      <c r="AC468" s="662"/>
      <c r="AD468" s="662"/>
      <c r="AE468" s="662"/>
      <c r="AF468" s="662"/>
      <c r="AG468" s="662"/>
      <c r="AH468" s="662"/>
      <c r="AI468" s="662"/>
    </row>
    <row r="469" spans="25:35" s="80" customFormat="1">
      <c r="Y469" s="662"/>
      <c r="Z469" s="662"/>
      <c r="AA469" s="662"/>
      <c r="AB469" s="662"/>
      <c r="AC469" s="662"/>
      <c r="AD469" s="662"/>
      <c r="AE469" s="662"/>
      <c r="AF469" s="662"/>
      <c r="AG469" s="662"/>
      <c r="AH469" s="662"/>
      <c r="AI469" s="662"/>
    </row>
    <row r="470" spans="25:35" s="80" customFormat="1">
      <c r="Y470" s="662"/>
      <c r="Z470" s="662"/>
      <c r="AA470" s="662"/>
      <c r="AB470" s="662"/>
      <c r="AC470" s="662"/>
      <c r="AD470" s="662"/>
      <c r="AE470" s="662"/>
      <c r="AF470" s="662"/>
      <c r="AG470" s="662"/>
      <c r="AH470" s="662"/>
      <c r="AI470" s="662"/>
    </row>
    <row r="471" spans="25:35" s="80" customFormat="1">
      <c r="Y471" s="662"/>
      <c r="Z471" s="662"/>
      <c r="AA471" s="662"/>
      <c r="AB471" s="662"/>
      <c r="AC471" s="662"/>
      <c r="AD471" s="662"/>
      <c r="AE471" s="662"/>
      <c r="AF471" s="662"/>
      <c r="AG471" s="662"/>
      <c r="AH471" s="662"/>
      <c r="AI471" s="662"/>
    </row>
    <row r="472" spans="25:35" s="80" customFormat="1">
      <c r="Y472" s="662"/>
      <c r="Z472" s="662"/>
      <c r="AA472" s="662"/>
      <c r="AB472" s="662"/>
      <c r="AC472" s="662"/>
      <c r="AD472" s="662"/>
      <c r="AE472" s="662"/>
      <c r="AF472" s="662"/>
      <c r="AG472" s="662"/>
      <c r="AH472" s="662"/>
      <c r="AI472" s="662"/>
    </row>
    <row r="473" spans="25:35" s="80" customFormat="1">
      <c r="Y473" s="662"/>
      <c r="Z473" s="662"/>
      <c r="AA473" s="662"/>
      <c r="AB473" s="662"/>
      <c r="AC473" s="662"/>
      <c r="AD473" s="662"/>
      <c r="AE473" s="662"/>
      <c r="AF473" s="662"/>
      <c r="AG473" s="662"/>
      <c r="AH473" s="662"/>
      <c r="AI473" s="662"/>
    </row>
    <row r="474" spans="25:35" s="80" customFormat="1">
      <c r="Y474" s="662"/>
      <c r="Z474" s="662"/>
      <c r="AA474" s="662"/>
      <c r="AB474" s="662"/>
      <c r="AC474" s="662"/>
      <c r="AD474" s="662"/>
      <c r="AE474" s="662"/>
      <c r="AF474" s="662"/>
      <c r="AG474" s="662"/>
      <c r="AH474" s="662"/>
      <c r="AI474" s="662"/>
    </row>
    <row r="475" spans="25:35" s="80" customFormat="1">
      <c r="Y475" s="662"/>
      <c r="Z475" s="662"/>
      <c r="AA475" s="662"/>
      <c r="AB475" s="662"/>
      <c r="AC475" s="662"/>
      <c r="AD475" s="662"/>
      <c r="AE475" s="662"/>
      <c r="AF475" s="662"/>
      <c r="AG475" s="662"/>
      <c r="AH475" s="662"/>
      <c r="AI475" s="662"/>
    </row>
    <row r="476" spans="25:35" s="80" customFormat="1">
      <c r="Y476" s="662"/>
      <c r="Z476" s="662"/>
      <c r="AA476" s="662"/>
      <c r="AB476" s="662"/>
      <c r="AC476" s="662"/>
      <c r="AD476" s="662"/>
      <c r="AE476" s="662"/>
      <c r="AF476" s="662"/>
      <c r="AG476" s="662"/>
      <c r="AH476" s="662"/>
      <c r="AI476" s="662"/>
    </row>
    <row r="477" spans="25:35" s="80" customFormat="1">
      <c r="Y477" s="662"/>
      <c r="Z477" s="662"/>
      <c r="AA477" s="662"/>
      <c r="AB477" s="662"/>
      <c r="AC477" s="662"/>
      <c r="AD477" s="662"/>
      <c r="AE477" s="662"/>
      <c r="AF477" s="662"/>
      <c r="AG477" s="662"/>
      <c r="AH477" s="662"/>
      <c r="AI477" s="662"/>
    </row>
    <row r="478" spans="25:35" s="80" customFormat="1">
      <c r="Y478" s="662"/>
      <c r="Z478" s="662"/>
      <c r="AA478" s="662"/>
      <c r="AB478" s="662"/>
      <c r="AC478" s="662"/>
      <c r="AD478" s="662"/>
      <c r="AE478" s="662"/>
      <c r="AF478" s="662"/>
      <c r="AG478" s="662"/>
      <c r="AH478" s="662"/>
      <c r="AI478" s="662"/>
    </row>
    <row r="479" spans="25:35" s="80" customFormat="1">
      <c r="Y479" s="662"/>
      <c r="Z479" s="662"/>
      <c r="AA479" s="662"/>
      <c r="AB479" s="662"/>
      <c r="AC479" s="662"/>
      <c r="AD479" s="662"/>
      <c r="AE479" s="662"/>
      <c r="AF479" s="662"/>
      <c r="AG479" s="662"/>
      <c r="AH479" s="662"/>
      <c r="AI479" s="662"/>
    </row>
    <row r="480" spans="25:35" s="80" customFormat="1">
      <c r="Y480" s="662"/>
      <c r="Z480" s="662"/>
      <c r="AA480" s="662"/>
      <c r="AB480" s="662"/>
      <c r="AC480" s="662"/>
      <c r="AD480" s="662"/>
      <c r="AE480" s="662"/>
      <c r="AF480" s="662"/>
      <c r="AG480" s="662"/>
      <c r="AH480" s="662"/>
      <c r="AI480" s="662"/>
    </row>
    <row r="481" spans="25:35" s="80" customFormat="1">
      <c r="Y481" s="662"/>
      <c r="Z481" s="662"/>
      <c r="AA481" s="662"/>
      <c r="AB481" s="662"/>
      <c r="AC481" s="662"/>
      <c r="AD481" s="662"/>
      <c r="AE481" s="662"/>
      <c r="AF481" s="662"/>
      <c r="AG481" s="662"/>
      <c r="AH481" s="662"/>
      <c r="AI481" s="662"/>
    </row>
    <row r="482" spans="25:35" s="80" customFormat="1">
      <c r="Y482" s="662"/>
      <c r="Z482" s="662"/>
      <c r="AA482" s="662"/>
      <c r="AB482" s="662"/>
      <c r="AC482" s="662"/>
      <c r="AD482" s="662"/>
      <c r="AE482" s="662"/>
      <c r="AF482" s="662"/>
      <c r="AG482" s="662"/>
      <c r="AH482" s="662"/>
      <c r="AI482" s="662"/>
    </row>
    <row r="483" spans="25:35" s="80" customFormat="1">
      <c r="Y483" s="662"/>
      <c r="Z483" s="662"/>
      <c r="AA483" s="662"/>
      <c r="AB483" s="662"/>
      <c r="AC483" s="662"/>
      <c r="AD483" s="662"/>
      <c r="AE483" s="662"/>
      <c r="AF483" s="662"/>
      <c r="AG483" s="662"/>
      <c r="AH483" s="662"/>
      <c r="AI483" s="662"/>
    </row>
    <row r="484" spans="25:35" s="80" customFormat="1">
      <c r="Y484" s="662"/>
      <c r="Z484" s="662"/>
      <c r="AA484" s="662"/>
      <c r="AB484" s="662"/>
      <c r="AC484" s="662"/>
      <c r="AD484" s="662"/>
      <c r="AE484" s="662"/>
      <c r="AF484" s="662"/>
      <c r="AG484" s="662"/>
      <c r="AH484" s="662"/>
      <c r="AI484" s="662"/>
    </row>
    <row r="485" spans="25:35" s="80" customFormat="1">
      <c r="Y485" s="662"/>
      <c r="Z485" s="662"/>
      <c r="AA485" s="662"/>
      <c r="AB485" s="662"/>
      <c r="AC485" s="662"/>
      <c r="AD485" s="662"/>
      <c r="AE485" s="662"/>
      <c r="AF485" s="662"/>
      <c r="AG485" s="662"/>
      <c r="AH485" s="662"/>
      <c r="AI485" s="662"/>
    </row>
    <row r="486" spans="25:35" s="80" customFormat="1">
      <c r="Y486" s="662"/>
      <c r="Z486" s="662"/>
      <c r="AA486" s="662"/>
      <c r="AB486" s="662"/>
      <c r="AC486" s="662"/>
      <c r="AD486" s="662"/>
      <c r="AE486" s="662"/>
      <c r="AF486" s="662"/>
      <c r="AG486" s="662"/>
      <c r="AH486" s="662"/>
      <c r="AI486" s="662"/>
    </row>
    <row r="487" spans="25:35" s="80" customFormat="1">
      <c r="Y487" s="662"/>
      <c r="Z487" s="662"/>
      <c r="AA487" s="662"/>
      <c r="AB487" s="662"/>
      <c r="AC487" s="662"/>
      <c r="AD487" s="662"/>
      <c r="AE487" s="662"/>
      <c r="AF487" s="662"/>
      <c r="AG487" s="662"/>
      <c r="AH487" s="662"/>
      <c r="AI487" s="662"/>
    </row>
    <row r="488" spans="25:35" s="80" customFormat="1">
      <c r="Y488" s="662"/>
      <c r="Z488" s="662"/>
      <c r="AA488" s="662"/>
      <c r="AB488" s="662"/>
      <c r="AC488" s="662"/>
      <c r="AD488" s="662"/>
      <c r="AE488" s="662"/>
      <c r="AF488" s="662"/>
      <c r="AG488" s="662"/>
      <c r="AH488" s="662"/>
      <c r="AI488" s="662"/>
    </row>
    <row r="489" spans="25:35" s="80" customFormat="1">
      <c r="Y489" s="662"/>
      <c r="Z489" s="662"/>
      <c r="AA489" s="662"/>
      <c r="AB489" s="662"/>
      <c r="AC489" s="662"/>
      <c r="AD489" s="662"/>
      <c r="AE489" s="662"/>
      <c r="AF489" s="662"/>
      <c r="AG489" s="662"/>
      <c r="AH489" s="662"/>
      <c r="AI489" s="662"/>
    </row>
    <row r="490" spans="25:35" s="80" customFormat="1">
      <c r="Y490" s="662"/>
      <c r="Z490" s="662"/>
      <c r="AA490" s="662"/>
      <c r="AB490" s="662"/>
      <c r="AC490" s="662"/>
      <c r="AD490" s="662"/>
      <c r="AE490" s="662"/>
      <c r="AF490" s="662"/>
      <c r="AG490" s="662"/>
      <c r="AH490" s="662"/>
      <c r="AI490" s="662"/>
    </row>
    <row r="491" spans="25:35" s="80" customFormat="1">
      <c r="Y491" s="662"/>
      <c r="Z491" s="662"/>
      <c r="AA491" s="662"/>
      <c r="AB491" s="662"/>
      <c r="AC491" s="662"/>
      <c r="AD491" s="662"/>
      <c r="AE491" s="662"/>
      <c r="AF491" s="662"/>
      <c r="AG491" s="662"/>
      <c r="AH491" s="662"/>
      <c r="AI491" s="662"/>
    </row>
    <row r="492" spans="25:35" s="80" customFormat="1">
      <c r="Y492" s="662"/>
      <c r="Z492" s="662"/>
      <c r="AA492" s="662"/>
      <c r="AB492" s="662"/>
      <c r="AC492" s="662"/>
      <c r="AD492" s="662"/>
      <c r="AE492" s="662"/>
      <c r="AF492" s="662"/>
      <c r="AG492" s="662"/>
      <c r="AH492" s="662"/>
      <c r="AI492" s="662"/>
    </row>
    <row r="493" spans="25:35" s="80" customFormat="1">
      <c r="Y493" s="662"/>
      <c r="Z493" s="662"/>
      <c r="AA493" s="662"/>
      <c r="AB493" s="662"/>
      <c r="AC493" s="662"/>
      <c r="AD493" s="662"/>
      <c r="AE493" s="662"/>
      <c r="AF493" s="662"/>
      <c r="AG493" s="662"/>
      <c r="AH493" s="662"/>
      <c r="AI493" s="662"/>
    </row>
    <row r="494" spans="25:35" s="80" customFormat="1">
      <c r="Y494" s="662"/>
      <c r="Z494" s="662"/>
      <c r="AA494" s="662"/>
      <c r="AB494" s="662"/>
      <c r="AC494" s="662"/>
      <c r="AD494" s="662"/>
      <c r="AE494" s="662"/>
      <c r="AF494" s="662"/>
      <c r="AG494" s="662"/>
      <c r="AH494" s="662"/>
      <c r="AI494" s="662"/>
    </row>
    <row r="495" spans="25:35" s="80" customFormat="1">
      <c r="Y495" s="662"/>
      <c r="Z495" s="662"/>
      <c r="AA495" s="662"/>
      <c r="AB495" s="662"/>
      <c r="AC495" s="662"/>
      <c r="AD495" s="662"/>
      <c r="AE495" s="662"/>
      <c r="AF495" s="662"/>
      <c r="AG495" s="662"/>
      <c r="AH495" s="662"/>
      <c r="AI495" s="662"/>
    </row>
    <row r="496" spans="25:35" s="80" customFormat="1">
      <c r="Y496" s="662"/>
      <c r="Z496" s="662"/>
      <c r="AA496" s="662"/>
      <c r="AB496" s="662"/>
      <c r="AC496" s="662"/>
      <c r="AD496" s="662"/>
      <c r="AE496" s="662"/>
      <c r="AF496" s="662"/>
      <c r="AG496" s="662"/>
      <c r="AH496" s="662"/>
      <c r="AI496" s="662"/>
    </row>
    <row r="497" spans="25:35" s="80" customFormat="1">
      <c r="Y497" s="662"/>
      <c r="Z497" s="662"/>
      <c r="AA497" s="662"/>
      <c r="AB497" s="662"/>
      <c r="AC497" s="662"/>
      <c r="AD497" s="662"/>
      <c r="AE497" s="662"/>
      <c r="AF497" s="662"/>
      <c r="AG497" s="662"/>
      <c r="AH497" s="662"/>
      <c r="AI497" s="662"/>
    </row>
    <row r="498" spans="25:35" s="80" customFormat="1">
      <c r="Y498" s="662"/>
      <c r="Z498" s="662"/>
      <c r="AA498" s="662"/>
      <c r="AB498" s="662"/>
      <c r="AC498" s="662"/>
      <c r="AD498" s="662"/>
      <c r="AE498" s="662"/>
      <c r="AF498" s="662"/>
      <c r="AG498" s="662"/>
      <c r="AH498" s="662"/>
      <c r="AI498" s="662"/>
    </row>
    <row r="499" spans="25:35" s="80" customFormat="1">
      <c r="Y499" s="662"/>
      <c r="Z499" s="662"/>
      <c r="AA499" s="662"/>
      <c r="AB499" s="662"/>
      <c r="AC499" s="662"/>
      <c r="AD499" s="662"/>
      <c r="AE499" s="662"/>
      <c r="AF499" s="662"/>
      <c r="AG499" s="662"/>
      <c r="AH499" s="662"/>
      <c r="AI499" s="662"/>
    </row>
    <row r="500" spans="25:35" s="80" customFormat="1">
      <c r="Y500" s="662"/>
      <c r="Z500" s="662"/>
      <c r="AA500" s="662"/>
      <c r="AB500" s="662"/>
      <c r="AC500" s="662"/>
      <c r="AD500" s="662"/>
      <c r="AE500" s="662"/>
      <c r="AF500" s="662"/>
      <c r="AG500" s="662"/>
      <c r="AH500" s="662"/>
      <c r="AI500" s="662"/>
    </row>
    <row r="501" spans="25:35" s="80" customFormat="1">
      <c r="Y501" s="662"/>
      <c r="Z501" s="662"/>
      <c r="AA501" s="662"/>
      <c r="AB501" s="662"/>
      <c r="AC501" s="662"/>
      <c r="AD501" s="662"/>
      <c r="AE501" s="662"/>
      <c r="AF501" s="662"/>
      <c r="AG501" s="662"/>
      <c r="AH501" s="662"/>
      <c r="AI501" s="662"/>
    </row>
    <row r="502" spans="25:35" s="80" customFormat="1">
      <c r="Y502" s="662"/>
      <c r="Z502" s="662"/>
      <c r="AA502" s="662"/>
      <c r="AB502" s="662"/>
      <c r="AC502" s="662"/>
      <c r="AD502" s="662"/>
      <c r="AE502" s="662"/>
      <c r="AF502" s="662"/>
      <c r="AG502" s="662"/>
      <c r="AH502" s="662"/>
      <c r="AI502" s="662"/>
    </row>
    <row r="503" spans="25:35" s="80" customFormat="1">
      <c r="Y503" s="662"/>
      <c r="Z503" s="662"/>
      <c r="AA503" s="662"/>
      <c r="AB503" s="662"/>
      <c r="AC503" s="662"/>
      <c r="AD503" s="662"/>
      <c r="AE503" s="662"/>
      <c r="AF503" s="662"/>
      <c r="AG503" s="662"/>
      <c r="AH503" s="662"/>
      <c r="AI503" s="662"/>
    </row>
    <row r="504" spans="25:35" s="80" customFormat="1">
      <c r="Y504" s="662"/>
      <c r="Z504" s="662"/>
      <c r="AA504" s="662"/>
      <c r="AB504" s="662"/>
      <c r="AC504" s="662"/>
      <c r="AD504" s="662"/>
      <c r="AE504" s="662"/>
      <c r="AF504" s="662"/>
      <c r="AG504" s="662"/>
      <c r="AH504" s="662"/>
      <c r="AI504" s="662"/>
    </row>
    <row r="505" spans="25:35" s="80" customFormat="1">
      <c r="Y505" s="662"/>
      <c r="Z505" s="662"/>
      <c r="AA505" s="662"/>
      <c r="AB505" s="662"/>
      <c r="AC505" s="662"/>
      <c r="AD505" s="662"/>
      <c r="AE505" s="662"/>
      <c r="AF505" s="662"/>
      <c r="AG505" s="662"/>
      <c r="AH505" s="662"/>
      <c r="AI505" s="662"/>
    </row>
    <row r="506" spans="25:35" s="80" customFormat="1">
      <c r="Y506" s="662"/>
      <c r="Z506" s="662"/>
      <c r="AA506" s="662"/>
      <c r="AB506" s="662"/>
      <c r="AC506" s="662"/>
      <c r="AD506" s="662"/>
      <c r="AE506" s="662"/>
      <c r="AF506" s="662"/>
      <c r="AG506" s="662"/>
      <c r="AH506" s="662"/>
      <c r="AI506" s="662"/>
    </row>
    <row r="507" spans="25:35" s="80" customFormat="1">
      <c r="Y507" s="662"/>
      <c r="Z507" s="662"/>
      <c r="AA507" s="662"/>
      <c r="AB507" s="662"/>
      <c r="AC507" s="662"/>
      <c r="AD507" s="662"/>
      <c r="AE507" s="662"/>
      <c r="AF507" s="662"/>
      <c r="AG507" s="662"/>
      <c r="AH507" s="662"/>
      <c r="AI507" s="662"/>
    </row>
    <row r="508" spans="25:35" s="80" customFormat="1">
      <c r="Y508" s="662"/>
      <c r="Z508" s="662"/>
      <c r="AA508" s="662"/>
      <c r="AB508" s="662"/>
      <c r="AC508" s="662"/>
      <c r="AD508" s="662"/>
      <c r="AE508" s="662"/>
      <c r="AF508" s="662"/>
      <c r="AG508" s="662"/>
      <c r="AH508" s="662"/>
      <c r="AI508" s="662"/>
    </row>
    <row r="509" spans="25:35" s="80" customFormat="1">
      <c r="Y509" s="662"/>
      <c r="Z509" s="662"/>
      <c r="AA509" s="662"/>
      <c r="AB509" s="662"/>
      <c r="AC509" s="662"/>
      <c r="AD509" s="662"/>
      <c r="AE509" s="662"/>
      <c r="AF509" s="662"/>
      <c r="AG509" s="662"/>
      <c r="AH509" s="662"/>
      <c r="AI509" s="662"/>
    </row>
    <row r="510" spans="25:35" s="80" customFormat="1">
      <c r="Y510" s="662"/>
      <c r="Z510" s="662"/>
      <c r="AA510" s="662"/>
      <c r="AB510" s="662"/>
      <c r="AC510" s="662"/>
      <c r="AD510" s="662"/>
      <c r="AE510" s="662"/>
      <c r="AF510" s="662"/>
      <c r="AG510" s="662"/>
      <c r="AH510" s="662"/>
      <c r="AI510" s="662"/>
    </row>
    <row r="511" spans="25:35" s="80" customFormat="1">
      <c r="Y511" s="662"/>
      <c r="Z511" s="662"/>
      <c r="AA511" s="662"/>
      <c r="AB511" s="662"/>
      <c r="AC511" s="662"/>
      <c r="AD511" s="662"/>
      <c r="AE511" s="662"/>
      <c r="AF511" s="662"/>
      <c r="AG511" s="662"/>
      <c r="AH511" s="662"/>
      <c r="AI511" s="662"/>
    </row>
    <row r="512" spans="25:35" s="80" customFormat="1">
      <c r="Y512" s="662"/>
      <c r="Z512" s="662"/>
      <c r="AA512" s="662"/>
      <c r="AB512" s="662"/>
      <c r="AC512" s="662"/>
      <c r="AD512" s="662"/>
      <c r="AE512" s="662"/>
      <c r="AF512" s="662"/>
      <c r="AG512" s="662"/>
      <c r="AH512" s="662"/>
      <c r="AI512" s="662"/>
    </row>
    <row r="513" spans="25:35" s="80" customFormat="1">
      <c r="Y513" s="662"/>
      <c r="Z513" s="662"/>
      <c r="AA513" s="662"/>
      <c r="AB513" s="662"/>
      <c r="AC513" s="662"/>
      <c r="AD513" s="662"/>
      <c r="AE513" s="662"/>
      <c r="AF513" s="662"/>
      <c r="AG513" s="662"/>
      <c r="AH513" s="662"/>
      <c r="AI513" s="662"/>
    </row>
    <row r="514" spans="25:35" s="80" customFormat="1">
      <c r="Y514" s="662"/>
      <c r="Z514" s="662"/>
      <c r="AA514" s="662"/>
      <c r="AB514" s="662"/>
      <c r="AC514" s="662"/>
      <c r="AD514" s="662"/>
      <c r="AE514" s="662"/>
      <c r="AF514" s="662"/>
      <c r="AG514" s="662"/>
      <c r="AH514" s="662"/>
      <c r="AI514" s="662"/>
    </row>
    <row r="515" spans="25:35" s="80" customFormat="1">
      <c r="Y515" s="662"/>
      <c r="Z515" s="662"/>
      <c r="AA515" s="662"/>
      <c r="AB515" s="662"/>
      <c r="AC515" s="662"/>
      <c r="AD515" s="662"/>
      <c r="AE515" s="662"/>
      <c r="AF515" s="662"/>
      <c r="AG515" s="662"/>
      <c r="AH515" s="662"/>
      <c r="AI515" s="662"/>
    </row>
    <row r="516" spans="25:35" s="80" customFormat="1">
      <c r="Y516" s="662"/>
      <c r="Z516" s="662"/>
      <c r="AA516" s="662"/>
      <c r="AB516" s="662"/>
      <c r="AC516" s="662"/>
      <c r="AD516" s="662"/>
      <c r="AE516" s="662"/>
      <c r="AF516" s="662"/>
      <c r="AG516" s="662"/>
      <c r="AH516" s="662"/>
      <c r="AI516" s="662"/>
    </row>
    <row r="517" spans="25:35" s="80" customFormat="1">
      <c r="Y517" s="662"/>
      <c r="Z517" s="662"/>
      <c r="AA517" s="662"/>
      <c r="AB517" s="662"/>
      <c r="AC517" s="662"/>
      <c r="AD517" s="662"/>
      <c r="AE517" s="662"/>
      <c r="AF517" s="662"/>
      <c r="AG517" s="662"/>
      <c r="AH517" s="662"/>
      <c r="AI517" s="662"/>
    </row>
    <row r="518" spans="25:35" s="80" customFormat="1">
      <c r="Y518" s="662"/>
      <c r="Z518" s="662"/>
      <c r="AA518" s="662"/>
      <c r="AB518" s="662"/>
      <c r="AC518" s="662"/>
      <c r="AD518" s="662"/>
      <c r="AE518" s="662"/>
      <c r="AF518" s="662"/>
      <c r="AG518" s="662"/>
      <c r="AH518" s="662"/>
      <c r="AI518" s="662"/>
    </row>
    <row r="519" spans="25:35" s="80" customFormat="1">
      <c r="Y519" s="662"/>
      <c r="Z519" s="662"/>
      <c r="AA519" s="662"/>
      <c r="AB519" s="662"/>
      <c r="AC519" s="662"/>
      <c r="AD519" s="662"/>
      <c r="AE519" s="662"/>
      <c r="AF519" s="662"/>
      <c r="AG519" s="662"/>
      <c r="AH519" s="662"/>
      <c r="AI519" s="662"/>
    </row>
    <row r="520" spans="25:35" s="80" customFormat="1">
      <c r="Y520" s="662"/>
      <c r="Z520" s="662"/>
      <c r="AA520" s="662"/>
      <c r="AB520" s="662"/>
      <c r="AC520" s="662"/>
      <c r="AD520" s="662"/>
      <c r="AE520" s="662"/>
      <c r="AF520" s="662"/>
      <c r="AG520" s="662"/>
      <c r="AH520" s="662"/>
      <c r="AI520" s="662"/>
    </row>
    <row r="521" spans="25:35" s="80" customFormat="1">
      <c r="Y521" s="662"/>
      <c r="Z521" s="662"/>
      <c r="AA521" s="662"/>
      <c r="AB521" s="662"/>
      <c r="AC521" s="662"/>
      <c r="AD521" s="662"/>
      <c r="AE521" s="662"/>
      <c r="AF521" s="662"/>
      <c r="AG521" s="662"/>
      <c r="AH521" s="662"/>
      <c r="AI521" s="662"/>
    </row>
    <row r="522" spans="25:35" s="80" customFormat="1">
      <c r="Y522" s="662"/>
      <c r="Z522" s="662"/>
      <c r="AA522" s="662"/>
      <c r="AB522" s="662"/>
      <c r="AC522" s="662"/>
      <c r="AD522" s="662"/>
      <c r="AE522" s="662"/>
      <c r="AF522" s="662"/>
      <c r="AG522" s="662"/>
      <c r="AH522" s="662"/>
      <c r="AI522" s="662"/>
    </row>
    <row r="523" spans="25:35" s="80" customFormat="1">
      <c r="Y523" s="662"/>
      <c r="Z523" s="662"/>
      <c r="AA523" s="662"/>
      <c r="AB523" s="662"/>
      <c r="AC523" s="662"/>
      <c r="AD523" s="662"/>
      <c r="AE523" s="662"/>
      <c r="AF523" s="662"/>
      <c r="AG523" s="662"/>
      <c r="AH523" s="662"/>
      <c r="AI523" s="662"/>
    </row>
    <row r="524" spans="25:35" s="80" customFormat="1">
      <c r="Y524" s="662"/>
      <c r="Z524" s="662"/>
      <c r="AA524" s="662"/>
      <c r="AB524" s="662"/>
      <c r="AC524" s="662"/>
      <c r="AD524" s="662"/>
      <c r="AE524" s="662"/>
      <c r="AF524" s="662"/>
      <c r="AG524" s="662"/>
      <c r="AH524" s="662"/>
      <c r="AI524" s="662"/>
    </row>
    <row r="525" spans="25:35" s="80" customFormat="1">
      <c r="Y525" s="662"/>
      <c r="Z525" s="662"/>
      <c r="AA525" s="662"/>
      <c r="AB525" s="662"/>
      <c r="AC525" s="662"/>
      <c r="AD525" s="662"/>
      <c r="AE525" s="662"/>
      <c r="AF525" s="662"/>
      <c r="AG525" s="662"/>
      <c r="AH525" s="662"/>
      <c r="AI525" s="662"/>
    </row>
    <row r="526" spans="25:35" s="80" customFormat="1">
      <c r="Y526" s="662"/>
      <c r="Z526" s="662"/>
      <c r="AA526" s="662"/>
      <c r="AB526" s="662"/>
      <c r="AC526" s="662"/>
      <c r="AD526" s="662"/>
      <c r="AE526" s="662"/>
      <c r="AF526" s="662"/>
      <c r="AG526" s="662"/>
      <c r="AH526" s="662"/>
      <c r="AI526" s="662"/>
    </row>
    <row r="527" spans="25:35" s="80" customFormat="1">
      <c r="Y527" s="662"/>
      <c r="Z527" s="662"/>
      <c r="AA527" s="662"/>
      <c r="AB527" s="662"/>
      <c r="AC527" s="662"/>
      <c r="AD527" s="662"/>
      <c r="AE527" s="662"/>
      <c r="AF527" s="662"/>
      <c r="AG527" s="662"/>
      <c r="AH527" s="662"/>
      <c r="AI527" s="662"/>
    </row>
    <row r="528" spans="25:35" s="80" customFormat="1">
      <c r="Y528" s="662"/>
      <c r="Z528" s="662"/>
      <c r="AA528" s="662"/>
      <c r="AB528" s="662"/>
      <c r="AC528" s="662"/>
      <c r="AD528" s="662"/>
      <c r="AE528" s="662"/>
      <c r="AF528" s="662"/>
      <c r="AG528" s="662"/>
      <c r="AH528" s="662"/>
      <c r="AI528" s="662"/>
    </row>
    <row r="529" spans="25:35" s="80" customFormat="1">
      <c r="Y529" s="662"/>
      <c r="Z529" s="662"/>
      <c r="AA529" s="662"/>
      <c r="AB529" s="662"/>
      <c r="AC529" s="662"/>
      <c r="AD529" s="662"/>
      <c r="AE529" s="662"/>
      <c r="AF529" s="662"/>
      <c r="AG529" s="662"/>
      <c r="AH529" s="662"/>
      <c r="AI529" s="662"/>
    </row>
    <row r="530" spans="25:35" s="80" customFormat="1">
      <c r="Y530" s="662"/>
      <c r="Z530" s="662"/>
      <c r="AA530" s="662"/>
      <c r="AB530" s="662"/>
      <c r="AC530" s="662"/>
      <c r="AD530" s="662"/>
      <c r="AE530" s="662"/>
      <c r="AF530" s="662"/>
      <c r="AG530" s="662"/>
      <c r="AH530" s="662"/>
      <c r="AI530" s="662"/>
    </row>
    <row r="531" spans="25:35" s="80" customFormat="1">
      <c r="Y531" s="662"/>
      <c r="Z531" s="662"/>
      <c r="AA531" s="662"/>
      <c r="AB531" s="662"/>
      <c r="AC531" s="662"/>
      <c r="AD531" s="662"/>
      <c r="AE531" s="662"/>
      <c r="AF531" s="662"/>
      <c r="AG531" s="662"/>
      <c r="AH531" s="662"/>
      <c r="AI531" s="662"/>
    </row>
    <row r="532" spans="25:35" s="80" customFormat="1">
      <c r="Y532" s="662"/>
      <c r="Z532" s="662"/>
      <c r="AA532" s="662"/>
      <c r="AB532" s="662"/>
      <c r="AC532" s="662"/>
      <c r="AD532" s="662"/>
      <c r="AE532" s="662"/>
      <c r="AF532" s="662"/>
      <c r="AG532" s="662"/>
      <c r="AH532" s="662"/>
      <c r="AI532" s="662"/>
    </row>
    <row r="533" spans="25:35" s="80" customFormat="1">
      <c r="Y533" s="662"/>
      <c r="Z533" s="662"/>
      <c r="AA533" s="662"/>
      <c r="AB533" s="662"/>
      <c r="AC533" s="662"/>
      <c r="AD533" s="662"/>
      <c r="AE533" s="662"/>
      <c r="AF533" s="662"/>
      <c r="AG533" s="662"/>
      <c r="AH533" s="662"/>
      <c r="AI533" s="662"/>
    </row>
    <row r="534" spans="25:35" s="80" customFormat="1">
      <c r="Y534" s="662"/>
      <c r="Z534" s="662"/>
      <c r="AA534" s="662"/>
      <c r="AB534" s="662"/>
      <c r="AC534" s="662"/>
      <c r="AD534" s="662"/>
      <c r="AE534" s="662"/>
      <c r="AF534" s="662"/>
      <c r="AG534" s="662"/>
      <c r="AH534" s="662"/>
      <c r="AI534" s="662"/>
    </row>
    <row r="535" spans="25:35" s="80" customFormat="1">
      <c r="Y535" s="662"/>
      <c r="Z535" s="662"/>
      <c r="AA535" s="662"/>
      <c r="AB535" s="662"/>
      <c r="AC535" s="662"/>
      <c r="AD535" s="662"/>
      <c r="AE535" s="662"/>
      <c r="AF535" s="662"/>
      <c r="AG535" s="662"/>
      <c r="AH535" s="662"/>
      <c r="AI535" s="662"/>
    </row>
    <row r="536" spans="25:35" s="80" customFormat="1">
      <c r="Y536" s="662"/>
      <c r="Z536" s="662"/>
      <c r="AA536" s="662"/>
      <c r="AB536" s="662"/>
      <c r="AC536" s="662"/>
      <c r="AD536" s="662"/>
      <c r="AE536" s="662"/>
      <c r="AF536" s="662"/>
      <c r="AG536" s="662"/>
      <c r="AH536" s="662"/>
      <c r="AI536" s="662"/>
    </row>
    <row r="537" spans="25:35" s="80" customFormat="1">
      <c r="Y537" s="662"/>
      <c r="Z537" s="662"/>
      <c r="AA537" s="662"/>
      <c r="AB537" s="662"/>
      <c r="AC537" s="662"/>
      <c r="AD537" s="662"/>
      <c r="AE537" s="662"/>
      <c r="AF537" s="662"/>
      <c r="AG537" s="662"/>
      <c r="AH537" s="662"/>
      <c r="AI537" s="662"/>
    </row>
    <row r="538" spans="25:35" s="80" customFormat="1">
      <c r="Y538" s="662"/>
      <c r="Z538" s="662"/>
      <c r="AA538" s="662"/>
      <c r="AB538" s="662"/>
      <c r="AC538" s="662"/>
      <c r="AD538" s="662"/>
      <c r="AE538" s="662"/>
      <c r="AF538" s="662"/>
      <c r="AG538" s="662"/>
      <c r="AH538" s="662"/>
      <c r="AI538" s="662"/>
    </row>
    <row r="539" spans="25:35" s="80" customFormat="1">
      <c r="Y539" s="662"/>
      <c r="Z539" s="662"/>
      <c r="AA539" s="662"/>
      <c r="AB539" s="662"/>
      <c r="AC539" s="662"/>
      <c r="AD539" s="662"/>
      <c r="AE539" s="662"/>
      <c r="AF539" s="662"/>
      <c r="AG539" s="662"/>
      <c r="AH539" s="662"/>
      <c r="AI539" s="662"/>
    </row>
    <row r="540" spans="25:35" s="80" customFormat="1">
      <c r="Y540" s="662"/>
      <c r="Z540" s="662"/>
      <c r="AA540" s="662"/>
      <c r="AB540" s="662"/>
      <c r="AC540" s="662"/>
      <c r="AD540" s="662"/>
      <c r="AE540" s="662"/>
      <c r="AF540" s="662"/>
      <c r="AG540" s="662"/>
      <c r="AH540" s="662"/>
      <c r="AI540" s="662"/>
    </row>
    <row r="541" spans="25:35" s="80" customFormat="1">
      <c r="Y541" s="662"/>
      <c r="Z541" s="662"/>
      <c r="AA541" s="662"/>
      <c r="AB541" s="662"/>
      <c r="AC541" s="662"/>
      <c r="AD541" s="662"/>
      <c r="AE541" s="662"/>
      <c r="AF541" s="662"/>
      <c r="AG541" s="662"/>
      <c r="AH541" s="662"/>
      <c r="AI541" s="662"/>
    </row>
    <row r="542" spans="25:35" s="80" customFormat="1">
      <c r="Y542" s="662"/>
      <c r="Z542" s="662"/>
      <c r="AA542" s="662"/>
      <c r="AB542" s="662"/>
      <c r="AC542" s="662"/>
      <c r="AD542" s="662"/>
      <c r="AE542" s="662"/>
      <c r="AF542" s="662"/>
      <c r="AG542" s="662"/>
      <c r="AH542" s="662"/>
      <c r="AI542" s="662"/>
    </row>
    <row r="543" spans="25:35" s="80" customFormat="1">
      <c r="Y543" s="662"/>
      <c r="Z543" s="662"/>
      <c r="AA543" s="662"/>
      <c r="AB543" s="662"/>
      <c r="AC543" s="662"/>
      <c r="AD543" s="662"/>
      <c r="AE543" s="662"/>
      <c r="AF543" s="662"/>
      <c r="AG543" s="662"/>
      <c r="AH543" s="662"/>
      <c r="AI543" s="662"/>
    </row>
    <row r="544" spans="25:35" s="80" customFormat="1">
      <c r="Y544" s="662"/>
      <c r="Z544" s="662"/>
      <c r="AA544" s="662"/>
      <c r="AB544" s="662"/>
      <c r="AC544" s="662"/>
      <c r="AD544" s="662"/>
      <c r="AE544" s="662"/>
      <c r="AF544" s="662"/>
      <c r="AG544" s="662"/>
      <c r="AH544" s="662"/>
      <c r="AI544" s="662"/>
    </row>
    <row r="545" spans="25:35" s="80" customFormat="1">
      <c r="Y545" s="662"/>
      <c r="Z545" s="662"/>
      <c r="AA545" s="662"/>
      <c r="AB545" s="662"/>
      <c r="AC545" s="662"/>
      <c r="AD545" s="662"/>
      <c r="AE545" s="662"/>
      <c r="AF545" s="662"/>
      <c r="AG545" s="662"/>
      <c r="AH545" s="662"/>
      <c r="AI545" s="662"/>
    </row>
    <row r="546" spans="25:35" s="80" customFormat="1">
      <c r="Y546" s="662"/>
      <c r="Z546" s="662"/>
      <c r="AA546" s="662"/>
      <c r="AB546" s="662"/>
      <c r="AC546" s="662"/>
      <c r="AD546" s="662"/>
      <c r="AE546" s="662"/>
      <c r="AF546" s="662"/>
      <c r="AG546" s="662"/>
      <c r="AH546" s="662"/>
      <c r="AI546" s="662"/>
    </row>
    <row r="547" spans="25:35" s="80" customFormat="1">
      <c r="Y547" s="662"/>
      <c r="Z547" s="662"/>
      <c r="AA547" s="662"/>
      <c r="AB547" s="662"/>
      <c r="AC547" s="662"/>
      <c r="AD547" s="662"/>
      <c r="AE547" s="662"/>
      <c r="AF547" s="662"/>
      <c r="AG547" s="662"/>
      <c r="AH547" s="662"/>
      <c r="AI547" s="662"/>
    </row>
    <row r="548" spans="25:35" s="80" customFormat="1">
      <c r="Y548" s="662"/>
      <c r="Z548" s="662"/>
      <c r="AA548" s="662"/>
      <c r="AB548" s="662"/>
      <c r="AC548" s="662"/>
      <c r="AD548" s="662"/>
      <c r="AE548" s="662"/>
      <c r="AF548" s="662"/>
      <c r="AG548" s="662"/>
      <c r="AH548" s="662"/>
      <c r="AI548" s="662"/>
    </row>
    <row r="549" spans="25:35" s="80" customFormat="1">
      <c r="Y549" s="662"/>
      <c r="Z549" s="662"/>
      <c r="AA549" s="662"/>
      <c r="AB549" s="662"/>
      <c r="AC549" s="662"/>
      <c r="AD549" s="662"/>
      <c r="AE549" s="662"/>
      <c r="AF549" s="662"/>
      <c r="AG549" s="662"/>
      <c r="AH549" s="662"/>
      <c r="AI549" s="662"/>
    </row>
    <row r="550" spans="25:35" s="80" customFormat="1">
      <c r="Y550" s="662"/>
      <c r="Z550" s="662"/>
      <c r="AA550" s="662"/>
      <c r="AB550" s="662"/>
      <c r="AC550" s="662"/>
      <c r="AD550" s="662"/>
      <c r="AE550" s="662"/>
      <c r="AF550" s="662"/>
      <c r="AG550" s="662"/>
      <c r="AH550" s="662"/>
      <c r="AI550" s="662"/>
    </row>
    <row r="551" spans="25:35" s="80" customFormat="1">
      <c r="Y551" s="662"/>
      <c r="Z551" s="662"/>
      <c r="AA551" s="662"/>
      <c r="AB551" s="662"/>
      <c r="AC551" s="662"/>
      <c r="AD551" s="662"/>
      <c r="AE551" s="662"/>
      <c r="AF551" s="662"/>
      <c r="AG551" s="662"/>
      <c r="AH551" s="662"/>
      <c r="AI551" s="662"/>
    </row>
    <row r="552" spans="25:35" s="80" customFormat="1">
      <c r="Y552" s="662"/>
      <c r="Z552" s="662"/>
      <c r="AA552" s="662"/>
      <c r="AB552" s="662"/>
      <c r="AC552" s="662"/>
      <c r="AD552" s="662"/>
      <c r="AE552" s="662"/>
      <c r="AF552" s="662"/>
      <c r="AG552" s="662"/>
      <c r="AH552" s="662"/>
      <c r="AI552" s="662"/>
    </row>
    <row r="553" spans="25:35" s="80" customFormat="1">
      <c r="Y553" s="662"/>
      <c r="Z553" s="662"/>
      <c r="AA553" s="662"/>
      <c r="AB553" s="662"/>
      <c r="AC553" s="662"/>
      <c r="AD553" s="662"/>
      <c r="AE553" s="662"/>
      <c r="AF553" s="662"/>
      <c r="AG553" s="662"/>
      <c r="AH553" s="662"/>
      <c r="AI553" s="662"/>
    </row>
    <row r="554" spans="25:35" s="80" customFormat="1">
      <c r="Y554" s="662"/>
      <c r="Z554" s="662"/>
      <c r="AA554" s="662"/>
      <c r="AB554" s="662"/>
      <c r="AC554" s="662"/>
      <c r="AD554" s="662"/>
      <c r="AE554" s="662"/>
      <c r="AF554" s="662"/>
      <c r="AG554" s="662"/>
      <c r="AH554" s="662"/>
      <c r="AI554" s="662"/>
    </row>
    <row r="555" spans="25:35" s="80" customFormat="1">
      <c r="Y555" s="662"/>
      <c r="Z555" s="662"/>
      <c r="AA555" s="662"/>
      <c r="AB555" s="662"/>
      <c r="AC555" s="662"/>
      <c r="AD555" s="662"/>
      <c r="AE555" s="662"/>
      <c r="AF555" s="662"/>
      <c r="AG555" s="662"/>
      <c r="AH555" s="662"/>
      <c r="AI555" s="662"/>
    </row>
    <row r="556" spans="25:35" s="80" customFormat="1">
      <c r="Y556" s="662"/>
      <c r="Z556" s="662"/>
      <c r="AA556" s="662"/>
      <c r="AB556" s="662"/>
      <c r="AC556" s="662"/>
      <c r="AD556" s="662"/>
      <c r="AE556" s="662"/>
      <c r="AF556" s="662"/>
      <c r="AG556" s="662"/>
      <c r="AH556" s="662"/>
      <c r="AI556" s="662"/>
    </row>
    <row r="557" spans="25:35" s="80" customFormat="1">
      <c r="Y557" s="662"/>
      <c r="Z557" s="662"/>
      <c r="AA557" s="662"/>
      <c r="AB557" s="662"/>
      <c r="AC557" s="662"/>
      <c r="AD557" s="662"/>
      <c r="AE557" s="662"/>
      <c r="AF557" s="662"/>
      <c r="AG557" s="662"/>
      <c r="AH557" s="662"/>
      <c r="AI557" s="662"/>
    </row>
    <row r="558" spans="25:35" s="80" customFormat="1">
      <c r="Y558" s="662"/>
      <c r="Z558" s="662"/>
      <c r="AA558" s="662"/>
      <c r="AB558" s="662"/>
      <c r="AC558" s="662"/>
      <c r="AD558" s="662"/>
      <c r="AE558" s="662"/>
      <c r="AF558" s="662"/>
      <c r="AG558" s="662"/>
      <c r="AH558" s="662"/>
      <c r="AI558" s="662"/>
    </row>
    <row r="559" spans="25:35" s="80" customFormat="1">
      <c r="Y559" s="662"/>
      <c r="Z559" s="662"/>
      <c r="AA559" s="662"/>
      <c r="AB559" s="662"/>
      <c r="AC559" s="662"/>
      <c r="AD559" s="662"/>
      <c r="AE559" s="662"/>
      <c r="AF559" s="662"/>
      <c r="AG559" s="662"/>
      <c r="AH559" s="662"/>
      <c r="AI559" s="662"/>
    </row>
    <row r="560" spans="25:35" s="80" customFormat="1">
      <c r="Y560" s="662"/>
      <c r="Z560" s="662"/>
      <c r="AA560" s="662"/>
      <c r="AB560" s="662"/>
      <c r="AC560" s="662"/>
      <c r="AD560" s="662"/>
      <c r="AE560" s="662"/>
      <c r="AF560" s="662"/>
      <c r="AG560" s="662"/>
      <c r="AH560" s="662"/>
      <c r="AI560" s="662"/>
    </row>
    <row r="561" spans="25:35" s="80" customFormat="1">
      <c r="Y561" s="662"/>
      <c r="Z561" s="662"/>
      <c r="AA561" s="662"/>
      <c r="AB561" s="662"/>
      <c r="AC561" s="662"/>
      <c r="AD561" s="662"/>
      <c r="AE561" s="662"/>
      <c r="AF561" s="662"/>
      <c r="AG561" s="662"/>
      <c r="AH561" s="662"/>
      <c r="AI561" s="662"/>
    </row>
    <row r="562" spans="25:35" s="80" customFormat="1">
      <c r="Y562" s="662"/>
      <c r="Z562" s="662"/>
      <c r="AA562" s="662"/>
      <c r="AB562" s="662"/>
      <c r="AC562" s="662"/>
      <c r="AD562" s="662"/>
      <c r="AE562" s="662"/>
      <c r="AF562" s="662"/>
      <c r="AG562" s="662"/>
      <c r="AH562" s="662"/>
      <c r="AI562" s="662"/>
    </row>
    <row r="563" spans="25:35" s="80" customFormat="1">
      <c r="Y563" s="662"/>
      <c r="Z563" s="662"/>
      <c r="AA563" s="662"/>
      <c r="AB563" s="662"/>
      <c r="AC563" s="662"/>
      <c r="AD563" s="662"/>
      <c r="AE563" s="662"/>
      <c r="AF563" s="662"/>
      <c r="AG563" s="662"/>
      <c r="AH563" s="662"/>
      <c r="AI563" s="662"/>
    </row>
    <row r="564" spans="25:35" s="80" customFormat="1">
      <c r="Y564" s="662"/>
      <c r="Z564" s="662"/>
      <c r="AA564" s="662"/>
      <c r="AB564" s="662"/>
      <c r="AC564" s="662"/>
      <c r="AD564" s="662"/>
      <c r="AE564" s="662"/>
      <c r="AF564" s="662"/>
      <c r="AG564" s="662"/>
      <c r="AH564" s="662"/>
      <c r="AI564" s="662"/>
    </row>
    <row r="565" spans="25:35" s="80" customFormat="1">
      <c r="Y565" s="662"/>
      <c r="Z565" s="662"/>
      <c r="AA565" s="662"/>
      <c r="AB565" s="662"/>
      <c r="AC565" s="662"/>
      <c r="AD565" s="662"/>
      <c r="AE565" s="662"/>
      <c r="AF565" s="662"/>
      <c r="AG565" s="662"/>
      <c r="AH565" s="662"/>
      <c r="AI565" s="662"/>
    </row>
    <row r="566" spans="25:35" s="80" customFormat="1">
      <c r="Y566" s="662"/>
      <c r="Z566" s="662"/>
      <c r="AA566" s="662"/>
      <c r="AB566" s="662"/>
      <c r="AC566" s="662"/>
      <c r="AD566" s="662"/>
      <c r="AE566" s="662"/>
      <c r="AF566" s="662"/>
      <c r="AG566" s="662"/>
      <c r="AH566" s="662"/>
      <c r="AI566" s="662"/>
    </row>
    <row r="567" spans="25:35" s="80" customFormat="1">
      <c r="Y567" s="662"/>
      <c r="Z567" s="662"/>
      <c r="AA567" s="662"/>
      <c r="AB567" s="662"/>
      <c r="AC567" s="662"/>
      <c r="AD567" s="662"/>
      <c r="AE567" s="662"/>
      <c r="AF567" s="662"/>
      <c r="AG567" s="662"/>
      <c r="AH567" s="662"/>
      <c r="AI567" s="662"/>
    </row>
    <row r="568" spans="25:35" s="80" customFormat="1">
      <c r="Y568" s="662"/>
      <c r="Z568" s="662"/>
      <c r="AA568" s="662"/>
      <c r="AB568" s="662"/>
      <c r="AC568" s="662"/>
      <c r="AD568" s="662"/>
      <c r="AE568" s="662"/>
      <c r="AF568" s="662"/>
      <c r="AG568" s="662"/>
      <c r="AH568" s="662"/>
      <c r="AI568" s="662"/>
    </row>
    <row r="569" spans="25:35" s="80" customFormat="1">
      <c r="Y569" s="662"/>
      <c r="Z569" s="662"/>
      <c r="AA569" s="662"/>
      <c r="AB569" s="662"/>
      <c r="AC569" s="662"/>
      <c r="AD569" s="662"/>
      <c r="AE569" s="662"/>
      <c r="AF569" s="662"/>
      <c r="AG569" s="662"/>
      <c r="AH569" s="662"/>
      <c r="AI569" s="662"/>
    </row>
    <row r="570" spans="25:35" s="80" customFormat="1">
      <c r="Y570" s="662"/>
      <c r="Z570" s="662"/>
      <c r="AA570" s="662"/>
      <c r="AB570" s="662"/>
      <c r="AC570" s="662"/>
      <c r="AD570" s="662"/>
      <c r="AE570" s="662"/>
      <c r="AF570" s="662"/>
      <c r="AG570" s="662"/>
      <c r="AH570" s="662"/>
      <c r="AI570" s="662"/>
    </row>
    <row r="571" spans="25:35" s="80" customFormat="1">
      <c r="Y571" s="662"/>
      <c r="Z571" s="662"/>
      <c r="AA571" s="662"/>
      <c r="AB571" s="662"/>
      <c r="AC571" s="662"/>
      <c r="AD571" s="662"/>
      <c r="AE571" s="662"/>
      <c r="AF571" s="662"/>
      <c r="AG571" s="662"/>
      <c r="AH571" s="662"/>
      <c r="AI571" s="662"/>
    </row>
    <row r="572" spans="25:35" s="80" customFormat="1">
      <c r="Y572" s="662"/>
      <c r="Z572" s="662"/>
      <c r="AA572" s="662"/>
      <c r="AB572" s="662"/>
      <c r="AC572" s="662"/>
      <c r="AD572" s="662"/>
      <c r="AE572" s="662"/>
      <c r="AF572" s="662"/>
      <c r="AG572" s="662"/>
      <c r="AH572" s="662"/>
      <c r="AI572" s="662"/>
    </row>
    <row r="573" spans="25:35" s="80" customFormat="1">
      <c r="Y573" s="662"/>
      <c r="Z573" s="662"/>
      <c r="AA573" s="662"/>
      <c r="AB573" s="662"/>
      <c r="AC573" s="662"/>
      <c r="AD573" s="662"/>
      <c r="AE573" s="662"/>
      <c r="AF573" s="662"/>
      <c r="AG573" s="662"/>
      <c r="AH573" s="662"/>
      <c r="AI573" s="662"/>
    </row>
    <row r="574" spans="25:35" s="80" customFormat="1">
      <c r="Y574" s="662"/>
      <c r="Z574" s="662"/>
      <c r="AA574" s="662"/>
      <c r="AB574" s="662"/>
      <c r="AC574" s="662"/>
      <c r="AD574" s="662"/>
      <c r="AE574" s="662"/>
      <c r="AF574" s="662"/>
      <c r="AG574" s="662"/>
      <c r="AH574" s="662"/>
      <c r="AI574" s="662"/>
    </row>
    <row r="575" spans="25:35" s="80" customFormat="1">
      <c r="Y575" s="662"/>
      <c r="Z575" s="662"/>
      <c r="AA575" s="662"/>
      <c r="AB575" s="662"/>
      <c r="AC575" s="662"/>
      <c r="AD575" s="662"/>
      <c r="AE575" s="662"/>
      <c r="AF575" s="662"/>
      <c r="AG575" s="662"/>
      <c r="AH575" s="662"/>
      <c r="AI575" s="662"/>
    </row>
    <row r="576" spans="25:35" s="80" customFormat="1">
      <c r="Y576" s="662"/>
      <c r="Z576" s="662"/>
      <c r="AA576" s="662"/>
      <c r="AB576" s="662"/>
      <c r="AC576" s="662"/>
      <c r="AD576" s="662"/>
      <c r="AE576" s="662"/>
      <c r="AF576" s="662"/>
      <c r="AG576" s="662"/>
      <c r="AH576" s="662"/>
      <c r="AI576" s="662"/>
    </row>
    <row r="577" spans="25:35" s="80" customFormat="1">
      <c r="Y577" s="662"/>
      <c r="Z577" s="662"/>
      <c r="AA577" s="662"/>
      <c r="AB577" s="662"/>
      <c r="AC577" s="662"/>
      <c r="AD577" s="662"/>
      <c r="AE577" s="662"/>
      <c r="AF577" s="662"/>
      <c r="AG577" s="662"/>
      <c r="AH577" s="662"/>
      <c r="AI577" s="662"/>
    </row>
    <row r="578" spans="25:35" s="80" customFormat="1">
      <c r="Y578" s="662"/>
      <c r="Z578" s="662"/>
      <c r="AA578" s="662"/>
      <c r="AB578" s="662"/>
      <c r="AC578" s="662"/>
      <c r="AD578" s="662"/>
      <c r="AE578" s="662"/>
      <c r="AF578" s="662"/>
      <c r="AG578" s="662"/>
      <c r="AH578" s="662"/>
      <c r="AI578" s="662"/>
    </row>
    <row r="579" spans="25:35" s="80" customFormat="1">
      <c r="Y579" s="662"/>
      <c r="Z579" s="662"/>
      <c r="AA579" s="662"/>
      <c r="AB579" s="662"/>
      <c r="AC579" s="662"/>
      <c r="AD579" s="662"/>
      <c r="AE579" s="662"/>
      <c r="AF579" s="662"/>
      <c r="AG579" s="662"/>
      <c r="AH579" s="662"/>
      <c r="AI579" s="662"/>
    </row>
    <row r="580" spans="25:35" s="80" customFormat="1">
      <c r="Y580" s="662"/>
      <c r="Z580" s="662"/>
      <c r="AA580" s="662"/>
      <c r="AB580" s="662"/>
      <c r="AC580" s="662"/>
      <c r="AD580" s="662"/>
      <c r="AE580" s="662"/>
      <c r="AF580" s="662"/>
      <c r="AG580" s="662"/>
      <c r="AH580" s="662"/>
      <c r="AI580" s="662"/>
    </row>
    <row r="581" spans="25:35" s="80" customFormat="1">
      <c r="Y581" s="662"/>
      <c r="Z581" s="662"/>
      <c r="AA581" s="662"/>
      <c r="AB581" s="662"/>
      <c r="AC581" s="662"/>
      <c r="AD581" s="662"/>
      <c r="AE581" s="662"/>
      <c r="AF581" s="662"/>
      <c r="AG581" s="662"/>
      <c r="AH581" s="662"/>
      <c r="AI581" s="662"/>
    </row>
    <row r="582" spans="25:35" s="80" customFormat="1">
      <c r="Y582" s="662"/>
      <c r="Z582" s="662"/>
      <c r="AA582" s="662"/>
      <c r="AB582" s="662"/>
      <c r="AC582" s="662"/>
      <c r="AD582" s="662"/>
      <c r="AE582" s="662"/>
      <c r="AF582" s="662"/>
      <c r="AG582" s="662"/>
      <c r="AH582" s="662"/>
      <c r="AI582" s="662"/>
    </row>
    <row r="583" spans="25:35" s="80" customFormat="1">
      <c r="Y583" s="662"/>
      <c r="Z583" s="662"/>
      <c r="AA583" s="662"/>
      <c r="AB583" s="662"/>
      <c r="AC583" s="662"/>
      <c r="AD583" s="662"/>
      <c r="AE583" s="662"/>
      <c r="AF583" s="662"/>
      <c r="AG583" s="662"/>
      <c r="AH583" s="662"/>
      <c r="AI583" s="662"/>
    </row>
    <row r="584" spans="25:35" s="80" customFormat="1">
      <c r="Y584" s="662"/>
      <c r="Z584" s="662"/>
      <c r="AA584" s="662"/>
      <c r="AB584" s="662"/>
      <c r="AC584" s="662"/>
      <c r="AD584" s="662"/>
      <c r="AE584" s="662"/>
      <c r="AF584" s="662"/>
      <c r="AG584" s="662"/>
      <c r="AH584" s="662"/>
      <c r="AI584" s="662"/>
    </row>
    <row r="585" spans="25:35" s="80" customFormat="1">
      <c r="Y585" s="662"/>
      <c r="Z585" s="662"/>
      <c r="AA585" s="662"/>
      <c r="AB585" s="662"/>
      <c r="AC585" s="662"/>
      <c r="AD585" s="662"/>
      <c r="AE585" s="662"/>
      <c r="AF585" s="662"/>
      <c r="AG585" s="662"/>
      <c r="AH585" s="662"/>
      <c r="AI585" s="662"/>
    </row>
    <row r="586" spans="25:35" s="80" customFormat="1">
      <c r="Y586" s="662"/>
      <c r="Z586" s="662"/>
      <c r="AA586" s="662"/>
      <c r="AB586" s="662"/>
      <c r="AC586" s="662"/>
      <c r="AD586" s="662"/>
      <c r="AE586" s="662"/>
      <c r="AF586" s="662"/>
      <c r="AG586" s="662"/>
      <c r="AH586" s="662"/>
      <c r="AI586" s="662"/>
    </row>
    <row r="587" spans="25:35" s="80" customFormat="1">
      <c r="Y587" s="662"/>
      <c r="Z587" s="662"/>
      <c r="AA587" s="662"/>
      <c r="AB587" s="662"/>
      <c r="AC587" s="662"/>
      <c r="AD587" s="662"/>
      <c r="AE587" s="662"/>
      <c r="AF587" s="662"/>
      <c r="AG587" s="662"/>
      <c r="AH587" s="662"/>
      <c r="AI587" s="662"/>
    </row>
    <row r="588" spans="25:35" s="80" customFormat="1">
      <c r="Y588" s="662"/>
      <c r="Z588" s="662"/>
      <c r="AA588" s="662"/>
      <c r="AB588" s="662"/>
      <c r="AC588" s="662"/>
      <c r="AD588" s="662"/>
      <c r="AE588" s="662"/>
      <c r="AF588" s="662"/>
      <c r="AG588" s="662"/>
      <c r="AH588" s="662"/>
      <c r="AI588" s="662"/>
    </row>
    <row r="589" spans="25:35" s="80" customFormat="1">
      <c r="Y589" s="662"/>
      <c r="Z589" s="662"/>
      <c r="AA589" s="662"/>
      <c r="AB589" s="662"/>
      <c r="AC589" s="662"/>
      <c r="AD589" s="662"/>
      <c r="AE589" s="662"/>
      <c r="AF589" s="662"/>
      <c r="AG589" s="662"/>
      <c r="AH589" s="662"/>
      <c r="AI589" s="662"/>
    </row>
    <row r="590" spans="25:35" s="80" customFormat="1">
      <c r="Y590" s="662"/>
      <c r="Z590" s="662"/>
      <c r="AA590" s="662"/>
      <c r="AB590" s="662"/>
      <c r="AC590" s="662"/>
      <c r="AD590" s="662"/>
      <c r="AE590" s="662"/>
      <c r="AF590" s="662"/>
      <c r="AG590" s="662"/>
      <c r="AH590" s="662"/>
      <c r="AI590" s="662"/>
    </row>
    <row r="591" spans="25:35" s="80" customFormat="1">
      <c r="Y591" s="662"/>
      <c r="Z591" s="662"/>
      <c r="AA591" s="662"/>
      <c r="AB591" s="662"/>
      <c r="AC591" s="662"/>
      <c r="AD591" s="662"/>
      <c r="AE591" s="662"/>
      <c r="AF591" s="662"/>
      <c r="AG591" s="662"/>
      <c r="AH591" s="662"/>
      <c r="AI591" s="662"/>
    </row>
    <row r="592" spans="25:35" s="80" customFormat="1">
      <c r="Y592" s="662"/>
      <c r="Z592" s="662"/>
      <c r="AA592" s="662"/>
      <c r="AB592" s="662"/>
      <c r="AC592" s="662"/>
      <c r="AD592" s="662"/>
      <c r="AE592" s="662"/>
      <c r="AF592" s="662"/>
      <c r="AG592" s="662"/>
      <c r="AH592" s="662"/>
      <c r="AI592" s="662"/>
    </row>
    <row r="593" spans="25:35" s="80" customFormat="1">
      <c r="Y593" s="662"/>
      <c r="Z593" s="662"/>
      <c r="AA593" s="662"/>
      <c r="AB593" s="662"/>
      <c r="AC593" s="662"/>
      <c r="AD593" s="662"/>
      <c r="AE593" s="662"/>
      <c r="AF593" s="662"/>
      <c r="AG593" s="662"/>
      <c r="AH593" s="662"/>
      <c r="AI593" s="662"/>
    </row>
    <row r="594" spans="25:35" s="80" customFormat="1">
      <c r="Y594" s="662"/>
      <c r="Z594" s="662"/>
      <c r="AA594" s="662"/>
      <c r="AB594" s="662"/>
      <c r="AC594" s="662"/>
      <c r="AD594" s="662"/>
      <c r="AE594" s="662"/>
      <c r="AF594" s="662"/>
      <c r="AG594" s="662"/>
      <c r="AH594" s="662"/>
      <c r="AI594" s="662"/>
    </row>
    <row r="595" spans="25:35" s="80" customFormat="1">
      <c r="Y595" s="662"/>
      <c r="Z595" s="662"/>
      <c r="AA595" s="662"/>
      <c r="AB595" s="662"/>
      <c r="AC595" s="662"/>
      <c r="AD595" s="662"/>
      <c r="AE595" s="662"/>
      <c r="AF595" s="662"/>
      <c r="AG595" s="662"/>
      <c r="AH595" s="662"/>
      <c r="AI595" s="662"/>
    </row>
    <row r="596" spans="25:35" s="80" customFormat="1">
      <c r="Y596" s="662"/>
      <c r="Z596" s="662"/>
      <c r="AA596" s="662"/>
      <c r="AB596" s="662"/>
      <c r="AC596" s="662"/>
      <c r="AD596" s="662"/>
      <c r="AE596" s="662"/>
      <c r="AF596" s="662"/>
      <c r="AG596" s="662"/>
      <c r="AH596" s="662"/>
      <c r="AI596" s="662"/>
    </row>
    <row r="597" spans="25:35" s="80" customFormat="1">
      <c r="Y597" s="662"/>
      <c r="Z597" s="662"/>
      <c r="AA597" s="662"/>
      <c r="AB597" s="662"/>
      <c r="AC597" s="662"/>
      <c r="AD597" s="662"/>
      <c r="AE597" s="662"/>
      <c r="AF597" s="662"/>
      <c r="AG597" s="662"/>
      <c r="AH597" s="662"/>
      <c r="AI597" s="662"/>
    </row>
    <row r="598" spans="25:35" s="80" customFormat="1">
      <c r="Y598" s="662"/>
      <c r="Z598" s="662"/>
      <c r="AA598" s="662"/>
      <c r="AB598" s="662"/>
      <c r="AC598" s="662"/>
      <c r="AD598" s="662"/>
      <c r="AE598" s="662"/>
      <c r="AF598" s="662"/>
      <c r="AG598" s="662"/>
      <c r="AH598" s="662"/>
      <c r="AI598" s="662"/>
    </row>
    <row r="599" spans="25:35" s="80" customFormat="1">
      <c r="Y599" s="662"/>
      <c r="Z599" s="662"/>
      <c r="AA599" s="662"/>
      <c r="AB599" s="662"/>
      <c r="AC599" s="662"/>
      <c r="AD599" s="662"/>
      <c r="AE599" s="662"/>
      <c r="AF599" s="662"/>
      <c r="AG599" s="662"/>
      <c r="AH599" s="662"/>
      <c r="AI599" s="662"/>
    </row>
    <row r="600" spans="25:35" s="80" customFormat="1">
      <c r="Y600" s="662"/>
      <c r="Z600" s="662"/>
      <c r="AA600" s="662"/>
      <c r="AB600" s="662"/>
      <c r="AC600" s="662"/>
      <c r="AD600" s="662"/>
      <c r="AE600" s="662"/>
      <c r="AF600" s="662"/>
      <c r="AG600" s="662"/>
      <c r="AH600" s="662"/>
      <c r="AI600" s="662"/>
    </row>
    <row r="601" spans="25:35" s="80" customFormat="1">
      <c r="Y601" s="662"/>
      <c r="Z601" s="662"/>
      <c r="AA601" s="662"/>
      <c r="AB601" s="662"/>
      <c r="AC601" s="662"/>
      <c r="AD601" s="662"/>
      <c r="AE601" s="662"/>
      <c r="AF601" s="662"/>
      <c r="AG601" s="662"/>
      <c r="AH601" s="662"/>
      <c r="AI601" s="662"/>
    </row>
    <row r="602" spans="25:35" s="80" customFormat="1">
      <c r="Y602" s="662"/>
      <c r="Z602" s="662"/>
      <c r="AA602" s="662"/>
      <c r="AB602" s="662"/>
      <c r="AC602" s="662"/>
      <c r="AD602" s="662"/>
      <c r="AE602" s="662"/>
      <c r="AF602" s="662"/>
      <c r="AG602" s="662"/>
      <c r="AH602" s="662"/>
      <c r="AI602" s="662"/>
    </row>
    <row r="603" spans="25:35" s="80" customFormat="1">
      <c r="Y603" s="662"/>
      <c r="Z603" s="662"/>
      <c r="AA603" s="662"/>
      <c r="AB603" s="662"/>
      <c r="AC603" s="662"/>
      <c r="AD603" s="662"/>
      <c r="AE603" s="662"/>
      <c r="AF603" s="662"/>
      <c r="AG603" s="662"/>
      <c r="AH603" s="662"/>
      <c r="AI603" s="662"/>
    </row>
    <row r="604" spans="25:35" s="80" customFormat="1">
      <c r="Y604" s="662"/>
      <c r="Z604" s="662"/>
      <c r="AA604" s="662"/>
      <c r="AB604" s="662"/>
      <c r="AC604" s="662"/>
      <c r="AD604" s="662"/>
      <c r="AE604" s="662"/>
      <c r="AF604" s="662"/>
      <c r="AG604" s="662"/>
      <c r="AH604" s="662"/>
      <c r="AI604" s="662"/>
    </row>
    <row r="605" spans="25:35" s="80" customFormat="1">
      <c r="Y605" s="662"/>
      <c r="Z605" s="662"/>
      <c r="AA605" s="662"/>
      <c r="AB605" s="662"/>
      <c r="AC605" s="662"/>
      <c r="AD605" s="662"/>
      <c r="AE605" s="662"/>
      <c r="AF605" s="662"/>
      <c r="AG605" s="662"/>
      <c r="AH605" s="662"/>
      <c r="AI605" s="662"/>
    </row>
    <row r="606" spans="25:35" s="80" customFormat="1">
      <c r="Y606" s="662"/>
      <c r="Z606" s="662"/>
      <c r="AA606" s="662"/>
      <c r="AB606" s="662"/>
      <c r="AC606" s="662"/>
      <c r="AD606" s="662"/>
      <c r="AE606" s="662"/>
      <c r="AF606" s="662"/>
      <c r="AG606" s="662"/>
      <c r="AH606" s="662"/>
      <c r="AI606" s="662"/>
    </row>
    <row r="607" spans="25:35" s="80" customFormat="1">
      <c r="Y607" s="662"/>
      <c r="Z607" s="662"/>
      <c r="AA607" s="662"/>
      <c r="AB607" s="662"/>
      <c r="AC607" s="662"/>
      <c r="AD607" s="662"/>
      <c r="AE607" s="662"/>
      <c r="AF607" s="662"/>
      <c r="AG607" s="662"/>
      <c r="AH607" s="662"/>
      <c r="AI607" s="662"/>
    </row>
    <row r="608" spans="25:35" s="80" customFormat="1">
      <c r="Y608" s="662"/>
      <c r="Z608" s="662"/>
      <c r="AA608" s="662"/>
      <c r="AB608" s="662"/>
      <c r="AC608" s="662"/>
      <c r="AD608" s="662"/>
      <c r="AE608" s="662"/>
      <c r="AF608" s="662"/>
      <c r="AG608" s="662"/>
      <c r="AH608" s="662"/>
      <c r="AI608" s="662"/>
    </row>
    <row r="609" spans="25:35" s="80" customFormat="1">
      <c r="Y609" s="662"/>
      <c r="Z609" s="662"/>
      <c r="AA609" s="662"/>
      <c r="AB609" s="662"/>
      <c r="AC609" s="662"/>
      <c r="AD609" s="662"/>
      <c r="AE609" s="662"/>
      <c r="AF609" s="662"/>
      <c r="AG609" s="662"/>
      <c r="AH609" s="662"/>
      <c r="AI609" s="662"/>
    </row>
    <row r="610" spans="25:35" s="80" customFormat="1">
      <c r="Y610" s="662"/>
      <c r="Z610" s="662"/>
      <c r="AA610" s="662"/>
      <c r="AB610" s="662"/>
      <c r="AC610" s="662"/>
      <c r="AD610" s="662"/>
      <c r="AE610" s="662"/>
      <c r="AF610" s="662"/>
      <c r="AG610" s="662"/>
      <c r="AH610" s="662"/>
      <c r="AI610" s="662"/>
    </row>
    <row r="611" spans="25:35" s="80" customFormat="1">
      <c r="Y611" s="662"/>
      <c r="Z611" s="662"/>
      <c r="AA611" s="662"/>
      <c r="AB611" s="662"/>
      <c r="AC611" s="662"/>
      <c r="AD611" s="662"/>
      <c r="AE611" s="662"/>
      <c r="AF611" s="662"/>
      <c r="AG611" s="662"/>
      <c r="AH611" s="662"/>
      <c r="AI611" s="662"/>
    </row>
    <row r="612" spans="25:35" s="80" customFormat="1">
      <c r="Y612" s="662"/>
      <c r="Z612" s="662"/>
      <c r="AA612" s="662"/>
      <c r="AB612" s="662"/>
      <c r="AC612" s="662"/>
      <c r="AD612" s="662"/>
      <c r="AE612" s="662"/>
      <c r="AF612" s="662"/>
      <c r="AG612" s="662"/>
      <c r="AH612" s="662"/>
      <c r="AI612" s="662"/>
    </row>
    <row r="613" spans="25:35" s="80" customFormat="1">
      <c r="Y613" s="662"/>
      <c r="Z613" s="662"/>
      <c r="AA613" s="662"/>
      <c r="AB613" s="662"/>
      <c r="AC613" s="662"/>
      <c r="AD613" s="662"/>
      <c r="AE613" s="662"/>
      <c r="AF613" s="662"/>
      <c r="AG613" s="662"/>
      <c r="AH613" s="662"/>
      <c r="AI613" s="662"/>
    </row>
    <row r="614" spans="25:35" s="80" customFormat="1">
      <c r="Y614" s="662"/>
      <c r="Z614" s="662"/>
      <c r="AA614" s="662"/>
      <c r="AB614" s="662"/>
      <c r="AC614" s="662"/>
      <c r="AD614" s="662"/>
      <c r="AE614" s="662"/>
      <c r="AF614" s="662"/>
      <c r="AG614" s="662"/>
      <c r="AH614" s="662"/>
      <c r="AI614" s="662"/>
    </row>
    <row r="615" spans="25:35" s="80" customFormat="1">
      <c r="Y615" s="662"/>
      <c r="Z615" s="662"/>
      <c r="AA615" s="662"/>
      <c r="AB615" s="662"/>
      <c r="AC615" s="662"/>
      <c r="AD615" s="662"/>
      <c r="AE615" s="662"/>
      <c r="AF615" s="662"/>
      <c r="AG615" s="662"/>
      <c r="AH615" s="662"/>
      <c r="AI615" s="662"/>
    </row>
    <row r="616" spans="25:35" s="80" customFormat="1">
      <c r="Y616" s="662"/>
      <c r="Z616" s="662"/>
      <c r="AA616" s="662"/>
      <c r="AB616" s="662"/>
      <c r="AC616" s="662"/>
      <c r="AD616" s="662"/>
      <c r="AE616" s="662"/>
      <c r="AF616" s="662"/>
      <c r="AG616" s="662"/>
      <c r="AH616" s="662"/>
      <c r="AI616" s="662"/>
    </row>
    <row r="617" spans="25:35" s="80" customFormat="1">
      <c r="Y617" s="662"/>
      <c r="Z617" s="662"/>
      <c r="AA617" s="662"/>
      <c r="AB617" s="662"/>
      <c r="AC617" s="662"/>
      <c r="AD617" s="662"/>
      <c r="AE617" s="662"/>
      <c r="AF617" s="662"/>
      <c r="AG617" s="662"/>
      <c r="AH617" s="662"/>
      <c r="AI617" s="662"/>
    </row>
    <row r="618" spans="25:35" s="80" customFormat="1">
      <c r="Y618" s="662"/>
      <c r="Z618" s="662"/>
      <c r="AA618" s="662"/>
      <c r="AB618" s="662"/>
      <c r="AC618" s="662"/>
      <c r="AD618" s="662"/>
      <c r="AE618" s="662"/>
      <c r="AF618" s="662"/>
      <c r="AG618" s="662"/>
      <c r="AH618" s="662"/>
      <c r="AI618" s="662"/>
    </row>
    <row r="619" spans="25:35" s="80" customFormat="1">
      <c r="Y619" s="662"/>
      <c r="Z619" s="662"/>
      <c r="AA619" s="662"/>
      <c r="AB619" s="662"/>
      <c r="AC619" s="662"/>
      <c r="AD619" s="662"/>
      <c r="AE619" s="662"/>
      <c r="AF619" s="662"/>
      <c r="AG619" s="662"/>
      <c r="AH619" s="662"/>
      <c r="AI619" s="662"/>
    </row>
    <row r="620" spans="25:35" s="80" customFormat="1">
      <c r="Y620" s="662"/>
      <c r="Z620" s="662"/>
      <c r="AA620" s="662"/>
      <c r="AB620" s="662"/>
      <c r="AC620" s="662"/>
      <c r="AD620" s="662"/>
      <c r="AE620" s="662"/>
      <c r="AF620" s="662"/>
      <c r="AG620" s="662"/>
      <c r="AH620" s="662"/>
      <c r="AI620" s="662"/>
    </row>
    <row r="621" spans="25:35" s="80" customFormat="1">
      <c r="Y621" s="662"/>
      <c r="Z621" s="662"/>
      <c r="AA621" s="662"/>
      <c r="AB621" s="662"/>
      <c r="AC621" s="662"/>
      <c r="AD621" s="662"/>
      <c r="AE621" s="662"/>
      <c r="AF621" s="662"/>
      <c r="AG621" s="662"/>
      <c r="AH621" s="662"/>
      <c r="AI621" s="662"/>
    </row>
    <row r="622" spans="25:35" s="80" customFormat="1">
      <c r="Y622" s="662"/>
      <c r="Z622" s="662"/>
      <c r="AA622" s="662"/>
      <c r="AB622" s="662"/>
      <c r="AC622" s="662"/>
      <c r="AD622" s="662"/>
      <c r="AE622" s="662"/>
      <c r="AF622" s="662"/>
      <c r="AG622" s="662"/>
      <c r="AH622" s="662"/>
      <c r="AI622" s="662"/>
    </row>
    <row r="623" spans="25:35" s="80" customFormat="1">
      <c r="Y623" s="662"/>
      <c r="Z623" s="662"/>
      <c r="AA623" s="662"/>
      <c r="AB623" s="662"/>
      <c r="AC623" s="662"/>
      <c r="AD623" s="662"/>
      <c r="AE623" s="662"/>
      <c r="AF623" s="662"/>
      <c r="AG623" s="662"/>
      <c r="AH623" s="662"/>
      <c r="AI623" s="662"/>
    </row>
    <row r="624" spans="25:35" s="80" customFormat="1">
      <c r="Y624" s="662"/>
      <c r="Z624" s="662"/>
      <c r="AA624" s="662"/>
      <c r="AB624" s="662"/>
      <c r="AC624" s="662"/>
      <c r="AD624" s="662"/>
      <c r="AE624" s="662"/>
      <c r="AF624" s="662"/>
      <c r="AG624" s="662"/>
      <c r="AH624" s="662"/>
      <c r="AI624" s="662"/>
    </row>
    <row r="625" spans="25:35" s="80" customFormat="1">
      <c r="Y625" s="662"/>
      <c r="Z625" s="662"/>
      <c r="AA625" s="662"/>
      <c r="AB625" s="662"/>
      <c r="AC625" s="662"/>
      <c r="AD625" s="662"/>
      <c r="AE625" s="662"/>
      <c r="AF625" s="662"/>
      <c r="AG625" s="662"/>
      <c r="AH625" s="662"/>
      <c r="AI625" s="662"/>
    </row>
    <row r="626" spans="25:35" s="80" customFormat="1">
      <c r="Y626" s="662"/>
      <c r="Z626" s="662"/>
      <c r="AA626" s="662"/>
      <c r="AB626" s="662"/>
      <c r="AC626" s="662"/>
      <c r="AD626" s="662"/>
      <c r="AE626" s="662"/>
      <c r="AF626" s="662"/>
      <c r="AG626" s="662"/>
      <c r="AH626" s="662"/>
      <c r="AI626" s="662"/>
    </row>
    <row r="627" spans="25:35" s="80" customFormat="1">
      <c r="Y627" s="662"/>
      <c r="Z627" s="662"/>
      <c r="AA627" s="662"/>
      <c r="AB627" s="662"/>
      <c r="AC627" s="662"/>
      <c r="AD627" s="662"/>
      <c r="AE627" s="662"/>
      <c r="AF627" s="662"/>
      <c r="AG627" s="662"/>
      <c r="AH627" s="662"/>
      <c r="AI627" s="662"/>
    </row>
    <row r="628" spans="25:35" s="80" customFormat="1">
      <c r="Y628" s="662"/>
      <c r="Z628" s="662"/>
      <c r="AA628" s="662"/>
      <c r="AB628" s="662"/>
      <c r="AC628" s="662"/>
      <c r="AD628" s="662"/>
      <c r="AE628" s="662"/>
      <c r="AF628" s="662"/>
      <c r="AG628" s="662"/>
      <c r="AH628" s="662"/>
      <c r="AI628" s="662"/>
    </row>
    <row r="629" spans="25:35" s="80" customFormat="1">
      <c r="Y629" s="662"/>
      <c r="Z629" s="662"/>
      <c r="AA629" s="662"/>
      <c r="AB629" s="662"/>
      <c r="AC629" s="662"/>
      <c r="AD629" s="662"/>
      <c r="AE629" s="662"/>
      <c r="AF629" s="662"/>
      <c r="AG629" s="662"/>
      <c r="AH629" s="662"/>
      <c r="AI629" s="662"/>
    </row>
    <row r="630" spans="25:35" s="80" customFormat="1">
      <c r="Y630" s="662"/>
      <c r="Z630" s="662"/>
      <c r="AA630" s="662"/>
      <c r="AB630" s="662"/>
      <c r="AC630" s="662"/>
      <c r="AD630" s="662"/>
      <c r="AE630" s="662"/>
      <c r="AF630" s="662"/>
      <c r="AG630" s="662"/>
      <c r="AH630" s="662"/>
      <c r="AI630" s="662"/>
    </row>
    <row r="631" spans="25:35" s="80" customFormat="1">
      <c r="Y631" s="662"/>
      <c r="Z631" s="662"/>
      <c r="AA631" s="662"/>
      <c r="AB631" s="662"/>
      <c r="AC631" s="662"/>
      <c r="AD631" s="662"/>
      <c r="AE631" s="662"/>
      <c r="AF631" s="662"/>
      <c r="AG631" s="662"/>
      <c r="AH631" s="662"/>
      <c r="AI631" s="662"/>
    </row>
    <row r="632" spans="25:35" s="80" customFormat="1">
      <c r="Y632" s="662"/>
      <c r="Z632" s="662"/>
      <c r="AA632" s="662"/>
      <c r="AB632" s="662"/>
      <c r="AC632" s="662"/>
      <c r="AD632" s="662"/>
      <c r="AE632" s="662"/>
      <c r="AF632" s="662"/>
      <c r="AG632" s="662"/>
      <c r="AH632" s="662"/>
      <c r="AI632" s="662"/>
    </row>
    <row r="633" spans="25:35" s="80" customFormat="1">
      <c r="Y633" s="662"/>
      <c r="Z633" s="662"/>
      <c r="AA633" s="662"/>
      <c r="AB633" s="662"/>
      <c r="AC633" s="662"/>
      <c r="AD633" s="662"/>
      <c r="AE633" s="662"/>
      <c r="AF633" s="662"/>
      <c r="AG633" s="662"/>
      <c r="AH633" s="662"/>
      <c r="AI633" s="662"/>
    </row>
    <row r="634" spans="25:35" s="80" customFormat="1">
      <c r="Y634" s="662"/>
      <c r="Z634" s="662"/>
      <c r="AA634" s="662"/>
      <c r="AB634" s="662"/>
      <c r="AC634" s="662"/>
      <c r="AD634" s="662"/>
      <c r="AE634" s="662"/>
      <c r="AF634" s="662"/>
      <c r="AG634" s="662"/>
      <c r="AH634" s="662"/>
      <c r="AI634" s="662"/>
    </row>
    <row r="635" spans="25:35" s="80" customFormat="1">
      <c r="Y635" s="662"/>
      <c r="Z635" s="662"/>
      <c r="AA635" s="662"/>
      <c r="AB635" s="662"/>
      <c r="AC635" s="662"/>
      <c r="AD635" s="662"/>
      <c r="AE635" s="662"/>
      <c r="AF635" s="662"/>
      <c r="AG635" s="662"/>
      <c r="AH635" s="662"/>
      <c r="AI635" s="662"/>
    </row>
    <row r="636" spans="25:35" s="80" customFormat="1">
      <c r="Y636" s="662"/>
      <c r="Z636" s="662"/>
      <c r="AA636" s="662"/>
      <c r="AB636" s="662"/>
      <c r="AC636" s="662"/>
      <c r="AD636" s="662"/>
      <c r="AE636" s="662"/>
      <c r="AF636" s="662"/>
      <c r="AG636" s="662"/>
      <c r="AH636" s="662"/>
      <c r="AI636" s="662"/>
    </row>
    <row r="637" spans="25:35" s="80" customFormat="1">
      <c r="Y637" s="662"/>
      <c r="Z637" s="662"/>
      <c r="AA637" s="662"/>
      <c r="AB637" s="662"/>
      <c r="AC637" s="662"/>
      <c r="AD637" s="662"/>
      <c r="AE637" s="662"/>
      <c r="AF637" s="662"/>
      <c r="AG637" s="662"/>
      <c r="AH637" s="662"/>
      <c r="AI637" s="662"/>
    </row>
    <row r="638" spans="25:35" s="80" customFormat="1">
      <c r="Y638" s="662"/>
      <c r="Z638" s="662"/>
      <c r="AA638" s="662"/>
      <c r="AB638" s="662"/>
      <c r="AC638" s="662"/>
      <c r="AD638" s="662"/>
      <c r="AE638" s="662"/>
      <c r="AF638" s="662"/>
      <c r="AG638" s="662"/>
      <c r="AH638" s="662"/>
      <c r="AI638" s="662"/>
    </row>
    <row r="639" spans="25:35" s="80" customFormat="1">
      <c r="Y639" s="662"/>
      <c r="Z639" s="662"/>
      <c r="AA639" s="662"/>
      <c r="AB639" s="662"/>
      <c r="AC639" s="662"/>
      <c r="AD639" s="662"/>
      <c r="AE639" s="662"/>
      <c r="AF639" s="662"/>
      <c r="AG639" s="662"/>
      <c r="AH639" s="662"/>
      <c r="AI639" s="662"/>
    </row>
    <row r="640" spans="25:35" s="80" customFormat="1">
      <c r="Y640" s="662"/>
      <c r="Z640" s="662"/>
      <c r="AA640" s="662"/>
      <c r="AB640" s="662"/>
      <c r="AC640" s="662"/>
      <c r="AD640" s="662"/>
      <c r="AE640" s="662"/>
      <c r="AF640" s="662"/>
      <c r="AG640" s="662"/>
      <c r="AH640" s="662"/>
      <c r="AI640" s="662"/>
    </row>
    <row r="641" spans="25:35" s="80" customFormat="1">
      <c r="Y641" s="662"/>
      <c r="Z641" s="662"/>
      <c r="AA641" s="662"/>
      <c r="AB641" s="662"/>
      <c r="AC641" s="662"/>
      <c r="AD641" s="662"/>
      <c r="AE641" s="662"/>
      <c r="AF641" s="662"/>
      <c r="AG641" s="662"/>
      <c r="AH641" s="662"/>
      <c r="AI641" s="662"/>
    </row>
    <row r="642" spans="25:35" s="80" customFormat="1">
      <c r="Y642" s="662"/>
      <c r="Z642" s="662"/>
      <c r="AA642" s="662"/>
      <c r="AB642" s="662"/>
      <c r="AC642" s="662"/>
      <c r="AD642" s="662"/>
      <c r="AE642" s="662"/>
      <c r="AF642" s="662"/>
      <c r="AG642" s="662"/>
      <c r="AH642" s="662"/>
      <c r="AI642" s="662"/>
    </row>
    <row r="643" spans="25:35" s="80" customFormat="1">
      <c r="Y643" s="662"/>
      <c r="Z643" s="662"/>
      <c r="AA643" s="662"/>
      <c r="AB643" s="662"/>
      <c r="AC643" s="662"/>
      <c r="AD643" s="662"/>
      <c r="AE643" s="662"/>
      <c r="AF643" s="662"/>
      <c r="AG643" s="662"/>
      <c r="AH643" s="662"/>
      <c r="AI643" s="662"/>
    </row>
    <row r="644" spans="25:35" s="80" customFormat="1">
      <c r="Y644" s="662"/>
      <c r="Z644" s="662"/>
      <c r="AA644" s="662"/>
      <c r="AB644" s="662"/>
      <c r="AC644" s="662"/>
      <c r="AD644" s="662"/>
      <c r="AE644" s="662"/>
      <c r="AF644" s="662"/>
      <c r="AG644" s="662"/>
      <c r="AH644" s="662"/>
      <c r="AI644" s="662"/>
    </row>
    <row r="645" spans="25:35" s="80" customFormat="1">
      <c r="Y645" s="662"/>
      <c r="Z645" s="662"/>
      <c r="AA645" s="662"/>
      <c r="AB645" s="662"/>
      <c r="AC645" s="662"/>
      <c r="AD645" s="662"/>
      <c r="AE645" s="662"/>
      <c r="AF645" s="662"/>
      <c r="AG645" s="662"/>
      <c r="AH645" s="662"/>
      <c r="AI645" s="662"/>
    </row>
    <row r="646" spans="25:35" s="80" customFormat="1">
      <c r="Y646" s="662"/>
      <c r="Z646" s="662"/>
      <c r="AA646" s="662"/>
      <c r="AB646" s="662"/>
      <c r="AC646" s="662"/>
      <c r="AD646" s="662"/>
      <c r="AE646" s="662"/>
      <c r="AF646" s="662"/>
      <c r="AG646" s="662"/>
      <c r="AH646" s="662"/>
      <c r="AI646" s="662"/>
    </row>
    <row r="647" spans="25:35" s="80" customFormat="1">
      <c r="Y647" s="662"/>
      <c r="Z647" s="662"/>
      <c r="AA647" s="662"/>
      <c r="AB647" s="662"/>
      <c r="AC647" s="662"/>
      <c r="AD647" s="662"/>
      <c r="AE647" s="662"/>
      <c r="AF647" s="662"/>
      <c r="AG647" s="662"/>
      <c r="AH647" s="662"/>
      <c r="AI647" s="662"/>
    </row>
    <row r="648" spans="25:35" s="80" customFormat="1">
      <c r="Y648" s="662"/>
      <c r="Z648" s="662"/>
      <c r="AA648" s="662"/>
      <c r="AB648" s="662"/>
      <c r="AC648" s="662"/>
      <c r="AD648" s="662"/>
      <c r="AE648" s="662"/>
      <c r="AF648" s="662"/>
      <c r="AG648" s="662"/>
      <c r="AH648" s="662"/>
      <c r="AI648" s="662"/>
    </row>
    <row r="649" spans="25:35" s="80" customFormat="1">
      <c r="Y649" s="662"/>
      <c r="Z649" s="662"/>
      <c r="AA649" s="662"/>
      <c r="AB649" s="662"/>
      <c r="AC649" s="662"/>
      <c r="AD649" s="662"/>
      <c r="AE649" s="662"/>
      <c r="AF649" s="662"/>
      <c r="AG649" s="662"/>
      <c r="AH649" s="662"/>
      <c r="AI649" s="662"/>
    </row>
    <row r="650" spans="25:35" s="80" customFormat="1">
      <c r="Y650" s="662"/>
      <c r="Z650" s="662"/>
      <c r="AA650" s="662"/>
      <c r="AB650" s="662"/>
      <c r="AC650" s="662"/>
      <c r="AD650" s="662"/>
      <c r="AE650" s="662"/>
      <c r="AF650" s="662"/>
      <c r="AG650" s="662"/>
      <c r="AH650" s="662"/>
      <c r="AI650" s="662"/>
    </row>
    <row r="651" spans="25:35" s="80" customFormat="1">
      <c r="Y651" s="662"/>
      <c r="Z651" s="662"/>
      <c r="AA651" s="662"/>
      <c r="AB651" s="662"/>
      <c r="AC651" s="662"/>
      <c r="AD651" s="662"/>
      <c r="AE651" s="662"/>
      <c r="AF651" s="662"/>
      <c r="AG651" s="662"/>
      <c r="AH651" s="662"/>
      <c r="AI651" s="662"/>
    </row>
    <row r="652" spans="25:35" s="80" customFormat="1">
      <c r="Y652" s="662"/>
      <c r="Z652" s="662"/>
      <c r="AA652" s="662"/>
      <c r="AB652" s="662"/>
      <c r="AC652" s="662"/>
      <c r="AD652" s="662"/>
      <c r="AE652" s="662"/>
      <c r="AF652" s="662"/>
      <c r="AG652" s="662"/>
      <c r="AH652" s="662"/>
      <c r="AI652" s="662"/>
    </row>
    <row r="653" spans="25:35" s="80" customFormat="1">
      <c r="Y653" s="662"/>
      <c r="Z653" s="662"/>
      <c r="AA653" s="662"/>
      <c r="AB653" s="662"/>
      <c r="AC653" s="662"/>
      <c r="AD653" s="662"/>
      <c r="AE653" s="662"/>
      <c r="AF653" s="662"/>
      <c r="AG653" s="662"/>
      <c r="AH653" s="662"/>
      <c r="AI653" s="662"/>
    </row>
    <row r="654" spans="25:35" s="80" customFormat="1">
      <c r="Y654" s="662"/>
      <c r="Z654" s="662"/>
      <c r="AA654" s="662"/>
      <c r="AB654" s="662"/>
      <c r="AC654" s="662"/>
      <c r="AD654" s="662"/>
      <c r="AE654" s="662"/>
      <c r="AF654" s="662"/>
      <c r="AG654" s="662"/>
      <c r="AH654" s="662"/>
      <c r="AI654" s="662"/>
    </row>
    <row r="655" spans="25:35" s="80" customFormat="1">
      <c r="Y655" s="662"/>
      <c r="Z655" s="662"/>
      <c r="AA655" s="662"/>
      <c r="AB655" s="662"/>
      <c r="AC655" s="662"/>
      <c r="AD655" s="662"/>
      <c r="AE655" s="662"/>
      <c r="AF655" s="662"/>
      <c r="AG655" s="662"/>
      <c r="AH655" s="662"/>
      <c r="AI655" s="662"/>
    </row>
    <row r="656" spans="25:35" s="80" customFormat="1">
      <c r="Y656" s="662"/>
      <c r="Z656" s="662"/>
      <c r="AA656" s="662"/>
      <c r="AB656" s="662"/>
      <c r="AC656" s="662"/>
      <c r="AD656" s="662"/>
      <c r="AE656" s="662"/>
      <c r="AF656" s="662"/>
      <c r="AG656" s="662"/>
      <c r="AH656" s="662"/>
      <c r="AI656" s="662"/>
    </row>
    <row r="657" spans="25:35" s="80" customFormat="1">
      <c r="Y657" s="662"/>
      <c r="Z657" s="662"/>
      <c r="AA657" s="662"/>
      <c r="AB657" s="662"/>
      <c r="AC657" s="662"/>
      <c r="AD657" s="662"/>
      <c r="AE657" s="662"/>
      <c r="AF657" s="662"/>
      <c r="AG657" s="662"/>
      <c r="AH657" s="662"/>
      <c r="AI657" s="662"/>
    </row>
    <row r="658" spans="25:35" s="80" customFormat="1">
      <c r="Y658" s="662"/>
      <c r="Z658" s="662"/>
      <c r="AA658" s="662"/>
      <c r="AB658" s="662"/>
      <c r="AC658" s="662"/>
      <c r="AD658" s="662"/>
      <c r="AE658" s="662"/>
      <c r="AF658" s="662"/>
      <c r="AG658" s="662"/>
      <c r="AH658" s="662"/>
      <c r="AI658" s="662"/>
    </row>
    <row r="659" spans="25:35" s="80" customFormat="1">
      <c r="Y659" s="662"/>
      <c r="Z659" s="662"/>
      <c r="AA659" s="662"/>
      <c r="AB659" s="662"/>
      <c r="AC659" s="662"/>
      <c r="AD659" s="662"/>
      <c r="AE659" s="662"/>
      <c r="AF659" s="662"/>
      <c r="AG659" s="662"/>
      <c r="AH659" s="662"/>
      <c r="AI659" s="662"/>
    </row>
    <row r="660" spans="25:35" s="80" customFormat="1">
      <c r="Y660" s="662"/>
      <c r="Z660" s="662"/>
      <c r="AA660" s="662"/>
      <c r="AB660" s="662"/>
      <c r="AC660" s="662"/>
      <c r="AD660" s="662"/>
      <c r="AE660" s="662"/>
      <c r="AF660" s="662"/>
      <c r="AG660" s="662"/>
      <c r="AH660" s="662"/>
      <c r="AI660" s="662"/>
    </row>
    <row r="661" spans="25:35" s="80" customFormat="1">
      <c r="Y661" s="662"/>
      <c r="Z661" s="662"/>
      <c r="AA661" s="662"/>
      <c r="AB661" s="662"/>
      <c r="AC661" s="662"/>
      <c r="AD661" s="662"/>
      <c r="AE661" s="662"/>
      <c r="AF661" s="662"/>
      <c r="AG661" s="662"/>
      <c r="AH661" s="662"/>
      <c r="AI661" s="662"/>
    </row>
    <row r="662" spans="25:35" s="80" customFormat="1">
      <c r="Y662" s="662"/>
      <c r="Z662" s="662"/>
      <c r="AA662" s="662"/>
      <c r="AB662" s="662"/>
      <c r="AC662" s="662"/>
      <c r="AD662" s="662"/>
      <c r="AE662" s="662"/>
      <c r="AF662" s="662"/>
      <c r="AG662" s="662"/>
      <c r="AH662" s="662"/>
      <c r="AI662" s="662"/>
    </row>
    <row r="663" spans="25:35" s="80" customFormat="1">
      <c r="Y663" s="662"/>
      <c r="Z663" s="662"/>
      <c r="AA663" s="662"/>
      <c r="AB663" s="662"/>
      <c r="AC663" s="662"/>
      <c r="AD663" s="662"/>
      <c r="AE663" s="662"/>
      <c r="AF663" s="662"/>
      <c r="AG663" s="662"/>
      <c r="AH663" s="662"/>
      <c r="AI663" s="662"/>
    </row>
    <row r="664" spans="25:35" s="80" customFormat="1">
      <c r="Y664" s="662"/>
      <c r="Z664" s="662"/>
      <c r="AA664" s="662"/>
      <c r="AB664" s="662"/>
      <c r="AC664" s="662"/>
      <c r="AD664" s="662"/>
      <c r="AE664" s="662"/>
      <c r="AF664" s="662"/>
      <c r="AG664" s="662"/>
      <c r="AH664" s="662"/>
      <c r="AI664" s="662"/>
    </row>
    <row r="665" spans="25:35" s="80" customFormat="1">
      <c r="Y665" s="662"/>
      <c r="Z665" s="662"/>
      <c r="AA665" s="662"/>
      <c r="AB665" s="662"/>
      <c r="AC665" s="662"/>
      <c r="AD665" s="662"/>
      <c r="AE665" s="662"/>
      <c r="AF665" s="662"/>
      <c r="AG665" s="662"/>
      <c r="AH665" s="662"/>
      <c r="AI665" s="662"/>
    </row>
    <row r="666" spans="25:35" s="80" customFormat="1">
      <c r="Y666" s="662"/>
      <c r="Z666" s="662"/>
      <c r="AA666" s="662"/>
      <c r="AB666" s="662"/>
      <c r="AC666" s="662"/>
      <c r="AD666" s="662"/>
      <c r="AE666" s="662"/>
      <c r="AF666" s="662"/>
      <c r="AG666" s="662"/>
      <c r="AH666" s="662"/>
      <c r="AI666" s="662"/>
    </row>
    <row r="667" spans="25:35" s="80" customFormat="1">
      <c r="Y667" s="662"/>
      <c r="Z667" s="662"/>
      <c r="AA667" s="662"/>
      <c r="AB667" s="662"/>
      <c r="AC667" s="662"/>
      <c r="AD667" s="662"/>
      <c r="AE667" s="662"/>
      <c r="AF667" s="662"/>
      <c r="AG667" s="662"/>
      <c r="AH667" s="662"/>
      <c r="AI667" s="662"/>
    </row>
    <row r="668" spans="25:35" s="80" customFormat="1">
      <c r="Y668" s="662"/>
      <c r="Z668" s="662"/>
      <c r="AA668" s="662"/>
      <c r="AB668" s="662"/>
      <c r="AC668" s="662"/>
      <c r="AD668" s="662"/>
      <c r="AE668" s="662"/>
      <c r="AF668" s="662"/>
      <c r="AG668" s="662"/>
      <c r="AH668" s="662"/>
      <c r="AI668" s="662"/>
    </row>
    <row r="669" spans="25:35" s="80" customFormat="1">
      <c r="Y669" s="662"/>
      <c r="Z669" s="662"/>
      <c r="AA669" s="662"/>
      <c r="AB669" s="662"/>
      <c r="AC669" s="662"/>
      <c r="AD669" s="662"/>
      <c r="AE669" s="662"/>
      <c r="AF669" s="662"/>
      <c r="AG669" s="662"/>
      <c r="AH669" s="662"/>
      <c r="AI669" s="662"/>
    </row>
    <row r="670" spans="25:35" s="80" customFormat="1">
      <c r="Y670" s="662"/>
      <c r="Z670" s="662"/>
      <c r="AA670" s="662"/>
      <c r="AB670" s="662"/>
      <c r="AC670" s="662"/>
      <c r="AD670" s="662"/>
      <c r="AE670" s="662"/>
      <c r="AF670" s="662"/>
      <c r="AG670" s="662"/>
      <c r="AH670" s="662"/>
      <c r="AI670" s="662"/>
    </row>
    <row r="671" spans="25:35" s="80" customFormat="1">
      <c r="Y671" s="662"/>
      <c r="Z671" s="662"/>
      <c r="AA671" s="662"/>
      <c r="AB671" s="662"/>
      <c r="AC671" s="662"/>
      <c r="AD671" s="662"/>
      <c r="AE671" s="662"/>
      <c r="AF671" s="662"/>
      <c r="AG671" s="662"/>
      <c r="AH671" s="662"/>
      <c r="AI671" s="662"/>
    </row>
    <row r="672" spans="25:35" s="80" customFormat="1">
      <c r="Y672" s="662"/>
      <c r="Z672" s="662"/>
      <c r="AA672" s="662"/>
      <c r="AB672" s="662"/>
      <c r="AC672" s="662"/>
      <c r="AD672" s="662"/>
      <c r="AE672" s="662"/>
      <c r="AF672" s="662"/>
      <c r="AG672" s="662"/>
      <c r="AH672" s="662"/>
      <c r="AI672" s="662"/>
    </row>
    <row r="673" spans="25:35" s="80" customFormat="1">
      <c r="Y673" s="662"/>
      <c r="Z673" s="662"/>
      <c r="AA673" s="662"/>
      <c r="AB673" s="662"/>
      <c r="AC673" s="662"/>
      <c r="AD673" s="662"/>
      <c r="AE673" s="662"/>
      <c r="AF673" s="662"/>
      <c r="AG673" s="662"/>
      <c r="AH673" s="662"/>
      <c r="AI673" s="662"/>
    </row>
    <row r="674" spans="25:35" s="80" customFormat="1">
      <c r="Y674" s="662"/>
      <c r="Z674" s="662"/>
      <c r="AA674" s="662"/>
      <c r="AB674" s="662"/>
      <c r="AC674" s="662"/>
      <c r="AD674" s="662"/>
      <c r="AE674" s="662"/>
      <c r="AF674" s="662"/>
      <c r="AG674" s="662"/>
      <c r="AH674" s="662"/>
      <c r="AI674" s="662"/>
    </row>
    <row r="675" spans="25:35" s="80" customFormat="1">
      <c r="Y675" s="662"/>
      <c r="Z675" s="662"/>
      <c r="AA675" s="662"/>
      <c r="AB675" s="662"/>
      <c r="AC675" s="662"/>
      <c r="AD675" s="662"/>
      <c r="AE675" s="662"/>
      <c r="AF675" s="662"/>
      <c r="AG675" s="662"/>
      <c r="AH675" s="662"/>
      <c r="AI675" s="662"/>
    </row>
    <row r="676" spans="25:35" s="80" customFormat="1">
      <c r="Y676" s="662"/>
      <c r="Z676" s="662"/>
      <c r="AA676" s="662"/>
      <c r="AB676" s="662"/>
      <c r="AC676" s="662"/>
      <c r="AD676" s="662"/>
      <c r="AE676" s="662"/>
      <c r="AF676" s="662"/>
      <c r="AG676" s="662"/>
      <c r="AH676" s="662"/>
      <c r="AI676" s="662"/>
    </row>
    <row r="677" spans="25:35" s="80" customFormat="1">
      <c r="Y677" s="662"/>
      <c r="Z677" s="662"/>
      <c r="AA677" s="662"/>
      <c r="AB677" s="662"/>
      <c r="AC677" s="662"/>
      <c r="AD677" s="662"/>
      <c r="AE677" s="662"/>
      <c r="AF677" s="662"/>
      <c r="AG677" s="662"/>
      <c r="AH677" s="662"/>
      <c r="AI677" s="662"/>
    </row>
    <row r="678" spans="25:35" s="80" customFormat="1">
      <c r="Y678" s="662"/>
      <c r="Z678" s="662"/>
      <c r="AA678" s="662"/>
      <c r="AB678" s="662"/>
      <c r="AC678" s="662"/>
      <c r="AD678" s="662"/>
      <c r="AE678" s="662"/>
      <c r="AF678" s="662"/>
      <c r="AG678" s="662"/>
      <c r="AH678" s="662"/>
      <c r="AI678" s="662"/>
    </row>
    <row r="679" spans="25:35" s="80" customFormat="1">
      <c r="Y679" s="662"/>
      <c r="Z679" s="662"/>
      <c r="AA679" s="662"/>
      <c r="AB679" s="662"/>
      <c r="AC679" s="662"/>
      <c r="AD679" s="662"/>
      <c r="AE679" s="662"/>
      <c r="AF679" s="662"/>
      <c r="AG679" s="662"/>
      <c r="AH679" s="662"/>
      <c r="AI679" s="662"/>
    </row>
    <row r="680" spans="25:35" s="80" customFormat="1">
      <c r="Y680" s="662"/>
      <c r="Z680" s="662"/>
      <c r="AA680" s="662"/>
      <c r="AB680" s="662"/>
      <c r="AC680" s="662"/>
      <c r="AD680" s="662"/>
      <c r="AE680" s="662"/>
      <c r="AF680" s="662"/>
      <c r="AG680" s="662"/>
      <c r="AH680" s="662"/>
      <c r="AI680" s="662"/>
    </row>
    <row r="681" spans="25:35" s="80" customFormat="1">
      <c r="Y681" s="662"/>
      <c r="Z681" s="662"/>
      <c r="AA681" s="662"/>
      <c r="AB681" s="662"/>
      <c r="AC681" s="662"/>
      <c r="AD681" s="662"/>
      <c r="AE681" s="662"/>
      <c r="AF681" s="662"/>
      <c r="AG681" s="662"/>
      <c r="AH681" s="662"/>
      <c r="AI681" s="662"/>
    </row>
    <row r="682" spans="25:35" s="80" customFormat="1">
      <c r="Y682" s="662"/>
      <c r="Z682" s="662"/>
      <c r="AA682" s="662"/>
      <c r="AB682" s="662"/>
      <c r="AC682" s="662"/>
      <c r="AD682" s="662"/>
      <c r="AE682" s="662"/>
      <c r="AF682" s="662"/>
      <c r="AG682" s="662"/>
      <c r="AH682" s="662"/>
      <c r="AI682" s="662"/>
    </row>
    <row r="683" spans="25:35" s="80" customFormat="1">
      <c r="Y683" s="662"/>
      <c r="Z683" s="662"/>
      <c r="AA683" s="662"/>
      <c r="AB683" s="662"/>
      <c r="AC683" s="662"/>
      <c r="AD683" s="662"/>
      <c r="AE683" s="662"/>
      <c r="AF683" s="662"/>
      <c r="AG683" s="662"/>
      <c r="AH683" s="662"/>
      <c r="AI683" s="662"/>
    </row>
    <row r="684" spans="25:35" s="80" customFormat="1">
      <c r="Y684" s="662"/>
      <c r="Z684" s="662"/>
      <c r="AA684" s="662"/>
      <c r="AB684" s="662"/>
      <c r="AC684" s="662"/>
      <c r="AD684" s="662"/>
      <c r="AE684" s="662"/>
      <c r="AF684" s="662"/>
      <c r="AG684" s="662"/>
      <c r="AH684" s="662"/>
      <c r="AI684" s="662"/>
    </row>
    <row r="685" spans="25:35" s="80" customFormat="1">
      <c r="Y685" s="662"/>
      <c r="Z685" s="662"/>
      <c r="AA685" s="662"/>
      <c r="AB685" s="662"/>
      <c r="AC685" s="662"/>
      <c r="AD685" s="662"/>
      <c r="AE685" s="662"/>
      <c r="AF685" s="662"/>
      <c r="AG685" s="662"/>
      <c r="AH685" s="662"/>
      <c r="AI685" s="662"/>
    </row>
    <row r="686" spans="25:35" s="80" customFormat="1">
      <c r="Y686" s="662"/>
      <c r="Z686" s="662"/>
      <c r="AA686" s="662"/>
      <c r="AB686" s="662"/>
      <c r="AC686" s="662"/>
      <c r="AD686" s="662"/>
      <c r="AE686" s="662"/>
      <c r="AF686" s="662"/>
      <c r="AG686" s="662"/>
      <c r="AH686" s="662"/>
      <c r="AI686" s="662"/>
    </row>
    <row r="687" spans="25:35" s="80" customFormat="1">
      <c r="Y687" s="662"/>
      <c r="Z687" s="662"/>
      <c r="AA687" s="662"/>
      <c r="AB687" s="662"/>
      <c r="AC687" s="662"/>
      <c r="AD687" s="662"/>
      <c r="AE687" s="662"/>
      <c r="AF687" s="662"/>
      <c r="AG687" s="662"/>
      <c r="AH687" s="662"/>
      <c r="AI687" s="662"/>
    </row>
    <row r="688" spans="25:35" s="80" customFormat="1">
      <c r="Y688" s="662"/>
      <c r="Z688" s="662"/>
      <c r="AA688" s="662"/>
      <c r="AB688" s="662"/>
      <c r="AC688" s="662"/>
      <c r="AD688" s="662"/>
      <c r="AE688" s="662"/>
      <c r="AF688" s="662"/>
      <c r="AG688" s="662"/>
      <c r="AH688" s="662"/>
      <c r="AI688" s="662"/>
    </row>
    <row r="689" spans="25:35" s="80" customFormat="1">
      <c r="Y689" s="662"/>
      <c r="Z689" s="662"/>
      <c r="AA689" s="662"/>
      <c r="AB689" s="662"/>
      <c r="AC689" s="662"/>
      <c r="AD689" s="662"/>
      <c r="AE689" s="662"/>
      <c r="AF689" s="662"/>
      <c r="AG689" s="662"/>
      <c r="AH689" s="662"/>
      <c r="AI689" s="662"/>
    </row>
    <row r="690" spans="25:35" s="80" customFormat="1">
      <c r="Y690" s="662"/>
      <c r="Z690" s="662"/>
      <c r="AA690" s="662"/>
      <c r="AB690" s="662"/>
      <c r="AC690" s="662"/>
      <c r="AD690" s="662"/>
      <c r="AE690" s="662"/>
      <c r="AF690" s="662"/>
      <c r="AG690" s="662"/>
      <c r="AH690" s="662"/>
      <c r="AI690" s="662"/>
    </row>
    <row r="691" spans="25:35" s="80" customFormat="1">
      <c r="Y691" s="662"/>
      <c r="Z691" s="662"/>
      <c r="AA691" s="662"/>
      <c r="AB691" s="662"/>
      <c r="AC691" s="662"/>
      <c r="AD691" s="662"/>
      <c r="AE691" s="662"/>
      <c r="AF691" s="662"/>
      <c r="AG691" s="662"/>
      <c r="AH691" s="662"/>
      <c r="AI691" s="662"/>
    </row>
    <row r="692" spans="25:35" s="80" customFormat="1">
      <c r="Y692" s="662"/>
      <c r="Z692" s="662"/>
      <c r="AA692" s="662"/>
      <c r="AB692" s="662"/>
      <c r="AC692" s="662"/>
      <c r="AD692" s="662"/>
      <c r="AE692" s="662"/>
      <c r="AF692" s="662"/>
      <c r="AG692" s="662"/>
      <c r="AH692" s="662"/>
      <c r="AI692" s="662"/>
    </row>
    <row r="693" spans="25:35" s="80" customFormat="1">
      <c r="Y693" s="662"/>
      <c r="Z693" s="662"/>
      <c r="AA693" s="662"/>
      <c r="AB693" s="662"/>
      <c r="AC693" s="662"/>
      <c r="AD693" s="662"/>
      <c r="AE693" s="662"/>
      <c r="AF693" s="662"/>
      <c r="AG693" s="662"/>
      <c r="AH693" s="662"/>
      <c r="AI693" s="662"/>
    </row>
    <row r="694" spans="25:35" s="80" customFormat="1">
      <c r="Y694" s="662"/>
      <c r="Z694" s="662"/>
      <c r="AA694" s="662"/>
      <c r="AB694" s="662"/>
      <c r="AC694" s="662"/>
      <c r="AD694" s="662"/>
      <c r="AE694" s="662"/>
      <c r="AF694" s="662"/>
      <c r="AG694" s="662"/>
      <c r="AH694" s="662"/>
      <c r="AI694" s="662"/>
    </row>
    <row r="695" spans="25:35" s="80" customFormat="1">
      <c r="Y695" s="662"/>
      <c r="Z695" s="662"/>
      <c r="AA695" s="662"/>
      <c r="AB695" s="662"/>
      <c r="AC695" s="662"/>
      <c r="AD695" s="662"/>
      <c r="AE695" s="662"/>
      <c r="AF695" s="662"/>
      <c r="AG695" s="662"/>
      <c r="AH695" s="662"/>
      <c r="AI695" s="662"/>
    </row>
    <row r="696" spans="25:35" s="80" customFormat="1">
      <c r="Y696" s="662"/>
      <c r="Z696" s="662"/>
      <c r="AA696" s="662"/>
      <c r="AB696" s="662"/>
      <c r="AC696" s="662"/>
      <c r="AD696" s="662"/>
      <c r="AE696" s="662"/>
      <c r="AF696" s="662"/>
      <c r="AG696" s="662"/>
      <c r="AH696" s="662"/>
      <c r="AI696" s="662"/>
    </row>
    <row r="697" spans="25:35" s="80" customFormat="1">
      <c r="Y697" s="662"/>
      <c r="Z697" s="662"/>
      <c r="AA697" s="662"/>
      <c r="AB697" s="662"/>
      <c r="AC697" s="662"/>
      <c r="AD697" s="662"/>
      <c r="AE697" s="662"/>
      <c r="AF697" s="662"/>
      <c r="AG697" s="662"/>
      <c r="AH697" s="662"/>
      <c r="AI697" s="662"/>
    </row>
    <row r="698" spans="25:35" s="80" customFormat="1">
      <c r="Y698" s="662"/>
      <c r="Z698" s="662"/>
      <c r="AA698" s="662"/>
      <c r="AB698" s="662"/>
      <c r="AC698" s="662"/>
      <c r="AD698" s="662"/>
      <c r="AE698" s="662"/>
      <c r="AF698" s="662"/>
      <c r="AG698" s="662"/>
      <c r="AH698" s="662"/>
      <c r="AI698" s="662"/>
    </row>
    <row r="699" spans="25:35" s="80" customFormat="1">
      <c r="Y699" s="662"/>
      <c r="Z699" s="662"/>
      <c r="AA699" s="662"/>
      <c r="AB699" s="662"/>
      <c r="AC699" s="662"/>
      <c r="AD699" s="662"/>
      <c r="AE699" s="662"/>
      <c r="AF699" s="662"/>
      <c r="AG699" s="662"/>
      <c r="AH699" s="662"/>
      <c r="AI699" s="662"/>
    </row>
    <row r="700" spans="25:35" s="80" customFormat="1">
      <c r="Y700" s="662"/>
      <c r="Z700" s="662"/>
      <c r="AA700" s="662"/>
      <c r="AB700" s="662"/>
      <c r="AC700" s="662"/>
      <c r="AD700" s="662"/>
      <c r="AE700" s="662"/>
      <c r="AF700" s="662"/>
      <c r="AG700" s="662"/>
      <c r="AH700" s="662"/>
      <c r="AI700" s="662"/>
    </row>
    <row r="701" spans="25:35" s="80" customFormat="1">
      <c r="Y701" s="662"/>
      <c r="Z701" s="662"/>
      <c r="AA701" s="662"/>
      <c r="AB701" s="662"/>
      <c r="AC701" s="662"/>
      <c r="AD701" s="662"/>
      <c r="AE701" s="662"/>
      <c r="AF701" s="662"/>
      <c r="AG701" s="662"/>
      <c r="AH701" s="662"/>
      <c r="AI701" s="662"/>
    </row>
    <row r="702" spans="25:35" s="80" customFormat="1">
      <c r="Y702" s="662"/>
      <c r="Z702" s="662"/>
      <c r="AA702" s="662"/>
      <c r="AB702" s="662"/>
      <c r="AC702" s="662"/>
      <c r="AD702" s="662"/>
      <c r="AE702" s="662"/>
      <c r="AF702" s="662"/>
      <c r="AG702" s="662"/>
      <c r="AH702" s="662"/>
      <c r="AI702" s="662"/>
    </row>
    <row r="703" spans="25:35" s="80" customFormat="1">
      <c r="Y703" s="662"/>
      <c r="Z703" s="662"/>
      <c r="AA703" s="662"/>
      <c r="AB703" s="662"/>
      <c r="AC703" s="662"/>
      <c r="AD703" s="662"/>
      <c r="AE703" s="662"/>
      <c r="AF703" s="662"/>
      <c r="AG703" s="662"/>
      <c r="AH703" s="662"/>
      <c r="AI703" s="662"/>
    </row>
    <row r="704" spans="25:35" s="80" customFormat="1">
      <c r="Y704" s="662"/>
      <c r="Z704" s="662"/>
      <c r="AA704" s="662"/>
      <c r="AB704" s="662"/>
      <c r="AC704" s="662"/>
      <c r="AD704" s="662"/>
      <c r="AE704" s="662"/>
      <c r="AF704" s="662"/>
      <c r="AG704" s="662"/>
      <c r="AH704" s="662"/>
      <c r="AI704" s="662"/>
    </row>
    <row r="705" spans="25:35" s="80" customFormat="1">
      <c r="Y705" s="662"/>
      <c r="Z705" s="662"/>
      <c r="AA705" s="662"/>
      <c r="AB705" s="662"/>
      <c r="AC705" s="662"/>
      <c r="AD705" s="662"/>
      <c r="AE705" s="662"/>
      <c r="AF705" s="662"/>
      <c r="AG705" s="662"/>
      <c r="AH705" s="662"/>
      <c r="AI705" s="662"/>
    </row>
    <row r="706" spans="25:35" s="80" customFormat="1">
      <c r="Y706" s="662"/>
      <c r="Z706" s="662"/>
      <c r="AA706" s="662"/>
      <c r="AB706" s="662"/>
      <c r="AC706" s="662"/>
      <c r="AD706" s="662"/>
      <c r="AE706" s="662"/>
      <c r="AF706" s="662"/>
      <c r="AG706" s="662"/>
      <c r="AH706" s="662"/>
      <c r="AI706" s="662"/>
    </row>
    <row r="707" spans="25:35" s="80" customFormat="1">
      <c r="Y707" s="662"/>
      <c r="Z707" s="662"/>
      <c r="AA707" s="662"/>
      <c r="AB707" s="662"/>
      <c r="AC707" s="662"/>
      <c r="AD707" s="662"/>
      <c r="AE707" s="662"/>
      <c r="AF707" s="662"/>
      <c r="AG707" s="662"/>
      <c r="AH707" s="662"/>
      <c r="AI707" s="662"/>
    </row>
    <row r="708" spans="25:35" s="80" customFormat="1">
      <c r="Y708" s="662"/>
      <c r="Z708" s="662"/>
      <c r="AA708" s="662"/>
      <c r="AB708" s="662"/>
      <c r="AC708" s="662"/>
      <c r="AD708" s="662"/>
      <c r="AE708" s="662"/>
      <c r="AF708" s="662"/>
      <c r="AG708" s="662"/>
      <c r="AH708" s="662"/>
      <c r="AI708" s="662"/>
    </row>
    <row r="709" spans="25:35" s="80" customFormat="1">
      <c r="Y709" s="662"/>
      <c r="Z709" s="662"/>
      <c r="AA709" s="662"/>
      <c r="AB709" s="662"/>
      <c r="AC709" s="662"/>
      <c r="AD709" s="662"/>
      <c r="AE709" s="662"/>
      <c r="AF709" s="662"/>
      <c r="AG709" s="662"/>
      <c r="AH709" s="662"/>
      <c r="AI709" s="662"/>
    </row>
    <row r="710" spans="25:35" s="80" customFormat="1">
      <c r="Y710" s="662"/>
      <c r="Z710" s="662"/>
      <c r="AA710" s="662"/>
      <c r="AB710" s="662"/>
      <c r="AC710" s="662"/>
      <c r="AD710" s="662"/>
      <c r="AE710" s="662"/>
      <c r="AF710" s="662"/>
      <c r="AG710" s="662"/>
      <c r="AH710" s="662"/>
      <c r="AI710" s="662"/>
    </row>
    <row r="711" spans="25:35" s="80" customFormat="1">
      <c r="Y711" s="662"/>
      <c r="Z711" s="662"/>
      <c r="AA711" s="662"/>
      <c r="AB711" s="662"/>
      <c r="AC711" s="662"/>
      <c r="AD711" s="662"/>
      <c r="AE711" s="662"/>
      <c r="AF711" s="662"/>
      <c r="AG711" s="662"/>
      <c r="AH711" s="662"/>
      <c r="AI711" s="662"/>
    </row>
    <row r="712" spans="25:35" s="80" customFormat="1">
      <c r="Y712" s="662"/>
      <c r="Z712" s="662"/>
      <c r="AA712" s="662"/>
      <c r="AB712" s="662"/>
      <c r="AC712" s="662"/>
      <c r="AD712" s="662"/>
      <c r="AE712" s="662"/>
      <c r="AF712" s="662"/>
      <c r="AG712" s="662"/>
      <c r="AH712" s="662"/>
      <c r="AI712" s="662"/>
    </row>
    <row r="713" spans="25:35" s="80" customFormat="1">
      <c r="Y713" s="662"/>
      <c r="Z713" s="662"/>
      <c r="AA713" s="662"/>
      <c r="AB713" s="662"/>
      <c r="AC713" s="662"/>
      <c r="AD713" s="662"/>
      <c r="AE713" s="662"/>
      <c r="AF713" s="662"/>
      <c r="AG713" s="662"/>
      <c r="AH713" s="662"/>
      <c r="AI713" s="662"/>
    </row>
    <row r="714" spans="25:35" s="80" customFormat="1">
      <c r="Y714" s="662"/>
      <c r="Z714" s="662"/>
      <c r="AA714" s="662"/>
      <c r="AB714" s="662"/>
      <c r="AC714" s="662"/>
      <c r="AD714" s="662"/>
      <c r="AE714" s="662"/>
      <c r="AF714" s="662"/>
      <c r="AG714" s="662"/>
      <c r="AH714" s="662"/>
      <c r="AI714" s="662"/>
    </row>
    <row r="715" spans="25:35" s="80" customFormat="1">
      <c r="Y715" s="662"/>
      <c r="Z715" s="662"/>
      <c r="AA715" s="662"/>
      <c r="AB715" s="662"/>
      <c r="AC715" s="662"/>
      <c r="AD715" s="662"/>
      <c r="AE715" s="662"/>
      <c r="AF715" s="662"/>
      <c r="AG715" s="662"/>
      <c r="AH715" s="662"/>
      <c r="AI715" s="662"/>
    </row>
    <row r="716" spans="25:35" s="80" customFormat="1">
      <c r="Y716" s="662"/>
      <c r="Z716" s="662"/>
      <c r="AA716" s="662"/>
      <c r="AB716" s="662"/>
      <c r="AC716" s="662"/>
      <c r="AD716" s="662"/>
      <c r="AE716" s="662"/>
      <c r="AF716" s="662"/>
      <c r="AG716" s="662"/>
      <c r="AH716" s="662"/>
      <c r="AI716" s="662"/>
    </row>
    <row r="717" spans="25:35" s="80" customFormat="1">
      <c r="Y717" s="662"/>
      <c r="Z717" s="662"/>
      <c r="AA717" s="662"/>
      <c r="AB717" s="662"/>
      <c r="AC717" s="662"/>
      <c r="AD717" s="662"/>
      <c r="AE717" s="662"/>
      <c r="AF717" s="662"/>
      <c r="AG717" s="662"/>
      <c r="AH717" s="662"/>
      <c r="AI717" s="662"/>
    </row>
    <row r="718" spans="25:35" s="80" customFormat="1">
      <c r="Y718" s="662"/>
      <c r="Z718" s="662"/>
      <c r="AA718" s="662"/>
      <c r="AB718" s="662"/>
      <c r="AC718" s="662"/>
      <c r="AD718" s="662"/>
      <c r="AE718" s="662"/>
      <c r="AF718" s="662"/>
      <c r="AG718" s="662"/>
      <c r="AH718" s="662"/>
      <c r="AI718" s="662"/>
    </row>
    <row r="719" spans="25:35" s="80" customFormat="1">
      <c r="Y719" s="662"/>
      <c r="Z719" s="662"/>
      <c r="AA719" s="662"/>
      <c r="AB719" s="662"/>
      <c r="AC719" s="662"/>
      <c r="AD719" s="662"/>
      <c r="AE719" s="662"/>
      <c r="AF719" s="662"/>
      <c r="AG719" s="662"/>
      <c r="AH719" s="662"/>
      <c r="AI719" s="662"/>
    </row>
    <row r="720" spans="25:35" s="80" customFormat="1">
      <c r="Y720" s="662"/>
      <c r="Z720" s="662"/>
      <c r="AA720" s="662"/>
      <c r="AB720" s="662"/>
      <c r="AC720" s="662"/>
      <c r="AD720" s="662"/>
      <c r="AE720" s="662"/>
      <c r="AF720" s="662"/>
      <c r="AG720" s="662"/>
      <c r="AH720" s="662"/>
      <c r="AI720" s="662"/>
    </row>
    <row r="721" spans="25:35" s="80" customFormat="1">
      <c r="Y721" s="662"/>
      <c r="Z721" s="662"/>
      <c r="AA721" s="662"/>
      <c r="AB721" s="662"/>
      <c r="AC721" s="662"/>
      <c r="AD721" s="662"/>
      <c r="AE721" s="662"/>
      <c r="AF721" s="662"/>
      <c r="AG721" s="662"/>
      <c r="AH721" s="662"/>
      <c r="AI721" s="662"/>
    </row>
    <row r="722" spans="25:35" s="80" customFormat="1">
      <c r="Y722" s="662"/>
      <c r="Z722" s="662"/>
      <c r="AA722" s="662"/>
      <c r="AB722" s="662"/>
      <c r="AC722" s="662"/>
      <c r="AD722" s="662"/>
      <c r="AE722" s="662"/>
      <c r="AF722" s="662"/>
      <c r="AG722" s="662"/>
      <c r="AH722" s="662"/>
      <c r="AI722" s="662"/>
    </row>
    <row r="723" spans="25:35" s="80" customFormat="1">
      <c r="Y723" s="662"/>
      <c r="Z723" s="662"/>
      <c r="AA723" s="662"/>
      <c r="AB723" s="662"/>
      <c r="AC723" s="662"/>
      <c r="AD723" s="662"/>
      <c r="AE723" s="662"/>
      <c r="AF723" s="662"/>
      <c r="AG723" s="662"/>
      <c r="AH723" s="662"/>
      <c r="AI723" s="662"/>
    </row>
    <row r="724" spans="25:35" s="80" customFormat="1">
      <c r="Y724" s="662"/>
      <c r="Z724" s="662"/>
      <c r="AA724" s="662"/>
      <c r="AB724" s="662"/>
      <c r="AC724" s="662"/>
      <c r="AD724" s="662"/>
      <c r="AE724" s="662"/>
      <c r="AF724" s="662"/>
      <c r="AG724" s="662"/>
      <c r="AH724" s="662"/>
      <c r="AI724" s="662"/>
    </row>
    <row r="725" spans="25:35" s="80" customFormat="1">
      <c r="Y725" s="662"/>
      <c r="Z725" s="662"/>
      <c r="AA725" s="662"/>
      <c r="AB725" s="662"/>
      <c r="AC725" s="662"/>
      <c r="AD725" s="662"/>
      <c r="AE725" s="662"/>
      <c r="AF725" s="662"/>
      <c r="AG725" s="662"/>
      <c r="AH725" s="662"/>
      <c r="AI725" s="662"/>
    </row>
    <row r="726" spans="25:35" s="80" customFormat="1">
      <c r="Y726" s="662"/>
      <c r="Z726" s="662"/>
      <c r="AA726" s="662"/>
      <c r="AB726" s="662"/>
      <c r="AC726" s="662"/>
      <c r="AD726" s="662"/>
      <c r="AE726" s="662"/>
      <c r="AF726" s="662"/>
      <c r="AG726" s="662"/>
      <c r="AH726" s="662"/>
      <c r="AI726" s="662"/>
    </row>
    <row r="727" spans="25:35" s="80" customFormat="1">
      <c r="Y727" s="662"/>
      <c r="Z727" s="662"/>
      <c r="AA727" s="662"/>
      <c r="AB727" s="662"/>
      <c r="AC727" s="662"/>
      <c r="AD727" s="662"/>
      <c r="AE727" s="662"/>
      <c r="AF727" s="662"/>
      <c r="AG727" s="662"/>
      <c r="AH727" s="662"/>
      <c r="AI727" s="662"/>
    </row>
    <row r="728" spans="25:35" s="80" customFormat="1">
      <c r="Y728" s="662"/>
      <c r="Z728" s="662"/>
      <c r="AA728" s="662"/>
      <c r="AB728" s="662"/>
      <c r="AC728" s="662"/>
      <c r="AD728" s="662"/>
      <c r="AE728" s="662"/>
      <c r="AF728" s="662"/>
      <c r="AG728" s="662"/>
      <c r="AH728" s="662"/>
      <c r="AI728" s="662"/>
    </row>
    <row r="729" spans="25:35" s="80" customFormat="1">
      <c r="Y729" s="662"/>
      <c r="Z729" s="662"/>
      <c r="AA729" s="662"/>
      <c r="AB729" s="662"/>
      <c r="AC729" s="662"/>
      <c r="AD729" s="662"/>
      <c r="AE729" s="662"/>
      <c r="AF729" s="662"/>
      <c r="AG729" s="662"/>
      <c r="AH729" s="662"/>
      <c r="AI729" s="662"/>
    </row>
    <row r="730" spans="25:35" s="80" customFormat="1">
      <c r="Y730" s="662"/>
      <c r="Z730" s="662"/>
      <c r="AA730" s="662"/>
      <c r="AB730" s="662"/>
      <c r="AC730" s="662"/>
      <c r="AD730" s="662"/>
      <c r="AE730" s="662"/>
      <c r="AF730" s="662"/>
      <c r="AG730" s="662"/>
      <c r="AH730" s="662"/>
      <c r="AI730" s="662"/>
    </row>
    <row r="731" spans="25:35" s="80" customFormat="1">
      <c r="Y731" s="662"/>
      <c r="Z731" s="662"/>
      <c r="AA731" s="662"/>
      <c r="AB731" s="662"/>
      <c r="AC731" s="662"/>
      <c r="AD731" s="662"/>
      <c r="AE731" s="662"/>
      <c r="AF731" s="662"/>
      <c r="AG731" s="662"/>
      <c r="AH731" s="662"/>
      <c r="AI731" s="662"/>
    </row>
    <row r="732" spans="25:35" s="80" customFormat="1">
      <c r="Y732" s="662"/>
      <c r="Z732" s="662"/>
      <c r="AA732" s="662"/>
      <c r="AB732" s="662"/>
      <c r="AC732" s="662"/>
      <c r="AD732" s="662"/>
      <c r="AE732" s="662"/>
      <c r="AF732" s="662"/>
      <c r="AG732" s="662"/>
      <c r="AH732" s="662"/>
      <c r="AI732" s="662"/>
    </row>
    <row r="733" spans="25:35" s="80" customFormat="1">
      <c r="Y733" s="662"/>
      <c r="Z733" s="662"/>
      <c r="AA733" s="662"/>
      <c r="AB733" s="662"/>
      <c r="AC733" s="662"/>
      <c r="AD733" s="662"/>
      <c r="AE733" s="662"/>
      <c r="AF733" s="662"/>
      <c r="AG733" s="662"/>
      <c r="AH733" s="662"/>
      <c r="AI733" s="662"/>
    </row>
    <row r="734" spans="25:35" s="80" customFormat="1">
      <c r="Y734" s="662"/>
      <c r="Z734" s="662"/>
      <c r="AA734" s="662"/>
      <c r="AB734" s="662"/>
      <c r="AC734" s="662"/>
      <c r="AD734" s="662"/>
      <c r="AE734" s="662"/>
      <c r="AF734" s="662"/>
      <c r="AG734" s="662"/>
      <c r="AH734" s="662"/>
      <c r="AI734" s="662"/>
    </row>
    <row r="735" spans="25:35" s="80" customFormat="1">
      <c r="Y735" s="662"/>
      <c r="Z735" s="662"/>
      <c r="AA735" s="662"/>
      <c r="AB735" s="662"/>
      <c r="AC735" s="662"/>
      <c r="AD735" s="662"/>
      <c r="AE735" s="662"/>
      <c r="AF735" s="662"/>
      <c r="AG735" s="662"/>
      <c r="AH735" s="662"/>
      <c r="AI735" s="662"/>
    </row>
    <row r="736" spans="25:35" s="80" customFormat="1">
      <c r="Y736" s="662"/>
      <c r="Z736" s="662"/>
      <c r="AA736" s="662"/>
      <c r="AB736" s="662"/>
      <c r="AC736" s="662"/>
      <c r="AD736" s="662"/>
      <c r="AE736" s="662"/>
      <c r="AF736" s="662"/>
      <c r="AG736" s="662"/>
      <c r="AH736" s="662"/>
      <c r="AI736" s="662"/>
    </row>
    <row r="737" spans="25:35" s="80" customFormat="1">
      <c r="Y737" s="662"/>
      <c r="Z737" s="662"/>
      <c r="AA737" s="662"/>
      <c r="AB737" s="662"/>
      <c r="AC737" s="662"/>
      <c r="AD737" s="662"/>
      <c r="AE737" s="662"/>
      <c r="AF737" s="662"/>
      <c r="AG737" s="662"/>
      <c r="AH737" s="662"/>
      <c r="AI737" s="662"/>
    </row>
    <row r="738" spans="25:35" s="80" customFormat="1">
      <c r="Y738" s="662"/>
      <c r="Z738" s="662"/>
      <c r="AA738" s="662"/>
      <c r="AB738" s="662"/>
      <c r="AC738" s="662"/>
      <c r="AD738" s="662"/>
      <c r="AE738" s="662"/>
      <c r="AF738" s="662"/>
      <c r="AG738" s="662"/>
      <c r="AH738" s="662"/>
      <c r="AI738" s="662"/>
    </row>
    <row r="739" spans="25:35" s="80" customFormat="1">
      <c r="Y739" s="662"/>
      <c r="Z739" s="662"/>
      <c r="AA739" s="662"/>
      <c r="AB739" s="662"/>
      <c r="AC739" s="662"/>
      <c r="AD739" s="662"/>
      <c r="AE739" s="662"/>
      <c r="AF739" s="662"/>
      <c r="AG739" s="662"/>
      <c r="AH739" s="662"/>
      <c r="AI739" s="662"/>
    </row>
    <row r="740" spans="25:35" s="80" customFormat="1">
      <c r="Y740" s="662"/>
      <c r="Z740" s="662"/>
      <c r="AA740" s="662"/>
      <c r="AB740" s="662"/>
      <c r="AC740" s="662"/>
      <c r="AD740" s="662"/>
      <c r="AE740" s="662"/>
      <c r="AF740" s="662"/>
      <c r="AG740" s="662"/>
      <c r="AH740" s="662"/>
      <c r="AI740" s="662"/>
    </row>
    <row r="741" spans="25:35" s="80" customFormat="1">
      <c r="Y741" s="662"/>
      <c r="Z741" s="662"/>
      <c r="AA741" s="662"/>
      <c r="AB741" s="662"/>
      <c r="AC741" s="662"/>
      <c r="AD741" s="662"/>
      <c r="AE741" s="662"/>
      <c r="AF741" s="662"/>
      <c r="AG741" s="662"/>
      <c r="AH741" s="662"/>
      <c r="AI741" s="662"/>
    </row>
    <row r="742" spans="25:35" s="80" customFormat="1">
      <c r="Y742" s="662"/>
      <c r="Z742" s="662"/>
      <c r="AA742" s="662"/>
      <c r="AB742" s="662"/>
      <c r="AC742" s="662"/>
      <c r="AD742" s="662"/>
      <c r="AE742" s="662"/>
      <c r="AF742" s="662"/>
      <c r="AG742" s="662"/>
      <c r="AH742" s="662"/>
      <c r="AI742" s="662"/>
    </row>
    <row r="743" spans="25:35" s="80" customFormat="1">
      <c r="Y743" s="662"/>
      <c r="Z743" s="662"/>
      <c r="AA743" s="662"/>
      <c r="AB743" s="662"/>
      <c r="AC743" s="662"/>
      <c r="AD743" s="662"/>
      <c r="AE743" s="662"/>
      <c r="AF743" s="662"/>
      <c r="AG743" s="662"/>
      <c r="AH743" s="662"/>
      <c r="AI743" s="662"/>
    </row>
    <row r="744" spans="25:35" s="80" customFormat="1">
      <c r="Y744" s="662"/>
      <c r="Z744" s="662"/>
      <c r="AA744" s="662"/>
      <c r="AB744" s="662"/>
      <c r="AC744" s="662"/>
      <c r="AD744" s="662"/>
      <c r="AE744" s="662"/>
      <c r="AF744" s="662"/>
      <c r="AG744" s="662"/>
      <c r="AH744" s="662"/>
      <c r="AI744" s="662"/>
    </row>
    <row r="745" spans="25:35" s="80" customFormat="1">
      <c r="Y745" s="662"/>
      <c r="Z745" s="662"/>
      <c r="AA745" s="662"/>
      <c r="AB745" s="662"/>
      <c r="AC745" s="662"/>
      <c r="AD745" s="662"/>
      <c r="AE745" s="662"/>
      <c r="AF745" s="662"/>
      <c r="AG745" s="662"/>
      <c r="AH745" s="662"/>
      <c r="AI745" s="662"/>
    </row>
    <row r="746" spans="25:35" s="80" customFormat="1">
      <c r="Y746" s="662"/>
      <c r="Z746" s="662"/>
      <c r="AA746" s="662"/>
      <c r="AB746" s="662"/>
      <c r="AC746" s="662"/>
      <c r="AD746" s="662"/>
      <c r="AE746" s="662"/>
      <c r="AF746" s="662"/>
      <c r="AG746" s="662"/>
      <c r="AH746" s="662"/>
      <c r="AI746" s="662"/>
    </row>
    <row r="747" spans="25:35" s="80" customFormat="1">
      <c r="Y747" s="662"/>
      <c r="Z747" s="662"/>
      <c r="AA747" s="662"/>
      <c r="AB747" s="662"/>
      <c r="AC747" s="662"/>
      <c r="AD747" s="662"/>
      <c r="AE747" s="662"/>
      <c r="AF747" s="662"/>
      <c r="AG747" s="662"/>
      <c r="AH747" s="662"/>
      <c r="AI747" s="662"/>
    </row>
    <row r="748" spans="25:35" s="80" customFormat="1">
      <c r="Y748" s="662"/>
      <c r="Z748" s="662"/>
      <c r="AA748" s="662"/>
      <c r="AB748" s="662"/>
      <c r="AC748" s="662"/>
      <c r="AD748" s="662"/>
      <c r="AE748" s="662"/>
      <c r="AF748" s="662"/>
      <c r="AG748" s="662"/>
      <c r="AH748" s="662"/>
      <c r="AI748" s="662"/>
    </row>
    <row r="749" spans="25:35" s="80" customFormat="1">
      <c r="Y749" s="662"/>
      <c r="Z749" s="662"/>
      <c r="AA749" s="662"/>
      <c r="AB749" s="662"/>
      <c r="AC749" s="662"/>
      <c r="AD749" s="662"/>
      <c r="AE749" s="662"/>
      <c r="AF749" s="662"/>
      <c r="AG749" s="662"/>
      <c r="AH749" s="662"/>
      <c r="AI749" s="662"/>
    </row>
    <row r="750" spans="25:35" s="80" customFormat="1">
      <c r="Y750" s="662"/>
      <c r="Z750" s="662"/>
      <c r="AA750" s="662"/>
      <c r="AB750" s="662"/>
      <c r="AC750" s="662"/>
      <c r="AD750" s="662"/>
      <c r="AE750" s="662"/>
      <c r="AF750" s="662"/>
      <c r="AG750" s="662"/>
      <c r="AH750" s="662"/>
      <c r="AI750" s="662"/>
    </row>
    <row r="751" spans="25:35" s="80" customFormat="1">
      <c r="Y751" s="662"/>
      <c r="Z751" s="662"/>
      <c r="AA751" s="662"/>
      <c r="AB751" s="662"/>
      <c r="AC751" s="662"/>
      <c r="AD751" s="662"/>
      <c r="AE751" s="662"/>
      <c r="AF751" s="662"/>
      <c r="AG751" s="662"/>
      <c r="AH751" s="662"/>
      <c r="AI751" s="662"/>
    </row>
    <row r="752" spans="25:35" s="80" customFormat="1">
      <c r="Y752" s="662"/>
      <c r="Z752" s="662"/>
      <c r="AA752" s="662"/>
      <c r="AB752" s="662"/>
      <c r="AC752" s="662"/>
      <c r="AD752" s="662"/>
      <c r="AE752" s="662"/>
      <c r="AF752" s="662"/>
      <c r="AG752" s="662"/>
      <c r="AH752" s="662"/>
      <c r="AI752" s="662"/>
    </row>
    <row r="753" spans="25:35" s="80" customFormat="1">
      <c r="Y753" s="662"/>
      <c r="Z753" s="662"/>
      <c r="AA753" s="662"/>
      <c r="AB753" s="662"/>
      <c r="AC753" s="662"/>
      <c r="AD753" s="662"/>
      <c r="AE753" s="662"/>
      <c r="AF753" s="662"/>
      <c r="AG753" s="662"/>
      <c r="AH753" s="662"/>
      <c r="AI753" s="662"/>
    </row>
    <row r="754" spans="25:35" s="80" customFormat="1">
      <c r="Y754" s="662"/>
      <c r="Z754" s="662"/>
      <c r="AA754" s="662"/>
      <c r="AB754" s="662"/>
      <c r="AC754" s="662"/>
      <c r="AD754" s="662"/>
      <c r="AE754" s="662"/>
      <c r="AF754" s="662"/>
      <c r="AG754" s="662"/>
      <c r="AH754" s="662"/>
      <c r="AI754" s="662"/>
    </row>
    <row r="755" spans="25:35" s="80" customFormat="1">
      <c r="Y755" s="662"/>
      <c r="Z755" s="662"/>
      <c r="AA755" s="662"/>
      <c r="AB755" s="662"/>
      <c r="AC755" s="662"/>
      <c r="AD755" s="662"/>
      <c r="AE755" s="662"/>
      <c r="AF755" s="662"/>
      <c r="AG755" s="662"/>
      <c r="AH755" s="662"/>
      <c r="AI755" s="662"/>
    </row>
    <row r="756" spans="25:35" s="80" customFormat="1">
      <c r="Y756" s="662"/>
      <c r="Z756" s="662"/>
      <c r="AA756" s="662"/>
      <c r="AB756" s="662"/>
      <c r="AC756" s="662"/>
      <c r="AD756" s="662"/>
      <c r="AE756" s="662"/>
      <c r="AF756" s="662"/>
      <c r="AG756" s="662"/>
      <c r="AH756" s="662"/>
      <c r="AI756" s="662"/>
    </row>
    <row r="757" spans="25:35" s="80" customFormat="1">
      <c r="Y757" s="662"/>
      <c r="Z757" s="662"/>
      <c r="AA757" s="662"/>
      <c r="AB757" s="662"/>
      <c r="AC757" s="662"/>
      <c r="AD757" s="662"/>
      <c r="AE757" s="662"/>
      <c r="AF757" s="662"/>
      <c r="AG757" s="662"/>
      <c r="AH757" s="662"/>
      <c r="AI757" s="662"/>
    </row>
    <row r="758" spans="25:35" s="80" customFormat="1">
      <c r="Y758" s="662"/>
      <c r="Z758" s="662"/>
      <c r="AA758" s="662"/>
      <c r="AB758" s="662"/>
      <c r="AC758" s="662"/>
      <c r="AD758" s="662"/>
      <c r="AE758" s="662"/>
      <c r="AF758" s="662"/>
      <c r="AG758" s="662"/>
      <c r="AH758" s="662"/>
      <c r="AI758" s="662"/>
    </row>
    <row r="759" spans="25:35" s="80" customFormat="1">
      <c r="Y759" s="662"/>
      <c r="Z759" s="662"/>
      <c r="AA759" s="662"/>
      <c r="AB759" s="662"/>
      <c r="AC759" s="662"/>
      <c r="AD759" s="662"/>
      <c r="AE759" s="662"/>
      <c r="AF759" s="662"/>
      <c r="AG759" s="662"/>
      <c r="AH759" s="662"/>
      <c r="AI759" s="662"/>
    </row>
    <row r="760" spans="25:35" s="80" customFormat="1">
      <c r="Y760" s="662"/>
      <c r="Z760" s="662"/>
      <c r="AA760" s="662"/>
      <c r="AB760" s="662"/>
      <c r="AC760" s="662"/>
      <c r="AD760" s="662"/>
      <c r="AE760" s="662"/>
      <c r="AF760" s="662"/>
      <c r="AG760" s="662"/>
      <c r="AH760" s="662"/>
      <c r="AI760" s="662"/>
    </row>
    <row r="761" spans="25:35" s="80" customFormat="1">
      <c r="Y761" s="662"/>
      <c r="Z761" s="662"/>
      <c r="AA761" s="662"/>
      <c r="AB761" s="662"/>
      <c r="AC761" s="662"/>
      <c r="AD761" s="662"/>
      <c r="AE761" s="662"/>
      <c r="AF761" s="662"/>
      <c r="AG761" s="662"/>
      <c r="AH761" s="662"/>
      <c r="AI761" s="662"/>
    </row>
    <row r="762" spans="25:35" s="80" customFormat="1">
      <c r="Y762" s="662"/>
      <c r="Z762" s="662"/>
      <c r="AA762" s="662"/>
      <c r="AB762" s="662"/>
      <c r="AC762" s="662"/>
      <c r="AD762" s="662"/>
      <c r="AE762" s="662"/>
      <c r="AF762" s="662"/>
      <c r="AG762" s="662"/>
      <c r="AH762" s="662"/>
      <c r="AI762" s="662"/>
    </row>
    <row r="763" spans="25:35" s="80" customFormat="1">
      <c r="Y763" s="662"/>
      <c r="Z763" s="662"/>
      <c r="AA763" s="662"/>
      <c r="AB763" s="662"/>
      <c r="AC763" s="662"/>
      <c r="AD763" s="662"/>
      <c r="AE763" s="662"/>
      <c r="AF763" s="662"/>
      <c r="AG763" s="662"/>
      <c r="AH763" s="662"/>
      <c r="AI763" s="662"/>
    </row>
    <row r="764" spans="25:35" s="80" customFormat="1">
      <c r="Y764" s="662"/>
      <c r="Z764" s="662"/>
      <c r="AA764" s="662"/>
      <c r="AB764" s="662"/>
      <c r="AC764" s="662"/>
      <c r="AD764" s="662"/>
      <c r="AE764" s="662"/>
      <c r="AF764" s="662"/>
      <c r="AG764" s="662"/>
      <c r="AH764" s="662"/>
      <c r="AI764" s="662"/>
    </row>
    <row r="765" spans="25:35" s="80" customFormat="1">
      <c r="Y765" s="662"/>
      <c r="Z765" s="662"/>
      <c r="AA765" s="662"/>
      <c r="AB765" s="662"/>
      <c r="AC765" s="662"/>
      <c r="AD765" s="662"/>
      <c r="AE765" s="662"/>
      <c r="AF765" s="662"/>
      <c r="AG765" s="662"/>
      <c r="AH765" s="662"/>
      <c r="AI765" s="662"/>
    </row>
    <row r="766" spans="25:35" s="80" customFormat="1">
      <c r="Y766" s="662"/>
      <c r="Z766" s="662"/>
      <c r="AA766" s="662"/>
      <c r="AB766" s="662"/>
      <c r="AC766" s="662"/>
      <c r="AD766" s="662"/>
      <c r="AE766" s="662"/>
      <c r="AF766" s="662"/>
      <c r="AG766" s="662"/>
      <c r="AH766" s="662"/>
      <c r="AI766" s="662"/>
    </row>
    <row r="767" spans="25:35" s="80" customFormat="1">
      <c r="Y767" s="662"/>
      <c r="Z767" s="662"/>
      <c r="AA767" s="662"/>
      <c r="AB767" s="662"/>
      <c r="AC767" s="662"/>
      <c r="AD767" s="662"/>
      <c r="AE767" s="662"/>
      <c r="AF767" s="662"/>
      <c r="AG767" s="662"/>
      <c r="AH767" s="662"/>
      <c r="AI767" s="662"/>
    </row>
    <row r="768" spans="25:35" s="80" customFormat="1">
      <c r="Y768" s="662"/>
      <c r="Z768" s="662"/>
      <c r="AA768" s="662"/>
      <c r="AB768" s="662"/>
      <c r="AC768" s="662"/>
      <c r="AD768" s="662"/>
      <c r="AE768" s="662"/>
      <c r="AF768" s="662"/>
      <c r="AG768" s="662"/>
      <c r="AH768" s="662"/>
      <c r="AI768" s="662"/>
    </row>
    <row r="769" spans="25:35" s="80" customFormat="1">
      <c r="Y769" s="662"/>
      <c r="Z769" s="662"/>
      <c r="AA769" s="662"/>
      <c r="AB769" s="662"/>
      <c r="AC769" s="662"/>
      <c r="AD769" s="662"/>
      <c r="AE769" s="662"/>
      <c r="AF769" s="662"/>
      <c r="AG769" s="662"/>
      <c r="AH769" s="662"/>
      <c r="AI769" s="662"/>
    </row>
    <row r="770" spans="25:35" s="80" customFormat="1">
      <c r="Y770" s="662"/>
      <c r="Z770" s="662"/>
      <c r="AA770" s="662"/>
      <c r="AB770" s="662"/>
      <c r="AC770" s="662"/>
      <c r="AD770" s="662"/>
      <c r="AE770" s="662"/>
      <c r="AF770" s="662"/>
      <c r="AG770" s="662"/>
      <c r="AH770" s="662"/>
      <c r="AI770" s="662"/>
    </row>
    <row r="771" spans="25:35" s="80" customFormat="1">
      <c r="Y771" s="662"/>
      <c r="Z771" s="662"/>
      <c r="AA771" s="662"/>
      <c r="AB771" s="662"/>
      <c r="AC771" s="662"/>
      <c r="AD771" s="662"/>
      <c r="AE771" s="662"/>
      <c r="AF771" s="662"/>
      <c r="AG771" s="662"/>
      <c r="AH771" s="662"/>
      <c r="AI771" s="662"/>
    </row>
    <row r="772" spans="25:35" s="80" customFormat="1">
      <c r="Y772" s="662"/>
      <c r="Z772" s="662"/>
      <c r="AA772" s="662"/>
      <c r="AB772" s="662"/>
      <c r="AC772" s="662"/>
      <c r="AD772" s="662"/>
      <c r="AE772" s="662"/>
      <c r="AF772" s="662"/>
      <c r="AG772" s="662"/>
      <c r="AH772" s="662"/>
      <c r="AI772" s="662"/>
    </row>
    <row r="773" spans="25:35" s="80" customFormat="1">
      <c r="Y773" s="662"/>
      <c r="Z773" s="662"/>
      <c r="AA773" s="662"/>
      <c r="AB773" s="662"/>
      <c r="AC773" s="662"/>
      <c r="AD773" s="662"/>
      <c r="AE773" s="662"/>
      <c r="AF773" s="662"/>
      <c r="AG773" s="662"/>
      <c r="AH773" s="662"/>
      <c r="AI773" s="662"/>
    </row>
    <row r="774" spans="25:35" s="80" customFormat="1">
      <c r="Y774" s="662"/>
      <c r="Z774" s="662"/>
      <c r="AA774" s="662"/>
      <c r="AB774" s="662"/>
      <c r="AC774" s="662"/>
      <c r="AD774" s="662"/>
      <c r="AE774" s="662"/>
      <c r="AF774" s="662"/>
      <c r="AG774" s="662"/>
      <c r="AH774" s="662"/>
      <c r="AI774" s="662"/>
    </row>
    <row r="775" spans="25:35" s="80" customFormat="1">
      <c r="Y775" s="662"/>
      <c r="Z775" s="662"/>
      <c r="AA775" s="662"/>
      <c r="AB775" s="662"/>
      <c r="AC775" s="662"/>
      <c r="AD775" s="662"/>
      <c r="AE775" s="662"/>
      <c r="AF775" s="662"/>
      <c r="AG775" s="662"/>
      <c r="AH775" s="662"/>
      <c r="AI775" s="662"/>
    </row>
    <row r="776" spans="25:35" s="80" customFormat="1">
      <c r="Y776" s="662"/>
      <c r="Z776" s="662"/>
      <c r="AA776" s="662"/>
      <c r="AB776" s="662"/>
      <c r="AC776" s="662"/>
      <c r="AD776" s="662"/>
      <c r="AE776" s="662"/>
      <c r="AF776" s="662"/>
      <c r="AG776" s="662"/>
      <c r="AH776" s="662"/>
      <c r="AI776" s="662"/>
    </row>
    <row r="777" spans="25:35" s="80" customFormat="1">
      <c r="Y777" s="662"/>
      <c r="Z777" s="662"/>
      <c r="AA777" s="662"/>
      <c r="AB777" s="662"/>
      <c r="AC777" s="662"/>
      <c r="AD777" s="662"/>
      <c r="AE777" s="662"/>
      <c r="AF777" s="662"/>
      <c r="AG777" s="662"/>
      <c r="AH777" s="662"/>
      <c r="AI777" s="662"/>
    </row>
    <row r="778" spans="25:35" s="80" customFormat="1">
      <c r="Y778" s="662"/>
      <c r="Z778" s="662"/>
      <c r="AA778" s="662"/>
      <c r="AB778" s="662"/>
      <c r="AC778" s="662"/>
      <c r="AD778" s="662"/>
      <c r="AE778" s="662"/>
      <c r="AF778" s="662"/>
      <c r="AG778" s="662"/>
      <c r="AH778" s="662"/>
      <c r="AI778" s="662"/>
    </row>
    <row r="779" spans="25:35" s="80" customFormat="1">
      <c r="Y779" s="662"/>
      <c r="Z779" s="662"/>
      <c r="AA779" s="662"/>
      <c r="AB779" s="662"/>
      <c r="AC779" s="662"/>
      <c r="AD779" s="662"/>
      <c r="AE779" s="662"/>
      <c r="AF779" s="662"/>
      <c r="AG779" s="662"/>
      <c r="AH779" s="662"/>
      <c r="AI779" s="662"/>
    </row>
    <row r="780" spans="25:35" s="80" customFormat="1">
      <c r="Y780" s="662"/>
      <c r="Z780" s="662"/>
      <c r="AA780" s="662"/>
      <c r="AB780" s="662"/>
      <c r="AC780" s="662"/>
      <c r="AD780" s="662"/>
      <c r="AE780" s="662"/>
      <c r="AF780" s="662"/>
      <c r="AG780" s="662"/>
      <c r="AH780" s="662"/>
      <c r="AI780" s="662"/>
    </row>
    <row r="781" spans="25:35" s="80" customFormat="1">
      <c r="Y781" s="662"/>
      <c r="Z781" s="662"/>
      <c r="AA781" s="662"/>
      <c r="AB781" s="662"/>
      <c r="AC781" s="662"/>
      <c r="AD781" s="662"/>
      <c r="AE781" s="662"/>
      <c r="AF781" s="662"/>
      <c r="AG781" s="662"/>
      <c r="AH781" s="662"/>
      <c r="AI781" s="662"/>
    </row>
    <row r="782" spans="25:35" s="80" customFormat="1">
      <c r="Y782" s="662"/>
      <c r="Z782" s="662"/>
      <c r="AA782" s="662"/>
      <c r="AB782" s="662"/>
      <c r="AC782" s="662"/>
      <c r="AD782" s="662"/>
      <c r="AE782" s="662"/>
      <c r="AF782" s="662"/>
      <c r="AG782" s="662"/>
      <c r="AH782" s="662"/>
      <c r="AI782" s="662"/>
    </row>
    <row r="783" spans="25:35" s="80" customFormat="1">
      <c r="Y783" s="662"/>
      <c r="Z783" s="662"/>
      <c r="AA783" s="662"/>
      <c r="AB783" s="662"/>
      <c r="AC783" s="662"/>
      <c r="AD783" s="662"/>
      <c r="AE783" s="662"/>
      <c r="AF783" s="662"/>
      <c r="AG783" s="662"/>
      <c r="AH783" s="662"/>
      <c r="AI783" s="662"/>
    </row>
    <row r="784" spans="25:35" s="80" customFormat="1">
      <c r="Y784" s="662"/>
      <c r="Z784" s="662"/>
      <c r="AA784" s="662"/>
      <c r="AB784" s="662"/>
      <c r="AC784" s="662"/>
      <c r="AD784" s="662"/>
      <c r="AE784" s="662"/>
      <c r="AF784" s="662"/>
      <c r="AG784" s="662"/>
      <c r="AH784" s="662"/>
      <c r="AI784" s="662"/>
    </row>
    <row r="785" spans="25:35" s="80" customFormat="1">
      <c r="Y785" s="662"/>
      <c r="Z785" s="662"/>
      <c r="AA785" s="662"/>
      <c r="AB785" s="662"/>
      <c r="AC785" s="662"/>
      <c r="AD785" s="662"/>
      <c r="AE785" s="662"/>
      <c r="AF785" s="662"/>
      <c r="AG785" s="662"/>
      <c r="AH785" s="662"/>
      <c r="AI785" s="662"/>
    </row>
    <row r="786" spans="25:35" s="80" customFormat="1">
      <c r="Y786" s="662"/>
      <c r="Z786" s="662"/>
      <c r="AA786" s="662"/>
      <c r="AB786" s="662"/>
      <c r="AC786" s="662"/>
      <c r="AD786" s="662"/>
      <c r="AE786" s="662"/>
      <c r="AF786" s="662"/>
      <c r="AG786" s="662"/>
      <c r="AH786" s="662"/>
      <c r="AI786" s="662"/>
    </row>
    <row r="787" spans="25:35" s="80" customFormat="1">
      <c r="Y787" s="662"/>
      <c r="Z787" s="662"/>
      <c r="AA787" s="662"/>
      <c r="AB787" s="662"/>
      <c r="AC787" s="662"/>
      <c r="AD787" s="662"/>
      <c r="AE787" s="662"/>
      <c r="AF787" s="662"/>
      <c r="AG787" s="662"/>
      <c r="AH787" s="662"/>
      <c r="AI787" s="662"/>
    </row>
    <row r="788" spans="25:35" s="80" customFormat="1">
      <c r="Y788" s="662"/>
      <c r="Z788" s="662"/>
      <c r="AA788" s="662"/>
      <c r="AB788" s="662"/>
      <c r="AC788" s="662"/>
      <c r="AD788" s="662"/>
      <c r="AE788" s="662"/>
      <c r="AF788" s="662"/>
      <c r="AG788" s="662"/>
      <c r="AH788" s="662"/>
      <c r="AI788" s="662"/>
    </row>
    <row r="789" spans="25:35" s="80" customFormat="1">
      <c r="Y789" s="662"/>
      <c r="Z789" s="662"/>
      <c r="AA789" s="662"/>
      <c r="AB789" s="662"/>
      <c r="AC789" s="662"/>
      <c r="AD789" s="662"/>
      <c r="AE789" s="662"/>
      <c r="AF789" s="662"/>
      <c r="AG789" s="662"/>
      <c r="AH789" s="662"/>
      <c r="AI789" s="662"/>
    </row>
    <row r="790" spans="25:35" s="80" customFormat="1">
      <c r="Y790" s="662"/>
      <c r="Z790" s="662"/>
      <c r="AA790" s="662"/>
      <c r="AB790" s="662"/>
      <c r="AC790" s="662"/>
      <c r="AD790" s="662"/>
      <c r="AE790" s="662"/>
      <c r="AF790" s="662"/>
      <c r="AG790" s="662"/>
      <c r="AH790" s="662"/>
      <c r="AI790" s="662"/>
    </row>
    <row r="791" spans="25:35" s="80" customFormat="1">
      <c r="Y791" s="662"/>
      <c r="Z791" s="662"/>
      <c r="AA791" s="662"/>
      <c r="AB791" s="662"/>
      <c r="AC791" s="662"/>
      <c r="AD791" s="662"/>
      <c r="AE791" s="662"/>
      <c r="AF791" s="662"/>
      <c r="AG791" s="662"/>
      <c r="AH791" s="662"/>
      <c r="AI791" s="662"/>
    </row>
    <row r="792" spans="25:35" s="80" customFormat="1">
      <c r="Y792" s="662"/>
      <c r="Z792" s="662"/>
      <c r="AA792" s="662"/>
      <c r="AB792" s="662"/>
      <c r="AC792" s="662"/>
      <c r="AD792" s="662"/>
      <c r="AE792" s="662"/>
      <c r="AF792" s="662"/>
      <c r="AG792" s="662"/>
      <c r="AH792" s="662"/>
      <c r="AI792" s="662"/>
    </row>
    <row r="793" spans="25:35" s="80" customFormat="1">
      <c r="Y793" s="662"/>
      <c r="Z793" s="662"/>
      <c r="AA793" s="662"/>
      <c r="AB793" s="662"/>
      <c r="AC793" s="662"/>
      <c r="AD793" s="662"/>
      <c r="AE793" s="662"/>
      <c r="AF793" s="662"/>
      <c r="AG793" s="662"/>
      <c r="AH793" s="662"/>
      <c r="AI793" s="662"/>
    </row>
    <row r="794" spans="25:35" s="80" customFormat="1">
      <c r="Y794" s="662"/>
      <c r="Z794" s="662"/>
      <c r="AA794" s="662"/>
      <c r="AB794" s="662"/>
      <c r="AC794" s="662"/>
      <c r="AD794" s="662"/>
      <c r="AE794" s="662"/>
      <c r="AF794" s="662"/>
      <c r="AG794" s="662"/>
      <c r="AH794" s="662"/>
      <c r="AI794" s="662"/>
    </row>
    <row r="795" spans="25:35" s="80" customFormat="1">
      <c r="Y795" s="662"/>
      <c r="Z795" s="662"/>
      <c r="AA795" s="662"/>
      <c r="AB795" s="662"/>
      <c r="AC795" s="662"/>
      <c r="AD795" s="662"/>
      <c r="AE795" s="662"/>
      <c r="AF795" s="662"/>
      <c r="AG795" s="662"/>
      <c r="AH795" s="662"/>
      <c r="AI795" s="662"/>
    </row>
    <row r="796" spans="25:35" s="80" customFormat="1">
      <c r="Y796" s="662"/>
      <c r="Z796" s="662"/>
      <c r="AA796" s="662"/>
      <c r="AB796" s="662"/>
      <c r="AC796" s="662"/>
      <c r="AD796" s="662"/>
      <c r="AE796" s="662"/>
      <c r="AF796" s="662"/>
      <c r="AG796" s="662"/>
      <c r="AH796" s="662"/>
      <c r="AI796" s="662"/>
    </row>
    <row r="797" spans="25:35" s="80" customFormat="1">
      <c r="Y797" s="662"/>
      <c r="Z797" s="662"/>
      <c r="AA797" s="662"/>
      <c r="AB797" s="662"/>
      <c r="AC797" s="662"/>
      <c r="AD797" s="662"/>
      <c r="AE797" s="662"/>
      <c r="AF797" s="662"/>
      <c r="AG797" s="662"/>
      <c r="AH797" s="662"/>
      <c r="AI797" s="662"/>
    </row>
    <row r="798" spans="25:35" s="80" customFormat="1">
      <c r="Y798" s="662"/>
      <c r="Z798" s="662"/>
      <c r="AA798" s="662"/>
      <c r="AB798" s="662"/>
      <c r="AC798" s="662"/>
      <c r="AD798" s="662"/>
      <c r="AE798" s="662"/>
      <c r="AF798" s="662"/>
      <c r="AG798" s="662"/>
      <c r="AH798" s="662"/>
      <c r="AI798" s="662"/>
    </row>
    <row r="799" spans="25:35" s="80" customFormat="1">
      <c r="Y799" s="662"/>
      <c r="Z799" s="662"/>
      <c r="AA799" s="662"/>
      <c r="AB799" s="662"/>
      <c r="AC799" s="662"/>
      <c r="AD799" s="662"/>
      <c r="AE799" s="662"/>
      <c r="AF799" s="662"/>
      <c r="AG799" s="662"/>
      <c r="AH799" s="662"/>
      <c r="AI799" s="662"/>
    </row>
    <row r="800" spans="25:35" s="80" customFormat="1">
      <c r="Y800" s="662"/>
      <c r="Z800" s="662"/>
      <c r="AA800" s="662"/>
      <c r="AB800" s="662"/>
      <c r="AC800" s="662"/>
      <c r="AD800" s="662"/>
      <c r="AE800" s="662"/>
      <c r="AF800" s="662"/>
      <c r="AG800" s="662"/>
      <c r="AH800" s="662"/>
      <c r="AI800" s="662"/>
    </row>
    <row r="801" spans="25:35" s="80" customFormat="1">
      <c r="Y801" s="662"/>
      <c r="Z801" s="662"/>
      <c r="AA801" s="662"/>
      <c r="AB801" s="662"/>
      <c r="AC801" s="662"/>
      <c r="AD801" s="662"/>
      <c r="AE801" s="662"/>
      <c r="AF801" s="662"/>
      <c r="AG801" s="662"/>
      <c r="AH801" s="662"/>
      <c r="AI801" s="662"/>
    </row>
    <row r="802" spans="25:35" s="80" customFormat="1">
      <c r="Y802" s="662"/>
      <c r="Z802" s="662"/>
      <c r="AA802" s="662"/>
      <c r="AB802" s="662"/>
      <c r="AC802" s="662"/>
      <c r="AD802" s="662"/>
      <c r="AE802" s="662"/>
      <c r="AF802" s="662"/>
      <c r="AG802" s="662"/>
      <c r="AH802" s="662"/>
      <c r="AI802" s="662"/>
    </row>
    <row r="803" spans="25:35" s="80" customFormat="1">
      <c r="Y803" s="662"/>
      <c r="Z803" s="662"/>
      <c r="AA803" s="662"/>
      <c r="AB803" s="662"/>
      <c r="AC803" s="662"/>
      <c r="AD803" s="662"/>
      <c r="AE803" s="662"/>
      <c r="AF803" s="662"/>
      <c r="AG803" s="662"/>
      <c r="AH803" s="662"/>
      <c r="AI803" s="662"/>
    </row>
    <row r="804" spans="25:35" s="80" customFormat="1">
      <c r="Y804" s="662"/>
      <c r="Z804" s="662"/>
      <c r="AA804" s="662"/>
      <c r="AB804" s="662"/>
      <c r="AC804" s="662"/>
      <c r="AD804" s="662"/>
      <c r="AE804" s="662"/>
      <c r="AF804" s="662"/>
      <c r="AG804" s="662"/>
      <c r="AH804" s="662"/>
      <c r="AI804" s="662"/>
    </row>
    <row r="805" spans="25:35" s="80" customFormat="1">
      <c r="Y805" s="662"/>
      <c r="Z805" s="662"/>
      <c r="AA805" s="662"/>
      <c r="AB805" s="662"/>
      <c r="AC805" s="662"/>
      <c r="AD805" s="662"/>
      <c r="AE805" s="662"/>
      <c r="AF805" s="662"/>
      <c r="AG805" s="662"/>
      <c r="AH805" s="662"/>
      <c r="AI805" s="662"/>
    </row>
    <row r="806" spans="25:35" s="80" customFormat="1">
      <c r="Y806" s="662"/>
      <c r="Z806" s="662"/>
      <c r="AA806" s="662"/>
      <c r="AB806" s="662"/>
      <c r="AC806" s="662"/>
      <c r="AD806" s="662"/>
      <c r="AE806" s="662"/>
      <c r="AF806" s="662"/>
      <c r="AG806" s="662"/>
      <c r="AH806" s="662"/>
      <c r="AI806" s="662"/>
    </row>
    <row r="807" spans="25:35" s="80" customFormat="1">
      <c r="Y807" s="662"/>
      <c r="Z807" s="662"/>
      <c r="AA807" s="662"/>
      <c r="AB807" s="662"/>
      <c r="AC807" s="662"/>
      <c r="AD807" s="662"/>
      <c r="AE807" s="662"/>
      <c r="AF807" s="662"/>
      <c r="AG807" s="662"/>
      <c r="AH807" s="662"/>
      <c r="AI807" s="662"/>
    </row>
    <row r="808" spans="25:35" s="80" customFormat="1">
      <c r="Y808" s="662"/>
      <c r="Z808" s="662"/>
      <c r="AA808" s="662"/>
      <c r="AB808" s="662"/>
      <c r="AC808" s="662"/>
      <c r="AD808" s="662"/>
      <c r="AE808" s="662"/>
      <c r="AF808" s="662"/>
      <c r="AG808" s="662"/>
      <c r="AH808" s="662"/>
      <c r="AI808" s="662"/>
    </row>
    <row r="809" spans="25:35" s="80" customFormat="1">
      <c r="Y809" s="662"/>
      <c r="Z809" s="662"/>
      <c r="AA809" s="662"/>
      <c r="AB809" s="662"/>
      <c r="AC809" s="662"/>
      <c r="AD809" s="662"/>
      <c r="AE809" s="662"/>
      <c r="AF809" s="662"/>
      <c r="AG809" s="662"/>
      <c r="AH809" s="662"/>
      <c r="AI809" s="662"/>
    </row>
    <row r="810" spans="25:35" s="80" customFormat="1">
      <c r="Y810" s="662"/>
      <c r="Z810" s="662"/>
      <c r="AA810" s="662"/>
      <c r="AB810" s="662"/>
      <c r="AC810" s="662"/>
      <c r="AD810" s="662"/>
      <c r="AE810" s="662"/>
      <c r="AF810" s="662"/>
      <c r="AG810" s="662"/>
      <c r="AH810" s="662"/>
      <c r="AI810" s="662"/>
    </row>
    <row r="811" spans="25:35" s="80" customFormat="1">
      <c r="Y811" s="662"/>
      <c r="Z811" s="662"/>
      <c r="AA811" s="662"/>
      <c r="AB811" s="662"/>
      <c r="AC811" s="662"/>
      <c r="AD811" s="662"/>
      <c r="AE811" s="662"/>
      <c r="AF811" s="662"/>
      <c r="AG811" s="662"/>
      <c r="AH811" s="662"/>
      <c r="AI811" s="662"/>
    </row>
    <row r="812" spans="25:35" s="80" customFormat="1">
      <c r="Y812" s="662"/>
      <c r="Z812" s="662"/>
      <c r="AA812" s="662"/>
      <c r="AB812" s="662"/>
      <c r="AC812" s="662"/>
      <c r="AD812" s="662"/>
      <c r="AE812" s="662"/>
      <c r="AF812" s="662"/>
      <c r="AG812" s="662"/>
      <c r="AH812" s="662"/>
      <c r="AI812" s="662"/>
    </row>
    <row r="813" spans="25:35" s="80" customFormat="1">
      <c r="Y813" s="662"/>
      <c r="Z813" s="662"/>
      <c r="AA813" s="662"/>
      <c r="AB813" s="662"/>
      <c r="AC813" s="662"/>
      <c r="AD813" s="662"/>
      <c r="AE813" s="662"/>
      <c r="AF813" s="662"/>
      <c r="AG813" s="662"/>
      <c r="AH813" s="662"/>
      <c r="AI813" s="662"/>
    </row>
    <row r="814" spans="25:35" s="80" customFormat="1">
      <c r="Y814" s="662"/>
      <c r="Z814" s="662"/>
      <c r="AA814" s="662"/>
      <c r="AB814" s="662"/>
      <c r="AC814" s="662"/>
      <c r="AD814" s="662"/>
      <c r="AE814" s="662"/>
      <c r="AF814" s="662"/>
      <c r="AG814" s="662"/>
      <c r="AH814" s="662"/>
      <c r="AI814" s="662"/>
    </row>
    <row r="815" spans="25:35" s="80" customFormat="1">
      <c r="Y815" s="662"/>
      <c r="Z815" s="662"/>
      <c r="AA815" s="662"/>
      <c r="AB815" s="662"/>
      <c r="AC815" s="662"/>
      <c r="AD815" s="662"/>
      <c r="AE815" s="662"/>
      <c r="AF815" s="662"/>
      <c r="AG815" s="662"/>
      <c r="AH815" s="662"/>
      <c r="AI815" s="662"/>
    </row>
    <row r="816" spans="25:35" s="80" customFormat="1">
      <c r="Y816" s="662"/>
      <c r="Z816" s="662"/>
      <c r="AA816" s="662"/>
      <c r="AB816" s="662"/>
      <c r="AC816" s="662"/>
      <c r="AD816" s="662"/>
      <c r="AE816" s="662"/>
      <c r="AF816" s="662"/>
      <c r="AG816" s="662"/>
      <c r="AH816" s="662"/>
      <c r="AI816" s="662"/>
    </row>
    <row r="817" spans="25:35" s="80" customFormat="1">
      <c r="Y817" s="662"/>
      <c r="Z817" s="662"/>
      <c r="AA817" s="662"/>
      <c r="AB817" s="662"/>
      <c r="AC817" s="662"/>
      <c r="AD817" s="662"/>
      <c r="AE817" s="662"/>
      <c r="AF817" s="662"/>
      <c r="AG817" s="662"/>
      <c r="AH817" s="662"/>
      <c r="AI817" s="662"/>
    </row>
    <row r="818" spans="25:35" s="80" customFormat="1">
      <c r="Y818" s="662"/>
      <c r="Z818" s="662"/>
      <c r="AA818" s="662"/>
      <c r="AB818" s="662"/>
      <c r="AC818" s="662"/>
      <c r="AD818" s="662"/>
      <c r="AE818" s="662"/>
      <c r="AF818" s="662"/>
      <c r="AG818" s="662"/>
      <c r="AH818" s="662"/>
      <c r="AI818" s="662"/>
    </row>
    <row r="819" spans="25:35" s="80" customFormat="1">
      <c r="Y819" s="662"/>
      <c r="Z819" s="662"/>
      <c r="AA819" s="662"/>
      <c r="AB819" s="662"/>
      <c r="AC819" s="662"/>
      <c r="AD819" s="662"/>
      <c r="AE819" s="662"/>
      <c r="AF819" s="662"/>
      <c r="AG819" s="662"/>
      <c r="AH819" s="662"/>
      <c r="AI819" s="662"/>
    </row>
    <row r="820" spans="25:35" s="80" customFormat="1">
      <c r="Y820" s="662"/>
      <c r="Z820" s="662"/>
      <c r="AA820" s="662"/>
      <c r="AB820" s="662"/>
      <c r="AC820" s="662"/>
      <c r="AD820" s="662"/>
      <c r="AE820" s="662"/>
      <c r="AF820" s="662"/>
      <c r="AG820" s="662"/>
      <c r="AH820" s="662"/>
      <c r="AI820" s="662"/>
    </row>
    <row r="821" spans="25:35" s="80" customFormat="1">
      <c r="Y821" s="662"/>
      <c r="Z821" s="662"/>
      <c r="AA821" s="662"/>
      <c r="AB821" s="662"/>
      <c r="AC821" s="662"/>
      <c r="AD821" s="662"/>
      <c r="AE821" s="662"/>
      <c r="AF821" s="662"/>
      <c r="AG821" s="662"/>
      <c r="AH821" s="662"/>
      <c r="AI821" s="662"/>
    </row>
    <row r="822" spans="25:35" s="80" customFormat="1">
      <c r="Y822" s="662"/>
      <c r="Z822" s="662"/>
      <c r="AA822" s="662"/>
      <c r="AB822" s="662"/>
      <c r="AC822" s="662"/>
      <c r="AD822" s="662"/>
      <c r="AE822" s="662"/>
      <c r="AF822" s="662"/>
      <c r="AG822" s="662"/>
      <c r="AH822" s="662"/>
      <c r="AI822" s="662"/>
    </row>
    <row r="823" spans="25:35" s="80" customFormat="1">
      <c r="Y823" s="662"/>
      <c r="Z823" s="662"/>
      <c r="AA823" s="662"/>
      <c r="AB823" s="662"/>
      <c r="AC823" s="662"/>
      <c r="AD823" s="662"/>
      <c r="AE823" s="662"/>
      <c r="AF823" s="662"/>
      <c r="AG823" s="662"/>
      <c r="AH823" s="662"/>
      <c r="AI823" s="662"/>
    </row>
    <row r="824" spans="25:35" s="80" customFormat="1">
      <c r="Y824" s="662"/>
      <c r="Z824" s="662"/>
      <c r="AA824" s="662"/>
      <c r="AB824" s="662"/>
      <c r="AC824" s="662"/>
      <c r="AD824" s="662"/>
      <c r="AE824" s="662"/>
      <c r="AF824" s="662"/>
      <c r="AG824" s="662"/>
      <c r="AH824" s="662"/>
      <c r="AI824" s="662"/>
    </row>
    <row r="825" spans="25:35" s="80" customFormat="1">
      <c r="Y825" s="662"/>
      <c r="Z825" s="662"/>
      <c r="AA825" s="662"/>
      <c r="AB825" s="662"/>
      <c r="AC825" s="662"/>
      <c r="AD825" s="662"/>
      <c r="AE825" s="662"/>
      <c r="AF825" s="662"/>
      <c r="AG825" s="662"/>
      <c r="AH825" s="662"/>
      <c r="AI825" s="662"/>
    </row>
    <row r="826" spans="25:35" s="80" customFormat="1">
      <c r="Y826" s="662"/>
      <c r="Z826" s="662"/>
      <c r="AA826" s="662"/>
      <c r="AB826" s="662"/>
      <c r="AC826" s="662"/>
      <c r="AD826" s="662"/>
      <c r="AE826" s="662"/>
      <c r="AF826" s="662"/>
      <c r="AG826" s="662"/>
      <c r="AH826" s="662"/>
      <c r="AI826" s="662"/>
    </row>
    <row r="827" spans="25:35" s="80" customFormat="1">
      <c r="Y827" s="662"/>
      <c r="Z827" s="662"/>
      <c r="AA827" s="662"/>
      <c r="AB827" s="662"/>
      <c r="AC827" s="662"/>
      <c r="AD827" s="662"/>
      <c r="AE827" s="662"/>
      <c r="AF827" s="662"/>
      <c r="AG827" s="662"/>
      <c r="AH827" s="662"/>
      <c r="AI827" s="662"/>
    </row>
    <row r="828" spans="25:35" s="80" customFormat="1">
      <c r="Y828" s="662"/>
      <c r="Z828" s="662"/>
      <c r="AA828" s="662"/>
      <c r="AB828" s="662"/>
      <c r="AC828" s="662"/>
      <c r="AD828" s="662"/>
      <c r="AE828" s="662"/>
      <c r="AF828" s="662"/>
      <c r="AG828" s="662"/>
      <c r="AH828" s="662"/>
      <c r="AI828" s="662"/>
    </row>
    <row r="829" spans="25:35" s="80" customFormat="1">
      <c r="Y829" s="662"/>
      <c r="Z829" s="662"/>
      <c r="AA829" s="662"/>
      <c r="AB829" s="662"/>
      <c r="AC829" s="662"/>
      <c r="AD829" s="662"/>
      <c r="AE829" s="662"/>
      <c r="AF829" s="662"/>
      <c r="AG829" s="662"/>
      <c r="AH829" s="662"/>
      <c r="AI829" s="662"/>
    </row>
    <row r="830" spans="25:35" s="80" customFormat="1">
      <c r="Y830" s="662"/>
      <c r="Z830" s="662"/>
      <c r="AA830" s="662"/>
      <c r="AB830" s="662"/>
      <c r="AC830" s="662"/>
      <c r="AD830" s="662"/>
      <c r="AE830" s="662"/>
      <c r="AF830" s="662"/>
      <c r="AG830" s="662"/>
      <c r="AH830" s="662"/>
      <c r="AI830" s="662"/>
    </row>
    <row r="831" spans="25:35" s="80" customFormat="1">
      <c r="Y831" s="662"/>
      <c r="Z831" s="662"/>
      <c r="AA831" s="662"/>
      <c r="AB831" s="662"/>
      <c r="AC831" s="662"/>
      <c r="AD831" s="662"/>
      <c r="AE831" s="662"/>
      <c r="AF831" s="662"/>
      <c r="AG831" s="662"/>
      <c r="AH831" s="662"/>
      <c r="AI831" s="662"/>
    </row>
    <row r="832" spans="25:35" s="80" customFormat="1">
      <c r="Y832" s="662"/>
      <c r="Z832" s="662"/>
      <c r="AA832" s="662"/>
      <c r="AB832" s="662"/>
      <c r="AC832" s="662"/>
      <c r="AD832" s="662"/>
      <c r="AE832" s="662"/>
      <c r="AF832" s="662"/>
      <c r="AG832" s="662"/>
      <c r="AH832" s="662"/>
      <c r="AI832" s="662"/>
    </row>
    <row r="833" spans="25:35" s="80" customFormat="1">
      <c r="Y833" s="662"/>
      <c r="Z833" s="662"/>
      <c r="AA833" s="662"/>
      <c r="AB833" s="662"/>
      <c r="AC833" s="662"/>
      <c r="AD833" s="662"/>
      <c r="AE833" s="662"/>
      <c r="AF833" s="662"/>
      <c r="AG833" s="662"/>
      <c r="AH833" s="662"/>
      <c r="AI833" s="662"/>
    </row>
    <row r="834" spans="25:35" s="80" customFormat="1">
      <c r="Y834" s="662"/>
      <c r="Z834" s="662"/>
      <c r="AA834" s="662"/>
      <c r="AB834" s="662"/>
      <c r="AC834" s="662"/>
      <c r="AD834" s="662"/>
      <c r="AE834" s="662"/>
      <c r="AF834" s="662"/>
      <c r="AG834" s="662"/>
      <c r="AH834" s="662"/>
      <c r="AI834" s="662"/>
    </row>
    <row r="835" spans="25:35" s="80" customFormat="1">
      <c r="Y835" s="662"/>
      <c r="Z835" s="662"/>
      <c r="AA835" s="662"/>
      <c r="AB835" s="662"/>
      <c r="AC835" s="662"/>
      <c r="AD835" s="662"/>
      <c r="AE835" s="662"/>
      <c r="AF835" s="662"/>
      <c r="AG835" s="662"/>
      <c r="AH835" s="662"/>
      <c r="AI835" s="662"/>
    </row>
    <row r="836" spans="25:35" s="80" customFormat="1">
      <c r="Y836" s="662"/>
      <c r="Z836" s="662"/>
      <c r="AA836" s="662"/>
      <c r="AB836" s="662"/>
      <c r="AC836" s="662"/>
      <c r="AD836" s="662"/>
      <c r="AE836" s="662"/>
      <c r="AF836" s="662"/>
      <c r="AG836" s="662"/>
      <c r="AH836" s="662"/>
      <c r="AI836" s="662"/>
    </row>
    <row r="837" spans="25:35" s="80" customFormat="1">
      <c r="Y837" s="662"/>
      <c r="Z837" s="662"/>
      <c r="AA837" s="662"/>
      <c r="AB837" s="662"/>
      <c r="AC837" s="662"/>
      <c r="AD837" s="662"/>
      <c r="AE837" s="662"/>
      <c r="AF837" s="662"/>
      <c r="AG837" s="662"/>
      <c r="AH837" s="662"/>
      <c r="AI837" s="662"/>
    </row>
    <row r="838" spans="25:35" s="80" customFormat="1">
      <c r="Y838" s="662"/>
      <c r="Z838" s="662"/>
      <c r="AA838" s="662"/>
      <c r="AB838" s="662"/>
      <c r="AC838" s="662"/>
      <c r="AD838" s="662"/>
      <c r="AE838" s="662"/>
      <c r="AF838" s="662"/>
      <c r="AG838" s="662"/>
      <c r="AH838" s="662"/>
      <c r="AI838" s="662"/>
    </row>
    <row r="839" spans="25:35" s="80" customFormat="1">
      <c r="Y839" s="662"/>
      <c r="Z839" s="662"/>
      <c r="AA839" s="662"/>
      <c r="AB839" s="662"/>
      <c r="AC839" s="662"/>
      <c r="AD839" s="662"/>
      <c r="AE839" s="662"/>
      <c r="AF839" s="662"/>
      <c r="AG839" s="662"/>
      <c r="AH839" s="662"/>
      <c r="AI839" s="662"/>
    </row>
    <row r="840" spans="25:35" s="80" customFormat="1">
      <c r="Y840" s="662"/>
      <c r="Z840" s="662"/>
      <c r="AA840" s="662"/>
      <c r="AB840" s="662"/>
      <c r="AC840" s="662"/>
      <c r="AD840" s="662"/>
      <c r="AE840" s="662"/>
      <c r="AF840" s="662"/>
      <c r="AG840" s="662"/>
      <c r="AH840" s="662"/>
      <c r="AI840" s="662"/>
    </row>
    <row r="841" spans="25:35" s="80" customFormat="1">
      <c r="Y841" s="662"/>
      <c r="Z841" s="662"/>
      <c r="AA841" s="662"/>
      <c r="AB841" s="662"/>
      <c r="AC841" s="662"/>
      <c r="AD841" s="662"/>
      <c r="AE841" s="662"/>
      <c r="AF841" s="662"/>
      <c r="AG841" s="662"/>
      <c r="AH841" s="662"/>
      <c r="AI841" s="662"/>
    </row>
    <row r="842" spans="25:35" s="80" customFormat="1">
      <c r="Y842" s="662"/>
      <c r="Z842" s="662"/>
      <c r="AA842" s="662"/>
      <c r="AB842" s="662"/>
      <c r="AC842" s="662"/>
      <c r="AD842" s="662"/>
      <c r="AE842" s="662"/>
      <c r="AF842" s="662"/>
      <c r="AG842" s="662"/>
      <c r="AH842" s="662"/>
      <c r="AI842" s="662"/>
    </row>
    <row r="843" spans="25:35" s="80" customFormat="1">
      <c r="Y843" s="662"/>
      <c r="Z843" s="662"/>
      <c r="AA843" s="662"/>
      <c r="AB843" s="662"/>
      <c r="AC843" s="662"/>
      <c r="AD843" s="662"/>
      <c r="AE843" s="662"/>
      <c r="AF843" s="662"/>
      <c r="AG843" s="662"/>
      <c r="AH843" s="662"/>
      <c r="AI843" s="662"/>
    </row>
    <row r="844" spans="25:35" s="80" customFormat="1">
      <c r="Y844" s="662"/>
      <c r="Z844" s="662"/>
      <c r="AA844" s="662"/>
      <c r="AB844" s="662"/>
      <c r="AC844" s="662"/>
      <c r="AD844" s="662"/>
      <c r="AE844" s="662"/>
      <c r="AF844" s="662"/>
      <c r="AG844" s="662"/>
      <c r="AH844" s="662"/>
      <c r="AI844" s="662"/>
    </row>
    <row r="845" spans="25:35" s="80" customFormat="1">
      <c r="Y845" s="662"/>
      <c r="Z845" s="662"/>
      <c r="AA845" s="662"/>
      <c r="AB845" s="662"/>
      <c r="AC845" s="662"/>
      <c r="AD845" s="662"/>
      <c r="AE845" s="662"/>
      <c r="AF845" s="662"/>
      <c r="AG845" s="662"/>
      <c r="AH845" s="662"/>
      <c r="AI845" s="662"/>
    </row>
    <row r="846" spans="25:35" s="80" customFormat="1">
      <c r="Y846" s="662"/>
      <c r="Z846" s="662"/>
      <c r="AA846" s="662"/>
      <c r="AB846" s="662"/>
      <c r="AC846" s="662"/>
      <c r="AD846" s="662"/>
      <c r="AE846" s="662"/>
      <c r="AF846" s="662"/>
      <c r="AG846" s="662"/>
      <c r="AH846" s="662"/>
      <c r="AI846" s="662"/>
    </row>
    <row r="847" spans="25:35" s="80" customFormat="1">
      <c r="Y847" s="662"/>
      <c r="Z847" s="662"/>
      <c r="AA847" s="662"/>
      <c r="AB847" s="662"/>
      <c r="AC847" s="662"/>
      <c r="AD847" s="662"/>
      <c r="AE847" s="662"/>
      <c r="AF847" s="662"/>
      <c r="AG847" s="662"/>
      <c r="AH847" s="662"/>
      <c r="AI847" s="662"/>
    </row>
    <row r="848" spans="25:35" s="80" customFormat="1">
      <c r="Y848" s="662"/>
      <c r="Z848" s="662"/>
      <c r="AA848" s="662"/>
      <c r="AB848" s="662"/>
      <c r="AC848" s="662"/>
      <c r="AD848" s="662"/>
      <c r="AE848" s="662"/>
      <c r="AF848" s="662"/>
      <c r="AG848" s="662"/>
      <c r="AH848" s="662"/>
      <c r="AI848" s="662"/>
    </row>
    <row r="849" spans="25:35" s="80" customFormat="1">
      <c r="Y849" s="662"/>
      <c r="Z849" s="662"/>
      <c r="AA849" s="662"/>
      <c r="AB849" s="662"/>
      <c r="AC849" s="662"/>
      <c r="AD849" s="662"/>
      <c r="AE849" s="662"/>
      <c r="AF849" s="662"/>
      <c r="AG849" s="662"/>
      <c r="AH849" s="662"/>
      <c r="AI849" s="662"/>
    </row>
    <row r="850" spans="25:35" s="80" customFormat="1">
      <c r="Y850" s="662"/>
      <c r="Z850" s="662"/>
      <c r="AA850" s="662"/>
      <c r="AB850" s="662"/>
      <c r="AC850" s="662"/>
      <c r="AD850" s="662"/>
      <c r="AE850" s="662"/>
      <c r="AF850" s="662"/>
      <c r="AG850" s="662"/>
      <c r="AH850" s="662"/>
      <c r="AI850" s="662"/>
    </row>
    <row r="851" spans="25:35" s="80" customFormat="1">
      <c r="Y851" s="662"/>
      <c r="Z851" s="662"/>
      <c r="AA851" s="662"/>
      <c r="AB851" s="662"/>
      <c r="AC851" s="662"/>
      <c r="AD851" s="662"/>
      <c r="AE851" s="662"/>
      <c r="AF851" s="662"/>
      <c r="AG851" s="662"/>
      <c r="AH851" s="662"/>
      <c r="AI851" s="662"/>
    </row>
    <row r="852" spans="25:35" s="80" customFormat="1">
      <c r="Y852" s="662"/>
      <c r="Z852" s="662"/>
      <c r="AA852" s="662"/>
      <c r="AB852" s="662"/>
      <c r="AC852" s="662"/>
      <c r="AD852" s="662"/>
      <c r="AE852" s="662"/>
      <c r="AF852" s="662"/>
      <c r="AG852" s="662"/>
      <c r="AH852" s="662"/>
      <c r="AI852" s="662"/>
    </row>
    <row r="853" spans="25:35" s="80" customFormat="1">
      <c r="Y853" s="662"/>
      <c r="Z853" s="662"/>
      <c r="AA853" s="662"/>
      <c r="AB853" s="662"/>
      <c r="AC853" s="662"/>
      <c r="AD853" s="662"/>
      <c r="AE853" s="662"/>
      <c r="AF853" s="662"/>
      <c r="AG853" s="662"/>
      <c r="AH853" s="662"/>
      <c r="AI853" s="662"/>
    </row>
    <row r="854" spans="25:35" s="80" customFormat="1">
      <c r="Y854" s="662"/>
      <c r="Z854" s="662"/>
      <c r="AA854" s="662"/>
      <c r="AB854" s="662"/>
      <c r="AC854" s="662"/>
      <c r="AD854" s="662"/>
      <c r="AE854" s="662"/>
      <c r="AF854" s="662"/>
      <c r="AG854" s="662"/>
      <c r="AH854" s="662"/>
      <c r="AI854" s="662"/>
    </row>
    <row r="855" spans="25:35" s="80" customFormat="1">
      <c r="Y855" s="662"/>
      <c r="Z855" s="662"/>
      <c r="AA855" s="662"/>
      <c r="AB855" s="662"/>
      <c r="AC855" s="662"/>
      <c r="AD855" s="662"/>
      <c r="AE855" s="662"/>
      <c r="AF855" s="662"/>
      <c r="AG855" s="662"/>
      <c r="AH855" s="662"/>
      <c r="AI855" s="662"/>
    </row>
    <row r="856" spans="25:35" s="80" customFormat="1">
      <c r="Y856" s="662"/>
      <c r="Z856" s="662"/>
      <c r="AA856" s="662"/>
      <c r="AB856" s="662"/>
      <c r="AC856" s="662"/>
      <c r="AD856" s="662"/>
      <c r="AE856" s="662"/>
      <c r="AF856" s="662"/>
      <c r="AG856" s="662"/>
      <c r="AH856" s="662"/>
      <c r="AI856" s="662"/>
    </row>
    <row r="857" spans="25:35" s="80" customFormat="1">
      <c r="Y857" s="662"/>
      <c r="Z857" s="662"/>
      <c r="AA857" s="662"/>
      <c r="AB857" s="662"/>
      <c r="AC857" s="662"/>
      <c r="AD857" s="662"/>
      <c r="AE857" s="662"/>
      <c r="AF857" s="662"/>
      <c r="AG857" s="662"/>
      <c r="AH857" s="662"/>
      <c r="AI857" s="662"/>
    </row>
    <row r="858" spans="25:35" s="80" customFormat="1">
      <c r="Y858" s="662"/>
      <c r="Z858" s="662"/>
      <c r="AA858" s="662"/>
      <c r="AB858" s="662"/>
      <c r="AC858" s="662"/>
      <c r="AD858" s="662"/>
      <c r="AE858" s="662"/>
      <c r="AF858" s="662"/>
      <c r="AG858" s="662"/>
      <c r="AH858" s="662"/>
      <c r="AI858" s="662"/>
    </row>
    <row r="859" spans="25:35" s="80" customFormat="1">
      <c r="Y859" s="662"/>
      <c r="Z859" s="662"/>
      <c r="AA859" s="662"/>
      <c r="AB859" s="662"/>
      <c r="AC859" s="662"/>
      <c r="AD859" s="662"/>
      <c r="AE859" s="662"/>
      <c r="AF859" s="662"/>
      <c r="AG859" s="662"/>
      <c r="AH859" s="662"/>
      <c r="AI859" s="662"/>
    </row>
    <row r="860" spans="25:35" s="80" customFormat="1">
      <c r="Y860" s="662"/>
      <c r="Z860" s="662"/>
      <c r="AA860" s="662"/>
      <c r="AB860" s="662"/>
      <c r="AC860" s="662"/>
      <c r="AD860" s="662"/>
      <c r="AE860" s="662"/>
      <c r="AF860" s="662"/>
      <c r="AG860" s="662"/>
      <c r="AH860" s="662"/>
      <c r="AI860" s="662"/>
    </row>
    <row r="861" spans="25:35" s="80" customFormat="1">
      <c r="Y861" s="662"/>
      <c r="Z861" s="662"/>
      <c r="AA861" s="662"/>
      <c r="AB861" s="662"/>
      <c r="AC861" s="662"/>
      <c r="AD861" s="662"/>
      <c r="AE861" s="662"/>
      <c r="AF861" s="662"/>
      <c r="AG861" s="662"/>
      <c r="AH861" s="662"/>
      <c r="AI861" s="662"/>
    </row>
    <row r="862" spans="25:35" s="80" customFormat="1">
      <c r="Y862" s="662"/>
      <c r="Z862" s="662"/>
      <c r="AA862" s="662"/>
      <c r="AB862" s="662"/>
      <c r="AC862" s="662"/>
      <c r="AD862" s="662"/>
      <c r="AE862" s="662"/>
      <c r="AF862" s="662"/>
      <c r="AG862" s="662"/>
      <c r="AH862" s="662"/>
      <c r="AI862" s="662"/>
    </row>
    <row r="863" spans="25:35" s="80" customFormat="1">
      <c r="Y863" s="662"/>
      <c r="Z863" s="662"/>
      <c r="AA863" s="662"/>
      <c r="AB863" s="662"/>
      <c r="AC863" s="662"/>
      <c r="AD863" s="662"/>
      <c r="AE863" s="662"/>
      <c r="AF863" s="662"/>
      <c r="AG863" s="662"/>
      <c r="AH863" s="662"/>
      <c r="AI863" s="662"/>
    </row>
    <row r="864" spans="25:35" s="80" customFormat="1">
      <c r="Y864" s="662"/>
      <c r="Z864" s="662"/>
      <c r="AA864" s="662"/>
      <c r="AB864" s="662"/>
      <c r="AC864" s="662"/>
      <c r="AD864" s="662"/>
      <c r="AE864" s="662"/>
      <c r="AF864" s="662"/>
      <c r="AG864" s="662"/>
      <c r="AH864" s="662"/>
      <c r="AI864" s="662"/>
    </row>
    <row r="865" spans="25:35" s="80" customFormat="1">
      <c r="Y865" s="662"/>
      <c r="Z865" s="662"/>
      <c r="AA865" s="662"/>
      <c r="AB865" s="662"/>
      <c r="AC865" s="662"/>
      <c r="AD865" s="662"/>
      <c r="AE865" s="662"/>
      <c r="AF865" s="662"/>
      <c r="AG865" s="662"/>
      <c r="AH865" s="662"/>
      <c r="AI865" s="662"/>
    </row>
    <row r="866" spans="25:35" s="80" customFormat="1">
      <c r="Y866" s="662"/>
      <c r="Z866" s="662"/>
      <c r="AA866" s="662"/>
      <c r="AB866" s="662"/>
      <c r="AC866" s="662"/>
      <c r="AD866" s="662"/>
      <c r="AE866" s="662"/>
      <c r="AF866" s="662"/>
      <c r="AG866" s="662"/>
      <c r="AH866" s="662"/>
      <c r="AI866" s="662"/>
    </row>
    <row r="867" spans="25:35" s="80" customFormat="1">
      <c r="Y867" s="662"/>
      <c r="Z867" s="662"/>
      <c r="AA867" s="662"/>
      <c r="AB867" s="662"/>
      <c r="AC867" s="662"/>
      <c r="AD867" s="662"/>
      <c r="AE867" s="662"/>
      <c r="AF867" s="662"/>
      <c r="AG867" s="662"/>
      <c r="AH867" s="662"/>
      <c r="AI867" s="662"/>
    </row>
    <row r="868" spans="25:35" s="80" customFormat="1">
      <c r="Y868" s="662"/>
      <c r="Z868" s="662"/>
      <c r="AA868" s="662"/>
      <c r="AB868" s="662"/>
      <c r="AC868" s="662"/>
      <c r="AD868" s="662"/>
      <c r="AE868" s="662"/>
      <c r="AF868" s="662"/>
      <c r="AG868" s="662"/>
      <c r="AH868" s="662"/>
      <c r="AI868" s="662"/>
    </row>
    <row r="869" spans="25:35" s="80" customFormat="1">
      <c r="Y869" s="662"/>
      <c r="Z869" s="662"/>
      <c r="AA869" s="662"/>
      <c r="AB869" s="662"/>
      <c r="AC869" s="662"/>
      <c r="AD869" s="662"/>
      <c r="AE869" s="662"/>
      <c r="AF869" s="662"/>
      <c r="AG869" s="662"/>
      <c r="AH869" s="662"/>
      <c r="AI869" s="662"/>
    </row>
    <row r="870" spans="25:35" s="80" customFormat="1">
      <c r="Y870" s="662"/>
      <c r="Z870" s="662"/>
      <c r="AA870" s="662"/>
      <c r="AB870" s="662"/>
      <c r="AC870" s="662"/>
      <c r="AD870" s="662"/>
      <c r="AE870" s="662"/>
      <c r="AF870" s="662"/>
      <c r="AG870" s="662"/>
      <c r="AH870" s="662"/>
      <c r="AI870" s="662"/>
    </row>
    <row r="871" spans="25:35" s="80" customFormat="1">
      <c r="Y871" s="662"/>
      <c r="Z871" s="662"/>
      <c r="AA871" s="662"/>
      <c r="AB871" s="662"/>
      <c r="AC871" s="662"/>
      <c r="AD871" s="662"/>
      <c r="AE871" s="662"/>
      <c r="AF871" s="662"/>
      <c r="AG871" s="662"/>
      <c r="AH871" s="662"/>
      <c r="AI871" s="662"/>
    </row>
    <row r="872" spans="25:35" s="80" customFormat="1">
      <c r="Y872" s="662"/>
      <c r="Z872" s="662"/>
      <c r="AA872" s="662"/>
      <c r="AB872" s="662"/>
      <c r="AC872" s="662"/>
      <c r="AD872" s="662"/>
      <c r="AE872" s="662"/>
      <c r="AF872" s="662"/>
      <c r="AG872" s="662"/>
      <c r="AH872" s="662"/>
      <c r="AI872" s="662"/>
    </row>
    <row r="873" spans="25:35" s="80" customFormat="1">
      <c r="Y873" s="662"/>
      <c r="Z873" s="662"/>
      <c r="AA873" s="662"/>
      <c r="AB873" s="662"/>
      <c r="AC873" s="662"/>
      <c r="AD873" s="662"/>
      <c r="AE873" s="662"/>
      <c r="AF873" s="662"/>
      <c r="AG873" s="662"/>
      <c r="AH873" s="662"/>
      <c r="AI873" s="662"/>
    </row>
    <row r="874" spans="25:35" s="80" customFormat="1">
      <c r="Y874" s="662"/>
      <c r="Z874" s="662"/>
      <c r="AA874" s="662"/>
      <c r="AB874" s="662"/>
      <c r="AC874" s="662"/>
      <c r="AD874" s="662"/>
      <c r="AE874" s="662"/>
      <c r="AF874" s="662"/>
      <c r="AG874" s="662"/>
      <c r="AH874" s="662"/>
      <c r="AI874" s="662"/>
    </row>
    <row r="875" spans="25:35" s="80" customFormat="1">
      <c r="Y875" s="662"/>
      <c r="Z875" s="662"/>
      <c r="AA875" s="662"/>
      <c r="AB875" s="662"/>
      <c r="AC875" s="662"/>
      <c r="AD875" s="662"/>
      <c r="AE875" s="662"/>
      <c r="AF875" s="662"/>
      <c r="AG875" s="662"/>
      <c r="AH875" s="662"/>
      <c r="AI875" s="662"/>
    </row>
    <row r="876" spans="25:35" s="80" customFormat="1">
      <c r="Y876" s="662"/>
      <c r="Z876" s="662"/>
      <c r="AA876" s="662"/>
      <c r="AB876" s="662"/>
      <c r="AC876" s="662"/>
      <c r="AD876" s="662"/>
      <c r="AE876" s="662"/>
      <c r="AF876" s="662"/>
      <c r="AG876" s="662"/>
      <c r="AH876" s="662"/>
      <c r="AI876" s="662"/>
    </row>
    <row r="877" spans="25:35" s="80" customFormat="1">
      <c r="Y877" s="662"/>
      <c r="Z877" s="662"/>
      <c r="AA877" s="662"/>
      <c r="AB877" s="662"/>
      <c r="AC877" s="662"/>
      <c r="AD877" s="662"/>
      <c r="AE877" s="662"/>
      <c r="AF877" s="662"/>
      <c r="AG877" s="662"/>
      <c r="AH877" s="662"/>
      <c r="AI877" s="662"/>
    </row>
    <row r="878" spans="25:35" s="80" customFormat="1">
      <c r="Y878" s="662"/>
      <c r="Z878" s="662"/>
      <c r="AA878" s="662"/>
      <c r="AB878" s="662"/>
      <c r="AC878" s="662"/>
      <c r="AD878" s="662"/>
      <c r="AE878" s="662"/>
      <c r="AF878" s="662"/>
      <c r="AG878" s="662"/>
      <c r="AH878" s="662"/>
      <c r="AI878" s="662"/>
    </row>
    <row r="879" spans="25:35" s="80" customFormat="1">
      <c r="Y879" s="662"/>
      <c r="Z879" s="662"/>
      <c r="AA879" s="662"/>
      <c r="AB879" s="662"/>
      <c r="AC879" s="662"/>
      <c r="AD879" s="662"/>
      <c r="AE879" s="662"/>
      <c r="AF879" s="662"/>
      <c r="AG879" s="662"/>
      <c r="AH879" s="662"/>
      <c r="AI879" s="662"/>
    </row>
    <row r="880" spans="25:35" s="80" customFormat="1">
      <c r="Y880" s="662"/>
      <c r="Z880" s="662"/>
      <c r="AA880" s="662"/>
      <c r="AB880" s="662"/>
      <c r="AC880" s="662"/>
      <c r="AD880" s="662"/>
      <c r="AE880" s="662"/>
      <c r="AF880" s="662"/>
      <c r="AG880" s="662"/>
      <c r="AH880" s="662"/>
      <c r="AI880" s="662"/>
    </row>
    <row r="881" spans="25:35" s="80" customFormat="1">
      <c r="Y881" s="662"/>
      <c r="Z881" s="662"/>
      <c r="AA881" s="662"/>
      <c r="AB881" s="662"/>
      <c r="AC881" s="662"/>
      <c r="AD881" s="662"/>
      <c r="AE881" s="662"/>
      <c r="AF881" s="662"/>
      <c r="AG881" s="662"/>
      <c r="AH881" s="662"/>
      <c r="AI881" s="662"/>
    </row>
    <row r="882" spans="25:35" s="80" customFormat="1">
      <c r="Y882" s="662"/>
      <c r="Z882" s="662"/>
      <c r="AA882" s="662"/>
      <c r="AB882" s="662"/>
      <c r="AC882" s="662"/>
      <c r="AD882" s="662"/>
      <c r="AE882" s="662"/>
      <c r="AF882" s="662"/>
      <c r="AG882" s="662"/>
      <c r="AH882" s="662"/>
      <c r="AI882" s="662"/>
    </row>
    <row r="883" spans="25:35" s="80" customFormat="1">
      <c r="Y883" s="662"/>
      <c r="Z883" s="662"/>
      <c r="AA883" s="662"/>
      <c r="AB883" s="662"/>
      <c r="AC883" s="662"/>
      <c r="AD883" s="662"/>
      <c r="AE883" s="662"/>
      <c r="AF883" s="662"/>
      <c r="AG883" s="662"/>
      <c r="AH883" s="662"/>
      <c r="AI883" s="662"/>
    </row>
    <row r="884" spans="25:35" s="80" customFormat="1">
      <c r="Y884" s="662"/>
      <c r="Z884" s="662"/>
      <c r="AA884" s="662"/>
      <c r="AB884" s="662"/>
      <c r="AC884" s="662"/>
      <c r="AD884" s="662"/>
      <c r="AE884" s="662"/>
      <c r="AF884" s="662"/>
      <c r="AG884" s="662"/>
      <c r="AH884" s="662"/>
      <c r="AI884" s="662"/>
    </row>
    <row r="885" spans="25:35" s="80" customFormat="1">
      <c r="Y885" s="662"/>
      <c r="Z885" s="662"/>
      <c r="AA885" s="662"/>
      <c r="AB885" s="662"/>
      <c r="AC885" s="662"/>
      <c r="AD885" s="662"/>
      <c r="AE885" s="662"/>
      <c r="AF885" s="662"/>
      <c r="AG885" s="662"/>
      <c r="AH885" s="662"/>
      <c r="AI885" s="662"/>
    </row>
    <row r="886" spans="25:35" s="80" customFormat="1">
      <c r="Y886" s="662"/>
      <c r="Z886" s="662"/>
      <c r="AA886" s="662"/>
      <c r="AB886" s="662"/>
      <c r="AC886" s="662"/>
      <c r="AD886" s="662"/>
      <c r="AE886" s="662"/>
      <c r="AF886" s="662"/>
      <c r="AG886" s="662"/>
      <c r="AH886" s="662"/>
      <c r="AI886" s="662"/>
    </row>
    <row r="887" spans="25:35" s="80" customFormat="1">
      <c r="Y887" s="662"/>
      <c r="Z887" s="662"/>
      <c r="AA887" s="662"/>
      <c r="AB887" s="662"/>
      <c r="AC887" s="662"/>
      <c r="AD887" s="662"/>
      <c r="AE887" s="662"/>
      <c r="AF887" s="662"/>
      <c r="AG887" s="662"/>
      <c r="AH887" s="662"/>
      <c r="AI887" s="662"/>
    </row>
    <row r="888" spans="25:35" s="80" customFormat="1">
      <c r="Y888" s="662"/>
      <c r="Z888" s="662"/>
      <c r="AA888" s="662"/>
      <c r="AB888" s="662"/>
      <c r="AC888" s="662"/>
      <c r="AD888" s="662"/>
      <c r="AE888" s="662"/>
      <c r="AF888" s="662"/>
      <c r="AG888" s="662"/>
      <c r="AH888" s="662"/>
      <c r="AI888" s="662"/>
    </row>
    <row r="889" spans="25:35" s="80" customFormat="1">
      <c r="Y889" s="662"/>
      <c r="Z889" s="662"/>
      <c r="AA889" s="662"/>
      <c r="AB889" s="662"/>
      <c r="AC889" s="662"/>
      <c r="AD889" s="662"/>
      <c r="AE889" s="662"/>
      <c r="AF889" s="662"/>
      <c r="AG889" s="662"/>
      <c r="AH889" s="662"/>
      <c r="AI889" s="662"/>
    </row>
    <row r="890" spans="25:35" s="80" customFormat="1">
      <c r="Y890" s="662"/>
      <c r="Z890" s="662"/>
      <c r="AA890" s="662"/>
      <c r="AB890" s="662"/>
      <c r="AC890" s="662"/>
      <c r="AD890" s="662"/>
      <c r="AE890" s="662"/>
      <c r="AF890" s="662"/>
      <c r="AG890" s="662"/>
      <c r="AH890" s="662"/>
      <c r="AI890" s="662"/>
    </row>
    <row r="891" spans="25:35" s="80" customFormat="1">
      <c r="Y891" s="662"/>
      <c r="Z891" s="662"/>
      <c r="AA891" s="662"/>
      <c r="AB891" s="662"/>
      <c r="AC891" s="662"/>
      <c r="AD891" s="662"/>
      <c r="AE891" s="662"/>
      <c r="AF891" s="662"/>
      <c r="AG891" s="662"/>
      <c r="AH891" s="662"/>
      <c r="AI891" s="662"/>
    </row>
    <row r="892" spans="25:35" s="80" customFormat="1">
      <c r="Y892" s="662"/>
      <c r="Z892" s="662"/>
      <c r="AA892" s="662"/>
      <c r="AB892" s="662"/>
      <c r="AC892" s="662"/>
      <c r="AD892" s="662"/>
      <c r="AE892" s="662"/>
      <c r="AF892" s="662"/>
      <c r="AG892" s="662"/>
      <c r="AH892" s="662"/>
      <c r="AI892" s="662"/>
    </row>
    <row r="893" spans="25:35" s="80" customFormat="1">
      <c r="Y893" s="662"/>
      <c r="Z893" s="662"/>
      <c r="AA893" s="662"/>
      <c r="AB893" s="662"/>
      <c r="AC893" s="662"/>
      <c r="AD893" s="662"/>
      <c r="AE893" s="662"/>
      <c r="AF893" s="662"/>
      <c r="AG893" s="662"/>
      <c r="AH893" s="662"/>
      <c r="AI893" s="662"/>
    </row>
    <row r="894" spans="25:35" s="80" customFormat="1">
      <c r="Y894" s="662"/>
      <c r="Z894" s="662"/>
      <c r="AA894" s="662"/>
      <c r="AB894" s="662"/>
      <c r="AC894" s="662"/>
      <c r="AD894" s="662"/>
      <c r="AE894" s="662"/>
      <c r="AF894" s="662"/>
      <c r="AG894" s="662"/>
      <c r="AH894" s="662"/>
      <c r="AI894" s="662"/>
    </row>
    <row r="895" spans="25:35" s="80" customFormat="1">
      <c r="Y895" s="662"/>
      <c r="Z895" s="662"/>
      <c r="AA895" s="662"/>
      <c r="AB895" s="662"/>
      <c r="AC895" s="662"/>
      <c r="AD895" s="662"/>
      <c r="AE895" s="662"/>
      <c r="AF895" s="662"/>
      <c r="AG895" s="662"/>
      <c r="AH895" s="662"/>
      <c r="AI895" s="662"/>
    </row>
    <row r="896" spans="25:35" s="80" customFormat="1">
      <c r="Y896" s="662"/>
      <c r="Z896" s="662"/>
      <c r="AA896" s="662"/>
      <c r="AB896" s="662"/>
      <c r="AC896" s="662"/>
      <c r="AD896" s="662"/>
      <c r="AE896" s="662"/>
      <c r="AF896" s="662"/>
      <c r="AG896" s="662"/>
      <c r="AH896" s="662"/>
      <c r="AI896" s="662"/>
    </row>
    <row r="897" spans="25:35" s="80" customFormat="1">
      <c r="Y897" s="662"/>
      <c r="Z897" s="662"/>
      <c r="AA897" s="662"/>
      <c r="AB897" s="662"/>
      <c r="AC897" s="662"/>
      <c r="AD897" s="662"/>
      <c r="AE897" s="662"/>
      <c r="AF897" s="662"/>
      <c r="AG897" s="662"/>
      <c r="AH897" s="662"/>
      <c r="AI897" s="662"/>
    </row>
    <row r="898" spans="25:35" s="80" customFormat="1">
      <c r="Y898" s="662"/>
      <c r="Z898" s="662"/>
      <c r="AA898" s="662"/>
      <c r="AB898" s="662"/>
      <c r="AC898" s="662"/>
      <c r="AD898" s="662"/>
      <c r="AE898" s="662"/>
      <c r="AF898" s="662"/>
      <c r="AG898" s="662"/>
      <c r="AH898" s="662"/>
      <c r="AI898" s="662"/>
    </row>
    <row r="899" spans="25:35" s="80" customFormat="1">
      <c r="Y899" s="662"/>
      <c r="Z899" s="662"/>
      <c r="AA899" s="662"/>
      <c r="AB899" s="662"/>
      <c r="AC899" s="662"/>
      <c r="AD899" s="662"/>
      <c r="AE899" s="662"/>
      <c r="AF899" s="662"/>
      <c r="AG899" s="662"/>
      <c r="AH899" s="662"/>
      <c r="AI899" s="662"/>
    </row>
    <row r="900" spans="25:35" s="80" customFormat="1">
      <c r="Y900" s="662"/>
      <c r="Z900" s="662"/>
      <c r="AA900" s="662"/>
      <c r="AB900" s="662"/>
      <c r="AC900" s="662"/>
      <c r="AD900" s="662"/>
      <c r="AE900" s="662"/>
      <c r="AF900" s="662"/>
      <c r="AG900" s="662"/>
      <c r="AH900" s="662"/>
      <c r="AI900" s="662"/>
    </row>
    <row r="901" spans="25:35" s="80" customFormat="1">
      <c r="Y901" s="662"/>
      <c r="Z901" s="662"/>
      <c r="AA901" s="662"/>
      <c r="AB901" s="662"/>
      <c r="AC901" s="662"/>
      <c r="AD901" s="662"/>
      <c r="AE901" s="662"/>
      <c r="AF901" s="662"/>
      <c r="AG901" s="662"/>
      <c r="AH901" s="662"/>
      <c r="AI901" s="662"/>
    </row>
    <row r="902" spans="25:35" s="80" customFormat="1">
      <c r="Y902" s="662"/>
      <c r="Z902" s="662"/>
      <c r="AA902" s="662"/>
      <c r="AB902" s="662"/>
      <c r="AC902" s="662"/>
      <c r="AD902" s="662"/>
      <c r="AE902" s="662"/>
      <c r="AF902" s="662"/>
      <c r="AG902" s="662"/>
      <c r="AH902" s="662"/>
      <c r="AI902" s="662"/>
    </row>
    <row r="903" spans="25:35" s="80" customFormat="1">
      <c r="Y903" s="662"/>
      <c r="Z903" s="662"/>
      <c r="AA903" s="662"/>
      <c r="AB903" s="662"/>
      <c r="AC903" s="662"/>
      <c r="AD903" s="662"/>
      <c r="AE903" s="662"/>
      <c r="AF903" s="662"/>
      <c r="AG903" s="662"/>
      <c r="AH903" s="662"/>
      <c r="AI903" s="662"/>
    </row>
    <row r="904" spans="25:35" s="80" customFormat="1">
      <c r="Y904" s="662"/>
      <c r="Z904" s="662"/>
      <c r="AA904" s="662"/>
      <c r="AB904" s="662"/>
      <c r="AC904" s="662"/>
      <c r="AD904" s="662"/>
      <c r="AE904" s="662"/>
      <c r="AF904" s="662"/>
      <c r="AG904" s="662"/>
      <c r="AH904" s="662"/>
      <c r="AI904" s="662"/>
    </row>
    <row r="905" spans="25:35" s="80" customFormat="1">
      <c r="Y905" s="662"/>
      <c r="Z905" s="662"/>
      <c r="AA905" s="662"/>
      <c r="AB905" s="662"/>
      <c r="AC905" s="662"/>
      <c r="AD905" s="662"/>
      <c r="AE905" s="662"/>
      <c r="AF905" s="662"/>
      <c r="AG905" s="662"/>
      <c r="AH905" s="662"/>
      <c r="AI905" s="662"/>
    </row>
    <row r="906" spans="25:35" s="80" customFormat="1">
      <c r="Y906" s="662"/>
      <c r="Z906" s="662"/>
      <c r="AA906" s="662"/>
      <c r="AB906" s="662"/>
      <c r="AC906" s="662"/>
      <c r="AD906" s="662"/>
      <c r="AE906" s="662"/>
      <c r="AF906" s="662"/>
      <c r="AG906" s="662"/>
      <c r="AH906" s="662"/>
      <c r="AI906" s="662"/>
    </row>
    <row r="907" spans="25:35" s="80" customFormat="1">
      <c r="Y907" s="662"/>
      <c r="Z907" s="662"/>
      <c r="AA907" s="662"/>
      <c r="AB907" s="662"/>
      <c r="AC907" s="662"/>
      <c r="AD907" s="662"/>
      <c r="AE907" s="662"/>
      <c r="AF907" s="662"/>
      <c r="AG907" s="662"/>
      <c r="AH907" s="662"/>
      <c r="AI907" s="662"/>
    </row>
    <row r="908" spans="25:35" s="80" customFormat="1">
      <c r="Y908" s="662"/>
      <c r="Z908" s="662"/>
      <c r="AA908" s="662"/>
      <c r="AB908" s="662"/>
      <c r="AC908" s="662"/>
      <c r="AD908" s="662"/>
      <c r="AE908" s="662"/>
      <c r="AF908" s="662"/>
      <c r="AG908" s="662"/>
      <c r="AH908" s="662"/>
      <c r="AI908" s="662"/>
    </row>
    <row r="909" spans="25:35" s="80" customFormat="1">
      <c r="Y909" s="662"/>
      <c r="Z909" s="662"/>
      <c r="AA909" s="662"/>
      <c r="AB909" s="662"/>
      <c r="AC909" s="662"/>
      <c r="AD909" s="662"/>
      <c r="AE909" s="662"/>
      <c r="AF909" s="662"/>
      <c r="AG909" s="662"/>
      <c r="AH909" s="662"/>
      <c r="AI909" s="662"/>
    </row>
    <row r="910" spans="25:35" s="80" customFormat="1">
      <c r="Y910" s="662"/>
      <c r="Z910" s="662"/>
      <c r="AA910" s="662"/>
      <c r="AB910" s="662"/>
      <c r="AC910" s="662"/>
      <c r="AD910" s="662"/>
      <c r="AE910" s="662"/>
      <c r="AF910" s="662"/>
      <c r="AG910" s="662"/>
      <c r="AH910" s="662"/>
      <c r="AI910" s="662"/>
    </row>
    <row r="911" spans="25:35" s="80" customFormat="1">
      <c r="Y911" s="662"/>
      <c r="Z911" s="662"/>
      <c r="AA911" s="662"/>
      <c r="AB911" s="662"/>
      <c r="AC911" s="662"/>
      <c r="AD911" s="662"/>
      <c r="AE911" s="662"/>
      <c r="AF911" s="662"/>
      <c r="AG911" s="662"/>
      <c r="AH911" s="662"/>
      <c r="AI911" s="662"/>
    </row>
    <row r="912" spans="25:35" s="80" customFormat="1">
      <c r="Y912" s="662"/>
      <c r="Z912" s="662"/>
      <c r="AA912" s="662"/>
      <c r="AB912" s="662"/>
      <c r="AC912" s="662"/>
      <c r="AD912" s="662"/>
      <c r="AE912" s="662"/>
      <c r="AF912" s="662"/>
      <c r="AG912" s="662"/>
      <c r="AH912" s="662"/>
      <c r="AI912" s="662"/>
    </row>
    <row r="913" spans="25:35" s="80" customFormat="1">
      <c r="Y913" s="662"/>
      <c r="Z913" s="662"/>
      <c r="AA913" s="662"/>
      <c r="AB913" s="662"/>
      <c r="AC913" s="662"/>
      <c r="AD913" s="662"/>
      <c r="AE913" s="662"/>
      <c r="AF913" s="662"/>
      <c r="AG913" s="662"/>
      <c r="AH913" s="662"/>
      <c r="AI913" s="662"/>
    </row>
    <row r="914" spans="25:35" s="80" customFormat="1">
      <c r="Y914" s="662"/>
      <c r="Z914" s="662"/>
      <c r="AA914" s="662"/>
      <c r="AB914" s="662"/>
      <c r="AC914" s="662"/>
      <c r="AD914" s="662"/>
      <c r="AE914" s="662"/>
      <c r="AF914" s="662"/>
      <c r="AG914" s="662"/>
      <c r="AH914" s="662"/>
      <c r="AI914" s="662"/>
    </row>
    <row r="915" spans="25:35" s="80" customFormat="1">
      <c r="Y915" s="662"/>
      <c r="Z915" s="662"/>
      <c r="AA915" s="662"/>
      <c r="AB915" s="662"/>
      <c r="AC915" s="662"/>
      <c r="AD915" s="662"/>
      <c r="AE915" s="662"/>
      <c r="AF915" s="662"/>
      <c r="AG915" s="662"/>
      <c r="AH915" s="662"/>
      <c r="AI915" s="662"/>
    </row>
    <row r="916" spans="25:35" s="80" customFormat="1">
      <c r="Y916" s="662"/>
      <c r="Z916" s="662"/>
      <c r="AA916" s="662"/>
      <c r="AB916" s="662"/>
      <c r="AC916" s="662"/>
      <c r="AD916" s="662"/>
      <c r="AE916" s="662"/>
      <c r="AF916" s="662"/>
      <c r="AG916" s="662"/>
      <c r="AH916" s="662"/>
      <c r="AI916" s="662"/>
    </row>
    <row r="917" spans="25:35" s="80" customFormat="1">
      <c r="Y917" s="662"/>
      <c r="Z917" s="662"/>
      <c r="AA917" s="662"/>
      <c r="AB917" s="662"/>
      <c r="AC917" s="662"/>
      <c r="AD917" s="662"/>
      <c r="AE917" s="662"/>
      <c r="AF917" s="662"/>
      <c r="AG917" s="662"/>
      <c r="AH917" s="662"/>
      <c r="AI917" s="662"/>
    </row>
    <row r="918" spans="25:35" s="80" customFormat="1">
      <c r="Y918" s="662"/>
      <c r="Z918" s="662"/>
      <c r="AA918" s="662"/>
      <c r="AB918" s="662"/>
      <c r="AC918" s="662"/>
      <c r="AD918" s="662"/>
      <c r="AE918" s="662"/>
      <c r="AF918" s="662"/>
      <c r="AG918" s="662"/>
      <c r="AH918" s="662"/>
      <c r="AI918" s="662"/>
    </row>
    <row r="919" spans="25:35" s="80" customFormat="1">
      <c r="Y919" s="662"/>
      <c r="Z919" s="662"/>
      <c r="AA919" s="662"/>
      <c r="AB919" s="662"/>
      <c r="AC919" s="662"/>
      <c r="AD919" s="662"/>
      <c r="AE919" s="662"/>
      <c r="AF919" s="662"/>
      <c r="AG919" s="662"/>
      <c r="AH919" s="662"/>
      <c r="AI919" s="662"/>
    </row>
    <row r="920" spans="25:35" s="80" customFormat="1">
      <c r="Y920" s="662"/>
      <c r="Z920" s="662"/>
      <c r="AA920" s="662"/>
      <c r="AB920" s="662"/>
      <c r="AC920" s="662"/>
      <c r="AD920" s="662"/>
      <c r="AE920" s="662"/>
      <c r="AF920" s="662"/>
      <c r="AG920" s="662"/>
      <c r="AH920" s="662"/>
      <c r="AI920" s="662"/>
    </row>
    <row r="921" spans="25:35" s="80" customFormat="1">
      <c r="Y921" s="662"/>
      <c r="Z921" s="662"/>
      <c r="AA921" s="662"/>
      <c r="AB921" s="662"/>
      <c r="AC921" s="662"/>
      <c r="AD921" s="662"/>
      <c r="AE921" s="662"/>
      <c r="AF921" s="662"/>
      <c r="AG921" s="662"/>
      <c r="AH921" s="662"/>
      <c r="AI921" s="662"/>
    </row>
    <row r="922" spans="25:35" s="80" customFormat="1">
      <c r="Y922" s="662"/>
      <c r="Z922" s="662"/>
      <c r="AA922" s="662"/>
      <c r="AB922" s="662"/>
      <c r="AC922" s="662"/>
      <c r="AD922" s="662"/>
      <c r="AE922" s="662"/>
      <c r="AF922" s="662"/>
      <c r="AG922" s="662"/>
      <c r="AH922" s="662"/>
      <c r="AI922" s="662"/>
    </row>
    <row r="923" spans="25:35" s="80" customFormat="1">
      <c r="Y923" s="662"/>
      <c r="Z923" s="662"/>
      <c r="AA923" s="662"/>
      <c r="AB923" s="662"/>
      <c r="AC923" s="662"/>
      <c r="AD923" s="662"/>
      <c r="AE923" s="662"/>
      <c r="AF923" s="662"/>
      <c r="AG923" s="662"/>
      <c r="AH923" s="662"/>
      <c r="AI923" s="662"/>
    </row>
    <row r="924" spans="25:35" s="80" customFormat="1">
      <c r="Y924" s="662"/>
      <c r="Z924" s="662"/>
      <c r="AA924" s="662"/>
      <c r="AB924" s="662"/>
      <c r="AC924" s="662"/>
      <c r="AD924" s="662"/>
      <c r="AE924" s="662"/>
      <c r="AF924" s="662"/>
      <c r="AG924" s="662"/>
      <c r="AH924" s="662"/>
      <c r="AI924" s="662"/>
    </row>
    <row r="925" spans="25:35" s="80" customFormat="1">
      <c r="Y925" s="662"/>
      <c r="Z925" s="662"/>
      <c r="AA925" s="662"/>
      <c r="AB925" s="662"/>
      <c r="AC925" s="662"/>
      <c r="AD925" s="662"/>
      <c r="AE925" s="662"/>
      <c r="AF925" s="662"/>
      <c r="AG925" s="662"/>
      <c r="AH925" s="662"/>
      <c r="AI925" s="662"/>
    </row>
    <row r="926" spans="25:35" s="80" customFormat="1">
      <c r="Y926" s="662"/>
      <c r="Z926" s="662"/>
      <c r="AA926" s="662"/>
      <c r="AB926" s="662"/>
      <c r="AC926" s="662"/>
      <c r="AD926" s="662"/>
      <c r="AE926" s="662"/>
      <c r="AF926" s="662"/>
      <c r="AG926" s="662"/>
      <c r="AH926" s="662"/>
      <c r="AI926" s="662"/>
    </row>
    <row r="927" spans="25:35" s="80" customFormat="1">
      <c r="Y927" s="662"/>
      <c r="Z927" s="662"/>
      <c r="AA927" s="662"/>
      <c r="AB927" s="662"/>
      <c r="AC927" s="662"/>
      <c r="AD927" s="662"/>
      <c r="AE927" s="662"/>
      <c r="AF927" s="662"/>
      <c r="AG927" s="662"/>
      <c r="AH927" s="662"/>
      <c r="AI927" s="662"/>
    </row>
    <row r="928" spans="25:35" s="80" customFormat="1">
      <c r="Y928" s="662"/>
      <c r="Z928" s="662"/>
      <c r="AA928" s="662"/>
      <c r="AB928" s="662"/>
      <c r="AC928" s="662"/>
      <c r="AD928" s="662"/>
      <c r="AE928" s="662"/>
      <c r="AF928" s="662"/>
      <c r="AG928" s="662"/>
      <c r="AH928" s="662"/>
      <c r="AI928" s="662"/>
    </row>
    <row r="929" spans="25:35" s="80" customFormat="1">
      <c r="Y929" s="662"/>
      <c r="Z929" s="662"/>
      <c r="AA929" s="662"/>
      <c r="AB929" s="662"/>
      <c r="AC929" s="662"/>
      <c r="AD929" s="662"/>
      <c r="AE929" s="662"/>
      <c r="AF929" s="662"/>
      <c r="AG929" s="662"/>
      <c r="AH929" s="662"/>
      <c r="AI929" s="662"/>
    </row>
    <row r="930" spans="25:35" s="80" customFormat="1">
      <c r="Y930" s="662"/>
      <c r="Z930" s="662"/>
      <c r="AA930" s="662"/>
      <c r="AB930" s="662"/>
      <c r="AC930" s="662"/>
      <c r="AD930" s="662"/>
      <c r="AE930" s="662"/>
      <c r="AF930" s="662"/>
      <c r="AG930" s="662"/>
      <c r="AH930" s="662"/>
      <c r="AI930" s="662"/>
    </row>
    <row r="931" spans="25:35" s="80" customFormat="1">
      <c r="Y931" s="662"/>
      <c r="Z931" s="662"/>
      <c r="AA931" s="662"/>
      <c r="AB931" s="662"/>
      <c r="AC931" s="662"/>
      <c r="AD931" s="662"/>
      <c r="AE931" s="662"/>
      <c r="AF931" s="662"/>
      <c r="AG931" s="662"/>
      <c r="AH931" s="662"/>
      <c r="AI931" s="662"/>
    </row>
    <row r="932" spans="25:35" s="80" customFormat="1">
      <c r="Y932" s="662"/>
      <c r="Z932" s="662"/>
      <c r="AA932" s="662"/>
      <c r="AB932" s="662"/>
      <c r="AC932" s="662"/>
      <c r="AD932" s="662"/>
      <c r="AE932" s="662"/>
      <c r="AF932" s="662"/>
      <c r="AG932" s="662"/>
      <c r="AH932" s="662"/>
      <c r="AI932" s="662"/>
    </row>
    <row r="933" spans="25:35" s="80" customFormat="1">
      <c r="Y933" s="662"/>
      <c r="Z933" s="662"/>
      <c r="AA933" s="662"/>
      <c r="AB933" s="662"/>
      <c r="AC933" s="662"/>
      <c r="AD933" s="662"/>
      <c r="AE933" s="662"/>
      <c r="AF933" s="662"/>
      <c r="AG933" s="662"/>
      <c r="AH933" s="662"/>
      <c r="AI933" s="662"/>
    </row>
    <row r="934" spans="25:35" s="80" customFormat="1">
      <c r="Y934" s="662"/>
      <c r="Z934" s="662"/>
      <c r="AA934" s="662"/>
      <c r="AB934" s="662"/>
      <c r="AC934" s="662"/>
      <c r="AD934" s="662"/>
      <c r="AE934" s="662"/>
      <c r="AF934" s="662"/>
      <c r="AG934" s="662"/>
      <c r="AH934" s="662"/>
      <c r="AI934" s="662"/>
    </row>
    <row r="935" spans="25:35" s="80" customFormat="1">
      <c r="Y935" s="662"/>
      <c r="Z935" s="662"/>
      <c r="AA935" s="662"/>
      <c r="AB935" s="662"/>
      <c r="AC935" s="662"/>
      <c r="AD935" s="662"/>
      <c r="AE935" s="662"/>
      <c r="AF935" s="662"/>
      <c r="AG935" s="662"/>
      <c r="AH935" s="662"/>
      <c r="AI935" s="662"/>
    </row>
    <row r="936" spans="25:35" s="80" customFormat="1">
      <c r="Y936" s="662"/>
      <c r="Z936" s="662"/>
      <c r="AA936" s="662"/>
      <c r="AB936" s="662"/>
      <c r="AC936" s="662"/>
      <c r="AD936" s="662"/>
      <c r="AE936" s="662"/>
      <c r="AF936" s="662"/>
      <c r="AG936" s="662"/>
      <c r="AH936" s="662"/>
      <c r="AI936" s="662"/>
    </row>
    <row r="937" spans="25:35" s="80" customFormat="1">
      <c r="Y937" s="662"/>
      <c r="Z937" s="662"/>
      <c r="AA937" s="662"/>
      <c r="AB937" s="662"/>
      <c r="AC937" s="662"/>
      <c r="AD937" s="662"/>
      <c r="AE937" s="662"/>
      <c r="AF937" s="662"/>
      <c r="AG937" s="662"/>
      <c r="AH937" s="662"/>
      <c r="AI937" s="662"/>
    </row>
    <row r="938" spans="25:35" s="80" customFormat="1">
      <c r="Y938" s="662"/>
      <c r="Z938" s="662"/>
      <c r="AA938" s="662"/>
      <c r="AB938" s="662"/>
      <c r="AC938" s="662"/>
      <c r="AD938" s="662"/>
      <c r="AE938" s="662"/>
      <c r="AF938" s="662"/>
      <c r="AG938" s="662"/>
      <c r="AH938" s="662"/>
      <c r="AI938" s="662"/>
    </row>
    <row r="939" spans="25:35" s="80" customFormat="1">
      <c r="Y939" s="662"/>
      <c r="Z939" s="662"/>
      <c r="AA939" s="662"/>
      <c r="AB939" s="662"/>
      <c r="AC939" s="662"/>
      <c r="AD939" s="662"/>
      <c r="AE939" s="662"/>
      <c r="AF939" s="662"/>
      <c r="AG939" s="662"/>
      <c r="AH939" s="662"/>
      <c r="AI939" s="662"/>
    </row>
    <row r="940" spans="25:35" s="80" customFormat="1">
      <c r="Y940" s="662"/>
      <c r="Z940" s="662"/>
      <c r="AA940" s="662"/>
      <c r="AB940" s="662"/>
      <c r="AC940" s="662"/>
      <c r="AD940" s="662"/>
      <c r="AE940" s="662"/>
      <c r="AF940" s="662"/>
      <c r="AG940" s="662"/>
      <c r="AH940" s="662"/>
      <c r="AI940" s="662"/>
    </row>
    <row r="941" spans="25:35" s="80" customFormat="1">
      <c r="Y941" s="662"/>
      <c r="Z941" s="662"/>
      <c r="AA941" s="662"/>
      <c r="AB941" s="662"/>
      <c r="AC941" s="662"/>
      <c r="AD941" s="662"/>
      <c r="AE941" s="662"/>
      <c r="AF941" s="662"/>
      <c r="AG941" s="662"/>
      <c r="AH941" s="662"/>
      <c r="AI941" s="662"/>
    </row>
    <row r="942" spans="25:35" s="80" customFormat="1">
      <c r="Y942" s="662"/>
      <c r="Z942" s="662"/>
      <c r="AA942" s="662"/>
      <c r="AB942" s="662"/>
      <c r="AC942" s="662"/>
      <c r="AD942" s="662"/>
      <c r="AE942" s="662"/>
      <c r="AF942" s="662"/>
      <c r="AG942" s="662"/>
      <c r="AH942" s="662"/>
      <c r="AI942" s="662"/>
    </row>
    <row r="943" spans="25:35" s="80" customFormat="1">
      <c r="Y943" s="662"/>
      <c r="Z943" s="662"/>
      <c r="AA943" s="662"/>
      <c r="AB943" s="662"/>
      <c r="AC943" s="662"/>
      <c r="AD943" s="662"/>
      <c r="AE943" s="662"/>
      <c r="AF943" s="662"/>
      <c r="AG943" s="662"/>
      <c r="AH943" s="662"/>
      <c r="AI943" s="662"/>
    </row>
    <row r="944" spans="25:35" s="80" customFormat="1">
      <c r="Y944" s="662"/>
      <c r="Z944" s="662"/>
      <c r="AA944" s="662"/>
      <c r="AB944" s="662"/>
      <c r="AC944" s="662"/>
      <c r="AD944" s="662"/>
      <c r="AE944" s="662"/>
      <c r="AF944" s="662"/>
      <c r="AG944" s="662"/>
      <c r="AH944" s="662"/>
      <c r="AI944" s="662"/>
    </row>
    <row r="945" spans="25:35" s="80" customFormat="1">
      <c r="Y945" s="662"/>
      <c r="Z945" s="662"/>
      <c r="AA945" s="662"/>
      <c r="AB945" s="662"/>
      <c r="AC945" s="662"/>
      <c r="AD945" s="662"/>
      <c r="AE945" s="662"/>
      <c r="AF945" s="662"/>
      <c r="AG945" s="662"/>
      <c r="AH945" s="662"/>
      <c r="AI945" s="662"/>
    </row>
    <row r="946" spans="25:35" s="80" customFormat="1">
      <c r="Y946" s="662"/>
      <c r="Z946" s="662"/>
      <c r="AA946" s="662"/>
      <c r="AB946" s="662"/>
      <c r="AC946" s="662"/>
      <c r="AD946" s="662"/>
      <c r="AE946" s="662"/>
      <c r="AF946" s="662"/>
      <c r="AG946" s="662"/>
      <c r="AH946" s="662"/>
      <c r="AI946" s="662"/>
    </row>
    <row r="947" spans="25:35" s="80" customFormat="1">
      <c r="Y947" s="662"/>
      <c r="Z947" s="662"/>
      <c r="AA947" s="662"/>
      <c r="AB947" s="662"/>
      <c r="AC947" s="662"/>
      <c r="AD947" s="662"/>
      <c r="AE947" s="662"/>
      <c r="AF947" s="662"/>
      <c r="AG947" s="662"/>
      <c r="AH947" s="662"/>
      <c r="AI947" s="662"/>
    </row>
    <row r="948" spans="25:35" s="80" customFormat="1">
      <c r="Y948" s="662"/>
      <c r="Z948" s="662"/>
      <c r="AA948" s="662"/>
      <c r="AB948" s="662"/>
      <c r="AC948" s="662"/>
      <c r="AD948" s="662"/>
      <c r="AE948" s="662"/>
      <c r="AF948" s="662"/>
      <c r="AG948" s="662"/>
      <c r="AH948" s="662"/>
      <c r="AI948" s="662"/>
    </row>
    <row r="949" spans="25:35" s="80" customFormat="1">
      <c r="Y949" s="662"/>
      <c r="Z949" s="662"/>
      <c r="AA949" s="662"/>
      <c r="AB949" s="662"/>
      <c r="AC949" s="662"/>
      <c r="AD949" s="662"/>
      <c r="AE949" s="662"/>
      <c r="AF949" s="662"/>
      <c r="AG949" s="662"/>
      <c r="AH949" s="662"/>
      <c r="AI949" s="662"/>
    </row>
    <row r="950" spans="25:35" s="80" customFormat="1">
      <c r="Y950" s="662"/>
      <c r="Z950" s="662"/>
      <c r="AA950" s="662"/>
      <c r="AB950" s="662"/>
      <c r="AC950" s="662"/>
      <c r="AD950" s="662"/>
      <c r="AE950" s="662"/>
      <c r="AF950" s="662"/>
      <c r="AG950" s="662"/>
      <c r="AH950" s="662"/>
      <c r="AI950" s="662"/>
    </row>
    <row r="951" spans="25:35" s="80" customFormat="1">
      <c r="Y951" s="662"/>
      <c r="Z951" s="662"/>
      <c r="AA951" s="662"/>
      <c r="AB951" s="662"/>
      <c r="AC951" s="662"/>
      <c r="AD951" s="662"/>
      <c r="AE951" s="662"/>
      <c r="AF951" s="662"/>
      <c r="AG951" s="662"/>
      <c r="AH951" s="662"/>
      <c r="AI951" s="662"/>
    </row>
    <row r="952" spans="25:35" s="80" customFormat="1">
      <c r="Y952" s="662"/>
      <c r="Z952" s="662"/>
      <c r="AA952" s="662"/>
      <c r="AB952" s="662"/>
      <c r="AC952" s="662"/>
      <c r="AD952" s="662"/>
      <c r="AE952" s="662"/>
      <c r="AF952" s="662"/>
      <c r="AG952" s="662"/>
      <c r="AH952" s="662"/>
      <c r="AI952" s="662"/>
    </row>
    <row r="953" spans="25:35" s="80" customFormat="1">
      <c r="Y953" s="662"/>
      <c r="Z953" s="662"/>
      <c r="AA953" s="662"/>
      <c r="AB953" s="662"/>
      <c r="AC953" s="662"/>
      <c r="AD953" s="662"/>
      <c r="AE953" s="662"/>
      <c r="AF953" s="662"/>
      <c r="AG953" s="662"/>
      <c r="AH953" s="662"/>
      <c r="AI953" s="662"/>
    </row>
    <row r="954" spans="25:35" s="80" customFormat="1">
      <c r="Y954" s="662"/>
      <c r="Z954" s="662"/>
      <c r="AA954" s="662"/>
      <c r="AB954" s="662"/>
      <c r="AC954" s="662"/>
      <c r="AD954" s="662"/>
      <c r="AE954" s="662"/>
      <c r="AF954" s="662"/>
      <c r="AG954" s="662"/>
      <c r="AH954" s="662"/>
      <c r="AI954" s="662"/>
    </row>
    <row r="955" spans="25:35" s="80" customFormat="1">
      <c r="Y955" s="662"/>
      <c r="Z955" s="662"/>
      <c r="AA955" s="662"/>
      <c r="AB955" s="662"/>
      <c r="AC955" s="662"/>
      <c r="AD955" s="662"/>
      <c r="AE955" s="662"/>
      <c r="AF955" s="662"/>
      <c r="AG955" s="662"/>
      <c r="AH955" s="662"/>
      <c r="AI955" s="662"/>
    </row>
    <row r="956" spans="25:35" s="80" customFormat="1">
      <c r="Y956" s="662"/>
      <c r="Z956" s="662"/>
      <c r="AA956" s="662"/>
      <c r="AB956" s="662"/>
      <c r="AC956" s="662"/>
      <c r="AD956" s="662"/>
      <c r="AE956" s="662"/>
      <c r="AF956" s="662"/>
      <c r="AG956" s="662"/>
      <c r="AH956" s="662"/>
      <c r="AI956" s="662"/>
    </row>
    <row r="957" spans="25:35" s="80" customFormat="1">
      <c r="Y957" s="662"/>
      <c r="Z957" s="662"/>
      <c r="AA957" s="662"/>
      <c r="AB957" s="662"/>
      <c r="AC957" s="662"/>
      <c r="AD957" s="662"/>
      <c r="AE957" s="662"/>
      <c r="AF957" s="662"/>
      <c r="AG957" s="662"/>
      <c r="AH957" s="662"/>
      <c r="AI957" s="662"/>
    </row>
    <row r="958" spans="25:35" s="80" customFormat="1">
      <c r="Y958" s="662"/>
      <c r="Z958" s="662"/>
      <c r="AA958" s="662"/>
      <c r="AB958" s="662"/>
      <c r="AC958" s="662"/>
      <c r="AD958" s="662"/>
      <c r="AE958" s="662"/>
      <c r="AF958" s="662"/>
      <c r="AG958" s="662"/>
      <c r="AH958" s="662"/>
      <c r="AI958" s="662"/>
    </row>
    <row r="959" spans="25:35" s="80" customFormat="1">
      <c r="Y959" s="662"/>
      <c r="Z959" s="662"/>
      <c r="AA959" s="662"/>
      <c r="AB959" s="662"/>
      <c r="AC959" s="662"/>
      <c r="AD959" s="662"/>
      <c r="AE959" s="662"/>
      <c r="AF959" s="662"/>
      <c r="AG959" s="662"/>
      <c r="AH959" s="662"/>
      <c r="AI959" s="662"/>
    </row>
    <row r="960" spans="25:35" s="80" customFormat="1">
      <c r="Y960" s="662"/>
      <c r="Z960" s="662"/>
      <c r="AA960" s="662"/>
      <c r="AB960" s="662"/>
      <c r="AC960" s="662"/>
      <c r="AD960" s="662"/>
      <c r="AE960" s="662"/>
      <c r="AF960" s="662"/>
      <c r="AG960" s="662"/>
      <c r="AH960" s="662"/>
      <c r="AI960" s="662"/>
    </row>
    <row r="961" spans="25:35" s="80" customFormat="1">
      <c r="Y961" s="662"/>
      <c r="Z961" s="662"/>
      <c r="AA961" s="662"/>
      <c r="AB961" s="662"/>
      <c r="AC961" s="662"/>
      <c r="AD961" s="662"/>
      <c r="AE961" s="662"/>
      <c r="AF961" s="662"/>
      <c r="AG961" s="662"/>
      <c r="AH961" s="662"/>
      <c r="AI961" s="662"/>
    </row>
    <row r="962" spans="25:35" s="80" customFormat="1">
      <c r="Y962" s="662"/>
      <c r="Z962" s="662"/>
      <c r="AA962" s="662"/>
      <c r="AB962" s="662"/>
      <c r="AC962" s="662"/>
      <c r="AD962" s="662"/>
      <c r="AE962" s="662"/>
      <c r="AF962" s="662"/>
      <c r="AG962" s="662"/>
      <c r="AH962" s="662"/>
      <c r="AI962" s="662"/>
    </row>
    <row r="963" spans="25:35" s="80" customFormat="1">
      <c r="Y963" s="662"/>
      <c r="Z963" s="662"/>
      <c r="AA963" s="662"/>
      <c r="AB963" s="662"/>
      <c r="AC963" s="662"/>
      <c r="AD963" s="662"/>
      <c r="AE963" s="662"/>
      <c r="AF963" s="662"/>
      <c r="AG963" s="662"/>
      <c r="AH963" s="662"/>
      <c r="AI963" s="662"/>
    </row>
    <row r="964" spans="25:35" s="80" customFormat="1">
      <c r="Y964" s="662"/>
      <c r="Z964" s="662"/>
      <c r="AA964" s="662"/>
      <c r="AB964" s="662"/>
      <c r="AC964" s="662"/>
      <c r="AD964" s="662"/>
      <c r="AE964" s="662"/>
      <c r="AF964" s="662"/>
      <c r="AG964" s="662"/>
      <c r="AH964" s="662"/>
      <c r="AI964" s="662"/>
    </row>
    <row r="965" spans="25:35" s="80" customFormat="1">
      <c r="Y965" s="662"/>
      <c r="Z965" s="662"/>
      <c r="AA965" s="662"/>
      <c r="AB965" s="662"/>
      <c r="AC965" s="662"/>
      <c r="AD965" s="662"/>
      <c r="AE965" s="662"/>
      <c r="AF965" s="662"/>
      <c r="AG965" s="662"/>
      <c r="AH965" s="662"/>
      <c r="AI965" s="662"/>
    </row>
    <row r="966" spans="25:35" s="80" customFormat="1">
      <c r="Y966" s="662"/>
      <c r="Z966" s="662"/>
      <c r="AA966" s="662"/>
      <c r="AB966" s="662"/>
      <c r="AC966" s="662"/>
      <c r="AD966" s="662"/>
      <c r="AE966" s="662"/>
      <c r="AF966" s="662"/>
      <c r="AG966" s="662"/>
      <c r="AH966" s="662"/>
      <c r="AI966" s="662"/>
    </row>
    <row r="967" spans="25:35" s="80" customFormat="1">
      <c r="Y967" s="662"/>
      <c r="Z967" s="662"/>
      <c r="AA967" s="662"/>
      <c r="AB967" s="662"/>
      <c r="AC967" s="662"/>
      <c r="AD967" s="662"/>
      <c r="AE967" s="662"/>
      <c r="AF967" s="662"/>
      <c r="AG967" s="662"/>
      <c r="AH967" s="662"/>
      <c r="AI967" s="662"/>
    </row>
    <row r="968" spans="25:35" s="80" customFormat="1">
      <c r="Y968" s="662"/>
      <c r="Z968" s="662"/>
      <c r="AA968" s="662"/>
      <c r="AB968" s="662"/>
      <c r="AC968" s="662"/>
      <c r="AD968" s="662"/>
      <c r="AE968" s="662"/>
      <c r="AF968" s="662"/>
      <c r="AG968" s="662"/>
      <c r="AH968" s="662"/>
      <c r="AI968" s="662"/>
    </row>
    <row r="969" spans="25:35" s="80" customFormat="1">
      <c r="Y969" s="662"/>
      <c r="Z969" s="662"/>
      <c r="AA969" s="662"/>
      <c r="AB969" s="662"/>
      <c r="AC969" s="662"/>
      <c r="AD969" s="662"/>
      <c r="AE969" s="662"/>
      <c r="AF969" s="662"/>
      <c r="AG969" s="662"/>
      <c r="AH969" s="662"/>
      <c r="AI969" s="662"/>
    </row>
    <row r="970" spans="25:35" s="80" customFormat="1">
      <c r="Y970" s="662"/>
      <c r="Z970" s="662"/>
      <c r="AA970" s="662"/>
      <c r="AB970" s="662"/>
      <c r="AC970" s="662"/>
      <c r="AD970" s="662"/>
      <c r="AE970" s="662"/>
      <c r="AF970" s="662"/>
      <c r="AG970" s="662"/>
      <c r="AH970" s="662"/>
      <c r="AI970" s="662"/>
    </row>
    <row r="971" spans="25:35" s="80" customFormat="1">
      <c r="Y971" s="662"/>
      <c r="Z971" s="662"/>
      <c r="AA971" s="662"/>
      <c r="AB971" s="662"/>
      <c r="AC971" s="662"/>
      <c r="AD971" s="662"/>
      <c r="AE971" s="662"/>
      <c r="AF971" s="662"/>
      <c r="AG971" s="662"/>
      <c r="AH971" s="662"/>
      <c r="AI971" s="662"/>
    </row>
    <row r="972" spans="25:35" s="80" customFormat="1">
      <c r="Y972" s="662"/>
      <c r="Z972" s="662"/>
      <c r="AA972" s="662"/>
      <c r="AB972" s="662"/>
      <c r="AC972" s="662"/>
      <c r="AD972" s="662"/>
      <c r="AE972" s="662"/>
      <c r="AF972" s="662"/>
      <c r="AG972" s="662"/>
      <c r="AH972" s="662"/>
      <c r="AI972" s="662"/>
    </row>
    <row r="973" spans="25:35" s="80" customFormat="1">
      <c r="Y973" s="662"/>
      <c r="Z973" s="662"/>
      <c r="AA973" s="662"/>
      <c r="AB973" s="662"/>
      <c r="AC973" s="662"/>
      <c r="AD973" s="662"/>
      <c r="AE973" s="662"/>
      <c r="AF973" s="662"/>
      <c r="AG973" s="662"/>
      <c r="AH973" s="662"/>
      <c r="AI973" s="662"/>
    </row>
    <row r="974" spans="25:35" s="80" customFormat="1">
      <c r="Y974" s="662"/>
      <c r="Z974" s="662"/>
      <c r="AA974" s="662"/>
      <c r="AB974" s="662"/>
      <c r="AC974" s="662"/>
      <c r="AD974" s="662"/>
      <c r="AE974" s="662"/>
      <c r="AF974" s="662"/>
      <c r="AG974" s="662"/>
      <c r="AH974" s="662"/>
      <c r="AI974" s="662"/>
    </row>
    <row r="975" spans="25:35" s="80" customFormat="1">
      <c r="Y975" s="662"/>
      <c r="Z975" s="662"/>
      <c r="AA975" s="662"/>
      <c r="AB975" s="662"/>
      <c r="AC975" s="662"/>
      <c r="AD975" s="662"/>
      <c r="AE975" s="662"/>
      <c r="AF975" s="662"/>
      <c r="AG975" s="662"/>
      <c r="AH975" s="662"/>
      <c r="AI975" s="662"/>
    </row>
    <row r="976" spans="25:35" s="80" customFormat="1">
      <c r="Y976" s="662"/>
      <c r="Z976" s="662"/>
      <c r="AA976" s="662"/>
      <c r="AB976" s="662"/>
      <c r="AC976" s="662"/>
      <c r="AD976" s="662"/>
      <c r="AE976" s="662"/>
      <c r="AF976" s="662"/>
      <c r="AG976" s="662"/>
      <c r="AH976" s="662"/>
      <c r="AI976" s="662"/>
    </row>
    <row r="977" spans="25:35" s="80" customFormat="1">
      <c r="Y977" s="662"/>
      <c r="Z977" s="662"/>
      <c r="AA977" s="662"/>
      <c r="AB977" s="662"/>
      <c r="AC977" s="662"/>
      <c r="AD977" s="662"/>
      <c r="AE977" s="662"/>
      <c r="AF977" s="662"/>
      <c r="AG977" s="662"/>
      <c r="AH977" s="662"/>
      <c r="AI977" s="662"/>
    </row>
    <row r="978" spans="25:35" s="80" customFormat="1">
      <c r="Y978" s="662"/>
      <c r="Z978" s="662"/>
      <c r="AA978" s="662"/>
      <c r="AB978" s="662"/>
      <c r="AC978" s="662"/>
      <c r="AD978" s="662"/>
      <c r="AE978" s="662"/>
      <c r="AF978" s="662"/>
      <c r="AG978" s="662"/>
      <c r="AH978" s="662"/>
      <c r="AI978" s="662"/>
    </row>
    <row r="979" spans="25:35" s="80" customFormat="1">
      <c r="Y979" s="662"/>
      <c r="Z979" s="662"/>
      <c r="AA979" s="662"/>
      <c r="AB979" s="662"/>
      <c r="AC979" s="662"/>
      <c r="AD979" s="662"/>
      <c r="AE979" s="662"/>
      <c r="AF979" s="662"/>
      <c r="AG979" s="662"/>
      <c r="AH979" s="662"/>
      <c r="AI979" s="662"/>
    </row>
    <row r="980" spans="25:35" s="80" customFormat="1">
      <c r="Y980" s="662"/>
      <c r="Z980" s="662"/>
      <c r="AA980" s="662"/>
      <c r="AB980" s="662"/>
      <c r="AC980" s="662"/>
      <c r="AD980" s="662"/>
      <c r="AE980" s="662"/>
      <c r="AF980" s="662"/>
      <c r="AG980" s="662"/>
      <c r="AH980" s="662"/>
      <c r="AI980" s="662"/>
    </row>
    <row r="981" spans="25:35" s="80" customFormat="1">
      <c r="Y981" s="662"/>
      <c r="Z981" s="662"/>
      <c r="AA981" s="662"/>
      <c r="AB981" s="662"/>
      <c r="AC981" s="662"/>
      <c r="AD981" s="662"/>
      <c r="AE981" s="662"/>
      <c r="AF981" s="662"/>
      <c r="AG981" s="662"/>
      <c r="AH981" s="662"/>
      <c r="AI981" s="662"/>
    </row>
    <row r="982" spans="25:35" s="80" customFormat="1">
      <c r="Y982" s="662"/>
      <c r="Z982" s="662"/>
      <c r="AA982" s="662"/>
      <c r="AB982" s="662"/>
      <c r="AC982" s="662"/>
      <c r="AD982" s="662"/>
      <c r="AE982" s="662"/>
      <c r="AF982" s="662"/>
      <c r="AG982" s="662"/>
      <c r="AH982" s="662"/>
      <c r="AI982" s="662"/>
    </row>
    <row r="983" spans="25:35" s="80" customFormat="1">
      <c r="Y983" s="662"/>
      <c r="Z983" s="662"/>
      <c r="AA983" s="662"/>
      <c r="AB983" s="662"/>
      <c r="AC983" s="662"/>
      <c r="AD983" s="662"/>
      <c r="AE983" s="662"/>
      <c r="AF983" s="662"/>
      <c r="AG983" s="662"/>
      <c r="AH983" s="662"/>
      <c r="AI983" s="662"/>
    </row>
    <row r="984" spans="25:35" s="80" customFormat="1">
      <c r="Y984" s="662"/>
      <c r="Z984" s="662"/>
      <c r="AA984" s="662"/>
      <c r="AB984" s="662"/>
      <c r="AC984" s="662"/>
      <c r="AD984" s="662"/>
      <c r="AE984" s="662"/>
      <c r="AF984" s="662"/>
      <c r="AG984" s="662"/>
      <c r="AH984" s="662"/>
      <c r="AI984" s="662"/>
    </row>
    <row r="985" spans="25:35" s="80" customFormat="1">
      <c r="Y985" s="662"/>
      <c r="Z985" s="662"/>
      <c r="AA985" s="662"/>
      <c r="AB985" s="662"/>
      <c r="AC985" s="662"/>
      <c r="AD985" s="662"/>
      <c r="AE985" s="662"/>
      <c r="AF985" s="662"/>
      <c r="AG985" s="662"/>
      <c r="AH985" s="662"/>
      <c r="AI985" s="662"/>
    </row>
    <row r="986" spans="25:35" s="80" customFormat="1">
      <c r="Y986" s="662"/>
      <c r="Z986" s="662"/>
      <c r="AA986" s="662"/>
      <c r="AB986" s="662"/>
      <c r="AC986" s="662"/>
      <c r="AD986" s="662"/>
      <c r="AE986" s="662"/>
      <c r="AF986" s="662"/>
      <c r="AG986" s="662"/>
      <c r="AH986" s="662"/>
      <c r="AI986" s="662"/>
    </row>
    <row r="987" spans="25:35" s="80" customFormat="1">
      <c r="Y987" s="662"/>
      <c r="Z987" s="662"/>
      <c r="AA987" s="662"/>
      <c r="AB987" s="662"/>
      <c r="AC987" s="662"/>
      <c r="AD987" s="662"/>
      <c r="AE987" s="662"/>
      <c r="AF987" s="662"/>
      <c r="AG987" s="662"/>
      <c r="AH987" s="662"/>
      <c r="AI987" s="662"/>
    </row>
    <row r="988" spans="25:35" s="80" customFormat="1">
      <c r="Y988" s="662"/>
      <c r="Z988" s="662"/>
      <c r="AA988" s="662"/>
      <c r="AB988" s="662"/>
      <c r="AC988" s="662"/>
      <c r="AD988" s="662"/>
      <c r="AE988" s="662"/>
      <c r="AF988" s="662"/>
      <c r="AG988" s="662"/>
      <c r="AH988" s="662"/>
      <c r="AI988" s="662"/>
    </row>
    <row r="989" spans="25:35" s="80" customFormat="1">
      <c r="Y989" s="662"/>
      <c r="Z989" s="662"/>
      <c r="AA989" s="662"/>
      <c r="AB989" s="662"/>
      <c r="AC989" s="662"/>
      <c r="AD989" s="662"/>
      <c r="AE989" s="662"/>
      <c r="AF989" s="662"/>
      <c r="AG989" s="662"/>
      <c r="AH989" s="662"/>
      <c r="AI989" s="662"/>
    </row>
    <row r="990" spans="25:35" s="80" customFormat="1">
      <c r="Y990" s="662"/>
      <c r="Z990" s="662"/>
      <c r="AA990" s="662"/>
      <c r="AB990" s="662"/>
      <c r="AC990" s="662"/>
      <c r="AD990" s="662"/>
      <c r="AE990" s="662"/>
      <c r="AF990" s="662"/>
      <c r="AG990" s="662"/>
      <c r="AH990" s="662"/>
      <c r="AI990" s="662"/>
    </row>
    <row r="991" spans="25:35" s="80" customFormat="1">
      <c r="Y991" s="662"/>
      <c r="Z991" s="662"/>
      <c r="AA991" s="662"/>
      <c r="AB991" s="662"/>
      <c r="AC991" s="662"/>
      <c r="AD991" s="662"/>
      <c r="AE991" s="662"/>
      <c r="AF991" s="662"/>
      <c r="AG991" s="662"/>
      <c r="AH991" s="662"/>
      <c r="AI991" s="662"/>
    </row>
    <row r="992" spans="25:35" s="80" customFormat="1">
      <c r="Y992" s="662"/>
      <c r="Z992" s="662"/>
      <c r="AA992" s="662"/>
      <c r="AB992" s="662"/>
      <c r="AC992" s="662"/>
      <c r="AD992" s="662"/>
      <c r="AE992" s="662"/>
      <c r="AF992" s="662"/>
      <c r="AG992" s="662"/>
      <c r="AH992" s="662"/>
      <c r="AI992" s="662"/>
    </row>
    <row r="993" spans="25:35" s="80" customFormat="1">
      <c r="Y993" s="662"/>
      <c r="Z993" s="662"/>
      <c r="AA993" s="662"/>
      <c r="AB993" s="662"/>
      <c r="AC993" s="662"/>
      <c r="AD993" s="662"/>
      <c r="AE993" s="662"/>
      <c r="AF993" s="662"/>
      <c r="AG993" s="662"/>
      <c r="AH993" s="662"/>
      <c r="AI993" s="662"/>
    </row>
    <row r="994" spans="25:35" s="80" customFormat="1">
      <c r="Y994" s="662"/>
      <c r="Z994" s="662"/>
      <c r="AA994" s="662"/>
      <c r="AB994" s="662"/>
      <c r="AC994" s="662"/>
      <c r="AD994" s="662"/>
      <c r="AE994" s="662"/>
      <c r="AF994" s="662"/>
      <c r="AG994" s="662"/>
      <c r="AH994" s="662"/>
      <c r="AI994" s="662"/>
    </row>
    <row r="995" spans="25:35" s="80" customFormat="1">
      <c r="Y995" s="662"/>
      <c r="Z995" s="662"/>
      <c r="AA995" s="662"/>
      <c r="AB995" s="662"/>
      <c r="AC995" s="662"/>
      <c r="AD995" s="662"/>
      <c r="AE995" s="662"/>
      <c r="AF995" s="662"/>
      <c r="AG995" s="662"/>
      <c r="AH995" s="662"/>
      <c r="AI995" s="662"/>
    </row>
    <row r="996" spans="25:35" s="80" customFormat="1">
      <c r="Y996" s="662"/>
      <c r="Z996" s="662"/>
      <c r="AA996" s="662"/>
      <c r="AB996" s="662"/>
      <c r="AC996" s="662"/>
      <c r="AD996" s="662"/>
      <c r="AE996" s="662"/>
      <c r="AF996" s="662"/>
      <c r="AG996" s="662"/>
      <c r="AH996" s="662"/>
      <c r="AI996" s="662"/>
    </row>
    <row r="997" spans="25:35" s="80" customFormat="1">
      <c r="Y997" s="662"/>
      <c r="Z997" s="662"/>
      <c r="AA997" s="662"/>
      <c r="AB997" s="662"/>
      <c r="AC997" s="662"/>
      <c r="AD997" s="662"/>
      <c r="AE997" s="662"/>
      <c r="AF997" s="662"/>
      <c r="AG997" s="662"/>
      <c r="AH997" s="662"/>
      <c r="AI997" s="662"/>
    </row>
    <row r="998" spans="25:35" s="80" customFormat="1">
      <c r="Y998" s="662"/>
      <c r="Z998" s="662"/>
      <c r="AA998" s="662"/>
      <c r="AB998" s="662"/>
      <c r="AC998" s="662"/>
      <c r="AD998" s="662"/>
      <c r="AE998" s="662"/>
      <c r="AF998" s="662"/>
      <c r="AG998" s="662"/>
      <c r="AH998" s="662"/>
      <c r="AI998" s="662"/>
    </row>
    <row r="999" spans="25:35" s="80" customFormat="1">
      <c r="Y999" s="662"/>
      <c r="Z999" s="662"/>
      <c r="AA999" s="662"/>
      <c r="AB999" s="662"/>
      <c r="AC999" s="662"/>
      <c r="AD999" s="662"/>
      <c r="AE999" s="662"/>
      <c r="AF999" s="662"/>
      <c r="AG999" s="662"/>
      <c r="AH999" s="662"/>
      <c r="AI999" s="662"/>
    </row>
    <row r="1000" spans="25:35" s="80" customFormat="1">
      <c r="Y1000" s="662"/>
      <c r="Z1000" s="662"/>
      <c r="AA1000" s="662"/>
      <c r="AB1000" s="662"/>
      <c r="AC1000" s="662"/>
      <c r="AD1000" s="662"/>
      <c r="AE1000" s="662"/>
      <c r="AF1000" s="662"/>
      <c r="AG1000" s="662"/>
      <c r="AH1000" s="662"/>
      <c r="AI1000" s="662"/>
    </row>
    <row r="1001" spans="25:35" s="80" customFormat="1">
      <c r="Y1001" s="662"/>
      <c r="Z1001" s="662"/>
      <c r="AA1001" s="662"/>
      <c r="AB1001" s="662"/>
      <c r="AC1001" s="662"/>
      <c r="AD1001" s="662"/>
      <c r="AE1001" s="662"/>
      <c r="AF1001" s="662"/>
      <c r="AG1001" s="662"/>
      <c r="AH1001" s="662"/>
      <c r="AI1001" s="662"/>
    </row>
    <row r="1002" spans="25:35" s="80" customFormat="1">
      <c r="Y1002" s="662"/>
      <c r="Z1002" s="662"/>
      <c r="AA1002" s="662"/>
      <c r="AB1002" s="662"/>
      <c r="AC1002" s="662"/>
      <c r="AD1002" s="662"/>
      <c r="AE1002" s="662"/>
      <c r="AF1002" s="662"/>
      <c r="AG1002" s="662"/>
      <c r="AH1002" s="662"/>
      <c r="AI1002" s="662"/>
    </row>
    <row r="1003" spans="25:35" s="80" customFormat="1">
      <c r="Y1003" s="662"/>
      <c r="Z1003" s="662"/>
      <c r="AA1003" s="662"/>
      <c r="AB1003" s="662"/>
      <c r="AC1003" s="662"/>
      <c r="AD1003" s="662"/>
      <c r="AE1003" s="662"/>
      <c r="AF1003" s="662"/>
      <c r="AG1003" s="662"/>
      <c r="AH1003" s="662"/>
      <c r="AI1003" s="662"/>
    </row>
    <row r="1004" spans="25:35" s="80" customFormat="1">
      <c r="Y1004" s="662"/>
      <c r="Z1004" s="662"/>
      <c r="AA1004" s="662"/>
      <c r="AB1004" s="662"/>
      <c r="AC1004" s="662"/>
      <c r="AD1004" s="662"/>
      <c r="AE1004" s="662"/>
      <c r="AF1004" s="662"/>
      <c r="AG1004" s="662"/>
      <c r="AH1004" s="662"/>
      <c r="AI1004" s="662"/>
    </row>
    <row r="1005" spans="25:35" s="80" customFormat="1">
      <c r="Y1005" s="662"/>
      <c r="Z1005" s="662"/>
      <c r="AA1005" s="662"/>
      <c r="AB1005" s="662"/>
      <c r="AC1005" s="662"/>
      <c r="AD1005" s="662"/>
      <c r="AE1005" s="662"/>
      <c r="AF1005" s="662"/>
      <c r="AG1005" s="662"/>
      <c r="AH1005" s="662"/>
      <c r="AI1005" s="662"/>
    </row>
    <row r="1006" spans="25:35" s="80" customFormat="1">
      <c r="Y1006" s="662"/>
      <c r="Z1006" s="662"/>
      <c r="AA1006" s="662"/>
      <c r="AB1006" s="662"/>
      <c r="AC1006" s="662"/>
      <c r="AD1006" s="662"/>
      <c r="AE1006" s="662"/>
      <c r="AF1006" s="662"/>
      <c r="AG1006" s="662"/>
      <c r="AH1006" s="662"/>
      <c r="AI1006" s="662"/>
    </row>
    <row r="1007" spans="25:35" s="80" customFormat="1">
      <c r="Y1007" s="662"/>
      <c r="Z1007" s="662"/>
      <c r="AA1007" s="662"/>
      <c r="AB1007" s="662"/>
      <c r="AC1007" s="662"/>
      <c r="AD1007" s="662"/>
      <c r="AE1007" s="662"/>
      <c r="AF1007" s="662"/>
      <c r="AG1007" s="662"/>
      <c r="AH1007" s="662"/>
      <c r="AI1007" s="662"/>
    </row>
    <row r="1008" spans="25:35" s="80" customFormat="1">
      <c r="Y1008" s="662"/>
      <c r="Z1008" s="662"/>
      <c r="AA1008" s="662"/>
      <c r="AB1008" s="662"/>
      <c r="AC1008" s="662"/>
      <c r="AD1008" s="662"/>
      <c r="AE1008" s="662"/>
      <c r="AF1008" s="662"/>
      <c r="AG1008" s="662"/>
      <c r="AH1008" s="662"/>
      <c r="AI1008" s="662"/>
    </row>
    <row r="1009" spans="25:35" s="80" customFormat="1">
      <c r="Y1009" s="662"/>
      <c r="Z1009" s="662"/>
      <c r="AA1009" s="662"/>
      <c r="AB1009" s="662"/>
      <c r="AC1009" s="662"/>
      <c r="AD1009" s="662"/>
      <c r="AE1009" s="662"/>
      <c r="AF1009" s="662"/>
      <c r="AG1009" s="662"/>
      <c r="AH1009" s="662"/>
      <c r="AI1009" s="662"/>
    </row>
    <row r="1010" spans="25:35" s="80" customFormat="1">
      <c r="Y1010" s="662"/>
      <c r="Z1010" s="662"/>
      <c r="AA1010" s="662"/>
      <c r="AB1010" s="662"/>
      <c r="AC1010" s="662"/>
      <c r="AD1010" s="662"/>
      <c r="AE1010" s="662"/>
      <c r="AF1010" s="662"/>
      <c r="AG1010" s="662"/>
      <c r="AH1010" s="662"/>
      <c r="AI1010" s="662"/>
    </row>
    <row r="1011" spans="25:35" s="80" customFormat="1">
      <c r="Y1011" s="662"/>
      <c r="Z1011" s="662"/>
      <c r="AA1011" s="662"/>
      <c r="AB1011" s="662"/>
      <c r="AC1011" s="662"/>
      <c r="AD1011" s="662"/>
      <c r="AE1011" s="662"/>
      <c r="AF1011" s="662"/>
      <c r="AG1011" s="662"/>
      <c r="AH1011" s="662"/>
      <c r="AI1011" s="662"/>
    </row>
    <row r="1012" spans="25:35" s="80" customFormat="1">
      <c r="Y1012" s="662"/>
      <c r="Z1012" s="662"/>
      <c r="AA1012" s="662"/>
      <c r="AB1012" s="662"/>
      <c r="AC1012" s="662"/>
      <c r="AD1012" s="662"/>
      <c r="AE1012" s="662"/>
      <c r="AF1012" s="662"/>
      <c r="AG1012" s="662"/>
      <c r="AH1012" s="662"/>
      <c r="AI1012" s="662"/>
    </row>
    <row r="1013" spans="25:35" s="80" customFormat="1">
      <c r="Y1013" s="662"/>
      <c r="Z1013" s="662"/>
      <c r="AA1013" s="662"/>
      <c r="AB1013" s="662"/>
      <c r="AC1013" s="662"/>
      <c r="AD1013" s="662"/>
      <c r="AE1013" s="662"/>
      <c r="AF1013" s="662"/>
      <c r="AG1013" s="662"/>
      <c r="AH1013" s="662"/>
      <c r="AI1013" s="662"/>
    </row>
    <row r="1014" spans="25:35" s="80" customFormat="1">
      <c r="Y1014" s="662"/>
      <c r="Z1014" s="662"/>
      <c r="AA1014" s="662"/>
      <c r="AB1014" s="662"/>
      <c r="AC1014" s="662"/>
      <c r="AD1014" s="662"/>
      <c r="AE1014" s="662"/>
      <c r="AF1014" s="662"/>
      <c r="AG1014" s="662"/>
      <c r="AH1014" s="662"/>
      <c r="AI1014" s="662"/>
    </row>
    <row r="1015" spans="25:35" s="80" customFormat="1">
      <c r="Y1015" s="662"/>
      <c r="Z1015" s="662"/>
      <c r="AA1015" s="662"/>
      <c r="AB1015" s="662"/>
      <c r="AC1015" s="662"/>
      <c r="AD1015" s="662"/>
      <c r="AE1015" s="662"/>
      <c r="AF1015" s="662"/>
      <c r="AG1015" s="662"/>
      <c r="AH1015" s="662"/>
      <c r="AI1015" s="662"/>
    </row>
    <row r="1016" spans="25:35" s="80" customFormat="1">
      <c r="Y1016" s="662"/>
      <c r="Z1016" s="662"/>
      <c r="AA1016" s="662"/>
      <c r="AB1016" s="662"/>
      <c r="AC1016" s="662"/>
      <c r="AD1016" s="662"/>
      <c r="AE1016" s="662"/>
      <c r="AF1016" s="662"/>
      <c r="AG1016" s="662"/>
      <c r="AH1016" s="662"/>
      <c r="AI1016" s="662"/>
    </row>
    <row r="1017" spans="25:35" s="80" customFormat="1">
      <c r="Y1017" s="662"/>
      <c r="Z1017" s="662"/>
      <c r="AA1017" s="662"/>
      <c r="AB1017" s="662"/>
      <c r="AC1017" s="662"/>
      <c r="AD1017" s="662"/>
      <c r="AE1017" s="662"/>
      <c r="AF1017" s="662"/>
      <c r="AG1017" s="662"/>
      <c r="AH1017" s="662"/>
      <c r="AI1017" s="662"/>
    </row>
    <row r="1018" spans="25:35" s="80" customFormat="1">
      <c r="Y1018" s="662"/>
      <c r="Z1018" s="662"/>
      <c r="AA1018" s="662"/>
      <c r="AB1018" s="662"/>
      <c r="AC1018" s="662"/>
      <c r="AD1018" s="662"/>
      <c r="AE1018" s="662"/>
      <c r="AF1018" s="662"/>
      <c r="AG1018" s="662"/>
      <c r="AH1018" s="662"/>
      <c r="AI1018" s="662"/>
    </row>
    <row r="1019" spans="25:35" s="80" customFormat="1">
      <c r="Y1019" s="662"/>
      <c r="Z1019" s="662"/>
      <c r="AA1019" s="662"/>
      <c r="AB1019" s="662"/>
      <c r="AC1019" s="662"/>
      <c r="AD1019" s="662"/>
      <c r="AE1019" s="662"/>
      <c r="AF1019" s="662"/>
      <c r="AG1019" s="662"/>
      <c r="AH1019" s="662"/>
      <c r="AI1019" s="662"/>
    </row>
    <row r="1020" spans="25:35" s="80" customFormat="1">
      <c r="Y1020" s="662"/>
      <c r="Z1020" s="662"/>
      <c r="AA1020" s="662"/>
      <c r="AB1020" s="662"/>
      <c r="AC1020" s="662"/>
      <c r="AD1020" s="662"/>
      <c r="AE1020" s="662"/>
      <c r="AF1020" s="662"/>
      <c r="AG1020" s="662"/>
      <c r="AH1020" s="662"/>
      <c r="AI1020" s="662"/>
    </row>
    <row r="1021" spans="25:35" s="80" customFormat="1">
      <c r="Y1021" s="662"/>
      <c r="Z1021" s="662"/>
      <c r="AA1021" s="662"/>
      <c r="AB1021" s="662"/>
      <c r="AC1021" s="662"/>
      <c r="AD1021" s="662"/>
      <c r="AE1021" s="662"/>
      <c r="AF1021" s="662"/>
      <c r="AG1021" s="662"/>
      <c r="AH1021" s="662"/>
      <c r="AI1021" s="662"/>
    </row>
    <row r="1022" spans="25:35" s="80" customFormat="1">
      <c r="Y1022" s="662"/>
      <c r="Z1022" s="662"/>
      <c r="AA1022" s="662"/>
      <c r="AB1022" s="662"/>
      <c r="AC1022" s="662"/>
      <c r="AD1022" s="662"/>
      <c r="AE1022" s="662"/>
      <c r="AF1022" s="662"/>
      <c r="AG1022" s="662"/>
      <c r="AH1022" s="662"/>
      <c r="AI1022" s="662"/>
    </row>
    <row r="1023" spans="25:35" s="80" customFormat="1">
      <c r="Y1023" s="662"/>
      <c r="Z1023" s="662"/>
      <c r="AA1023" s="662"/>
      <c r="AB1023" s="662"/>
      <c r="AC1023" s="662"/>
      <c r="AD1023" s="662"/>
      <c r="AE1023" s="662"/>
      <c r="AF1023" s="662"/>
      <c r="AG1023" s="662"/>
      <c r="AH1023" s="662"/>
      <c r="AI1023" s="662"/>
    </row>
    <row r="1024" spans="25:35" s="80" customFormat="1">
      <c r="Y1024" s="662"/>
      <c r="Z1024" s="662"/>
      <c r="AA1024" s="662"/>
      <c r="AB1024" s="662"/>
      <c r="AC1024" s="662"/>
      <c r="AD1024" s="662"/>
      <c r="AE1024" s="662"/>
      <c r="AF1024" s="662"/>
      <c r="AG1024" s="662"/>
      <c r="AH1024" s="662"/>
      <c r="AI1024" s="662"/>
    </row>
    <row r="1025" spans="25:35" s="80" customFormat="1">
      <c r="Y1025" s="662"/>
      <c r="Z1025" s="662"/>
      <c r="AA1025" s="662"/>
      <c r="AB1025" s="662"/>
      <c r="AC1025" s="662"/>
      <c r="AD1025" s="662"/>
      <c r="AE1025" s="662"/>
      <c r="AF1025" s="662"/>
      <c r="AG1025" s="662"/>
      <c r="AH1025" s="662"/>
      <c r="AI1025" s="662"/>
    </row>
    <row r="1026" spans="25:35" s="80" customFormat="1">
      <c r="Y1026" s="662"/>
      <c r="Z1026" s="662"/>
      <c r="AA1026" s="662"/>
      <c r="AB1026" s="662"/>
      <c r="AC1026" s="662"/>
      <c r="AD1026" s="662"/>
      <c r="AE1026" s="662"/>
      <c r="AF1026" s="662"/>
      <c r="AG1026" s="662"/>
      <c r="AH1026" s="662"/>
      <c r="AI1026" s="662"/>
    </row>
    <row r="1027" spans="25:35" s="80" customFormat="1">
      <c r="Y1027" s="662"/>
      <c r="Z1027" s="662"/>
      <c r="AA1027" s="662"/>
      <c r="AB1027" s="662"/>
      <c r="AC1027" s="662"/>
      <c r="AD1027" s="662"/>
      <c r="AE1027" s="662"/>
      <c r="AF1027" s="662"/>
      <c r="AG1027" s="662"/>
      <c r="AH1027" s="662"/>
      <c r="AI1027" s="662"/>
    </row>
    <row r="1028" spans="25:35" s="80" customFormat="1">
      <c r="Y1028" s="662"/>
      <c r="Z1028" s="662"/>
      <c r="AA1028" s="662"/>
      <c r="AB1028" s="662"/>
      <c r="AC1028" s="662"/>
      <c r="AD1028" s="662"/>
      <c r="AE1028" s="662"/>
      <c r="AF1028" s="662"/>
      <c r="AG1028" s="662"/>
      <c r="AH1028" s="662"/>
      <c r="AI1028" s="662"/>
    </row>
    <row r="1029" spans="25:35" s="80" customFormat="1">
      <c r="Y1029" s="662"/>
      <c r="Z1029" s="662"/>
      <c r="AA1029" s="662"/>
      <c r="AB1029" s="662"/>
      <c r="AC1029" s="662"/>
      <c r="AD1029" s="662"/>
      <c r="AE1029" s="662"/>
      <c r="AF1029" s="662"/>
      <c r="AG1029" s="662"/>
      <c r="AH1029" s="662"/>
      <c r="AI1029" s="662"/>
    </row>
    <row r="1030" spans="25:35" s="80" customFormat="1">
      <c r="Y1030" s="662"/>
      <c r="Z1030" s="662"/>
      <c r="AA1030" s="662"/>
      <c r="AB1030" s="662"/>
      <c r="AC1030" s="662"/>
      <c r="AD1030" s="662"/>
      <c r="AE1030" s="662"/>
      <c r="AF1030" s="662"/>
      <c r="AG1030" s="662"/>
      <c r="AH1030" s="662"/>
      <c r="AI1030" s="662"/>
    </row>
    <row r="1031" spans="25:35" s="80" customFormat="1">
      <c r="Y1031" s="662"/>
      <c r="Z1031" s="662"/>
      <c r="AA1031" s="662"/>
      <c r="AB1031" s="662"/>
      <c r="AC1031" s="662"/>
      <c r="AD1031" s="662"/>
      <c r="AE1031" s="662"/>
      <c r="AF1031" s="662"/>
      <c r="AG1031" s="662"/>
      <c r="AH1031" s="662"/>
      <c r="AI1031" s="662"/>
    </row>
    <row r="1032" spans="25:35" s="80" customFormat="1">
      <c r="Y1032" s="662"/>
      <c r="Z1032" s="662"/>
      <c r="AA1032" s="662"/>
      <c r="AB1032" s="662"/>
      <c r="AC1032" s="662"/>
      <c r="AD1032" s="662"/>
      <c r="AE1032" s="662"/>
      <c r="AF1032" s="662"/>
      <c r="AG1032" s="662"/>
      <c r="AH1032" s="662"/>
      <c r="AI1032" s="662"/>
    </row>
    <row r="1033" spans="25:35" s="80" customFormat="1">
      <c r="Y1033" s="662"/>
      <c r="Z1033" s="662"/>
      <c r="AA1033" s="662"/>
      <c r="AB1033" s="662"/>
      <c r="AC1033" s="662"/>
      <c r="AD1033" s="662"/>
      <c r="AE1033" s="662"/>
      <c r="AF1033" s="662"/>
      <c r="AG1033" s="662"/>
      <c r="AH1033" s="662"/>
      <c r="AI1033" s="662"/>
    </row>
    <row r="1034" spans="25:35" s="80" customFormat="1">
      <c r="Y1034" s="662"/>
      <c r="Z1034" s="662"/>
      <c r="AA1034" s="662"/>
      <c r="AB1034" s="662"/>
      <c r="AC1034" s="662"/>
      <c r="AD1034" s="662"/>
      <c r="AE1034" s="662"/>
      <c r="AF1034" s="662"/>
      <c r="AG1034" s="662"/>
      <c r="AH1034" s="662"/>
      <c r="AI1034" s="662"/>
    </row>
    <row r="1035" spans="25:35" s="80" customFormat="1">
      <c r="Y1035" s="662"/>
      <c r="Z1035" s="662"/>
      <c r="AA1035" s="662"/>
      <c r="AB1035" s="662"/>
      <c r="AC1035" s="662"/>
      <c r="AD1035" s="662"/>
      <c r="AE1035" s="662"/>
      <c r="AF1035" s="662"/>
      <c r="AG1035" s="662"/>
      <c r="AH1035" s="662"/>
      <c r="AI1035" s="662"/>
    </row>
    <row r="1036" spans="25:35" s="80" customFormat="1">
      <c r="Y1036" s="662"/>
      <c r="Z1036" s="662"/>
      <c r="AA1036" s="662"/>
      <c r="AB1036" s="662"/>
      <c r="AC1036" s="662"/>
      <c r="AD1036" s="662"/>
      <c r="AE1036" s="662"/>
      <c r="AF1036" s="662"/>
      <c r="AG1036" s="662"/>
      <c r="AH1036" s="662"/>
      <c r="AI1036" s="662"/>
    </row>
    <row r="1037" spans="25:35" s="80" customFormat="1">
      <c r="Y1037" s="662"/>
      <c r="Z1037" s="662"/>
      <c r="AA1037" s="662"/>
      <c r="AB1037" s="662"/>
      <c r="AC1037" s="662"/>
      <c r="AD1037" s="662"/>
      <c r="AE1037" s="662"/>
      <c r="AF1037" s="662"/>
      <c r="AG1037" s="662"/>
      <c r="AH1037" s="662"/>
      <c r="AI1037" s="662"/>
    </row>
    <row r="1038" spans="25:35" s="80" customFormat="1">
      <c r="Y1038" s="662"/>
      <c r="Z1038" s="662"/>
      <c r="AA1038" s="662"/>
      <c r="AB1038" s="662"/>
      <c r="AC1038" s="662"/>
      <c r="AD1038" s="662"/>
      <c r="AE1038" s="662"/>
      <c r="AF1038" s="662"/>
      <c r="AG1038" s="662"/>
      <c r="AH1038" s="662"/>
      <c r="AI1038" s="662"/>
    </row>
    <row r="1039" spans="25:35" s="80" customFormat="1">
      <c r="Y1039" s="662"/>
      <c r="Z1039" s="662"/>
      <c r="AA1039" s="662"/>
      <c r="AB1039" s="662"/>
      <c r="AC1039" s="662"/>
      <c r="AD1039" s="662"/>
      <c r="AE1039" s="662"/>
      <c r="AF1039" s="662"/>
      <c r="AG1039" s="662"/>
      <c r="AH1039" s="662"/>
      <c r="AI1039" s="662"/>
    </row>
    <row r="1040" spans="25:35" s="80" customFormat="1">
      <c r="Y1040" s="662"/>
      <c r="Z1040" s="662"/>
      <c r="AA1040" s="662"/>
      <c r="AB1040" s="662"/>
      <c r="AC1040" s="662"/>
      <c r="AD1040" s="662"/>
      <c r="AE1040" s="662"/>
      <c r="AF1040" s="662"/>
      <c r="AG1040" s="662"/>
      <c r="AH1040" s="662"/>
      <c r="AI1040" s="662"/>
    </row>
    <row r="1041" spans="25:35" s="80" customFormat="1">
      <c r="Y1041" s="662"/>
      <c r="Z1041" s="662"/>
      <c r="AA1041" s="662"/>
      <c r="AB1041" s="662"/>
      <c r="AC1041" s="662"/>
      <c r="AD1041" s="662"/>
      <c r="AE1041" s="662"/>
      <c r="AF1041" s="662"/>
      <c r="AG1041" s="662"/>
      <c r="AH1041" s="662"/>
      <c r="AI1041" s="662"/>
    </row>
    <row r="1042" spans="25:35" s="80" customFormat="1">
      <c r="Y1042" s="662"/>
      <c r="Z1042" s="662"/>
      <c r="AA1042" s="662"/>
      <c r="AB1042" s="662"/>
      <c r="AC1042" s="662"/>
      <c r="AD1042" s="662"/>
      <c r="AE1042" s="662"/>
      <c r="AF1042" s="662"/>
      <c r="AG1042" s="662"/>
      <c r="AH1042" s="662"/>
      <c r="AI1042" s="662"/>
    </row>
    <row r="1043" spans="25:35" s="80" customFormat="1">
      <c r="Y1043" s="662"/>
      <c r="Z1043" s="662"/>
      <c r="AA1043" s="662"/>
      <c r="AB1043" s="662"/>
      <c r="AC1043" s="662"/>
      <c r="AD1043" s="662"/>
      <c r="AE1043" s="662"/>
      <c r="AF1043" s="662"/>
      <c r="AG1043" s="662"/>
      <c r="AH1043" s="662"/>
      <c r="AI1043" s="662"/>
    </row>
    <row r="1044" spans="25:35" s="80" customFormat="1">
      <c r="Y1044" s="662"/>
      <c r="Z1044" s="662"/>
      <c r="AA1044" s="662"/>
      <c r="AB1044" s="662"/>
      <c r="AC1044" s="662"/>
      <c r="AD1044" s="662"/>
      <c r="AE1044" s="662"/>
      <c r="AF1044" s="662"/>
      <c r="AG1044" s="662"/>
      <c r="AH1044" s="662"/>
      <c r="AI1044" s="662"/>
    </row>
    <row r="1045" spans="25:35" s="80" customFormat="1">
      <c r="Y1045" s="662"/>
      <c r="Z1045" s="662"/>
      <c r="AA1045" s="662"/>
      <c r="AB1045" s="662"/>
      <c r="AC1045" s="662"/>
      <c r="AD1045" s="662"/>
      <c r="AE1045" s="662"/>
      <c r="AF1045" s="662"/>
      <c r="AG1045" s="662"/>
      <c r="AH1045" s="662"/>
      <c r="AI1045" s="662"/>
    </row>
    <row r="1046" spans="25:35" s="80" customFormat="1">
      <c r="Y1046" s="662"/>
      <c r="Z1046" s="662"/>
      <c r="AA1046" s="662"/>
      <c r="AB1046" s="662"/>
      <c r="AC1046" s="662"/>
      <c r="AD1046" s="662"/>
      <c r="AE1046" s="662"/>
      <c r="AF1046" s="662"/>
      <c r="AG1046" s="662"/>
      <c r="AH1046" s="662"/>
      <c r="AI1046" s="662"/>
    </row>
    <row r="1047" spans="25:35" s="80" customFormat="1">
      <c r="Y1047" s="662"/>
      <c r="Z1047" s="662"/>
      <c r="AA1047" s="662"/>
      <c r="AB1047" s="662"/>
      <c r="AC1047" s="662"/>
      <c r="AD1047" s="662"/>
      <c r="AE1047" s="662"/>
      <c r="AF1047" s="662"/>
      <c r="AG1047" s="662"/>
      <c r="AH1047" s="662"/>
      <c r="AI1047" s="662"/>
    </row>
    <row r="1048" spans="25:35" s="80" customFormat="1">
      <c r="Y1048" s="662"/>
      <c r="Z1048" s="662"/>
      <c r="AA1048" s="662"/>
      <c r="AB1048" s="662"/>
      <c r="AC1048" s="662"/>
      <c r="AD1048" s="662"/>
      <c r="AE1048" s="662"/>
      <c r="AF1048" s="662"/>
      <c r="AG1048" s="662"/>
      <c r="AH1048" s="662"/>
      <c r="AI1048" s="662"/>
    </row>
    <row r="1049" spans="25:35" s="80" customFormat="1">
      <c r="Y1049" s="662"/>
      <c r="Z1049" s="662"/>
      <c r="AA1049" s="662"/>
      <c r="AB1049" s="662"/>
      <c r="AC1049" s="662"/>
      <c r="AD1049" s="662"/>
      <c r="AE1049" s="662"/>
      <c r="AF1049" s="662"/>
      <c r="AG1049" s="662"/>
      <c r="AH1049" s="662"/>
      <c r="AI1049" s="662"/>
    </row>
    <row r="1050" spans="25:35" s="80" customFormat="1">
      <c r="Y1050" s="662"/>
      <c r="Z1050" s="662"/>
      <c r="AA1050" s="662"/>
      <c r="AB1050" s="662"/>
      <c r="AC1050" s="662"/>
      <c r="AD1050" s="662"/>
      <c r="AE1050" s="662"/>
      <c r="AF1050" s="662"/>
      <c r="AG1050" s="662"/>
      <c r="AH1050" s="662"/>
      <c r="AI1050" s="662"/>
    </row>
    <row r="1051" spans="25:35" s="80" customFormat="1">
      <c r="Y1051" s="662"/>
      <c r="Z1051" s="662"/>
      <c r="AA1051" s="662"/>
      <c r="AB1051" s="662"/>
      <c r="AC1051" s="662"/>
      <c r="AD1051" s="662"/>
      <c r="AE1051" s="662"/>
      <c r="AF1051" s="662"/>
      <c r="AG1051" s="662"/>
      <c r="AH1051" s="662"/>
      <c r="AI1051" s="662"/>
    </row>
    <row r="1052" spans="25:35" s="80" customFormat="1">
      <c r="Y1052" s="662"/>
      <c r="Z1052" s="662"/>
      <c r="AA1052" s="662"/>
      <c r="AB1052" s="662"/>
      <c r="AC1052" s="662"/>
      <c r="AD1052" s="662"/>
      <c r="AE1052" s="662"/>
      <c r="AF1052" s="662"/>
      <c r="AG1052" s="662"/>
      <c r="AH1052" s="662"/>
      <c r="AI1052" s="662"/>
    </row>
    <row r="1053" spans="25:35" s="80" customFormat="1">
      <c r="Y1053" s="662"/>
      <c r="Z1053" s="662"/>
      <c r="AA1053" s="662"/>
      <c r="AB1053" s="662"/>
      <c r="AC1053" s="662"/>
      <c r="AD1053" s="662"/>
      <c r="AE1053" s="662"/>
      <c r="AF1053" s="662"/>
      <c r="AG1053" s="662"/>
      <c r="AH1053" s="662"/>
      <c r="AI1053" s="662"/>
    </row>
    <row r="1054" spans="25:35" s="80" customFormat="1">
      <c r="Y1054" s="662"/>
      <c r="Z1054" s="662"/>
      <c r="AA1054" s="662"/>
      <c r="AB1054" s="662"/>
      <c r="AC1054" s="662"/>
      <c r="AD1054" s="662"/>
      <c r="AE1054" s="662"/>
      <c r="AF1054" s="662"/>
      <c r="AG1054" s="662"/>
      <c r="AH1054" s="662"/>
      <c r="AI1054" s="662"/>
    </row>
    <row r="1055" spans="25:35" s="80" customFormat="1">
      <c r="Y1055" s="662"/>
      <c r="Z1055" s="662"/>
      <c r="AA1055" s="662"/>
      <c r="AB1055" s="662"/>
      <c r="AC1055" s="662"/>
      <c r="AD1055" s="662"/>
      <c r="AE1055" s="662"/>
      <c r="AF1055" s="662"/>
      <c r="AG1055" s="662"/>
      <c r="AH1055" s="662"/>
      <c r="AI1055" s="662"/>
    </row>
    <row r="1056" spans="25:35" s="80" customFormat="1">
      <c r="Y1056" s="662"/>
      <c r="Z1056" s="662"/>
      <c r="AA1056" s="662"/>
      <c r="AB1056" s="662"/>
      <c r="AC1056" s="662"/>
      <c r="AD1056" s="662"/>
      <c r="AE1056" s="662"/>
      <c r="AF1056" s="662"/>
      <c r="AG1056" s="662"/>
      <c r="AH1056" s="662"/>
      <c r="AI1056" s="662"/>
    </row>
    <row r="1057" spans="25:35" s="80" customFormat="1">
      <c r="Y1057" s="662"/>
      <c r="Z1057" s="662"/>
      <c r="AA1057" s="662"/>
      <c r="AB1057" s="662"/>
      <c r="AC1057" s="662"/>
      <c r="AD1057" s="662"/>
      <c r="AE1057" s="662"/>
      <c r="AF1057" s="662"/>
      <c r="AG1057" s="662"/>
      <c r="AH1057" s="662"/>
      <c r="AI1057" s="662"/>
    </row>
    <row r="1058" spans="25:35" s="80" customFormat="1">
      <c r="Y1058" s="662"/>
      <c r="Z1058" s="662"/>
      <c r="AA1058" s="662"/>
      <c r="AB1058" s="662"/>
      <c r="AC1058" s="662"/>
      <c r="AD1058" s="662"/>
      <c r="AE1058" s="662"/>
      <c r="AF1058" s="662"/>
      <c r="AG1058" s="662"/>
      <c r="AH1058" s="662"/>
      <c r="AI1058" s="662"/>
    </row>
    <row r="1059" spans="25:35" s="80" customFormat="1">
      <c r="Y1059" s="662"/>
      <c r="Z1059" s="662"/>
      <c r="AA1059" s="662"/>
      <c r="AB1059" s="662"/>
      <c r="AC1059" s="662"/>
      <c r="AD1059" s="662"/>
      <c r="AE1059" s="662"/>
      <c r="AF1059" s="662"/>
      <c r="AG1059" s="662"/>
      <c r="AH1059" s="662"/>
      <c r="AI1059" s="662"/>
    </row>
    <row r="1060" spans="25:35" s="80" customFormat="1">
      <c r="Y1060" s="662"/>
      <c r="Z1060" s="662"/>
      <c r="AA1060" s="662"/>
      <c r="AB1060" s="662"/>
      <c r="AC1060" s="662"/>
      <c r="AD1060" s="662"/>
      <c r="AE1060" s="662"/>
      <c r="AF1060" s="662"/>
      <c r="AG1060" s="662"/>
      <c r="AH1060" s="662"/>
      <c r="AI1060" s="662"/>
    </row>
    <row r="1061" spans="25:35" s="80" customFormat="1">
      <c r="Y1061" s="662"/>
      <c r="Z1061" s="662"/>
      <c r="AA1061" s="662"/>
      <c r="AB1061" s="662"/>
      <c r="AC1061" s="662"/>
      <c r="AD1061" s="662"/>
      <c r="AE1061" s="662"/>
      <c r="AF1061" s="662"/>
      <c r="AG1061" s="662"/>
      <c r="AH1061" s="662"/>
      <c r="AI1061" s="662"/>
    </row>
    <row r="1062" spans="25:35" s="80" customFormat="1">
      <c r="Y1062" s="662"/>
      <c r="Z1062" s="662"/>
      <c r="AA1062" s="662"/>
      <c r="AB1062" s="662"/>
      <c r="AC1062" s="662"/>
      <c r="AD1062" s="662"/>
      <c r="AE1062" s="662"/>
      <c r="AF1062" s="662"/>
      <c r="AG1062" s="662"/>
      <c r="AH1062" s="662"/>
      <c r="AI1062" s="662"/>
    </row>
    <row r="1063" spans="25:35" s="80" customFormat="1">
      <c r="Y1063" s="662"/>
      <c r="Z1063" s="662"/>
      <c r="AA1063" s="662"/>
      <c r="AB1063" s="662"/>
      <c r="AC1063" s="662"/>
      <c r="AD1063" s="662"/>
      <c r="AE1063" s="662"/>
      <c r="AF1063" s="662"/>
      <c r="AG1063" s="662"/>
      <c r="AH1063" s="662"/>
      <c r="AI1063" s="662"/>
    </row>
    <row r="1064" spans="25:35" s="80" customFormat="1">
      <c r="Y1064" s="662"/>
      <c r="Z1064" s="662"/>
      <c r="AA1064" s="662"/>
      <c r="AB1064" s="662"/>
      <c r="AC1064" s="662"/>
      <c r="AD1064" s="662"/>
      <c r="AE1064" s="662"/>
      <c r="AF1064" s="662"/>
      <c r="AG1064" s="662"/>
      <c r="AH1064" s="662"/>
      <c r="AI1064" s="662"/>
    </row>
    <row r="1065" spans="25:35" s="80" customFormat="1">
      <c r="Y1065" s="662"/>
      <c r="Z1065" s="662"/>
      <c r="AA1065" s="662"/>
      <c r="AB1065" s="662"/>
      <c r="AC1065" s="662"/>
      <c r="AD1065" s="662"/>
      <c r="AE1065" s="662"/>
      <c r="AF1065" s="662"/>
      <c r="AG1065" s="662"/>
      <c r="AH1065" s="662"/>
      <c r="AI1065" s="662"/>
    </row>
    <row r="1066" spans="25:35" s="80" customFormat="1">
      <c r="Y1066" s="662"/>
      <c r="Z1066" s="662"/>
      <c r="AA1066" s="662"/>
      <c r="AB1066" s="662"/>
      <c r="AC1066" s="662"/>
      <c r="AD1066" s="662"/>
      <c r="AE1066" s="662"/>
      <c r="AF1066" s="662"/>
      <c r="AG1066" s="662"/>
      <c r="AH1066" s="662"/>
      <c r="AI1066" s="662"/>
    </row>
    <row r="1067" spans="25:35" s="80" customFormat="1">
      <c r="Y1067" s="662"/>
      <c r="Z1067" s="662"/>
      <c r="AA1067" s="662"/>
      <c r="AB1067" s="662"/>
      <c r="AC1067" s="662"/>
      <c r="AD1067" s="662"/>
      <c r="AE1067" s="662"/>
      <c r="AF1067" s="662"/>
      <c r="AG1067" s="662"/>
      <c r="AH1067" s="662"/>
      <c r="AI1067" s="662"/>
    </row>
    <row r="1068" spans="25:35" s="80" customFormat="1">
      <c r="Y1068" s="662"/>
      <c r="Z1068" s="662"/>
      <c r="AA1068" s="662"/>
      <c r="AB1068" s="662"/>
      <c r="AC1068" s="662"/>
      <c r="AD1068" s="662"/>
      <c r="AE1068" s="662"/>
      <c r="AF1068" s="662"/>
      <c r="AG1068" s="662"/>
      <c r="AH1068" s="662"/>
      <c r="AI1068" s="662"/>
    </row>
    <row r="1069" spans="25:35" s="80" customFormat="1">
      <c r="Y1069" s="662"/>
      <c r="Z1069" s="662"/>
      <c r="AA1069" s="662"/>
      <c r="AB1069" s="662"/>
      <c r="AC1069" s="662"/>
      <c r="AD1069" s="662"/>
      <c r="AE1069" s="662"/>
      <c r="AF1069" s="662"/>
      <c r="AG1069" s="662"/>
      <c r="AH1069" s="662"/>
      <c r="AI1069" s="662"/>
    </row>
    <row r="1070" spans="25:35" s="80" customFormat="1">
      <c r="Y1070" s="662"/>
      <c r="Z1070" s="662"/>
      <c r="AA1070" s="662"/>
      <c r="AB1070" s="662"/>
      <c r="AC1070" s="662"/>
      <c r="AD1070" s="662"/>
      <c r="AE1070" s="662"/>
      <c r="AF1070" s="662"/>
      <c r="AG1070" s="662"/>
      <c r="AH1070" s="662"/>
      <c r="AI1070" s="662"/>
    </row>
    <row r="1071" spans="25:35" s="80" customFormat="1">
      <c r="Y1071" s="662"/>
      <c r="Z1071" s="662"/>
      <c r="AA1071" s="662"/>
      <c r="AB1071" s="662"/>
      <c r="AC1071" s="662"/>
      <c r="AD1071" s="662"/>
      <c r="AE1071" s="662"/>
      <c r="AF1071" s="662"/>
      <c r="AG1071" s="662"/>
      <c r="AH1071" s="662"/>
      <c r="AI1071" s="662"/>
    </row>
    <row r="1072" spans="25:35" s="80" customFormat="1">
      <c r="Y1072" s="662"/>
      <c r="Z1072" s="662"/>
      <c r="AA1072" s="662"/>
      <c r="AB1072" s="662"/>
      <c r="AC1072" s="662"/>
      <c r="AD1072" s="662"/>
      <c r="AE1072" s="662"/>
      <c r="AF1072" s="662"/>
      <c r="AG1072" s="662"/>
      <c r="AH1072" s="662"/>
      <c r="AI1072" s="662"/>
    </row>
    <row r="1073" spans="25:35" s="80" customFormat="1">
      <c r="Y1073" s="662"/>
      <c r="Z1073" s="662"/>
      <c r="AA1073" s="662"/>
      <c r="AB1073" s="662"/>
      <c r="AC1073" s="662"/>
      <c r="AD1073" s="662"/>
      <c r="AE1073" s="662"/>
      <c r="AF1073" s="662"/>
      <c r="AG1073" s="662"/>
      <c r="AH1073" s="662"/>
      <c r="AI1073" s="662"/>
    </row>
    <row r="1074" spans="25:35" s="80" customFormat="1">
      <c r="Y1074" s="662"/>
      <c r="Z1074" s="662"/>
      <c r="AA1074" s="662"/>
      <c r="AB1074" s="662"/>
      <c r="AC1074" s="662"/>
      <c r="AD1074" s="662"/>
      <c r="AE1074" s="662"/>
      <c r="AF1074" s="662"/>
      <c r="AG1074" s="662"/>
      <c r="AH1074" s="662"/>
      <c r="AI1074" s="662"/>
    </row>
    <row r="1075" spans="25:35" s="80" customFormat="1">
      <c r="Y1075" s="662"/>
      <c r="Z1075" s="662"/>
      <c r="AA1075" s="662"/>
      <c r="AB1075" s="662"/>
      <c r="AC1075" s="662"/>
      <c r="AD1075" s="662"/>
      <c r="AE1075" s="662"/>
      <c r="AF1075" s="662"/>
      <c r="AG1075" s="662"/>
      <c r="AH1075" s="662"/>
      <c r="AI1075" s="662"/>
    </row>
    <row r="1076" spans="25:35" s="80" customFormat="1">
      <c r="Y1076" s="662"/>
      <c r="Z1076" s="662"/>
      <c r="AA1076" s="662"/>
      <c r="AB1076" s="662"/>
      <c r="AC1076" s="662"/>
      <c r="AD1076" s="662"/>
      <c r="AE1076" s="662"/>
      <c r="AF1076" s="662"/>
      <c r="AG1076" s="662"/>
      <c r="AH1076" s="662"/>
      <c r="AI1076" s="662"/>
    </row>
    <row r="1077" spans="25:35" s="80" customFormat="1">
      <c r="Y1077" s="662"/>
      <c r="Z1077" s="662"/>
      <c r="AA1077" s="662"/>
      <c r="AB1077" s="662"/>
      <c r="AC1077" s="662"/>
      <c r="AD1077" s="662"/>
      <c r="AE1077" s="662"/>
      <c r="AF1077" s="662"/>
      <c r="AG1077" s="662"/>
      <c r="AH1077" s="662"/>
      <c r="AI1077" s="662"/>
    </row>
    <row r="1078" spans="25:35" s="80" customFormat="1">
      <c r="Y1078" s="662"/>
      <c r="Z1078" s="662"/>
      <c r="AA1078" s="662"/>
      <c r="AB1078" s="662"/>
      <c r="AC1078" s="662"/>
      <c r="AD1078" s="662"/>
      <c r="AE1078" s="662"/>
      <c r="AF1078" s="662"/>
      <c r="AG1078" s="662"/>
      <c r="AH1078" s="662"/>
      <c r="AI1078" s="662"/>
    </row>
    <row r="1079" spans="25:35" s="80" customFormat="1">
      <c r="Y1079" s="662"/>
      <c r="Z1079" s="662"/>
      <c r="AA1079" s="662"/>
      <c r="AB1079" s="662"/>
      <c r="AC1079" s="662"/>
      <c r="AD1079" s="662"/>
      <c r="AE1079" s="662"/>
      <c r="AF1079" s="662"/>
      <c r="AG1079" s="662"/>
      <c r="AH1079" s="662"/>
      <c r="AI1079" s="662"/>
    </row>
    <row r="1080" spans="25:35" s="80" customFormat="1">
      <c r="Y1080" s="662"/>
      <c r="Z1080" s="662"/>
      <c r="AA1080" s="662"/>
      <c r="AB1080" s="662"/>
      <c r="AC1080" s="662"/>
      <c r="AD1080" s="662"/>
      <c r="AE1080" s="662"/>
      <c r="AF1080" s="662"/>
      <c r="AG1080" s="662"/>
      <c r="AH1080" s="662"/>
      <c r="AI1080" s="662"/>
    </row>
    <row r="1081" spans="25:35" s="80" customFormat="1">
      <c r="Y1081" s="662"/>
      <c r="Z1081" s="662"/>
      <c r="AA1081" s="662"/>
      <c r="AB1081" s="662"/>
      <c r="AC1081" s="662"/>
      <c r="AD1081" s="662"/>
      <c r="AE1081" s="662"/>
      <c r="AF1081" s="662"/>
      <c r="AG1081" s="662"/>
      <c r="AH1081" s="662"/>
      <c r="AI1081" s="662"/>
    </row>
    <row r="1082" spans="25:35" s="80" customFormat="1">
      <c r="Y1082" s="662"/>
      <c r="Z1082" s="662"/>
      <c r="AA1082" s="662"/>
      <c r="AB1082" s="662"/>
      <c r="AC1082" s="662"/>
      <c r="AD1082" s="662"/>
      <c r="AE1082" s="662"/>
      <c r="AF1082" s="662"/>
      <c r="AG1082" s="662"/>
      <c r="AH1082" s="662"/>
      <c r="AI1082" s="662"/>
    </row>
    <row r="1083" spans="25:35" s="80" customFormat="1">
      <c r="Y1083" s="662"/>
      <c r="Z1083" s="662"/>
      <c r="AA1083" s="662"/>
      <c r="AB1083" s="662"/>
      <c r="AC1083" s="662"/>
      <c r="AD1083" s="662"/>
      <c r="AE1083" s="662"/>
      <c r="AF1083" s="662"/>
      <c r="AG1083" s="662"/>
      <c r="AH1083" s="662"/>
      <c r="AI1083" s="662"/>
    </row>
    <row r="1084" spans="25:35" s="80" customFormat="1">
      <c r="Y1084" s="662"/>
      <c r="Z1084" s="662"/>
      <c r="AA1084" s="662"/>
      <c r="AB1084" s="662"/>
      <c r="AC1084" s="662"/>
      <c r="AD1084" s="662"/>
      <c r="AE1084" s="662"/>
      <c r="AF1084" s="662"/>
      <c r="AG1084" s="662"/>
      <c r="AH1084" s="662"/>
      <c r="AI1084" s="662"/>
    </row>
    <row r="1085" spans="25:35" s="80" customFormat="1">
      <c r="Y1085" s="662"/>
      <c r="Z1085" s="662"/>
      <c r="AA1085" s="662"/>
      <c r="AB1085" s="662"/>
      <c r="AC1085" s="662"/>
      <c r="AD1085" s="662"/>
      <c r="AE1085" s="662"/>
      <c r="AF1085" s="662"/>
      <c r="AG1085" s="662"/>
      <c r="AH1085" s="662"/>
      <c r="AI1085" s="662"/>
    </row>
    <row r="1086" spans="25:35" s="80" customFormat="1">
      <c r="Y1086" s="662"/>
      <c r="Z1086" s="662"/>
      <c r="AA1086" s="662"/>
      <c r="AB1086" s="662"/>
      <c r="AC1086" s="662"/>
      <c r="AD1086" s="662"/>
      <c r="AE1086" s="662"/>
      <c r="AF1086" s="662"/>
      <c r="AG1086" s="662"/>
      <c r="AH1086" s="662"/>
      <c r="AI1086" s="662"/>
    </row>
    <row r="1087" spans="25:35" s="80" customFormat="1">
      <c r="Y1087" s="662"/>
      <c r="Z1087" s="662"/>
      <c r="AA1087" s="662"/>
      <c r="AB1087" s="662"/>
      <c r="AC1087" s="662"/>
      <c r="AD1087" s="662"/>
      <c r="AE1087" s="662"/>
      <c r="AF1087" s="662"/>
      <c r="AG1087" s="662"/>
      <c r="AH1087" s="662"/>
      <c r="AI1087" s="662"/>
    </row>
    <row r="1088" spans="25:35" s="80" customFormat="1">
      <c r="Y1088" s="662"/>
      <c r="Z1088" s="662"/>
      <c r="AA1088" s="662"/>
      <c r="AB1088" s="662"/>
      <c r="AC1088" s="662"/>
      <c r="AD1088" s="662"/>
      <c r="AE1088" s="662"/>
      <c r="AF1088" s="662"/>
      <c r="AG1088" s="662"/>
      <c r="AH1088" s="662"/>
      <c r="AI1088" s="662"/>
    </row>
    <row r="1089" spans="25:35" s="80" customFormat="1">
      <c r="Y1089" s="662"/>
      <c r="Z1089" s="662"/>
      <c r="AA1089" s="662"/>
      <c r="AB1089" s="662"/>
      <c r="AC1089" s="662"/>
      <c r="AD1089" s="662"/>
      <c r="AE1089" s="662"/>
      <c r="AF1089" s="662"/>
      <c r="AG1089" s="662"/>
      <c r="AH1089" s="662"/>
      <c r="AI1089" s="662"/>
    </row>
    <row r="1090" spans="25:35" s="80" customFormat="1">
      <c r="Y1090" s="662"/>
      <c r="Z1090" s="662"/>
      <c r="AA1090" s="662"/>
      <c r="AB1090" s="662"/>
      <c r="AC1090" s="662"/>
      <c r="AD1090" s="662"/>
      <c r="AE1090" s="662"/>
      <c r="AF1090" s="662"/>
      <c r="AG1090" s="662"/>
      <c r="AH1090" s="662"/>
      <c r="AI1090" s="662"/>
    </row>
    <row r="1091" spans="25:35" s="80" customFormat="1">
      <c r="Y1091" s="662"/>
      <c r="Z1091" s="662"/>
      <c r="AA1091" s="662"/>
      <c r="AB1091" s="662"/>
      <c r="AC1091" s="662"/>
      <c r="AD1091" s="662"/>
      <c r="AE1091" s="662"/>
      <c r="AF1091" s="662"/>
      <c r="AG1091" s="662"/>
      <c r="AH1091" s="662"/>
      <c r="AI1091" s="662"/>
    </row>
    <row r="1092" spans="25:35" s="80" customFormat="1">
      <c r="Y1092" s="662"/>
      <c r="Z1092" s="662"/>
      <c r="AA1092" s="662"/>
      <c r="AB1092" s="662"/>
      <c r="AC1092" s="662"/>
      <c r="AD1092" s="662"/>
      <c r="AE1092" s="662"/>
      <c r="AF1092" s="662"/>
      <c r="AG1092" s="662"/>
      <c r="AH1092" s="662"/>
      <c r="AI1092" s="662"/>
    </row>
    <row r="1093" spans="25:35" s="80" customFormat="1">
      <c r="Y1093" s="662"/>
      <c r="Z1093" s="662"/>
      <c r="AA1093" s="662"/>
      <c r="AB1093" s="662"/>
      <c r="AC1093" s="662"/>
      <c r="AD1093" s="662"/>
      <c r="AE1093" s="662"/>
      <c r="AF1093" s="662"/>
      <c r="AG1093" s="662"/>
      <c r="AH1093" s="662"/>
      <c r="AI1093" s="662"/>
    </row>
    <row r="1094" spans="25:35" s="80" customFormat="1">
      <c r="Y1094" s="662"/>
      <c r="Z1094" s="662"/>
      <c r="AA1094" s="662"/>
      <c r="AB1094" s="662"/>
      <c r="AC1094" s="662"/>
      <c r="AD1094" s="662"/>
      <c r="AE1094" s="662"/>
      <c r="AF1094" s="662"/>
      <c r="AG1094" s="662"/>
      <c r="AH1094" s="662"/>
      <c r="AI1094" s="662"/>
    </row>
    <row r="1095" spans="25:35" s="80" customFormat="1">
      <c r="Y1095" s="662"/>
      <c r="Z1095" s="662"/>
      <c r="AA1095" s="662"/>
      <c r="AB1095" s="662"/>
      <c r="AC1095" s="662"/>
      <c r="AD1095" s="662"/>
      <c r="AE1095" s="662"/>
      <c r="AF1095" s="662"/>
      <c r="AG1095" s="662"/>
      <c r="AH1095" s="662"/>
      <c r="AI1095" s="662"/>
    </row>
    <row r="1096" spans="25:35" s="80" customFormat="1">
      <c r="Y1096" s="662"/>
      <c r="Z1096" s="662"/>
      <c r="AA1096" s="662"/>
      <c r="AB1096" s="662"/>
      <c r="AC1096" s="662"/>
      <c r="AD1096" s="662"/>
      <c r="AE1096" s="662"/>
      <c r="AF1096" s="662"/>
      <c r="AG1096" s="662"/>
      <c r="AH1096" s="662"/>
      <c r="AI1096" s="662"/>
    </row>
    <row r="1097" spans="25:35" s="80" customFormat="1">
      <c r="Y1097" s="662"/>
      <c r="Z1097" s="662"/>
      <c r="AA1097" s="662"/>
      <c r="AB1097" s="662"/>
      <c r="AC1097" s="662"/>
      <c r="AD1097" s="662"/>
      <c r="AE1097" s="662"/>
      <c r="AF1097" s="662"/>
      <c r="AG1097" s="662"/>
      <c r="AH1097" s="662"/>
      <c r="AI1097" s="662"/>
    </row>
    <row r="1098" spans="25:35" s="80" customFormat="1">
      <c r="Y1098" s="662"/>
      <c r="Z1098" s="662"/>
      <c r="AA1098" s="662"/>
      <c r="AB1098" s="662"/>
      <c r="AC1098" s="662"/>
      <c r="AD1098" s="662"/>
      <c r="AE1098" s="662"/>
      <c r="AF1098" s="662"/>
      <c r="AG1098" s="662"/>
      <c r="AH1098" s="662"/>
      <c r="AI1098" s="662"/>
    </row>
    <row r="1099" spans="25:35" s="80" customFormat="1">
      <c r="Y1099" s="662"/>
      <c r="Z1099" s="662"/>
      <c r="AA1099" s="662"/>
      <c r="AB1099" s="662"/>
      <c r="AC1099" s="662"/>
      <c r="AD1099" s="662"/>
      <c r="AE1099" s="662"/>
      <c r="AF1099" s="662"/>
      <c r="AG1099" s="662"/>
      <c r="AH1099" s="662"/>
      <c r="AI1099" s="662"/>
    </row>
    <row r="1100" spans="25:35" s="80" customFormat="1">
      <c r="Y1100" s="662"/>
      <c r="Z1100" s="662"/>
      <c r="AA1100" s="662"/>
      <c r="AB1100" s="662"/>
      <c r="AC1100" s="662"/>
      <c r="AD1100" s="662"/>
      <c r="AE1100" s="662"/>
      <c r="AF1100" s="662"/>
      <c r="AG1100" s="662"/>
      <c r="AH1100" s="662"/>
      <c r="AI1100" s="662"/>
    </row>
    <row r="1101" spans="25:35" s="80" customFormat="1">
      <c r="Y1101" s="662"/>
      <c r="Z1101" s="662"/>
      <c r="AA1101" s="662"/>
      <c r="AB1101" s="662"/>
      <c r="AC1101" s="662"/>
      <c r="AD1101" s="662"/>
      <c r="AE1101" s="662"/>
      <c r="AF1101" s="662"/>
      <c r="AG1101" s="662"/>
      <c r="AH1101" s="662"/>
      <c r="AI1101" s="662"/>
    </row>
    <row r="1102" spans="25:35" s="80" customFormat="1">
      <c r="Y1102" s="662"/>
      <c r="Z1102" s="662"/>
      <c r="AA1102" s="662"/>
      <c r="AB1102" s="662"/>
      <c r="AC1102" s="662"/>
      <c r="AD1102" s="662"/>
      <c r="AE1102" s="662"/>
      <c r="AF1102" s="662"/>
      <c r="AG1102" s="662"/>
      <c r="AH1102" s="662"/>
      <c r="AI1102" s="662"/>
    </row>
    <row r="1103" spans="25:35" s="80" customFormat="1">
      <c r="Y1103" s="662"/>
      <c r="Z1103" s="662"/>
      <c r="AA1103" s="662"/>
      <c r="AB1103" s="662"/>
      <c r="AC1103" s="662"/>
      <c r="AD1103" s="662"/>
      <c r="AE1103" s="662"/>
      <c r="AF1103" s="662"/>
      <c r="AG1103" s="662"/>
      <c r="AH1103" s="662"/>
      <c r="AI1103" s="662"/>
    </row>
    <row r="1104" spans="25:35" s="80" customFormat="1">
      <c r="Y1104" s="662"/>
      <c r="Z1104" s="662"/>
      <c r="AA1104" s="662"/>
      <c r="AB1104" s="662"/>
      <c r="AC1104" s="662"/>
      <c r="AD1104" s="662"/>
      <c r="AE1104" s="662"/>
      <c r="AF1104" s="662"/>
      <c r="AG1104" s="662"/>
      <c r="AH1104" s="662"/>
      <c r="AI1104" s="662"/>
    </row>
    <row r="1105" spans="25:35" s="80" customFormat="1">
      <c r="Y1105" s="662"/>
      <c r="Z1105" s="662"/>
      <c r="AA1105" s="662"/>
      <c r="AB1105" s="662"/>
      <c r="AC1105" s="662"/>
      <c r="AD1105" s="662"/>
      <c r="AE1105" s="662"/>
      <c r="AF1105" s="662"/>
      <c r="AG1105" s="662"/>
      <c r="AH1105" s="662"/>
      <c r="AI1105" s="662"/>
    </row>
    <row r="1106" spans="25:35" s="80" customFormat="1">
      <c r="Y1106" s="662"/>
      <c r="Z1106" s="662"/>
      <c r="AA1106" s="662"/>
      <c r="AB1106" s="662"/>
      <c r="AC1106" s="662"/>
      <c r="AD1106" s="662"/>
      <c r="AE1106" s="662"/>
      <c r="AF1106" s="662"/>
      <c r="AG1106" s="662"/>
      <c r="AH1106" s="662"/>
      <c r="AI1106" s="662"/>
    </row>
    <row r="1107" spans="25:35" s="80" customFormat="1">
      <c r="Y1107" s="662"/>
      <c r="Z1107" s="662"/>
      <c r="AA1107" s="662"/>
      <c r="AB1107" s="662"/>
      <c r="AC1107" s="662"/>
      <c r="AD1107" s="662"/>
      <c r="AE1107" s="662"/>
      <c r="AF1107" s="662"/>
      <c r="AG1107" s="662"/>
      <c r="AH1107" s="662"/>
      <c r="AI1107" s="662"/>
    </row>
    <row r="1108" spans="25:35" s="80" customFormat="1">
      <c r="Y1108" s="662"/>
      <c r="Z1108" s="662"/>
      <c r="AA1108" s="662"/>
      <c r="AB1108" s="662"/>
      <c r="AC1108" s="662"/>
      <c r="AD1108" s="662"/>
      <c r="AE1108" s="662"/>
      <c r="AF1108" s="662"/>
      <c r="AG1108" s="662"/>
      <c r="AH1108" s="662"/>
      <c r="AI1108" s="662"/>
    </row>
    <row r="1109" spans="25:35" s="80" customFormat="1">
      <c r="Y1109" s="662"/>
      <c r="Z1109" s="662"/>
      <c r="AA1109" s="662"/>
      <c r="AB1109" s="662"/>
      <c r="AC1109" s="662"/>
      <c r="AD1109" s="662"/>
      <c r="AE1109" s="662"/>
      <c r="AF1109" s="662"/>
      <c r="AG1109" s="662"/>
      <c r="AH1109" s="662"/>
      <c r="AI1109" s="662"/>
    </row>
    <row r="1110" spans="25:35" s="80" customFormat="1">
      <c r="Y1110" s="662"/>
      <c r="Z1110" s="662"/>
      <c r="AA1110" s="662"/>
      <c r="AB1110" s="662"/>
      <c r="AC1110" s="662"/>
      <c r="AD1110" s="662"/>
      <c r="AE1110" s="662"/>
      <c r="AF1110" s="662"/>
      <c r="AG1110" s="662"/>
      <c r="AH1110" s="662"/>
      <c r="AI1110" s="662"/>
    </row>
    <row r="1111" spans="25:35" s="80" customFormat="1">
      <c r="Y1111" s="662"/>
      <c r="Z1111" s="662"/>
      <c r="AA1111" s="662"/>
      <c r="AB1111" s="662"/>
      <c r="AC1111" s="662"/>
      <c r="AD1111" s="662"/>
      <c r="AE1111" s="662"/>
      <c r="AF1111" s="662"/>
      <c r="AG1111" s="662"/>
      <c r="AH1111" s="662"/>
      <c r="AI1111" s="662"/>
    </row>
    <row r="1112" spans="25:35" s="80" customFormat="1">
      <c r="Y1112" s="662"/>
      <c r="Z1112" s="662"/>
      <c r="AA1112" s="662"/>
      <c r="AB1112" s="662"/>
      <c r="AC1112" s="662"/>
      <c r="AD1112" s="662"/>
      <c r="AE1112" s="662"/>
      <c r="AF1112" s="662"/>
      <c r="AG1112" s="662"/>
      <c r="AH1112" s="662"/>
      <c r="AI1112" s="662"/>
    </row>
    <row r="1113" spans="25:35" s="80" customFormat="1">
      <c r="Y1113" s="662"/>
      <c r="Z1113" s="662"/>
      <c r="AA1113" s="662"/>
      <c r="AB1113" s="662"/>
      <c r="AC1113" s="662"/>
      <c r="AD1113" s="662"/>
      <c r="AE1113" s="662"/>
      <c r="AF1113" s="662"/>
      <c r="AG1113" s="662"/>
      <c r="AH1113" s="662"/>
      <c r="AI1113" s="662"/>
    </row>
    <row r="1114" spans="25:35" s="80" customFormat="1">
      <c r="Y1114" s="662"/>
      <c r="Z1114" s="662"/>
      <c r="AA1114" s="662"/>
      <c r="AB1114" s="662"/>
      <c r="AC1114" s="662"/>
      <c r="AD1114" s="662"/>
      <c r="AE1114" s="662"/>
      <c r="AF1114" s="662"/>
      <c r="AG1114" s="662"/>
      <c r="AH1114" s="662"/>
      <c r="AI1114" s="662"/>
    </row>
    <row r="1115" spans="25:35" s="80" customFormat="1">
      <c r="Y1115" s="662"/>
      <c r="Z1115" s="662"/>
      <c r="AA1115" s="662"/>
      <c r="AB1115" s="662"/>
      <c r="AC1115" s="662"/>
      <c r="AD1115" s="662"/>
      <c r="AE1115" s="662"/>
      <c r="AF1115" s="662"/>
      <c r="AG1115" s="662"/>
      <c r="AH1115" s="662"/>
      <c r="AI1115" s="662"/>
    </row>
    <row r="1116" spans="25:35" s="80" customFormat="1">
      <c r="Y1116" s="662"/>
      <c r="Z1116" s="662"/>
      <c r="AA1116" s="662"/>
      <c r="AB1116" s="662"/>
      <c r="AC1116" s="662"/>
      <c r="AD1116" s="662"/>
      <c r="AE1116" s="662"/>
      <c r="AF1116" s="662"/>
      <c r="AG1116" s="662"/>
      <c r="AH1116" s="662"/>
      <c r="AI1116" s="662"/>
    </row>
    <row r="1117" spans="25:35" s="80" customFormat="1">
      <c r="Y1117" s="662"/>
      <c r="Z1117" s="662"/>
      <c r="AA1117" s="662"/>
      <c r="AB1117" s="662"/>
      <c r="AC1117" s="662"/>
      <c r="AD1117" s="662"/>
      <c r="AE1117" s="662"/>
      <c r="AF1117" s="662"/>
      <c r="AG1117" s="662"/>
      <c r="AH1117" s="662"/>
      <c r="AI1117" s="662"/>
    </row>
    <row r="1118" spans="25:35" s="80" customFormat="1">
      <c r="Y1118" s="662"/>
      <c r="Z1118" s="662"/>
      <c r="AA1118" s="662"/>
      <c r="AB1118" s="662"/>
      <c r="AC1118" s="662"/>
      <c r="AD1118" s="662"/>
      <c r="AE1118" s="662"/>
      <c r="AF1118" s="662"/>
      <c r="AG1118" s="662"/>
      <c r="AH1118" s="662"/>
      <c r="AI1118" s="662"/>
    </row>
    <row r="1119" spans="25:35" s="80" customFormat="1">
      <c r="Y1119" s="662"/>
      <c r="Z1119" s="662"/>
      <c r="AA1119" s="662"/>
      <c r="AB1119" s="662"/>
      <c r="AC1119" s="662"/>
      <c r="AD1119" s="662"/>
      <c r="AE1119" s="662"/>
      <c r="AF1119" s="662"/>
      <c r="AG1119" s="662"/>
      <c r="AH1119" s="662"/>
      <c r="AI1119" s="662"/>
    </row>
    <row r="1120" spans="25:35" s="80" customFormat="1">
      <c r="Y1120" s="662"/>
      <c r="Z1120" s="662"/>
      <c r="AA1120" s="662"/>
      <c r="AB1120" s="662"/>
      <c r="AC1120" s="662"/>
      <c r="AD1120" s="662"/>
      <c r="AE1120" s="662"/>
      <c r="AF1120" s="662"/>
      <c r="AG1120" s="662"/>
      <c r="AH1120" s="662"/>
      <c r="AI1120" s="662"/>
    </row>
    <row r="1121" spans="25:35" s="80" customFormat="1">
      <c r="Y1121" s="662"/>
      <c r="Z1121" s="662"/>
      <c r="AA1121" s="662"/>
      <c r="AB1121" s="662"/>
      <c r="AC1121" s="662"/>
      <c r="AD1121" s="662"/>
      <c r="AE1121" s="662"/>
      <c r="AF1121" s="662"/>
      <c r="AG1121" s="662"/>
      <c r="AH1121" s="662"/>
      <c r="AI1121" s="662"/>
    </row>
    <row r="1122" spans="25:35" s="80" customFormat="1">
      <c r="Y1122" s="662"/>
      <c r="Z1122" s="662"/>
      <c r="AA1122" s="662"/>
      <c r="AB1122" s="662"/>
      <c r="AC1122" s="662"/>
      <c r="AD1122" s="662"/>
      <c r="AE1122" s="662"/>
      <c r="AF1122" s="662"/>
      <c r="AG1122" s="662"/>
      <c r="AH1122" s="662"/>
      <c r="AI1122" s="662"/>
    </row>
    <row r="1123" spans="25:35" s="80" customFormat="1">
      <c r="Y1123" s="662"/>
      <c r="Z1123" s="662"/>
      <c r="AA1123" s="662"/>
      <c r="AB1123" s="662"/>
      <c r="AC1123" s="662"/>
      <c r="AD1123" s="662"/>
      <c r="AE1123" s="662"/>
      <c r="AF1123" s="662"/>
      <c r="AG1123" s="662"/>
      <c r="AH1123" s="662"/>
      <c r="AI1123" s="662"/>
    </row>
    <row r="1124" spans="25:35" s="80" customFormat="1">
      <c r="Y1124" s="662"/>
      <c r="Z1124" s="662"/>
      <c r="AA1124" s="662"/>
      <c r="AB1124" s="662"/>
      <c r="AC1124" s="662"/>
      <c r="AD1124" s="662"/>
      <c r="AE1124" s="662"/>
      <c r="AF1124" s="662"/>
      <c r="AG1124" s="662"/>
      <c r="AH1124" s="662"/>
      <c r="AI1124" s="662"/>
    </row>
    <row r="1125" spans="25:35" s="80" customFormat="1">
      <c r="Y1125" s="662"/>
      <c r="Z1125" s="662"/>
      <c r="AA1125" s="662"/>
      <c r="AB1125" s="662"/>
      <c r="AC1125" s="662"/>
      <c r="AD1125" s="662"/>
      <c r="AE1125" s="662"/>
      <c r="AF1125" s="662"/>
      <c r="AG1125" s="662"/>
      <c r="AH1125" s="662"/>
      <c r="AI1125" s="662"/>
    </row>
    <row r="1126" spans="25:35" s="80" customFormat="1">
      <c r="Y1126" s="662"/>
      <c r="Z1126" s="662"/>
      <c r="AA1126" s="662"/>
      <c r="AB1126" s="662"/>
      <c r="AC1126" s="662"/>
      <c r="AD1126" s="662"/>
      <c r="AE1126" s="662"/>
      <c r="AF1126" s="662"/>
      <c r="AG1126" s="662"/>
      <c r="AH1126" s="662"/>
      <c r="AI1126" s="662"/>
    </row>
    <row r="1127" spans="25:35" s="80" customFormat="1">
      <c r="Y1127" s="662"/>
      <c r="Z1127" s="662"/>
      <c r="AA1127" s="662"/>
      <c r="AB1127" s="662"/>
      <c r="AC1127" s="662"/>
      <c r="AD1127" s="662"/>
      <c r="AE1127" s="662"/>
      <c r="AF1127" s="662"/>
      <c r="AG1127" s="662"/>
      <c r="AH1127" s="662"/>
      <c r="AI1127" s="662"/>
    </row>
    <row r="1128" spans="25:35" s="80" customFormat="1">
      <c r="Y1128" s="662"/>
      <c r="Z1128" s="662"/>
      <c r="AA1128" s="662"/>
      <c r="AB1128" s="662"/>
      <c r="AC1128" s="662"/>
      <c r="AD1128" s="662"/>
      <c r="AE1128" s="662"/>
      <c r="AF1128" s="662"/>
      <c r="AG1128" s="662"/>
      <c r="AH1128" s="662"/>
      <c r="AI1128" s="662"/>
    </row>
    <row r="1129" spans="25:35" s="80" customFormat="1">
      <c r="Y1129" s="662"/>
      <c r="Z1129" s="662"/>
      <c r="AA1129" s="662"/>
      <c r="AB1129" s="662"/>
      <c r="AC1129" s="662"/>
      <c r="AD1129" s="662"/>
      <c r="AE1129" s="662"/>
      <c r="AF1129" s="662"/>
      <c r="AG1129" s="662"/>
      <c r="AH1129" s="662"/>
      <c r="AI1129" s="662"/>
    </row>
    <row r="1130" spans="25:35" s="80" customFormat="1">
      <c r="Y1130" s="662"/>
      <c r="Z1130" s="662"/>
      <c r="AA1130" s="662"/>
      <c r="AB1130" s="662"/>
      <c r="AC1130" s="662"/>
      <c r="AD1130" s="662"/>
      <c r="AE1130" s="662"/>
      <c r="AF1130" s="662"/>
      <c r="AG1130" s="662"/>
      <c r="AH1130" s="662"/>
      <c r="AI1130" s="662"/>
    </row>
    <row r="1131" spans="25:35" s="80" customFormat="1">
      <c r="Y1131" s="662"/>
      <c r="Z1131" s="662"/>
      <c r="AA1131" s="662"/>
      <c r="AB1131" s="662"/>
      <c r="AC1131" s="662"/>
      <c r="AD1131" s="662"/>
      <c r="AE1131" s="662"/>
      <c r="AF1131" s="662"/>
      <c r="AG1131" s="662"/>
      <c r="AH1131" s="662"/>
      <c r="AI1131" s="662"/>
    </row>
    <row r="1132" spans="25:35" s="80" customFormat="1">
      <c r="Y1132" s="662"/>
      <c r="Z1132" s="662"/>
      <c r="AA1132" s="662"/>
      <c r="AB1132" s="662"/>
      <c r="AC1132" s="662"/>
      <c r="AD1132" s="662"/>
      <c r="AE1132" s="662"/>
      <c r="AF1132" s="662"/>
      <c r="AG1132" s="662"/>
      <c r="AH1132" s="662"/>
      <c r="AI1132" s="662"/>
    </row>
    <row r="1133" spans="25:35" s="80" customFormat="1">
      <c r="Y1133" s="662"/>
      <c r="Z1133" s="662"/>
      <c r="AA1133" s="662"/>
      <c r="AB1133" s="662"/>
      <c r="AC1133" s="662"/>
      <c r="AD1133" s="662"/>
      <c r="AE1133" s="662"/>
      <c r="AF1133" s="662"/>
      <c r="AG1133" s="662"/>
      <c r="AH1133" s="662"/>
      <c r="AI1133" s="662"/>
    </row>
    <row r="1134" spans="25:35" s="80" customFormat="1">
      <c r="Y1134" s="662"/>
      <c r="Z1134" s="662"/>
      <c r="AA1134" s="662"/>
      <c r="AB1134" s="662"/>
      <c r="AC1134" s="662"/>
      <c r="AD1134" s="662"/>
      <c r="AE1134" s="662"/>
      <c r="AF1134" s="662"/>
      <c r="AG1134" s="662"/>
      <c r="AH1134" s="662"/>
      <c r="AI1134" s="662"/>
    </row>
    <row r="1135" spans="25:35" s="80" customFormat="1">
      <c r="Y1135" s="662"/>
      <c r="Z1135" s="662"/>
      <c r="AA1135" s="662"/>
      <c r="AB1135" s="662"/>
      <c r="AC1135" s="662"/>
      <c r="AD1135" s="662"/>
      <c r="AE1135" s="662"/>
      <c r="AF1135" s="662"/>
      <c r="AG1135" s="662"/>
      <c r="AH1135" s="662"/>
      <c r="AI1135" s="662"/>
    </row>
    <row r="1136" spans="25:35" s="80" customFormat="1">
      <c r="Y1136" s="662"/>
      <c r="Z1136" s="662"/>
      <c r="AA1136" s="662"/>
      <c r="AB1136" s="662"/>
      <c r="AC1136" s="662"/>
      <c r="AD1136" s="662"/>
      <c r="AE1136" s="662"/>
      <c r="AF1136" s="662"/>
      <c r="AG1136" s="662"/>
      <c r="AH1136" s="662"/>
      <c r="AI1136" s="662"/>
    </row>
    <row r="1137" spans="25:35" s="80" customFormat="1">
      <c r="Y1137" s="662"/>
      <c r="Z1137" s="662"/>
      <c r="AA1137" s="662"/>
      <c r="AB1137" s="662"/>
      <c r="AC1137" s="662"/>
      <c r="AD1137" s="662"/>
      <c r="AE1137" s="662"/>
      <c r="AF1137" s="662"/>
      <c r="AG1137" s="662"/>
      <c r="AH1137" s="662"/>
      <c r="AI1137" s="662"/>
    </row>
    <row r="1138" spans="25:35" s="80" customFormat="1">
      <c r="Y1138" s="662"/>
      <c r="Z1138" s="662"/>
      <c r="AA1138" s="662"/>
      <c r="AB1138" s="662"/>
      <c r="AC1138" s="662"/>
      <c r="AD1138" s="662"/>
      <c r="AE1138" s="662"/>
      <c r="AF1138" s="662"/>
      <c r="AG1138" s="662"/>
      <c r="AH1138" s="662"/>
      <c r="AI1138" s="662"/>
    </row>
    <row r="1139" spans="25:35" s="80" customFormat="1">
      <c r="Y1139" s="662"/>
      <c r="Z1139" s="662"/>
      <c r="AA1139" s="662"/>
      <c r="AB1139" s="662"/>
      <c r="AC1139" s="662"/>
      <c r="AD1139" s="662"/>
      <c r="AE1139" s="662"/>
      <c r="AF1139" s="662"/>
      <c r="AG1139" s="662"/>
      <c r="AH1139" s="662"/>
      <c r="AI1139" s="662"/>
    </row>
    <row r="1140" spans="25:35" s="80" customFormat="1">
      <c r="Y1140" s="662"/>
      <c r="Z1140" s="662"/>
      <c r="AA1140" s="662"/>
      <c r="AB1140" s="662"/>
      <c r="AC1140" s="662"/>
      <c r="AD1140" s="662"/>
      <c r="AE1140" s="662"/>
      <c r="AF1140" s="662"/>
      <c r="AG1140" s="662"/>
      <c r="AH1140" s="662"/>
      <c r="AI1140" s="662"/>
    </row>
    <row r="1141" spans="25:35" s="80" customFormat="1">
      <c r="Y1141" s="662"/>
      <c r="Z1141" s="662"/>
      <c r="AA1141" s="662"/>
      <c r="AB1141" s="662"/>
      <c r="AC1141" s="662"/>
      <c r="AD1141" s="662"/>
      <c r="AE1141" s="662"/>
      <c r="AF1141" s="662"/>
      <c r="AG1141" s="662"/>
      <c r="AH1141" s="662"/>
      <c r="AI1141" s="662"/>
    </row>
    <row r="1142" spans="25:35" s="80" customFormat="1">
      <c r="Y1142" s="662"/>
      <c r="Z1142" s="662"/>
      <c r="AA1142" s="662"/>
      <c r="AB1142" s="662"/>
      <c r="AC1142" s="662"/>
      <c r="AD1142" s="662"/>
      <c r="AE1142" s="662"/>
      <c r="AF1142" s="662"/>
      <c r="AG1142" s="662"/>
      <c r="AH1142" s="662"/>
      <c r="AI1142" s="662"/>
    </row>
    <row r="1143" spans="25:35" s="80" customFormat="1">
      <c r="Y1143" s="662"/>
      <c r="Z1143" s="662"/>
      <c r="AA1143" s="662"/>
      <c r="AB1143" s="662"/>
      <c r="AC1143" s="662"/>
      <c r="AD1143" s="662"/>
      <c r="AE1143" s="662"/>
      <c r="AF1143" s="662"/>
      <c r="AG1143" s="662"/>
      <c r="AH1143" s="662"/>
      <c r="AI1143" s="662"/>
    </row>
    <row r="1144" spans="25:35" s="80" customFormat="1">
      <c r="Y1144" s="662"/>
      <c r="Z1144" s="662"/>
      <c r="AA1144" s="662"/>
      <c r="AB1144" s="662"/>
      <c r="AC1144" s="662"/>
      <c r="AD1144" s="662"/>
      <c r="AE1144" s="662"/>
      <c r="AF1144" s="662"/>
      <c r="AG1144" s="662"/>
      <c r="AH1144" s="662"/>
      <c r="AI1144" s="662"/>
    </row>
    <row r="1145" spans="25:35" s="80" customFormat="1">
      <c r="Y1145" s="662"/>
      <c r="Z1145" s="662"/>
      <c r="AA1145" s="662"/>
      <c r="AB1145" s="662"/>
      <c r="AC1145" s="662"/>
      <c r="AD1145" s="662"/>
      <c r="AE1145" s="662"/>
      <c r="AF1145" s="662"/>
      <c r="AG1145" s="662"/>
      <c r="AH1145" s="662"/>
      <c r="AI1145" s="662"/>
    </row>
    <row r="1146" spans="25:35" s="80" customFormat="1">
      <c r="Y1146" s="662"/>
      <c r="Z1146" s="662"/>
      <c r="AA1146" s="662"/>
      <c r="AB1146" s="662"/>
      <c r="AC1146" s="662"/>
      <c r="AD1146" s="662"/>
      <c r="AE1146" s="662"/>
      <c r="AF1146" s="662"/>
      <c r="AG1146" s="662"/>
      <c r="AH1146" s="662"/>
      <c r="AI1146" s="662"/>
    </row>
    <row r="1147" spans="25:35" s="80" customFormat="1">
      <c r="Y1147" s="662"/>
      <c r="Z1147" s="662"/>
      <c r="AA1147" s="662"/>
      <c r="AB1147" s="662"/>
      <c r="AC1147" s="662"/>
      <c r="AD1147" s="662"/>
      <c r="AE1147" s="662"/>
      <c r="AF1147" s="662"/>
      <c r="AG1147" s="662"/>
      <c r="AH1147" s="662"/>
      <c r="AI1147" s="662"/>
    </row>
    <row r="1148" spans="25:35" s="80" customFormat="1">
      <c r="Y1148" s="662"/>
      <c r="Z1148" s="662"/>
      <c r="AA1148" s="662"/>
      <c r="AB1148" s="662"/>
      <c r="AC1148" s="662"/>
      <c r="AD1148" s="662"/>
      <c r="AE1148" s="662"/>
      <c r="AF1148" s="662"/>
      <c r="AG1148" s="662"/>
      <c r="AH1148" s="662"/>
      <c r="AI1148" s="662"/>
    </row>
    <row r="1149" spans="25:35" s="80" customFormat="1">
      <c r="Y1149" s="662"/>
      <c r="Z1149" s="662"/>
      <c r="AA1149" s="662"/>
      <c r="AB1149" s="662"/>
      <c r="AC1149" s="662"/>
      <c r="AD1149" s="662"/>
      <c r="AE1149" s="662"/>
      <c r="AF1149" s="662"/>
      <c r="AG1149" s="662"/>
      <c r="AH1149" s="662"/>
      <c r="AI1149" s="662"/>
    </row>
    <row r="1150" spans="25:35" s="80" customFormat="1">
      <c r="Y1150" s="662"/>
      <c r="Z1150" s="662"/>
      <c r="AA1150" s="662"/>
      <c r="AB1150" s="662"/>
      <c r="AC1150" s="662"/>
      <c r="AD1150" s="662"/>
      <c r="AE1150" s="662"/>
      <c r="AF1150" s="662"/>
      <c r="AG1150" s="662"/>
      <c r="AH1150" s="662"/>
      <c r="AI1150" s="662"/>
    </row>
    <row r="1151" spans="25:35" s="80" customFormat="1">
      <c r="Y1151" s="662"/>
      <c r="Z1151" s="662"/>
      <c r="AA1151" s="662"/>
      <c r="AB1151" s="662"/>
      <c r="AC1151" s="662"/>
      <c r="AD1151" s="662"/>
      <c r="AE1151" s="662"/>
      <c r="AF1151" s="662"/>
      <c r="AG1151" s="662"/>
      <c r="AH1151" s="662"/>
      <c r="AI1151" s="662"/>
    </row>
    <row r="1152" spans="25:35" s="80" customFormat="1">
      <c r="Y1152" s="662"/>
      <c r="Z1152" s="662"/>
      <c r="AA1152" s="662"/>
      <c r="AB1152" s="662"/>
      <c r="AC1152" s="662"/>
      <c r="AD1152" s="662"/>
      <c r="AE1152" s="662"/>
      <c r="AF1152" s="662"/>
      <c r="AG1152" s="662"/>
      <c r="AH1152" s="662"/>
      <c r="AI1152" s="662"/>
    </row>
    <row r="1153" spans="25:35" s="80" customFormat="1">
      <c r="Y1153" s="662"/>
      <c r="Z1153" s="662"/>
      <c r="AA1153" s="662"/>
      <c r="AB1153" s="662"/>
      <c r="AC1153" s="662"/>
      <c r="AD1153" s="662"/>
      <c r="AE1153" s="662"/>
      <c r="AF1153" s="662"/>
      <c r="AG1153" s="662"/>
      <c r="AH1153" s="662"/>
      <c r="AI1153" s="662"/>
    </row>
    <row r="1154" spans="25:35" s="80" customFormat="1">
      <c r="Y1154" s="662"/>
      <c r="Z1154" s="662"/>
      <c r="AA1154" s="662"/>
      <c r="AB1154" s="662"/>
      <c r="AC1154" s="662"/>
      <c r="AD1154" s="662"/>
      <c r="AE1154" s="662"/>
      <c r="AF1154" s="662"/>
      <c r="AG1154" s="662"/>
      <c r="AH1154" s="662"/>
      <c r="AI1154" s="662"/>
    </row>
    <row r="1155" spans="25:35" s="80" customFormat="1">
      <c r="Y1155" s="662"/>
      <c r="Z1155" s="662"/>
      <c r="AA1155" s="662"/>
      <c r="AB1155" s="662"/>
      <c r="AC1155" s="662"/>
      <c r="AD1155" s="662"/>
      <c r="AE1155" s="662"/>
      <c r="AF1155" s="662"/>
      <c r="AG1155" s="662"/>
      <c r="AH1155" s="662"/>
      <c r="AI1155" s="662"/>
    </row>
    <row r="1156" spans="25:35" s="80" customFormat="1">
      <c r="Y1156" s="662"/>
      <c r="Z1156" s="662"/>
      <c r="AA1156" s="662"/>
      <c r="AB1156" s="662"/>
      <c r="AC1156" s="662"/>
      <c r="AD1156" s="662"/>
      <c r="AE1156" s="662"/>
      <c r="AF1156" s="662"/>
      <c r="AG1156" s="662"/>
      <c r="AH1156" s="662"/>
      <c r="AI1156" s="662"/>
    </row>
    <row r="1157" spans="25:35" s="80" customFormat="1">
      <c r="Y1157" s="662"/>
      <c r="Z1157" s="662"/>
      <c r="AA1157" s="662"/>
      <c r="AB1157" s="662"/>
      <c r="AC1157" s="662"/>
      <c r="AD1157" s="662"/>
      <c r="AE1157" s="662"/>
      <c r="AF1157" s="662"/>
      <c r="AG1157" s="662"/>
      <c r="AH1157" s="662"/>
      <c r="AI1157" s="662"/>
    </row>
    <row r="1158" spans="25:35" s="80" customFormat="1">
      <c r="Y1158" s="662"/>
      <c r="Z1158" s="662"/>
      <c r="AA1158" s="662"/>
      <c r="AB1158" s="662"/>
      <c r="AC1158" s="662"/>
      <c r="AD1158" s="662"/>
      <c r="AE1158" s="662"/>
      <c r="AF1158" s="662"/>
      <c r="AG1158" s="662"/>
      <c r="AH1158" s="662"/>
      <c r="AI1158" s="662"/>
    </row>
    <row r="1159" spans="25:35" s="80" customFormat="1">
      <c r="Y1159" s="662"/>
      <c r="Z1159" s="662"/>
      <c r="AA1159" s="662"/>
      <c r="AB1159" s="662"/>
      <c r="AC1159" s="662"/>
      <c r="AD1159" s="662"/>
      <c r="AE1159" s="662"/>
      <c r="AF1159" s="662"/>
      <c r="AG1159" s="662"/>
      <c r="AH1159" s="662"/>
      <c r="AI1159" s="662"/>
    </row>
    <row r="1160" spans="25:35" s="80" customFormat="1">
      <c r="Y1160" s="662"/>
      <c r="Z1160" s="662"/>
      <c r="AA1160" s="662"/>
      <c r="AB1160" s="662"/>
      <c r="AC1160" s="662"/>
      <c r="AD1160" s="662"/>
      <c r="AE1160" s="662"/>
      <c r="AF1160" s="662"/>
      <c r="AG1160" s="662"/>
      <c r="AH1160" s="662"/>
      <c r="AI1160" s="662"/>
    </row>
    <row r="1161" spans="25:35" s="80" customFormat="1">
      <c r="Y1161" s="662"/>
      <c r="Z1161" s="662"/>
      <c r="AA1161" s="662"/>
      <c r="AB1161" s="662"/>
      <c r="AC1161" s="662"/>
      <c r="AD1161" s="662"/>
      <c r="AE1161" s="662"/>
      <c r="AF1161" s="662"/>
      <c r="AG1161" s="662"/>
      <c r="AH1161" s="662"/>
      <c r="AI1161" s="662"/>
    </row>
    <row r="1162" spans="25:35" s="80" customFormat="1">
      <c r="Y1162" s="662"/>
      <c r="Z1162" s="662"/>
      <c r="AA1162" s="662"/>
      <c r="AB1162" s="662"/>
      <c r="AC1162" s="662"/>
      <c r="AD1162" s="662"/>
      <c r="AE1162" s="662"/>
      <c r="AF1162" s="662"/>
      <c r="AG1162" s="662"/>
      <c r="AH1162" s="662"/>
      <c r="AI1162" s="662"/>
    </row>
    <row r="1163" spans="25:35" s="80" customFormat="1">
      <c r="Y1163" s="662"/>
      <c r="Z1163" s="662"/>
      <c r="AA1163" s="662"/>
      <c r="AB1163" s="662"/>
      <c r="AC1163" s="662"/>
      <c r="AD1163" s="662"/>
      <c r="AE1163" s="662"/>
      <c r="AF1163" s="662"/>
      <c r="AG1163" s="662"/>
      <c r="AH1163" s="662"/>
      <c r="AI1163" s="662"/>
    </row>
    <row r="1164" spans="25:35" s="80" customFormat="1">
      <c r="Y1164" s="662"/>
      <c r="Z1164" s="662"/>
      <c r="AA1164" s="662"/>
      <c r="AB1164" s="662"/>
      <c r="AC1164" s="662"/>
      <c r="AD1164" s="662"/>
      <c r="AE1164" s="662"/>
      <c r="AF1164" s="662"/>
      <c r="AG1164" s="662"/>
      <c r="AH1164" s="662"/>
      <c r="AI1164" s="662"/>
    </row>
    <row r="1165" spans="25:35" s="80" customFormat="1">
      <c r="Y1165" s="662"/>
      <c r="Z1165" s="662"/>
      <c r="AA1165" s="662"/>
      <c r="AB1165" s="662"/>
      <c r="AC1165" s="662"/>
      <c r="AD1165" s="662"/>
      <c r="AE1165" s="662"/>
      <c r="AF1165" s="662"/>
      <c r="AG1165" s="662"/>
      <c r="AH1165" s="662"/>
      <c r="AI1165" s="662"/>
    </row>
    <row r="1166" spans="25:35" s="80" customFormat="1">
      <c r="Y1166" s="662"/>
      <c r="Z1166" s="662"/>
      <c r="AA1166" s="662"/>
      <c r="AB1166" s="662"/>
      <c r="AC1166" s="662"/>
      <c r="AD1166" s="662"/>
      <c r="AE1166" s="662"/>
      <c r="AF1166" s="662"/>
      <c r="AG1166" s="662"/>
      <c r="AH1166" s="662"/>
      <c r="AI1166" s="662"/>
    </row>
    <row r="1167" spans="25:35" s="80" customFormat="1">
      <c r="Y1167" s="662"/>
      <c r="Z1167" s="662"/>
      <c r="AA1167" s="662"/>
      <c r="AB1167" s="662"/>
      <c r="AC1167" s="662"/>
      <c r="AD1167" s="662"/>
      <c r="AE1167" s="662"/>
      <c r="AF1167" s="662"/>
      <c r="AG1167" s="662"/>
      <c r="AH1167" s="662"/>
      <c r="AI1167" s="662"/>
    </row>
    <row r="1168" spans="25:35" s="80" customFormat="1">
      <c r="Y1168" s="662"/>
      <c r="Z1168" s="662"/>
      <c r="AA1168" s="662"/>
      <c r="AB1168" s="662"/>
      <c r="AC1168" s="662"/>
      <c r="AD1168" s="662"/>
      <c r="AE1168" s="662"/>
      <c r="AF1168" s="662"/>
      <c r="AG1168" s="662"/>
      <c r="AH1168" s="662"/>
      <c r="AI1168" s="662"/>
    </row>
    <row r="1169" spans="25:35" s="80" customFormat="1">
      <c r="Y1169" s="662"/>
      <c r="Z1169" s="662"/>
      <c r="AA1169" s="662"/>
      <c r="AB1169" s="662"/>
      <c r="AC1169" s="662"/>
      <c r="AD1169" s="662"/>
      <c r="AE1169" s="662"/>
      <c r="AF1169" s="662"/>
      <c r="AG1169" s="662"/>
      <c r="AH1169" s="662"/>
      <c r="AI1169" s="662"/>
    </row>
    <row r="1170" spans="25:35" s="80" customFormat="1">
      <c r="Y1170" s="662"/>
      <c r="Z1170" s="662"/>
      <c r="AA1170" s="662"/>
      <c r="AB1170" s="662"/>
      <c r="AC1170" s="662"/>
      <c r="AD1170" s="662"/>
      <c r="AE1170" s="662"/>
      <c r="AF1170" s="662"/>
      <c r="AG1170" s="662"/>
      <c r="AH1170" s="662"/>
      <c r="AI1170" s="662"/>
    </row>
    <row r="1171" spans="25:35" s="80" customFormat="1">
      <c r="Y1171" s="662"/>
      <c r="Z1171" s="662"/>
      <c r="AA1171" s="662"/>
      <c r="AB1171" s="662"/>
      <c r="AC1171" s="662"/>
      <c r="AD1171" s="662"/>
      <c r="AE1171" s="662"/>
      <c r="AF1171" s="662"/>
      <c r="AG1171" s="662"/>
      <c r="AH1171" s="662"/>
      <c r="AI1171" s="662"/>
    </row>
    <row r="1172" spans="25:35" s="80" customFormat="1">
      <c r="Y1172" s="662"/>
      <c r="Z1172" s="662"/>
      <c r="AA1172" s="662"/>
      <c r="AB1172" s="662"/>
      <c r="AC1172" s="662"/>
      <c r="AD1172" s="662"/>
      <c r="AE1172" s="662"/>
      <c r="AF1172" s="662"/>
      <c r="AG1172" s="662"/>
      <c r="AH1172" s="662"/>
      <c r="AI1172" s="662"/>
    </row>
    <row r="1173" spans="25:35" s="80" customFormat="1">
      <c r="Y1173" s="662"/>
      <c r="Z1173" s="662"/>
      <c r="AA1173" s="662"/>
      <c r="AB1173" s="662"/>
      <c r="AC1173" s="662"/>
      <c r="AD1173" s="662"/>
      <c r="AE1173" s="662"/>
      <c r="AF1173" s="662"/>
      <c r="AG1173" s="662"/>
      <c r="AH1173" s="662"/>
      <c r="AI1173" s="662"/>
    </row>
    <row r="1174" spans="25:35" s="80" customFormat="1">
      <c r="Y1174" s="662"/>
      <c r="Z1174" s="662"/>
      <c r="AA1174" s="662"/>
      <c r="AB1174" s="662"/>
      <c r="AC1174" s="662"/>
      <c r="AD1174" s="662"/>
      <c r="AE1174" s="662"/>
      <c r="AF1174" s="662"/>
      <c r="AG1174" s="662"/>
      <c r="AH1174" s="662"/>
      <c r="AI1174" s="662"/>
    </row>
    <row r="1175" spans="25:35" s="80" customFormat="1">
      <c r="Y1175" s="662"/>
      <c r="Z1175" s="662"/>
      <c r="AA1175" s="662"/>
      <c r="AB1175" s="662"/>
      <c r="AC1175" s="662"/>
      <c r="AD1175" s="662"/>
      <c r="AE1175" s="662"/>
      <c r="AF1175" s="662"/>
      <c r="AG1175" s="662"/>
      <c r="AH1175" s="662"/>
      <c r="AI1175" s="662"/>
    </row>
    <row r="1176" spans="25:35" s="80" customFormat="1">
      <c r="Y1176" s="662"/>
      <c r="Z1176" s="662"/>
      <c r="AA1176" s="662"/>
      <c r="AB1176" s="662"/>
      <c r="AC1176" s="662"/>
      <c r="AD1176" s="662"/>
      <c r="AE1176" s="662"/>
      <c r="AF1176" s="662"/>
      <c r="AG1176" s="662"/>
      <c r="AH1176" s="662"/>
      <c r="AI1176" s="662"/>
    </row>
    <row r="1177" spans="25:35" s="80" customFormat="1">
      <c r="Y1177" s="662"/>
      <c r="Z1177" s="662"/>
      <c r="AA1177" s="662"/>
      <c r="AB1177" s="662"/>
      <c r="AC1177" s="662"/>
      <c r="AD1177" s="662"/>
      <c r="AE1177" s="662"/>
      <c r="AF1177" s="662"/>
      <c r="AG1177" s="662"/>
      <c r="AH1177" s="662"/>
      <c r="AI1177" s="662"/>
    </row>
    <row r="1178" spans="25:35" s="80" customFormat="1">
      <c r="Y1178" s="662"/>
      <c r="Z1178" s="662"/>
      <c r="AA1178" s="662"/>
      <c r="AB1178" s="662"/>
      <c r="AC1178" s="662"/>
      <c r="AD1178" s="662"/>
      <c r="AE1178" s="662"/>
      <c r="AF1178" s="662"/>
      <c r="AG1178" s="662"/>
      <c r="AH1178" s="662"/>
      <c r="AI1178" s="662"/>
    </row>
    <row r="1179" spans="25:35" s="80" customFormat="1">
      <c r="Y1179" s="662"/>
      <c r="Z1179" s="662"/>
      <c r="AA1179" s="662"/>
      <c r="AB1179" s="662"/>
      <c r="AC1179" s="662"/>
      <c r="AD1179" s="662"/>
      <c r="AE1179" s="662"/>
      <c r="AF1179" s="662"/>
      <c r="AG1179" s="662"/>
      <c r="AH1179" s="662"/>
      <c r="AI1179" s="662"/>
    </row>
    <row r="1180" spans="25:35" s="80" customFormat="1">
      <c r="Y1180" s="662"/>
      <c r="Z1180" s="662"/>
      <c r="AA1180" s="662"/>
      <c r="AB1180" s="662"/>
      <c r="AC1180" s="662"/>
      <c r="AD1180" s="662"/>
      <c r="AE1180" s="662"/>
      <c r="AF1180" s="662"/>
      <c r="AG1180" s="662"/>
      <c r="AH1180" s="662"/>
      <c r="AI1180" s="662"/>
    </row>
    <row r="1181" spans="25:35" s="80" customFormat="1">
      <c r="Y1181" s="662"/>
      <c r="Z1181" s="662"/>
      <c r="AA1181" s="662"/>
      <c r="AB1181" s="662"/>
      <c r="AC1181" s="662"/>
      <c r="AD1181" s="662"/>
      <c r="AE1181" s="662"/>
      <c r="AF1181" s="662"/>
      <c r="AG1181" s="662"/>
      <c r="AH1181" s="662"/>
      <c r="AI1181" s="662"/>
    </row>
    <row r="1182" spans="25:35" s="80" customFormat="1">
      <c r="Y1182" s="662"/>
      <c r="Z1182" s="662"/>
      <c r="AA1182" s="662"/>
      <c r="AB1182" s="662"/>
      <c r="AC1182" s="662"/>
      <c r="AD1182" s="662"/>
      <c r="AE1182" s="662"/>
      <c r="AF1182" s="662"/>
      <c r="AG1182" s="662"/>
      <c r="AH1182" s="662"/>
      <c r="AI1182" s="662"/>
    </row>
    <row r="1183" spans="25:35" s="80" customFormat="1">
      <c r="Y1183" s="662"/>
      <c r="Z1183" s="662"/>
      <c r="AA1183" s="662"/>
      <c r="AB1183" s="662"/>
      <c r="AC1183" s="662"/>
      <c r="AD1183" s="662"/>
      <c r="AE1183" s="662"/>
      <c r="AF1183" s="662"/>
      <c r="AG1183" s="662"/>
      <c r="AH1183" s="662"/>
      <c r="AI1183" s="662"/>
    </row>
    <row r="1184" spans="25:35" s="80" customFormat="1">
      <c r="Y1184" s="662"/>
      <c r="Z1184" s="662"/>
      <c r="AA1184" s="662"/>
      <c r="AB1184" s="662"/>
      <c r="AC1184" s="662"/>
      <c r="AD1184" s="662"/>
      <c r="AE1184" s="662"/>
      <c r="AF1184" s="662"/>
      <c r="AG1184" s="662"/>
      <c r="AH1184" s="662"/>
      <c r="AI1184" s="662"/>
    </row>
    <row r="1185" spans="25:35" s="80" customFormat="1">
      <c r="Y1185" s="662"/>
      <c r="Z1185" s="662"/>
      <c r="AA1185" s="662"/>
      <c r="AB1185" s="662"/>
      <c r="AC1185" s="662"/>
      <c r="AD1185" s="662"/>
      <c r="AE1185" s="662"/>
      <c r="AF1185" s="662"/>
      <c r="AG1185" s="662"/>
      <c r="AH1185" s="662"/>
      <c r="AI1185" s="662"/>
    </row>
    <row r="1186" spans="25:35" s="80" customFormat="1">
      <c r="Y1186" s="662"/>
      <c r="Z1186" s="662"/>
      <c r="AA1186" s="662"/>
      <c r="AB1186" s="662"/>
      <c r="AC1186" s="662"/>
      <c r="AD1186" s="662"/>
      <c r="AE1186" s="662"/>
      <c r="AF1186" s="662"/>
      <c r="AG1186" s="662"/>
      <c r="AH1186" s="662"/>
      <c r="AI1186" s="662"/>
    </row>
    <row r="1187" spans="25:35" s="80" customFormat="1">
      <c r="Y1187" s="662"/>
      <c r="Z1187" s="662"/>
      <c r="AA1187" s="662"/>
      <c r="AB1187" s="662"/>
      <c r="AC1187" s="662"/>
      <c r="AD1187" s="662"/>
      <c r="AE1187" s="662"/>
      <c r="AF1187" s="662"/>
      <c r="AG1187" s="662"/>
      <c r="AH1187" s="662"/>
      <c r="AI1187" s="662"/>
    </row>
    <row r="1188" spans="25:35" s="80" customFormat="1">
      <c r="Y1188" s="662"/>
      <c r="Z1188" s="662"/>
      <c r="AA1188" s="662"/>
      <c r="AB1188" s="662"/>
      <c r="AC1188" s="662"/>
      <c r="AD1188" s="662"/>
      <c r="AE1188" s="662"/>
      <c r="AF1188" s="662"/>
      <c r="AG1188" s="662"/>
      <c r="AH1188" s="662"/>
      <c r="AI1188" s="662"/>
    </row>
    <row r="1189" spans="25:35" s="80" customFormat="1">
      <c r="Y1189" s="662"/>
      <c r="Z1189" s="662"/>
      <c r="AA1189" s="662"/>
      <c r="AB1189" s="662"/>
      <c r="AC1189" s="662"/>
      <c r="AD1189" s="662"/>
      <c r="AE1189" s="662"/>
      <c r="AF1189" s="662"/>
      <c r="AG1189" s="662"/>
      <c r="AH1189" s="662"/>
      <c r="AI1189" s="662"/>
    </row>
    <row r="1190" spans="25:35" s="80" customFormat="1">
      <c r="Y1190" s="662"/>
      <c r="Z1190" s="662"/>
      <c r="AA1190" s="662"/>
      <c r="AB1190" s="662"/>
      <c r="AC1190" s="662"/>
      <c r="AD1190" s="662"/>
      <c r="AE1190" s="662"/>
      <c r="AF1190" s="662"/>
      <c r="AG1190" s="662"/>
      <c r="AH1190" s="662"/>
      <c r="AI1190" s="662"/>
    </row>
    <row r="1191" spans="25:35" s="80" customFormat="1">
      <c r="Y1191" s="662"/>
      <c r="Z1191" s="662"/>
      <c r="AA1191" s="662"/>
      <c r="AB1191" s="662"/>
      <c r="AC1191" s="662"/>
      <c r="AD1191" s="662"/>
      <c r="AE1191" s="662"/>
      <c r="AF1191" s="662"/>
      <c r="AG1191" s="662"/>
      <c r="AH1191" s="662"/>
      <c r="AI1191" s="662"/>
    </row>
    <row r="1192" spans="25:35" s="80" customFormat="1">
      <c r="Y1192" s="662"/>
      <c r="Z1192" s="662"/>
      <c r="AA1192" s="662"/>
      <c r="AB1192" s="662"/>
      <c r="AC1192" s="662"/>
      <c r="AD1192" s="662"/>
      <c r="AE1192" s="662"/>
      <c r="AF1192" s="662"/>
      <c r="AG1192" s="662"/>
      <c r="AH1192" s="662"/>
      <c r="AI1192" s="662"/>
    </row>
    <row r="1193" spans="25:35" s="80" customFormat="1">
      <c r="Y1193" s="662"/>
      <c r="Z1193" s="662"/>
      <c r="AA1193" s="662"/>
      <c r="AB1193" s="662"/>
      <c r="AC1193" s="662"/>
      <c r="AD1193" s="662"/>
      <c r="AE1193" s="662"/>
      <c r="AF1193" s="662"/>
      <c r="AG1193" s="662"/>
      <c r="AH1193" s="662"/>
      <c r="AI1193" s="662"/>
    </row>
    <row r="1194" spans="25:35" s="80" customFormat="1">
      <c r="Y1194" s="662"/>
      <c r="Z1194" s="662"/>
      <c r="AA1194" s="662"/>
      <c r="AB1194" s="662"/>
      <c r="AC1194" s="662"/>
      <c r="AD1194" s="662"/>
      <c r="AE1194" s="662"/>
      <c r="AF1194" s="662"/>
      <c r="AG1194" s="662"/>
      <c r="AH1194" s="662"/>
      <c r="AI1194" s="662"/>
    </row>
    <row r="1195" spans="25:35" s="80" customFormat="1">
      <c r="Y1195" s="662"/>
      <c r="Z1195" s="662"/>
      <c r="AA1195" s="662"/>
      <c r="AB1195" s="662"/>
      <c r="AC1195" s="662"/>
      <c r="AD1195" s="662"/>
      <c r="AE1195" s="662"/>
      <c r="AF1195" s="662"/>
      <c r="AG1195" s="662"/>
      <c r="AH1195" s="662"/>
      <c r="AI1195" s="662"/>
    </row>
    <row r="1196" spans="25:35" s="80" customFormat="1">
      <c r="Y1196" s="662"/>
      <c r="Z1196" s="662"/>
      <c r="AA1196" s="662"/>
      <c r="AB1196" s="662"/>
      <c r="AC1196" s="662"/>
      <c r="AD1196" s="662"/>
      <c r="AE1196" s="662"/>
      <c r="AF1196" s="662"/>
      <c r="AG1196" s="662"/>
      <c r="AH1196" s="662"/>
      <c r="AI1196" s="662"/>
    </row>
    <row r="1197" spans="25:35" s="80" customFormat="1">
      <c r="Y1197" s="662"/>
      <c r="Z1197" s="662"/>
      <c r="AA1197" s="662"/>
      <c r="AB1197" s="662"/>
      <c r="AC1197" s="662"/>
      <c r="AD1197" s="662"/>
      <c r="AE1197" s="662"/>
      <c r="AF1197" s="662"/>
      <c r="AG1197" s="662"/>
      <c r="AH1197" s="662"/>
      <c r="AI1197" s="662"/>
    </row>
    <row r="1198" spans="25:35" s="80" customFormat="1">
      <c r="Y1198" s="662"/>
      <c r="Z1198" s="662"/>
      <c r="AA1198" s="662"/>
      <c r="AB1198" s="662"/>
      <c r="AC1198" s="662"/>
      <c r="AD1198" s="662"/>
      <c r="AE1198" s="662"/>
      <c r="AF1198" s="662"/>
      <c r="AG1198" s="662"/>
      <c r="AH1198" s="662"/>
      <c r="AI1198" s="662"/>
    </row>
    <row r="1199" spans="25:35" s="80" customFormat="1">
      <c r="Y1199" s="662"/>
      <c r="Z1199" s="662"/>
      <c r="AA1199" s="662"/>
      <c r="AB1199" s="662"/>
      <c r="AC1199" s="662"/>
      <c r="AD1199" s="662"/>
      <c r="AE1199" s="662"/>
      <c r="AF1199" s="662"/>
      <c r="AG1199" s="662"/>
      <c r="AH1199" s="662"/>
      <c r="AI1199" s="662"/>
    </row>
    <row r="1200" spans="25:35" s="80" customFormat="1">
      <c r="Y1200" s="662"/>
      <c r="Z1200" s="662"/>
      <c r="AA1200" s="662"/>
      <c r="AB1200" s="662"/>
      <c r="AC1200" s="662"/>
      <c r="AD1200" s="662"/>
      <c r="AE1200" s="662"/>
      <c r="AF1200" s="662"/>
      <c r="AG1200" s="662"/>
      <c r="AH1200" s="662"/>
      <c r="AI1200" s="662"/>
    </row>
    <row r="1201" spans="25:35" s="80" customFormat="1">
      <c r="Y1201" s="662"/>
      <c r="Z1201" s="662"/>
      <c r="AA1201" s="662"/>
      <c r="AB1201" s="662"/>
      <c r="AC1201" s="662"/>
      <c r="AD1201" s="662"/>
      <c r="AE1201" s="662"/>
      <c r="AF1201" s="662"/>
      <c r="AG1201" s="662"/>
      <c r="AH1201" s="662"/>
      <c r="AI1201" s="662"/>
    </row>
    <row r="1202" spans="25:35" s="80" customFormat="1">
      <c r="Y1202" s="662"/>
      <c r="Z1202" s="662"/>
      <c r="AA1202" s="662"/>
      <c r="AB1202" s="662"/>
      <c r="AC1202" s="662"/>
      <c r="AD1202" s="662"/>
      <c r="AE1202" s="662"/>
      <c r="AF1202" s="662"/>
      <c r="AG1202" s="662"/>
      <c r="AH1202" s="662"/>
      <c r="AI1202" s="662"/>
    </row>
    <row r="1203" spans="25:35" s="80" customFormat="1">
      <c r="Y1203" s="662"/>
      <c r="Z1203" s="662"/>
      <c r="AA1203" s="662"/>
      <c r="AB1203" s="662"/>
      <c r="AC1203" s="662"/>
      <c r="AD1203" s="662"/>
      <c r="AE1203" s="662"/>
      <c r="AF1203" s="662"/>
      <c r="AG1203" s="662"/>
      <c r="AH1203" s="662"/>
      <c r="AI1203" s="662"/>
    </row>
    <row r="1204" spans="25:35" s="80" customFormat="1">
      <c r="Y1204" s="662"/>
      <c r="Z1204" s="662"/>
      <c r="AA1204" s="662"/>
      <c r="AB1204" s="662"/>
      <c r="AC1204" s="662"/>
      <c r="AD1204" s="662"/>
      <c r="AE1204" s="662"/>
      <c r="AF1204" s="662"/>
      <c r="AG1204" s="662"/>
      <c r="AH1204" s="662"/>
      <c r="AI1204" s="662"/>
    </row>
    <row r="1205" spans="25:35" s="80" customFormat="1">
      <c r="Y1205" s="662"/>
      <c r="Z1205" s="662"/>
      <c r="AA1205" s="662"/>
      <c r="AB1205" s="662"/>
      <c r="AC1205" s="662"/>
      <c r="AD1205" s="662"/>
      <c r="AE1205" s="662"/>
      <c r="AF1205" s="662"/>
      <c r="AG1205" s="662"/>
      <c r="AH1205" s="662"/>
      <c r="AI1205" s="662"/>
    </row>
    <row r="1206" spans="25:35" s="80" customFormat="1">
      <c r="Y1206" s="662"/>
      <c r="Z1206" s="662"/>
      <c r="AA1206" s="662"/>
      <c r="AB1206" s="662"/>
      <c r="AC1206" s="662"/>
      <c r="AD1206" s="662"/>
      <c r="AE1206" s="662"/>
      <c r="AF1206" s="662"/>
      <c r="AG1206" s="662"/>
      <c r="AH1206" s="662"/>
      <c r="AI1206" s="662"/>
    </row>
    <row r="1207" spans="25:35" s="80" customFormat="1">
      <c r="Y1207" s="662"/>
      <c r="Z1207" s="662"/>
      <c r="AA1207" s="662"/>
      <c r="AB1207" s="662"/>
      <c r="AC1207" s="662"/>
      <c r="AD1207" s="662"/>
      <c r="AE1207" s="662"/>
      <c r="AF1207" s="662"/>
      <c r="AG1207" s="662"/>
      <c r="AH1207" s="662"/>
      <c r="AI1207" s="662"/>
    </row>
    <row r="1208" spans="25:35" s="80" customFormat="1">
      <c r="Y1208" s="662"/>
      <c r="Z1208" s="662"/>
      <c r="AA1208" s="662"/>
      <c r="AB1208" s="662"/>
      <c r="AC1208" s="662"/>
      <c r="AD1208" s="662"/>
      <c r="AE1208" s="662"/>
      <c r="AF1208" s="662"/>
      <c r="AG1208" s="662"/>
      <c r="AH1208" s="662"/>
      <c r="AI1208" s="662"/>
    </row>
    <row r="1209" spans="25:35" s="80" customFormat="1">
      <c r="Y1209" s="662"/>
      <c r="Z1209" s="662"/>
      <c r="AA1209" s="662"/>
      <c r="AB1209" s="662"/>
      <c r="AC1209" s="662"/>
      <c r="AD1209" s="662"/>
      <c r="AE1209" s="662"/>
      <c r="AF1209" s="662"/>
      <c r="AG1209" s="662"/>
      <c r="AH1209" s="662"/>
      <c r="AI1209" s="662"/>
    </row>
    <row r="1210" spans="25:35" s="80" customFormat="1">
      <c r="Y1210" s="662"/>
      <c r="Z1210" s="662"/>
      <c r="AA1210" s="662"/>
      <c r="AB1210" s="662"/>
      <c r="AC1210" s="662"/>
      <c r="AD1210" s="662"/>
      <c r="AE1210" s="662"/>
      <c r="AF1210" s="662"/>
      <c r="AG1210" s="662"/>
      <c r="AH1210" s="662"/>
      <c r="AI1210" s="662"/>
    </row>
    <row r="1211" spans="25:35" s="80" customFormat="1">
      <c r="Y1211" s="662"/>
      <c r="Z1211" s="662"/>
      <c r="AA1211" s="662"/>
      <c r="AB1211" s="662"/>
      <c r="AC1211" s="662"/>
      <c r="AD1211" s="662"/>
      <c r="AE1211" s="662"/>
      <c r="AF1211" s="662"/>
      <c r="AG1211" s="662"/>
      <c r="AH1211" s="662"/>
      <c r="AI1211" s="662"/>
    </row>
    <row r="1212" spans="25:35" s="80" customFormat="1">
      <c r="Y1212" s="662"/>
      <c r="Z1212" s="662"/>
      <c r="AA1212" s="662"/>
      <c r="AB1212" s="662"/>
      <c r="AC1212" s="662"/>
      <c r="AD1212" s="662"/>
      <c r="AE1212" s="662"/>
      <c r="AF1212" s="662"/>
      <c r="AG1212" s="662"/>
      <c r="AH1212" s="662"/>
      <c r="AI1212" s="662"/>
    </row>
    <row r="1213" spans="25:35" s="80" customFormat="1">
      <c r="Y1213" s="662"/>
      <c r="Z1213" s="662"/>
      <c r="AA1213" s="662"/>
      <c r="AB1213" s="662"/>
      <c r="AC1213" s="662"/>
      <c r="AD1213" s="662"/>
      <c r="AE1213" s="662"/>
      <c r="AF1213" s="662"/>
      <c r="AG1213" s="662"/>
      <c r="AH1213" s="662"/>
      <c r="AI1213" s="662"/>
    </row>
    <row r="1214" spans="25:35" s="80" customFormat="1">
      <c r="Y1214" s="662"/>
      <c r="Z1214" s="662"/>
      <c r="AA1214" s="662"/>
      <c r="AB1214" s="662"/>
      <c r="AC1214" s="662"/>
      <c r="AD1214" s="662"/>
      <c r="AE1214" s="662"/>
      <c r="AF1214" s="662"/>
      <c r="AG1214" s="662"/>
      <c r="AH1214" s="662"/>
      <c r="AI1214" s="662"/>
    </row>
    <row r="1215" spans="25:35" s="80" customFormat="1">
      <c r="Y1215" s="662"/>
      <c r="Z1215" s="662"/>
      <c r="AA1215" s="662"/>
      <c r="AB1215" s="662"/>
      <c r="AC1215" s="662"/>
      <c r="AD1215" s="662"/>
      <c r="AE1215" s="662"/>
      <c r="AF1215" s="662"/>
      <c r="AG1215" s="662"/>
      <c r="AH1215" s="662"/>
      <c r="AI1215" s="662"/>
    </row>
    <row r="1216" spans="25:35" s="80" customFormat="1">
      <c r="Y1216" s="662"/>
      <c r="Z1216" s="662"/>
      <c r="AA1216" s="662"/>
      <c r="AB1216" s="662"/>
      <c r="AC1216" s="662"/>
      <c r="AD1216" s="662"/>
      <c r="AE1216" s="662"/>
      <c r="AF1216" s="662"/>
      <c r="AG1216" s="662"/>
      <c r="AH1216" s="662"/>
      <c r="AI1216" s="662"/>
    </row>
    <row r="1217" spans="25:35" s="80" customFormat="1">
      <c r="Y1217" s="662"/>
      <c r="Z1217" s="662"/>
      <c r="AA1217" s="662"/>
      <c r="AB1217" s="662"/>
      <c r="AC1217" s="662"/>
      <c r="AD1217" s="662"/>
      <c r="AE1217" s="662"/>
      <c r="AF1217" s="662"/>
      <c r="AG1217" s="662"/>
      <c r="AH1217" s="662"/>
      <c r="AI1217" s="662"/>
    </row>
    <row r="1218" spans="25:35" s="80" customFormat="1">
      <c r="Y1218" s="662"/>
      <c r="Z1218" s="662"/>
      <c r="AA1218" s="662"/>
      <c r="AB1218" s="662"/>
      <c r="AC1218" s="662"/>
      <c r="AD1218" s="662"/>
      <c r="AE1218" s="662"/>
      <c r="AF1218" s="662"/>
      <c r="AG1218" s="662"/>
      <c r="AH1218" s="662"/>
      <c r="AI1218" s="662"/>
    </row>
    <row r="1219" spans="25:35" s="80" customFormat="1">
      <c r="Y1219" s="662"/>
      <c r="Z1219" s="662"/>
      <c r="AA1219" s="662"/>
      <c r="AB1219" s="662"/>
      <c r="AC1219" s="662"/>
      <c r="AD1219" s="662"/>
      <c r="AE1219" s="662"/>
      <c r="AF1219" s="662"/>
      <c r="AG1219" s="662"/>
      <c r="AH1219" s="662"/>
      <c r="AI1219" s="662"/>
    </row>
    <row r="1220" spans="25:35" s="80" customFormat="1">
      <c r="Y1220" s="662"/>
      <c r="Z1220" s="662"/>
      <c r="AA1220" s="662"/>
      <c r="AB1220" s="662"/>
      <c r="AC1220" s="662"/>
      <c r="AD1220" s="662"/>
      <c r="AE1220" s="662"/>
      <c r="AF1220" s="662"/>
      <c r="AG1220" s="662"/>
      <c r="AH1220" s="662"/>
      <c r="AI1220" s="662"/>
    </row>
    <row r="1221" spans="25:35" s="80" customFormat="1">
      <c r="Y1221" s="662"/>
      <c r="Z1221" s="662"/>
      <c r="AA1221" s="662"/>
      <c r="AB1221" s="662"/>
      <c r="AC1221" s="662"/>
      <c r="AD1221" s="662"/>
      <c r="AE1221" s="662"/>
      <c r="AF1221" s="662"/>
      <c r="AG1221" s="662"/>
      <c r="AH1221" s="662"/>
      <c r="AI1221" s="662"/>
    </row>
    <row r="1222" spans="25:35" s="80" customFormat="1">
      <c r="Y1222" s="662"/>
      <c r="Z1222" s="662"/>
      <c r="AA1222" s="662"/>
      <c r="AB1222" s="662"/>
      <c r="AC1222" s="662"/>
      <c r="AD1222" s="662"/>
      <c r="AE1222" s="662"/>
      <c r="AF1222" s="662"/>
      <c r="AG1222" s="662"/>
      <c r="AH1222" s="662"/>
      <c r="AI1222" s="662"/>
    </row>
    <row r="1223" spans="25:35" s="80" customFormat="1">
      <c r="Y1223" s="662"/>
      <c r="Z1223" s="662"/>
      <c r="AA1223" s="662"/>
      <c r="AB1223" s="662"/>
      <c r="AC1223" s="662"/>
      <c r="AD1223" s="662"/>
      <c r="AE1223" s="662"/>
      <c r="AF1223" s="662"/>
      <c r="AG1223" s="662"/>
      <c r="AH1223" s="662"/>
      <c r="AI1223" s="662"/>
    </row>
    <row r="1224" spans="25:35" s="80" customFormat="1">
      <c r="Y1224" s="662"/>
      <c r="Z1224" s="662"/>
      <c r="AA1224" s="662"/>
      <c r="AB1224" s="662"/>
      <c r="AC1224" s="662"/>
      <c r="AD1224" s="662"/>
      <c r="AE1224" s="662"/>
      <c r="AF1224" s="662"/>
      <c r="AG1224" s="662"/>
      <c r="AH1224" s="662"/>
      <c r="AI1224" s="662"/>
    </row>
    <row r="1225" spans="25:35" s="80" customFormat="1">
      <c r="Y1225" s="662"/>
      <c r="Z1225" s="662"/>
      <c r="AA1225" s="662"/>
      <c r="AB1225" s="662"/>
      <c r="AC1225" s="662"/>
      <c r="AD1225" s="662"/>
      <c r="AE1225" s="662"/>
      <c r="AF1225" s="662"/>
      <c r="AG1225" s="662"/>
      <c r="AH1225" s="662"/>
      <c r="AI1225" s="662"/>
    </row>
    <row r="1226" spans="25:35" s="80" customFormat="1">
      <c r="Y1226" s="662"/>
      <c r="Z1226" s="662"/>
      <c r="AA1226" s="662"/>
      <c r="AB1226" s="662"/>
      <c r="AC1226" s="662"/>
      <c r="AD1226" s="662"/>
      <c r="AE1226" s="662"/>
      <c r="AF1226" s="662"/>
      <c r="AG1226" s="662"/>
      <c r="AH1226" s="662"/>
      <c r="AI1226" s="662"/>
    </row>
    <row r="1227" spans="25:35" s="80" customFormat="1">
      <c r="Y1227" s="662"/>
      <c r="Z1227" s="662"/>
      <c r="AA1227" s="662"/>
      <c r="AB1227" s="662"/>
      <c r="AC1227" s="662"/>
      <c r="AD1227" s="662"/>
      <c r="AE1227" s="662"/>
      <c r="AF1227" s="662"/>
      <c r="AG1227" s="662"/>
      <c r="AH1227" s="662"/>
      <c r="AI1227" s="662"/>
    </row>
    <row r="1228" spans="25:35" s="80" customFormat="1">
      <c r="Y1228" s="662"/>
      <c r="Z1228" s="662"/>
      <c r="AA1228" s="662"/>
      <c r="AB1228" s="662"/>
      <c r="AC1228" s="662"/>
      <c r="AD1228" s="662"/>
      <c r="AE1228" s="662"/>
      <c r="AF1228" s="662"/>
      <c r="AG1228" s="662"/>
      <c r="AH1228" s="662"/>
      <c r="AI1228" s="662"/>
    </row>
    <row r="1229" spans="25:35" s="80" customFormat="1">
      <c r="Y1229" s="662"/>
      <c r="Z1229" s="662"/>
      <c r="AA1229" s="662"/>
      <c r="AB1229" s="662"/>
      <c r="AC1229" s="662"/>
      <c r="AD1229" s="662"/>
      <c r="AE1229" s="662"/>
      <c r="AF1229" s="662"/>
      <c r="AG1229" s="662"/>
      <c r="AH1229" s="662"/>
      <c r="AI1229" s="662"/>
    </row>
    <row r="1230" spans="25:35" s="80" customFormat="1">
      <c r="Y1230" s="662"/>
      <c r="Z1230" s="662"/>
      <c r="AA1230" s="662"/>
      <c r="AB1230" s="662"/>
      <c r="AC1230" s="662"/>
      <c r="AD1230" s="662"/>
      <c r="AE1230" s="662"/>
      <c r="AF1230" s="662"/>
      <c r="AG1230" s="662"/>
      <c r="AH1230" s="662"/>
      <c r="AI1230" s="662"/>
    </row>
    <row r="1231" spans="25:35" s="80" customFormat="1">
      <c r="Y1231" s="662"/>
      <c r="Z1231" s="662"/>
      <c r="AA1231" s="662"/>
      <c r="AB1231" s="662"/>
      <c r="AC1231" s="662"/>
      <c r="AD1231" s="662"/>
      <c r="AE1231" s="662"/>
      <c r="AF1231" s="662"/>
      <c r="AG1231" s="662"/>
      <c r="AH1231" s="662"/>
      <c r="AI1231" s="662"/>
    </row>
    <row r="1232" spans="25:35" s="80" customFormat="1">
      <c r="Y1232" s="662"/>
      <c r="Z1232" s="662"/>
      <c r="AA1232" s="662"/>
      <c r="AB1232" s="662"/>
      <c r="AC1232" s="662"/>
      <c r="AD1232" s="662"/>
      <c r="AE1232" s="662"/>
      <c r="AF1232" s="662"/>
      <c r="AG1232" s="662"/>
      <c r="AH1232" s="662"/>
      <c r="AI1232" s="662"/>
    </row>
    <row r="1233" spans="25:35" s="80" customFormat="1">
      <c r="Y1233" s="662"/>
      <c r="Z1233" s="662"/>
      <c r="AA1233" s="662"/>
      <c r="AB1233" s="662"/>
      <c r="AC1233" s="662"/>
      <c r="AD1233" s="662"/>
      <c r="AE1233" s="662"/>
      <c r="AF1233" s="662"/>
      <c r="AG1233" s="662"/>
      <c r="AH1233" s="662"/>
      <c r="AI1233" s="662"/>
    </row>
    <row r="1234" spans="25:35" s="80" customFormat="1">
      <c r="Y1234" s="662"/>
      <c r="Z1234" s="662"/>
      <c r="AA1234" s="662"/>
      <c r="AB1234" s="662"/>
      <c r="AC1234" s="662"/>
      <c r="AD1234" s="662"/>
      <c r="AE1234" s="662"/>
      <c r="AF1234" s="662"/>
      <c r="AG1234" s="662"/>
      <c r="AH1234" s="662"/>
      <c r="AI1234" s="662"/>
    </row>
    <row r="1235" spans="25:35" s="80" customFormat="1">
      <c r="Y1235" s="662"/>
      <c r="Z1235" s="662"/>
      <c r="AA1235" s="662"/>
      <c r="AB1235" s="662"/>
      <c r="AC1235" s="662"/>
      <c r="AD1235" s="662"/>
      <c r="AE1235" s="662"/>
      <c r="AF1235" s="662"/>
      <c r="AG1235" s="662"/>
      <c r="AH1235" s="662"/>
      <c r="AI1235" s="662"/>
    </row>
    <row r="1236" spans="25:35" s="80" customFormat="1">
      <c r="Y1236" s="662"/>
      <c r="Z1236" s="662"/>
      <c r="AA1236" s="662"/>
      <c r="AB1236" s="662"/>
      <c r="AC1236" s="662"/>
      <c r="AD1236" s="662"/>
      <c r="AE1236" s="662"/>
      <c r="AF1236" s="662"/>
      <c r="AG1236" s="662"/>
      <c r="AH1236" s="662"/>
      <c r="AI1236" s="662"/>
    </row>
    <row r="1237" spans="25:35" s="80" customFormat="1">
      <c r="Y1237" s="662"/>
      <c r="Z1237" s="662"/>
      <c r="AA1237" s="662"/>
      <c r="AB1237" s="662"/>
      <c r="AC1237" s="662"/>
      <c r="AD1237" s="662"/>
      <c r="AE1237" s="662"/>
      <c r="AF1237" s="662"/>
      <c r="AG1237" s="662"/>
      <c r="AH1237" s="662"/>
      <c r="AI1237" s="662"/>
    </row>
    <row r="1238" spans="25:35" s="80" customFormat="1">
      <c r="Y1238" s="662"/>
      <c r="Z1238" s="662"/>
      <c r="AA1238" s="662"/>
      <c r="AB1238" s="662"/>
      <c r="AC1238" s="662"/>
      <c r="AD1238" s="662"/>
      <c r="AE1238" s="662"/>
      <c r="AF1238" s="662"/>
      <c r="AG1238" s="662"/>
      <c r="AH1238" s="662"/>
      <c r="AI1238" s="662"/>
    </row>
    <row r="1239" spans="25:35" s="80" customFormat="1">
      <c r="Y1239" s="662"/>
      <c r="Z1239" s="662"/>
      <c r="AA1239" s="662"/>
      <c r="AB1239" s="662"/>
      <c r="AC1239" s="662"/>
      <c r="AD1239" s="662"/>
      <c r="AE1239" s="662"/>
      <c r="AF1239" s="662"/>
      <c r="AG1239" s="662"/>
      <c r="AH1239" s="662"/>
      <c r="AI1239" s="662"/>
    </row>
    <row r="1240" spans="25:35" s="80" customFormat="1">
      <c r="Y1240" s="662"/>
      <c r="Z1240" s="662"/>
      <c r="AA1240" s="662"/>
      <c r="AB1240" s="662"/>
      <c r="AC1240" s="662"/>
      <c r="AD1240" s="662"/>
      <c r="AE1240" s="662"/>
      <c r="AF1240" s="662"/>
      <c r="AG1240" s="662"/>
      <c r="AH1240" s="662"/>
      <c r="AI1240" s="662"/>
    </row>
    <row r="1241" spans="25:35" s="80" customFormat="1">
      <c r="Y1241" s="662"/>
      <c r="Z1241" s="662"/>
      <c r="AA1241" s="662"/>
      <c r="AB1241" s="662"/>
      <c r="AC1241" s="662"/>
      <c r="AD1241" s="662"/>
      <c r="AE1241" s="662"/>
      <c r="AF1241" s="662"/>
      <c r="AG1241" s="662"/>
      <c r="AH1241" s="662"/>
      <c r="AI1241" s="662"/>
    </row>
    <row r="1242" spans="25:35" s="80" customFormat="1">
      <c r="Y1242" s="662"/>
      <c r="Z1242" s="662"/>
      <c r="AA1242" s="662"/>
      <c r="AB1242" s="662"/>
      <c r="AC1242" s="662"/>
      <c r="AD1242" s="662"/>
      <c r="AE1242" s="662"/>
      <c r="AF1242" s="662"/>
      <c r="AG1242" s="662"/>
      <c r="AH1242" s="662"/>
      <c r="AI1242" s="662"/>
    </row>
    <row r="1243" spans="25:35" s="80" customFormat="1">
      <c r="Y1243" s="662"/>
      <c r="Z1243" s="662"/>
      <c r="AA1243" s="662"/>
      <c r="AB1243" s="662"/>
      <c r="AC1243" s="662"/>
      <c r="AD1243" s="662"/>
      <c r="AE1243" s="662"/>
      <c r="AF1243" s="662"/>
      <c r="AG1243" s="662"/>
      <c r="AH1243" s="662"/>
      <c r="AI1243" s="662"/>
    </row>
    <row r="1244" spans="25:35" s="80" customFormat="1">
      <c r="Y1244" s="662"/>
      <c r="Z1244" s="662"/>
      <c r="AA1244" s="662"/>
      <c r="AB1244" s="662"/>
      <c r="AC1244" s="662"/>
      <c r="AD1244" s="662"/>
      <c r="AE1244" s="662"/>
      <c r="AF1244" s="662"/>
      <c r="AG1244" s="662"/>
      <c r="AH1244" s="662"/>
      <c r="AI1244" s="662"/>
    </row>
    <row r="1245" spans="25:35" s="80" customFormat="1">
      <c r="Y1245" s="662"/>
      <c r="Z1245" s="662"/>
      <c r="AA1245" s="662"/>
      <c r="AB1245" s="662"/>
      <c r="AC1245" s="662"/>
      <c r="AD1245" s="662"/>
      <c r="AE1245" s="662"/>
      <c r="AF1245" s="662"/>
      <c r="AG1245" s="662"/>
      <c r="AH1245" s="662"/>
      <c r="AI1245" s="662"/>
    </row>
    <row r="1246" spans="25:35" s="80" customFormat="1">
      <c r="Y1246" s="662"/>
      <c r="Z1246" s="662"/>
      <c r="AA1246" s="662"/>
      <c r="AB1246" s="662"/>
      <c r="AC1246" s="662"/>
      <c r="AD1246" s="662"/>
      <c r="AE1246" s="662"/>
      <c r="AF1246" s="662"/>
      <c r="AG1246" s="662"/>
      <c r="AH1246" s="662"/>
      <c r="AI1246" s="662"/>
    </row>
    <row r="1247" spans="25:35" s="80" customFormat="1">
      <c r="Y1247" s="662"/>
      <c r="Z1247" s="662"/>
      <c r="AA1247" s="662"/>
      <c r="AB1247" s="662"/>
      <c r="AC1247" s="662"/>
      <c r="AD1247" s="662"/>
      <c r="AE1247" s="662"/>
      <c r="AF1247" s="662"/>
      <c r="AG1247" s="662"/>
      <c r="AH1247" s="662"/>
      <c r="AI1247" s="662"/>
    </row>
    <row r="1248" spans="25:35" s="80" customFormat="1">
      <c r="Y1248" s="662"/>
      <c r="Z1248" s="662"/>
      <c r="AA1248" s="662"/>
      <c r="AB1248" s="662"/>
      <c r="AC1248" s="662"/>
      <c r="AD1248" s="662"/>
      <c r="AE1248" s="662"/>
      <c r="AF1248" s="662"/>
      <c r="AG1248" s="662"/>
      <c r="AH1248" s="662"/>
      <c r="AI1248" s="662"/>
    </row>
    <row r="1249" spans="25:35" s="80" customFormat="1">
      <c r="Y1249" s="662"/>
      <c r="Z1249" s="662"/>
      <c r="AA1249" s="662"/>
      <c r="AB1249" s="662"/>
      <c r="AC1249" s="662"/>
      <c r="AD1249" s="662"/>
      <c r="AE1249" s="662"/>
      <c r="AF1249" s="662"/>
      <c r="AG1249" s="662"/>
      <c r="AH1249" s="662"/>
      <c r="AI1249" s="662"/>
    </row>
    <row r="1250" spans="25:35" s="80" customFormat="1">
      <c r="Y1250" s="662"/>
      <c r="Z1250" s="662"/>
      <c r="AA1250" s="662"/>
      <c r="AB1250" s="662"/>
      <c r="AC1250" s="662"/>
      <c r="AD1250" s="662"/>
      <c r="AE1250" s="662"/>
      <c r="AF1250" s="662"/>
      <c r="AG1250" s="662"/>
      <c r="AH1250" s="662"/>
      <c r="AI1250" s="662"/>
    </row>
    <row r="1251" spans="25:35" s="80" customFormat="1">
      <c r="Y1251" s="662"/>
      <c r="Z1251" s="662"/>
      <c r="AA1251" s="662"/>
      <c r="AB1251" s="662"/>
      <c r="AC1251" s="662"/>
      <c r="AD1251" s="662"/>
      <c r="AE1251" s="662"/>
      <c r="AF1251" s="662"/>
      <c r="AG1251" s="662"/>
      <c r="AH1251" s="662"/>
      <c r="AI1251" s="662"/>
    </row>
    <row r="1252" spans="25:35" s="80" customFormat="1">
      <c r="Y1252" s="662"/>
      <c r="Z1252" s="662"/>
      <c r="AA1252" s="662"/>
      <c r="AB1252" s="662"/>
      <c r="AC1252" s="662"/>
      <c r="AD1252" s="662"/>
      <c r="AE1252" s="662"/>
      <c r="AF1252" s="662"/>
      <c r="AG1252" s="662"/>
      <c r="AH1252" s="662"/>
      <c r="AI1252" s="662"/>
    </row>
    <row r="1253" spans="25:35" s="80" customFormat="1">
      <c r="Y1253" s="662"/>
      <c r="Z1253" s="662"/>
      <c r="AA1253" s="662"/>
      <c r="AB1253" s="662"/>
      <c r="AC1253" s="662"/>
      <c r="AD1253" s="662"/>
      <c r="AE1253" s="662"/>
      <c r="AF1253" s="662"/>
      <c r="AG1253" s="662"/>
      <c r="AH1253" s="662"/>
      <c r="AI1253" s="662"/>
    </row>
    <row r="1254" spans="25:35" s="80" customFormat="1">
      <c r="Y1254" s="662"/>
      <c r="Z1254" s="662"/>
      <c r="AA1254" s="662"/>
      <c r="AB1254" s="662"/>
      <c r="AC1254" s="662"/>
      <c r="AD1254" s="662"/>
      <c r="AE1254" s="662"/>
      <c r="AF1254" s="662"/>
      <c r="AG1254" s="662"/>
      <c r="AH1254" s="662"/>
      <c r="AI1254" s="662"/>
    </row>
    <row r="1255" spans="25:35" s="80" customFormat="1">
      <c r="Y1255" s="662"/>
      <c r="Z1255" s="662"/>
      <c r="AA1255" s="662"/>
      <c r="AB1255" s="662"/>
      <c r="AC1255" s="662"/>
      <c r="AD1255" s="662"/>
      <c r="AE1255" s="662"/>
      <c r="AF1255" s="662"/>
      <c r="AG1255" s="662"/>
      <c r="AH1255" s="662"/>
      <c r="AI1255" s="662"/>
    </row>
    <row r="1256" spans="25:35" s="80" customFormat="1">
      <c r="Y1256" s="662"/>
      <c r="Z1256" s="662"/>
      <c r="AA1256" s="662"/>
      <c r="AB1256" s="662"/>
      <c r="AC1256" s="662"/>
      <c r="AD1256" s="662"/>
      <c r="AE1256" s="662"/>
      <c r="AF1256" s="662"/>
      <c r="AG1256" s="662"/>
      <c r="AH1256" s="662"/>
      <c r="AI1256" s="662"/>
    </row>
    <row r="1257" spans="25:35" s="80" customFormat="1">
      <c r="Y1257" s="662"/>
      <c r="Z1257" s="662"/>
      <c r="AA1257" s="662"/>
      <c r="AB1257" s="662"/>
      <c r="AC1257" s="662"/>
      <c r="AD1257" s="662"/>
      <c r="AE1257" s="662"/>
      <c r="AF1257" s="662"/>
      <c r="AG1257" s="662"/>
      <c r="AH1257" s="662"/>
      <c r="AI1257" s="662"/>
    </row>
    <row r="1258" spans="25:35" s="80" customFormat="1">
      <c r="Y1258" s="662"/>
      <c r="Z1258" s="662"/>
      <c r="AA1258" s="662"/>
      <c r="AB1258" s="662"/>
      <c r="AC1258" s="662"/>
      <c r="AD1258" s="662"/>
      <c r="AE1258" s="662"/>
      <c r="AF1258" s="662"/>
      <c r="AG1258" s="662"/>
      <c r="AH1258" s="662"/>
      <c r="AI1258" s="662"/>
    </row>
    <row r="1259" spans="25:35" s="80" customFormat="1">
      <c r="Y1259" s="662"/>
      <c r="Z1259" s="662"/>
      <c r="AA1259" s="662"/>
      <c r="AB1259" s="662"/>
      <c r="AC1259" s="662"/>
      <c r="AD1259" s="662"/>
      <c r="AE1259" s="662"/>
      <c r="AF1259" s="662"/>
      <c r="AG1259" s="662"/>
      <c r="AH1259" s="662"/>
      <c r="AI1259" s="662"/>
    </row>
    <row r="1260" spans="25:35" s="80" customFormat="1">
      <c r="Y1260" s="662"/>
      <c r="Z1260" s="662"/>
      <c r="AA1260" s="662"/>
      <c r="AB1260" s="662"/>
      <c r="AC1260" s="662"/>
      <c r="AD1260" s="662"/>
      <c r="AE1260" s="662"/>
      <c r="AF1260" s="662"/>
      <c r="AG1260" s="662"/>
      <c r="AH1260" s="662"/>
      <c r="AI1260" s="662"/>
    </row>
    <row r="1261" spans="25:35" s="80" customFormat="1">
      <c r="Y1261" s="662"/>
      <c r="Z1261" s="662"/>
      <c r="AA1261" s="662"/>
      <c r="AB1261" s="662"/>
      <c r="AC1261" s="662"/>
      <c r="AD1261" s="662"/>
      <c r="AE1261" s="662"/>
      <c r="AF1261" s="662"/>
      <c r="AG1261" s="662"/>
      <c r="AH1261" s="662"/>
      <c r="AI1261" s="662"/>
    </row>
    <row r="1262" spans="25:35" s="80" customFormat="1">
      <c r="Y1262" s="662"/>
      <c r="Z1262" s="662"/>
      <c r="AA1262" s="662"/>
      <c r="AB1262" s="662"/>
      <c r="AC1262" s="662"/>
      <c r="AD1262" s="662"/>
      <c r="AE1262" s="662"/>
      <c r="AF1262" s="662"/>
      <c r="AG1262" s="662"/>
      <c r="AH1262" s="662"/>
      <c r="AI1262" s="662"/>
    </row>
    <row r="1263" spans="25:35" s="80" customFormat="1">
      <c r="Y1263" s="662"/>
      <c r="Z1263" s="662"/>
      <c r="AA1263" s="662"/>
      <c r="AB1263" s="662"/>
      <c r="AC1263" s="662"/>
      <c r="AD1263" s="662"/>
      <c r="AE1263" s="662"/>
      <c r="AF1263" s="662"/>
      <c r="AG1263" s="662"/>
      <c r="AH1263" s="662"/>
      <c r="AI1263" s="662"/>
    </row>
    <row r="1264" spans="25:35" s="80" customFormat="1">
      <c r="Y1264" s="662"/>
      <c r="Z1264" s="662"/>
      <c r="AA1264" s="662"/>
      <c r="AB1264" s="662"/>
      <c r="AC1264" s="662"/>
      <c r="AD1264" s="662"/>
      <c r="AE1264" s="662"/>
      <c r="AF1264" s="662"/>
      <c r="AG1264" s="662"/>
      <c r="AH1264" s="662"/>
      <c r="AI1264" s="662"/>
    </row>
    <row r="1265" spans="25:35" s="80" customFormat="1">
      <c r="Y1265" s="662"/>
      <c r="Z1265" s="662"/>
      <c r="AA1265" s="662"/>
      <c r="AB1265" s="662"/>
      <c r="AC1265" s="662"/>
      <c r="AD1265" s="662"/>
      <c r="AE1265" s="662"/>
      <c r="AF1265" s="662"/>
      <c r="AG1265" s="662"/>
      <c r="AH1265" s="662"/>
      <c r="AI1265" s="662"/>
    </row>
    <row r="1266" spans="25:35" s="80" customFormat="1">
      <c r="Y1266" s="662"/>
      <c r="Z1266" s="662"/>
      <c r="AA1266" s="662"/>
      <c r="AB1266" s="662"/>
      <c r="AC1266" s="662"/>
      <c r="AD1266" s="662"/>
      <c r="AE1266" s="662"/>
      <c r="AF1266" s="662"/>
      <c r="AG1266" s="662"/>
      <c r="AH1266" s="662"/>
      <c r="AI1266" s="662"/>
    </row>
    <row r="1267" spans="25:35" s="80" customFormat="1">
      <c r="Y1267" s="662"/>
      <c r="Z1267" s="662"/>
      <c r="AA1267" s="662"/>
      <c r="AB1267" s="662"/>
      <c r="AC1267" s="662"/>
      <c r="AD1267" s="662"/>
      <c r="AE1267" s="662"/>
      <c r="AF1267" s="662"/>
      <c r="AG1267" s="662"/>
      <c r="AH1267" s="662"/>
      <c r="AI1267" s="662"/>
    </row>
    <row r="1268" spans="25:35" s="80" customFormat="1">
      <c r="Y1268" s="662"/>
      <c r="Z1268" s="662"/>
      <c r="AA1268" s="662"/>
      <c r="AB1268" s="662"/>
      <c r="AC1268" s="662"/>
      <c r="AD1268" s="662"/>
      <c r="AE1268" s="662"/>
      <c r="AF1268" s="662"/>
      <c r="AG1268" s="662"/>
      <c r="AH1268" s="662"/>
      <c r="AI1268" s="662"/>
    </row>
    <row r="1269" spans="25:35" s="80" customFormat="1">
      <c r="Y1269" s="662"/>
      <c r="Z1269" s="662"/>
      <c r="AA1269" s="662"/>
      <c r="AB1269" s="662"/>
      <c r="AC1269" s="662"/>
      <c r="AD1269" s="662"/>
      <c r="AE1269" s="662"/>
      <c r="AF1269" s="662"/>
      <c r="AG1269" s="662"/>
      <c r="AH1269" s="662"/>
      <c r="AI1269" s="662"/>
    </row>
    <row r="1270" spans="25:35" s="80" customFormat="1">
      <c r="Y1270" s="662"/>
      <c r="Z1270" s="662"/>
      <c r="AA1270" s="662"/>
      <c r="AB1270" s="662"/>
      <c r="AC1270" s="662"/>
      <c r="AD1270" s="662"/>
      <c r="AE1270" s="662"/>
      <c r="AF1270" s="662"/>
      <c r="AG1270" s="662"/>
      <c r="AH1270" s="662"/>
      <c r="AI1270" s="662"/>
    </row>
    <row r="1271" spans="25:35" s="80" customFormat="1">
      <c r="Y1271" s="662"/>
      <c r="Z1271" s="662"/>
      <c r="AA1271" s="662"/>
      <c r="AB1271" s="662"/>
      <c r="AC1271" s="662"/>
      <c r="AD1271" s="662"/>
      <c r="AE1271" s="662"/>
      <c r="AF1271" s="662"/>
      <c r="AG1271" s="662"/>
      <c r="AH1271" s="662"/>
      <c r="AI1271" s="662"/>
    </row>
    <row r="1272" spans="25:35" s="80" customFormat="1">
      <c r="Y1272" s="662"/>
      <c r="Z1272" s="662"/>
      <c r="AA1272" s="662"/>
      <c r="AB1272" s="662"/>
      <c r="AC1272" s="662"/>
      <c r="AD1272" s="662"/>
      <c r="AE1272" s="662"/>
      <c r="AF1272" s="662"/>
      <c r="AG1272" s="662"/>
      <c r="AH1272" s="662"/>
      <c r="AI1272" s="662"/>
    </row>
    <row r="1273" spans="25:35" s="80" customFormat="1">
      <c r="Y1273" s="662"/>
      <c r="Z1273" s="662"/>
      <c r="AA1273" s="662"/>
      <c r="AB1273" s="662"/>
      <c r="AC1273" s="662"/>
      <c r="AD1273" s="662"/>
      <c r="AE1273" s="662"/>
      <c r="AF1273" s="662"/>
      <c r="AG1273" s="662"/>
      <c r="AH1273" s="662"/>
      <c r="AI1273" s="662"/>
    </row>
    <row r="1274" spans="25:35" s="80" customFormat="1">
      <c r="Y1274" s="662"/>
      <c r="Z1274" s="662"/>
      <c r="AA1274" s="662"/>
      <c r="AB1274" s="662"/>
      <c r="AC1274" s="662"/>
      <c r="AD1274" s="662"/>
      <c r="AE1274" s="662"/>
      <c r="AF1274" s="662"/>
      <c r="AG1274" s="662"/>
      <c r="AH1274" s="662"/>
      <c r="AI1274" s="662"/>
    </row>
    <row r="1275" spans="25:35" s="80" customFormat="1">
      <c r="Y1275" s="662"/>
      <c r="Z1275" s="662"/>
      <c r="AA1275" s="662"/>
      <c r="AB1275" s="662"/>
      <c r="AC1275" s="662"/>
      <c r="AD1275" s="662"/>
      <c r="AE1275" s="662"/>
      <c r="AF1275" s="662"/>
      <c r="AG1275" s="662"/>
      <c r="AH1275" s="662"/>
      <c r="AI1275" s="662"/>
    </row>
    <row r="1276" spans="25:35" s="80" customFormat="1">
      <c r="Y1276" s="662"/>
      <c r="Z1276" s="662"/>
      <c r="AA1276" s="662"/>
      <c r="AB1276" s="662"/>
      <c r="AC1276" s="662"/>
      <c r="AD1276" s="662"/>
      <c r="AE1276" s="662"/>
      <c r="AF1276" s="662"/>
      <c r="AG1276" s="662"/>
      <c r="AH1276" s="662"/>
      <c r="AI1276" s="662"/>
    </row>
    <row r="1277" spans="25:35" s="80" customFormat="1">
      <c r="Y1277" s="662"/>
      <c r="Z1277" s="662"/>
      <c r="AA1277" s="662"/>
      <c r="AB1277" s="662"/>
      <c r="AC1277" s="662"/>
      <c r="AD1277" s="662"/>
      <c r="AE1277" s="662"/>
      <c r="AF1277" s="662"/>
      <c r="AG1277" s="662"/>
      <c r="AH1277" s="662"/>
      <c r="AI1277" s="662"/>
    </row>
    <row r="1278" spans="25:35" s="80" customFormat="1">
      <c r="Y1278" s="662"/>
      <c r="Z1278" s="662"/>
      <c r="AA1278" s="662"/>
      <c r="AB1278" s="662"/>
      <c r="AC1278" s="662"/>
      <c r="AD1278" s="662"/>
      <c r="AE1278" s="662"/>
      <c r="AF1278" s="662"/>
      <c r="AG1278" s="662"/>
      <c r="AH1278" s="662"/>
      <c r="AI1278" s="662"/>
    </row>
    <row r="1279" spans="25:35" s="80" customFormat="1">
      <c r="Y1279" s="662"/>
      <c r="Z1279" s="662"/>
      <c r="AA1279" s="662"/>
      <c r="AB1279" s="662"/>
      <c r="AC1279" s="662"/>
      <c r="AD1279" s="662"/>
      <c r="AE1279" s="662"/>
      <c r="AF1279" s="662"/>
      <c r="AG1279" s="662"/>
      <c r="AH1279" s="662"/>
      <c r="AI1279" s="662"/>
    </row>
    <row r="1280" spans="25:35" s="80" customFormat="1">
      <c r="Y1280" s="662"/>
      <c r="Z1280" s="662"/>
      <c r="AA1280" s="662"/>
      <c r="AB1280" s="662"/>
      <c r="AC1280" s="662"/>
      <c r="AD1280" s="662"/>
      <c r="AE1280" s="662"/>
      <c r="AF1280" s="662"/>
      <c r="AG1280" s="662"/>
      <c r="AH1280" s="662"/>
      <c r="AI1280" s="662"/>
    </row>
    <row r="1281" spans="25:35" s="80" customFormat="1">
      <c r="Y1281" s="662"/>
      <c r="Z1281" s="662"/>
      <c r="AA1281" s="662"/>
      <c r="AB1281" s="662"/>
      <c r="AC1281" s="662"/>
      <c r="AD1281" s="662"/>
      <c r="AE1281" s="662"/>
      <c r="AF1281" s="662"/>
      <c r="AG1281" s="662"/>
      <c r="AH1281" s="662"/>
      <c r="AI1281" s="662"/>
    </row>
    <row r="1282" spans="25:35" s="80" customFormat="1">
      <c r="Y1282" s="662"/>
      <c r="Z1282" s="662"/>
      <c r="AA1282" s="662"/>
      <c r="AB1282" s="662"/>
      <c r="AC1282" s="662"/>
      <c r="AD1282" s="662"/>
      <c r="AE1282" s="662"/>
      <c r="AF1282" s="662"/>
      <c r="AG1282" s="662"/>
      <c r="AH1282" s="662"/>
      <c r="AI1282" s="662"/>
    </row>
    <row r="1283" spans="25:35" s="80" customFormat="1">
      <c r="Y1283" s="662"/>
      <c r="Z1283" s="662"/>
      <c r="AA1283" s="662"/>
      <c r="AB1283" s="662"/>
      <c r="AC1283" s="662"/>
      <c r="AD1283" s="662"/>
      <c r="AE1283" s="662"/>
      <c r="AF1283" s="662"/>
      <c r="AG1283" s="662"/>
      <c r="AH1283" s="662"/>
      <c r="AI1283" s="662"/>
    </row>
    <row r="1284" spans="25:35" s="80" customFormat="1">
      <c r="Y1284" s="662"/>
      <c r="Z1284" s="662"/>
      <c r="AA1284" s="662"/>
      <c r="AB1284" s="662"/>
      <c r="AC1284" s="662"/>
      <c r="AD1284" s="662"/>
      <c r="AE1284" s="662"/>
      <c r="AF1284" s="662"/>
      <c r="AG1284" s="662"/>
      <c r="AH1284" s="662"/>
      <c r="AI1284" s="662"/>
    </row>
    <row r="1285" spans="25:35" s="80" customFormat="1">
      <c r="Y1285" s="662"/>
      <c r="Z1285" s="662"/>
      <c r="AA1285" s="662"/>
      <c r="AB1285" s="662"/>
      <c r="AC1285" s="662"/>
      <c r="AD1285" s="662"/>
      <c r="AE1285" s="662"/>
      <c r="AF1285" s="662"/>
      <c r="AG1285" s="662"/>
      <c r="AH1285" s="662"/>
      <c r="AI1285" s="662"/>
    </row>
    <row r="1286" spans="25:35" s="80" customFormat="1">
      <c r="Y1286" s="662"/>
      <c r="Z1286" s="662"/>
      <c r="AA1286" s="662"/>
      <c r="AB1286" s="662"/>
      <c r="AC1286" s="662"/>
      <c r="AD1286" s="662"/>
      <c r="AE1286" s="662"/>
      <c r="AF1286" s="662"/>
      <c r="AG1286" s="662"/>
      <c r="AH1286" s="662"/>
      <c r="AI1286" s="662"/>
    </row>
    <row r="1287" spans="25:35" s="80" customFormat="1">
      <c r="Y1287" s="662"/>
      <c r="Z1287" s="662"/>
      <c r="AA1287" s="662"/>
      <c r="AB1287" s="662"/>
      <c r="AC1287" s="662"/>
      <c r="AD1287" s="662"/>
      <c r="AE1287" s="662"/>
      <c r="AF1287" s="662"/>
      <c r="AG1287" s="662"/>
      <c r="AH1287" s="662"/>
      <c r="AI1287" s="662"/>
    </row>
    <row r="1288" spans="25:35" s="80" customFormat="1">
      <c r="Y1288" s="662"/>
      <c r="Z1288" s="662"/>
      <c r="AA1288" s="662"/>
      <c r="AB1288" s="662"/>
      <c r="AC1288" s="662"/>
      <c r="AD1288" s="662"/>
      <c r="AE1288" s="662"/>
      <c r="AF1288" s="662"/>
      <c r="AG1288" s="662"/>
      <c r="AH1288" s="662"/>
      <c r="AI1288" s="662"/>
    </row>
    <row r="1289" spans="25:35" s="80" customFormat="1">
      <c r="Y1289" s="662"/>
      <c r="Z1289" s="662"/>
      <c r="AA1289" s="662"/>
      <c r="AB1289" s="662"/>
      <c r="AC1289" s="662"/>
      <c r="AD1289" s="662"/>
      <c r="AE1289" s="662"/>
      <c r="AF1289" s="662"/>
      <c r="AG1289" s="662"/>
      <c r="AH1289" s="662"/>
      <c r="AI1289" s="662"/>
    </row>
    <row r="1290" spans="25:35" s="80" customFormat="1">
      <c r="Y1290" s="662"/>
      <c r="Z1290" s="662"/>
      <c r="AA1290" s="662"/>
      <c r="AB1290" s="662"/>
      <c r="AC1290" s="662"/>
      <c r="AD1290" s="662"/>
      <c r="AE1290" s="662"/>
      <c r="AF1290" s="662"/>
      <c r="AG1290" s="662"/>
      <c r="AH1290" s="662"/>
      <c r="AI1290" s="662"/>
    </row>
    <row r="1291" spans="25:35" s="80" customFormat="1">
      <c r="Y1291" s="662"/>
      <c r="Z1291" s="662"/>
      <c r="AA1291" s="662"/>
      <c r="AB1291" s="662"/>
      <c r="AC1291" s="662"/>
      <c r="AD1291" s="662"/>
      <c r="AE1291" s="662"/>
      <c r="AF1291" s="662"/>
      <c r="AG1291" s="662"/>
      <c r="AH1291" s="662"/>
      <c r="AI1291" s="662"/>
    </row>
    <row r="1292" spans="25:35" s="80" customFormat="1">
      <c r="Y1292" s="662"/>
      <c r="Z1292" s="662"/>
      <c r="AA1292" s="662"/>
      <c r="AB1292" s="662"/>
      <c r="AC1292" s="662"/>
      <c r="AD1292" s="662"/>
      <c r="AE1292" s="662"/>
      <c r="AF1292" s="662"/>
      <c r="AG1292" s="662"/>
      <c r="AH1292" s="662"/>
      <c r="AI1292" s="662"/>
    </row>
    <row r="1293" spans="25:35" s="80" customFormat="1">
      <c r="Y1293" s="662"/>
      <c r="Z1293" s="662"/>
      <c r="AA1293" s="662"/>
      <c r="AB1293" s="662"/>
      <c r="AC1293" s="662"/>
      <c r="AD1293" s="662"/>
      <c r="AE1293" s="662"/>
      <c r="AF1293" s="662"/>
      <c r="AG1293" s="662"/>
      <c r="AH1293" s="662"/>
      <c r="AI1293" s="662"/>
    </row>
    <row r="1294" spans="25:35" s="80" customFormat="1">
      <c r="Y1294" s="662"/>
      <c r="Z1294" s="662"/>
      <c r="AA1294" s="662"/>
      <c r="AB1294" s="662"/>
      <c r="AC1294" s="662"/>
      <c r="AD1294" s="662"/>
      <c r="AE1294" s="662"/>
      <c r="AF1294" s="662"/>
      <c r="AG1294" s="662"/>
      <c r="AH1294" s="662"/>
      <c r="AI1294" s="662"/>
    </row>
    <row r="1295" spans="25:35" s="80" customFormat="1">
      <c r="Y1295" s="662"/>
      <c r="Z1295" s="662"/>
      <c r="AA1295" s="662"/>
      <c r="AB1295" s="662"/>
      <c r="AC1295" s="662"/>
      <c r="AD1295" s="662"/>
      <c r="AE1295" s="662"/>
      <c r="AF1295" s="662"/>
      <c r="AG1295" s="662"/>
      <c r="AH1295" s="662"/>
      <c r="AI1295" s="662"/>
    </row>
    <row r="1296" spans="25:35" s="80" customFormat="1">
      <c r="Y1296" s="662"/>
      <c r="Z1296" s="662"/>
      <c r="AA1296" s="662"/>
      <c r="AB1296" s="662"/>
      <c r="AC1296" s="662"/>
      <c r="AD1296" s="662"/>
      <c r="AE1296" s="662"/>
      <c r="AF1296" s="662"/>
      <c r="AG1296" s="662"/>
      <c r="AH1296" s="662"/>
      <c r="AI1296" s="662"/>
    </row>
    <row r="1297" spans="25:35" s="80" customFormat="1">
      <c r="Y1297" s="662"/>
      <c r="Z1297" s="662"/>
      <c r="AA1297" s="662"/>
      <c r="AB1297" s="662"/>
      <c r="AC1297" s="662"/>
      <c r="AD1297" s="662"/>
      <c r="AE1297" s="662"/>
      <c r="AF1297" s="662"/>
      <c r="AG1297" s="662"/>
      <c r="AH1297" s="662"/>
      <c r="AI1297" s="662"/>
    </row>
    <row r="1298" spans="25:35" s="80" customFormat="1">
      <c r="Y1298" s="662"/>
      <c r="Z1298" s="662"/>
      <c r="AA1298" s="662"/>
      <c r="AB1298" s="662"/>
      <c r="AC1298" s="662"/>
      <c r="AD1298" s="662"/>
      <c r="AE1298" s="662"/>
      <c r="AF1298" s="662"/>
      <c r="AG1298" s="662"/>
      <c r="AH1298" s="662"/>
      <c r="AI1298" s="662"/>
    </row>
    <row r="1299" spans="25:35" s="80" customFormat="1">
      <c r="Y1299" s="662"/>
      <c r="Z1299" s="662"/>
      <c r="AA1299" s="662"/>
      <c r="AB1299" s="662"/>
      <c r="AC1299" s="662"/>
      <c r="AD1299" s="662"/>
      <c r="AE1299" s="662"/>
      <c r="AF1299" s="662"/>
      <c r="AG1299" s="662"/>
      <c r="AH1299" s="662"/>
      <c r="AI1299" s="662"/>
    </row>
    <row r="1300" spans="25:35" s="80" customFormat="1">
      <c r="Y1300" s="662"/>
      <c r="Z1300" s="662"/>
      <c r="AA1300" s="662"/>
      <c r="AB1300" s="662"/>
      <c r="AC1300" s="662"/>
      <c r="AD1300" s="662"/>
      <c r="AE1300" s="662"/>
      <c r="AF1300" s="662"/>
      <c r="AG1300" s="662"/>
      <c r="AH1300" s="662"/>
      <c r="AI1300" s="662"/>
    </row>
    <row r="1301" spans="25:35" s="80" customFormat="1">
      <c r="Y1301" s="662"/>
      <c r="Z1301" s="662"/>
      <c r="AA1301" s="662"/>
      <c r="AB1301" s="662"/>
      <c r="AC1301" s="662"/>
      <c r="AD1301" s="662"/>
      <c r="AE1301" s="662"/>
      <c r="AF1301" s="662"/>
      <c r="AG1301" s="662"/>
      <c r="AH1301" s="662"/>
      <c r="AI1301" s="662"/>
    </row>
    <row r="1302" spans="25:35" s="80" customFormat="1">
      <c r="Y1302" s="662"/>
      <c r="Z1302" s="662"/>
      <c r="AA1302" s="662"/>
      <c r="AB1302" s="662"/>
      <c r="AC1302" s="662"/>
      <c r="AD1302" s="662"/>
      <c r="AE1302" s="662"/>
      <c r="AF1302" s="662"/>
      <c r="AG1302" s="662"/>
      <c r="AH1302" s="662"/>
      <c r="AI1302" s="662"/>
    </row>
    <row r="1303" spans="25:35" s="80" customFormat="1">
      <c r="Y1303" s="662"/>
      <c r="Z1303" s="662"/>
      <c r="AA1303" s="662"/>
      <c r="AB1303" s="662"/>
      <c r="AC1303" s="662"/>
      <c r="AD1303" s="662"/>
      <c r="AE1303" s="662"/>
      <c r="AF1303" s="662"/>
      <c r="AG1303" s="662"/>
      <c r="AH1303" s="662"/>
      <c r="AI1303" s="662"/>
    </row>
    <row r="1304" spans="25:35" s="80" customFormat="1">
      <c r="Y1304" s="662"/>
      <c r="Z1304" s="662"/>
      <c r="AA1304" s="662"/>
      <c r="AB1304" s="662"/>
      <c r="AC1304" s="662"/>
      <c r="AD1304" s="662"/>
      <c r="AE1304" s="662"/>
      <c r="AF1304" s="662"/>
      <c r="AG1304" s="662"/>
      <c r="AH1304" s="662"/>
      <c r="AI1304" s="662"/>
    </row>
    <row r="1305" spans="25:35" s="80" customFormat="1">
      <c r="Y1305" s="662"/>
      <c r="Z1305" s="662"/>
      <c r="AA1305" s="662"/>
      <c r="AB1305" s="662"/>
      <c r="AC1305" s="662"/>
      <c r="AD1305" s="662"/>
      <c r="AE1305" s="662"/>
      <c r="AF1305" s="662"/>
      <c r="AG1305" s="662"/>
      <c r="AH1305" s="662"/>
      <c r="AI1305" s="662"/>
    </row>
    <row r="1306" spans="25:35" s="80" customFormat="1">
      <c r="Y1306" s="662"/>
      <c r="Z1306" s="662"/>
      <c r="AA1306" s="662"/>
      <c r="AB1306" s="662"/>
      <c r="AC1306" s="662"/>
      <c r="AD1306" s="662"/>
      <c r="AE1306" s="662"/>
      <c r="AF1306" s="662"/>
      <c r="AG1306" s="662"/>
      <c r="AH1306" s="662"/>
      <c r="AI1306" s="662"/>
    </row>
    <row r="1307" spans="25:35" s="80" customFormat="1">
      <c r="Y1307" s="662"/>
      <c r="Z1307" s="662"/>
      <c r="AA1307" s="662"/>
      <c r="AB1307" s="662"/>
      <c r="AC1307" s="662"/>
      <c r="AD1307" s="662"/>
      <c r="AE1307" s="662"/>
      <c r="AF1307" s="662"/>
      <c r="AG1307" s="662"/>
      <c r="AH1307" s="662"/>
      <c r="AI1307" s="662"/>
    </row>
    <row r="1308" spans="25:35" s="80" customFormat="1">
      <c r="Y1308" s="662"/>
      <c r="Z1308" s="662"/>
      <c r="AA1308" s="662"/>
      <c r="AB1308" s="662"/>
      <c r="AC1308" s="662"/>
      <c r="AD1308" s="662"/>
      <c r="AE1308" s="662"/>
      <c r="AF1308" s="662"/>
      <c r="AG1308" s="662"/>
      <c r="AH1308" s="662"/>
      <c r="AI1308" s="662"/>
    </row>
    <row r="1309" spans="25:35" s="80" customFormat="1">
      <c r="Y1309" s="662"/>
      <c r="Z1309" s="662"/>
      <c r="AA1309" s="662"/>
      <c r="AB1309" s="662"/>
      <c r="AC1309" s="662"/>
      <c r="AD1309" s="662"/>
      <c r="AE1309" s="662"/>
      <c r="AF1309" s="662"/>
      <c r="AG1309" s="662"/>
      <c r="AH1309" s="662"/>
      <c r="AI1309" s="662"/>
    </row>
    <row r="1310" spans="25:35" s="80" customFormat="1">
      <c r="Y1310" s="662"/>
      <c r="Z1310" s="662"/>
      <c r="AA1310" s="662"/>
      <c r="AB1310" s="662"/>
      <c r="AC1310" s="662"/>
      <c r="AD1310" s="662"/>
      <c r="AE1310" s="662"/>
      <c r="AF1310" s="662"/>
      <c r="AG1310" s="662"/>
      <c r="AH1310" s="662"/>
      <c r="AI1310" s="662"/>
    </row>
    <row r="1311" spans="25:35" s="80" customFormat="1">
      <c r="Y1311" s="662"/>
      <c r="Z1311" s="662"/>
      <c r="AA1311" s="662"/>
      <c r="AB1311" s="662"/>
      <c r="AC1311" s="662"/>
      <c r="AD1311" s="662"/>
      <c r="AE1311" s="662"/>
      <c r="AF1311" s="662"/>
      <c r="AG1311" s="662"/>
      <c r="AH1311" s="662"/>
      <c r="AI1311" s="662"/>
    </row>
    <row r="1312" spans="25:35" s="80" customFormat="1">
      <c r="Y1312" s="662"/>
      <c r="Z1312" s="662"/>
      <c r="AA1312" s="662"/>
      <c r="AB1312" s="662"/>
      <c r="AC1312" s="662"/>
      <c r="AD1312" s="662"/>
      <c r="AE1312" s="662"/>
      <c r="AF1312" s="662"/>
      <c r="AG1312" s="662"/>
      <c r="AH1312" s="662"/>
      <c r="AI1312" s="662"/>
    </row>
    <row r="1313" spans="25:35" s="80" customFormat="1">
      <c r="Y1313" s="662"/>
      <c r="Z1313" s="662"/>
      <c r="AA1313" s="662"/>
      <c r="AB1313" s="662"/>
      <c r="AC1313" s="662"/>
      <c r="AD1313" s="662"/>
      <c r="AE1313" s="662"/>
      <c r="AF1313" s="662"/>
      <c r="AG1313" s="662"/>
      <c r="AH1313" s="662"/>
      <c r="AI1313" s="662"/>
    </row>
    <row r="1314" spans="25:35" s="80" customFormat="1">
      <c r="Y1314" s="662"/>
      <c r="Z1314" s="662"/>
      <c r="AA1314" s="662"/>
      <c r="AB1314" s="662"/>
      <c r="AC1314" s="662"/>
      <c r="AD1314" s="662"/>
      <c r="AE1314" s="662"/>
      <c r="AF1314" s="662"/>
      <c r="AG1314" s="662"/>
      <c r="AH1314" s="662"/>
      <c r="AI1314" s="662"/>
    </row>
    <row r="1315" spans="25:35" s="80" customFormat="1">
      <c r="Y1315" s="662"/>
      <c r="Z1315" s="662"/>
      <c r="AA1315" s="662"/>
      <c r="AB1315" s="662"/>
      <c r="AC1315" s="662"/>
      <c r="AD1315" s="662"/>
      <c r="AE1315" s="662"/>
      <c r="AF1315" s="662"/>
      <c r="AG1315" s="662"/>
      <c r="AH1315" s="662"/>
      <c r="AI1315" s="662"/>
    </row>
    <row r="1316" spans="25:35" s="80" customFormat="1">
      <c r="Y1316" s="662"/>
      <c r="Z1316" s="662"/>
      <c r="AA1316" s="662"/>
      <c r="AB1316" s="662"/>
      <c r="AC1316" s="662"/>
      <c r="AD1316" s="662"/>
      <c r="AE1316" s="662"/>
      <c r="AF1316" s="662"/>
      <c r="AG1316" s="662"/>
      <c r="AH1316" s="662"/>
      <c r="AI1316" s="662"/>
    </row>
    <row r="1317" spans="25:35" s="80" customFormat="1">
      <c r="Y1317" s="662"/>
      <c r="Z1317" s="662"/>
      <c r="AA1317" s="662"/>
      <c r="AB1317" s="662"/>
      <c r="AC1317" s="662"/>
      <c r="AD1317" s="662"/>
      <c r="AE1317" s="662"/>
      <c r="AF1317" s="662"/>
      <c r="AG1317" s="662"/>
      <c r="AH1317" s="662"/>
      <c r="AI1317" s="662"/>
    </row>
    <row r="1318" spans="25:35" s="80" customFormat="1">
      <c r="Y1318" s="662"/>
      <c r="Z1318" s="662"/>
      <c r="AA1318" s="662"/>
      <c r="AB1318" s="662"/>
      <c r="AC1318" s="662"/>
      <c r="AD1318" s="662"/>
      <c r="AE1318" s="662"/>
      <c r="AF1318" s="662"/>
      <c r="AG1318" s="662"/>
      <c r="AH1318" s="662"/>
      <c r="AI1318" s="662"/>
    </row>
    <row r="1319" spans="25:35" s="80" customFormat="1">
      <c r="Y1319" s="662"/>
      <c r="Z1319" s="662"/>
      <c r="AA1319" s="662"/>
      <c r="AB1319" s="662"/>
      <c r="AC1319" s="662"/>
      <c r="AD1319" s="662"/>
      <c r="AE1319" s="662"/>
      <c r="AF1319" s="662"/>
      <c r="AG1319" s="662"/>
      <c r="AH1319" s="662"/>
      <c r="AI1319" s="662"/>
    </row>
    <row r="1320" spans="25:35" s="80" customFormat="1">
      <c r="Y1320" s="662"/>
      <c r="Z1320" s="662"/>
      <c r="AA1320" s="662"/>
      <c r="AB1320" s="662"/>
      <c r="AC1320" s="662"/>
      <c r="AD1320" s="662"/>
      <c r="AE1320" s="662"/>
      <c r="AF1320" s="662"/>
      <c r="AG1320" s="662"/>
      <c r="AH1320" s="662"/>
      <c r="AI1320" s="662"/>
    </row>
    <row r="1321" spans="25:35" s="80" customFormat="1">
      <c r="Y1321" s="662"/>
      <c r="Z1321" s="662"/>
      <c r="AA1321" s="662"/>
      <c r="AB1321" s="662"/>
      <c r="AC1321" s="662"/>
      <c r="AD1321" s="662"/>
      <c r="AE1321" s="662"/>
      <c r="AF1321" s="662"/>
      <c r="AG1321" s="662"/>
      <c r="AH1321" s="662"/>
      <c r="AI1321" s="662"/>
    </row>
    <row r="1322" spans="25:35" s="80" customFormat="1">
      <c r="Y1322" s="662"/>
      <c r="Z1322" s="662"/>
      <c r="AA1322" s="662"/>
      <c r="AB1322" s="662"/>
      <c r="AC1322" s="662"/>
      <c r="AD1322" s="662"/>
      <c r="AE1322" s="662"/>
      <c r="AF1322" s="662"/>
      <c r="AG1322" s="662"/>
      <c r="AH1322" s="662"/>
      <c r="AI1322" s="662"/>
    </row>
    <row r="1323" spans="25:35" s="80" customFormat="1">
      <c r="Y1323" s="662"/>
      <c r="Z1323" s="662"/>
      <c r="AA1323" s="662"/>
      <c r="AB1323" s="662"/>
      <c r="AC1323" s="662"/>
      <c r="AD1323" s="662"/>
      <c r="AE1323" s="662"/>
      <c r="AF1323" s="662"/>
      <c r="AG1323" s="662"/>
      <c r="AH1323" s="662"/>
      <c r="AI1323" s="662"/>
    </row>
    <row r="1324" spans="25:35" s="80" customFormat="1">
      <c r="Y1324" s="662"/>
      <c r="Z1324" s="662"/>
      <c r="AA1324" s="662"/>
      <c r="AB1324" s="662"/>
      <c r="AC1324" s="662"/>
      <c r="AD1324" s="662"/>
      <c r="AE1324" s="662"/>
      <c r="AF1324" s="662"/>
      <c r="AG1324" s="662"/>
      <c r="AH1324" s="662"/>
      <c r="AI1324" s="662"/>
    </row>
    <row r="1325" spans="25:35" s="80" customFormat="1">
      <c r="Y1325" s="662"/>
      <c r="Z1325" s="662"/>
      <c r="AA1325" s="662"/>
      <c r="AB1325" s="662"/>
      <c r="AC1325" s="662"/>
      <c r="AD1325" s="662"/>
      <c r="AE1325" s="662"/>
      <c r="AF1325" s="662"/>
      <c r="AG1325" s="662"/>
      <c r="AH1325" s="662"/>
      <c r="AI1325" s="662"/>
    </row>
    <row r="1326" spans="25:35" s="80" customFormat="1">
      <c r="Y1326" s="662"/>
      <c r="Z1326" s="662"/>
      <c r="AA1326" s="662"/>
      <c r="AB1326" s="662"/>
      <c r="AC1326" s="662"/>
      <c r="AD1326" s="662"/>
      <c r="AE1326" s="662"/>
      <c r="AF1326" s="662"/>
      <c r="AG1326" s="662"/>
      <c r="AH1326" s="662"/>
      <c r="AI1326" s="662"/>
    </row>
    <row r="1327" spans="25:35" s="80" customFormat="1">
      <c r="Y1327" s="662"/>
      <c r="Z1327" s="662"/>
      <c r="AA1327" s="662"/>
      <c r="AB1327" s="662"/>
      <c r="AC1327" s="662"/>
      <c r="AD1327" s="662"/>
      <c r="AE1327" s="662"/>
      <c r="AF1327" s="662"/>
      <c r="AG1327" s="662"/>
      <c r="AH1327" s="662"/>
      <c r="AI1327" s="662"/>
    </row>
    <row r="1328" spans="25:35" s="80" customFormat="1">
      <c r="Y1328" s="662"/>
      <c r="Z1328" s="662"/>
      <c r="AA1328" s="662"/>
      <c r="AB1328" s="662"/>
      <c r="AC1328" s="662"/>
      <c r="AD1328" s="662"/>
      <c r="AE1328" s="662"/>
      <c r="AF1328" s="662"/>
      <c r="AG1328" s="662"/>
      <c r="AH1328" s="662"/>
      <c r="AI1328" s="662"/>
    </row>
    <row r="1329" spans="25:35" s="80" customFormat="1">
      <c r="Y1329" s="662"/>
      <c r="Z1329" s="662"/>
      <c r="AA1329" s="662"/>
      <c r="AB1329" s="662"/>
      <c r="AC1329" s="662"/>
      <c r="AD1329" s="662"/>
      <c r="AE1329" s="662"/>
      <c r="AF1329" s="662"/>
      <c r="AG1329" s="662"/>
      <c r="AH1329" s="662"/>
      <c r="AI1329" s="662"/>
    </row>
    <row r="1330" spans="25:35" s="80" customFormat="1">
      <c r="Y1330" s="662"/>
      <c r="Z1330" s="662"/>
      <c r="AA1330" s="662"/>
      <c r="AB1330" s="662"/>
      <c r="AC1330" s="662"/>
      <c r="AD1330" s="662"/>
      <c r="AE1330" s="662"/>
      <c r="AF1330" s="662"/>
      <c r="AG1330" s="662"/>
      <c r="AH1330" s="662"/>
      <c r="AI1330" s="662"/>
    </row>
    <row r="1331" spans="25:35" s="80" customFormat="1">
      <c r="Y1331" s="662"/>
      <c r="Z1331" s="662"/>
      <c r="AA1331" s="662"/>
      <c r="AB1331" s="662"/>
      <c r="AC1331" s="662"/>
      <c r="AD1331" s="662"/>
      <c r="AE1331" s="662"/>
      <c r="AF1331" s="662"/>
      <c r="AG1331" s="662"/>
      <c r="AH1331" s="662"/>
      <c r="AI1331" s="662"/>
    </row>
    <row r="1332" spans="25:35" s="80" customFormat="1">
      <c r="Y1332" s="662"/>
      <c r="Z1332" s="662"/>
      <c r="AA1332" s="662"/>
      <c r="AB1332" s="662"/>
      <c r="AC1332" s="662"/>
      <c r="AD1332" s="662"/>
      <c r="AE1332" s="662"/>
      <c r="AF1332" s="662"/>
      <c r="AG1332" s="662"/>
      <c r="AH1332" s="662"/>
      <c r="AI1332" s="662"/>
    </row>
    <row r="1333" spans="25:35" s="80" customFormat="1">
      <c r="Y1333" s="662"/>
      <c r="Z1333" s="662"/>
      <c r="AA1333" s="662"/>
      <c r="AB1333" s="662"/>
      <c r="AC1333" s="662"/>
      <c r="AD1333" s="662"/>
      <c r="AE1333" s="662"/>
      <c r="AF1333" s="662"/>
      <c r="AG1333" s="662"/>
      <c r="AH1333" s="662"/>
      <c r="AI1333" s="662"/>
    </row>
    <row r="1334" spans="25:35" s="80" customFormat="1">
      <c r="Y1334" s="662"/>
      <c r="Z1334" s="662"/>
      <c r="AA1334" s="662"/>
      <c r="AB1334" s="662"/>
      <c r="AC1334" s="662"/>
      <c r="AD1334" s="662"/>
      <c r="AE1334" s="662"/>
      <c r="AF1334" s="662"/>
      <c r="AG1334" s="662"/>
      <c r="AH1334" s="662"/>
      <c r="AI1334" s="662"/>
    </row>
    <row r="1335" spans="25:35" s="80" customFormat="1">
      <c r="Y1335" s="662"/>
      <c r="Z1335" s="662"/>
      <c r="AA1335" s="662"/>
      <c r="AB1335" s="662"/>
      <c r="AC1335" s="662"/>
      <c r="AD1335" s="662"/>
      <c r="AE1335" s="662"/>
      <c r="AF1335" s="662"/>
      <c r="AG1335" s="662"/>
      <c r="AH1335" s="662"/>
      <c r="AI1335" s="662"/>
    </row>
    <row r="1336" spans="25:35" s="80" customFormat="1">
      <c r="Y1336" s="662"/>
      <c r="Z1336" s="662"/>
      <c r="AA1336" s="662"/>
      <c r="AB1336" s="662"/>
      <c r="AC1336" s="662"/>
      <c r="AD1336" s="662"/>
      <c r="AE1336" s="662"/>
      <c r="AF1336" s="662"/>
      <c r="AG1336" s="662"/>
      <c r="AH1336" s="662"/>
      <c r="AI1336" s="662"/>
    </row>
    <row r="1337" spans="25:35" s="80" customFormat="1">
      <c r="Y1337" s="662"/>
      <c r="Z1337" s="662"/>
      <c r="AA1337" s="662"/>
      <c r="AB1337" s="662"/>
      <c r="AC1337" s="662"/>
      <c r="AD1337" s="662"/>
      <c r="AE1337" s="662"/>
      <c r="AF1337" s="662"/>
      <c r="AG1337" s="662"/>
      <c r="AH1337" s="662"/>
      <c r="AI1337" s="662"/>
    </row>
    <row r="1338" spans="25:35" s="80" customFormat="1">
      <c r="Y1338" s="662"/>
      <c r="Z1338" s="662"/>
      <c r="AA1338" s="662"/>
      <c r="AB1338" s="662"/>
      <c r="AC1338" s="662"/>
      <c r="AD1338" s="662"/>
      <c r="AE1338" s="662"/>
      <c r="AF1338" s="662"/>
      <c r="AG1338" s="662"/>
      <c r="AH1338" s="662"/>
      <c r="AI1338" s="662"/>
    </row>
    <row r="1339" spans="25:35" s="80" customFormat="1">
      <c r="Y1339" s="662"/>
      <c r="Z1339" s="662"/>
      <c r="AA1339" s="662"/>
      <c r="AB1339" s="662"/>
      <c r="AC1339" s="662"/>
      <c r="AD1339" s="662"/>
      <c r="AE1339" s="662"/>
      <c r="AF1339" s="662"/>
      <c r="AG1339" s="662"/>
      <c r="AH1339" s="662"/>
      <c r="AI1339" s="662"/>
    </row>
    <row r="1340" spans="25:35" s="80" customFormat="1">
      <c r="Y1340" s="662"/>
      <c r="Z1340" s="662"/>
      <c r="AA1340" s="662"/>
      <c r="AB1340" s="662"/>
      <c r="AC1340" s="662"/>
      <c r="AD1340" s="662"/>
      <c r="AE1340" s="662"/>
      <c r="AF1340" s="662"/>
      <c r="AG1340" s="662"/>
      <c r="AH1340" s="662"/>
      <c r="AI1340" s="662"/>
    </row>
    <row r="1341" spans="25:35" s="80" customFormat="1">
      <c r="Y1341" s="662"/>
      <c r="Z1341" s="662"/>
      <c r="AA1341" s="662"/>
      <c r="AB1341" s="662"/>
      <c r="AC1341" s="662"/>
      <c r="AD1341" s="662"/>
      <c r="AE1341" s="662"/>
      <c r="AF1341" s="662"/>
      <c r="AG1341" s="662"/>
      <c r="AH1341" s="662"/>
      <c r="AI1341" s="662"/>
    </row>
    <row r="1342" spans="25:35" s="80" customFormat="1">
      <c r="Y1342" s="662"/>
      <c r="Z1342" s="662"/>
      <c r="AA1342" s="662"/>
      <c r="AB1342" s="662"/>
      <c r="AC1342" s="662"/>
      <c r="AD1342" s="662"/>
      <c r="AE1342" s="662"/>
      <c r="AF1342" s="662"/>
      <c r="AG1342" s="662"/>
      <c r="AH1342" s="662"/>
      <c r="AI1342" s="662"/>
    </row>
    <row r="1343" spans="25:35" s="80" customFormat="1">
      <c r="Y1343" s="662"/>
      <c r="Z1343" s="662"/>
      <c r="AA1343" s="662"/>
      <c r="AB1343" s="662"/>
      <c r="AC1343" s="662"/>
      <c r="AD1343" s="662"/>
      <c r="AE1343" s="662"/>
      <c r="AF1343" s="662"/>
      <c r="AG1343" s="662"/>
      <c r="AH1343" s="662"/>
      <c r="AI1343" s="662"/>
    </row>
    <row r="1344" spans="25:35" s="80" customFormat="1">
      <c r="Y1344" s="662"/>
      <c r="Z1344" s="662"/>
      <c r="AA1344" s="662"/>
      <c r="AB1344" s="662"/>
      <c r="AC1344" s="662"/>
      <c r="AD1344" s="662"/>
      <c r="AE1344" s="662"/>
      <c r="AF1344" s="662"/>
      <c r="AG1344" s="662"/>
      <c r="AH1344" s="662"/>
      <c r="AI1344" s="662"/>
    </row>
    <row r="1345" spans="25:35" s="80" customFormat="1">
      <c r="Y1345" s="662"/>
      <c r="Z1345" s="662"/>
      <c r="AA1345" s="662"/>
      <c r="AB1345" s="662"/>
      <c r="AC1345" s="662"/>
      <c r="AD1345" s="662"/>
      <c r="AE1345" s="662"/>
      <c r="AF1345" s="662"/>
      <c r="AG1345" s="662"/>
      <c r="AH1345" s="662"/>
      <c r="AI1345" s="662"/>
    </row>
    <row r="1346" spans="25:35" s="80" customFormat="1">
      <c r="Y1346" s="662"/>
      <c r="Z1346" s="662"/>
      <c r="AA1346" s="662"/>
      <c r="AB1346" s="662"/>
      <c r="AC1346" s="662"/>
      <c r="AD1346" s="662"/>
      <c r="AE1346" s="662"/>
      <c r="AF1346" s="662"/>
      <c r="AG1346" s="662"/>
      <c r="AH1346" s="662"/>
      <c r="AI1346" s="662"/>
    </row>
    <row r="1347" spans="25:35" s="80" customFormat="1">
      <c r="Y1347" s="662"/>
      <c r="Z1347" s="662"/>
      <c r="AA1347" s="662"/>
      <c r="AB1347" s="662"/>
      <c r="AC1347" s="662"/>
      <c r="AD1347" s="662"/>
      <c r="AE1347" s="662"/>
      <c r="AF1347" s="662"/>
      <c r="AG1347" s="662"/>
      <c r="AH1347" s="662"/>
      <c r="AI1347" s="662"/>
    </row>
    <row r="1348" spans="25:35" s="80" customFormat="1">
      <c r="Y1348" s="662"/>
      <c r="Z1348" s="662"/>
      <c r="AA1348" s="662"/>
      <c r="AB1348" s="662"/>
      <c r="AC1348" s="662"/>
      <c r="AD1348" s="662"/>
      <c r="AE1348" s="662"/>
      <c r="AF1348" s="662"/>
      <c r="AG1348" s="662"/>
      <c r="AH1348" s="662"/>
      <c r="AI1348" s="662"/>
    </row>
    <row r="1349" spans="25:35" s="80" customFormat="1">
      <c r="Y1349" s="662"/>
      <c r="Z1349" s="662"/>
      <c r="AA1349" s="662"/>
      <c r="AB1349" s="662"/>
      <c r="AC1349" s="662"/>
      <c r="AD1349" s="662"/>
      <c r="AE1349" s="662"/>
      <c r="AF1349" s="662"/>
      <c r="AG1349" s="662"/>
      <c r="AH1349" s="662"/>
      <c r="AI1349" s="662"/>
    </row>
    <row r="1350" spans="25:35" s="80" customFormat="1">
      <c r="Y1350" s="662"/>
      <c r="Z1350" s="662"/>
      <c r="AA1350" s="662"/>
      <c r="AB1350" s="662"/>
      <c r="AC1350" s="662"/>
      <c r="AD1350" s="662"/>
      <c r="AE1350" s="662"/>
      <c r="AF1350" s="662"/>
      <c r="AG1350" s="662"/>
      <c r="AH1350" s="662"/>
      <c r="AI1350" s="662"/>
    </row>
    <row r="1351" spans="25:35" s="80" customFormat="1">
      <c r="Y1351" s="662"/>
      <c r="Z1351" s="662"/>
      <c r="AA1351" s="662"/>
      <c r="AB1351" s="662"/>
      <c r="AC1351" s="662"/>
      <c r="AD1351" s="662"/>
      <c r="AE1351" s="662"/>
      <c r="AF1351" s="662"/>
      <c r="AG1351" s="662"/>
      <c r="AH1351" s="662"/>
      <c r="AI1351" s="662"/>
    </row>
    <row r="1352" spans="25:35" s="80" customFormat="1">
      <c r="Y1352" s="662"/>
      <c r="Z1352" s="662"/>
      <c r="AA1352" s="662"/>
      <c r="AB1352" s="662"/>
      <c r="AC1352" s="662"/>
      <c r="AD1352" s="662"/>
      <c r="AE1352" s="662"/>
      <c r="AF1352" s="662"/>
      <c r="AG1352" s="662"/>
      <c r="AH1352" s="662"/>
      <c r="AI1352" s="662"/>
    </row>
    <row r="1353" spans="25:35" s="80" customFormat="1">
      <c r="Y1353" s="662"/>
      <c r="Z1353" s="662"/>
      <c r="AA1353" s="662"/>
      <c r="AB1353" s="662"/>
      <c r="AC1353" s="662"/>
      <c r="AD1353" s="662"/>
      <c r="AE1353" s="662"/>
      <c r="AF1353" s="662"/>
      <c r="AG1353" s="662"/>
      <c r="AH1353" s="662"/>
      <c r="AI1353" s="662"/>
    </row>
    <row r="1354" spans="25:35" s="80" customFormat="1">
      <c r="Y1354" s="662"/>
      <c r="Z1354" s="662"/>
      <c r="AA1354" s="662"/>
      <c r="AB1354" s="662"/>
      <c r="AC1354" s="662"/>
      <c r="AD1354" s="662"/>
      <c r="AE1354" s="662"/>
      <c r="AF1354" s="662"/>
      <c r="AG1354" s="662"/>
      <c r="AH1354" s="662"/>
      <c r="AI1354" s="662"/>
    </row>
    <row r="1355" spans="25:35" s="80" customFormat="1">
      <c r="Y1355" s="662"/>
      <c r="Z1355" s="662"/>
      <c r="AA1355" s="662"/>
      <c r="AB1355" s="662"/>
      <c r="AC1355" s="662"/>
      <c r="AD1355" s="662"/>
      <c r="AE1355" s="662"/>
      <c r="AF1355" s="662"/>
      <c r="AG1355" s="662"/>
      <c r="AH1355" s="662"/>
      <c r="AI1355" s="662"/>
    </row>
    <row r="1356" spans="25:35" s="80" customFormat="1">
      <c r="Y1356" s="662"/>
      <c r="Z1356" s="662"/>
      <c r="AA1356" s="662"/>
      <c r="AB1356" s="662"/>
      <c r="AC1356" s="662"/>
      <c r="AD1356" s="662"/>
      <c r="AE1356" s="662"/>
      <c r="AF1356" s="662"/>
      <c r="AG1356" s="662"/>
      <c r="AH1356" s="662"/>
      <c r="AI1356" s="662"/>
    </row>
    <row r="1357" spans="25:35" s="80" customFormat="1">
      <c r="Y1357" s="662"/>
      <c r="Z1357" s="662"/>
      <c r="AA1357" s="662"/>
      <c r="AB1357" s="662"/>
      <c r="AC1357" s="662"/>
      <c r="AD1357" s="662"/>
      <c r="AE1357" s="662"/>
      <c r="AF1357" s="662"/>
      <c r="AG1357" s="662"/>
      <c r="AH1357" s="662"/>
      <c r="AI1357" s="662"/>
    </row>
    <row r="1358" spans="25:35" s="80" customFormat="1">
      <c r="Y1358" s="662"/>
      <c r="Z1358" s="662"/>
      <c r="AA1358" s="662"/>
      <c r="AB1358" s="662"/>
      <c r="AC1358" s="662"/>
      <c r="AD1358" s="662"/>
      <c r="AE1358" s="662"/>
      <c r="AF1358" s="662"/>
      <c r="AG1358" s="662"/>
      <c r="AH1358" s="662"/>
      <c r="AI1358" s="662"/>
    </row>
    <row r="1359" spans="25:35" s="80" customFormat="1">
      <c r="Y1359" s="662"/>
      <c r="Z1359" s="662"/>
      <c r="AA1359" s="662"/>
      <c r="AB1359" s="662"/>
      <c r="AC1359" s="662"/>
      <c r="AD1359" s="662"/>
      <c r="AE1359" s="662"/>
      <c r="AF1359" s="662"/>
      <c r="AG1359" s="662"/>
      <c r="AH1359" s="662"/>
      <c r="AI1359" s="662"/>
    </row>
    <row r="1360" spans="25:35" s="80" customFormat="1">
      <c r="Y1360" s="662"/>
      <c r="Z1360" s="662"/>
      <c r="AA1360" s="662"/>
      <c r="AB1360" s="662"/>
      <c r="AC1360" s="662"/>
      <c r="AD1360" s="662"/>
      <c r="AE1360" s="662"/>
      <c r="AF1360" s="662"/>
      <c r="AG1360" s="662"/>
      <c r="AH1360" s="662"/>
      <c r="AI1360" s="662"/>
    </row>
    <row r="1361" spans="25:35" s="80" customFormat="1">
      <c r="Y1361" s="662"/>
      <c r="Z1361" s="662"/>
      <c r="AA1361" s="662"/>
      <c r="AB1361" s="662"/>
      <c r="AC1361" s="662"/>
      <c r="AD1361" s="662"/>
      <c r="AE1361" s="662"/>
      <c r="AF1361" s="662"/>
      <c r="AG1361" s="662"/>
      <c r="AH1361" s="662"/>
      <c r="AI1361" s="662"/>
    </row>
    <row r="1362" spans="25:35" s="80" customFormat="1">
      <c r="Y1362" s="662"/>
      <c r="Z1362" s="662"/>
      <c r="AA1362" s="662"/>
      <c r="AB1362" s="662"/>
      <c r="AC1362" s="662"/>
      <c r="AD1362" s="662"/>
      <c r="AE1362" s="662"/>
      <c r="AF1362" s="662"/>
      <c r="AG1362" s="662"/>
      <c r="AH1362" s="662"/>
      <c r="AI1362" s="662"/>
    </row>
    <row r="1363" spans="25:35" s="80" customFormat="1">
      <c r="Y1363" s="662"/>
      <c r="Z1363" s="662"/>
      <c r="AA1363" s="662"/>
      <c r="AB1363" s="662"/>
      <c r="AC1363" s="662"/>
      <c r="AD1363" s="662"/>
      <c r="AE1363" s="662"/>
      <c r="AF1363" s="662"/>
      <c r="AG1363" s="662"/>
      <c r="AH1363" s="662"/>
      <c r="AI1363" s="662"/>
    </row>
    <row r="1364" spans="25:35" s="80" customFormat="1">
      <c r="Y1364" s="662"/>
      <c r="Z1364" s="662"/>
      <c r="AA1364" s="662"/>
      <c r="AB1364" s="662"/>
      <c r="AC1364" s="662"/>
      <c r="AD1364" s="662"/>
      <c r="AE1364" s="662"/>
      <c r="AF1364" s="662"/>
      <c r="AG1364" s="662"/>
      <c r="AH1364" s="662"/>
      <c r="AI1364" s="662"/>
    </row>
    <row r="1365" spans="25:35" s="80" customFormat="1">
      <c r="Y1365" s="662"/>
      <c r="Z1365" s="662"/>
      <c r="AA1365" s="662"/>
      <c r="AB1365" s="662"/>
      <c r="AC1365" s="662"/>
      <c r="AD1365" s="662"/>
      <c r="AE1365" s="662"/>
      <c r="AF1365" s="662"/>
      <c r="AG1365" s="662"/>
      <c r="AH1365" s="662"/>
      <c r="AI1365" s="662"/>
    </row>
    <row r="1366" spans="25:35" s="80" customFormat="1">
      <c r="Y1366" s="662"/>
      <c r="Z1366" s="662"/>
      <c r="AA1366" s="662"/>
      <c r="AB1366" s="662"/>
      <c r="AC1366" s="662"/>
      <c r="AD1366" s="662"/>
      <c r="AE1366" s="662"/>
      <c r="AF1366" s="662"/>
      <c r="AG1366" s="662"/>
      <c r="AH1366" s="662"/>
      <c r="AI1366" s="662"/>
    </row>
    <row r="1367" spans="25:35" s="80" customFormat="1">
      <c r="Y1367" s="662"/>
      <c r="Z1367" s="662"/>
      <c r="AA1367" s="662"/>
      <c r="AB1367" s="662"/>
      <c r="AC1367" s="662"/>
      <c r="AD1367" s="662"/>
      <c r="AE1367" s="662"/>
      <c r="AF1367" s="662"/>
      <c r="AG1367" s="662"/>
      <c r="AH1367" s="662"/>
      <c r="AI1367" s="662"/>
    </row>
    <row r="1368" spans="25:35" s="80" customFormat="1">
      <c r="Y1368" s="662"/>
      <c r="Z1368" s="662"/>
      <c r="AA1368" s="662"/>
      <c r="AB1368" s="662"/>
      <c r="AC1368" s="662"/>
      <c r="AD1368" s="662"/>
      <c r="AE1368" s="662"/>
      <c r="AF1368" s="662"/>
      <c r="AG1368" s="662"/>
      <c r="AH1368" s="662"/>
      <c r="AI1368" s="662"/>
    </row>
    <row r="1369" spans="25:35" s="80" customFormat="1">
      <c r="Y1369" s="662"/>
      <c r="Z1369" s="662"/>
      <c r="AA1369" s="662"/>
      <c r="AB1369" s="662"/>
      <c r="AC1369" s="662"/>
      <c r="AD1369" s="662"/>
      <c r="AE1369" s="662"/>
      <c r="AF1369" s="662"/>
      <c r="AG1369" s="662"/>
      <c r="AH1369" s="662"/>
      <c r="AI1369" s="662"/>
    </row>
    <row r="1370" spans="25:35" s="80" customFormat="1">
      <c r="Y1370" s="662"/>
      <c r="Z1370" s="662"/>
      <c r="AA1370" s="662"/>
      <c r="AB1370" s="662"/>
      <c r="AC1370" s="662"/>
      <c r="AD1370" s="662"/>
      <c r="AE1370" s="662"/>
      <c r="AF1370" s="662"/>
      <c r="AG1370" s="662"/>
      <c r="AH1370" s="662"/>
      <c r="AI1370" s="662"/>
    </row>
    <row r="1371" spans="25:35" s="80" customFormat="1">
      <c r="Y1371" s="662"/>
      <c r="Z1371" s="662"/>
      <c r="AA1371" s="662"/>
      <c r="AB1371" s="662"/>
      <c r="AC1371" s="662"/>
      <c r="AD1371" s="662"/>
      <c r="AE1371" s="662"/>
      <c r="AF1371" s="662"/>
      <c r="AG1371" s="662"/>
      <c r="AH1371" s="662"/>
      <c r="AI1371" s="662"/>
    </row>
    <row r="1372" spans="25:35" s="80" customFormat="1">
      <c r="Y1372" s="662"/>
      <c r="Z1372" s="662"/>
      <c r="AA1372" s="662"/>
      <c r="AB1372" s="662"/>
      <c r="AC1372" s="662"/>
      <c r="AD1372" s="662"/>
      <c r="AE1372" s="662"/>
      <c r="AF1372" s="662"/>
      <c r="AG1372" s="662"/>
      <c r="AH1372" s="662"/>
      <c r="AI1372" s="662"/>
    </row>
    <row r="1373" spans="25:35" s="80" customFormat="1">
      <c r="Y1373" s="662"/>
      <c r="Z1373" s="662"/>
      <c r="AA1373" s="662"/>
      <c r="AB1373" s="662"/>
      <c r="AC1373" s="662"/>
      <c r="AD1373" s="662"/>
      <c r="AE1373" s="662"/>
      <c r="AF1373" s="662"/>
      <c r="AG1373" s="662"/>
      <c r="AH1373" s="662"/>
      <c r="AI1373" s="662"/>
    </row>
    <row r="1374" spans="25:35" s="80" customFormat="1">
      <c r="Y1374" s="662"/>
      <c r="Z1374" s="662"/>
      <c r="AA1374" s="662"/>
      <c r="AB1374" s="662"/>
      <c r="AC1374" s="662"/>
      <c r="AD1374" s="662"/>
      <c r="AE1374" s="662"/>
      <c r="AF1374" s="662"/>
      <c r="AG1374" s="662"/>
      <c r="AH1374" s="662"/>
      <c r="AI1374" s="662"/>
    </row>
    <row r="1375" spans="25:35" s="80" customFormat="1">
      <c r="Y1375" s="662"/>
      <c r="Z1375" s="662"/>
      <c r="AA1375" s="662"/>
      <c r="AB1375" s="662"/>
      <c r="AC1375" s="662"/>
      <c r="AD1375" s="662"/>
      <c r="AE1375" s="662"/>
      <c r="AF1375" s="662"/>
      <c r="AG1375" s="662"/>
      <c r="AH1375" s="662"/>
      <c r="AI1375" s="662"/>
    </row>
    <row r="1376" spans="25:35" s="80" customFormat="1">
      <c r="Y1376" s="662"/>
      <c r="Z1376" s="662"/>
      <c r="AA1376" s="662"/>
      <c r="AB1376" s="662"/>
      <c r="AC1376" s="662"/>
      <c r="AD1376" s="662"/>
      <c r="AE1376" s="662"/>
      <c r="AF1376" s="662"/>
      <c r="AG1376" s="662"/>
      <c r="AH1376" s="662"/>
      <c r="AI1376" s="662"/>
    </row>
    <row r="1377" spans="25:35" s="80" customFormat="1">
      <c r="Y1377" s="662"/>
      <c r="Z1377" s="662"/>
      <c r="AA1377" s="662"/>
      <c r="AB1377" s="662"/>
      <c r="AC1377" s="662"/>
      <c r="AD1377" s="662"/>
      <c r="AE1377" s="662"/>
      <c r="AF1377" s="662"/>
      <c r="AG1377" s="662"/>
      <c r="AH1377" s="662"/>
      <c r="AI1377" s="662"/>
    </row>
    <row r="1378" spans="25:35" s="80" customFormat="1">
      <c r="Y1378" s="662"/>
      <c r="Z1378" s="662"/>
      <c r="AA1378" s="662"/>
      <c r="AB1378" s="662"/>
      <c r="AC1378" s="662"/>
      <c r="AD1378" s="662"/>
      <c r="AE1378" s="662"/>
      <c r="AF1378" s="662"/>
      <c r="AG1378" s="662"/>
      <c r="AH1378" s="662"/>
      <c r="AI1378" s="662"/>
    </row>
    <row r="1379" spans="25:35" s="80" customFormat="1">
      <c r="Y1379" s="662"/>
      <c r="Z1379" s="662"/>
      <c r="AA1379" s="662"/>
      <c r="AB1379" s="662"/>
      <c r="AC1379" s="662"/>
      <c r="AD1379" s="662"/>
      <c r="AE1379" s="662"/>
      <c r="AF1379" s="662"/>
      <c r="AG1379" s="662"/>
      <c r="AH1379" s="662"/>
      <c r="AI1379" s="662"/>
    </row>
    <row r="1380" spans="25:35" s="80" customFormat="1">
      <c r="Y1380" s="662"/>
      <c r="Z1380" s="662"/>
      <c r="AA1380" s="662"/>
      <c r="AB1380" s="662"/>
      <c r="AC1380" s="662"/>
      <c r="AD1380" s="662"/>
      <c r="AE1380" s="662"/>
      <c r="AF1380" s="662"/>
      <c r="AG1380" s="662"/>
      <c r="AH1380" s="662"/>
      <c r="AI1380" s="662"/>
    </row>
    <row r="1381" spans="25:35" s="80" customFormat="1">
      <c r="Y1381" s="662"/>
      <c r="Z1381" s="662"/>
      <c r="AA1381" s="662"/>
      <c r="AB1381" s="662"/>
      <c r="AC1381" s="662"/>
      <c r="AD1381" s="662"/>
      <c r="AE1381" s="662"/>
      <c r="AF1381" s="662"/>
      <c r="AG1381" s="662"/>
      <c r="AH1381" s="662"/>
      <c r="AI1381" s="662"/>
    </row>
    <row r="1382" spans="25:35" s="80" customFormat="1">
      <c r="Y1382" s="662"/>
      <c r="Z1382" s="662"/>
      <c r="AA1382" s="662"/>
      <c r="AB1382" s="662"/>
      <c r="AC1382" s="662"/>
      <c r="AD1382" s="662"/>
      <c r="AE1382" s="662"/>
      <c r="AF1382" s="662"/>
      <c r="AG1382" s="662"/>
      <c r="AH1382" s="662"/>
      <c r="AI1382" s="662"/>
    </row>
    <row r="1383" spans="25:35" s="80" customFormat="1">
      <c r="Y1383" s="662"/>
      <c r="Z1383" s="662"/>
      <c r="AA1383" s="662"/>
      <c r="AB1383" s="662"/>
      <c r="AC1383" s="662"/>
      <c r="AD1383" s="662"/>
      <c r="AE1383" s="662"/>
      <c r="AF1383" s="662"/>
      <c r="AG1383" s="662"/>
      <c r="AH1383" s="662"/>
      <c r="AI1383" s="662"/>
    </row>
    <row r="1384" spans="25:35" s="80" customFormat="1">
      <c r="Y1384" s="662"/>
      <c r="Z1384" s="662"/>
      <c r="AA1384" s="662"/>
      <c r="AB1384" s="662"/>
      <c r="AC1384" s="662"/>
      <c r="AD1384" s="662"/>
      <c r="AE1384" s="662"/>
      <c r="AF1384" s="662"/>
      <c r="AG1384" s="662"/>
      <c r="AH1384" s="662"/>
      <c r="AI1384" s="662"/>
    </row>
    <row r="1385" spans="25:35" s="80" customFormat="1">
      <c r="Y1385" s="662"/>
      <c r="Z1385" s="662"/>
      <c r="AA1385" s="662"/>
      <c r="AB1385" s="662"/>
      <c r="AC1385" s="662"/>
      <c r="AD1385" s="662"/>
      <c r="AE1385" s="662"/>
      <c r="AF1385" s="662"/>
      <c r="AG1385" s="662"/>
      <c r="AH1385" s="662"/>
      <c r="AI1385" s="662"/>
    </row>
    <row r="1386" spans="25:35" s="80" customFormat="1">
      <c r="Y1386" s="662"/>
      <c r="Z1386" s="662"/>
      <c r="AA1386" s="662"/>
      <c r="AB1386" s="662"/>
      <c r="AC1386" s="662"/>
      <c r="AD1386" s="662"/>
      <c r="AE1386" s="662"/>
      <c r="AF1386" s="662"/>
      <c r="AG1386" s="662"/>
      <c r="AH1386" s="662"/>
      <c r="AI1386" s="662"/>
    </row>
    <row r="1387" spans="25:35" s="80" customFormat="1">
      <c r="Y1387" s="662"/>
      <c r="Z1387" s="662"/>
      <c r="AA1387" s="662"/>
      <c r="AB1387" s="662"/>
      <c r="AC1387" s="662"/>
      <c r="AD1387" s="662"/>
      <c r="AE1387" s="662"/>
      <c r="AF1387" s="662"/>
      <c r="AG1387" s="662"/>
      <c r="AH1387" s="662"/>
      <c r="AI1387" s="662"/>
    </row>
    <row r="1388" spans="25:35" s="80" customFormat="1">
      <c r="Y1388" s="662"/>
      <c r="Z1388" s="662"/>
      <c r="AA1388" s="662"/>
      <c r="AB1388" s="662"/>
      <c r="AC1388" s="662"/>
      <c r="AD1388" s="662"/>
      <c r="AE1388" s="662"/>
      <c r="AF1388" s="662"/>
      <c r="AG1388" s="662"/>
      <c r="AH1388" s="662"/>
      <c r="AI1388" s="662"/>
    </row>
    <row r="1389" spans="25:35" s="80" customFormat="1">
      <c r="Y1389" s="662"/>
      <c r="Z1389" s="662"/>
      <c r="AA1389" s="662"/>
      <c r="AB1389" s="662"/>
      <c r="AC1389" s="662"/>
      <c r="AD1389" s="662"/>
      <c r="AE1389" s="662"/>
      <c r="AF1389" s="662"/>
      <c r="AG1389" s="662"/>
      <c r="AH1389" s="662"/>
      <c r="AI1389" s="662"/>
    </row>
    <row r="1390" spans="25:35" s="80" customFormat="1">
      <c r="Y1390" s="662"/>
      <c r="Z1390" s="662"/>
      <c r="AA1390" s="662"/>
      <c r="AB1390" s="662"/>
      <c r="AC1390" s="662"/>
      <c r="AD1390" s="662"/>
      <c r="AE1390" s="662"/>
      <c r="AF1390" s="662"/>
      <c r="AG1390" s="662"/>
      <c r="AH1390" s="662"/>
      <c r="AI1390" s="662"/>
    </row>
    <row r="1391" spans="25:35" s="80" customFormat="1">
      <c r="Y1391" s="662"/>
      <c r="Z1391" s="662"/>
      <c r="AA1391" s="662"/>
      <c r="AB1391" s="662"/>
      <c r="AC1391" s="662"/>
      <c r="AD1391" s="662"/>
      <c r="AE1391" s="662"/>
      <c r="AF1391" s="662"/>
      <c r="AG1391" s="662"/>
      <c r="AH1391" s="662"/>
      <c r="AI1391" s="662"/>
    </row>
    <row r="1392" spans="25:35" s="80" customFormat="1">
      <c r="Y1392" s="662"/>
      <c r="Z1392" s="662"/>
      <c r="AA1392" s="662"/>
      <c r="AB1392" s="662"/>
      <c r="AC1392" s="662"/>
      <c r="AD1392" s="662"/>
      <c r="AE1392" s="662"/>
      <c r="AF1392" s="662"/>
      <c r="AG1392" s="662"/>
      <c r="AH1392" s="662"/>
      <c r="AI1392" s="662"/>
    </row>
    <row r="1393" spans="25:35" s="80" customFormat="1">
      <c r="Y1393" s="662"/>
      <c r="Z1393" s="662"/>
      <c r="AA1393" s="662"/>
      <c r="AB1393" s="662"/>
      <c r="AC1393" s="662"/>
      <c r="AD1393" s="662"/>
      <c r="AE1393" s="662"/>
      <c r="AF1393" s="662"/>
      <c r="AG1393" s="662"/>
      <c r="AH1393" s="662"/>
      <c r="AI1393" s="662"/>
    </row>
    <row r="1394" spans="25:35" s="80" customFormat="1">
      <c r="Y1394" s="662"/>
      <c r="Z1394" s="662"/>
      <c r="AA1394" s="662"/>
      <c r="AB1394" s="662"/>
      <c r="AC1394" s="662"/>
      <c r="AD1394" s="662"/>
      <c r="AE1394" s="662"/>
      <c r="AF1394" s="662"/>
      <c r="AG1394" s="662"/>
      <c r="AH1394" s="662"/>
      <c r="AI1394" s="662"/>
    </row>
    <row r="1395" spans="25:35" s="80" customFormat="1">
      <c r="Y1395" s="662"/>
      <c r="Z1395" s="662"/>
      <c r="AA1395" s="662"/>
      <c r="AB1395" s="662"/>
      <c r="AC1395" s="662"/>
      <c r="AD1395" s="662"/>
      <c r="AE1395" s="662"/>
      <c r="AF1395" s="662"/>
      <c r="AG1395" s="662"/>
      <c r="AH1395" s="662"/>
      <c r="AI1395" s="662"/>
    </row>
    <row r="1396" spans="25:35" s="80" customFormat="1">
      <c r="Y1396" s="662"/>
      <c r="Z1396" s="662"/>
      <c r="AA1396" s="662"/>
      <c r="AB1396" s="662"/>
      <c r="AC1396" s="662"/>
      <c r="AD1396" s="662"/>
      <c r="AE1396" s="662"/>
      <c r="AF1396" s="662"/>
      <c r="AG1396" s="662"/>
      <c r="AH1396" s="662"/>
      <c r="AI1396" s="662"/>
    </row>
    <row r="1397" spans="25:35" s="80" customFormat="1">
      <c r="Y1397" s="662"/>
      <c r="Z1397" s="662"/>
      <c r="AA1397" s="662"/>
      <c r="AB1397" s="662"/>
      <c r="AC1397" s="662"/>
      <c r="AD1397" s="662"/>
      <c r="AE1397" s="662"/>
      <c r="AF1397" s="662"/>
      <c r="AG1397" s="662"/>
      <c r="AH1397" s="662"/>
      <c r="AI1397" s="662"/>
    </row>
    <row r="1398" spans="25:35" s="80" customFormat="1">
      <c r="Y1398" s="662"/>
      <c r="Z1398" s="662"/>
      <c r="AA1398" s="662"/>
      <c r="AB1398" s="662"/>
      <c r="AC1398" s="662"/>
      <c r="AD1398" s="662"/>
      <c r="AE1398" s="662"/>
      <c r="AF1398" s="662"/>
      <c r="AG1398" s="662"/>
      <c r="AH1398" s="662"/>
      <c r="AI1398" s="662"/>
    </row>
    <row r="1399" spans="25:35" s="80" customFormat="1">
      <c r="Y1399" s="662"/>
      <c r="Z1399" s="662"/>
      <c r="AA1399" s="662"/>
      <c r="AB1399" s="662"/>
      <c r="AC1399" s="662"/>
      <c r="AD1399" s="662"/>
      <c r="AE1399" s="662"/>
      <c r="AF1399" s="662"/>
      <c r="AG1399" s="662"/>
      <c r="AH1399" s="662"/>
      <c r="AI1399" s="662"/>
    </row>
    <row r="1400" spans="25:35" s="80" customFormat="1">
      <c r="Y1400" s="662"/>
      <c r="Z1400" s="662"/>
      <c r="AA1400" s="662"/>
      <c r="AB1400" s="662"/>
      <c r="AC1400" s="662"/>
      <c r="AD1400" s="662"/>
      <c r="AE1400" s="662"/>
      <c r="AF1400" s="662"/>
      <c r="AG1400" s="662"/>
      <c r="AH1400" s="662"/>
      <c r="AI1400" s="662"/>
    </row>
    <row r="1401" spans="25:35" s="80" customFormat="1">
      <c r="Y1401" s="662"/>
      <c r="Z1401" s="662"/>
      <c r="AA1401" s="662"/>
      <c r="AB1401" s="662"/>
      <c r="AC1401" s="662"/>
      <c r="AD1401" s="662"/>
      <c r="AE1401" s="662"/>
      <c r="AF1401" s="662"/>
      <c r="AG1401" s="662"/>
      <c r="AH1401" s="662"/>
      <c r="AI1401" s="662"/>
    </row>
    <row r="1402" spans="25:35" s="80" customFormat="1">
      <c r="Y1402" s="662"/>
      <c r="Z1402" s="662"/>
      <c r="AA1402" s="662"/>
      <c r="AB1402" s="662"/>
      <c r="AC1402" s="662"/>
      <c r="AD1402" s="662"/>
      <c r="AE1402" s="662"/>
      <c r="AF1402" s="662"/>
      <c r="AG1402" s="662"/>
      <c r="AH1402" s="662"/>
      <c r="AI1402" s="662"/>
    </row>
    <row r="1403" spans="25:35" s="80" customFormat="1">
      <c r="Y1403" s="662"/>
      <c r="Z1403" s="662"/>
      <c r="AA1403" s="662"/>
      <c r="AB1403" s="662"/>
      <c r="AC1403" s="662"/>
      <c r="AD1403" s="662"/>
      <c r="AE1403" s="662"/>
      <c r="AF1403" s="662"/>
      <c r="AG1403" s="662"/>
      <c r="AH1403" s="662"/>
      <c r="AI1403" s="662"/>
    </row>
    <row r="1404" spans="25:35" s="80" customFormat="1">
      <c r="Y1404" s="662"/>
      <c r="Z1404" s="662"/>
      <c r="AA1404" s="662"/>
      <c r="AB1404" s="662"/>
      <c r="AC1404" s="662"/>
      <c r="AD1404" s="662"/>
      <c r="AE1404" s="662"/>
      <c r="AF1404" s="662"/>
      <c r="AG1404" s="662"/>
      <c r="AH1404" s="662"/>
      <c r="AI1404" s="662"/>
    </row>
    <row r="1405" spans="25:35" s="80" customFormat="1">
      <c r="Y1405" s="662"/>
      <c r="Z1405" s="662"/>
      <c r="AA1405" s="662"/>
      <c r="AB1405" s="662"/>
      <c r="AC1405" s="662"/>
      <c r="AD1405" s="662"/>
      <c r="AE1405" s="662"/>
      <c r="AF1405" s="662"/>
      <c r="AG1405" s="662"/>
      <c r="AH1405" s="662"/>
      <c r="AI1405" s="662"/>
    </row>
    <row r="1406" spans="25:35" s="80" customFormat="1">
      <c r="Y1406" s="662"/>
      <c r="Z1406" s="662"/>
      <c r="AA1406" s="662"/>
      <c r="AB1406" s="662"/>
      <c r="AC1406" s="662"/>
      <c r="AD1406" s="662"/>
      <c r="AE1406" s="662"/>
      <c r="AF1406" s="662"/>
      <c r="AG1406" s="662"/>
      <c r="AH1406" s="662"/>
      <c r="AI1406" s="662"/>
    </row>
    <row r="1407" spans="25:35" s="80" customFormat="1">
      <c r="Y1407" s="662"/>
      <c r="Z1407" s="662"/>
      <c r="AA1407" s="662"/>
      <c r="AB1407" s="662"/>
      <c r="AC1407" s="662"/>
      <c r="AD1407" s="662"/>
      <c r="AE1407" s="662"/>
      <c r="AF1407" s="662"/>
      <c r="AG1407" s="662"/>
      <c r="AH1407" s="662"/>
      <c r="AI1407" s="662"/>
    </row>
    <row r="1408" spans="25:35" s="80" customFormat="1">
      <c r="Y1408" s="662"/>
      <c r="Z1408" s="662"/>
      <c r="AA1408" s="662"/>
      <c r="AB1408" s="662"/>
      <c r="AC1408" s="662"/>
      <c r="AD1408" s="662"/>
      <c r="AE1408" s="662"/>
      <c r="AF1408" s="662"/>
      <c r="AG1408" s="662"/>
      <c r="AH1408" s="662"/>
      <c r="AI1408" s="662"/>
    </row>
    <row r="1409" spans="25:35" s="80" customFormat="1">
      <c r="Y1409" s="662"/>
      <c r="Z1409" s="662"/>
      <c r="AA1409" s="662"/>
      <c r="AB1409" s="662"/>
      <c r="AC1409" s="662"/>
      <c r="AD1409" s="662"/>
      <c r="AE1409" s="662"/>
      <c r="AF1409" s="662"/>
      <c r="AG1409" s="662"/>
      <c r="AH1409" s="662"/>
      <c r="AI1409" s="662"/>
    </row>
    <row r="1410" spans="25:35" s="80" customFormat="1">
      <c r="Y1410" s="662"/>
      <c r="Z1410" s="662"/>
      <c r="AA1410" s="662"/>
      <c r="AB1410" s="662"/>
      <c r="AC1410" s="662"/>
      <c r="AD1410" s="662"/>
      <c r="AE1410" s="662"/>
      <c r="AF1410" s="662"/>
      <c r="AG1410" s="662"/>
      <c r="AH1410" s="662"/>
      <c r="AI1410" s="662"/>
    </row>
    <row r="1411" spans="25:35" s="80" customFormat="1">
      <c r="Y1411" s="662"/>
      <c r="Z1411" s="662"/>
      <c r="AA1411" s="662"/>
      <c r="AB1411" s="662"/>
      <c r="AC1411" s="662"/>
      <c r="AD1411" s="662"/>
      <c r="AE1411" s="662"/>
      <c r="AF1411" s="662"/>
      <c r="AG1411" s="662"/>
      <c r="AH1411" s="662"/>
      <c r="AI1411" s="662"/>
    </row>
    <row r="1412" spans="25:35" s="80" customFormat="1">
      <c r="Y1412" s="662"/>
      <c r="Z1412" s="662"/>
      <c r="AA1412" s="662"/>
      <c r="AB1412" s="662"/>
      <c r="AC1412" s="662"/>
      <c r="AD1412" s="662"/>
      <c r="AE1412" s="662"/>
      <c r="AF1412" s="662"/>
      <c r="AG1412" s="662"/>
      <c r="AH1412" s="662"/>
      <c r="AI1412" s="662"/>
    </row>
    <row r="1413" spans="25:35" s="80" customFormat="1">
      <c r="Y1413" s="662"/>
      <c r="Z1413" s="662"/>
      <c r="AA1413" s="662"/>
      <c r="AB1413" s="662"/>
      <c r="AC1413" s="662"/>
      <c r="AD1413" s="662"/>
      <c r="AE1413" s="662"/>
      <c r="AF1413" s="662"/>
      <c r="AG1413" s="662"/>
      <c r="AH1413" s="662"/>
      <c r="AI1413" s="662"/>
    </row>
    <row r="1414" spans="25:35" s="80" customFormat="1">
      <c r="Y1414" s="662"/>
      <c r="Z1414" s="662"/>
      <c r="AA1414" s="662"/>
      <c r="AB1414" s="662"/>
      <c r="AC1414" s="662"/>
      <c r="AD1414" s="662"/>
      <c r="AE1414" s="662"/>
      <c r="AF1414" s="662"/>
      <c r="AG1414" s="662"/>
      <c r="AH1414" s="662"/>
      <c r="AI1414" s="662"/>
    </row>
    <row r="1415" spans="25:35" s="80" customFormat="1">
      <c r="Y1415" s="662"/>
      <c r="Z1415" s="662"/>
      <c r="AA1415" s="662"/>
      <c r="AB1415" s="662"/>
      <c r="AC1415" s="662"/>
      <c r="AD1415" s="662"/>
      <c r="AE1415" s="662"/>
      <c r="AF1415" s="662"/>
      <c r="AG1415" s="662"/>
      <c r="AH1415" s="662"/>
      <c r="AI1415" s="662"/>
    </row>
    <row r="1416" spans="25:35" s="80" customFormat="1">
      <c r="Y1416" s="662"/>
      <c r="Z1416" s="662"/>
      <c r="AA1416" s="662"/>
      <c r="AB1416" s="662"/>
      <c r="AC1416" s="662"/>
      <c r="AD1416" s="662"/>
      <c r="AE1416" s="662"/>
      <c r="AF1416" s="662"/>
      <c r="AG1416" s="662"/>
      <c r="AH1416" s="662"/>
      <c r="AI1416" s="662"/>
    </row>
    <row r="1417" spans="25:35" s="80" customFormat="1">
      <c r="Y1417" s="662"/>
      <c r="Z1417" s="662"/>
      <c r="AA1417" s="662"/>
      <c r="AB1417" s="662"/>
      <c r="AC1417" s="662"/>
      <c r="AD1417" s="662"/>
      <c r="AE1417" s="662"/>
      <c r="AF1417" s="662"/>
      <c r="AG1417" s="662"/>
      <c r="AH1417" s="662"/>
      <c r="AI1417" s="662"/>
    </row>
    <row r="1418" spans="25:35" s="80" customFormat="1">
      <c r="Y1418" s="662"/>
      <c r="Z1418" s="662"/>
      <c r="AA1418" s="662"/>
      <c r="AB1418" s="662"/>
      <c r="AC1418" s="662"/>
      <c r="AD1418" s="662"/>
      <c r="AE1418" s="662"/>
      <c r="AF1418" s="662"/>
      <c r="AG1418" s="662"/>
      <c r="AH1418" s="662"/>
      <c r="AI1418" s="662"/>
    </row>
    <row r="1419" spans="25:35" s="80" customFormat="1">
      <c r="Y1419" s="662"/>
      <c r="Z1419" s="662"/>
      <c r="AA1419" s="662"/>
      <c r="AB1419" s="662"/>
      <c r="AC1419" s="662"/>
      <c r="AD1419" s="662"/>
      <c r="AE1419" s="662"/>
      <c r="AF1419" s="662"/>
      <c r="AG1419" s="662"/>
      <c r="AH1419" s="662"/>
      <c r="AI1419" s="662"/>
    </row>
    <row r="1420" spans="25:35" s="80" customFormat="1">
      <c r="Y1420" s="662"/>
      <c r="Z1420" s="662"/>
      <c r="AA1420" s="662"/>
      <c r="AB1420" s="662"/>
      <c r="AC1420" s="662"/>
      <c r="AD1420" s="662"/>
      <c r="AE1420" s="662"/>
      <c r="AF1420" s="662"/>
      <c r="AG1420" s="662"/>
      <c r="AH1420" s="662"/>
      <c r="AI1420" s="662"/>
    </row>
    <row r="1421" spans="25:35" s="80" customFormat="1">
      <c r="Y1421" s="662"/>
      <c r="Z1421" s="662"/>
      <c r="AA1421" s="662"/>
      <c r="AB1421" s="662"/>
      <c r="AC1421" s="662"/>
      <c r="AD1421" s="662"/>
      <c r="AE1421" s="662"/>
      <c r="AF1421" s="662"/>
      <c r="AG1421" s="662"/>
      <c r="AH1421" s="662"/>
      <c r="AI1421" s="662"/>
    </row>
    <row r="1422" spans="25:35" s="80" customFormat="1">
      <c r="Y1422" s="662"/>
      <c r="Z1422" s="662"/>
      <c r="AA1422" s="662"/>
      <c r="AB1422" s="662"/>
      <c r="AC1422" s="662"/>
      <c r="AD1422" s="662"/>
      <c r="AE1422" s="662"/>
      <c r="AF1422" s="662"/>
      <c r="AG1422" s="662"/>
      <c r="AH1422" s="662"/>
      <c r="AI1422" s="662"/>
    </row>
    <row r="1423" spans="25:35" s="80" customFormat="1">
      <c r="Y1423" s="662"/>
      <c r="Z1423" s="662"/>
      <c r="AA1423" s="662"/>
      <c r="AB1423" s="662"/>
      <c r="AC1423" s="662"/>
      <c r="AD1423" s="662"/>
      <c r="AE1423" s="662"/>
      <c r="AF1423" s="662"/>
      <c r="AG1423" s="662"/>
      <c r="AH1423" s="662"/>
      <c r="AI1423" s="662"/>
    </row>
    <row r="1424" spans="25:35" s="80" customFormat="1">
      <c r="Y1424" s="662"/>
      <c r="Z1424" s="662"/>
      <c r="AA1424" s="662"/>
      <c r="AB1424" s="662"/>
      <c r="AC1424" s="662"/>
      <c r="AD1424" s="662"/>
      <c r="AE1424" s="662"/>
      <c r="AF1424" s="662"/>
      <c r="AG1424" s="662"/>
      <c r="AH1424" s="662"/>
      <c r="AI1424" s="662"/>
    </row>
    <row r="1425" spans="25:35" s="80" customFormat="1">
      <c r="Y1425" s="662"/>
      <c r="Z1425" s="662"/>
      <c r="AA1425" s="662"/>
      <c r="AB1425" s="662"/>
      <c r="AC1425" s="662"/>
      <c r="AD1425" s="662"/>
      <c r="AE1425" s="662"/>
      <c r="AF1425" s="662"/>
      <c r="AG1425" s="662"/>
      <c r="AH1425" s="662"/>
      <c r="AI1425" s="662"/>
    </row>
    <row r="1426" spans="25:35" s="80" customFormat="1">
      <c r="Y1426" s="662"/>
      <c r="Z1426" s="662"/>
      <c r="AA1426" s="662"/>
      <c r="AB1426" s="662"/>
      <c r="AC1426" s="662"/>
      <c r="AD1426" s="662"/>
      <c r="AE1426" s="662"/>
      <c r="AF1426" s="662"/>
      <c r="AG1426" s="662"/>
      <c r="AH1426" s="662"/>
      <c r="AI1426" s="662"/>
    </row>
    <row r="1427" spans="25:35" s="80" customFormat="1">
      <c r="Y1427" s="662"/>
      <c r="Z1427" s="662"/>
      <c r="AA1427" s="662"/>
      <c r="AB1427" s="662"/>
      <c r="AC1427" s="662"/>
      <c r="AD1427" s="662"/>
      <c r="AE1427" s="662"/>
      <c r="AF1427" s="662"/>
      <c r="AG1427" s="662"/>
      <c r="AH1427" s="662"/>
      <c r="AI1427" s="662"/>
    </row>
    <row r="1428" spans="25:35" s="80" customFormat="1">
      <c r="Y1428" s="662"/>
      <c r="Z1428" s="662"/>
      <c r="AA1428" s="662"/>
      <c r="AB1428" s="662"/>
      <c r="AC1428" s="662"/>
      <c r="AD1428" s="662"/>
      <c r="AE1428" s="662"/>
      <c r="AF1428" s="662"/>
      <c r="AG1428" s="662"/>
      <c r="AH1428" s="662"/>
      <c r="AI1428" s="662"/>
    </row>
    <row r="1429" spans="25:35" s="80" customFormat="1">
      <c r="Y1429" s="662"/>
      <c r="Z1429" s="662"/>
      <c r="AA1429" s="662"/>
      <c r="AB1429" s="662"/>
      <c r="AC1429" s="662"/>
      <c r="AD1429" s="662"/>
      <c r="AE1429" s="662"/>
      <c r="AF1429" s="662"/>
      <c r="AG1429" s="662"/>
      <c r="AH1429" s="662"/>
      <c r="AI1429" s="662"/>
    </row>
    <row r="1430" spans="25:35" s="80" customFormat="1">
      <c r="Y1430" s="662"/>
      <c r="Z1430" s="662"/>
      <c r="AA1430" s="662"/>
      <c r="AB1430" s="662"/>
      <c r="AC1430" s="662"/>
      <c r="AD1430" s="662"/>
      <c r="AE1430" s="662"/>
      <c r="AF1430" s="662"/>
      <c r="AG1430" s="662"/>
      <c r="AH1430" s="662"/>
      <c r="AI1430" s="662"/>
    </row>
    <row r="1431" spans="25:35" s="80" customFormat="1">
      <c r="Y1431" s="662"/>
      <c r="Z1431" s="662"/>
      <c r="AA1431" s="662"/>
      <c r="AB1431" s="662"/>
      <c r="AC1431" s="662"/>
      <c r="AD1431" s="662"/>
      <c r="AE1431" s="662"/>
      <c r="AF1431" s="662"/>
      <c r="AG1431" s="662"/>
      <c r="AH1431" s="662"/>
      <c r="AI1431" s="662"/>
    </row>
    <row r="1432" spans="25:35" s="80" customFormat="1">
      <c r="Y1432" s="662"/>
      <c r="Z1432" s="662"/>
      <c r="AA1432" s="662"/>
      <c r="AB1432" s="662"/>
      <c r="AC1432" s="662"/>
      <c r="AD1432" s="662"/>
      <c r="AE1432" s="662"/>
      <c r="AF1432" s="662"/>
      <c r="AG1432" s="662"/>
      <c r="AH1432" s="662"/>
      <c r="AI1432" s="662"/>
    </row>
    <row r="1433" spans="25:35" s="80" customFormat="1">
      <c r="Y1433" s="662"/>
      <c r="Z1433" s="662"/>
      <c r="AA1433" s="662"/>
      <c r="AB1433" s="662"/>
      <c r="AC1433" s="662"/>
      <c r="AD1433" s="662"/>
      <c r="AE1433" s="662"/>
      <c r="AF1433" s="662"/>
      <c r="AG1433" s="662"/>
      <c r="AH1433" s="662"/>
      <c r="AI1433" s="662"/>
    </row>
    <row r="1434" spans="25:35" s="80" customFormat="1">
      <c r="Y1434" s="662"/>
      <c r="Z1434" s="662"/>
      <c r="AA1434" s="662"/>
      <c r="AB1434" s="662"/>
      <c r="AC1434" s="662"/>
      <c r="AD1434" s="662"/>
      <c r="AE1434" s="662"/>
      <c r="AF1434" s="662"/>
      <c r="AG1434" s="662"/>
      <c r="AH1434" s="662"/>
      <c r="AI1434" s="662"/>
    </row>
    <row r="1435" spans="25:35" s="80" customFormat="1">
      <c r="Y1435" s="662"/>
      <c r="Z1435" s="662"/>
      <c r="AA1435" s="662"/>
      <c r="AB1435" s="662"/>
      <c r="AC1435" s="662"/>
      <c r="AD1435" s="662"/>
      <c r="AE1435" s="662"/>
      <c r="AF1435" s="662"/>
      <c r="AG1435" s="662"/>
      <c r="AH1435" s="662"/>
      <c r="AI1435" s="662"/>
    </row>
    <row r="1436" spans="25:35" s="80" customFormat="1">
      <c r="Y1436" s="662"/>
      <c r="Z1436" s="662"/>
      <c r="AA1436" s="662"/>
      <c r="AB1436" s="662"/>
      <c r="AC1436" s="662"/>
      <c r="AD1436" s="662"/>
      <c r="AE1436" s="662"/>
      <c r="AF1436" s="662"/>
      <c r="AG1436" s="662"/>
      <c r="AH1436" s="662"/>
      <c r="AI1436" s="662"/>
    </row>
    <row r="1437" spans="25:35" s="80" customFormat="1">
      <c r="Y1437" s="662"/>
      <c r="Z1437" s="662"/>
      <c r="AA1437" s="662"/>
      <c r="AB1437" s="662"/>
      <c r="AC1437" s="662"/>
      <c r="AD1437" s="662"/>
      <c r="AE1437" s="662"/>
      <c r="AF1437" s="662"/>
      <c r="AG1437" s="662"/>
      <c r="AH1437" s="662"/>
      <c r="AI1437" s="662"/>
    </row>
    <row r="1438" spans="25:35" s="80" customFormat="1">
      <c r="Y1438" s="662"/>
      <c r="Z1438" s="662"/>
      <c r="AA1438" s="662"/>
      <c r="AB1438" s="662"/>
      <c r="AC1438" s="662"/>
      <c r="AD1438" s="662"/>
      <c r="AE1438" s="662"/>
      <c r="AF1438" s="662"/>
      <c r="AG1438" s="662"/>
      <c r="AH1438" s="662"/>
      <c r="AI1438" s="662"/>
    </row>
    <row r="1439" spans="25:35" s="80" customFormat="1">
      <c r="Y1439" s="662"/>
      <c r="Z1439" s="662"/>
      <c r="AA1439" s="662"/>
      <c r="AB1439" s="662"/>
      <c r="AC1439" s="662"/>
      <c r="AD1439" s="662"/>
      <c r="AE1439" s="662"/>
      <c r="AF1439" s="662"/>
      <c r="AG1439" s="662"/>
      <c r="AH1439" s="662"/>
      <c r="AI1439" s="662"/>
    </row>
    <row r="1440" spans="25:35" s="80" customFormat="1">
      <c r="Y1440" s="662"/>
      <c r="Z1440" s="662"/>
      <c r="AA1440" s="662"/>
      <c r="AB1440" s="662"/>
      <c r="AC1440" s="662"/>
      <c r="AD1440" s="662"/>
      <c r="AE1440" s="662"/>
      <c r="AF1440" s="662"/>
      <c r="AG1440" s="662"/>
      <c r="AH1440" s="662"/>
      <c r="AI1440" s="662"/>
    </row>
    <row r="1441" spans="25:35" s="80" customFormat="1">
      <c r="Y1441" s="662"/>
      <c r="Z1441" s="662"/>
      <c r="AA1441" s="662"/>
      <c r="AB1441" s="662"/>
      <c r="AC1441" s="662"/>
      <c r="AD1441" s="662"/>
      <c r="AE1441" s="662"/>
      <c r="AF1441" s="662"/>
      <c r="AG1441" s="662"/>
      <c r="AH1441" s="662"/>
      <c r="AI1441" s="662"/>
    </row>
    <row r="1442" spans="25:35" s="80" customFormat="1">
      <c r="Y1442" s="662"/>
      <c r="Z1442" s="662"/>
      <c r="AA1442" s="662"/>
      <c r="AB1442" s="662"/>
      <c r="AC1442" s="662"/>
      <c r="AD1442" s="662"/>
      <c r="AE1442" s="662"/>
      <c r="AF1442" s="662"/>
      <c r="AG1442" s="662"/>
      <c r="AH1442" s="662"/>
      <c r="AI1442" s="662"/>
    </row>
    <row r="1443" spans="25:35" s="80" customFormat="1">
      <c r="Y1443" s="662"/>
      <c r="Z1443" s="662"/>
      <c r="AA1443" s="662"/>
      <c r="AB1443" s="662"/>
      <c r="AC1443" s="662"/>
      <c r="AD1443" s="662"/>
      <c r="AE1443" s="662"/>
      <c r="AF1443" s="662"/>
      <c r="AG1443" s="662"/>
      <c r="AH1443" s="662"/>
      <c r="AI1443" s="662"/>
    </row>
    <row r="1444" spans="25:35" s="80" customFormat="1">
      <c r="Y1444" s="662"/>
      <c r="Z1444" s="662"/>
      <c r="AA1444" s="662"/>
      <c r="AB1444" s="662"/>
      <c r="AC1444" s="662"/>
      <c r="AD1444" s="662"/>
      <c r="AE1444" s="662"/>
      <c r="AF1444" s="662"/>
      <c r="AG1444" s="662"/>
      <c r="AH1444" s="662"/>
      <c r="AI1444" s="662"/>
    </row>
    <row r="1445" spans="25:35" s="80" customFormat="1">
      <c r="Y1445" s="662"/>
      <c r="Z1445" s="662"/>
      <c r="AA1445" s="662"/>
      <c r="AB1445" s="662"/>
      <c r="AC1445" s="662"/>
      <c r="AD1445" s="662"/>
      <c r="AE1445" s="662"/>
      <c r="AF1445" s="662"/>
      <c r="AG1445" s="662"/>
      <c r="AH1445" s="662"/>
      <c r="AI1445" s="662"/>
    </row>
    <row r="1446" spans="25:35" s="80" customFormat="1">
      <c r="Y1446" s="662"/>
      <c r="Z1446" s="662"/>
      <c r="AA1446" s="662"/>
      <c r="AB1446" s="662"/>
      <c r="AC1446" s="662"/>
      <c r="AD1446" s="662"/>
      <c r="AE1446" s="662"/>
      <c r="AF1446" s="662"/>
      <c r="AG1446" s="662"/>
      <c r="AH1446" s="662"/>
      <c r="AI1446" s="662"/>
    </row>
    <row r="1447" spans="25:35" s="80" customFormat="1">
      <c r="Y1447" s="662"/>
      <c r="Z1447" s="662"/>
      <c r="AA1447" s="662"/>
      <c r="AB1447" s="662"/>
      <c r="AC1447" s="662"/>
      <c r="AD1447" s="662"/>
      <c r="AE1447" s="662"/>
      <c r="AF1447" s="662"/>
      <c r="AG1447" s="662"/>
      <c r="AH1447" s="662"/>
      <c r="AI1447" s="662"/>
    </row>
    <row r="1448" spans="25:35" s="80" customFormat="1">
      <c r="Y1448" s="662"/>
      <c r="Z1448" s="662"/>
      <c r="AA1448" s="662"/>
      <c r="AB1448" s="662"/>
      <c r="AC1448" s="662"/>
      <c r="AD1448" s="662"/>
      <c r="AE1448" s="662"/>
      <c r="AF1448" s="662"/>
      <c r="AG1448" s="662"/>
      <c r="AH1448" s="662"/>
      <c r="AI1448" s="662"/>
    </row>
    <row r="1449" spans="25:35" s="80" customFormat="1">
      <c r="Y1449" s="662"/>
      <c r="Z1449" s="662"/>
      <c r="AA1449" s="662"/>
      <c r="AB1449" s="662"/>
      <c r="AC1449" s="662"/>
      <c r="AD1449" s="662"/>
      <c r="AE1449" s="662"/>
      <c r="AF1449" s="662"/>
      <c r="AG1449" s="662"/>
      <c r="AH1449" s="662"/>
      <c r="AI1449" s="662"/>
    </row>
    <row r="1450" spans="25:35" s="80" customFormat="1">
      <c r="Y1450" s="662"/>
      <c r="Z1450" s="662"/>
      <c r="AA1450" s="662"/>
      <c r="AB1450" s="662"/>
      <c r="AC1450" s="662"/>
      <c r="AD1450" s="662"/>
      <c r="AE1450" s="662"/>
      <c r="AF1450" s="662"/>
      <c r="AG1450" s="662"/>
      <c r="AH1450" s="662"/>
      <c r="AI1450" s="662"/>
    </row>
    <row r="1451" spans="25:35" s="80" customFormat="1">
      <c r="Y1451" s="662"/>
      <c r="Z1451" s="662"/>
      <c r="AA1451" s="662"/>
      <c r="AB1451" s="662"/>
      <c r="AC1451" s="662"/>
      <c r="AD1451" s="662"/>
      <c r="AE1451" s="662"/>
      <c r="AF1451" s="662"/>
      <c r="AG1451" s="662"/>
      <c r="AH1451" s="662"/>
      <c r="AI1451" s="662"/>
    </row>
    <row r="1452" spans="25:35" s="80" customFormat="1">
      <c r="Y1452" s="662"/>
      <c r="Z1452" s="662"/>
      <c r="AA1452" s="662"/>
      <c r="AB1452" s="662"/>
      <c r="AC1452" s="662"/>
      <c r="AD1452" s="662"/>
      <c r="AE1452" s="662"/>
      <c r="AF1452" s="662"/>
      <c r="AG1452" s="662"/>
      <c r="AH1452" s="662"/>
      <c r="AI1452" s="662"/>
    </row>
    <row r="1453" spans="25:35" s="80" customFormat="1">
      <c r="Y1453" s="662"/>
      <c r="Z1453" s="662"/>
      <c r="AA1453" s="662"/>
      <c r="AB1453" s="662"/>
      <c r="AC1453" s="662"/>
      <c r="AD1453" s="662"/>
      <c r="AE1453" s="662"/>
      <c r="AF1453" s="662"/>
      <c r="AG1453" s="662"/>
      <c r="AH1453" s="662"/>
      <c r="AI1453" s="662"/>
    </row>
    <row r="1454" spans="25:35" s="80" customFormat="1">
      <c r="Y1454" s="662"/>
      <c r="Z1454" s="662"/>
      <c r="AA1454" s="662"/>
      <c r="AB1454" s="662"/>
      <c r="AC1454" s="662"/>
      <c r="AD1454" s="662"/>
      <c r="AE1454" s="662"/>
      <c r="AF1454" s="662"/>
      <c r="AG1454" s="662"/>
      <c r="AH1454" s="662"/>
      <c r="AI1454" s="662"/>
    </row>
    <row r="1455" spans="25:35" s="80" customFormat="1">
      <c r="Y1455" s="662"/>
      <c r="Z1455" s="662"/>
      <c r="AA1455" s="662"/>
      <c r="AB1455" s="662"/>
      <c r="AC1455" s="662"/>
      <c r="AD1455" s="662"/>
      <c r="AE1455" s="662"/>
      <c r="AF1455" s="662"/>
      <c r="AG1455" s="662"/>
      <c r="AH1455" s="662"/>
      <c r="AI1455" s="662"/>
    </row>
    <row r="1456" spans="25:35" s="80" customFormat="1">
      <c r="Y1456" s="662"/>
      <c r="Z1456" s="662"/>
      <c r="AA1456" s="662"/>
      <c r="AB1456" s="662"/>
      <c r="AC1456" s="662"/>
      <c r="AD1456" s="662"/>
      <c r="AE1456" s="662"/>
      <c r="AF1456" s="662"/>
      <c r="AG1456" s="662"/>
      <c r="AH1456" s="662"/>
      <c r="AI1456" s="662"/>
    </row>
    <row r="1457" spans="25:35" s="80" customFormat="1">
      <c r="Y1457" s="662"/>
      <c r="Z1457" s="662"/>
      <c r="AA1457" s="662"/>
      <c r="AB1457" s="662"/>
      <c r="AC1457" s="662"/>
      <c r="AD1457" s="662"/>
      <c r="AE1457" s="662"/>
      <c r="AF1457" s="662"/>
      <c r="AG1457" s="662"/>
      <c r="AH1457" s="662"/>
      <c r="AI1457" s="662"/>
    </row>
    <row r="1458" spans="25:35" s="80" customFormat="1">
      <c r="Y1458" s="662"/>
      <c r="Z1458" s="662"/>
      <c r="AA1458" s="662"/>
      <c r="AB1458" s="662"/>
      <c r="AC1458" s="662"/>
      <c r="AD1458" s="662"/>
      <c r="AE1458" s="662"/>
      <c r="AF1458" s="662"/>
      <c r="AG1458" s="662"/>
      <c r="AH1458" s="662"/>
      <c r="AI1458" s="662"/>
    </row>
    <row r="1459" spans="25:35" s="80" customFormat="1">
      <c r="Y1459" s="662"/>
      <c r="Z1459" s="662"/>
      <c r="AA1459" s="662"/>
      <c r="AB1459" s="662"/>
      <c r="AC1459" s="662"/>
      <c r="AD1459" s="662"/>
      <c r="AE1459" s="662"/>
      <c r="AF1459" s="662"/>
      <c r="AG1459" s="662"/>
      <c r="AH1459" s="662"/>
      <c r="AI1459" s="662"/>
    </row>
    <row r="1460" spans="25:35" s="80" customFormat="1">
      <c r="Y1460" s="662"/>
      <c r="Z1460" s="662"/>
      <c r="AA1460" s="662"/>
      <c r="AB1460" s="662"/>
      <c r="AC1460" s="662"/>
      <c r="AD1460" s="662"/>
      <c r="AE1460" s="662"/>
      <c r="AF1460" s="662"/>
      <c r="AG1460" s="662"/>
      <c r="AH1460" s="662"/>
      <c r="AI1460" s="662"/>
    </row>
    <row r="1461" spans="25:35" s="80" customFormat="1">
      <c r="Y1461" s="662"/>
      <c r="Z1461" s="662"/>
      <c r="AA1461" s="662"/>
      <c r="AB1461" s="662"/>
      <c r="AC1461" s="662"/>
      <c r="AD1461" s="662"/>
      <c r="AE1461" s="662"/>
      <c r="AF1461" s="662"/>
      <c r="AG1461" s="662"/>
      <c r="AH1461" s="662"/>
      <c r="AI1461" s="662"/>
    </row>
    <row r="1462" spans="25:35" s="80" customFormat="1">
      <c r="Y1462" s="662"/>
      <c r="Z1462" s="662"/>
      <c r="AA1462" s="662"/>
      <c r="AB1462" s="662"/>
      <c r="AC1462" s="662"/>
      <c r="AD1462" s="662"/>
      <c r="AE1462" s="662"/>
      <c r="AF1462" s="662"/>
      <c r="AG1462" s="662"/>
      <c r="AH1462" s="662"/>
      <c r="AI1462" s="662"/>
    </row>
    <row r="1463" spans="25:35" s="80" customFormat="1">
      <c r="Y1463" s="662"/>
      <c r="Z1463" s="662"/>
      <c r="AA1463" s="662"/>
      <c r="AB1463" s="662"/>
      <c r="AC1463" s="662"/>
      <c r="AD1463" s="662"/>
      <c r="AE1463" s="662"/>
      <c r="AF1463" s="662"/>
      <c r="AG1463" s="662"/>
      <c r="AH1463" s="662"/>
      <c r="AI1463" s="662"/>
    </row>
    <row r="1464" spans="25:35" s="80" customFormat="1">
      <c r="Y1464" s="662"/>
      <c r="Z1464" s="662"/>
      <c r="AA1464" s="662"/>
      <c r="AB1464" s="662"/>
      <c r="AC1464" s="662"/>
      <c r="AD1464" s="662"/>
      <c r="AE1464" s="662"/>
      <c r="AF1464" s="662"/>
      <c r="AG1464" s="662"/>
      <c r="AH1464" s="662"/>
      <c r="AI1464" s="662"/>
    </row>
    <row r="1465" spans="25:35" s="80" customFormat="1">
      <c r="Y1465" s="662"/>
      <c r="Z1465" s="662"/>
      <c r="AA1465" s="662"/>
      <c r="AB1465" s="662"/>
      <c r="AC1465" s="662"/>
      <c r="AD1465" s="662"/>
      <c r="AE1465" s="662"/>
      <c r="AF1465" s="662"/>
      <c r="AG1465" s="662"/>
      <c r="AH1465" s="662"/>
      <c r="AI1465" s="662"/>
    </row>
    <row r="1466" spans="25:35" s="80" customFormat="1">
      <c r="Y1466" s="662"/>
      <c r="Z1466" s="662"/>
      <c r="AA1466" s="662"/>
      <c r="AB1466" s="662"/>
      <c r="AC1466" s="662"/>
      <c r="AD1466" s="662"/>
      <c r="AE1466" s="662"/>
      <c r="AF1466" s="662"/>
      <c r="AG1466" s="662"/>
      <c r="AH1466" s="662"/>
      <c r="AI1466" s="662"/>
    </row>
    <row r="1467" spans="25:35" s="80" customFormat="1">
      <c r="Y1467" s="662"/>
      <c r="Z1467" s="662"/>
      <c r="AA1467" s="662"/>
      <c r="AB1467" s="662"/>
      <c r="AC1467" s="662"/>
      <c r="AD1467" s="662"/>
      <c r="AE1467" s="662"/>
      <c r="AF1467" s="662"/>
      <c r="AG1467" s="662"/>
      <c r="AH1467" s="662"/>
      <c r="AI1467" s="662"/>
    </row>
    <row r="1468" spans="25:35" s="80" customFormat="1">
      <c r="Y1468" s="662"/>
      <c r="Z1468" s="662"/>
      <c r="AA1468" s="662"/>
      <c r="AB1468" s="662"/>
      <c r="AC1468" s="662"/>
      <c r="AD1468" s="662"/>
      <c r="AE1468" s="662"/>
      <c r="AF1468" s="662"/>
      <c r="AG1468" s="662"/>
      <c r="AH1468" s="662"/>
      <c r="AI1468" s="662"/>
    </row>
    <row r="1469" spans="25:35" s="80" customFormat="1">
      <c r="Y1469" s="662"/>
      <c r="Z1469" s="662"/>
      <c r="AA1469" s="662"/>
      <c r="AB1469" s="662"/>
      <c r="AC1469" s="662"/>
      <c r="AD1469" s="662"/>
      <c r="AE1469" s="662"/>
      <c r="AF1469" s="662"/>
      <c r="AG1469" s="662"/>
      <c r="AH1469" s="662"/>
      <c r="AI1469" s="662"/>
    </row>
    <row r="1470" spans="25:35" s="80" customFormat="1">
      <c r="Y1470" s="662"/>
      <c r="Z1470" s="662"/>
      <c r="AA1470" s="662"/>
      <c r="AB1470" s="662"/>
      <c r="AC1470" s="662"/>
      <c r="AD1470" s="662"/>
      <c r="AE1470" s="662"/>
      <c r="AF1470" s="662"/>
      <c r="AG1470" s="662"/>
      <c r="AH1470" s="662"/>
      <c r="AI1470" s="662"/>
    </row>
    <row r="1471" spans="25:35" s="80" customFormat="1">
      <c r="Y1471" s="662"/>
      <c r="Z1471" s="662"/>
      <c r="AA1471" s="662"/>
      <c r="AB1471" s="662"/>
      <c r="AC1471" s="662"/>
      <c r="AD1471" s="662"/>
      <c r="AE1471" s="662"/>
      <c r="AF1471" s="662"/>
      <c r="AG1471" s="662"/>
      <c r="AH1471" s="662"/>
      <c r="AI1471" s="662"/>
    </row>
    <row r="1472" spans="25:35" s="80" customFormat="1">
      <c r="Y1472" s="662"/>
      <c r="Z1472" s="662"/>
      <c r="AA1472" s="662"/>
      <c r="AB1472" s="662"/>
      <c r="AC1472" s="662"/>
      <c r="AD1472" s="662"/>
      <c r="AE1472" s="662"/>
      <c r="AF1472" s="662"/>
      <c r="AG1472" s="662"/>
      <c r="AH1472" s="662"/>
      <c r="AI1472" s="662"/>
    </row>
    <row r="1473" spans="25:35" s="80" customFormat="1">
      <c r="Y1473" s="662"/>
      <c r="Z1473" s="662"/>
      <c r="AA1473" s="662"/>
      <c r="AB1473" s="662"/>
      <c r="AC1473" s="662"/>
      <c r="AD1473" s="662"/>
      <c r="AE1473" s="662"/>
      <c r="AF1473" s="662"/>
      <c r="AG1473" s="662"/>
      <c r="AH1473" s="662"/>
      <c r="AI1473" s="662"/>
    </row>
    <row r="1474" spans="25:35" s="80" customFormat="1">
      <c r="Y1474" s="662"/>
      <c r="Z1474" s="662"/>
      <c r="AA1474" s="662"/>
      <c r="AB1474" s="662"/>
      <c r="AC1474" s="662"/>
      <c r="AD1474" s="662"/>
      <c r="AE1474" s="662"/>
      <c r="AF1474" s="662"/>
      <c r="AG1474" s="662"/>
      <c r="AH1474" s="662"/>
      <c r="AI1474" s="662"/>
    </row>
    <row r="1475" spans="25:35" s="80" customFormat="1">
      <c r="Y1475" s="662"/>
      <c r="Z1475" s="662"/>
      <c r="AA1475" s="662"/>
      <c r="AB1475" s="662"/>
      <c r="AC1475" s="662"/>
      <c r="AD1475" s="662"/>
      <c r="AE1475" s="662"/>
      <c r="AF1475" s="662"/>
      <c r="AG1475" s="662"/>
      <c r="AH1475" s="662"/>
      <c r="AI1475" s="662"/>
    </row>
    <row r="1476" spans="25:35" s="80" customFormat="1">
      <c r="Y1476" s="662"/>
      <c r="Z1476" s="662"/>
      <c r="AA1476" s="662"/>
      <c r="AB1476" s="662"/>
      <c r="AC1476" s="662"/>
      <c r="AD1476" s="662"/>
      <c r="AE1476" s="662"/>
      <c r="AF1476" s="662"/>
      <c r="AG1476" s="662"/>
      <c r="AH1476" s="662"/>
      <c r="AI1476" s="662"/>
    </row>
    <row r="1477" spans="25:35" s="80" customFormat="1">
      <c r="Y1477" s="662"/>
      <c r="Z1477" s="662"/>
      <c r="AA1477" s="662"/>
      <c r="AB1477" s="662"/>
      <c r="AC1477" s="662"/>
      <c r="AD1477" s="662"/>
      <c r="AE1477" s="662"/>
      <c r="AF1477" s="662"/>
      <c r="AG1477" s="662"/>
      <c r="AH1477" s="662"/>
      <c r="AI1477" s="662"/>
    </row>
    <row r="1478" spans="25:35" s="80" customFormat="1">
      <c r="Y1478" s="662"/>
      <c r="Z1478" s="662"/>
      <c r="AA1478" s="662"/>
      <c r="AB1478" s="662"/>
      <c r="AC1478" s="662"/>
      <c r="AD1478" s="662"/>
      <c r="AE1478" s="662"/>
      <c r="AF1478" s="662"/>
      <c r="AG1478" s="662"/>
      <c r="AH1478" s="662"/>
      <c r="AI1478" s="662"/>
    </row>
    <row r="1479" spans="25:35" s="80" customFormat="1">
      <c r="Y1479" s="662"/>
      <c r="Z1479" s="662"/>
      <c r="AA1479" s="662"/>
      <c r="AB1479" s="662"/>
      <c r="AC1479" s="662"/>
      <c r="AD1479" s="662"/>
      <c r="AE1479" s="662"/>
      <c r="AF1479" s="662"/>
      <c r="AG1479" s="662"/>
      <c r="AH1479" s="662"/>
      <c r="AI1479" s="662"/>
    </row>
    <row r="1480" spans="25:35" s="80" customFormat="1">
      <c r="Y1480" s="662"/>
      <c r="Z1480" s="662"/>
      <c r="AA1480" s="662"/>
      <c r="AB1480" s="662"/>
      <c r="AC1480" s="662"/>
      <c r="AD1480" s="662"/>
      <c r="AE1480" s="662"/>
      <c r="AF1480" s="662"/>
      <c r="AG1480" s="662"/>
      <c r="AH1480" s="662"/>
      <c r="AI1480" s="662"/>
    </row>
    <row r="1481" spans="25:35" s="80" customFormat="1">
      <c r="Y1481" s="662"/>
      <c r="Z1481" s="662"/>
      <c r="AA1481" s="662"/>
      <c r="AB1481" s="662"/>
      <c r="AC1481" s="662"/>
      <c r="AD1481" s="662"/>
      <c r="AE1481" s="662"/>
      <c r="AF1481" s="662"/>
      <c r="AG1481" s="662"/>
      <c r="AH1481" s="662"/>
      <c r="AI1481" s="662"/>
    </row>
    <row r="1482" spans="25:35" s="80" customFormat="1">
      <c r="Y1482" s="662"/>
      <c r="Z1482" s="662"/>
      <c r="AA1482" s="662"/>
      <c r="AB1482" s="662"/>
      <c r="AC1482" s="662"/>
      <c r="AD1482" s="662"/>
      <c r="AE1482" s="662"/>
      <c r="AF1482" s="662"/>
      <c r="AG1482" s="662"/>
      <c r="AH1482" s="662"/>
      <c r="AI1482" s="662"/>
    </row>
    <row r="1483" spans="25:35" s="80" customFormat="1">
      <c r="Y1483" s="662"/>
      <c r="Z1483" s="662"/>
      <c r="AA1483" s="662"/>
      <c r="AB1483" s="662"/>
      <c r="AC1483" s="662"/>
      <c r="AD1483" s="662"/>
      <c r="AE1483" s="662"/>
      <c r="AF1483" s="662"/>
      <c r="AG1483" s="662"/>
      <c r="AH1483" s="662"/>
      <c r="AI1483" s="662"/>
    </row>
    <row r="1484" spans="25:35" s="80" customFormat="1">
      <c r="Y1484" s="662"/>
      <c r="Z1484" s="662"/>
      <c r="AA1484" s="662"/>
      <c r="AB1484" s="662"/>
      <c r="AC1484" s="662"/>
      <c r="AD1484" s="662"/>
      <c r="AE1484" s="662"/>
      <c r="AF1484" s="662"/>
      <c r="AG1484" s="662"/>
      <c r="AH1484" s="662"/>
      <c r="AI1484" s="662"/>
    </row>
    <row r="1485" spans="25:35" s="80" customFormat="1">
      <c r="Y1485" s="662"/>
      <c r="Z1485" s="662"/>
      <c r="AA1485" s="662"/>
      <c r="AB1485" s="662"/>
      <c r="AC1485" s="662"/>
      <c r="AD1485" s="662"/>
      <c r="AE1485" s="662"/>
      <c r="AF1485" s="662"/>
      <c r="AG1485" s="662"/>
      <c r="AH1485" s="662"/>
      <c r="AI1485" s="662"/>
    </row>
    <row r="1486" spans="25:35" s="80" customFormat="1">
      <c r="Y1486" s="662"/>
      <c r="Z1486" s="662"/>
      <c r="AA1486" s="662"/>
      <c r="AB1486" s="662"/>
      <c r="AC1486" s="662"/>
      <c r="AD1486" s="662"/>
      <c r="AE1486" s="662"/>
      <c r="AF1486" s="662"/>
      <c r="AG1486" s="662"/>
      <c r="AH1486" s="662"/>
      <c r="AI1486" s="662"/>
    </row>
    <row r="1487" spans="25:35" s="80" customFormat="1">
      <c r="Y1487" s="662"/>
      <c r="Z1487" s="662"/>
      <c r="AA1487" s="662"/>
      <c r="AB1487" s="662"/>
      <c r="AC1487" s="662"/>
      <c r="AD1487" s="662"/>
      <c r="AE1487" s="662"/>
      <c r="AF1487" s="662"/>
      <c r="AG1487" s="662"/>
      <c r="AH1487" s="662"/>
      <c r="AI1487" s="662"/>
    </row>
    <row r="1488" spans="25:35" s="80" customFormat="1">
      <c r="Y1488" s="662"/>
      <c r="Z1488" s="662"/>
      <c r="AA1488" s="662"/>
      <c r="AB1488" s="662"/>
      <c r="AC1488" s="662"/>
      <c r="AD1488" s="662"/>
      <c r="AE1488" s="662"/>
      <c r="AF1488" s="662"/>
      <c r="AG1488" s="662"/>
      <c r="AH1488" s="662"/>
      <c r="AI1488" s="662"/>
    </row>
    <row r="1489" spans="25:35" s="80" customFormat="1">
      <c r="Y1489" s="662"/>
      <c r="Z1489" s="662"/>
      <c r="AA1489" s="662"/>
      <c r="AB1489" s="662"/>
      <c r="AC1489" s="662"/>
      <c r="AD1489" s="662"/>
      <c r="AE1489" s="662"/>
      <c r="AF1489" s="662"/>
      <c r="AG1489" s="662"/>
      <c r="AH1489" s="662"/>
      <c r="AI1489" s="662"/>
    </row>
    <row r="1490" spans="25:35" s="80" customFormat="1">
      <c r="Y1490" s="662"/>
      <c r="Z1490" s="662"/>
      <c r="AA1490" s="662"/>
      <c r="AB1490" s="662"/>
      <c r="AC1490" s="662"/>
      <c r="AD1490" s="662"/>
      <c r="AE1490" s="662"/>
      <c r="AF1490" s="662"/>
      <c r="AG1490" s="662"/>
      <c r="AH1490" s="662"/>
      <c r="AI1490" s="662"/>
    </row>
  </sheetData>
  <mergeCells count="1">
    <mergeCell ref="A1:AI1"/>
  </mergeCells>
  <pageMargins left="0.70866141732283472" right="0.70866141732283472" top="0.74803149606299213" bottom="0.74803149606299213" header="0.31496062992125984" footer="0.31496062992125984"/>
  <pageSetup scale="65" orientation="landscape" r:id="rId1"/>
  <colBreaks count="1" manualBreakCount="1">
    <brk id="35" max="1048575"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T80"/>
  <sheetViews>
    <sheetView view="pageBreakPreview" topLeftCell="A37" zoomScale="91" zoomScaleNormal="95" zoomScaleSheetLayoutView="91" workbookViewId="0">
      <selection activeCell="R65" sqref="R65"/>
    </sheetView>
  </sheetViews>
  <sheetFormatPr defaultColWidth="9.140625" defaultRowHeight="15.75"/>
  <cols>
    <col min="1" max="1" width="12.85546875" style="80" customWidth="1"/>
    <col min="2" max="3" width="8.85546875" style="80" customWidth="1"/>
    <col min="4" max="4" width="22.140625" style="80" customWidth="1"/>
    <col min="5" max="15" width="12.28515625" style="662" customWidth="1"/>
    <col min="16" max="16" width="18.7109375" style="80" customWidth="1"/>
    <col min="17" max="16384" width="9.140625" style="80"/>
  </cols>
  <sheetData>
    <row r="1" spans="1:20" s="220" customFormat="1" ht="30" customHeight="1">
      <c r="A1" s="1023" t="s">
        <v>150</v>
      </c>
      <c r="B1" s="1023"/>
      <c r="C1" s="1023"/>
      <c r="D1" s="1023"/>
      <c r="E1" s="1023"/>
      <c r="F1" s="1023"/>
      <c r="G1" s="1023"/>
      <c r="H1" s="1023"/>
      <c r="I1" s="1023"/>
      <c r="J1" s="1023"/>
      <c r="K1" s="1023"/>
      <c r="L1" s="1023"/>
      <c r="M1" s="1023"/>
      <c r="N1" s="1023"/>
      <c r="O1" s="1023"/>
    </row>
    <row r="2" spans="1:20" s="223" customFormat="1" ht="15" customHeight="1">
      <c r="A2" s="221"/>
      <c r="B2" s="222"/>
      <c r="C2" s="222"/>
      <c r="D2" s="222"/>
      <c r="E2" s="227"/>
      <c r="F2" s="227"/>
      <c r="G2" s="227"/>
      <c r="H2" s="227"/>
      <c r="I2" s="227"/>
      <c r="J2" s="822"/>
      <c r="K2" s="822"/>
      <c r="L2" s="822"/>
      <c r="M2" s="822"/>
      <c r="N2" s="822"/>
      <c r="O2" s="822"/>
    </row>
    <row r="3" spans="1:20" s="224" customFormat="1" ht="18.75" customHeight="1">
      <c r="A3" s="570"/>
      <c r="B3" s="568"/>
      <c r="C3" s="568"/>
      <c r="D3" s="568"/>
      <c r="E3" s="569">
        <v>2010</v>
      </c>
      <c r="F3" s="569">
        <v>2011</v>
      </c>
      <c r="G3" s="569">
        <v>2012</v>
      </c>
      <c r="H3" s="569">
        <v>2013</v>
      </c>
      <c r="I3" s="569">
        <v>2014</v>
      </c>
      <c r="J3" s="569">
        <v>2015</v>
      </c>
      <c r="K3" s="569">
        <v>2016</v>
      </c>
      <c r="L3" s="569">
        <v>2017</v>
      </c>
      <c r="M3" s="569">
        <v>2018</v>
      </c>
      <c r="N3" s="569">
        <v>2019</v>
      </c>
      <c r="O3" s="569">
        <v>2020</v>
      </c>
    </row>
    <row r="4" spans="1:20" s="224" customFormat="1" ht="18.75" customHeight="1">
      <c r="A4" s="225" t="s">
        <v>151</v>
      </c>
      <c r="B4" s="226"/>
      <c r="C4" s="226"/>
      <c r="D4" s="226"/>
      <c r="E4" s="228"/>
      <c r="F4" s="228"/>
      <c r="G4" s="228"/>
      <c r="H4" s="228"/>
      <c r="I4" s="228"/>
      <c r="J4" s="229"/>
      <c r="K4" s="229"/>
      <c r="L4" s="823"/>
      <c r="M4" s="823"/>
      <c r="N4" s="823"/>
      <c r="O4" s="823"/>
    </row>
    <row r="5" spans="1:20" s="224" customFormat="1" ht="18.75" customHeight="1">
      <c r="A5" s="571" t="s">
        <v>152</v>
      </c>
      <c r="B5" s="568"/>
      <c r="C5" s="568"/>
      <c r="D5" s="568"/>
      <c r="E5" s="572">
        <v>16866</v>
      </c>
      <c r="F5" s="572">
        <v>19435</v>
      </c>
      <c r="G5" s="572">
        <v>19282</v>
      </c>
      <c r="H5" s="572">
        <v>22106</v>
      </c>
      <c r="I5" s="572">
        <v>23821</v>
      </c>
      <c r="J5" s="572">
        <v>23488</v>
      </c>
      <c r="K5" s="572">
        <v>23718</v>
      </c>
      <c r="L5" s="572">
        <v>23384</v>
      </c>
      <c r="M5" s="572">
        <v>23820</v>
      </c>
      <c r="N5" s="572">
        <v>27560</v>
      </c>
      <c r="O5" s="572">
        <v>11906</v>
      </c>
    </row>
    <row r="6" spans="1:20" s="224" customFormat="1" ht="16.5" hidden="1" customHeight="1">
      <c r="A6" s="230"/>
      <c r="B6" s="231" t="s">
        <v>153</v>
      </c>
      <c r="C6" s="231"/>
      <c r="D6" s="231"/>
      <c r="E6" s="232">
        <v>13624</v>
      </c>
      <c r="F6" s="232">
        <v>16279</v>
      </c>
      <c r="G6" s="232">
        <v>15468</v>
      </c>
      <c r="H6" s="232">
        <v>19960</v>
      </c>
      <c r="I6" s="232">
        <v>21436</v>
      </c>
      <c r="J6" s="232">
        <v>21376</v>
      </c>
      <c r="K6" s="232"/>
      <c r="L6" s="232"/>
      <c r="M6" s="232"/>
      <c r="N6" s="232"/>
      <c r="O6" s="232"/>
    </row>
    <row r="7" spans="1:20" s="224" customFormat="1" ht="16.5" hidden="1" customHeight="1">
      <c r="A7" s="234"/>
      <c r="B7" s="235" t="s">
        <v>155</v>
      </c>
      <c r="C7" s="235"/>
      <c r="D7" s="235"/>
      <c r="E7" s="236">
        <v>1396</v>
      </c>
      <c r="F7" s="236">
        <v>970</v>
      </c>
      <c r="G7" s="236">
        <v>1836</v>
      </c>
      <c r="H7" s="236">
        <v>360</v>
      </c>
      <c r="I7" s="236">
        <v>244</v>
      </c>
      <c r="J7" s="236">
        <v>196</v>
      </c>
      <c r="K7" s="236"/>
      <c r="L7" s="236"/>
      <c r="M7" s="236"/>
      <c r="N7" s="236"/>
      <c r="O7" s="236"/>
    </row>
    <row r="8" spans="1:20" s="224" customFormat="1" ht="16.5" hidden="1" customHeight="1">
      <c r="A8" s="230"/>
      <c r="B8" s="231" t="s">
        <v>156</v>
      </c>
      <c r="C8" s="231"/>
      <c r="D8" s="231"/>
      <c r="E8" s="232">
        <v>1846</v>
      </c>
      <c r="F8" s="232">
        <v>2186</v>
      </c>
      <c r="G8" s="232">
        <v>1978</v>
      </c>
      <c r="H8" s="232">
        <v>1786</v>
      </c>
      <c r="I8" s="232">
        <v>2141</v>
      </c>
      <c r="J8" s="232">
        <v>1916</v>
      </c>
      <c r="K8" s="232"/>
      <c r="L8" s="232"/>
      <c r="M8" s="232"/>
      <c r="N8" s="232"/>
      <c r="O8" s="232"/>
    </row>
    <row r="9" spans="1:20" s="224" customFormat="1" ht="18.75" customHeight="1">
      <c r="A9" s="237" t="s">
        <v>157</v>
      </c>
      <c r="B9" s="231"/>
      <c r="C9" s="231"/>
      <c r="D9" s="231"/>
      <c r="E9" s="232">
        <f t="shared" ref="E9:K9" si="0">E10/1000</f>
        <v>2173.6</v>
      </c>
      <c r="F9" s="232">
        <f t="shared" si="0"/>
        <v>2409.1179999999999</v>
      </c>
      <c r="G9" s="232">
        <f t="shared" si="0"/>
        <v>2424.9180000000001</v>
      </c>
      <c r="H9" s="232">
        <f t="shared" si="0"/>
        <v>2863.806</v>
      </c>
      <c r="I9" s="232">
        <f t="shared" si="0"/>
        <v>3133.0369999999998</v>
      </c>
      <c r="J9" s="232">
        <f t="shared" si="0"/>
        <v>3174.0169999999998</v>
      </c>
      <c r="K9" s="232">
        <f t="shared" si="0"/>
        <v>3957.0704000000001</v>
      </c>
      <c r="L9" s="232">
        <v>3557.2750000000001</v>
      </c>
      <c r="M9" s="232">
        <v>3731.741</v>
      </c>
      <c r="N9" s="232">
        <v>4183.8609999999999</v>
      </c>
      <c r="O9" s="232">
        <v>645.904</v>
      </c>
    </row>
    <row r="10" spans="1:20" s="241" customFormat="1" ht="16.5" hidden="1" customHeight="1">
      <c r="A10" s="238" t="s">
        <v>158</v>
      </c>
      <c r="B10" s="239"/>
      <c r="C10" s="239"/>
      <c r="D10" s="239"/>
      <c r="E10" s="240">
        <v>2173600</v>
      </c>
      <c r="F10" s="240">
        <v>2409118</v>
      </c>
      <c r="G10" s="240">
        <v>2424918</v>
      </c>
      <c r="H10" s="240">
        <v>2863806</v>
      </c>
      <c r="I10" s="240">
        <v>3133037</v>
      </c>
      <c r="J10" s="240">
        <v>3174017</v>
      </c>
      <c r="K10" s="240">
        <v>3957070.4</v>
      </c>
      <c r="L10" s="240">
        <v>0</v>
      </c>
      <c r="M10" s="240">
        <v>0</v>
      </c>
      <c r="N10" s="240">
        <v>0</v>
      </c>
      <c r="O10" s="240">
        <v>0</v>
      </c>
      <c r="P10" s="224"/>
      <c r="Q10" s="224"/>
      <c r="R10" s="224"/>
      <c r="S10" s="224"/>
      <c r="T10" s="224"/>
    </row>
    <row r="11" spans="1:20" s="224" customFormat="1" ht="16.5" hidden="1" customHeight="1">
      <c r="A11" s="230"/>
      <c r="B11" s="231" t="s">
        <v>154</v>
      </c>
      <c r="C11" s="231"/>
      <c r="D11" s="231"/>
      <c r="E11" s="232">
        <v>1008743</v>
      </c>
      <c r="F11" s="232">
        <v>1128238</v>
      </c>
      <c r="G11" s="232">
        <v>1165695</v>
      </c>
      <c r="H11" s="232">
        <v>1363930</v>
      </c>
      <c r="I11" s="232">
        <v>1495338</v>
      </c>
      <c r="J11" s="232">
        <v>1533318</v>
      </c>
      <c r="K11" s="232"/>
      <c r="L11" s="232">
        <v>0</v>
      </c>
      <c r="M11" s="232">
        <v>0</v>
      </c>
      <c r="N11" s="232">
        <v>0</v>
      </c>
      <c r="O11" s="232">
        <v>0</v>
      </c>
    </row>
    <row r="12" spans="1:20" s="224" customFormat="1" ht="16.5" hidden="1" customHeight="1">
      <c r="A12" s="234"/>
      <c r="B12" s="235" t="s">
        <v>159</v>
      </c>
      <c r="C12" s="235"/>
      <c r="D12" s="235"/>
      <c r="E12" s="236">
        <v>1009847</v>
      </c>
      <c r="F12" s="236">
        <v>1146175</v>
      </c>
      <c r="G12" s="236">
        <v>1181635</v>
      </c>
      <c r="H12" s="236">
        <v>1375979</v>
      </c>
      <c r="I12" s="236">
        <v>1502105</v>
      </c>
      <c r="J12" s="236">
        <v>1521251</v>
      </c>
      <c r="K12" s="236"/>
      <c r="L12" s="236">
        <v>0</v>
      </c>
      <c r="M12" s="236">
        <v>0</v>
      </c>
      <c r="N12" s="236">
        <v>0</v>
      </c>
      <c r="O12" s="236">
        <v>0</v>
      </c>
    </row>
    <row r="13" spans="1:20" s="224" customFormat="1" ht="16.5" hidden="1" customHeight="1">
      <c r="A13" s="230"/>
      <c r="B13" s="231" t="s">
        <v>160</v>
      </c>
      <c r="C13" s="231"/>
      <c r="D13" s="231"/>
      <c r="E13" s="232">
        <v>155010</v>
      </c>
      <c r="F13" s="232">
        <v>134705</v>
      </c>
      <c r="G13" s="232">
        <v>77588</v>
      </c>
      <c r="H13" s="232">
        <v>123897</v>
      </c>
      <c r="I13" s="232">
        <v>135594</v>
      </c>
      <c r="J13" s="232">
        <v>119448</v>
      </c>
      <c r="K13" s="232"/>
      <c r="L13" s="232">
        <v>0</v>
      </c>
      <c r="M13" s="232">
        <v>0</v>
      </c>
      <c r="N13" s="232">
        <v>0</v>
      </c>
      <c r="O13" s="232">
        <v>0</v>
      </c>
    </row>
    <row r="14" spans="1:20" s="224" customFormat="1" ht="18.75" customHeight="1">
      <c r="A14" s="571" t="s">
        <v>161</v>
      </c>
      <c r="B14" s="571"/>
      <c r="C14" s="571"/>
      <c r="D14" s="571"/>
      <c r="E14" s="572">
        <f t="shared" ref="E14:K14" si="1">E15/1000</f>
        <v>1041.204</v>
      </c>
      <c r="F14" s="572">
        <f t="shared" si="1"/>
        <v>1144.7850000000001</v>
      </c>
      <c r="G14" s="572">
        <f t="shared" si="1"/>
        <v>796.51900000000001</v>
      </c>
      <c r="H14" s="572">
        <f t="shared" si="1"/>
        <v>1366.8330000000001</v>
      </c>
      <c r="I14" s="572">
        <f t="shared" si="1"/>
        <v>1343.6489999999999</v>
      </c>
      <c r="J14" s="572">
        <f t="shared" si="1"/>
        <v>1642.6379999999999</v>
      </c>
      <c r="K14" s="572">
        <f t="shared" si="1"/>
        <v>1820.856</v>
      </c>
      <c r="L14" s="572">
        <v>2025.68</v>
      </c>
      <c r="M14" s="572">
        <v>2102.8850000000002</v>
      </c>
      <c r="N14" s="572">
        <v>2385.2040000000002</v>
      </c>
      <c r="O14" s="572">
        <v>406.06200000000001</v>
      </c>
    </row>
    <row r="15" spans="1:20" s="241" customFormat="1" ht="16.5" hidden="1" customHeight="1">
      <c r="A15" s="242" t="s">
        <v>162</v>
      </c>
      <c r="B15" s="243"/>
      <c r="C15" s="243"/>
      <c r="D15" s="243"/>
      <c r="E15" s="244">
        <v>1041204</v>
      </c>
      <c r="F15" s="244">
        <v>1144785</v>
      </c>
      <c r="G15" s="244">
        <v>796519</v>
      </c>
      <c r="H15" s="244">
        <v>1366833</v>
      </c>
      <c r="I15" s="244">
        <v>1343649</v>
      </c>
      <c r="J15" s="244">
        <v>1642638</v>
      </c>
      <c r="K15" s="244">
        <v>1820856</v>
      </c>
      <c r="L15" s="824"/>
      <c r="M15" s="824"/>
      <c r="N15" s="824"/>
      <c r="O15" s="824"/>
      <c r="P15" s="224"/>
      <c r="Q15" s="224"/>
      <c r="R15" s="224"/>
      <c r="S15" s="224"/>
      <c r="T15" s="224"/>
    </row>
    <row r="16" spans="1:20" s="224" customFormat="1" ht="16.5" hidden="1" customHeight="1">
      <c r="A16" s="245"/>
      <c r="B16" s="246" t="s">
        <v>154</v>
      </c>
      <c r="C16" s="246"/>
      <c r="D16" s="246"/>
      <c r="E16" s="236">
        <v>502075</v>
      </c>
      <c r="F16" s="236">
        <v>565097</v>
      </c>
      <c r="G16" s="236">
        <v>398159</v>
      </c>
      <c r="H16" s="236">
        <v>676264</v>
      </c>
      <c r="I16" s="236">
        <v>664527</v>
      </c>
      <c r="J16" s="236">
        <v>751882</v>
      </c>
      <c r="K16" s="236"/>
      <c r="L16" s="823"/>
      <c r="M16" s="823"/>
      <c r="N16" s="823"/>
      <c r="O16" s="823"/>
    </row>
    <row r="17" spans="1:20" s="224" customFormat="1" ht="16.5" hidden="1" customHeight="1">
      <c r="A17" s="247"/>
      <c r="B17" s="227" t="s">
        <v>159</v>
      </c>
      <c r="C17" s="227"/>
      <c r="D17" s="227"/>
      <c r="E17" s="232">
        <v>539129</v>
      </c>
      <c r="F17" s="232">
        <v>579571</v>
      </c>
      <c r="G17" s="232">
        <v>398174</v>
      </c>
      <c r="H17" s="232">
        <v>690569</v>
      </c>
      <c r="I17" s="232">
        <v>679122</v>
      </c>
      <c r="J17" s="232">
        <v>890756</v>
      </c>
      <c r="K17" s="232"/>
      <c r="L17" s="823"/>
      <c r="M17" s="823"/>
      <c r="N17" s="823"/>
      <c r="O17" s="823"/>
    </row>
    <row r="18" spans="1:20" s="224" customFormat="1" ht="16.5" hidden="1" customHeight="1">
      <c r="A18" s="245"/>
      <c r="B18" s="246" t="s">
        <v>160</v>
      </c>
      <c r="C18" s="246"/>
      <c r="D18" s="246"/>
      <c r="E18" s="236" t="s">
        <v>58</v>
      </c>
      <c r="F18" s="236">
        <v>117</v>
      </c>
      <c r="G18" s="236">
        <v>186</v>
      </c>
      <c r="H18" s="236" t="s">
        <v>58</v>
      </c>
      <c r="I18" s="236" t="s">
        <v>58</v>
      </c>
      <c r="J18" s="236" t="s">
        <v>58</v>
      </c>
      <c r="K18" s="236"/>
      <c r="L18" s="823"/>
      <c r="M18" s="823"/>
      <c r="N18" s="823"/>
      <c r="O18" s="823"/>
    </row>
    <row r="19" spans="1:20" s="224" customFormat="1" ht="18.75" customHeight="1">
      <c r="A19" s="265" t="s">
        <v>186</v>
      </c>
      <c r="B19" s="226"/>
      <c r="C19" s="226"/>
      <c r="D19" s="231"/>
      <c r="E19" s="823"/>
      <c r="F19" s="823"/>
      <c r="G19" s="823"/>
      <c r="H19" s="823"/>
      <c r="I19" s="823"/>
      <c r="J19" s="823"/>
      <c r="K19" s="823"/>
      <c r="L19" s="823"/>
      <c r="M19" s="823"/>
      <c r="N19" s="823"/>
      <c r="O19" s="823"/>
    </row>
    <row r="20" spans="1:20" s="224" customFormat="1" ht="18.75" customHeight="1">
      <c r="A20" s="573" t="s">
        <v>165</v>
      </c>
      <c r="B20" s="568"/>
      <c r="C20" s="568"/>
      <c r="D20" s="574" t="s">
        <v>296</v>
      </c>
      <c r="E20" s="575">
        <v>9687</v>
      </c>
      <c r="F20" s="575">
        <v>10180</v>
      </c>
      <c r="G20" s="575">
        <v>10682</v>
      </c>
      <c r="H20" s="575">
        <v>11028</v>
      </c>
      <c r="I20" s="575">
        <v>11484</v>
      </c>
      <c r="J20" s="575">
        <v>12070</v>
      </c>
      <c r="K20" s="575">
        <v>12667</v>
      </c>
      <c r="L20" s="575">
        <v>13355</v>
      </c>
      <c r="M20" s="575">
        <v>14003</v>
      </c>
      <c r="N20" s="623">
        <v>14468</v>
      </c>
      <c r="O20" s="623">
        <v>15025</v>
      </c>
      <c r="P20" s="233"/>
    </row>
    <row r="21" spans="1:20" s="224" customFormat="1" ht="18.75" customHeight="1">
      <c r="A21" s="230"/>
      <c r="B21" s="231" t="s">
        <v>346</v>
      </c>
      <c r="C21" s="231"/>
      <c r="D21" s="231"/>
      <c r="E21" s="232">
        <v>176</v>
      </c>
      <c r="F21" s="232">
        <v>181</v>
      </c>
      <c r="G21" s="232">
        <v>185</v>
      </c>
      <c r="H21" s="232">
        <v>194</v>
      </c>
      <c r="I21" s="232">
        <v>207</v>
      </c>
      <c r="J21" s="232">
        <v>213</v>
      </c>
      <c r="K21" s="232">
        <v>217</v>
      </c>
      <c r="L21" s="232">
        <v>219</v>
      </c>
      <c r="M21" s="232">
        <v>223</v>
      </c>
      <c r="N21" s="607">
        <v>230</v>
      </c>
      <c r="O21" s="607">
        <v>233</v>
      </c>
      <c r="P21" s="233"/>
    </row>
    <row r="22" spans="1:20" s="248" customFormat="1" ht="18.75" customHeight="1">
      <c r="A22" s="571"/>
      <c r="B22" s="568" t="s">
        <v>166</v>
      </c>
      <c r="C22" s="568"/>
      <c r="D22" s="568"/>
      <c r="E22" s="572">
        <v>1968</v>
      </c>
      <c r="F22" s="572">
        <v>2104</v>
      </c>
      <c r="G22" s="572">
        <v>2253</v>
      </c>
      <c r="H22" s="572">
        <v>2378</v>
      </c>
      <c r="I22" s="572">
        <v>2540</v>
      </c>
      <c r="J22" s="572">
        <v>2794</v>
      </c>
      <c r="K22" s="572">
        <v>2960</v>
      </c>
      <c r="L22" s="572">
        <v>3326</v>
      </c>
      <c r="M22" s="572">
        <v>3693</v>
      </c>
      <c r="N22" s="624">
        <v>3868</v>
      </c>
      <c r="O22" s="624">
        <v>4016</v>
      </c>
      <c r="P22" s="233"/>
      <c r="Q22" s="224"/>
      <c r="R22" s="224"/>
      <c r="S22" s="224"/>
      <c r="T22" s="224"/>
    </row>
    <row r="23" spans="1:20" s="248" customFormat="1" ht="18.75" customHeight="1">
      <c r="A23" s="230"/>
      <c r="B23" s="231" t="s">
        <v>167</v>
      </c>
      <c r="C23" s="231"/>
      <c r="D23" s="231"/>
      <c r="E23" s="232">
        <v>508</v>
      </c>
      <c r="F23" s="232">
        <v>523</v>
      </c>
      <c r="G23" s="232">
        <v>537</v>
      </c>
      <c r="H23" s="232">
        <v>561</v>
      </c>
      <c r="I23" s="232">
        <v>567</v>
      </c>
      <c r="J23" s="232">
        <v>600</v>
      </c>
      <c r="K23" s="232">
        <v>490</v>
      </c>
      <c r="L23" s="232">
        <v>498</v>
      </c>
      <c r="M23" s="232">
        <v>498</v>
      </c>
      <c r="N23" s="607">
        <v>461</v>
      </c>
      <c r="O23" s="607">
        <v>464</v>
      </c>
      <c r="P23" s="233"/>
      <c r="Q23" s="224"/>
      <c r="R23" s="224"/>
      <c r="S23" s="224"/>
      <c r="T23" s="224"/>
    </row>
    <row r="24" spans="1:20" s="248" customFormat="1" ht="18.75" customHeight="1">
      <c r="A24" s="576"/>
      <c r="B24" s="577" t="s">
        <v>345</v>
      </c>
      <c r="C24" s="577"/>
      <c r="D24" s="577"/>
      <c r="E24" s="572">
        <v>5840</v>
      </c>
      <c r="F24" s="572">
        <v>6077</v>
      </c>
      <c r="G24" s="572">
        <v>6316</v>
      </c>
      <c r="H24" s="572">
        <v>6452</v>
      </c>
      <c r="I24" s="572">
        <v>6625</v>
      </c>
      <c r="J24" s="572">
        <v>6792</v>
      </c>
      <c r="K24" s="572">
        <v>6960</v>
      </c>
      <c r="L24" s="572">
        <v>7112</v>
      </c>
      <c r="M24" s="572">
        <v>7246</v>
      </c>
      <c r="N24" s="624">
        <v>7289</v>
      </c>
      <c r="O24" s="624">
        <v>7402</v>
      </c>
      <c r="P24" s="233"/>
      <c r="R24" s="224"/>
    </row>
    <row r="25" spans="1:20" s="248" customFormat="1" ht="18.75" customHeight="1">
      <c r="A25" s="410" t="s">
        <v>168</v>
      </c>
      <c r="B25" s="227"/>
      <c r="C25" s="227"/>
      <c r="D25" s="423" t="s">
        <v>296</v>
      </c>
      <c r="E25" s="424">
        <v>46028</v>
      </c>
      <c r="F25" s="424">
        <v>50184</v>
      </c>
      <c r="G25" s="424">
        <v>54485</v>
      </c>
      <c r="H25" s="424">
        <v>59332</v>
      </c>
      <c r="I25" s="424">
        <v>66132</v>
      </c>
      <c r="J25" s="424">
        <v>77776</v>
      </c>
      <c r="K25" s="424">
        <v>87126</v>
      </c>
      <c r="L25" s="424">
        <v>97213</v>
      </c>
      <c r="M25" s="424">
        <v>108532</v>
      </c>
      <c r="N25" s="424">
        <v>121700</v>
      </c>
      <c r="O25" s="424">
        <v>130156</v>
      </c>
      <c r="P25" s="224"/>
      <c r="R25" s="224"/>
    </row>
    <row r="26" spans="1:20" s="248" customFormat="1" ht="18.75" customHeight="1">
      <c r="A26" s="578"/>
      <c r="B26" s="577" t="s">
        <v>163</v>
      </c>
      <c r="C26" s="577"/>
      <c r="D26" s="577"/>
      <c r="E26" s="572">
        <v>3030</v>
      </c>
      <c r="F26" s="572">
        <v>3180</v>
      </c>
      <c r="G26" s="572">
        <v>3385</v>
      </c>
      <c r="H26" s="572">
        <v>3659</v>
      </c>
      <c r="I26" s="572">
        <v>4163</v>
      </c>
      <c r="J26" s="572">
        <v>4931</v>
      </c>
      <c r="K26" s="572">
        <v>5411</v>
      </c>
      <c r="L26" s="572">
        <v>5823</v>
      </c>
      <c r="M26" s="572">
        <v>6325</v>
      </c>
      <c r="N26" s="572">
        <v>6983</v>
      </c>
      <c r="O26" s="572">
        <v>7658</v>
      </c>
      <c r="P26" s="224"/>
      <c r="R26" s="224"/>
    </row>
    <row r="27" spans="1:20" s="248" customFormat="1" ht="18.75" customHeight="1">
      <c r="A27" s="247"/>
      <c r="B27" s="227" t="s">
        <v>164</v>
      </c>
      <c r="C27" s="227"/>
      <c r="D27" s="227"/>
      <c r="E27" s="232">
        <v>38010</v>
      </c>
      <c r="F27" s="232">
        <v>41662</v>
      </c>
      <c r="G27" s="232">
        <v>45499</v>
      </c>
      <c r="H27" s="232">
        <v>49819</v>
      </c>
      <c r="I27" s="232">
        <v>55552</v>
      </c>
      <c r="J27" s="232">
        <v>65520</v>
      </c>
      <c r="K27" s="232">
        <v>73301</v>
      </c>
      <c r="L27" s="232">
        <v>80859</v>
      </c>
      <c r="M27" s="232">
        <v>89897</v>
      </c>
      <c r="N27" s="232">
        <v>100513</v>
      </c>
      <c r="O27" s="232">
        <v>106821</v>
      </c>
      <c r="P27" s="224"/>
      <c r="R27" s="224"/>
    </row>
    <row r="28" spans="1:20" s="248" customFormat="1" ht="18.75" customHeight="1">
      <c r="A28" s="579" t="s">
        <v>169</v>
      </c>
      <c r="B28" s="577"/>
      <c r="C28" s="577"/>
      <c r="D28" s="577"/>
      <c r="E28" s="825"/>
      <c r="F28" s="825"/>
      <c r="G28" s="825"/>
      <c r="H28" s="825"/>
      <c r="I28" s="825"/>
      <c r="J28" s="825"/>
      <c r="K28" s="825"/>
      <c r="L28" s="825"/>
      <c r="M28" s="825"/>
      <c r="N28" s="825"/>
      <c r="O28" s="825"/>
      <c r="P28" s="224"/>
      <c r="R28" s="224"/>
    </row>
    <row r="29" spans="1:20" s="248" customFormat="1" ht="18.75" customHeight="1">
      <c r="A29" s="237" t="s">
        <v>170</v>
      </c>
      <c r="B29" s="227"/>
      <c r="C29" s="227"/>
      <c r="D29" s="227"/>
      <c r="E29" s="232">
        <v>135384</v>
      </c>
      <c r="F29" s="232">
        <v>108744</v>
      </c>
      <c r="G29" s="232">
        <v>211865</v>
      </c>
      <c r="H29" s="232">
        <v>249201</v>
      </c>
      <c r="I29" s="232">
        <v>265736</v>
      </c>
      <c r="J29" s="232">
        <v>227780.79800000001</v>
      </c>
      <c r="K29" s="232">
        <v>226471.87100000001</v>
      </c>
      <c r="L29" s="232">
        <v>171262</v>
      </c>
      <c r="M29" s="232">
        <v>139763.71100000001</v>
      </c>
      <c r="N29" s="232">
        <v>107005.435</v>
      </c>
      <c r="O29" s="607">
        <v>64849</v>
      </c>
      <c r="P29" s="224"/>
    </row>
    <row r="30" spans="1:20" s="248" customFormat="1" ht="18.75" customHeight="1">
      <c r="A30" s="576" t="s">
        <v>171</v>
      </c>
      <c r="B30" s="577"/>
      <c r="C30" s="577"/>
      <c r="D30" s="577"/>
      <c r="E30" s="572">
        <v>77503</v>
      </c>
      <c r="F30" s="572">
        <v>75974</v>
      </c>
      <c r="G30" s="572">
        <v>69830</v>
      </c>
      <c r="H30" s="572">
        <v>66557</v>
      </c>
      <c r="I30" s="572">
        <v>41974</v>
      </c>
      <c r="J30" s="572">
        <v>59160.502999999997</v>
      </c>
      <c r="K30" s="572">
        <v>52971.925082999995</v>
      </c>
      <c r="L30" s="572">
        <v>52968</v>
      </c>
      <c r="M30" s="572">
        <v>45602.603000000003</v>
      </c>
      <c r="N30" s="572">
        <v>39315.036</v>
      </c>
      <c r="O30" s="572">
        <v>30923</v>
      </c>
      <c r="P30" s="224"/>
    </row>
    <row r="31" spans="1:20" s="248" customFormat="1" ht="18.75" customHeight="1">
      <c r="A31" s="237" t="s">
        <v>172</v>
      </c>
      <c r="B31" s="227"/>
      <c r="C31" s="227"/>
      <c r="D31" s="227"/>
      <c r="E31" s="232">
        <v>1241516</v>
      </c>
      <c r="F31" s="232">
        <v>1094741</v>
      </c>
      <c r="G31" s="232">
        <v>1468840</v>
      </c>
      <c r="H31" s="232">
        <v>1571320</v>
      </c>
      <c r="I31" s="232">
        <v>1687209</v>
      </c>
      <c r="J31" s="232">
        <v>1608503.1170000001</v>
      </c>
      <c r="K31" s="232">
        <v>1578927.9920000001</v>
      </c>
      <c r="L31" s="232">
        <v>1549661</v>
      </c>
      <c r="M31" s="232">
        <v>1580069.0759999999</v>
      </c>
      <c r="N31" s="232">
        <v>1579612.37</v>
      </c>
      <c r="O31" s="232">
        <v>1659599.078</v>
      </c>
      <c r="P31" s="224"/>
    </row>
    <row r="32" spans="1:20" s="248" customFormat="1" ht="18.75" customHeight="1">
      <c r="A32" s="579" t="s">
        <v>173</v>
      </c>
      <c r="B32" s="577"/>
      <c r="C32" s="577"/>
      <c r="D32" s="577"/>
      <c r="E32" s="572"/>
      <c r="F32" s="572"/>
      <c r="G32" s="572"/>
      <c r="H32" s="572"/>
      <c r="I32" s="572"/>
      <c r="J32" s="572"/>
      <c r="K32" s="572"/>
      <c r="L32" s="826"/>
      <c r="M32" s="826"/>
      <c r="N32" s="826"/>
      <c r="O32" s="826"/>
      <c r="P32" s="224"/>
    </row>
    <row r="33" spans="1:17" s="248" customFormat="1" ht="18.75" customHeight="1">
      <c r="A33" s="237" t="s">
        <v>174</v>
      </c>
      <c r="B33" s="227"/>
      <c r="C33" s="227"/>
      <c r="D33" s="227"/>
      <c r="E33" s="232">
        <v>48019</v>
      </c>
      <c r="F33" s="232">
        <v>24084</v>
      </c>
      <c r="G33" s="232">
        <v>23140</v>
      </c>
      <c r="H33" s="232">
        <v>22557</v>
      </c>
      <c r="I33" s="232">
        <v>21478</v>
      </c>
      <c r="J33" s="232">
        <v>21911</v>
      </c>
      <c r="K33" s="232">
        <v>21136</v>
      </c>
      <c r="L33" s="232">
        <v>20377.28</v>
      </c>
      <c r="M33" s="232">
        <v>18754</v>
      </c>
      <c r="N33" s="232">
        <v>16664</v>
      </c>
      <c r="O33" s="232">
        <v>14508</v>
      </c>
      <c r="P33" s="224"/>
    </row>
    <row r="34" spans="1:17" s="248" customFormat="1" ht="18.75" customHeight="1">
      <c r="A34" s="571" t="s">
        <v>175</v>
      </c>
      <c r="B34" s="568"/>
      <c r="C34" s="568"/>
      <c r="D34" s="568"/>
      <c r="E34" s="572">
        <v>494351</v>
      </c>
      <c r="F34" s="572">
        <v>527844</v>
      </c>
      <c r="G34" s="572">
        <v>560547</v>
      </c>
      <c r="H34" s="572">
        <v>625161</v>
      </c>
      <c r="I34" s="572">
        <v>665818</v>
      </c>
      <c r="J34" s="572">
        <v>739790</v>
      </c>
      <c r="K34" s="572">
        <v>812128</v>
      </c>
      <c r="L34" s="572">
        <v>900120</v>
      </c>
      <c r="M34" s="572">
        <v>857934</v>
      </c>
      <c r="N34" s="572">
        <v>828042</v>
      </c>
      <c r="O34" s="572">
        <v>717708</v>
      </c>
      <c r="P34" s="224"/>
    </row>
    <row r="35" spans="1:17" s="248" customFormat="1" ht="18.75" customHeight="1">
      <c r="A35" s="411" t="s">
        <v>176</v>
      </c>
      <c r="B35" s="227"/>
      <c r="C35" s="227"/>
      <c r="D35" s="227"/>
      <c r="E35" s="232">
        <v>71803</v>
      </c>
      <c r="F35" s="232">
        <v>72751</v>
      </c>
      <c r="G35" s="232">
        <v>71463</v>
      </c>
      <c r="H35" s="232">
        <v>73751</v>
      </c>
      <c r="I35" s="232">
        <v>78656</v>
      </c>
      <c r="J35" s="232">
        <v>87051</v>
      </c>
      <c r="K35" s="232">
        <v>97761</v>
      </c>
      <c r="L35" s="232">
        <v>113186</v>
      </c>
      <c r="M35" s="232">
        <v>147462</v>
      </c>
      <c r="N35" s="232">
        <v>156244</v>
      </c>
      <c r="O35" s="232">
        <v>167510</v>
      </c>
      <c r="P35" s="224"/>
    </row>
    <row r="36" spans="1:17" s="248" customFormat="1" ht="18.75" customHeight="1">
      <c r="A36" s="580" t="s">
        <v>177</v>
      </c>
      <c r="B36" s="568"/>
      <c r="C36" s="568"/>
      <c r="D36" s="568"/>
      <c r="E36" s="572">
        <v>422548</v>
      </c>
      <c r="F36" s="572">
        <v>455093</v>
      </c>
      <c r="G36" s="572">
        <v>489084</v>
      </c>
      <c r="H36" s="572">
        <v>551410</v>
      </c>
      <c r="I36" s="572">
        <v>587162</v>
      </c>
      <c r="J36" s="572">
        <v>652739</v>
      </c>
      <c r="K36" s="572">
        <v>714367</v>
      </c>
      <c r="L36" s="572">
        <v>786934</v>
      </c>
      <c r="M36" s="572">
        <v>710472</v>
      </c>
      <c r="N36" s="572">
        <v>671798</v>
      </c>
      <c r="O36" s="572">
        <v>550198</v>
      </c>
      <c r="P36" s="224"/>
    </row>
    <row r="37" spans="1:17" s="248" customFormat="1" ht="18.75" customHeight="1">
      <c r="A37" s="225" t="s">
        <v>349</v>
      </c>
      <c r="E37" s="827"/>
      <c r="F37" s="827"/>
      <c r="G37" s="827"/>
      <c r="H37" s="827"/>
      <c r="I37" s="827"/>
      <c r="J37" s="827"/>
      <c r="K37" s="827"/>
      <c r="L37" s="827"/>
      <c r="M37" s="827"/>
      <c r="N37" s="827"/>
      <c r="O37" s="827"/>
    </row>
    <row r="38" spans="1:17" s="248" customFormat="1" ht="18.75" customHeight="1">
      <c r="A38" s="581" t="s">
        <v>347</v>
      </c>
      <c r="B38" s="571"/>
      <c r="C38" s="571"/>
      <c r="D38" s="571"/>
      <c r="E38" s="583">
        <v>1.5461127548180071</v>
      </c>
      <c r="F38" s="583">
        <v>1.6234610238823872</v>
      </c>
      <c r="G38" s="583">
        <v>1.6952778147417829</v>
      </c>
      <c r="H38" s="583">
        <v>1.859358641857809</v>
      </c>
      <c r="I38" s="583">
        <v>1.5217479744477584</v>
      </c>
      <c r="J38" s="583">
        <v>1.6279370454836737</v>
      </c>
      <c r="K38" s="583">
        <v>1.7190586534173582</v>
      </c>
      <c r="L38" s="583">
        <v>1.8310422392785226</v>
      </c>
      <c r="M38" s="583">
        <v>1.675529193047653</v>
      </c>
      <c r="N38" s="583">
        <v>1.5508105065133537</v>
      </c>
      <c r="O38" s="583">
        <v>1.2875392496623388</v>
      </c>
    </row>
    <row r="39" spans="1:17" ht="18.75" customHeight="1">
      <c r="A39" s="565" t="s">
        <v>348</v>
      </c>
      <c r="B39" s="237"/>
      <c r="C39" s="237"/>
      <c r="D39" s="237"/>
      <c r="E39" s="567">
        <v>0.15018233678824539</v>
      </c>
      <c r="F39" s="567">
        <v>7.4073846248481401E-2</v>
      </c>
      <c r="G39" s="567">
        <v>6.9982942791817382E-2</v>
      </c>
      <c r="H39" s="567">
        <v>6.7089202436470929E-2</v>
      </c>
      <c r="I39" s="567">
        <v>4.9088644337024465E-2</v>
      </c>
      <c r="J39" s="567">
        <v>4.8216018875076407E-2</v>
      </c>
      <c r="K39" s="567">
        <v>4.4738816425151616E-2</v>
      </c>
      <c r="L39" s="567">
        <v>4.1451873529757648E-2</v>
      </c>
      <c r="M39" s="567">
        <v>3.6626214238409581E-2</v>
      </c>
      <c r="N39" s="567">
        <v>3.1209414837095856E-2</v>
      </c>
      <c r="O39" s="567">
        <v>2.6026767758059285E-2</v>
      </c>
      <c r="Q39" s="248"/>
    </row>
    <row r="40" spans="1:17" ht="18.75" customHeight="1">
      <c r="A40" s="581" t="s">
        <v>408</v>
      </c>
      <c r="B40" s="584"/>
      <c r="C40" s="584"/>
      <c r="D40" s="584"/>
      <c r="E40" s="583" t="s">
        <v>58</v>
      </c>
      <c r="F40" s="583" t="s">
        <v>58</v>
      </c>
      <c r="G40" s="583">
        <v>5.4528628285932038E-2</v>
      </c>
      <c r="H40" s="583">
        <v>6.0528100314076329E-2</v>
      </c>
      <c r="I40" s="583">
        <v>4.5349514895951182E-2</v>
      </c>
      <c r="J40" s="583">
        <v>5.1008503378406789E-2</v>
      </c>
      <c r="K40" s="583">
        <v>6.3478724976029841E-2</v>
      </c>
      <c r="L40" s="583">
        <v>7.3233959534579937E-2</v>
      </c>
      <c r="M40" s="583">
        <v>9.2561556138926207E-2</v>
      </c>
      <c r="N40" s="583">
        <v>9.9578335182042108E-2</v>
      </c>
      <c r="O40" s="583">
        <v>0.11424832538406435</v>
      </c>
      <c r="Q40" s="248"/>
    </row>
    <row r="41" spans="1:17" ht="18.75" customHeight="1">
      <c r="A41" s="566" t="s">
        <v>409</v>
      </c>
      <c r="B41" s="585"/>
      <c r="C41" s="585"/>
      <c r="D41" s="585"/>
      <c r="E41" s="586" t="s">
        <v>58</v>
      </c>
      <c r="F41" s="586" t="s">
        <v>58</v>
      </c>
      <c r="G41" s="586">
        <v>0.25860118795591702</v>
      </c>
      <c r="H41" s="586">
        <v>0.26785119444180072</v>
      </c>
      <c r="I41" s="586">
        <v>0.39332396265441621</v>
      </c>
      <c r="J41" s="586">
        <v>0.50132688695723182</v>
      </c>
      <c r="K41" s="586">
        <v>0.56080105902078814</v>
      </c>
      <c r="L41" s="586">
        <v>0.56322063493285601</v>
      </c>
      <c r="M41" s="586">
        <v>0.56105446585392671</v>
      </c>
      <c r="N41" s="586">
        <v>0.50350652382677397</v>
      </c>
      <c r="O41" s="586">
        <v>0.45209399751452728</v>
      </c>
      <c r="Q41" s="248"/>
    </row>
    <row r="42" spans="1:17" ht="16.5" customHeight="1">
      <c r="A42" s="249" t="s">
        <v>100</v>
      </c>
      <c r="Q42" s="248"/>
    </row>
    <row r="43" spans="1:17" ht="16.5" customHeight="1">
      <c r="A43" s="250" t="s">
        <v>179</v>
      </c>
      <c r="Q43" s="248"/>
    </row>
    <row r="44" spans="1:17" ht="16.5" customHeight="1">
      <c r="A44" s="250" t="s">
        <v>410</v>
      </c>
      <c r="Q44" s="248"/>
    </row>
    <row r="45" spans="1:17" ht="16.5" customHeight="1">
      <c r="A45" s="65" t="s">
        <v>178</v>
      </c>
      <c r="Q45" s="248"/>
    </row>
    <row r="46" spans="1:17" ht="16.5" customHeight="1">
      <c r="A46" s="250" t="s">
        <v>411</v>
      </c>
    </row>
    <row r="47" spans="1:17" ht="16.5" customHeight="1">
      <c r="A47" s="80" t="s">
        <v>412</v>
      </c>
    </row>
    <row r="48" spans="1:17" ht="16.5" customHeight="1"/>
    <row r="49" ht="16.5" customHeight="1"/>
    <row r="50" ht="16.5" customHeight="1"/>
    <row r="51" ht="16.5" customHeight="1"/>
    <row r="52" ht="16.5" customHeight="1"/>
    <row r="74" spans="1:4">
      <c r="B74" s="174"/>
      <c r="C74" s="174"/>
      <c r="D74" s="174"/>
    </row>
    <row r="78" spans="1:4">
      <c r="A78" s="70"/>
    </row>
    <row r="79" spans="1:4">
      <c r="A79" s="70"/>
    </row>
    <row r="80" spans="1:4">
      <c r="A80" s="70"/>
    </row>
  </sheetData>
  <mergeCells count="1">
    <mergeCell ref="A1:O1"/>
  </mergeCells>
  <pageMargins left="0.7" right="0.7" top="0.75" bottom="0.75" header="0.3" footer="0.3"/>
  <pageSetup paperSize="9" scale="69" orientation="landscape" horizontalDpi="4294967295" verticalDpi="4294967295" r:id="rId1"/>
  <rowBreaks count="1" manualBreakCount="1">
    <brk id="48" max="29" man="1"/>
  </rowBreaks>
  <colBreaks count="1" manualBreakCount="1">
    <brk id="15" max="83"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B980"/>
  <sheetViews>
    <sheetView view="pageBreakPreview" zoomScale="95" zoomScaleNormal="98" zoomScaleSheetLayoutView="95" workbookViewId="0">
      <selection activeCell="S12" sqref="S12"/>
    </sheetView>
  </sheetViews>
  <sheetFormatPr defaultColWidth="9.140625" defaultRowHeight="15"/>
  <cols>
    <col min="1" max="1" width="13.7109375" style="79" customWidth="1"/>
    <col min="2" max="2" width="12.140625" style="79" customWidth="1"/>
    <col min="3" max="3" width="16.28515625" style="79" customWidth="1"/>
    <col min="4" max="4" width="0.85546875" style="79" customWidth="1"/>
    <col min="5" max="5" width="9.140625" style="79" customWidth="1"/>
    <col min="6" max="9" width="11.5703125" style="42" customWidth="1"/>
    <col min="10" max="16" width="11.5703125" style="80" customWidth="1"/>
    <col min="17" max="18" width="8" style="80" bestFit="1" customWidth="1"/>
    <col min="19" max="22" width="15.140625" style="80" customWidth="1"/>
    <col min="23" max="25" width="9" style="80" bestFit="1" customWidth="1"/>
    <col min="26" max="26" width="10.140625" style="80" bestFit="1" customWidth="1"/>
    <col min="27" max="27" width="9" style="80" bestFit="1" customWidth="1"/>
    <col min="28" max="28" width="11.28515625" style="80" bestFit="1" customWidth="1"/>
    <col min="29" max="29" width="8.7109375" style="80" bestFit="1" customWidth="1"/>
    <col min="30" max="30" width="10" style="80" customWidth="1"/>
    <col min="31" max="33" width="9.140625" style="80"/>
    <col min="34" max="36" width="14.28515625" style="80" customWidth="1"/>
    <col min="37" max="54" width="9.140625" style="80"/>
    <col min="55" max="16384" width="9.140625" style="42"/>
  </cols>
  <sheetData>
    <row r="1" spans="1:54" ht="28.5">
      <c r="A1" s="1023" t="s">
        <v>180</v>
      </c>
      <c r="B1" s="1023"/>
      <c r="C1" s="1023"/>
      <c r="D1" s="1023"/>
      <c r="E1" s="1023"/>
      <c r="F1" s="1023"/>
      <c r="G1" s="1023"/>
      <c r="H1" s="1023"/>
      <c r="I1" s="1023"/>
      <c r="J1" s="1023"/>
      <c r="K1" s="1023"/>
      <c r="L1" s="1023"/>
      <c r="M1" s="1023"/>
      <c r="N1" s="1023"/>
      <c r="O1" s="1023"/>
      <c r="P1" s="1023"/>
      <c r="AF1" s="42"/>
      <c r="AG1" s="42"/>
      <c r="AH1" s="42"/>
      <c r="AI1" s="42"/>
      <c r="AJ1" s="42"/>
      <c r="AK1" s="42"/>
      <c r="AL1" s="42"/>
      <c r="AM1" s="42"/>
      <c r="AN1" s="42"/>
      <c r="AO1" s="42"/>
      <c r="AP1" s="42"/>
      <c r="AQ1" s="42"/>
      <c r="AR1" s="42"/>
      <c r="AS1" s="42"/>
      <c r="AT1" s="42"/>
      <c r="AU1" s="42"/>
      <c r="AV1" s="42"/>
      <c r="AW1" s="42"/>
      <c r="AX1" s="42"/>
      <c r="AY1" s="42"/>
      <c r="AZ1" s="42"/>
      <c r="BA1" s="42"/>
      <c r="BB1" s="42"/>
    </row>
    <row r="2" spans="1:54" ht="20.25" customHeight="1">
      <c r="A2" s="594"/>
      <c r="B2" s="594"/>
      <c r="C2" s="594"/>
      <c r="D2" s="594"/>
      <c r="E2" s="594"/>
      <c r="F2" s="595">
        <v>2010</v>
      </c>
      <c r="G2" s="595">
        <v>2011</v>
      </c>
      <c r="H2" s="595">
        <v>2012</v>
      </c>
      <c r="I2" s="595">
        <v>2013</v>
      </c>
      <c r="J2" s="595">
        <v>2014</v>
      </c>
      <c r="K2" s="595">
        <v>2015</v>
      </c>
      <c r="L2" s="595">
        <v>2016</v>
      </c>
      <c r="M2" s="595">
        <v>2017</v>
      </c>
      <c r="N2" s="595">
        <v>2018</v>
      </c>
      <c r="O2" s="595">
        <v>2019</v>
      </c>
      <c r="P2" s="595">
        <v>2020</v>
      </c>
      <c r="AK2" s="42"/>
      <c r="AL2" s="42"/>
      <c r="AM2" s="42"/>
      <c r="AN2" s="42"/>
      <c r="AO2" s="42"/>
      <c r="AP2" s="42"/>
      <c r="AQ2" s="42"/>
      <c r="AR2" s="42"/>
      <c r="AS2" s="42"/>
      <c r="AT2" s="42"/>
      <c r="AU2" s="42"/>
      <c r="AV2" s="42"/>
      <c r="AW2" s="42"/>
      <c r="AX2" s="42"/>
      <c r="AY2" s="42"/>
      <c r="AZ2" s="42"/>
      <c r="BA2" s="42"/>
      <c r="BB2" s="42"/>
    </row>
    <row r="3" spans="1:54" ht="20.25" customHeight="1">
      <c r="A3" s="412" t="s">
        <v>187</v>
      </c>
      <c r="B3" s="252"/>
      <c r="C3" s="252"/>
      <c r="D3" s="253"/>
      <c r="E3" s="254"/>
      <c r="F3" s="255">
        <v>195723</v>
      </c>
      <c r="G3" s="255">
        <v>211889</v>
      </c>
      <c r="H3" s="255">
        <v>219663</v>
      </c>
      <c r="I3" s="255">
        <v>232023</v>
      </c>
      <c r="J3" s="255">
        <v>239067</v>
      </c>
      <c r="K3" s="255">
        <v>260445.08562</v>
      </c>
      <c r="L3" s="255">
        <v>271814.04891000001</v>
      </c>
      <c r="M3" s="255">
        <v>304527.45199199999</v>
      </c>
      <c r="N3" s="255">
        <v>318850.96300000005</v>
      </c>
      <c r="O3" s="255">
        <v>356353.60600000003</v>
      </c>
      <c r="P3" s="255">
        <v>349092.49200000003</v>
      </c>
      <c r="Q3" s="256"/>
      <c r="R3" s="256"/>
      <c r="S3" s="256"/>
      <c r="T3" s="256"/>
      <c r="U3" s="256"/>
      <c r="V3" s="256"/>
      <c r="W3" s="256"/>
      <c r="AE3" s="258"/>
      <c r="AK3" s="42"/>
      <c r="AL3" s="42"/>
      <c r="AM3" s="42"/>
      <c r="AN3" s="42"/>
      <c r="AO3" s="42"/>
      <c r="AP3" s="42"/>
      <c r="AQ3" s="42"/>
      <c r="AR3" s="42"/>
      <c r="AS3" s="42"/>
      <c r="AT3" s="42"/>
      <c r="AU3" s="42"/>
      <c r="AV3" s="42"/>
      <c r="AW3" s="42"/>
      <c r="AX3" s="42"/>
      <c r="AY3" s="42"/>
      <c r="AZ3" s="42"/>
      <c r="BA3" s="42"/>
      <c r="BB3" s="42"/>
    </row>
    <row r="4" spans="1:54" ht="20.25" customHeight="1">
      <c r="A4" s="597" t="s">
        <v>181</v>
      </c>
      <c r="B4" s="598"/>
      <c r="C4" s="594"/>
      <c r="D4" s="594"/>
      <c r="E4" s="594"/>
      <c r="F4" s="599">
        <v>4.6031746031746037</v>
      </c>
      <c r="G4" s="599">
        <f t="shared" ref="G4:K4" si="0">((G3-F3)/F3)*100</f>
        <v>8.259632235353024</v>
      </c>
      <c r="H4" s="599">
        <f t="shared" si="0"/>
        <v>3.6689021138426252</v>
      </c>
      <c r="I4" s="599">
        <f t="shared" si="0"/>
        <v>5.6268010543423337</v>
      </c>
      <c r="J4" s="599">
        <f t="shared" si="0"/>
        <v>3.0359059231196905</v>
      </c>
      <c r="K4" s="599">
        <f t="shared" si="0"/>
        <v>8.9422988618253463</v>
      </c>
      <c r="L4" s="599">
        <f>((L3-K3)/K3)*100</f>
        <v>4.3652055338021603</v>
      </c>
      <c r="M4" s="599">
        <f>((M3-L3)/L3)*100</f>
        <v>12.035214225748746</v>
      </c>
      <c r="N4" s="599">
        <f>((N3-M3)/M3)*100</f>
        <v>4.7035204590935669</v>
      </c>
      <c r="O4" s="599">
        <f>((O3-N3)/N3)*100</f>
        <v>11.76180954485622</v>
      </c>
      <c r="P4" s="599">
        <f>((P3-O3)/O3)*100</f>
        <v>-2.0376148515808765</v>
      </c>
      <c r="AK4" s="42"/>
      <c r="AL4" s="42"/>
      <c r="AM4" s="42"/>
      <c r="AN4" s="42"/>
      <c r="AO4" s="42"/>
      <c r="AP4" s="42"/>
      <c r="AQ4" s="42"/>
      <c r="AR4" s="42"/>
      <c r="AS4" s="42"/>
      <c r="AT4" s="42"/>
      <c r="AU4" s="42"/>
      <c r="AV4" s="42"/>
      <c r="AW4" s="42"/>
      <c r="AX4" s="42"/>
      <c r="AY4" s="42"/>
      <c r="AZ4" s="42"/>
      <c r="BA4" s="42"/>
      <c r="BB4" s="42"/>
    </row>
    <row r="5" spans="1:54" ht="20.25" customHeight="1">
      <c r="A5" s="418" t="s">
        <v>358</v>
      </c>
      <c r="B5" s="62"/>
      <c r="C5" s="62"/>
      <c r="D5" s="62"/>
      <c r="E5" s="62"/>
      <c r="F5" s="420"/>
      <c r="G5" s="420"/>
      <c r="H5" s="420"/>
      <c r="I5" s="420"/>
      <c r="J5" s="420"/>
      <c r="K5" s="420"/>
      <c r="L5" s="420"/>
      <c r="M5" s="420"/>
      <c r="N5" s="420"/>
      <c r="O5" s="420"/>
      <c r="P5" s="256"/>
      <c r="Q5" s="256"/>
      <c r="R5" s="256"/>
      <c r="AK5" s="42"/>
      <c r="AL5" s="42"/>
      <c r="AM5" s="42"/>
      <c r="AN5" s="42"/>
      <c r="AO5" s="42"/>
      <c r="AP5" s="42"/>
      <c r="AQ5" s="42"/>
      <c r="AR5" s="42"/>
      <c r="AS5" s="42"/>
      <c r="AT5" s="42"/>
      <c r="AU5" s="42"/>
      <c r="AV5" s="42"/>
      <c r="AW5" s="42"/>
      <c r="AX5" s="42"/>
      <c r="AY5" s="42"/>
      <c r="AZ5" s="42"/>
      <c r="BA5" s="42"/>
      <c r="BB5" s="42"/>
    </row>
    <row r="6" spans="1:54" s="80" customFormat="1" ht="20.25" customHeight="1">
      <c r="A6" s="600" t="s">
        <v>350</v>
      </c>
      <c r="B6" s="596"/>
      <c r="C6" s="596"/>
      <c r="D6" s="596"/>
      <c r="E6" s="596"/>
      <c r="F6" s="601">
        <v>217331</v>
      </c>
      <c r="G6" s="601">
        <v>231445</v>
      </c>
      <c r="H6" s="601">
        <v>243768</v>
      </c>
      <c r="I6" s="601">
        <v>254761.10599999997</v>
      </c>
      <c r="J6" s="601">
        <v>269868.86499999999</v>
      </c>
      <c r="K6" s="601">
        <v>308896.36499999999</v>
      </c>
      <c r="L6" s="601">
        <v>326328.94900000002</v>
      </c>
      <c r="M6" s="601">
        <v>336961.61200000002</v>
      </c>
      <c r="N6" s="601">
        <v>355074.59600000002</v>
      </c>
      <c r="O6" s="601">
        <v>385812.93400000001</v>
      </c>
      <c r="P6" s="601">
        <v>378693.30499999999</v>
      </c>
      <c r="U6" s="57"/>
    </row>
    <row r="7" spans="1:54" s="80" customFormat="1" ht="20.25" customHeight="1">
      <c r="A7" s="419" t="s">
        <v>351</v>
      </c>
      <c r="B7" s="37"/>
      <c r="C7" s="37"/>
      <c r="D7" s="37"/>
      <c r="E7" s="37"/>
      <c r="F7" s="255">
        <v>7549.26</v>
      </c>
      <c r="G7" s="255">
        <v>8549.7899999999991</v>
      </c>
      <c r="H7" s="255">
        <v>9688.6831499999989</v>
      </c>
      <c r="I7" s="255">
        <v>9543.8009999999995</v>
      </c>
      <c r="J7" s="255">
        <v>9628.0102999999999</v>
      </c>
      <c r="K7" s="255">
        <v>11481.522000000001</v>
      </c>
      <c r="L7" s="255">
        <v>11757.770500000001</v>
      </c>
      <c r="M7" s="255">
        <v>12832.3598</v>
      </c>
      <c r="N7" s="255">
        <v>12894.157599999999</v>
      </c>
      <c r="O7" s="255">
        <v>13717.57</v>
      </c>
      <c r="P7" s="255">
        <v>14302.894999999999</v>
      </c>
      <c r="U7" s="57"/>
    </row>
    <row r="8" spans="1:54" s="80" customFormat="1" ht="20.25" customHeight="1">
      <c r="A8" s="600" t="s">
        <v>352</v>
      </c>
      <c r="B8" s="594"/>
      <c r="C8" s="594"/>
      <c r="D8" s="594"/>
      <c r="E8" s="594"/>
      <c r="F8" s="601">
        <v>10825.575000000001</v>
      </c>
      <c r="G8" s="601">
        <v>12493.598</v>
      </c>
      <c r="H8" s="601">
        <v>15539.532000000001</v>
      </c>
      <c r="I8" s="601">
        <v>16372.368000000002</v>
      </c>
      <c r="J8" s="601">
        <v>22833.381000000001</v>
      </c>
      <c r="K8" s="601">
        <v>30152.284</v>
      </c>
      <c r="L8" s="601">
        <v>38686.745119999992</v>
      </c>
      <c r="M8" s="601">
        <v>51073.592000000004</v>
      </c>
      <c r="N8" s="601">
        <v>69298.35716</v>
      </c>
      <c r="O8" s="601">
        <v>80746.890010000003</v>
      </c>
      <c r="P8" s="601">
        <v>90329.84</v>
      </c>
      <c r="U8" s="57"/>
    </row>
    <row r="9" spans="1:54" s="80" customFormat="1" ht="20.25" customHeight="1">
      <c r="A9" s="418" t="s">
        <v>182</v>
      </c>
      <c r="B9" s="37"/>
      <c r="C9" s="37"/>
      <c r="D9" s="37"/>
      <c r="E9" s="37"/>
      <c r="F9" s="255"/>
      <c r="G9" s="255"/>
      <c r="H9" s="255"/>
      <c r="I9" s="256"/>
      <c r="J9" s="256"/>
      <c r="K9" s="256"/>
      <c r="L9" s="256"/>
      <c r="M9" s="256"/>
      <c r="N9" s="256"/>
      <c r="O9" s="256"/>
      <c r="P9" s="256"/>
    </row>
    <row r="10" spans="1:54" s="80" customFormat="1" ht="20.25" customHeight="1">
      <c r="A10" s="600" t="s">
        <v>356</v>
      </c>
      <c r="B10" s="600"/>
      <c r="C10" s="600"/>
      <c r="D10" s="600"/>
      <c r="E10" s="600"/>
      <c r="F10" s="599">
        <v>4.2915139067508683</v>
      </c>
      <c r="G10" s="599">
        <f t="shared" ref="G10:P10" si="1">((G6-F6)/F6)*100</f>
        <v>6.4942415025928195</v>
      </c>
      <c r="H10" s="599">
        <f t="shared" si="1"/>
        <v>5.3243751215191519</v>
      </c>
      <c r="I10" s="599">
        <f t="shared" si="1"/>
        <v>4.5096591841422873</v>
      </c>
      <c r="J10" s="599">
        <f t="shared" si="1"/>
        <v>5.9301669855366468</v>
      </c>
      <c r="K10" s="599">
        <f t="shared" si="1"/>
        <v>14.461653440458944</v>
      </c>
      <c r="L10" s="599">
        <f t="shared" si="1"/>
        <v>5.643505711049734</v>
      </c>
      <c r="M10" s="599">
        <f t="shared" si="1"/>
        <v>3.2582653278486791</v>
      </c>
      <c r="N10" s="599">
        <f t="shared" si="1"/>
        <v>5.3753850156676002</v>
      </c>
      <c r="O10" s="599">
        <f t="shared" si="1"/>
        <v>8.6568676966121192</v>
      </c>
      <c r="P10" s="599">
        <f t="shared" si="1"/>
        <v>-1.8453577816030435</v>
      </c>
    </row>
    <row r="11" spans="1:54" s="80" customFormat="1" ht="20.25" customHeight="1">
      <c r="A11" s="419" t="s">
        <v>351</v>
      </c>
      <c r="B11" s="419"/>
      <c r="C11" s="419"/>
      <c r="D11" s="419"/>
      <c r="E11" s="419"/>
      <c r="F11" s="421">
        <v>-2.0947932019891575</v>
      </c>
      <c r="G11" s="421">
        <f t="shared" ref="G11:P11" si="2">((G7-F7)/F7)*100</f>
        <v>13.253351984167969</v>
      </c>
      <c r="H11" s="421">
        <f t="shared" si="2"/>
        <v>13.3207148947518</v>
      </c>
      <c r="I11" s="421">
        <f t="shared" si="2"/>
        <v>-1.4953750448532261</v>
      </c>
      <c r="J11" s="421">
        <f t="shared" si="2"/>
        <v>0.88234551411958873</v>
      </c>
      <c r="K11" s="421">
        <f t="shared" si="2"/>
        <v>19.251243426692231</v>
      </c>
      <c r="L11" s="421">
        <f t="shared" si="2"/>
        <v>2.4060268316343398</v>
      </c>
      <c r="M11" s="421">
        <f t="shared" si="2"/>
        <v>9.1393967929549191</v>
      </c>
      <c r="N11" s="421">
        <f t="shared" si="2"/>
        <v>0.48157783107046659</v>
      </c>
      <c r="O11" s="421">
        <f t="shared" si="2"/>
        <v>6.3859340450437898</v>
      </c>
      <c r="P11" s="421">
        <f t="shared" si="2"/>
        <v>4.2669729405426686</v>
      </c>
    </row>
    <row r="12" spans="1:54" s="80" customFormat="1" ht="20.25" customHeight="1">
      <c r="A12" s="600" t="s">
        <v>352</v>
      </c>
      <c r="B12" s="600"/>
      <c r="C12" s="600"/>
      <c r="D12" s="600"/>
      <c r="E12" s="600"/>
      <c r="F12" s="599">
        <v>25.481484263371229</v>
      </c>
      <c r="G12" s="599">
        <f t="shared" ref="G12:P12" si="3">((G8-F8)/F8)*100</f>
        <v>15.408170004826523</v>
      </c>
      <c r="H12" s="599">
        <f t="shared" si="3"/>
        <v>24.37995843951439</v>
      </c>
      <c r="I12" s="599">
        <f t="shared" si="3"/>
        <v>5.3594664240853653</v>
      </c>
      <c r="J12" s="599">
        <f t="shared" si="3"/>
        <v>39.462910924064246</v>
      </c>
      <c r="K12" s="599">
        <f t="shared" si="3"/>
        <v>32.053522866368318</v>
      </c>
      <c r="L12" s="599">
        <f t="shared" si="3"/>
        <v>28.30452618448404</v>
      </c>
      <c r="M12" s="599">
        <f t="shared" si="3"/>
        <v>32.018322662136676</v>
      </c>
      <c r="N12" s="599">
        <f t="shared" si="3"/>
        <v>35.683343282375738</v>
      </c>
      <c r="O12" s="599">
        <f t="shared" si="3"/>
        <v>16.520641064501685</v>
      </c>
      <c r="P12" s="599">
        <f t="shared" si="3"/>
        <v>11.867887405710864</v>
      </c>
      <c r="Q12" s="256"/>
      <c r="R12" s="256"/>
    </row>
    <row r="13" spans="1:54" s="80" customFormat="1" ht="14.25" customHeight="1">
      <c r="A13" s="422" t="s">
        <v>357</v>
      </c>
      <c r="I13" s="459"/>
      <c r="J13" s="459"/>
      <c r="K13" s="459"/>
      <c r="L13" s="459"/>
      <c r="M13" s="459"/>
      <c r="N13" s="459"/>
      <c r="O13" s="459"/>
      <c r="P13" s="256"/>
      <c r="Q13" s="256"/>
      <c r="R13" s="256"/>
    </row>
    <row r="14" spans="1:54" s="80" customFormat="1">
      <c r="P14" s="256"/>
      <c r="Q14" s="256"/>
      <c r="R14" s="256"/>
    </row>
    <row r="15" spans="1:54" s="115" customFormat="1" ht="22.5" customHeight="1">
      <c r="A15" s="979" t="s">
        <v>183</v>
      </c>
      <c r="B15" s="593"/>
      <c r="C15" s="593"/>
      <c r="D15" s="593"/>
      <c r="E15" s="593"/>
      <c r="F15" s="593"/>
      <c r="G15" s="593"/>
      <c r="H15" s="593"/>
      <c r="I15" s="593"/>
      <c r="J15" s="593"/>
      <c r="K15" s="593"/>
      <c r="L15" s="593"/>
      <c r="M15" s="593"/>
      <c r="N15" s="593"/>
      <c r="O15" s="593"/>
      <c r="P15" s="593"/>
      <c r="Q15" s="47"/>
      <c r="R15" s="47"/>
      <c r="S15" s="416"/>
      <c r="T15" s="416"/>
      <c r="U15" s="416"/>
      <c r="V15" s="416"/>
      <c r="W15" s="416"/>
      <c r="X15" s="416"/>
      <c r="Y15" s="416"/>
      <c r="Z15" s="416"/>
      <c r="AA15" s="416"/>
      <c r="AB15" s="47"/>
      <c r="AC15" s="416"/>
      <c r="AD15" s="47"/>
      <c r="AE15" s="47"/>
    </row>
    <row r="16" spans="1:54" s="115" customFormat="1" ht="20.25" customHeight="1">
      <c r="A16" s="602"/>
      <c r="B16" s="602"/>
      <c r="C16" s="602"/>
      <c r="D16" s="602"/>
      <c r="E16" s="602"/>
      <c r="F16" s="595">
        <v>2010</v>
      </c>
      <c r="G16" s="595">
        <v>2011</v>
      </c>
      <c r="H16" s="595">
        <v>2012</v>
      </c>
      <c r="I16" s="595">
        <v>2013</v>
      </c>
      <c r="J16" s="595">
        <v>2014</v>
      </c>
      <c r="K16" s="595">
        <v>2015</v>
      </c>
      <c r="L16" s="595">
        <v>2016</v>
      </c>
      <c r="M16" s="595">
        <v>2017</v>
      </c>
      <c r="N16" s="595">
        <v>2018</v>
      </c>
      <c r="O16" s="595">
        <v>2019</v>
      </c>
      <c r="P16" s="595">
        <v>2020</v>
      </c>
      <c r="Q16" s="47"/>
      <c r="R16" s="47"/>
      <c r="S16" s="416"/>
      <c r="T16" s="416"/>
      <c r="U16" s="416"/>
      <c r="V16" s="416"/>
      <c r="W16" s="416"/>
      <c r="X16" s="416"/>
      <c r="Y16" s="416"/>
      <c r="Z16" s="416"/>
      <c r="AA16" s="416"/>
      <c r="AB16" s="47"/>
      <c r="AC16" s="416"/>
      <c r="AD16" s="47"/>
      <c r="AE16" s="47"/>
    </row>
    <row r="17" spans="1:54" s="115" customFormat="1" ht="21.75" customHeight="1">
      <c r="A17" s="418" t="s">
        <v>353</v>
      </c>
      <c r="B17" s="417"/>
      <c r="C17" s="417"/>
      <c r="D17" s="417"/>
      <c r="E17" s="417"/>
      <c r="F17" s="413"/>
      <c r="G17" s="413"/>
      <c r="H17" s="413"/>
      <c r="I17" s="413"/>
      <c r="J17" s="413"/>
      <c r="K17" s="413"/>
      <c r="L17" s="413"/>
      <c r="M17" s="413"/>
      <c r="N17" s="413"/>
      <c r="O17" s="413"/>
      <c r="P17" s="47"/>
      <c r="Q17" s="47"/>
      <c r="R17" s="47"/>
      <c r="S17" s="47"/>
      <c r="T17" s="47"/>
      <c r="U17" s="47"/>
      <c r="V17" s="47"/>
      <c r="W17" s="47"/>
      <c r="X17" s="47"/>
      <c r="Y17" s="47"/>
      <c r="Z17" s="47"/>
      <c r="AA17" s="47"/>
      <c r="AB17" s="47"/>
      <c r="AC17" s="47"/>
      <c r="AD17" s="47"/>
      <c r="AE17" s="47"/>
    </row>
    <row r="18" spans="1:54" s="115" customFormat="1" ht="21.75" customHeight="1">
      <c r="A18" s="600" t="s">
        <v>350</v>
      </c>
      <c r="B18" s="602"/>
      <c r="C18" s="602"/>
      <c r="D18" s="602"/>
      <c r="E18" s="602"/>
      <c r="F18" s="601">
        <v>3649.8</v>
      </c>
      <c r="G18" s="601">
        <v>3997.5</v>
      </c>
      <c r="H18" s="601">
        <v>4414.3999999999996</v>
      </c>
      <c r="I18" s="601">
        <v>4668.2</v>
      </c>
      <c r="J18" s="601">
        <v>4977</v>
      </c>
      <c r="K18" s="601">
        <v>5529.7883000000002</v>
      </c>
      <c r="L18" s="601">
        <v>6174.5180999999993</v>
      </c>
      <c r="M18" s="601">
        <v>6553.9781000000003</v>
      </c>
      <c r="N18" s="601">
        <v>6824.6389999999992</v>
      </c>
      <c r="O18" s="601">
        <v>7144.6580999999987</v>
      </c>
      <c r="P18" s="601">
        <v>7078.3444999999992</v>
      </c>
      <c r="Q18" s="47"/>
      <c r="R18" s="47"/>
      <c r="S18" s="47"/>
      <c r="T18" s="47"/>
      <c r="U18" s="47"/>
      <c r="V18" s="47"/>
      <c r="W18" s="47"/>
      <c r="X18" s="47"/>
      <c r="Y18" s="47"/>
      <c r="Z18" s="47"/>
      <c r="AA18" s="47"/>
      <c r="AB18" s="47"/>
      <c r="AC18" s="47"/>
      <c r="AD18" s="47"/>
      <c r="AE18" s="47"/>
      <c r="AP18" s="261"/>
      <c r="AQ18" s="266">
        <v>2010</v>
      </c>
      <c r="AR18" s="266">
        <v>2011</v>
      </c>
      <c r="AS18" s="266">
        <v>2012</v>
      </c>
      <c r="AT18" s="266">
        <v>2013</v>
      </c>
      <c r="AU18" s="266">
        <v>2014</v>
      </c>
      <c r="AV18" s="266">
        <v>2015</v>
      </c>
      <c r="AW18" s="266">
        <v>2016</v>
      </c>
      <c r="AX18" s="266">
        <v>2017</v>
      </c>
      <c r="AY18" s="266">
        <v>2018</v>
      </c>
      <c r="AZ18" s="266">
        <v>2019</v>
      </c>
      <c r="BA18" s="266">
        <v>2020</v>
      </c>
    </row>
    <row r="19" spans="1:54" s="115" customFormat="1" ht="21.75" customHeight="1">
      <c r="A19" s="419" t="s">
        <v>351</v>
      </c>
      <c r="B19" s="251"/>
      <c r="C19" s="251"/>
      <c r="D19" s="251"/>
      <c r="E19" s="251"/>
      <c r="F19" s="255">
        <v>149.21519999999998</v>
      </c>
      <c r="G19" s="255">
        <v>162.01300000000001</v>
      </c>
      <c r="H19" s="255">
        <v>200.73650000000004</v>
      </c>
      <c r="I19" s="255">
        <v>199.63330000000002</v>
      </c>
      <c r="J19" s="255">
        <v>200.12200000000001</v>
      </c>
      <c r="K19" s="255">
        <v>220.3561</v>
      </c>
      <c r="L19" s="255">
        <v>265.65300000000002</v>
      </c>
      <c r="M19" s="255">
        <v>278.57499999999999</v>
      </c>
      <c r="N19" s="255">
        <v>274.12400000000002</v>
      </c>
      <c r="O19" s="255">
        <v>284.36799999999999</v>
      </c>
      <c r="P19" s="255">
        <v>287.35700000000003</v>
      </c>
      <c r="Q19" s="47"/>
      <c r="R19" s="47"/>
      <c r="S19" s="47"/>
      <c r="T19" s="47"/>
      <c r="U19" s="47"/>
      <c r="V19" s="47"/>
      <c r="W19" s="47"/>
      <c r="X19" s="47"/>
      <c r="Y19" s="47"/>
      <c r="Z19" s="47"/>
      <c r="AA19" s="47"/>
      <c r="AB19" s="47"/>
      <c r="AC19" s="47"/>
      <c r="AD19" s="47"/>
      <c r="AE19" s="47"/>
      <c r="AP19" s="261" t="s">
        <v>12</v>
      </c>
      <c r="AQ19" s="262">
        <v>3451.3883000000001</v>
      </c>
      <c r="AR19" s="262">
        <v>3847.8830400000002</v>
      </c>
      <c r="AS19" s="262">
        <v>4238.6988099999999</v>
      </c>
      <c r="AT19" s="262">
        <v>4506.8358399999997</v>
      </c>
      <c r="AU19" s="262">
        <v>4911.74413</v>
      </c>
      <c r="AV19" s="262">
        <v>5700.0994599999995</v>
      </c>
      <c r="AW19" s="262">
        <v>5805.4536200000002</v>
      </c>
      <c r="AX19" s="262">
        <v>6298.49</v>
      </c>
      <c r="AY19" s="262">
        <v>6824.6389999999992</v>
      </c>
      <c r="AZ19" s="262">
        <f>O18</f>
        <v>7144.6580999999987</v>
      </c>
      <c r="BA19" s="262">
        <f>P18</f>
        <v>7078.3444999999992</v>
      </c>
    </row>
    <row r="20" spans="1:54" s="115" customFormat="1" ht="21.75" customHeight="1">
      <c r="A20" s="600" t="s">
        <v>352</v>
      </c>
      <c r="B20" s="598"/>
      <c r="C20" s="598"/>
      <c r="D20" s="598"/>
      <c r="E20" s="598"/>
      <c r="F20" s="601">
        <v>195.63159999999999</v>
      </c>
      <c r="G20" s="601">
        <v>260.71799999999996</v>
      </c>
      <c r="H20" s="601">
        <v>398.70199999999994</v>
      </c>
      <c r="I20" s="601">
        <v>422.67500000000001</v>
      </c>
      <c r="J20" s="601">
        <v>622.2589999999999</v>
      </c>
      <c r="K20" s="601">
        <v>771.779</v>
      </c>
      <c r="L20" s="601">
        <v>968.56299999999999</v>
      </c>
      <c r="M20" s="601">
        <v>1176.5320000000002</v>
      </c>
      <c r="N20" s="601">
        <v>1510.0730000000001</v>
      </c>
      <c r="O20" s="601">
        <v>1819.587</v>
      </c>
      <c r="P20" s="601">
        <v>1984.9509999999998</v>
      </c>
      <c r="Q20" s="47"/>
      <c r="R20" s="47"/>
      <c r="S20" s="47"/>
      <c r="T20" s="47"/>
      <c r="U20" s="47"/>
      <c r="V20" s="47"/>
      <c r="W20" s="47"/>
      <c r="X20" s="47"/>
      <c r="Y20" s="47"/>
      <c r="Z20" s="47"/>
      <c r="AA20" s="47"/>
      <c r="AB20" s="47"/>
      <c r="AC20" s="47"/>
      <c r="AD20" s="47"/>
      <c r="AE20" s="47"/>
      <c r="AP20" s="261" t="s">
        <v>185</v>
      </c>
      <c r="AQ20" s="263">
        <v>128.46899999999999</v>
      </c>
      <c r="AR20" s="263">
        <v>141.505</v>
      </c>
      <c r="AS20" s="263">
        <v>172.8</v>
      </c>
      <c r="AT20" s="263">
        <v>191.95517000000004</v>
      </c>
      <c r="AU20" s="263">
        <v>191.79549</v>
      </c>
      <c r="AV20" s="263">
        <v>207.66131999999999</v>
      </c>
      <c r="AW20" s="263">
        <v>232.48755999999997</v>
      </c>
      <c r="AX20" s="263">
        <v>249.613</v>
      </c>
      <c r="AY20" s="263">
        <v>274.12400000000002</v>
      </c>
      <c r="AZ20" s="263">
        <f>O19</f>
        <v>284.36799999999999</v>
      </c>
      <c r="BA20" s="263">
        <f>P19</f>
        <v>287.35700000000003</v>
      </c>
    </row>
    <row r="21" spans="1:54" s="115" customFormat="1" ht="21.75" customHeight="1">
      <c r="A21" s="418" t="s">
        <v>184</v>
      </c>
      <c r="B21" s="251"/>
      <c r="C21" s="251"/>
      <c r="D21" s="251"/>
      <c r="E21" s="251"/>
      <c r="F21" s="251"/>
      <c r="G21" s="251"/>
      <c r="H21" s="251"/>
      <c r="I21" s="251"/>
      <c r="J21" s="251"/>
      <c r="K21" s="251"/>
      <c r="L21" s="251"/>
      <c r="M21" s="251"/>
      <c r="N21" s="251"/>
      <c r="O21" s="251"/>
      <c r="P21" s="47"/>
      <c r="Q21" s="47"/>
      <c r="R21" s="47"/>
      <c r="S21" s="47"/>
      <c r="T21" s="47"/>
      <c r="U21" s="47"/>
      <c r="V21" s="47"/>
      <c r="W21" s="47"/>
      <c r="X21" s="47"/>
      <c r="Y21" s="47"/>
      <c r="Z21" s="47"/>
      <c r="AA21" s="47"/>
      <c r="AB21" s="47"/>
      <c r="AC21" s="47"/>
      <c r="AD21" s="47"/>
      <c r="AE21" s="47"/>
      <c r="AP21" s="261" t="s">
        <v>16</v>
      </c>
      <c r="AQ21" s="263">
        <v>188.84636</v>
      </c>
      <c r="AR21" s="263">
        <v>251.88413</v>
      </c>
      <c r="AS21" s="263">
        <v>377.17785000000003</v>
      </c>
      <c r="AT21" s="263">
        <v>354.32618999999988</v>
      </c>
      <c r="AU21" s="263">
        <v>523.57118000000003</v>
      </c>
      <c r="AV21" s="263">
        <v>680.81331999999998</v>
      </c>
      <c r="AW21" s="263">
        <v>867.75994000000003</v>
      </c>
      <c r="AX21" s="263">
        <v>1049.0279700000001</v>
      </c>
      <c r="AY21" s="263">
        <v>1510.0730000000001</v>
      </c>
      <c r="AZ21" s="263">
        <f>O20</f>
        <v>1819.587</v>
      </c>
      <c r="BA21" s="263">
        <f>P20</f>
        <v>1984.9509999999998</v>
      </c>
    </row>
    <row r="22" spans="1:54" ht="21.75" customHeight="1">
      <c r="A22" s="600" t="s">
        <v>354</v>
      </c>
      <c r="B22" s="603"/>
      <c r="C22" s="603"/>
      <c r="D22" s="603"/>
      <c r="E22" s="603"/>
      <c r="F22" s="604">
        <v>11.440872034441705</v>
      </c>
      <c r="G22" s="604">
        <f t="shared" ref="G22:P22" si="4">((G18-F18)/F18)*100</f>
        <v>9.5265493999671165</v>
      </c>
      <c r="H22" s="604">
        <f t="shared" si="4"/>
        <v>10.429018136335202</v>
      </c>
      <c r="I22" s="604">
        <f t="shared" si="4"/>
        <v>5.7493657122145745</v>
      </c>
      <c r="J22" s="604">
        <f t="shared" si="4"/>
        <v>6.6149693672079222</v>
      </c>
      <c r="K22" s="604">
        <f t="shared" si="4"/>
        <v>11.106857544705649</v>
      </c>
      <c r="L22" s="604">
        <f t="shared" si="4"/>
        <v>11.659213066077035</v>
      </c>
      <c r="M22" s="604">
        <f t="shared" si="4"/>
        <v>6.1455808186877121</v>
      </c>
      <c r="N22" s="604">
        <f t="shared" si="4"/>
        <v>4.1297193226812725</v>
      </c>
      <c r="O22" s="604">
        <f t="shared" si="4"/>
        <v>4.6891725701535218</v>
      </c>
      <c r="P22" s="604">
        <f t="shared" si="4"/>
        <v>-0.92815638021922287</v>
      </c>
      <c r="AK22" s="42"/>
      <c r="AL22" s="42"/>
      <c r="AM22" s="42"/>
      <c r="AN22" s="42"/>
      <c r="AO22" s="42"/>
      <c r="AP22" s="42"/>
      <c r="AQ22" s="42"/>
      <c r="AR22" s="42"/>
      <c r="AS22" s="42"/>
      <c r="AT22" s="42"/>
      <c r="AU22" s="42"/>
      <c r="AV22" s="42"/>
      <c r="AW22" s="42"/>
      <c r="AX22" s="42"/>
      <c r="AY22" s="42"/>
      <c r="AZ22" s="42"/>
      <c r="BA22" s="42"/>
      <c r="BB22" s="42"/>
    </row>
    <row r="23" spans="1:54" ht="21.75" customHeight="1">
      <c r="A23" s="419" t="s">
        <v>351</v>
      </c>
      <c r="B23" s="414"/>
      <c r="C23" s="414"/>
      <c r="D23" s="414"/>
      <c r="E23" s="414"/>
      <c r="F23" s="415">
        <v>-2.7540924332468655</v>
      </c>
      <c r="G23" s="415">
        <f t="shared" ref="G23:P23" si="5">((G19-F19)/F19)*100</f>
        <v>8.5767401712426246</v>
      </c>
      <c r="H23" s="415">
        <f t="shared" si="5"/>
        <v>23.901477041965784</v>
      </c>
      <c r="I23" s="415">
        <f t="shared" si="5"/>
        <v>-0.54957618569618127</v>
      </c>
      <c r="J23" s="415">
        <f t="shared" si="5"/>
        <v>0.24479883867069988</v>
      </c>
      <c r="K23" s="415">
        <f t="shared" si="5"/>
        <v>10.110882361759318</v>
      </c>
      <c r="L23" s="415">
        <f t="shared" si="5"/>
        <v>20.556226943569985</v>
      </c>
      <c r="M23" s="415">
        <f t="shared" si="5"/>
        <v>4.8642401930337575</v>
      </c>
      <c r="N23" s="415">
        <f t="shared" si="5"/>
        <v>-1.5977743875078401</v>
      </c>
      <c r="O23" s="415">
        <f t="shared" si="5"/>
        <v>3.7369949365980251</v>
      </c>
      <c r="P23" s="415">
        <f t="shared" si="5"/>
        <v>1.0511027963765378</v>
      </c>
      <c r="AK23" s="42"/>
      <c r="AL23" s="42"/>
      <c r="AM23" s="42"/>
      <c r="AN23" s="42"/>
      <c r="AO23" s="42"/>
      <c r="AP23" s="42"/>
      <c r="AQ23" s="42"/>
      <c r="AR23" s="42"/>
      <c r="AS23" s="42"/>
      <c r="AT23" s="42"/>
      <c r="AU23" s="42"/>
      <c r="AV23" s="42"/>
      <c r="AW23" s="42"/>
      <c r="AX23" s="42"/>
      <c r="AY23" s="42"/>
      <c r="AZ23" s="42"/>
      <c r="BA23" s="42"/>
      <c r="BB23" s="42"/>
    </row>
    <row r="24" spans="1:54" s="80" customFormat="1" ht="21.75" customHeight="1">
      <c r="A24" s="600" t="s">
        <v>355</v>
      </c>
      <c r="B24" s="605"/>
      <c r="C24" s="606"/>
      <c r="D24" s="606"/>
      <c r="E24" s="606"/>
      <c r="F24" s="604">
        <v>41.58279337679042</v>
      </c>
      <c r="G24" s="604">
        <f t="shared" ref="G24:P24" si="6">((G20-F20)/F20)*100</f>
        <v>33.269880735014169</v>
      </c>
      <c r="H24" s="604">
        <f t="shared" si="6"/>
        <v>52.924615868486256</v>
      </c>
      <c r="I24" s="604">
        <f t="shared" si="6"/>
        <v>6.0127614107779923</v>
      </c>
      <c r="J24" s="604">
        <f t="shared" si="6"/>
        <v>47.219258295380584</v>
      </c>
      <c r="K24" s="604">
        <f t="shared" si="6"/>
        <v>24.028579739304714</v>
      </c>
      <c r="L24" s="604">
        <f t="shared" si="6"/>
        <v>25.497454582205524</v>
      </c>
      <c r="M24" s="604">
        <f t="shared" si="6"/>
        <v>21.471912513692985</v>
      </c>
      <c r="N24" s="604">
        <f t="shared" si="6"/>
        <v>28.349505155830855</v>
      </c>
      <c r="O24" s="604">
        <f t="shared" si="6"/>
        <v>20.496624997599447</v>
      </c>
      <c r="P24" s="604">
        <f t="shared" si="6"/>
        <v>9.0879963420270542</v>
      </c>
      <c r="Q24" s="256"/>
      <c r="R24" s="256"/>
      <c r="S24" s="260"/>
      <c r="T24" s="260"/>
      <c r="U24" s="260"/>
      <c r="V24" s="260"/>
      <c r="W24" s="260"/>
      <c r="X24" s="260"/>
      <c r="Y24" s="260"/>
      <c r="Z24" s="260"/>
      <c r="AA24" s="260"/>
      <c r="AB24" s="260"/>
      <c r="AC24" s="260"/>
      <c r="AD24" s="260"/>
    </row>
    <row r="25" spans="1:54" s="80" customFormat="1">
      <c r="S25" s="260"/>
      <c r="T25" s="260"/>
      <c r="U25" s="260"/>
      <c r="V25" s="260"/>
      <c r="W25" s="260"/>
      <c r="X25" s="260"/>
      <c r="Y25" s="260"/>
      <c r="Z25" s="260"/>
      <c r="AA25" s="260"/>
      <c r="AB25" s="260"/>
      <c r="AC25" s="260"/>
      <c r="AD25" s="260"/>
    </row>
    <row r="26" spans="1:54" s="80" customFormat="1">
      <c r="M26" s="256"/>
      <c r="N26" s="256"/>
      <c r="O26" s="256"/>
      <c r="P26" s="256"/>
      <c r="Q26" s="256"/>
      <c r="R26" s="256"/>
      <c r="S26" s="260"/>
      <c r="T26" s="260"/>
      <c r="U26" s="260"/>
      <c r="V26" s="260"/>
      <c r="W26" s="260"/>
      <c r="X26" s="260"/>
      <c r="Y26" s="260"/>
      <c r="Z26" s="260"/>
      <c r="AA26" s="260"/>
      <c r="AB26" s="260"/>
      <c r="AC26" s="260"/>
      <c r="AD26" s="260"/>
    </row>
    <row r="27" spans="1:54" s="80" customFormat="1"/>
    <row r="28" spans="1:54" s="80" customFormat="1">
      <c r="M28" s="256"/>
      <c r="N28" s="256"/>
      <c r="O28" s="256"/>
      <c r="P28" s="256"/>
      <c r="Q28" s="256"/>
      <c r="R28" s="256"/>
    </row>
    <row r="29" spans="1:54" s="80" customFormat="1"/>
    <row r="30" spans="1:54" s="80" customFormat="1">
      <c r="M30" s="256"/>
      <c r="N30" s="256"/>
      <c r="O30" s="256"/>
      <c r="P30" s="256"/>
      <c r="Q30" s="256"/>
      <c r="R30" s="256"/>
    </row>
    <row r="31" spans="1:54" s="80" customFormat="1">
      <c r="F31" s="264"/>
      <c r="G31" s="264"/>
      <c r="H31" s="264"/>
      <c r="I31" s="264"/>
      <c r="J31" s="264"/>
      <c r="K31" s="264"/>
    </row>
    <row r="32" spans="1:54" s="80" customFormat="1">
      <c r="M32" s="256"/>
      <c r="N32" s="256"/>
      <c r="O32" s="256"/>
      <c r="P32" s="256"/>
      <c r="Q32" s="256"/>
      <c r="R32" s="256"/>
    </row>
    <row r="33" spans="13:18" s="80" customFormat="1"/>
    <row r="34" spans="13:18" s="80" customFormat="1">
      <c r="M34" s="256"/>
      <c r="N34" s="256"/>
      <c r="O34" s="256"/>
      <c r="P34" s="256"/>
      <c r="Q34" s="256"/>
      <c r="R34" s="256"/>
    </row>
    <row r="35" spans="13:18" s="80" customFormat="1"/>
    <row r="36" spans="13:18" s="80" customFormat="1">
      <c r="M36" s="256"/>
      <c r="N36" s="256"/>
      <c r="O36" s="256"/>
      <c r="P36" s="256"/>
      <c r="Q36" s="256"/>
      <c r="R36" s="256"/>
    </row>
    <row r="37" spans="13:18" s="80" customFormat="1"/>
    <row r="38" spans="13:18" s="80" customFormat="1"/>
    <row r="39" spans="13:18" s="80" customFormat="1"/>
    <row r="40" spans="13:18" s="80" customFormat="1"/>
    <row r="41" spans="13:18" s="80" customFormat="1"/>
    <row r="42" spans="13:18" s="80" customFormat="1"/>
    <row r="43" spans="13:18" s="80" customFormat="1"/>
    <row r="44" spans="13:18" s="80" customFormat="1"/>
    <row r="45" spans="13:18" s="80" customFormat="1"/>
    <row r="46" spans="13:18" s="80" customFormat="1"/>
    <row r="47" spans="13:18" s="80" customFormat="1"/>
    <row r="48" spans="13:18" s="80" customFormat="1"/>
    <row r="49" s="80" customFormat="1"/>
    <row r="50" s="80" customFormat="1"/>
    <row r="51" s="80" customFormat="1"/>
    <row r="52" s="80" customFormat="1"/>
    <row r="53" s="80" customFormat="1"/>
    <row r="54" s="80" customFormat="1"/>
    <row r="55" s="80" customFormat="1"/>
    <row r="56" s="80" customFormat="1"/>
    <row r="57" s="80" customFormat="1"/>
    <row r="58" s="80" customFormat="1"/>
    <row r="59" s="80" customFormat="1"/>
    <row r="60" s="80" customFormat="1"/>
    <row r="61" s="80" customFormat="1"/>
    <row r="62" s="80" customFormat="1"/>
    <row r="63" s="80" customFormat="1"/>
    <row r="64" s="80" customFormat="1"/>
    <row r="65" spans="2:37" s="80" customFormat="1"/>
    <row r="66" spans="2:37" s="80" customFormat="1">
      <c r="Y66" s="256"/>
      <c r="Z66" s="256"/>
      <c r="AA66" s="256" t="s">
        <v>12</v>
      </c>
      <c r="AB66" s="256" t="s">
        <v>388</v>
      </c>
      <c r="AC66" s="257" t="s">
        <v>393</v>
      </c>
      <c r="AD66" s="257"/>
      <c r="AE66" s="256"/>
    </row>
    <row r="67" spans="2:37" s="80" customFormat="1" ht="15.75" thickBot="1">
      <c r="Z67" s="446" t="s">
        <v>376</v>
      </c>
      <c r="AA67" s="57">
        <f t="shared" ref="AA67:AA78" si="7">AI69</f>
        <v>29409500</v>
      </c>
      <c r="AB67" s="57">
        <f t="shared" ref="AB67:AB78" si="8">AI83</f>
        <v>6355544.0099999998</v>
      </c>
      <c r="AC67" s="57">
        <f t="shared" ref="AC67:AC78" si="9">AI97</f>
        <v>1038080</v>
      </c>
      <c r="AG67" s="42">
        <v>2019</v>
      </c>
      <c r="AH67" s="42"/>
      <c r="AI67" s="42"/>
      <c r="AJ67" s="42"/>
      <c r="AK67" s="42"/>
    </row>
    <row r="68" spans="2:37" s="80" customFormat="1">
      <c r="Z68" s="446" t="s">
        <v>377</v>
      </c>
      <c r="AA68" s="57">
        <f t="shared" si="7"/>
        <v>28698023</v>
      </c>
      <c r="AB68" s="57">
        <f t="shared" si="8"/>
        <v>6143599</v>
      </c>
      <c r="AC68" s="57">
        <f t="shared" si="9"/>
        <v>999790</v>
      </c>
      <c r="AG68" s="441" t="s">
        <v>371</v>
      </c>
      <c r="AH68" s="442" t="s">
        <v>372</v>
      </c>
      <c r="AI68" s="443" t="s">
        <v>373</v>
      </c>
      <c r="AJ68" s="443" t="s">
        <v>374</v>
      </c>
      <c r="AK68" s="444" t="s">
        <v>375</v>
      </c>
    </row>
    <row r="69" spans="2:37" s="80" customFormat="1">
      <c r="Z69" s="446" t="s">
        <v>378</v>
      </c>
      <c r="AA69" s="57">
        <f t="shared" si="7"/>
        <v>34667559</v>
      </c>
      <c r="AB69" s="57">
        <f t="shared" si="8"/>
        <v>6719972</v>
      </c>
      <c r="AC69" s="57">
        <f t="shared" si="9"/>
        <v>1218740</v>
      </c>
      <c r="AG69" s="445" t="s">
        <v>38</v>
      </c>
      <c r="AH69" s="446" t="s">
        <v>376</v>
      </c>
      <c r="AI69" s="447">
        <v>29409500</v>
      </c>
      <c r="AJ69" s="447">
        <v>7487704</v>
      </c>
      <c r="AK69" s="448">
        <v>33809</v>
      </c>
    </row>
    <row r="70" spans="2:37" s="80" customFormat="1">
      <c r="Z70" s="446" t="s">
        <v>379</v>
      </c>
      <c r="AA70" s="57">
        <f t="shared" si="7"/>
        <v>35888150</v>
      </c>
      <c r="AB70" s="57">
        <f t="shared" si="8"/>
        <v>6526064</v>
      </c>
      <c r="AC70" s="57">
        <f t="shared" si="9"/>
        <v>1240990</v>
      </c>
      <c r="AG70" s="445" t="s">
        <v>38</v>
      </c>
      <c r="AH70" s="446" t="s">
        <v>377</v>
      </c>
      <c r="AI70" s="447">
        <v>28698023</v>
      </c>
      <c r="AJ70" s="447">
        <v>7256951</v>
      </c>
      <c r="AK70" s="448">
        <v>32626</v>
      </c>
    </row>
    <row r="71" spans="2:37" s="80" customFormat="1">
      <c r="Z71" s="446" t="s">
        <v>380</v>
      </c>
      <c r="AA71" s="57">
        <f t="shared" si="7"/>
        <v>35986467</v>
      </c>
      <c r="AB71" s="57">
        <f t="shared" si="8"/>
        <v>7426283</v>
      </c>
      <c r="AC71" s="57">
        <f t="shared" si="9"/>
        <v>1322130</v>
      </c>
      <c r="AG71" s="445" t="s">
        <v>38</v>
      </c>
      <c r="AH71" s="446" t="s">
        <v>378</v>
      </c>
      <c r="AI71" s="447">
        <v>34667559</v>
      </c>
      <c r="AJ71" s="447">
        <v>8686537</v>
      </c>
      <c r="AK71" s="448">
        <v>28274</v>
      </c>
    </row>
    <row r="72" spans="2:37" s="80" customFormat="1">
      <c r="Z72" s="446" t="s">
        <v>381</v>
      </c>
      <c r="AA72" s="57">
        <f t="shared" si="7"/>
        <v>33005662</v>
      </c>
      <c r="AB72" s="57">
        <f t="shared" si="8"/>
        <v>6874382</v>
      </c>
      <c r="AC72" s="57">
        <f t="shared" si="9"/>
        <v>1195370</v>
      </c>
      <c r="AG72" s="445" t="s">
        <v>38</v>
      </c>
      <c r="AH72" s="446" t="s">
        <v>379</v>
      </c>
      <c r="AI72" s="447">
        <v>35888150</v>
      </c>
      <c r="AJ72" s="447">
        <v>8991715</v>
      </c>
      <c r="AK72" s="448">
        <v>30462</v>
      </c>
    </row>
    <row r="73" spans="2:37" s="80" customFormat="1">
      <c r="Z73" s="446" t="s">
        <v>382</v>
      </c>
      <c r="AA73" s="57">
        <f t="shared" si="7"/>
        <v>34747610</v>
      </c>
      <c r="AB73" s="57">
        <f t="shared" si="8"/>
        <v>7094461</v>
      </c>
      <c r="AC73" s="57">
        <f t="shared" si="9"/>
        <v>1223610</v>
      </c>
      <c r="AG73" s="445" t="s">
        <v>38</v>
      </c>
      <c r="AH73" s="446" t="s">
        <v>380</v>
      </c>
      <c r="AI73" s="447">
        <v>35986467</v>
      </c>
      <c r="AJ73" s="447">
        <v>9068864</v>
      </c>
      <c r="AK73" s="448">
        <v>28997</v>
      </c>
    </row>
    <row r="74" spans="2:37" s="80" customFormat="1">
      <c r="Z74" s="446" t="s">
        <v>383</v>
      </c>
      <c r="AA74" s="57">
        <f t="shared" si="7"/>
        <v>32619944</v>
      </c>
      <c r="AB74" s="57">
        <f t="shared" si="8"/>
        <v>6858926</v>
      </c>
      <c r="AC74" s="57">
        <f t="shared" si="9"/>
        <v>1181170</v>
      </c>
      <c r="AG74" s="445" t="s">
        <v>38</v>
      </c>
      <c r="AH74" s="446" t="s">
        <v>381</v>
      </c>
      <c r="AI74" s="447">
        <v>33005662</v>
      </c>
      <c r="AJ74" s="447">
        <v>8315769</v>
      </c>
      <c r="AK74" s="448">
        <v>27493</v>
      </c>
    </row>
    <row r="75" spans="2:37" s="80" customFormat="1">
      <c r="Z75" s="446" t="s">
        <v>384</v>
      </c>
      <c r="AA75" s="57">
        <f t="shared" si="7"/>
        <v>31558230</v>
      </c>
      <c r="AB75" s="57">
        <f t="shared" si="8"/>
        <v>6753363</v>
      </c>
      <c r="AC75" s="57">
        <f t="shared" si="9"/>
        <v>1115990</v>
      </c>
      <c r="AG75" s="445" t="s">
        <v>38</v>
      </c>
      <c r="AH75" s="446" t="s">
        <v>382</v>
      </c>
      <c r="AI75" s="447">
        <v>34747610</v>
      </c>
      <c r="AJ75" s="447">
        <v>8762139</v>
      </c>
      <c r="AK75" s="448">
        <v>29501</v>
      </c>
    </row>
    <row r="76" spans="2:37" s="80" customFormat="1">
      <c r="Z76" s="446" t="s">
        <v>385</v>
      </c>
      <c r="AA76" s="57">
        <f t="shared" si="7"/>
        <v>29945854</v>
      </c>
      <c r="AB76" s="57">
        <f t="shared" si="8"/>
        <v>6456149</v>
      </c>
      <c r="AC76" s="57">
        <f t="shared" si="9"/>
        <v>1047600</v>
      </c>
      <c r="AG76" s="445" t="s">
        <v>38</v>
      </c>
      <c r="AH76" s="446" t="s">
        <v>383</v>
      </c>
      <c r="AI76" s="447">
        <v>32619944</v>
      </c>
      <c r="AJ76" s="447">
        <v>8313260</v>
      </c>
      <c r="AK76" s="448">
        <v>28730</v>
      </c>
    </row>
    <row r="77" spans="2:37" s="80" customFormat="1">
      <c r="Z77" s="446" t="s">
        <v>386</v>
      </c>
      <c r="AA77" s="57">
        <f t="shared" si="7"/>
        <v>29979708</v>
      </c>
      <c r="AB77" s="57">
        <f t="shared" si="8"/>
        <v>6748815</v>
      </c>
      <c r="AC77" s="57">
        <f t="shared" si="9"/>
        <v>1106010</v>
      </c>
      <c r="AG77" s="445" t="s">
        <v>38</v>
      </c>
      <c r="AH77" s="446" t="s">
        <v>384</v>
      </c>
      <c r="AI77" s="447">
        <v>31558230</v>
      </c>
      <c r="AJ77" s="447">
        <v>8043549</v>
      </c>
      <c r="AK77" s="448">
        <v>26031</v>
      </c>
    </row>
    <row r="78" spans="2:37" s="80" customFormat="1">
      <c r="Z78" s="446" t="s">
        <v>387</v>
      </c>
      <c r="AA78" s="57">
        <f t="shared" si="7"/>
        <v>29306227</v>
      </c>
      <c r="AB78" s="57">
        <f t="shared" si="8"/>
        <v>6789332</v>
      </c>
      <c r="AC78" s="57">
        <f t="shared" si="9"/>
        <v>1028090</v>
      </c>
      <c r="AG78" s="445" t="s">
        <v>38</v>
      </c>
      <c r="AH78" s="446" t="s">
        <v>385</v>
      </c>
      <c r="AI78" s="447">
        <v>29945854</v>
      </c>
      <c r="AJ78" s="447">
        <v>7603109</v>
      </c>
      <c r="AK78" s="448">
        <v>25209</v>
      </c>
    </row>
    <row r="79" spans="2:37" s="80" customFormat="1">
      <c r="D79" s="259"/>
      <c r="E79" s="259"/>
      <c r="Y79" s="259"/>
      <c r="Z79" s="259"/>
      <c r="AA79" s="259"/>
      <c r="AB79" s="259"/>
      <c r="AD79" s="259"/>
      <c r="AG79" s="445" t="s">
        <v>38</v>
      </c>
      <c r="AH79" s="446" t="s">
        <v>386</v>
      </c>
      <c r="AI79" s="447">
        <v>29979708</v>
      </c>
      <c r="AJ79" s="447">
        <v>7604489</v>
      </c>
      <c r="AK79" s="448">
        <v>25472</v>
      </c>
    </row>
    <row r="80" spans="2:37" s="80" customFormat="1">
      <c r="B80" s="68"/>
      <c r="D80" s="259"/>
      <c r="E80" s="259"/>
      <c r="AG80" s="445" t="s">
        <v>38</v>
      </c>
      <c r="AH80" s="446" t="s">
        <v>387</v>
      </c>
      <c r="AI80" s="447">
        <v>29306227</v>
      </c>
      <c r="AJ80" s="447">
        <v>7419306</v>
      </c>
      <c r="AK80" s="448">
        <v>28949</v>
      </c>
    </row>
    <row r="81" spans="2:37" s="80" customFormat="1" ht="15.75" thickBot="1">
      <c r="B81" s="72"/>
      <c r="D81" s="259"/>
      <c r="E81" s="259"/>
      <c r="AG81" s="449" t="s">
        <v>38</v>
      </c>
      <c r="AH81" s="450" t="s">
        <v>296</v>
      </c>
      <c r="AI81" s="451">
        <v>385812934</v>
      </c>
      <c r="AJ81" s="451">
        <v>97553392</v>
      </c>
      <c r="AK81" s="452">
        <v>345553</v>
      </c>
    </row>
    <row r="82" spans="2:37" s="80" customFormat="1" ht="15.75" thickBot="1">
      <c r="B82" s="68"/>
      <c r="D82" s="259"/>
      <c r="E82" s="259"/>
      <c r="AG82" s="453"/>
      <c r="AH82" s="453"/>
      <c r="AI82" s="454"/>
      <c r="AJ82" s="454"/>
      <c r="AK82" s="454"/>
    </row>
    <row r="83" spans="2:37" s="80" customFormat="1">
      <c r="AG83" s="455" t="s">
        <v>388</v>
      </c>
      <c r="AH83" s="456" t="s">
        <v>376</v>
      </c>
      <c r="AI83" s="457">
        <v>6355544.0099999998</v>
      </c>
      <c r="AJ83" s="457">
        <v>1846439.9</v>
      </c>
      <c r="AK83" s="458">
        <v>7820</v>
      </c>
    </row>
    <row r="84" spans="2:37" s="80" customFormat="1">
      <c r="AG84" s="445" t="s">
        <v>388</v>
      </c>
      <c r="AH84" s="446" t="s">
        <v>377</v>
      </c>
      <c r="AI84" s="447">
        <v>6143599</v>
      </c>
      <c r="AJ84" s="447">
        <v>1564272.58</v>
      </c>
      <c r="AK84" s="448">
        <v>7421</v>
      </c>
    </row>
    <row r="85" spans="2:37" s="80" customFormat="1">
      <c r="AG85" s="445" t="s">
        <v>388</v>
      </c>
      <c r="AH85" s="446" t="s">
        <v>378</v>
      </c>
      <c r="AI85" s="447">
        <v>6719972</v>
      </c>
      <c r="AJ85" s="447">
        <v>1685450</v>
      </c>
      <c r="AK85" s="448">
        <v>5238</v>
      </c>
    </row>
    <row r="86" spans="2:37" s="80" customFormat="1">
      <c r="AG86" s="445" t="s">
        <v>388</v>
      </c>
      <c r="AH86" s="446" t="s">
        <v>379</v>
      </c>
      <c r="AI86" s="447">
        <v>6526064</v>
      </c>
      <c r="AJ86" s="447">
        <v>1660586.64</v>
      </c>
      <c r="AK86" s="448">
        <v>6928</v>
      </c>
    </row>
    <row r="87" spans="2:37" s="80" customFormat="1">
      <c r="AG87" s="445" t="s">
        <v>388</v>
      </c>
      <c r="AH87" s="446" t="s">
        <v>380</v>
      </c>
      <c r="AI87" s="447">
        <v>7426283</v>
      </c>
      <c r="AJ87" s="447">
        <v>1827319.98</v>
      </c>
      <c r="AK87" s="448">
        <v>5973</v>
      </c>
    </row>
    <row r="88" spans="2:37" s="80" customFormat="1">
      <c r="AG88" s="445" t="s">
        <v>388</v>
      </c>
      <c r="AH88" s="446" t="s">
        <v>381</v>
      </c>
      <c r="AI88" s="447">
        <v>6874382</v>
      </c>
      <c r="AJ88" s="447">
        <v>1703814.13</v>
      </c>
      <c r="AK88" s="448">
        <v>5640</v>
      </c>
    </row>
    <row r="89" spans="2:37" s="80" customFormat="1">
      <c r="AG89" s="445" t="s">
        <v>388</v>
      </c>
      <c r="AH89" s="446" t="s">
        <v>382</v>
      </c>
      <c r="AI89" s="447">
        <v>7094461</v>
      </c>
      <c r="AJ89" s="447">
        <v>1749895.84</v>
      </c>
      <c r="AK89" s="448">
        <v>7028</v>
      </c>
    </row>
    <row r="90" spans="2:37" s="80" customFormat="1">
      <c r="AG90" s="445" t="s">
        <v>388</v>
      </c>
      <c r="AH90" s="446" t="s">
        <v>383</v>
      </c>
      <c r="AI90" s="447">
        <v>6858926</v>
      </c>
      <c r="AJ90" s="447">
        <v>1703098.85</v>
      </c>
      <c r="AK90" s="448">
        <v>6727</v>
      </c>
    </row>
    <row r="91" spans="2:37" s="80" customFormat="1">
      <c r="AG91" s="445" t="s">
        <v>388</v>
      </c>
      <c r="AH91" s="446" t="s">
        <v>384</v>
      </c>
      <c r="AI91" s="447">
        <v>6753363</v>
      </c>
      <c r="AJ91" s="447">
        <v>1623742.11</v>
      </c>
      <c r="AK91" s="448">
        <v>6821</v>
      </c>
    </row>
    <row r="92" spans="2:37" s="80" customFormat="1">
      <c r="AG92" s="445" t="s">
        <v>388</v>
      </c>
      <c r="AH92" s="446" t="s">
        <v>385</v>
      </c>
      <c r="AI92" s="447">
        <v>6456149</v>
      </c>
      <c r="AJ92" s="447">
        <v>1498048.53</v>
      </c>
      <c r="AK92" s="448">
        <v>6869</v>
      </c>
    </row>
    <row r="93" spans="2:37" s="80" customFormat="1">
      <c r="AG93" s="445" t="s">
        <v>388</v>
      </c>
      <c r="AH93" s="446" t="s">
        <v>386</v>
      </c>
      <c r="AI93" s="447">
        <v>6748815</v>
      </c>
      <c r="AJ93" s="447">
        <v>1361902</v>
      </c>
      <c r="AK93" s="448">
        <v>5906</v>
      </c>
    </row>
    <row r="94" spans="2:37" s="80" customFormat="1">
      <c r="AG94" s="445" t="s">
        <v>388</v>
      </c>
      <c r="AH94" s="446" t="s">
        <v>387</v>
      </c>
      <c r="AI94" s="447">
        <v>6789332</v>
      </c>
      <c r="AJ94" s="447">
        <v>1623081</v>
      </c>
      <c r="AK94" s="448">
        <v>5892</v>
      </c>
    </row>
    <row r="95" spans="2:37" s="80" customFormat="1" ht="15.75" thickBot="1">
      <c r="AG95" s="449" t="s">
        <v>388</v>
      </c>
      <c r="AH95" s="450" t="s">
        <v>296</v>
      </c>
      <c r="AI95" s="451">
        <v>80746890.010000005</v>
      </c>
      <c r="AJ95" s="451">
        <v>19847651.559999999</v>
      </c>
      <c r="AK95" s="452">
        <v>78263</v>
      </c>
    </row>
    <row r="96" spans="2:37" s="80" customFormat="1" ht="15.75" thickBot="1">
      <c r="AG96" s="453"/>
      <c r="AH96" s="453"/>
      <c r="AI96" s="454"/>
      <c r="AJ96" s="454"/>
      <c r="AK96" s="454"/>
    </row>
    <row r="97" spans="33:37" s="80" customFormat="1">
      <c r="AG97" s="455" t="s">
        <v>389</v>
      </c>
      <c r="AH97" s="456" t="s">
        <v>376</v>
      </c>
      <c r="AI97" s="457">
        <v>1038080</v>
      </c>
      <c r="AJ97" s="457">
        <v>289104</v>
      </c>
      <c r="AK97" s="458">
        <v>852</v>
      </c>
    </row>
    <row r="98" spans="33:37" s="80" customFormat="1">
      <c r="AG98" s="445" t="s">
        <v>389</v>
      </c>
      <c r="AH98" s="446" t="s">
        <v>377</v>
      </c>
      <c r="AI98" s="447">
        <v>999790</v>
      </c>
      <c r="AJ98" s="447">
        <v>281027</v>
      </c>
      <c r="AK98" s="448">
        <v>1004</v>
      </c>
    </row>
    <row r="99" spans="33:37" s="80" customFormat="1">
      <c r="AG99" s="445" t="s">
        <v>389</v>
      </c>
      <c r="AH99" s="446" t="s">
        <v>378</v>
      </c>
      <c r="AI99" s="447">
        <v>1218740</v>
      </c>
      <c r="AJ99" s="447">
        <v>340311.7</v>
      </c>
      <c r="AK99" s="448">
        <v>1334</v>
      </c>
    </row>
    <row r="100" spans="33:37" s="80" customFormat="1">
      <c r="AG100" s="445" t="s">
        <v>389</v>
      </c>
      <c r="AH100" s="446" t="s">
        <v>379</v>
      </c>
      <c r="AI100" s="447">
        <v>1240990</v>
      </c>
      <c r="AJ100" s="447">
        <v>348719</v>
      </c>
      <c r="AK100" s="448">
        <v>1185</v>
      </c>
    </row>
    <row r="101" spans="33:37" s="80" customFormat="1">
      <c r="AG101" s="445" t="s">
        <v>389</v>
      </c>
      <c r="AH101" s="446" t="s">
        <v>380</v>
      </c>
      <c r="AI101" s="447">
        <v>1322130</v>
      </c>
      <c r="AJ101" s="447">
        <v>372686</v>
      </c>
      <c r="AK101" s="448">
        <v>1520</v>
      </c>
    </row>
    <row r="102" spans="33:37" s="80" customFormat="1">
      <c r="AG102" s="445" t="s">
        <v>389</v>
      </c>
      <c r="AH102" s="446" t="s">
        <v>381</v>
      </c>
      <c r="AI102" s="447">
        <v>1195370</v>
      </c>
      <c r="AJ102" s="447">
        <v>334889</v>
      </c>
      <c r="AK102" s="448">
        <v>665</v>
      </c>
    </row>
    <row r="103" spans="33:37" s="80" customFormat="1">
      <c r="AG103" s="445" t="s">
        <v>389</v>
      </c>
      <c r="AH103" s="446" t="s">
        <v>382</v>
      </c>
      <c r="AI103" s="447">
        <v>1223610</v>
      </c>
      <c r="AJ103" s="447">
        <v>348058</v>
      </c>
      <c r="AK103" s="448">
        <v>1284</v>
      </c>
    </row>
    <row r="104" spans="33:37" s="80" customFormat="1">
      <c r="AG104" s="445" t="s">
        <v>389</v>
      </c>
      <c r="AH104" s="446" t="s">
        <v>383</v>
      </c>
      <c r="AI104" s="447">
        <v>1181170</v>
      </c>
      <c r="AJ104" s="447">
        <v>335385</v>
      </c>
      <c r="AK104" s="448">
        <v>1164</v>
      </c>
    </row>
    <row r="105" spans="33:37" s="80" customFormat="1">
      <c r="AG105" s="445" t="s">
        <v>389</v>
      </c>
      <c r="AH105" s="446" t="s">
        <v>384</v>
      </c>
      <c r="AI105" s="447">
        <v>1115990</v>
      </c>
      <c r="AJ105" s="447">
        <v>318683</v>
      </c>
      <c r="AK105" s="448">
        <v>1190</v>
      </c>
    </row>
    <row r="106" spans="33:37" s="80" customFormat="1">
      <c r="AG106" s="445" t="s">
        <v>389</v>
      </c>
      <c r="AH106" s="446" t="s">
        <v>385</v>
      </c>
      <c r="AI106" s="447">
        <v>1047600</v>
      </c>
      <c r="AJ106" s="447">
        <v>287635</v>
      </c>
      <c r="AK106" s="448">
        <v>1177</v>
      </c>
    </row>
    <row r="107" spans="33:37" s="80" customFormat="1">
      <c r="AG107" s="445" t="s">
        <v>389</v>
      </c>
      <c r="AH107" s="446" t="s">
        <v>386</v>
      </c>
      <c r="AI107" s="447">
        <v>1106010</v>
      </c>
      <c r="AJ107" s="447">
        <v>340536</v>
      </c>
      <c r="AK107" s="448">
        <v>987</v>
      </c>
    </row>
    <row r="108" spans="33:37" s="80" customFormat="1">
      <c r="AG108" s="445" t="s">
        <v>389</v>
      </c>
      <c r="AH108" s="446" t="s">
        <v>387</v>
      </c>
      <c r="AI108" s="447">
        <v>1028090</v>
      </c>
      <c r="AJ108" s="447">
        <v>322138</v>
      </c>
      <c r="AK108" s="448">
        <v>885</v>
      </c>
    </row>
    <row r="109" spans="33:37" s="80" customFormat="1" ht="15.75" thickBot="1">
      <c r="AG109" s="449" t="s">
        <v>389</v>
      </c>
      <c r="AH109" s="450" t="s">
        <v>296</v>
      </c>
      <c r="AI109" s="451">
        <v>13717570</v>
      </c>
      <c r="AJ109" s="451">
        <v>3919171.7</v>
      </c>
      <c r="AK109" s="452">
        <v>13247</v>
      </c>
    </row>
    <row r="110" spans="33:37" s="80" customFormat="1"/>
    <row r="111" spans="33:37" s="80" customFormat="1"/>
    <row r="112" spans="33:37" s="80" customFormat="1"/>
    <row r="113" s="80" customFormat="1"/>
    <row r="114" s="80" customFormat="1"/>
    <row r="115" s="80" customFormat="1"/>
    <row r="116" s="80" customFormat="1"/>
    <row r="117" s="80" customFormat="1"/>
    <row r="118" s="80" customFormat="1"/>
    <row r="119" s="80" customFormat="1"/>
    <row r="120" s="80" customFormat="1"/>
    <row r="121" s="80" customFormat="1"/>
    <row r="122" s="80" customFormat="1"/>
    <row r="123" s="80" customFormat="1"/>
    <row r="124" s="80" customFormat="1"/>
    <row r="125" s="80" customFormat="1"/>
    <row r="126" s="80" customFormat="1"/>
    <row r="127" s="80" customFormat="1"/>
    <row r="128" s="80" customFormat="1"/>
    <row r="129" s="80" customFormat="1"/>
    <row r="130" s="80" customFormat="1"/>
    <row r="131" s="80" customFormat="1"/>
    <row r="132" s="80" customFormat="1"/>
    <row r="133" s="80" customFormat="1"/>
    <row r="134" s="80" customFormat="1"/>
    <row r="135" s="80" customFormat="1"/>
    <row r="136" s="80" customFormat="1"/>
    <row r="137" s="80" customFormat="1"/>
    <row r="138" s="80" customFormat="1"/>
    <row r="139" s="80" customFormat="1"/>
    <row r="140" s="80" customFormat="1"/>
    <row r="141" s="80" customFormat="1"/>
    <row r="142" s="80" customFormat="1"/>
    <row r="143" s="80" customFormat="1"/>
    <row r="144" s="80" customFormat="1"/>
    <row r="145" s="80" customFormat="1"/>
    <row r="146" s="80" customFormat="1"/>
    <row r="147" s="80" customFormat="1"/>
    <row r="148" s="80" customFormat="1"/>
    <row r="149" s="80" customFormat="1"/>
    <row r="150" s="80" customFormat="1"/>
    <row r="151" s="80" customFormat="1"/>
    <row r="152" s="80" customFormat="1"/>
    <row r="153" s="80" customFormat="1"/>
    <row r="154" s="80" customFormat="1"/>
    <row r="155" s="80" customFormat="1"/>
    <row r="156" s="80" customFormat="1"/>
    <row r="157" s="80" customFormat="1"/>
    <row r="158" s="80" customFormat="1"/>
    <row r="159" s="80" customFormat="1"/>
    <row r="160" s="80" customFormat="1"/>
    <row r="161" s="80" customFormat="1"/>
    <row r="162" s="80" customFormat="1"/>
    <row r="163" s="80" customFormat="1"/>
    <row r="164" s="80" customFormat="1"/>
    <row r="165" s="80" customFormat="1"/>
    <row r="166" s="80" customFormat="1"/>
    <row r="167" s="80" customFormat="1"/>
    <row r="168" s="80" customFormat="1"/>
    <row r="169" s="80" customFormat="1"/>
    <row r="170" s="80" customFormat="1"/>
    <row r="171" s="80" customFormat="1"/>
    <row r="172" s="80" customFormat="1"/>
    <row r="173" s="80" customFormat="1"/>
    <row r="174" s="80" customFormat="1"/>
    <row r="175" s="80" customFormat="1"/>
    <row r="176" s="80" customFormat="1"/>
    <row r="177" s="80" customFormat="1"/>
    <row r="178" s="80" customFormat="1"/>
    <row r="179" s="80" customFormat="1"/>
    <row r="180" s="80" customFormat="1"/>
    <row r="181" s="80" customFormat="1"/>
    <row r="182" s="80" customFormat="1"/>
    <row r="183" s="80" customFormat="1"/>
    <row r="184" s="80" customFormat="1"/>
    <row r="185" s="80" customFormat="1"/>
    <row r="186" s="80" customFormat="1"/>
    <row r="187" s="80" customFormat="1"/>
    <row r="188" s="80" customFormat="1"/>
    <row r="189" s="80" customFormat="1"/>
    <row r="190" s="80" customFormat="1"/>
    <row r="191" s="80" customFormat="1"/>
    <row r="192" s="80" customFormat="1"/>
    <row r="193" s="80" customFormat="1"/>
    <row r="194" s="80" customFormat="1"/>
    <row r="195" s="80" customFormat="1"/>
    <row r="196" s="80" customFormat="1"/>
    <row r="197" s="80" customFormat="1"/>
    <row r="198" s="80" customFormat="1"/>
    <row r="199" s="80" customFormat="1"/>
    <row r="200" s="80" customFormat="1"/>
    <row r="201" s="80" customFormat="1"/>
    <row r="202" s="80" customFormat="1"/>
    <row r="203" s="80" customFormat="1"/>
    <row r="204" s="80" customFormat="1"/>
    <row r="205" s="80" customFormat="1"/>
    <row r="206" s="80" customFormat="1"/>
    <row r="207" s="80" customFormat="1"/>
    <row r="208" s="80" customFormat="1"/>
    <row r="209" s="80" customFormat="1"/>
    <row r="210" s="80" customFormat="1"/>
    <row r="211" s="80" customFormat="1"/>
    <row r="212" s="80" customFormat="1"/>
    <row r="213" s="80" customFormat="1"/>
    <row r="214" s="80" customFormat="1"/>
    <row r="215" s="80" customFormat="1"/>
    <row r="216" s="80" customFormat="1"/>
    <row r="217" s="80" customFormat="1"/>
    <row r="218" s="80" customFormat="1"/>
    <row r="219" s="80" customFormat="1"/>
    <row r="220" s="80" customFormat="1"/>
    <row r="221" s="80" customFormat="1"/>
    <row r="222" s="80" customFormat="1"/>
    <row r="223" s="80" customFormat="1"/>
    <row r="224" s="80" customFormat="1"/>
    <row r="225" s="80" customFormat="1"/>
    <row r="226" s="80" customFormat="1"/>
    <row r="227" s="80" customFormat="1"/>
    <row r="228" s="80" customFormat="1"/>
    <row r="229" s="80" customFormat="1"/>
    <row r="230" s="80" customFormat="1"/>
    <row r="231" s="80" customFormat="1"/>
    <row r="232" s="80" customFormat="1"/>
    <row r="233" s="80" customFormat="1"/>
    <row r="234" s="80" customFormat="1"/>
    <row r="235" s="80" customFormat="1"/>
    <row r="236" s="80" customFormat="1"/>
    <row r="237" s="80" customFormat="1"/>
    <row r="238" s="80" customFormat="1"/>
    <row r="239" s="80" customFormat="1"/>
    <row r="240" s="80" customFormat="1"/>
    <row r="241" s="80" customFormat="1"/>
    <row r="242" s="80" customFormat="1"/>
    <row r="243" s="80" customFormat="1"/>
    <row r="244" s="80" customFormat="1"/>
    <row r="245" s="80" customFormat="1"/>
    <row r="246" s="80" customFormat="1"/>
    <row r="247" s="80" customFormat="1"/>
    <row r="248" s="80" customFormat="1"/>
    <row r="249" s="80" customFormat="1"/>
    <row r="250" s="80" customFormat="1"/>
    <row r="251" s="80" customFormat="1"/>
    <row r="252" s="80" customFormat="1"/>
    <row r="253" s="80" customFormat="1"/>
    <row r="254" s="80" customFormat="1"/>
    <row r="255" s="80" customFormat="1"/>
    <row r="256" s="80" customFormat="1"/>
    <row r="257" s="80" customFormat="1"/>
    <row r="258" s="80" customFormat="1"/>
    <row r="259" s="80" customFormat="1"/>
    <row r="260" s="80" customFormat="1"/>
    <row r="261" s="80" customFormat="1"/>
    <row r="262" s="80" customFormat="1"/>
    <row r="263" s="80" customFormat="1"/>
    <row r="264" s="80" customFormat="1"/>
    <row r="265" s="80" customFormat="1"/>
    <row r="266" s="80" customFormat="1"/>
    <row r="267" s="80" customFormat="1"/>
    <row r="268" s="80" customFormat="1"/>
    <row r="269" s="80" customFormat="1"/>
    <row r="270" s="80" customFormat="1"/>
    <row r="271" s="80" customFormat="1"/>
    <row r="272" s="80" customFormat="1"/>
    <row r="273" s="80" customFormat="1"/>
    <row r="274" s="80" customFormat="1"/>
    <row r="275" s="80" customFormat="1"/>
    <row r="276" s="80" customFormat="1"/>
    <row r="277" s="80" customFormat="1"/>
    <row r="278" s="80" customFormat="1"/>
    <row r="279" s="80" customFormat="1"/>
    <row r="280" s="80" customFormat="1"/>
    <row r="281" s="80" customFormat="1"/>
    <row r="282" s="80" customFormat="1"/>
    <row r="283" s="80" customFormat="1"/>
    <row r="284" s="80" customFormat="1"/>
    <row r="285" s="80" customFormat="1"/>
    <row r="286" s="80" customFormat="1"/>
    <row r="287" s="80" customFormat="1"/>
    <row r="288" s="80" customFormat="1"/>
    <row r="289" s="80" customFormat="1"/>
    <row r="290" s="80" customFormat="1"/>
    <row r="291" s="80" customFormat="1"/>
    <row r="292" s="80" customFormat="1"/>
    <row r="293" s="80" customFormat="1"/>
    <row r="294" s="80" customFormat="1"/>
    <row r="295" s="80" customFormat="1"/>
    <row r="296" s="80" customFormat="1"/>
    <row r="297" s="80" customFormat="1"/>
    <row r="298" s="80" customFormat="1"/>
    <row r="299" s="80" customFormat="1"/>
    <row r="300" s="80" customFormat="1"/>
    <row r="301" s="80" customFormat="1"/>
    <row r="302" s="80" customFormat="1"/>
    <row r="303" s="80" customFormat="1"/>
    <row r="304" s="80" customFormat="1"/>
    <row r="305" s="80" customFormat="1"/>
    <row r="306" s="80" customFormat="1"/>
    <row r="307" s="80" customFormat="1"/>
    <row r="308" s="80" customFormat="1"/>
    <row r="309" s="80" customFormat="1"/>
    <row r="310" s="80" customFormat="1"/>
    <row r="311" s="80" customFormat="1"/>
    <row r="312" s="80" customFormat="1"/>
    <row r="313" s="80" customFormat="1"/>
    <row r="314" s="80" customFormat="1"/>
    <row r="315" s="80" customFormat="1"/>
    <row r="316" s="80" customFormat="1"/>
    <row r="317" s="80" customFormat="1"/>
    <row r="318" s="80" customFormat="1"/>
    <row r="319" s="80" customFormat="1"/>
    <row r="320" s="80" customFormat="1"/>
    <row r="321" s="80" customFormat="1"/>
    <row r="322" s="80" customFormat="1"/>
    <row r="323" s="80" customFormat="1"/>
    <row r="324" s="80" customFormat="1"/>
    <row r="325" s="80" customFormat="1"/>
    <row r="326" s="80" customFormat="1"/>
    <row r="327" s="80" customFormat="1"/>
    <row r="328" s="80" customFormat="1"/>
    <row r="329" s="80" customFormat="1"/>
    <row r="330" s="80" customFormat="1"/>
    <row r="331" s="80" customFormat="1"/>
    <row r="332" s="80" customFormat="1"/>
    <row r="333" s="80" customFormat="1"/>
    <row r="334" s="80" customFormat="1"/>
    <row r="335" s="80" customFormat="1"/>
    <row r="336" s="80" customFormat="1"/>
    <row r="337" s="80" customFormat="1"/>
    <row r="338" s="80" customFormat="1"/>
    <row r="339" s="80" customFormat="1"/>
    <row r="340" s="80" customFormat="1"/>
    <row r="341" s="80" customFormat="1"/>
    <row r="342" s="80" customFormat="1"/>
    <row r="343" s="80" customFormat="1"/>
    <row r="344" s="80" customFormat="1"/>
    <row r="345" s="80" customFormat="1"/>
    <row r="346" s="80" customFormat="1"/>
    <row r="347" s="80" customFormat="1"/>
    <row r="348" s="80" customFormat="1"/>
    <row r="349" s="80" customFormat="1"/>
    <row r="350" s="80" customFormat="1"/>
    <row r="351" s="80" customFormat="1"/>
    <row r="352" s="80" customFormat="1"/>
    <row r="353" s="80" customFormat="1"/>
    <row r="354" s="80" customFormat="1"/>
    <row r="355" s="80" customFormat="1"/>
    <row r="356" s="80" customFormat="1"/>
    <row r="357" s="80" customFormat="1"/>
    <row r="358" s="80" customFormat="1"/>
    <row r="359" s="80" customFormat="1"/>
    <row r="360" s="80" customFormat="1"/>
    <row r="361" s="80" customFormat="1"/>
    <row r="362" s="80" customFormat="1"/>
    <row r="363" s="80" customFormat="1"/>
    <row r="364" s="80" customFormat="1"/>
    <row r="365" s="80" customFormat="1"/>
    <row r="366" s="80" customFormat="1"/>
    <row r="367" s="80" customFormat="1"/>
    <row r="368" s="80" customFormat="1"/>
    <row r="369" s="80" customFormat="1"/>
    <row r="370" s="80" customFormat="1"/>
    <row r="371" s="80" customFormat="1"/>
    <row r="372" s="80" customFormat="1"/>
    <row r="373" s="80" customFormat="1"/>
    <row r="374" s="80" customFormat="1"/>
    <row r="375" s="80" customFormat="1"/>
    <row r="376" s="80" customFormat="1"/>
    <row r="377" s="80" customFormat="1"/>
    <row r="378" s="80" customFormat="1"/>
    <row r="379" s="80" customFormat="1"/>
    <row r="380" s="80" customFormat="1"/>
    <row r="381" s="80" customFormat="1"/>
    <row r="382" s="80" customFormat="1"/>
    <row r="383" s="80" customFormat="1"/>
    <row r="384" s="80" customFormat="1"/>
    <row r="385" s="80" customFormat="1"/>
    <row r="386" s="80" customFormat="1"/>
    <row r="387" s="80" customFormat="1"/>
    <row r="388" s="80" customFormat="1"/>
    <row r="389" s="80" customFormat="1"/>
    <row r="390" s="80" customFormat="1"/>
    <row r="391" s="80" customFormat="1"/>
    <row r="392" s="80" customFormat="1"/>
    <row r="393" s="80" customFormat="1"/>
    <row r="394" s="80" customFormat="1"/>
    <row r="395" s="80" customFormat="1"/>
    <row r="396" s="80" customFormat="1"/>
    <row r="397" s="80" customFormat="1"/>
    <row r="398" s="80" customFormat="1"/>
    <row r="399" s="80" customFormat="1"/>
    <row r="400" s="80" customFormat="1"/>
    <row r="401" s="80" customFormat="1"/>
    <row r="402" s="80" customFormat="1"/>
    <row r="403" s="80" customFormat="1"/>
    <row r="404" s="80" customFormat="1"/>
    <row r="405" s="80" customFormat="1"/>
    <row r="406" s="80" customFormat="1"/>
    <row r="407" s="80" customFormat="1"/>
    <row r="408" s="80" customFormat="1"/>
    <row r="409" s="80" customFormat="1"/>
    <row r="410" s="80" customFormat="1"/>
    <row r="411" s="80" customFormat="1"/>
    <row r="412" s="80" customFormat="1"/>
    <row r="413" s="80" customFormat="1"/>
    <row r="414" s="80" customFormat="1"/>
    <row r="415" s="80" customFormat="1"/>
    <row r="416" s="80" customFormat="1"/>
    <row r="417" s="80" customFormat="1"/>
    <row r="418" s="80" customFormat="1"/>
    <row r="419" s="80" customFormat="1"/>
    <row r="420" s="80" customFormat="1"/>
    <row r="421" s="80" customFormat="1"/>
    <row r="422" s="80" customFormat="1"/>
    <row r="423" s="80" customFormat="1"/>
    <row r="424" s="80" customFormat="1"/>
    <row r="425" s="80" customFormat="1"/>
    <row r="426" s="80" customFormat="1"/>
    <row r="427" s="80" customFormat="1"/>
    <row r="428" s="80" customFormat="1"/>
    <row r="429" s="80" customFormat="1"/>
    <row r="430" s="80" customFormat="1"/>
    <row r="431" s="80" customFormat="1"/>
    <row r="432" s="80" customFormat="1"/>
    <row r="433" s="80" customFormat="1"/>
    <row r="434" s="80" customFormat="1"/>
    <row r="435" s="80" customFormat="1"/>
    <row r="436" s="80" customFormat="1"/>
    <row r="437" s="80" customFormat="1"/>
    <row r="438" s="80" customFormat="1"/>
    <row r="439" s="80" customFormat="1"/>
    <row r="440" s="80" customFormat="1"/>
    <row r="441" s="80" customFormat="1"/>
    <row r="442" s="80" customFormat="1"/>
    <row r="443" s="80" customFormat="1"/>
    <row r="444" s="80" customFormat="1"/>
    <row r="445" s="80" customFormat="1"/>
    <row r="446" s="80" customFormat="1"/>
    <row r="447" s="80" customFormat="1"/>
    <row r="448" s="80" customFormat="1"/>
    <row r="449" s="80" customFormat="1"/>
    <row r="450" s="80" customFormat="1"/>
    <row r="451" s="80" customFormat="1"/>
    <row r="452" s="80" customFormat="1"/>
    <row r="453" s="80" customFormat="1"/>
    <row r="454" s="80" customFormat="1"/>
    <row r="455" s="80" customFormat="1"/>
    <row r="456" s="80" customFormat="1"/>
    <row r="457" s="80" customFormat="1"/>
    <row r="458" s="80" customFormat="1"/>
    <row r="459" s="80" customFormat="1"/>
    <row r="460" s="80" customFormat="1"/>
    <row r="461" s="80" customFormat="1"/>
    <row r="462" s="80" customFormat="1"/>
    <row r="463" s="80" customFormat="1"/>
    <row r="464" s="80" customFormat="1"/>
    <row r="465" s="80" customFormat="1"/>
    <row r="466" s="80" customFormat="1"/>
    <row r="467" s="80" customFormat="1"/>
    <row r="468" s="80" customFormat="1"/>
    <row r="469" s="80" customFormat="1"/>
    <row r="470" s="80" customFormat="1"/>
    <row r="471" s="80" customFormat="1"/>
    <row r="472" s="80" customFormat="1"/>
    <row r="473" s="80" customFormat="1"/>
    <row r="474" s="80" customFormat="1"/>
    <row r="475" s="80" customFormat="1"/>
    <row r="476" s="80" customFormat="1"/>
    <row r="477" s="80" customFormat="1"/>
    <row r="478" s="80" customFormat="1"/>
    <row r="479" s="80" customFormat="1"/>
    <row r="480" s="80" customFormat="1"/>
    <row r="481" s="80" customFormat="1"/>
    <row r="482" s="80" customFormat="1"/>
    <row r="483" s="80" customFormat="1"/>
    <row r="484" s="80" customFormat="1"/>
    <row r="485" s="80" customFormat="1"/>
    <row r="486" s="80" customFormat="1"/>
    <row r="487" s="80" customFormat="1"/>
    <row r="488" s="80" customFormat="1"/>
    <row r="489" s="80" customFormat="1"/>
    <row r="490" s="80" customFormat="1"/>
    <row r="491" s="80" customFormat="1"/>
    <row r="492" s="80" customFormat="1"/>
    <row r="493" s="80" customFormat="1"/>
    <row r="494" s="80" customFormat="1"/>
    <row r="495" s="80" customFormat="1"/>
    <row r="496" s="80" customFormat="1"/>
    <row r="497" s="80" customFormat="1"/>
    <row r="498" s="80" customFormat="1"/>
    <row r="499" s="80" customFormat="1"/>
    <row r="500" s="80" customFormat="1"/>
    <row r="501" s="80" customFormat="1"/>
    <row r="502" s="80" customFormat="1"/>
    <row r="503" s="80" customFormat="1"/>
    <row r="504" s="80" customFormat="1"/>
    <row r="505" s="80" customFormat="1"/>
    <row r="506" s="80" customFormat="1"/>
    <row r="507" s="80" customFormat="1"/>
    <row r="508" s="80" customFormat="1"/>
    <row r="509" s="80" customFormat="1"/>
    <row r="510" s="80" customFormat="1"/>
    <row r="511" s="80" customFormat="1"/>
    <row r="512" s="80" customFormat="1"/>
    <row r="513" s="80" customFormat="1"/>
    <row r="514" s="80" customFormat="1"/>
    <row r="515" s="80" customFormat="1"/>
    <row r="516" s="80" customFormat="1"/>
    <row r="517" s="80" customFormat="1"/>
    <row r="518" s="80" customFormat="1"/>
    <row r="519" s="80" customFormat="1"/>
    <row r="520" s="80" customFormat="1"/>
    <row r="521" s="80" customFormat="1"/>
    <row r="522" s="80" customFormat="1"/>
    <row r="523" s="80" customFormat="1"/>
    <row r="524" s="80" customFormat="1"/>
    <row r="525" s="80" customFormat="1"/>
    <row r="526" s="80" customFormat="1"/>
    <row r="527" s="80" customFormat="1"/>
    <row r="528" s="80" customFormat="1"/>
    <row r="529" s="80" customFormat="1"/>
    <row r="530" s="80" customFormat="1"/>
    <row r="531" s="80" customFormat="1"/>
    <row r="532" s="80" customFormat="1"/>
    <row r="533" s="80" customFormat="1"/>
    <row r="534" s="80" customFormat="1"/>
    <row r="535" s="80" customFormat="1"/>
    <row r="536" s="80" customFormat="1"/>
    <row r="537" s="80" customFormat="1"/>
    <row r="538" s="80" customFormat="1"/>
    <row r="539" s="80" customFormat="1"/>
    <row r="540" s="80" customFormat="1"/>
    <row r="541" s="80" customFormat="1"/>
    <row r="542" s="80" customFormat="1"/>
    <row r="543" s="80" customFormat="1"/>
    <row r="544" s="80" customFormat="1"/>
    <row r="545" s="80" customFormat="1"/>
    <row r="546" s="80" customFormat="1"/>
    <row r="547" s="80" customFormat="1"/>
    <row r="548" s="80" customFormat="1"/>
    <row r="549" s="80" customFormat="1"/>
    <row r="550" s="80" customFormat="1"/>
    <row r="551" s="80" customFormat="1"/>
    <row r="552" s="80" customFormat="1"/>
    <row r="553" s="80" customFormat="1"/>
    <row r="554" s="80" customFormat="1"/>
    <row r="555" s="80" customFormat="1"/>
    <row r="556" s="80" customFormat="1"/>
    <row r="557" s="80" customFormat="1"/>
    <row r="558" s="80" customFormat="1"/>
    <row r="559" s="80" customFormat="1"/>
    <row r="560" s="80" customFormat="1"/>
    <row r="561" s="80" customFormat="1"/>
    <row r="562" s="80" customFormat="1"/>
    <row r="563" s="80" customFormat="1"/>
    <row r="564" s="80" customFormat="1"/>
    <row r="565" s="80" customFormat="1"/>
    <row r="566" s="80" customFormat="1"/>
    <row r="567" s="80" customFormat="1"/>
    <row r="568" s="80" customFormat="1"/>
    <row r="569" s="80" customFormat="1"/>
    <row r="570" s="80" customFormat="1"/>
    <row r="571" s="80" customFormat="1"/>
    <row r="572" s="80" customFormat="1"/>
    <row r="573" s="80" customFormat="1"/>
    <row r="574" s="80" customFormat="1"/>
    <row r="575" s="80" customFormat="1"/>
    <row r="576" s="80" customFormat="1"/>
    <row r="577" s="80" customFormat="1"/>
    <row r="578" s="80" customFormat="1"/>
    <row r="579" s="80" customFormat="1"/>
    <row r="580" s="80" customFormat="1"/>
    <row r="581" s="80" customFormat="1"/>
    <row r="582" s="80" customFormat="1"/>
    <row r="583" s="80" customFormat="1"/>
    <row r="584" s="80" customFormat="1"/>
    <row r="585" s="80" customFormat="1"/>
    <row r="586" s="80" customFormat="1"/>
    <row r="587" s="80" customFormat="1"/>
    <row r="588" s="80" customFormat="1"/>
    <row r="589" s="80" customFormat="1"/>
    <row r="590" s="80" customFormat="1"/>
    <row r="591" s="80" customFormat="1"/>
    <row r="592" s="80" customFormat="1"/>
    <row r="593" s="80" customFormat="1"/>
    <row r="594" s="80" customFormat="1"/>
    <row r="595" s="80" customFormat="1"/>
    <row r="596" s="80" customFormat="1"/>
    <row r="597" s="80" customFormat="1"/>
    <row r="598" s="80" customFormat="1"/>
    <row r="599" s="80" customFormat="1"/>
    <row r="600" s="80" customFormat="1"/>
    <row r="601" s="80" customFormat="1"/>
    <row r="602" s="80" customFormat="1"/>
    <row r="603" s="80" customFormat="1"/>
    <row r="604" s="80" customFormat="1"/>
    <row r="605" s="80" customFormat="1"/>
    <row r="606" s="80" customFormat="1"/>
    <row r="607" s="80" customFormat="1"/>
    <row r="608" s="80" customFormat="1"/>
    <row r="609" s="80" customFormat="1"/>
    <row r="610" s="80" customFormat="1"/>
    <row r="611" s="80" customFormat="1"/>
    <row r="612" s="80" customFormat="1"/>
    <row r="613" s="80" customFormat="1"/>
    <row r="614" s="80" customFormat="1"/>
    <row r="615" s="80" customFormat="1"/>
    <row r="616" s="80" customFormat="1"/>
    <row r="617" s="80" customFormat="1"/>
    <row r="618" s="80" customFormat="1"/>
    <row r="619" s="80" customFormat="1"/>
    <row r="620" s="80" customFormat="1"/>
    <row r="621" s="80" customFormat="1"/>
    <row r="622" s="80" customFormat="1"/>
    <row r="623" s="80" customFormat="1"/>
    <row r="624" s="80" customFormat="1"/>
    <row r="625" s="80" customFormat="1"/>
    <row r="626" s="80" customFormat="1"/>
    <row r="627" s="80" customFormat="1"/>
    <row r="628" s="80" customFormat="1"/>
    <row r="629" s="80" customFormat="1"/>
    <row r="630" s="80" customFormat="1"/>
    <row r="631" s="80" customFormat="1"/>
    <row r="632" s="80" customFormat="1"/>
    <row r="633" s="80" customFormat="1"/>
    <row r="634" s="80" customFormat="1"/>
    <row r="635" s="80" customFormat="1"/>
    <row r="636" s="80" customFormat="1"/>
    <row r="637" s="80" customFormat="1"/>
    <row r="638" s="80" customFormat="1"/>
    <row r="639" s="80" customFormat="1"/>
    <row r="640" s="80" customFormat="1"/>
    <row r="641" s="80" customFormat="1"/>
    <row r="642" s="80" customFormat="1"/>
    <row r="643" s="80" customFormat="1"/>
    <row r="644" s="80" customFormat="1"/>
    <row r="645" s="80" customFormat="1"/>
    <row r="646" s="80" customFormat="1"/>
    <row r="647" s="80" customFormat="1"/>
    <row r="648" s="80" customFormat="1"/>
    <row r="649" s="80" customFormat="1"/>
    <row r="650" s="80" customFormat="1"/>
    <row r="651" s="80" customFormat="1"/>
    <row r="652" s="80" customFormat="1"/>
    <row r="653" s="80" customFormat="1"/>
    <row r="654" s="80" customFormat="1"/>
    <row r="655" s="80" customFormat="1"/>
    <row r="656" s="80" customFormat="1"/>
    <row r="657" s="80" customFormat="1"/>
    <row r="658" s="80" customFormat="1"/>
    <row r="659" s="80" customFormat="1"/>
    <row r="660" s="80" customFormat="1"/>
    <row r="661" s="80" customFormat="1"/>
    <row r="662" s="80" customFormat="1"/>
    <row r="663" s="80" customFormat="1"/>
    <row r="664" s="80" customFormat="1"/>
    <row r="665" s="80" customFormat="1"/>
    <row r="666" s="80" customFormat="1"/>
    <row r="667" s="80" customFormat="1"/>
    <row r="668" s="80" customFormat="1"/>
    <row r="669" s="80" customFormat="1"/>
    <row r="670" s="80" customFormat="1"/>
    <row r="671" s="80" customFormat="1"/>
    <row r="672" s="80" customFormat="1"/>
    <row r="673" s="80" customFormat="1"/>
    <row r="674" s="80" customFormat="1"/>
    <row r="675" s="80" customFormat="1"/>
    <row r="676" s="80" customFormat="1"/>
    <row r="677" s="80" customFormat="1"/>
    <row r="678" s="80" customFormat="1"/>
    <row r="679" s="80" customFormat="1"/>
    <row r="680" s="80" customFormat="1"/>
    <row r="681" s="80" customFormat="1"/>
    <row r="682" s="80" customFormat="1"/>
    <row r="683" s="80" customFormat="1"/>
    <row r="684" s="80" customFormat="1"/>
    <row r="685" s="80" customFormat="1"/>
    <row r="686" s="80" customFormat="1"/>
    <row r="687" s="80" customFormat="1"/>
    <row r="688" s="80" customFormat="1"/>
    <row r="689" s="80" customFormat="1"/>
    <row r="690" s="80" customFormat="1"/>
    <row r="691" s="80" customFormat="1"/>
    <row r="692" s="80" customFormat="1"/>
    <row r="693" s="80" customFormat="1"/>
    <row r="694" s="80" customFormat="1"/>
    <row r="695" s="80" customFormat="1"/>
    <row r="696" s="80" customFormat="1"/>
    <row r="697" s="80" customFormat="1"/>
    <row r="698" s="80" customFormat="1"/>
    <row r="699" s="80" customFormat="1"/>
    <row r="700" s="80" customFormat="1"/>
    <row r="701" s="80" customFormat="1"/>
    <row r="702" s="80" customFormat="1"/>
    <row r="703" s="80" customFormat="1"/>
    <row r="704" s="80" customFormat="1"/>
    <row r="705" s="80" customFormat="1"/>
    <row r="706" s="80" customFormat="1"/>
    <row r="707" s="80" customFormat="1"/>
    <row r="708" s="80" customFormat="1"/>
    <row r="709" s="80" customFormat="1"/>
    <row r="710" s="80" customFormat="1"/>
    <row r="711" s="80" customFormat="1"/>
    <row r="712" s="80" customFormat="1"/>
    <row r="713" s="80" customFormat="1"/>
    <row r="714" s="80" customFormat="1"/>
    <row r="715" s="80" customFormat="1"/>
    <row r="716" s="80" customFormat="1"/>
    <row r="717" s="80" customFormat="1"/>
    <row r="718" s="80" customFormat="1"/>
    <row r="719" s="80" customFormat="1"/>
    <row r="720" s="80" customFormat="1"/>
    <row r="721" s="80" customFormat="1"/>
    <row r="722" s="80" customFormat="1"/>
    <row r="723" s="80" customFormat="1"/>
    <row r="724" s="80" customFormat="1"/>
    <row r="725" s="80" customFormat="1"/>
    <row r="726" s="80" customFormat="1"/>
    <row r="727" s="80" customFormat="1"/>
    <row r="728" s="80" customFormat="1"/>
    <row r="729" s="80" customFormat="1"/>
    <row r="730" s="80" customFormat="1"/>
    <row r="731" s="80" customFormat="1"/>
    <row r="732" s="80" customFormat="1"/>
    <row r="733" s="80" customFormat="1"/>
    <row r="734" s="80" customFormat="1"/>
    <row r="735" s="80" customFormat="1"/>
    <row r="736" s="80" customFormat="1"/>
    <row r="737" s="80" customFormat="1"/>
    <row r="738" s="80" customFormat="1"/>
    <row r="739" s="80" customFormat="1"/>
    <row r="740" s="80" customFormat="1"/>
    <row r="741" s="80" customFormat="1"/>
    <row r="742" s="80" customFormat="1"/>
    <row r="743" s="80" customFormat="1"/>
    <row r="744" s="80" customFormat="1"/>
    <row r="745" s="80" customFormat="1"/>
    <row r="746" s="80" customFormat="1"/>
    <row r="747" s="80" customFormat="1"/>
    <row r="748" s="80" customFormat="1"/>
    <row r="749" s="80" customFormat="1"/>
    <row r="750" s="80" customFormat="1"/>
    <row r="751" s="80" customFormat="1"/>
    <row r="752" s="80" customFormat="1"/>
    <row r="753" s="80" customFormat="1"/>
    <row r="754" s="80" customFormat="1"/>
    <row r="755" s="80" customFormat="1"/>
    <row r="756" s="80" customFormat="1"/>
    <row r="757" s="80" customFormat="1"/>
    <row r="758" s="80" customFormat="1"/>
    <row r="759" s="80" customFormat="1"/>
    <row r="760" s="80" customFormat="1"/>
    <row r="761" s="80" customFormat="1"/>
    <row r="762" s="80" customFormat="1"/>
    <row r="763" s="80" customFormat="1"/>
    <row r="764" s="80" customFormat="1"/>
    <row r="765" s="80" customFormat="1"/>
    <row r="766" s="80" customFormat="1"/>
    <row r="767" s="80" customFormat="1"/>
    <row r="768" s="80" customFormat="1"/>
    <row r="769" s="80" customFormat="1"/>
    <row r="770" s="80" customFormat="1"/>
    <row r="771" s="80" customFormat="1"/>
    <row r="772" s="80" customFormat="1"/>
    <row r="773" s="80" customFormat="1"/>
    <row r="774" s="80" customFormat="1"/>
    <row r="775" s="80" customFormat="1"/>
    <row r="776" s="80" customFormat="1"/>
    <row r="777" s="80" customFormat="1"/>
    <row r="778" s="80" customFormat="1"/>
    <row r="779" s="80" customFormat="1"/>
    <row r="780" s="80" customFormat="1"/>
    <row r="781" s="80" customFormat="1"/>
    <row r="782" s="80" customFormat="1"/>
    <row r="783" s="80" customFormat="1"/>
    <row r="784" s="80" customFormat="1"/>
    <row r="785" s="80" customFormat="1"/>
    <row r="786" s="80" customFormat="1"/>
    <row r="787" s="80" customFormat="1"/>
    <row r="788" s="80" customFormat="1"/>
    <row r="789" s="80" customFormat="1"/>
    <row r="790" s="80" customFormat="1"/>
    <row r="791" s="80" customFormat="1"/>
    <row r="792" s="80" customFormat="1"/>
    <row r="793" s="80" customFormat="1"/>
    <row r="794" s="80" customFormat="1"/>
    <row r="795" s="80" customFormat="1"/>
    <row r="796" s="80" customFormat="1"/>
    <row r="797" s="80" customFormat="1"/>
    <row r="798" s="80" customFormat="1"/>
    <row r="799" s="80" customFormat="1"/>
    <row r="800" s="80" customFormat="1"/>
    <row r="801" s="80" customFormat="1"/>
    <row r="802" s="80" customFormat="1"/>
    <row r="803" s="80" customFormat="1"/>
    <row r="804" s="80" customFormat="1"/>
    <row r="805" s="80" customFormat="1"/>
    <row r="806" s="80" customFormat="1"/>
    <row r="807" s="80" customFormat="1"/>
    <row r="808" s="80" customFormat="1"/>
    <row r="809" s="80" customFormat="1"/>
    <row r="810" s="80" customFormat="1"/>
    <row r="811" s="80" customFormat="1"/>
    <row r="812" s="80" customFormat="1"/>
    <row r="813" s="80" customFormat="1"/>
    <row r="814" s="80" customFormat="1"/>
    <row r="815" s="80" customFormat="1"/>
    <row r="816" s="80" customFormat="1"/>
    <row r="817" s="80" customFormat="1"/>
    <row r="818" s="80" customFormat="1"/>
    <row r="819" s="80" customFormat="1"/>
    <row r="820" s="80" customFormat="1"/>
    <row r="821" s="80" customFormat="1"/>
    <row r="822" s="80" customFormat="1"/>
    <row r="823" s="80" customFormat="1"/>
    <row r="824" s="80" customFormat="1"/>
    <row r="825" s="80" customFormat="1"/>
    <row r="826" s="80" customFormat="1"/>
    <row r="827" s="80" customFormat="1"/>
    <row r="828" s="80" customFormat="1"/>
    <row r="829" s="80" customFormat="1"/>
    <row r="830" s="80" customFormat="1"/>
    <row r="831" s="80" customFormat="1"/>
    <row r="832" s="80" customFormat="1"/>
    <row r="833" s="80" customFormat="1"/>
    <row r="834" s="80" customFormat="1"/>
    <row r="835" s="80" customFormat="1"/>
    <row r="836" s="80" customFormat="1"/>
    <row r="837" s="80" customFormat="1"/>
    <row r="838" s="80" customFormat="1"/>
    <row r="839" s="80" customFormat="1"/>
    <row r="840" s="80" customFormat="1"/>
    <row r="841" s="80" customFormat="1"/>
    <row r="842" s="80" customFormat="1"/>
    <row r="843" s="80" customFormat="1"/>
    <row r="844" s="80" customFormat="1"/>
    <row r="845" s="80" customFormat="1"/>
    <row r="846" s="80" customFormat="1"/>
    <row r="847" s="80" customFormat="1"/>
    <row r="848" s="80" customFormat="1"/>
    <row r="849" s="80" customFormat="1"/>
    <row r="850" s="80" customFormat="1"/>
    <row r="851" s="80" customFormat="1"/>
    <row r="852" s="80" customFormat="1"/>
    <row r="853" s="80" customFormat="1"/>
    <row r="854" s="80" customFormat="1"/>
    <row r="855" s="80" customFormat="1"/>
    <row r="856" s="80" customFormat="1"/>
    <row r="857" s="80" customFormat="1"/>
    <row r="858" s="80" customFormat="1"/>
    <row r="859" s="80" customFormat="1"/>
    <row r="860" s="80" customFormat="1"/>
    <row r="861" s="80" customFormat="1"/>
    <row r="862" s="80" customFormat="1"/>
    <row r="863" s="80" customFormat="1"/>
    <row r="864" s="80" customFormat="1"/>
    <row r="865" s="80" customFormat="1"/>
    <row r="866" s="80" customFormat="1"/>
    <row r="867" s="80" customFormat="1"/>
    <row r="868" s="80" customFormat="1"/>
    <row r="869" s="80" customFormat="1"/>
    <row r="870" s="80" customFormat="1"/>
    <row r="871" s="80" customFormat="1"/>
    <row r="872" s="80" customFormat="1"/>
    <row r="873" s="80" customFormat="1"/>
    <row r="874" s="80" customFormat="1"/>
    <row r="875" s="80" customFormat="1"/>
    <row r="876" s="80" customFormat="1"/>
    <row r="877" s="80" customFormat="1"/>
    <row r="878" s="80" customFormat="1"/>
    <row r="879" s="80" customFormat="1"/>
    <row r="880" s="80" customFormat="1"/>
    <row r="881" s="80" customFormat="1"/>
    <row r="882" s="80" customFormat="1"/>
    <row r="883" s="80" customFormat="1"/>
    <row r="884" s="80" customFormat="1"/>
    <row r="885" s="80" customFormat="1"/>
    <row r="886" s="80" customFormat="1"/>
    <row r="887" s="80" customFormat="1"/>
    <row r="888" s="80" customFormat="1"/>
    <row r="889" s="80" customFormat="1"/>
    <row r="890" s="80" customFormat="1"/>
    <row r="891" s="80" customFormat="1"/>
    <row r="892" s="80" customFormat="1"/>
    <row r="893" s="80" customFormat="1"/>
    <row r="894" s="80" customFormat="1"/>
    <row r="895" s="80" customFormat="1"/>
    <row r="896" s="80" customFormat="1"/>
    <row r="897" s="80" customFormat="1"/>
    <row r="898" s="80" customFormat="1"/>
    <row r="899" s="80" customFormat="1"/>
    <row r="900" s="80" customFormat="1"/>
    <row r="901" s="80" customFormat="1"/>
    <row r="902" s="80" customFormat="1"/>
    <row r="903" s="80" customFormat="1"/>
    <row r="904" s="80" customFormat="1"/>
    <row r="905" s="80" customFormat="1"/>
    <row r="906" s="80" customFormat="1"/>
    <row r="907" s="80" customFormat="1"/>
    <row r="908" s="80" customFormat="1"/>
    <row r="909" s="80" customFormat="1"/>
    <row r="910" s="80" customFormat="1"/>
    <row r="911" s="80" customFormat="1"/>
    <row r="912" s="80" customFormat="1"/>
    <row r="913" s="80" customFormat="1"/>
    <row r="914" s="80" customFormat="1"/>
    <row r="915" s="80" customFormat="1"/>
    <row r="916" s="80" customFormat="1"/>
    <row r="917" s="80" customFormat="1"/>
    <row r="918" s="80" customFormat="1"/>
    <row r="919" s="80" customFormat="1"/>
    <row r="920" s="80" customFormat="1"/>
    <row r="921" s="80" customFormat="1"/>
    <row r="922" s="80" customFormat="1"/>
    <row r="923" s="80" customFormat="1"/>
    <row r="924" s="80" customFormat="1"/>
    <row r="925" s="80" customFormat="1"/>
    <row r="926" s="80" customFormat="1"/>
    <row r="927" s="80" customFormat="1"/>
    <row r="928" s="80" customFormat="1"/>
    <row r="929" s="80" customFormat="1"/>
    <row r="930" s="80" customFormat="1"/>
    <row r="931" s="80" customFormat="1"/>
    <row r="932" s="80" customFormat="1"/>
    <row r="933" s="80" customFormat="1"/>
    <row r="934" s="80" customFormat="1"/>
    <row r="935" s="80" customFormat="1"/>
    <row r="936" s="80" customFormat="1"/>
    <row r="937" s="80" customFormat="1"/>
    <row r="938" s="80" customFormat="1"/>
    <row r="939" s="80" customFormat="1"/>
    <row r="940" s="80" customFormat="1"/>
    <row r="941" s="80" customFormat="1"/>
    <row r="942" s="80" customFormat="1"/>
    <row r="943" s="80" customFormat="1"/>
    <row r="944" s="80" customFormat="1"/>
    <row r="945" s="80" customFormat="1"/>
    <row r="946" s="80" customFormat="1"/>
    <row r="947" s="80" customFormat="1"/>
    <row r="948" s="80" customFormat="1"/>
    <row r="949" s="80" customFormat="1"/>
    <row r="950" s="80" customFormat="1"/>
    <row r="951" s="80" customFormat="1"/>
    <row r="952" s="80" customFormat="1"/>
    <row r="953" s="80" customFormat="1"/>
    <row r="954" s="80" customFormat="1"/>
    <row r="955" s="80" customFormat="1"/>
    <row r="956" s="80" customFormat="1"/>
    <row r="957" s="80" customFormat="1"/>
    <row r="958" s="80" customFormat="1"/>
    <row r="959" s="80" customFormat="1"/>
    <row r="960" s="80" customFormat="1"/>
    <row r="961" s="80" customFormat="1"/>
    <row r="962" s="80" customFormat="1"/>
    <row r="963" s="80" customFormat="1"/>
    <row r="964" s="80" customFormat="1"/>
    <row r="965" s="80" customFormat="1"/>
    <row r="966" s="80" customFormat="1"/>
    <row r="967" s="80" customFormat="1"/>
    <row r="968" s="80" customFormat="1"/>
    <row r="969" s="80" customFormat="1"/>
    <row r="970" s="80" customFormat="1"/>
    <row r="971" s="80" customFormat="1"/>
    <row r="972" s="80" customFormat="1"/>
    <row r="973" s="80" customFormat="1"/>
    <row r="974" s="80" customFormat="1"/>
    <row r="975" s="80" customFormat="1"/>
    <row r="976" s="80" customFormat="1"/>
    <row r="977" s="80" customFormat="1"/>
    <row r="978" s="80" customFormat="1"/>
    <row r="979" s="80" customFormat="1"/>
    <row r="980" s="80" customFormat="1"/>
  </sheetData>
  <mergeCells count="1">
    <mergeCell ref="A1:P1"/>
  </mergeCells>
  <pageMargins left="0.7" right="0.7" top="0.75" bottom="0.75" header="0.3" footer="0.3"/>
  <pageSetup paperSize="9" scale="65" orientation="landscape" horizontalDpi="4294967295" verticalDpi="4294967295" r:id="rId1"/>
  <rowBreaks count="1" manualBreakCount="1">
    <brk id="42" max="92" man="1"/>
  </rowBreaks>
  <colBreaks count="1" manualBreakCount="1">
    <brk id="16" max="41" man="1"/>
  </col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AL71"/>
  <sheetViews>
    <sheetView zoomScale="89" zoomScaleNormal="89" workbookViewId="0">
      <selection activeCell="D10" sqref="D10"/>
    </sheetView>
  </sheetViews>
  <sheetFormatPr defaultColWidth="9.140625" defaultRowHeight="15.75"/>
  <cols>
    <col min="1" max="1" width="10.140625" style="80" customWidth="1"/>
    <col min="2" max="2" width="36.5703125" style="80" customWidth="1"/>
    <col min="3" max="13" width="15.140625" style="662" customWidth="1"/>
    <col min="14" max="19" width="13.42578125" style="80" customWidth="1"/>
    <col min="20" max="20" width="10" style="80" customWidth="1"/>
    <col min="21" max="24" width="9.140625" style="80"/>
    <col min="25" max="25" width="19.7109375" style="80" bestFit="1" customWidth="1"/>
    <col min="26" max="26" width="22.7109375" style="80" bestFit="1" customWidth="1"/>
    <col min="27" max="27" width="9.28515625" style="80" bestFit="1" customWidth="1"/>
    <col min="28" max="36" width="10.42578125" style="80" bestFit="1" customWidth="1"/>
    <col min="37" max="16384" width="9.140625" style="80"/>
  </cols>
  <sheetData>
    <row r="1" spans="1:36" s="267" customFormat="1" ht="30" customHeight="1">
      <c r="A1" s="1021" t="s">
        <v>188</v>
      </c>
      <c r="B1" s="1021"/>
      <c r="C1" s="1021"/>
      <c r="D1" s="1021"/>
      <c r="E1" s="1021"/>
      <c r="F1" s="1021"/>
      <c r="G1" s="1021"/>
      <c r="H1" s="1021"/>
      <c r="I1" s="1021"/>
      <c r="J1" s="1021"/>
      <c r="K1" s="1021"/>
      <c r="L1" s="1021"/>
      <c r="M1" s="1021"/>
      <c r="N1" s="33"/>
      <c r="O1" s="33"/>
      <c r="P1" s="33"/>
      <c r="Q1" s="33"/>
      <c r="R1" s="33"/>
      <c r="S1" s="33"/>
      <c r="T1" s="80"/>
    </row>
    <row r="2" spans="1:36" s="267" customFormat="1" ht="15" customHeight="1">
      <c r="A2" s="268"/>
      <c r="B2" s="269"/>
      <c r="C2" s="691"/>
      <c r="D2" s="691"/>
      <c r="E2" s="691"/>
      <c r="F2" s="828"/>
      <c r="G2" s="828"/>
      <c r="H2" s="829"/>
      <c r="I2" s="829"/>
      <c r="J2" s="828"/>
      <c r="K2" s="691"/>
      <c r="L2" s="691"/>
      <c r="M2" s="691"/>
      <c r="N2" s="33"/>
      <c r="O2" s="33"/>
      <c r="P2" s="33"/>
      <c r="Q2" s="33"/>
      <c r="R2" s="33"/>
      <c r="S2" s="33"/>
      <c r="T2" s="80"/>
    </row>
    <row r="3" spans="1:36" s="273" customFormat="1" ht="17.25" customHeight="1">
      <c r="A3" s="854"/>
      <c r="B3" s="854"/>
      <c r="C3" s="627">
        <v>2010</v>
      </c>
      <c r="D3" s="627">
        <v>2011</v>
      </c>
      <c r="E3" s="627">
        <v>2012</v>
      </c>
      <c r="F3" s="627">
        <v>2013</v>
      </c>
      <c r="G3" s="627">
        <v>2014</v>
      </c>
      <c r="H3" s="627">
        <v>2015</v>
      </c>
      <c r="I3" s="627">
        <v>2016</v>
      </c>
      <c r="J3" s="627">
        <v>2017</v>
      </c>
      <c r="K3" s="627">
        <v>2018</v>
      </c>
      <c r="L3" s="627" t="s">
        <v>432</v>
      </c>
      <c r="M3" s="627">
        <v>2020</v>
      </c>
      <c r="O3" s="272"/>
      <c r="P3" s="272"/>
      <c r="Q3" s="272"/>
      <c r="R3" s="272"/>
      <c r="S3" s="272"/>
      <c r="T3" s="47"/>
    </row>
    <row r="4" spans="1:36" s="273" customFormat="1" ht="17.25" customHeight="1">
      <c r="A4" s="855" t="s">
        <v>189</v>
      </c>
      <c r="B4" s="855"/>
      <c r="C4" s="830"/>
      <c r="D4" s="830"/>
      <c r="E4" s="830"/>
      <c r="F4" s="830"/>
      <c r="G4" s="830"/>
      <c r="H4" s="830"/>
      <c r="I4" s="831" t="s">
        <v>190</v>
      </c>
      <c r="J4" s="831" t="s">
        <v>190</v>
      </c>
      <c r="K4" s="831" t="s">
        <v>190</v>
      </c>
      <c r="L4" s="831" t="s">
        <v>191</v>
      </c>
      <c r="M4" s="831"/>
      <c r="O4" s="275"/>
      <c r="P4" s="275"/>
      <c r="Q4" s="275"/>
      <c r="R4" s="275"/>
      <c r="S4" s="275"/>
      <c r="T4" s="47"/>
    </row>
    <row r="5" spans="1:36" s="273" customFormat="1" ht="17.25" customHeight="1">
      <c r="A5" s="856" t="s">
        <v>192</v>
      </c>
      <c r="B5" s="857"/>
      <c r="C5" s="832">
        <v>6546.9287702799966</v>
      </c>
      <c r="D5" s="832">
        <v>9904.5614829999995</v>
      </c>
      <c r="E5" s="832">
        <v>10138.11294952</v>
      </c>
      <c r="F5" s="832">
        <v>11900.748051729999</v>
      </c>
      <c r="G5" s="832">
        <v>15164.227912</v>
      </c>
      <c r="H5" s="832">
        <v>17306.201467370003</v>
      </c>
      <c r="I5" s="832">
        <v>18578.118781009995</v>
      </c>
      <c r="J5" s="832">
        <v>20258.636295000004</v>
      </c>
      <c r="K5" s="832">
        <v>22222.967435000002</v>
      </c>
      <c r="L5" s="832">
        <v>23231.857586999999</v>
      </c>
      <c r="M5" s="832">
        <v>14692.808497000002</v>
      </c>
      <c r="O5" s="276"/>
      <c r="R5" s="276"/>
      <c r="S5" s="276"/>
      <c r="T5" s="47"/>
    </row>
    <row r="6" spans="1:36" s="273" customFormat="1" ht="17.25" customHeight="1">
      <c r="A6" s="1024" t="s">
        <v>193</v>
      </c>
      <c r="B6" s="1024"/>
      <c r="C6" s="833">
        <v>6392.3855347199969</v>
      </c>
      <c r="D6" s="833">
        <v>9172.1262260000003</v>
      </c>
      <c r="E6" s="833">
        <v>9771.4430765199995</v>
      </c>
      <c r="F6" s="833">
        <v>11783.092824199999</v>
      </c>
      <c r="G6" s="833">
        <v>14998.954087</v>
      </c>
      <c r="H6" s="833">
        <v>16669.260271000003</v>
      </c>
      <c r="I6" s="833">
        <v>18324.993013089996</v>
      </c>
      <c r="J6" s="833">
        <v>19914.872814000002</v>
      </c>
      <c r="K6" s="833">
        <v>21403.159912000003</v>
      </c>
      <c r="L6" s="833">
        <v>22076.971195999999</v>
      </c>
      <c r="M6" s="833">
        <v>12568.539111000002</v>
      </c>
      <c r="O6" s="276"/>
      <c r="P6" s="276"/>
      <c r="Q6" s="276"/>
      <c r="R6" s="276"/>
      <c r="S6" s="276"/>
      <c r="T6" s="47"/>
    </row>
    <row r="7" spans="1:36" s="273" customFormat="1" ht="17.25" customHeight="1">
      <c r="A7" s="857"/>
      <c r="B7" s="857" t="s">
        <v>194</v>
      </c>
      <c r="C7" s="834">
        <v>2931.0472653899988</v>
      </c>
      <c r="D7" s="834">
        <v>4892.9547389999998</v>
      </c>
      <c r="E7" s="834">
        <v>6880.0618489999988</v>
      </c>
      <c r="F7" s="834">
        <v>8872.8437029999986</v>
      </c>
      <c r="G7" s="834">
        <v>10837.855577</v>
      </c>
      <c r="H7" s="834">
        <v>12270.646260000001</v>
      </c>
      <c r="I7" s="834">
        <v>13293.027889009998</v>
      </c>
      <c r="J7" s="834">
        <v>14742.425677000001</v>
      </c>
      <c r="K7" s="834">
        <v>15833.907292</v>
      </c>
      <c r="L7" s="834">
        <v>16530.522525</v>
      </c>
      <c r="M7" s="834">
        <v>10138.170036000001</v>
      </c>
      <c r="O7" s="277"/>
      <c r="P7" s="277"/>
      <c r="Q7" s="277"/>
      <c r="R7" s="277"/>
      <c r="S7" s="277"/>
      <c r="T7" s="47"/>
    </row>
    <row r="8" spans="1:36" s="273" customFormat="1" ht="17.25" customHeight="1">
      <c r="A8" s="855"/>
      <c r="B8" s="855" t="s">
        <v>455</v>
      </c>
      <c r="C8" s="835">
        <v>3411.9841732599989</v>
      </c>
      <c r="D8" s="835">
        <v>3744.7069500000007</v>
      </c>
      <c r="E8" s="835">
        <v>2843.3084127999996</v>
      </c>
      <c r="F8" s="835">
        <v>2642.1310951999999</v>
      </c>
      <c r="G8" s="835">
        <v>4036.9878939999999</v>
      </c>
      <c r="H8" s="835">
        <v>4278.3316969999996</v>
      </c>
      <c r="I8" s="835">
        <v>4162.6040857599965</v>
      </c>
      <c r="J8" s="835">
        <v>4594.863249</v>
      </c>
      <c r="K8" s="835">
        <v>5203.0978600000008</v>
      </c>
      <c r="L8" s="835">
        <v>5491.0517299999992</v>
      </c>
      <c r="M8" s="835">
        <v>2415.8278</v>
      </c>
      <c r="O8" s="279"/>
      <c r="P8" s="279"/>
      <c r="Q8" s="279"/>
      <c r="R8" s="279"/>
      <c r="S8" s="279"/>
      <c r="T8" s="47"/>
    </row>
    <row r="9" spans="1:36" s="273" customFormat="1" ht="17.25" customHeight="1">
      <c r="A9" s="1025" t="s">
        <v>456</v>
      </c>
      <c r="B9" s="1025"/>
      <c r="C9" s="832">
        <v>154.54323556</v>
      </c>
      <c r="D9" s="832">
        <v>732.43525699999998</v>
      </c>
      <c r="E9" s="832">
        <v>366.669873</v>
      </c>
      <c r="F9" s="832">
        <v>117.65522752999999</v>
      </c>
      <c r="G9" s="832">
        <v>165.27382499999999</v>
      </c>
      <c r="H9" s="832">
        <v>636.94119636999983</v>
      </c>
      <c r="I9" s="832">
        <v>253.12576791999993</v>
      </c>
      <c r="J9" s="832">
        <v>343.76348099999996</v>
      </c>
      <c r="K9" s="832">
        <v>819.80752300000006</v>
      </c>
      <c r="L9" s="832">
        <v>1154.886391</v>
      </c>
      <c r="M9" s="832">
        <v>2124.2693859999999</v>
      </c>
      <c r="O9" s="276"/>
      <c r="P9" s="276"/>
      <c r="Q9" s="276"/>
      <c r="R9" s="276"/>
      <c r="S9" s="276"/>
      <c r="U9" s="280"/>
      <c r="V9" s="280"/>
      <c r="W9" s="280"/>
      <c r="X9" s="280"/>
      <c r="Y9" s="280"/>
      <c r="Z9" s="280"/>
      <c r="AA9" s="280"/>
      <c r="AB9" s="280"/>
      <c r="AC9" s="280"/>
      <c r="AD9" s="281"/>
      <c r="AE9" s="282"/>
      <c r="AF9" s="282"/>
      <c r="AG9" s="282"/>
      <c r="AH9" s="282"/>
    </row>
    <row r="10" spans="1:36" s="273" customFormat="1" ht="17.25" customHeight="1">
      <c r="A10" s="858" t="s">
        <v>195</v>
      </c>
      <c r="B10" s="855"/>
      <c r="C10" s="836">
        <v>10815.062102899999</v>
      </c>
      <c r="D10" s="836">
        <v>12264.726665999999</v>
      </c>
      <c r="E10" s="836">
        <v>13110.002924999999</v>
      </c>
      <c r="F10" s="836">
        <v>13530.771002489999</v>
      </c>
      <c r="G10" s="836">
        <v>16417.211596000001</v>
      </c>
      <c r="H10" s="836">
        <v>21336.878134909999</v>
      </c>
      <c r="I10" s="836">
        <v>25262.973192969996</v>
      </c>
      <c r="J10" s="836">
        <v>22420.18677</v>
      </c>
      <c r="K10" s="836">
        <v>26418.667526999998</v>
      </c>
      <c r="L10" s="836">
        <v>28919.533213000002</v>
      </c>
      <c r="M10" s="836">
        <v>30566.561805000001</v>
      </c>
      <c r="O10" s="283"/>
      <c r="P10" s="283"/>
      <c r="Q10" s="283"/>
      <c r="R10" s="283"/>
      <c r="S10" s="283"/>
      <c r="T10" s="130"/>
      <c r="U10" s="280"/>
      <c r="V10" s="280"/>
      <c r="W10" s="280"/>
      <c r="X10" s="280"/>
      <c r="Y10" s="280"/>
      <c r="Z10" s="280"/>
      <c r="AA10" s="280"/>
      <c r="AB10" s="280"/>
      <c r="AC10" s="280"/>
      <c r="AD10" s="281"/>
      <c r="AE10" s="282"/>
      <c r="AF10" s="281"/>
      <c r="AG10" s="281"/>
      <c r="AH10" s="281"/>
    </row>
    <row r="11" spans="1:36" s="273" customFormat="1" ht="17.25" customHeight="1">
      <c r="A11" s="857"/>
      <c r="B11" s="856" t="s">
        <v>196</v>
      </c>
      <c r="C11" s="837">
        <v>10996.362102899999</v>
      </c>
      <c r="D11" s="837">
        <v>12663.726665999999</v>
      </c>
      <c r="E11" s="837">
        <v>13200.234560999999</v>
      </c>
      <c r="F11" s="837">
        <v>13666.256009489998</v>
      </c>
      <c r="G11" s="837">
        <v>16539.373646</v>
      </c>
      <c r="H11" s="837">
        <v>21440.896380909999</v>
      </c>
      <c r="I11" s="837">
        <v>25306.509388119997</v>
      </c>
      <c r="J11" s="837">
        <v>22497.557322000001</v>
      </c>
      <c r="K11" s="837">
        <v>26522.292830999999</v>
      </c>
      <c r="L11" s="837">
        <v>28994.730041000003</v>
      </c>
      <c r="M11" s="837">
        <v>30627.655278000002</v>
      </c>
      <c r="O11" s="284"/>
      <c r="P11" s="284"/>
      <c r="Q11" s="284"/>
      <c r="R11" s="284"/>
      <c r="S11" s="284"/>
      <c r="T11" s="47"/>
    </row>
    <row r="12" spans="1:36" s="273" customFormat="1" ht="17.25" customHeight="1">
      <c r="A12" s="855"/>
      <c r="B12" s="855" t="s">
        <v>197</v>
      </c>
      <c r="C12" s="838">
        <v>8428.0733739999996</v>
      </c>
      <c r="D12" s="838">
        <v>9075.7434510000003</v>
      </c>
      <c r="E12" s="838">
        <v>10316.485255</v>
      </c>
      <c r="F12" s="838">
        <v>11573.214585849999</v>
      </c>
      <c r="G12" s="838">
        <v>13959.968519999999</v>
      </c>
      <c r="H12" s="838">
        <v>16733.74419112</v>
      </c>
      <c r="I12" s="838">
        <v>16141.004692499997</v>
      </c>
      <c r="J12" s="838">
        <v>14955.176706</v>
      </c>
      <c r="K12" s="838">
        <v>18268.036271999998</v>
      </c>
      <c r="L12" s="838">
        <v>21371.957551</v>
      </c>
      <c r="M12" s="838">
        <v>20876.937707000001</v>
      </c>
      <c r="O12" s="277"/>
      <c r="P12" s="277"/>
      <c r="Q12" s="277"/>
      <c r="R12" s="277"/>
      <c r="S12" s="277"/>
      <c r="T12" s="47"/>
      <c r="U12" s="286"/>
    </row>
    <row r="13" spans="1:36" s="273" customFormat="1" ht="17.25" customHeight="1">
      <c r="A13" s="857"/>
      <c r="B13" s="857" t="s">
        <v>198</v>
      </c>
      <c r="C13" s="834">
        <v>2568.2887288999996</v>
      </c>
      <c r="D13" s="834">
        <v>3587.9832149999993</v>
      </c>
      <c r="E13" s="834">
        <v>2883.7493059999997</v>
      </c>
      <c r="F13" s="834">
        <v>2093.0414236399993</v>
      </c>
      <c r="G13" s="834">
        <v>2579.4051260000006</v>
      </c>
      <c r="H13" s="834">
        <v>4707.1521897899993</v>
      </c>
      <c r="I13" s="834">
        <v>9165.5046956200003</v>
      </c>
      <c r="J13" s="834">
        <v>7542.3806160000004</v>
      </c>
      <c r="K13" s="834">
        <v>8254.2565589999995</v>
      </c>
      <c r="L13" s="834">
        <v>7622.7724900000012</v>
      </c>
      <c r="M13" s="834">
        <v>9750.717571000001</v>
      </c>
      <c r="O13" s="287"/>
      <c r="P13" s="287"/>
      <c r="Q13" s="287"/>
      <c r="R13" s="277"/>
      <c r="S13" s="277"/>
      <c r="T13" s="47"/>
      <c r="U13" s="288"/>
      <c r="V13" s="288"/>
      <c r="W13" s="288"/>
      <c r="X13" s="288"/>
      <c r="Y13" s="288"/>
      <c r="Z13" s="288"/>
      <c r="AA13" s="288"/>
      <c r="AB13" s="288"/>
      <c r="AC13" s="288"/>
      <c r="AD13" s="288"/>
      <c r="AE13" s="288"/>
      <c r="AF13" s="288"/>
      <c r="AG13" s="288"/>
      <c r="AH13" s="288"/>
      <c r="AI13" s="288"/>
      <c r="AJ13" s="288"/>
    </row>
    <row r="14" spans="1:36" s="273" customFormat="1" ht="17.25" customHeight="1">
      <c r="A14" s="1024" t="s">
        <v>199</v>
      </c>
      <c r="B14" s="1024"/>
      <c r="C14" s="839">
        <v>-181.3</v>
      </c>
      <c r="D14" s="839">
        <v>-399</v>
      </c>
      <c r="E14" s="839">
        <v>-90.231635999999995</v>
      </c>
      <c r="F14" s="839">
        <v>-135.485007</v>
      </c>
      <c r="G14" s="839">
        <v>-122.16204999999999</v>
      </c>
      <c r="H14" s="839">
        <v>-104.018246</v>
      </c>
      <c r="I14" s="839">
        <v>-43.536195150000012</v>
      </c>
      <c r="J14" s="839">
        <v>-77.370552000000004</v>
      </c>
      <c r="K14" s="839">
        <v>-103.625304</v>
      </c>
      <c r="L14" s="839">
        <v>-75.196827999999996</v>
      </c>
      <c r="M14" s="839">
        <v>-61.093473000000003</v>
      </c>
      <c r="O14" s="290"/>
      <c r="P14" s="290"/>
      <c r="Q14" s="290"/>
      <c r="R14" s="290"/>
      <c r="S14" s="290"/>
      <c r="T14" s="47"/>
      <c r="U14" s="291"/>
      <c r="V14" s="47"/>
      <c r="W14" s="291"/>
      <c r="X14" s="47"/>
      <c r="Y14" s="291"/>
      <c r="Z14" s="47"/>
      <c r="AA14" s="291"/>
      <c r="AB14" s="291"/>
      <c r="AC14" s="291"/>
      <c r="AD14" s="291"/>
    </row>
    <row r="15" spans="1:36" s="292" customFormat="1" ht="17.25" customHeight="1">
      <c r="A15" s="859" t="s">
        <v>457</v>
      </c>
      <c r="B15" s="860"/>
      <c r="C15" s="840">
        <v>-4268.1333326200029</v>
      </c>
      <c r="D15" s="840">
        <v>-2360.1651829999992</v>
      </c>
      <c r="E15" s="840">
        <v>-2971.8899754799986</v>
      </c>
      <c r="F15" s="840">
        <v>-1765.507957759999</v>
      </c>
      <c r="G15" s="840">
        <v>-1375.1457339999997</v>
      </c>
      <c r="H15" s="840">
        <v>-4134.6949135399955</v>
      </c>
      <c r="I15" s="840">
        <v>-6728.3906071100027</v>
      </c>
      <c r="J15" s="840">
        <v>-2238.9210269999967</v>
      </c>
      <c r="K15" s="840">
        <v>-4299.3253959999965</v>
      </c>
      <c r="L15" s="840">
        <v>-5762.8724540000039</v>
      </c>
      <c r="M15" s="840">
        <v>-15934.846781</v>
      </c>
      <c r="O15" s="285"/>
      <c r="P15" s="285"/>
      <c r="Q15" s="285"/>
      <c r="R15" s="285"/>
      <c r="S15" s="285"/>
      <c r="T15" s="293"/>
      <c r="U15" s="293"/>
      <c r="V15" s="293"/>
      <c r="W15" s="293"/>
      <c r="X15" s="293"/>
      <c r="Y15" s="293"/>
      <c r="Z15" s="293"/>
      <c r="AA15" s="293"/>
      <c r="AB15" s="293"/>
      <c r="AC15" s="293"/>
      <c r="AD15" s="293"/>
    </row>
    <row r="16" spans="1:36" s="292" customFormat="1" ht="17.25" customHeight="1">
      <c r="A16" s="855" t="s">
        <v>458</v>
      </c>
      <c r="B16" s="855"/>
      <c r="C16" s="835">
        <v>-3592.3513126200028</v>
      </c>
      <c r="D16" s="835">
        <v>-1634.3804499999992</v>
      </c>
      <c r="E16" s="835">
        <v>-1864.8087464799987</v>
      </c>
      <c r="F16" s="835">
        <v>-808.78176075999909</v>
      </c>
      <c r="G16" s="835">
        <v>-396.79836499999976</v>
      </c>
      <c r="H16" s="835">
        <v>-2787.0450525399956</v>
      </c>
      <c r="I16" s="835">
        <v>-5546.1014912900027</v>
      </c>
      <c r="J16" s="835">
        <v>-1141.9743679999967</v>
      </c>
      <c r="K16" s="835">
        <v>-2859.0684689999966</v>
      </c>
      <c r="L16" s="835">
        <v>-4222.0593300000037</v>
      </c>
      <c r="M16" s="835">
        <v>-14226.793734999999</v>
      </c>
      <c r="O16" s="294"/>
      <c r="P16" s="294"/>
      <c r="Q16" s="294"/>
      <c r="R16" s="294"/>
      <c r="S16" s="294"/>
      <c r="T16" s="47"/>
    </row>
    <row r="17" spans="1:30" s="292" customFormat="1" ht="17.25" customHeight="1">
      <c r="A17" s="856" t="s">
        <v>200</v>
      </c>
      <c r="B17" s="857"/>
      <c r="C17" s="841">
        <v>4268.1000000000004</v>
      </c>
      <c r="D17" s="841">
        <v>2360.1515939999999</v>
      </c>
      <c r="E17" s="841">
        <v>2971.889975</v>
      </c>
      <c r="F17" s="841">
        <v>1765.5079579999997</v>
      </c>
      <c r="G17" s="841">
        <v>1375.1457340000004</v>
      </c>
      <c r="H17" s="841">
        <v>4134.694913360001</v>
      </c>
      <c r="I17" s="841">
        <v>6728.4460148500111</v>
      </c>
      <c r="J17" s="841">
        <v>2238.8918629999998</v>
      </c>
      <c r="K17" s="841">
        <v>4299.8753960000004</v>
      </c>
      <c r="L17" s="841">
        <v>5762.9349990000001</v>
      </c>
      <c r="M17" s="841">
        <v>15934.752017000003</v>
      </c>
      <c r="O17" s="285"/>
      <c r="P17" s="285"/>
      <c r="Q17" s="285"/>
      <c r="R17" s="285"/>
      <c r="S17" s="285"/>
      <c r="T17" s="293"/>
      <c r="U17" s="293"/>
      <c r="V17" s="293"/>
      <c r="W17" s="293"/>
      <c r="X17" s="293"/>
      <c r="Y17" s="293"/>
      <c r="Z17" s="293"/>
      <c r="AA17" s="293"/>
      <c r="AB17" s="293"/>
      <c r="AC17" s="293"/>
      <c r="AD17" s="293"/>
    </row>
    <row r="18" spans="1:30" s="292" customFormat="1" ht="17.25" customHeight="1">
      <c r="A18" s="855"/>
      <c r="B18" s="855" t="s">
        <v>201</v>
      </c>
      <c r="C18" s="835">
        <v>1228.3</v>
      </c>
      <c r="D18" s="835">
        <v>968.02961600000003</v>
      </c>
      <c r="E18" s="835">
        <v>772.15054499999997</v>
      </c>
      <c r="F18" s="835">
        <v>472.55445400000008</v>
      </c>
      <c r="G18" s="835">
        <v>-370.60431500000004</v>
      </c>
      <c r="H18" s="835">
        <v>-297.77568000000008</v>
      </c>
      <c r="I18" s="835">
        <v>1931.9270714199997</v>
      </c>
      <c r="J18" s="835">
        <v>3041.7776670000003</v>
      </c>
      <c r="K18" s="835">
        <v>5712.7696960000003</v>
      </c>
      <c r="L18" s="835">
        <v>936.13370100000009</v>
      </c>
      <c r="M18" s="835">
        <v>6455.6305090000005</v>
      </c>
      <c r="O18" s="294"/>
      <c r="P18" s="294"/>
      <c r="Q18" s="294"/>
      <c r="R18" s="294"/>
      <c r="S18" s="294"/>
      <c r="T18" s="47"/>
    </row>
    <row r="19" spans="1:30" s="292" customFormat="1" ht="17.25" customHeight="1">
      <c r="A19" s="860"/>
      <c r="B19" s="860" t="s">
        <v>202</v>
      </c>
      <c r="C19" s="842">
        <v>3039.8</v>
      </c>
      <c r="D19" s="842">
        <v>1392.1219780000001</v>
      </c>
      <c r="E19" s="842">
        <v>2199.7394300000001</v>
      </c>
      <c r="F19" s="842">
        <v>1292.9535039999996</v>
      </c>
      <c r="G19" s="842">
        <v>1745.7500490000004</v>
      </c>
      <c r="H19" s="842">
        <v>4432.4705933600007</v>
      </c>
      <c r="I19" s="842">
        <v>4796.5189434300109</v>
      </c>
      <c r="J19" s="842">
        <v>-802.88580400000023</v>
      </c>
      <c r="K19" s="842">
        <v>-1412.8942999999999</v>
      </c>
      <c r="L19" s="842">
        <v>4826.8012980000003</v>
      </c>
      <c r="M19" s="842">
        <v>9479.121508000002</v>
      </c>
      <c r="O19" s="296"/>
      <c r="P19" s="296"/>
      <c r="Q19" s="296"/>
      <c r="R19" s="296"/>
      <c r="S19" s="296"/>
      <c r="T19" s="296"/>
      <c r="U19" s="296"/>
      <c r="V19" s="296"/>
      <c r="W19" s="296"/>
      <c r="X19" s="296"/>
      <c r="Y19" s="296"/>
      <c r="Z19" s="296"/>
    </row>
    <row r="20" spans="1:30" s="273" customFormat="1" ht="17.25" customHeight="1">
      <c r="A20" s="867"/>
      <c r="B20" s="855"/>
      <c r="C20" s="839"/>
      <c r="D20" s="839"/>
      <c r="E20" s="839"/>
      <c r="F20" s="839"/>
      <c r="G20" s="839"/>
      <c r="H20" s="839"/>
      <c r="I20" s="839"/>
      <c r="J20" s="839"/>
      <c r="K20" s="839"/>
      <c r="L20" s="839"/>
      <c r="M20" s="839"/>
      <c r="O20" s="277"/>
      <c r="P20" s="277"/>
      <c r="Q20" s="277"/>
      <c r="R20" s="277"/>
      <c r="S20" s="277"/>
      <c r="T20" s="47"/>
      <c r="X20" s="297"/>
      <c r="Y20" s="298"/>
      <c r="Z20" s="298"/>
    </row>
    <row r="21" spans="1:30" s="292" customFormat="1" ht="17.25" customHeight="1">
      <c r="A21" s="856" t="s">
        <v>203</v>
      </c>
      <c r="B21" s="857"/>
      <c r="C21" s="841">
        <v>17016.995846000002</v>
      </c>
      <c r="D21" s="841">
        <v>23132.6</v>
      </c>
      <c r="E21" s="841">
        <v>25533.800000000003</v>
      </c>
      <c r="F21" s="841">
        <v>28425.399999999998</v>
      </c>
      <c r="G21" s="841">
        <v>31393.5</v>
      </c>
      <c r="H21" s="841">
        <v>33313.5</v>
      </c>
      <c r="I21" s="841">
        <v>38201.9</v>
      </c>
      <c r="J21" s="841">
        <v>43245.620323479874</v>
      </c>
      <c r="K21" s="841">
        <f>SUM(K22:K23)</f>
        <v>47971.538056830919</v>
      </c>
      <c r="L21" s="841">
        <f t="shared" ref="L21:M21" si="0">SUM(L22:L23)</f>
        <v>54257.188934999998</v>
      </c>
      <c r="M21" s="841">
        <f t="shared" si="0"/>
        <v>70368.676467244703</v>
      </c>
      <c r="Q21" s="285"/>
      <c r="R21" s="285"/>
      <c r="S21" s="285"/>
      <c r="T21" s="293"/>
      <c r="U21" s="293"/>
      <c r="V21" s="293"/>
      <c r="W21" s="293"/>
      <c r="X21" s="293"/>
      <c r="Y21" s="293"/>
      <c r="Z21" s="293"/>
      <c r="AA21" s="293"/>
      <c r="AB21" s="293"/>
      <c r="AC21" s="293"/>
      <c r="AD21" s="293"/>
    </row>
    <row r="22" spans="1:30" s="292" customFormat="1" ht="17.25" customHeight="1">
      <c r="A22" s="867" t="s">
        <v>204</v>
      </c>
      <c r="B22" s="855"/>
      <c r="C22" s="835">
        <v>7859.3</v>
      </c>
      <c r="D22" s="835">
        <v>10349.700000000001</v>
      </c>
      <c r="E22" s="835">
        <v>11081.6</v>
      </c>
      <c r="F22" s="835">
        <v>11517.8</v>
      </c>
      <c r="G22" s="835">
        <v>10749.2</v>
      </c>
      <c r="H22" s="835">
        <v>10204.200000000001</v>
      </c>
      <c r="I22" s="835">
        <v>11725.9</v>
      </c>
      <c r="J22" s="835">
        <v>16675.400000000001</v>
      </c>
      <c r="K22" s="835">
        <v>20307.5</v>
      </c>
      <c r="L22" s="835">
        <v>22030.2</v>
      </c>
      <c r="M22" s="835">
        <v>29960.146467244704</v>
      </c>
      <c r="Q22" s="294"/>
      <c r="R22" s="294"/>
      <c r="S22" s="294"/>
      <c r="T22" s="47"/>
    </row>
    <row r="23" spans="1:30" s="292" customFormat="1" ht="17.25" customHeight="1">
      <c r="A23" s="868" t="s">
        <v>205</v>
      </c>
      <c r="B23" s="857"/>
      <c r="C23" s="834">
        <v>9157.6958460000005</v>
      </c>
      <c r="D23" s="834">
        <v>12782.9</v>
      </c>
      <c r="E23" s="834">
        <v>14452.2</v>
      </c>
      <c r="F23" s="834">
        <v>16907.599999999999</v>
      </c>
      <c r="G23" s="834">
        <v>20644.3</v>
      </c>
      <c r="H23" s="834">
        <v>23109.3</v>
      </c>
      <c r="I23" s="834">
        <v>26476</v>
      </c>
      <c r="J23" s="834">
        <v>26570.220323479869</v>
      </c>
      <c r="K23" s="834">
        <v>27664.038056830916</v>
      </c>
      <c r="L23" s="834">
        <v>32226.988934999998</v>
      </c>
      <c r="M23" s="834">
        <v>40408.53</v>
      </c>
      <c r="O23" s="296"/>
      <c r="P23" s="296"/>
      <c r="Q23" s="296"/>
      <c r="R23" s="296"/>
      <c r="S23" s="296"/>
      <c r="T23" s="296"/>
      <c r="U23" s="296"/>
      <c r="V23" s="296"/>
      <c r="W23" s="296"/>
      <c r="X23" s="296"/>
      <c r="Y23" s="296"/>
      <c r="Z23" s="296"/>
    </row>
    <row r="24" spans="1:30" s="273" customFormat="1" ht="17.25" customHeight="1">
      <c r="A24" s="867"/>
      <c r="B24" s="855"/>
      <c r="C24" s="839"/>
      <c r="D24" s="839"/>
      <c r="E24" s="839"/>
      <c r="F24" s="839"/>
      <c r="G24" s="839"/>
      <c r="H24" s="839"/>
      <c r="I24" s="839"/>
      <c r="J24" s="839"/>
      <c r="K24" s="839"/>
      <c r="L24" s="839"/>
      <c r="M24" s="839"/>
      <c r="O24" s="277"/>
      <c r="P24" s="277"/>
      <c r="Q24" s="277"/>
      <c r="R24" s="277"/>
      <c r="S24" s="277"/>
      <c r="T24" s="47"/>
      <c r="X24" s="297"/>
      <c r="Y24" s="298"/>
      <c r="Z24" s="298"/>
    </row>
    <row r="25" spans="1:30" s="301" customFormat="1" ht="17.25" customHeight="1">
      <c r="A25" s="861" t="s">
        <v>206</v>
      </c>
      <c r="B25" s="861"/>
      <c r="C25" s="843">
        <f t="shared" ref="C25:H25" si="1">C6/C32*100</f>
        <v>19.295639424410631</v>
      </c>
      <c r="D25" s="843">
        <f>D6/D32*100</f>
        <v>22.641028669784074</v>
      </c>
      <c r="E25" s="843">
        <f t="shared" si="1"/>
        <v>22.034834902622354</v>
      </c>
      <c r="F25" s="843">
        <f t="shared" si="1"/>
        <v>23.271360141918787</v>
      </c>
      <c r="G25" s="843">
        <f t="shared" si="1"/>
        <v>26.375614960852239</v>
      </c>
      <c r="H25" s="843">
        <f t="shared" si="1"/>
        <v>26.397693510371745</v>
      </c>
      <c r="I25" s="843">
        <f>I6/I32*100</f>
        <v>27.228685963873918</v>
      </c>
      <c r="J25" s="843">
        <f>J6/J32*100</f>
        <v>27.223774580116576</v>
      </c>
      <c r="K25" s="843">
        <f>K6/K32*100</f>
        <v>26.233845496767106</v>
      </c>
      <c r="L25" s="843">
        <f>L6/L32*100</f>
        <v>25.59393498580619</v>
      </c>
      <c r="M25" s="843">
        <f>M6/M32*100</f>
        <v>21.832256341270529</v>
      </c>
      <c r="N25" s="299"/>
      <c r="O25" s="299"/>
      <c r="P25" s="299"/>
      <c r="Q25" s="299"/>
      <c r="R25" s="299"/>
      <c r="S25" s="299"/>
      <c r="T25" s="300"/>
    </row>
    <row r="26" spans="1:30" s="301" customFormat="1" ht="17.25" customHeight="1">
      <c r="A26" s="862" t="s">
        <v>207</v>
      </c>
      <c r="B26" s="863"/>
      <c r="C26" s="844">
        <f t="shared" ref="C26:H26" si="2">C11/C32*100</f>
        <v>33.192903801773951</v>
      </c>
      <c r="D26" s="844">
        <f t="shared" si="2"/>
        <v>31.259905440295565</v>
      </c>
      <c r="E26" s="844">
        <f t="shared" si="2"/>
        <v>29.766840675401372</v>
      </c>
      <c r="F26" s="844">
        <f t="shared" si="2"/>
        <v>26.990567768025382</v>
      </c>
      <c r="G26" s="844">
        <f t="shared" si="2"/>
        <v>29.084438051494573</v>
      </c>
      <c r="H26" s="844">
        <f t="shared" si="2"/>
        <v>33.954128860509222</v>
      </c>
      <c r="I26" s="844">
        <f>I11/I32*100</f>
        <v>37.602360692783435</v>
      </c>
      <c r="J26" s="844">
        <f>J11/J32*100</f>
        <v>30.754322905181624</v>
      </c>
      <c r="K26" s="844">
        <f>K11/K32*100</f>
        <v>32.508364896080941</v>
      </c>
      <c r="L26" s="844">
        <f>L11/L32*100</f>
        <v>33.61372486343646</v>
      </c>
      <c r="M26" s="844">
        <f>M11/M32*100</f>
        <v>53.201952530516593</v>
      </c>
      <c r="N26" s="299"/>
      <c r="O26" s="299"/>
      <c r="P26" s="299"/>
      <c r="Q26" s="299"/>
      <c r="R26" s="299"/>
      <c r="S26" s="299"/>
      <c r="T26" s="300"/>
      <c r="X26" s="303"/>
      <c r="Y26" s="304"/>
      <c r="Z26" s="304"/>
    </row>
    <row r="27" spans="1:30" s="301" customFormat="1" ht="17.25" customHeight="1">
      <c r="A27" s="861" t="s">
        <v>208</v>
      </c>
      <c r="B27" s="861"/>
      <c r="C27" s="843">
        <v>33.370863618085757</v>
      </c>
      <c r="D27" s="843">
        <v>31.259905440295565</v>
      </c>
      <c r="E27" s="843">
        <f t="shared" ref="E27:H27" si="3">E15/E32*100</f>
        <v>-6.7016820796731311</v>
      </c>
      <c r="F27" s="843">
        <f t="shared" si="3"/>
        <v>-3.4868410298928421</v>
      </c>
      <c r="G27" s="843">
        <f t="shared" si="3"/>
        <v>-2.4181895740636334</v>
      </c>
      <c r="H27" s="843">
        <f t="shared" si="3"/>
        <v>-6.5477656063962826</v>
      </c>
      <c r="I27" s="843">
        <f>I15/I32*100</f>
        <v>-9.9975609678218813</v>
      </c>
      <c r="J27" s="843">
        <f>J15/J32*100</f>
        <v>-3.0606211704692536</v>
      </c>
      <c r="K27" s="843">
        <f>K15/K32*100</f>
        <v>-5.2696816097586963</v>
      </c>
      <c r="L27" s="843">
        <f>L15/L32*100</f>
        <v>-6.6809247341815245</v>
      </c>
      <c r="M27" s="843">
        <f>M15/M32*100</f>
        <v>-27.679721295308262</v>
      </c>
      <c r="N27" s="299"/>
      <c r="O27" s="299"/>
      <c r="P27" s="299"/>
      <c r="Q27" s="299"/>
      <c r="R27" s="299"/>
      <c r="S27" s="299"/>
      <c r="T27" s="300"/>
    </row>
    <row r="28" spans="1:30" s="301" customFormat="1" ht="17.25" customHeight="1">
      <c r="A28" s="862" t="s">
        <v>209</v>
      </c>
      <c r="B28" s="863"/>
      <c r="C28" s="844">
        <v>33.370863618085757</v>
      </c>
      <c r="D28" s="844">
        <v>31.259905440295565</v>
      </c>
      <c r="E28" s="844">
        <f t="shared" ref="E28:H28" si="4">E16/E32*100</f>
        <v>-4.2051877631453154</v>
      </c>
      <c r="F28" s="844">
        <f t="shared" si="4"/>
        <v>-1.5973269422274117</v>
      </c>
      <c r="G28" s="844">
        <f t="shared" si="4"/>
        <v>-0.69776871318025391</v>
      </c>
      <c r="H28" s="844">
        <f t="shared" si="4"/>
        <v>-4.4136068368038694</v>
      </c>
      <c r="I28" s="844">
        <f>I16/I32*100</f>
        <v>-8.2408247425925847</v>
      </c>
      <c r="J28" s="844">
        <f>J16/J32*100</f>
        <v>-1.5610871864995179</v>
      </c>
      <c r="K28" s="844">
        <f>K16/K32*100</f>
        <v>-3.5043592062484223</v>
      </c>
      <c r="L28" s="844">
        <f>L16/L32*100</f>
        <v>-4.8946529412429154</v>
      </c>
      <c r="M28" s="844">
        <f>M16/M32*100</f>
        <v>-24.7127374942933</v>
      </c>
      <c r="N28" s="299"/>
      <c r="O28" s="299"/>
      <c r="P28" s="299"/>
      <c r="Q28" s="299"/>
      <c r="R28" s="299"/>
      <c r="S28" s="299"/>
      <c r="T28" s="300"/>
      <c r="X28" s="303"/>
      <c r="Y28" s="304"/>
      <c r="Z28" s="304"/>
    </row>
    <row r="29" spans="1:30" s="301" customFormat="1" ht="17.25" customHeight="1">
      <c r="A29" s="864" t="s">
        <v>210</v>
      </c>
      <c r="B29" s="864"/>
      <c r="C29" s="845">
        <f t="shared" ref="C29:H29" si="5">C21/C32*100</f>
        <v>51.36639743452087</v>
      </c>
      <c r="D29" s="845">
        <f t="shared" si="5"/>
        <v>57.101902754237898</v>
      </c>
      <c r="E29" s="845">
        <f t="shared" si="5"/>
        <v>57.579322013197952</v>
      </c>
      <c r="F29" s="845">
        <f t="shared" si="5"/>
        <v>56.139566279196309</v>
      </c>
      <c r="G29" s="845">
        <f t="shared" si="5"/>
        <v>55.205373886115474</v>
      </c>
      <c r="H29" s="845">
        <f t="shared" si="5"/>
        <v>52.755764110761781</v>
      </c>
      <c r="I29" s="845">
        <f>I21/I32*100</f>
        <v>56.763325234573529</v>
      </c>
      <c r="J29" s="845">
        <f>J21/J32*100</f>
        <v>59.117074472907746</v>
      </c>
      <c r="K29" s="845">
        <f>K21/K32*100</f>
        <v>58.798697145630399</v>
      </c>
      <c r="L29" s="845">
        <f>L21/L32*100</f>
        <v>62.900610495274613</v>
      </c>
      <c r="M29" s="845">
        <f>M21/M32*100</f>
        <v>122.23433204613569</v>
      </c>
      <c r="N29" s="299"/>
      <c r="O29" s="299"/>
      <c r="P29" s="299"/>
      <c r="Q29" s="299"/>
      <c r="R29" s="299"/>
      <c r="S29" s="299"/>
      <c r="T29" s="300"/>
    </row>
    <row r="30" spans="1:30" s="301" customFormat="1" ht="17.25" customHeight="1">
      <c r="A30" s="869" t="s">
        <v>211</v>
      </c>
      <c r="B30" s="863"/>
      <c r="C30" s="844">
        <f t="shared" ref="C30:G30" si="6">C22/C32*100</f>
        <v>23.723572069392272</v>
      </c>
      <c r="D30" s="844">
        <f t="shared" si="6"/>
        <v>25.547822680353093</v>
      </c>
      <c r="E30" s="844">
        <f t="shared" si="6"/>
        <v>24.989269706093665</v>
      </c>
      <c r="F30" s="844">
        <f t="shared" si="6"/>
        <v>22.747412401954843</v>
      </c>
      <c r="G30" s="844">
        <f t="shared" si="6"/>
        <v>18.90243537600562</v>
      </c>
      <c r="H30" s="844">
        <f t="shared" ref="H30:K30" si="7">H22/H32*100</f>
        <v>16.159525962118522</v>
      </c>
      <c r="I30" s="844">
        <f t="shared" si="7"/>
        <v>17.423245319423529</v>
      </c>
      <c r="J30" s="844">
        <f t="shared" si="7"/>
        <v>22.795391910017145</v>
      </c>
      <c r="K30" s="844">
        <f t="shared" si="7"/>
        <v>24.890895532061467</v>
      </c>
      <c r="L30" s="844">
        <f t="shared" ref="L30:M30" si="8">L22/L32*100</f>
        <v>25.539712921601598</v>
      </c>
      <c r="M30" s="844">
        <f t="shared" si="8"/>
        <v>52.042452342168389</v>
      </c>
      <c r="N30" s="299"/>
      <c r="O30" s="299"/>
      <c r="P30" s="299"/>
      <c r="Q30" s="299"/>
      <c r="R30" s="299"/>
      <c r="S30" s="299"/>
      <c r="T30" s="302"/>
      <c r="X30" s="303"/>
      <c r="Y30" s="304"/>
      <c r="Z30" s="304"/>
    </row>
    <row r="31" spans="1:30" s="301" customFormat="1" ht="17.25" customHeight="1">
      <c r="A31" s="870" t="s">
        <v>212</v>
      </c>
      <c r="B31" s="865"/>
      <c r="C31" s="843">
        <f t="shared" ref="C31:G31" si="9">C23/C32*100</f>
        <v>27.642825365128605</v>
      </c>
      <c r="D31" s="843">
        <f t="shared" si="9"/>
        <v>31.554080073884805</v>
      </c>
      <c r="E31" s="843">
        <f t="shared" si="9"/>
        <v>32.590052307104287</v>
      </c>
      <c r="F31" s="843">
        <f t="shared" si="9"/>
        <v>33.392153877241462</v>
      </c>
      <c r="G31" s="843">
        <f t="shared" si="9"/>
        <v>36.302938510109847</v>
      </c>
      <c r="H31" s="843">
        <f t="shared" ref="H31:K31" si="10">H23/H32*100</f>
        <v>36.596238148643259</v>
      </c>
      <c r="I31" s="843">
        <f t="shared" si="10"/>
        <v>39.340079915149992</v>
      </c>
      <c r="J31" s="843">
        <f t="shared" si="10"/>
        <v>36.321682562890608</v>
      </c>
      <c r="K31" s="843">
        <f t="shared" si="10"/>
        <v>33.907801613568928</v>
      </c>
      <c r="L31" s="843">
        <f t="shared" ref="L31" si="11">L23/L32*100</f>
        <v>37.360897573673014</v>
      </c>
      <c r="M31" s="843">
        <f t="shared" ref="M31" si="12">M23/M32*100</f>
        <v>70.191879703967302</v>
      </c>
      <c r="N31" s="299"/>
      <c r="O31" s="299"/>
      <c r="P31" s="299"/>
      <c r="Q31" s="299"/>
      <c r="R31" s="299"/>
      <c r="S31" s="299"/>
      <c r="T31" s="302"/>
      <c r="X31" s="303"/>
      <c r="Y31" s="304"/>
      <c r="Z31" s="304"/>
    </row>
    <row r="32" spans="1:30" s="301" customFormat="1" ht="17.25" customHeight="1">
      <c r="A32" s="871" t="s">
        <v>459</v>
      </c>
      <c r="B32" s="863"/>
      <c r="C32" s="846">
        <f>'[2]16.4'!J10</f>
        <v>33128.653547666749</v>
      </c>
      <c r="D32" s="846">
        <f>'[2]16.4'!K10</f>
        <v>40511.084367119765</v>
      </c>
      <c r="E32" s="846">
        <v>44345.433581429308</v>
      </c>
      <c r="F32" s="846">
        <v>50633.451385486791</v>
      </c>
      <c r="G32" s="846">
        <v>56866.746459796515</v>
      </c>
      <c r="H32" s="846">
        <v>63146.654325881129</v>
      </c>
      <c r="I32" s="846">
        <v>67300.320835911683</v>
      </c>
      <c r="J32" s="846">
        <v>73152.504093040887</v>
      </c>
      <c r="K32" s="846">
        <v>81586.056129809847</v>
      </c>
      <c r="L32" s="846">
        <v>86258.604658655982</v>
      </c>
      <c r="M32" s="846">
        <v>57568.66772968907</v>
      </c>
      <c r="N32" s="305"/>
      <c r="O32" s="305"/>
      <c r="P32" s="305"/>
      <c r="Q32" s="305"/>
      <c r="R32" s="305"/>
      <c r="S32" s="305"/>
      <c r="T32" s="300"/>
      <c r="X32" s="303"/>
      <c r="Y32" s="304"/>
      <c r="Z32" s="304"/>
    </row>
    <row r="33" spans="1:38" s="301" customFormat="1" ht="14.25" customHeight="1">
      <c r="A33" s="866"/>
      <c r="B33" s="865"/>
      <c r="C33" s="847"/>
      <c r="D33" s="847"/>
      <c r="E33" s="847"/>
      <c r="F33" s="847"/>
      <c r="G33" s="847"/>
      <c r="H33" s="847"/>
      <c r="I33" s="847"/>
      <c r="J33" s="847"/>
      <c r="K33" s="847"/>
      <c r="L33" s="847"/>
      <c r="M33" s="847"/>
      <c r="N33" s="305"/>
      <c r="O33" s="305"/>
      <c r="P33" s="305"/>
      <c r="Q33" s="305"/>
      <c r="R33" s="305"/>
      <c r="S33" s="305"/>
      <c r="T33" s="300"/>
      <c r="X33" s="303"/>
      <c r="Y33" s="304"/>
      <c r="Z33" s="304"/>
    </row>
    <row r="34" spans="1:38" s="273" customFormat="1" ht="16.5" customHeight="1">
      <c r="A34" s="306" t="s">
        <v>213</v>
      </c>
      <c r="B34" s="307"/>
      <c r="C34" s="848"/>
      <c r="D34" s="306" t="s">
        <v>214</v>
      </c>
      <c r="E34" s="848"/>
      <c r="F34" s="848"/>
      <c r="G34" s="849"/>
      <c r="H34" s="849"/>
      <c r="I34" s="849"/>
      <c r="J34" s="849"/>
      <c r="K34" s="849"/>
      <c r="L34" s="849"/>
      <c r="M34" s="849"/>
      <c r="N34" s="275"/>
      <c r="O34" s="275"/>
      <c r="P34" s="275"/>
      <c r="Q34" s="275"/>
      <c r="R34" s="275"/>
      <c r="S34" s="275"/>
      <c r="T34" s="47"/>
      <c r="X34" s="297"/>
      <c r="Y34" s="308"/>
      <c r="Z34" s="308"/>
    </row>
    <row r="35" spans="1:38" s="273" customFormat="1" ht="16.5" customHeight="1">
      <c r="A35" s="306" t="s">
        <v>215</v>
      </c>
      <c r="B35" s="307"/>
      <c r="C35" s="846"/>
      <c r="D35" s="309" t="s">
        <v>431</v>
      </c>
      <c r="E35" s="846"/>
      <c r="F35" s="846"/>
      <c r="G35" s="846"/>
      <c r="H35" s="848"/>
      <c r="I35" s="848"/>
      <c r="J35" s="848"/>
      <c r="K35" s="848"/>
      <c r="L35" s="849"/>
      <c r="M35" s="849"/>
      <c r="N35" s="275"/>
      <c r="O35" s="275"/>
      <c r="P35" s="275"/>
      <c r="Q35" s="275"/>
      <c r="R35" s="275"/>
      <c r="S35" s="275"/>
      <c r="T35" s="47"/>
      <c r="X35" s="297"/>
      <c r="Y35" s="308"/>
      <c r="Z35" s="297"/>
    </row>
    <row r="36" spans="1:38" s="273" customFormat="1" ht="16.5" customHeight="1">
      <c r="A36" s="306" t="s">
        <v>216</v>
      </c>
      <c r="B36" s="307"/>
      <c r="C36" s="848"/>
      <c r="D36" s="848"/>
      <c r="E36" s="848"/>
      <c r="F36" s="848"/>
      <c r="G36" s="848"/>
      <c r="H36" s="844"/>
      <c r="I36" s="844"/>
      <c r="J36" s="839"/>
      <c r="K36" s="848"/>
      <c r="L36" s="849"/>
      <c r="M36" s="849"/>
      <c r="N36" s="275"/>
      <c r="O36" s="275"/>
      <c r="P36" s="275"/>
      <c r="Q36" s="275"/>
      <c r="R36" s="275"/>
      <c r="S36" s="275"/>
      <c r="T36" s="47"/>
      <c r="X36" s="297"/>
      <c r="Y36" s="308"/>
      <c r="Z36" s="297"/>
    </row>
    <row r="37" spans="1:38" s="273" customFormat="1" ht="16.5" customHeight="1">
      <c r="B37" s="307"/>
      <c r="C37" s="848"/>
      <c r="D37" s="848"/>
      <c r="E37" s="848"/>
      <c r="F37" s="848"/>
      <c r="G37" s="848"/>
      <c r="H37" s="848"/>
      <c r="I37" s="848"/>
      <c r="J37" s="848"/>
      <c r="K37" s="848"/>
      <c r="L37" s="692"/>
      <c r="M37" s="848"/>
      <c r="N37" s="275"/>
      <c r="O37" s="275"/>
      <c r="P37" s="275"/>
      <c r="Q37" s="275"/>
      <c r="R37" s="275"/>
      <c r="S37" s="275"/>
      <c r="T37" s="47"/>
      <c r="X37" s="297"/>
      <c r="Y37" s="308"/>
      <c r="Z37" s="297"/>
    </row>
    <row r="38" spans="1:38">
      <c r="X38" s="39"/>
      <c r="Y38" s="310"/>
      <c r="Z38" s="25"/>
    </row>
    <row r="39" spans="1:38">
      <c r="X39" s="39"/>
      <c r="Y39" s="311"/>
      <c r="Z39" s="311"/>
      <c r="AA39" s="850">
        <v>33128.653547666749</v>
      </c>
      <c r="AB39" s="850">
        <v>40511.084367119765</v>
      </c>
      <c r="AC39" s="850">
        <v>44345.433581429315</v>
      </c>
      <c r="AD39" s="850">
        <v>50633.451385486791</v>
      </c>
      <c r="AE39" s="850">
        <v>56866.746459796508</v>
      </c>
      <c r="AF39" s="850">
        <v>63146.654325881129</v>
      </c>
      <c r="AG39" s="850">
        <v>67300.320835911683</v>
      </c>
      <c r="AH39" s="850">
        <v>73152.504093040887</v>
      </c>
      <c r="AI39" s="850">
        <v>81586.056129809847</v>
      </c>
      <c r="AJ39" s="850">
        <v>86258.604658655982</v>
      </c>
      <c r="AK39" s="850">
        <v>57568.66772968907</v>
      </c>
    </row>
    <row r="40" spans="1:38">
      <c r="X40" s="39"/>
      <c r="Y40" s="25"/>
      <c r="Z40" s="25"/>
      <c r="AA40" s="662"/>
      <c r="AB40" s="662"/>
      <c r="AC40" s="662"/>
      <c r="AD40" s="662"/>
      <c r="AE40" s="662"/>
      <c r="AF40" s="662"/>
      <c r="AG40" s="662"/>
      <c r="AH40" s="662"/>
      <c r="AI40" s="662"/>
      <c r="AJ40" s="662"/>
      <c r="AK40" s="662"/>
    </row>
    <row r="41" spans="1:38">
      <c r="AA41" s="271"/>
      <c r="AB41" s="271">
        <v>2010</v>
      </c>
      <c r="AC41" s="271">
        <v>2011</v>
      </c>
      <c r="AD41" s="271">
        <v>2012</v>
      </c>
      <c r="AE41" s="271">
        <v>2013</v>
      </c>
      <c r="AF41" s="271">
        <v>2014</v>
      </c>
      <c r="AG41" s="271">
        <v>2015</v>
      </c>
      <c r="AH41" s="271">
        <v>2016</v>
      </c>
      <c r="AI41" s="271">
        <v>2017</v>
      </c>
      <c r="AJ41" s="271">
        <v>2018</v>
      </c>
      <c r="AK41" s="271">
        <v>2019</v>
      </c>
      <c r="AL41" s="271">
        <v>2020</v>
      </c>
    </row>
    <row r="42" spans="1:38">
      <c r="AA42" s="289" t="s">
        <v>204</v>
      </c>
      <c r="AB42" s="835">
        <v>7859.3</v>
      </c>
      <c r="AC42" s="835">
        <v>10349.700000000001</v>
      </c>
      <c r="AD42" s="835">
        <v>11081.6</v>
      </c>
      <c r="AE42" s="835">
        <v>11517.8</v>
      </c>
      <c r="AF42" s="835">
        <v>10749.2</v>
      </c>
      <c r="AG42" s="835">
        <v>10204.200000000001</v>
      </c>
      <c r="AH42" s="835">
        <v>11725.9</v>
      </c>
      <c r="AI42" s="835">
        <v>17408.400000000001</v>
      </c>
      <c r="AJ42" s="835">
        <f>K32</f>
        <v>81586.056129809847</v>
      </c>
      <c r="AK42" s="835">
        <f>L32</f>
        <v>86258.604658655982</v>
      </c>
      <c r="AL42" s="278">
        <f>M32</f>
        <v>57568.66772968907</v>
      </c>
    </row>
    <row r="43" spans="1:38">
      <c r="AA43" s="289" t="s">
        <v>205</v>
      </c>
      <c r="AB43" s="851">
        <f>C23</f>
        <v>9157.6958460000005</v>
      </c>
      <c r="AC43" s="851">
        <f>D23</f>
        <v>12782.9</v>
      </c>
      <c r="AD43" s="851">
        <f>E23</f>
        <v>14452.2</v>
      </c>
      <c r="AE43" s="851">
        <f>F23</f>
        <v>16907.599999999999</v>
      </c>
      <c r="AF43" s="851">
        <f>G23</f>
        <v>20644.3</v>
      </c>
      <c r="AG43" s="851">
        <f>H23</f>
        <v>23109.3</v>
      </c>
      <c r="AH43" s="851">
        <f>I23</f>
        <v>26476</v>
      </c>
      <c r="AI43" s="851">
        <f>J23</f>
        <v>26570.220323479869</v>
      </c>
      <c r="AJ43" s="851">
        <f>K23</f>
        <v>27664.038056830916</v>
      </c>
      <c r="AK43" s="851">
        <f>L23</f>
        <v>32226.988934999998</v>
      </c>
      <c r="AL43" s="295">
        <f>M23</f>
        <v>40408.53</v>
      </c>
    </row>
    <row r="44" spans="1:38">
      <c r="AA44" s="80" t="str">
        <f>A5</f>
        <v>Revenue and Grants</v>
      </c>
      <c r="AB44" s="852">
        <f>C5</f>
        <v>6546.9287702799966</v>
      </c>
      <c r="AC44" s="852">
        <f>D5</f>
        <v>9904.5614829999995</v>
      </c>
      <c r="AD44" s="852">
        <f>E5</f>
        <v>10138.11294952</v>
      </c>
      <c r="AE44" s="852">
        <f>F5</f>
        <v>11900.748051729999</v>
      </c>
      <c r="AF44" s="852">
        <f>G5</f>
        <v>15164.227912</v>
      </c>
      <c r="AG44" s="852">
        <f>H5</f>
        <v>17306.201467370003</v>
      </c>
      <c r="AH44" s="852">
        <f>I5</f>
        <v>18578.118781009995</v>
      </c>
      <c r="AI44" s="852">
        <f>J5</f>
        <v>20258.636295000004</v>
      </c>
      <c r="AJ44" s="852">
        <f>K5</f>
        <v>22222.967435000002</v>
      </c>
      <c r="AK44" s="852">
        <f>L5</f>
        <v>23231.857586999999</v>
      </c>
      <c r="AL44" s="440">
        <f>M5</f>
        <v>14692.808497000002</v>
      </c>
    </row>
    <row r="45" spans="1:38">
      <c r="AA45" s="80" t="str">
        <f>A10</f>
        <v>Expenditure and Net Lending</v>
      </c>
      <c r="AB45" s="852">
        <f>C10</f>
        <v>10815.062102899999</v>
      </c>
      <c r="AC45" s="852">
        <f>D10</f>
        <v>12264.726665999999</v>
      </c>
      <c r="AD45" s="852">
        <f>E10</f>
        <v>13110.002924999999</v>
      </c>
      <c r="AE45" s="852">
        <f>F10</f>
        <v>13530.771002489999</v>
      </c>
      <c r="AF45" s="852">
        <f>G10</f>
        <v>16417.211596000001</v>
      </c>
      <c r="AG45" s="852">
        <f>H10</f>
        <v>21336.878134909999</v>
      </c>
      <c r="AH45" s="852">
        <f>I10</f>
        <v>25262.973192969996</v>
      </c>
      <c r="AI45" s="852">
        <f>J10</f>
        <v>22420.18677</v>
      </c>
      <c r="AJ45" s="852">
        <f>K10</f>
        <v>26418.667526999998</v>
      </c>
      <c r="AK45" s="852">
        <f>L10</f>
        <v>28919.533213000002</v>
      </c>
      <c r="AL45" s="440">
        <f>M10</f>
        <v>30566.561805000001</v>
      </c>
    </row>
    <row r="46" spans="1:38">
      <c r="AA46" s="662"/>
      <c r="AB46" s="662"/>
      <c r="AC46" s="662"/>
      <c r="AD46" s="662"/>
      <c r="AE46" s="662"/>
      <c r="AF46" s="662"/>
      <c r="AG46" s="662"/>
      <c r="AH46" s="662"/>
      <c r="AI46" s="662"/>
      <c r="AJ46" s="662"/>
      <c r="AK46" s="662"/>
    </row>
    <row r="47" spans="1:38">
      <c r="AA47" s="736"/>
      <c r="AB47" s="844"/>
      <c r="AC47" s="844"/>
      <c r="AD47" s="844"/>
      <c r="AE47" s="844"/>
      <c r="AF47" s="844"/>
      <c r="AG47" s="844"/>
      <c r="AH47" s="844"/>
      <c r="AI47" s="844"/>
      <c r="AJ47" s="844"/>
      <c r="AK47" s="736"/>
    </row>
    <row r="54" spans="1:30" ht="5.25" customHeight="1"/>
    <row r="55" spans="1:30" ht="37.9" customHeight="1"/>
    <row r="60" spans="1:30">
      <c r="B60" s="274"/>
    </row>
    <row r="61" spans="1:30">
      <c r="A61" s="25"/>
      <c r="B61" s="25"/>
    </row>
    <row r="62" spans="1:30">
      <c r="A62" s="25"/>
      <c r="B62" s="25"/>
    </row>
    <row r="63" spans="1:30" s="314" customFormat="1">
      <c r="A63" s="312"/>
      <c r="B63" s="313"/>
      <c r="C63" s="853"/>
      <c r="D63" s="844"/>
      <c r="E63" s="844"/>
      <c r="F63" s="844"/>
      <c r="G63" s="844"/>
      <c r="H63" s="844"/>
      <c r="I63" s="844"/>
      <c r="J63" s="844"/>
      <c r="K63" s="844"/>
      <c r="L63" s="844"/>
      <c r="M63" s="853"/>
      <c r="W63" s="80"/>
      <c r="X63" s="80"/>
      <c r="Y63" s="80"/>
      <c r="Z63" s="80"/>
      <c r="AA63" s="80"/>
      <c r="AB63" s="80"/>
      <c r="AC63" s="80"/>
      <c r="AD63" s="80"/>
    </row>
    <row r="64" spans="1:30" s="314" customFormat="1">
      <c r="A64" s="312"/>
      <c r="B64" s="313"/>
      <c r="C64" s="853"/>
      <c r="D64" s="844"/>
      <c r="E64" s="844"/>
      <c r="F64" s="844"/>
      <c r="G64" s="844"/>
      <c r="H64" s="844"/>
      <c r="I64" s="844"/>
      <c r="J64" s="844"/>
      <c r="K64" s="844"/>
      <c r="L64" s="844"/>
      <c r="M64" s="853"/>
      <c r="W64" s="80"/>
      <c r="X64" s="80"/>
      <c r="Y64" s="80"/>
      <c r="Z64" s="80"/>
      <c r="AA64" s="80"/>
      <c r="AB64" s="80"/>
      <c r="AC64" s="80"/>
      <c r="AD64" s="80"/>
    </row>
    <row r="65" spans="1:30" s="314" customFormat="1">
      <c r="A65" s="312"/>
      <c r="B65" s="315"/>
      <c r="C65" s="853"/>
      <c r="D65" s="844"/>
      <c r="E65" s="844"/>
      <c r="F65" s="844"/>
      <c r="G65" s="844"/>
      <c r="H65" s="844"/>
      <c r="I65" s="844"/>
      <c r="J65" s="844"/>
      <c r="K65" s="844"/>
      <c r="L65" s="844"/>
      <c r="M65" s="853"/>
      <c r="W65" s="80"/>
      <c r="X65" s="80"/>
      <c r="Y65" s="80"/>
      <c r="Z65" s="80"/>
      <c r="AA65" s="80"/>
      <c r="AB65" s="80"/>
      <c r="AC65" s="80"/>
      <c r="AD65" s="80"/>
    </row>
    <row r="66" spans="1:30" s="314" customFormat="1">
      <c r="A66" s="312"/>
      <c r="B66" s="315"/>
      <c r="C66" s="853"/>
      <c r="D66" s="844"/>
      <c r="E66" s="844"/>
      <c r="F66" s="844"/>
      <c r="G66" s="844"/>
      <c r="H66" s="844"/>
      <c r="I66" s="844"/>
      <c r="J66" s="844"/>
      <c r="K66" s="844"/>
      <c r="L66" s="844"/>
      <c r="M66" s="853"/>
      <c r="W66" s="80"/>
      <c r="X66" s="80"/>
      <c r="Y66" s="80"/>
      <c r="Z66" s="80"/>
      <c r="AA66" s="80"/>
      <c r="AB66" s="80"/>
      <c r="AC66" s="80"/>
      <c r="AD66" s="80"/>
    </row>
    <row r="67" spans="1:30" s="314" customFormat="1">
      <c r="A67" s="312"/>
      <c r="B67" s="315"/>
      <c r="C67" s="853"/>
      <c r="D67" s="844"/>
      <c r="E67" s="844"/>
      <c r="F67" s="844"/>
      <c r="G67" s="844"/>
      <c r="H67" s="844"/>
      <c r="I67" s="844"/>
      <c r="J67" s="844"/>
      <c r="K67" s="844"/>
      <c r="L67" s="844"/>
      <c r="M67" s="853"/>
    </row>
    <row r="68" spans="1:30">
      <c r="A68" s="25"/>
      <c r="B68" s="25"/>
      <c r="C68" s="736"/>
      <c r="D68" s="844"/>
      <c r="E68" s="844"/>
      <c r="F68" s="844"/>
      <c r="G68" s="844"/>
      <c r="H68" s="844"/>
      <c r="I68" s="844"/>
      <c r="J68" s="844"/>
      <c r="K68" s="844"/>
      <c r="L68" s="844"/>
      <c r="M68" s="736"/>
    </row>
    <row r="69" spans="1:30">
      <c r="A69" s="25"/>
      <c r="B69" s="25"/>
      <c r="C69" s="736"/>
      <c r="D69" s="846"/>
      <c r="E69" s="846"/>
      <c r="F69" s="846"/>
      <c r="G69" s="846"/>
      <c r="H69" s="846"/>
      <c r="I69" s="846"/>
      <c r="J69" s="846"/>
      <c r="K69" s="846"/>
      <c r="L69" s="846"/>
      <c r="M69" s="736"/>
    </row>
    <row r="70" spans="1:30">
      <c r="A70" s="25"/>
      <c r="B70" s="25"/>
    </row>
    <row r="71" spans="1:30">
      <c r="A71" s="25"/>
      <c r="B71" s="25"/>
    </row>
  </sheetData>
  <mergeCells count="4">
    <mergeCell ref="A6:B6"/>
    <mergeCell ref="A9:B9"/>
    <mergeCell ref="A14:B14"/>
    <mergeCell ref="A1:M1"/>
  </mergeCells>
  <pageMargins left="0.7" right="0.7" top="0.75" bottom="0.75" header="0.3" footer="0.3"/>
  <pageSetup paperSize="9" scale="53" orientation="landscape" horizontalDpi="4294967295" verticalDpi="4294967295"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B76"/>
  <sheetViews>
    <sheetView view="pageBreakPreview" zoomScale="60" zoomScaleNormal="112" workbookViewId="0">
      <selection activeCell="AB19" sqref="AB19"/>
    </sheetView>
  </sheetViews>
  <sheetFormatPr defaultColWidth="11.42578125" defaultRowHeight="15.75"/>
  <cols>
    <col min="1" max="1" width="37" style="80" customWidth="1"/>
    <col min="2" max="20" width="11.85546875" style="662" customWidth="1"/>
    <col min="21" max="21" width="11.42578125" style="662"/>
    <col min="22" max="16384" width="11.42578125" style="80"/>
  </cols>
  <sheetData>
    <row r="1" spans="1:28" ht="30" customHeight="1">
      <c r="A1" s="1023" t="s">
        <v>217</v>
      </c>
      <c r="B1" s="1023"/>
      <c r="C1" s="1023"/>
      <c r="D1" s="1023"/>
      <c r="E1" s="1023"/>
      <c r="F1" s="1023"/>
      <c r="G1" s="1023"/>
      <c r="H1" s="1023"/>
      <c r="I1" s="1023"/>
      <c r="J1" s="1023"/>
      <c r="K1" s="1023"/>
      <c r="L1" s="1023"/>
      <c r="M1" s="1023"/>
      <c r="N1" s="1023"/>
      <c r="O1" s="1023"/>
      <c r="P1" s="1023"/>
      <c r="Q1" s="1023"/>
      <c r="R1" s="1023"/>
      <c r="S1" s="1023"/>
      <c r="T1" s="1023"/>
      <c r="U1" s="691"/>
      <c r="V1" s="33"/>
      <c r="W1" s="33"/>
      <c r="X1" s="33"/>
      <c r="Y1" s="33"/>
      <c r="Z1" s="33"/>
      <c r="AA1" s="33"/>
      <c r="AB1" s="33"/>
    </row>
    <row r="2" spans="1:28" s="267" customFormat="1" ht="15" customHeight="1">
      <c r="A2" s="270"/>
      <c r="B2" s="877"/>
      <c r="C2" s="877"/>
      <c r="D2" s="877"/>
      <c r="E2" s="877"/>
      <c r="F2" s="877"/>
      <c r="G2" s="877"/>
      <c r="H2" s="877"/>
      <c r="I2" s="877"/>
      <c r="J2" s="877"/>
      <c r="K2" s="877"/>
      <c r="L2" s="828"/>
      <c r="M2" s="828"/>
      <c r="N2" s="828"/>
      <c r="O2" s="828"/>
      <c r="P2" s="828"/>
      <c r="Q2" s="828"/>
      <c r="R2" s="828"/>
      <c r="S2" s="828"/>
      <c r="T2" s="828"/>
      <c r="U2" s="828"/>
    </row>
    <row r="3" spans="1:28" s="273" customFormat="1" ht="21.75" customHeight="1">
      <c r="A3" s="876" t="s">
        <v>218</v>
      </c>
      <c r="B3" s="878">
        <v>2002</v>
      </c>
      <c r="C3" s="878">
        <v>2003</v>
      </c>
      <c r="D3" s="878">
        <v>2004</v>
      </c>
      <c r="E3" s="878">
        <v>2005</v>
      </c>
      <c r="F3" s="878">
        <v>2006</v>
      </c>
      <c r="G3" s="878">
        <v>2007</v>
      </c>
      <c r="H3" s="878">
        <v>2008</v>
      </c>
      <c r="I3" s="878">
        <v>2009</v>
      </c>
      <c r="J3" s="878">
        <v>2010</v>
      </c>
      <c r="K3" s="878">
        <v>2011</v>
      </c>
      <c r="L3" s="878">
        <v>2012</v>
      </c>
      <c r="M3" s="878">
        <v>2013</v>
      </c>
      <c r="N3" s="878">
        <v>2014</v>
      </c>
      <c r="O3" s="878">
        <v>2015</v>
      </c>
      <c r="P3" s="878">
        <v>2016</v>
      </c>
      <c r="Q3" s="878">
        <v>2017</v>
      </c>
      <c r="R3" s="878">
        <v>2018</v>
      </c>
      <c r="S3" s="878">
        <v>2019</v>
      </c>
      <c r="T3" s="878">
        <v>2020</v>
      </c>
      <c r="U3" s="879"/>
      <c r="V3" s="272"/>
      <c r="W3" s="272"/>
      <c r="X3" s="272"/>
      <c r="Y3" s="272"/>
      <c r="Z3" s="272"/>
      <c r="AA3" s="272"/>
      <c r="AB3" s="272"/>
    </row>
    <row r="4" spans="1:28" s="273" customFormat="1" ht="21.75" customHeight="1">
      <c r="A4" s="625"/>
      <c r="B4" s="880"/>
      <c r="C4" s="880"/>
      <c r="D4" s="880"/>
      <c r="E4" s="880"/>
      <c r="F4" s="880"/>
      <c r="G4" s="880"/>
      <c r="H4" s="880"/>
      <c r="I4" s="880"/>
      <c r="J4" s="880"/>
      <c r="K4" s="880"/>
      <c r="L4" s="880"/>
      <c r="M4" s="880"/>
      <c r="N4" s="849"/>
      <c r="O4" s="849"/>
      <c r="P4" s="849"/>
      <c r="Q4" s="849"/>
      <c r="R4" s="849"/>
      <c r="S4" s="849"/>
      <c r="T4" s="849"/>
      <c r="U4" s="880"/>
      <c r="V4" s="317"/>
      <c r="W4" s="317"/>
      <c r="X4" s="317"/>
      <c r="Y4" s="317"/>
      <c r="Z4" s="317"/>
      <c r="AA4" s="317"/>
      <c r="AB4" s="317"/>
    </row>
    <row r="5" spans="1:28" s="273" customFormat="1" ht="21.75" customHeight="1">
      <c r="A5" s="872" t="s">
        <v>222</v>
      </c>
      <c r="B5" s="881">
        <v>1701.4505349675701</v>
      </c>
      <c r="C5" s="881">
        <v>2680.8151812216202</v>
      </c>
      <c r="D5" s="881">
        <v>3393.99970431974</v>
      </c>
      <c r="E5" s="881">
        <v>1832.27901600277</v>
      </c>
      <c r="F5" s="881">
        <v>994.36343484207998</v>
      </c>
      <c r="G5" s="881">
        <v>-510.43800513439999</v>
      </c>
      <c r="H5" s="881">
        <v>-1732.1208978459999</v>
      </c>
      <c r="I5" s="881">
        <v>-1338.6554147607501</v>
      </c>
      <c r="J5" s="881">
        <v>685.60581968430404</v>
      </c>
      <c r="K5" s="881">
        <v>2873.0455683139198</v>
      </c>
      <c r="L5" s="881">
        <v>5258.2594138894901</v>
      </c>
      <c r="M5" s="881">
        <v>8813.4041396444009</v>
      </c>
      <c r="N5" s="881">
        <v>12519.9131638332</v>
      </c>
      <c r="O5" s="881">
        <v>12297.1434467909</v>
      </c>
      <c r="P5" s="881">
        <v>7869.36404097784</v>
      </c>
      <c r="Q5" s="881">
        <v>10353.430445170599</v>
      </c>
      <c r="R5" s="881">
        <v>9819.1954520625695</v>
      </c>
      <c r="S5" s="881">
        <v>13041.691628300199</v>
      </c>
      <c r="T5" s="881">
        <v>6262.2527695552499</v>
      </c>
      <c r="U5" s="882"/>
      <c r="V5" s="319"/>
      <c r="W5" s="319"/>
      <c r="X5" s="319"/>
      <c r="Y5" s="319"/>
      <c r="Z5" s="319"/>
      <c r="AA5" s="319"/>
      <c r="AB5" s="319"/>
    </row>
    <row r="6" spans="1:28" s="273" customFormat="1" ht="21.75" customHeight="1">
      <c r="A6" s="873" t="s">
        <v>223</v>
      </c>
      <c r="B6" s="883">
        <v>1686.4895349675701</v>
      </c>
      <c r="C6" s="883">
        <v>2035.2701812216201</v>
      </c>
      <c r="D6" s="883">
        <v>2599.6007043197401</v>
      </c>
      <c r="E6" s="883">
        <v>2304.1500160027699</v>
      </c>
      <c r="F6" s="883">
        <v>2814.00604467208</v>
      </c>
      <c r="G6" s="883">
        <v>3857.0629948656001</v>
      </c>
      <c r="H6" s="883">
        <v>3022.0421021540001</v>
      </c>
      <c r="I6" s="883">
        <v>3071.7005852392499</v>
      </c>
      <c r="J6" s="883">
        <v>4067.6288196843002</v>
      </c>
      <c r="K6" s="883">
        <v>4725.5225683139197</v>
      </c>
      <c r="L6" s="883">
        <v>4240.9964138894902</v>
      </c>
      <c r="M6" s="883">
        <v>5307.9921396443997</v>
      </c>
      <c r="N6" s="883">
        <v>9109.9561638332307</v>
      </c>
      <c r="O6" s="883">
        <v>8227.0044467909302</v>
      </c>
      <c r="P6" s="883">
        <v>5248.0460409778398</v>
      </c>
      <c r="Q6" s="883">
        <v>8622.0204451705595</v>
      </c>
      <c r="R6" s="883">
        <v>9065.4394520625701</v>
      </c>
      <c r="S6" s="883">
        <v>11009.887628300199</v>
      </c>
      <c r="T6" s="883">
        <v>8497.0297695552508</v>
      </c>
      <c r="U6" s="883"/>
      <c r="V6" s="316"/>
      <c r="W6" s="316"/>
      <c r="X6" s="316"/>
      <c r="Y6" s="316"/>
      <c r="Z6" s="316"/>
      <c r="AA6" s="316"/>
      <c r="AB6" s="316"/>
    </row>
    <row r="7" spans="1:28" s="273" customFormat="1" ht="21.75" customHeight="1">
      <c r="A7" s="874" t="s">
        <v>224</v>
      </c>
      <c r="B7" s="884">
        <v>14.961</v>
      </c>
      <c r="C7" s="884">
        <v>645.54499999999996</v>
      </c>
      <c r="D7" s="884">
        <v>794.399</v>
      </c>
      <c r="E7" s="884">
        <v>-471.87099999999998</v>
      </c>
      <c r="F7" s="884">
        <v>-1819.6426098300001</v>
      </c>
      <c r="G7" s="884">
        <v>-4367.5010000000002</v>
      </c>
      <c r="H7" s="884">
        <v>-4754.1629999999996</v>
      </c>
      <c r="I7" s="884">
        <v>-4410.3559999999998</v>
      </c>
      <c r="J7" s="884">
        <v>-3382.0230000000001</v>
      </c>
      <c r="K7" s="884">
        <v>-1852.4770000000001</v>
      </c>
      <c r="L7" s="884">
        <v>1017.263</v>
      </c>
      <c r="M7" s="884">
        <v>3505.4119999999998</v>
      </c>
      <c r="N7" s="884">
        <v>3409.9569999999999</v>
      </c>
      <c r="O7" s="884">
        <v>4070.1390000000001</v>
      </c>
      <c r="P7" s="884">
        <v>2621.3180000000002</v>
      </c>
      <c r="Q7" s="884">
        <v>1731.41</v>
      </c>
      <c r="R7" s="884">
        <v>753.75599999999997</v>
      </c>
      <c r="S7" s="884">
        <v>2031.8040000000001</v>
      </c>
      <c r="T7" s="884">
        <v>-2234.777</v>
      </c>
      <c r="U7" s="883"/>
      <c r="V7" s="316"/>
      <c r="W7" s="316"/>
      <c r="X7" s="316"/>
      <c r="Y7" s="316"/>
      <c r="Z7" s="316"/>
      <c r="AA7" s="316"/>
      <c r="AB7" s="316"/>
    </row>
    <row r="8" spans="1:28" s="47" customFormat="1" ht="21.75" customHeight="1">
      <c r="A8" s="875" t="s">
        <v>402</v>
      </c>
      <c r="B8" s="882">
        <v>2255.2680424124301</v>
      </c>
      <c r="C8" s="882">
        <v>1955.6393480683801</v>
      </c>
      <c r="D8" s="882">
        <v>2696.8131836202601</v>
      </c>
      <c r="E8" s="882">
        <v>4904.9311692888396</v>
      </c>
      <c r="F8" s="882">
        <v>7014.28850515052</v>
      </c>
      <c r="G8" s="882">
        <v>10449.257719774399</v>
      </c>
      <c r="H8" s="882">
        <v>13842.393272153</v>
      </c>
      <c r="I8" s="882">
        <v>15193.9308054458</v>
      </c>
      <c r="J8" s="882">
        <v>15198.3642926257</v>
      </c>
      <c r="K8" s="882">
        <v>16189.1935090561</v>
      </c>
      <c r="L8" s="882">
        <v>14743.352101660499</v>
      </c>
      <c r="M8" s="882">
        <v>14863.324311205601</v>
      </c>
      <c r="N8" s="882">
        <v>14677.1425904568</v>
      </c>
      <c r="O8" s="882">
        <v>18194.780836829101</v>
      </c>
      <c r="P8" s="882">
        <v>22566.918568092198</v>
      </c>
      <c r="Q8" s="882">
        <v>21652.444843909401</v>
      </c>
      <c r="R8" s="882">
        <v>23269.130774527399</v>
      </c>
      <c r="S8" s="882">
        <v>23199.724632129801</v>
      </c>
      <c r="T8" s="882">
        <v>35132.588581514698</v>
      </c>
      <c r="U8" s="791"/>
      <c r="W8" s="438"/>
      <c r="X8" s="319"/>
      <c r="Y8" s="319"/>
      <c r="Z8" s="319"/>
      <c r="AA8" s="319"/>
      <c r="AB8" s="319"/>
    </row>
    <row r="9" spans="1:28" s="47" customFormat="1" ht="21.75" customHeight="1">
      <c r="A9" s="874" t="s">
        <v>225</v>
      </c>
      <c r="B9" s="884">
        <v>3325.3174705900001</v>
      </c>
      <c r="C9" s="884">
        <v>3073.9880251499999</v>
      </c>
      <c r="D9" s="884">
        <v>4169.2248012</v>
      </c>
      <c r="E9" s="884">
        <v>6812.5275231590203</v>
      </c>
      <c r="F9" s="884">
        <v>9461.2062378125993</v>
      </c>
      <c r="G9" s="884">
        <v>13748.406648349999</v>
      </c>
      <c r="H9" s="884">
        <v>18590.094967059998</v>
      </c>
      <c r="I9" s="884">
        <v>21187.43514157</v>
      </c>
      <c r="J9" s="884">
        <v>22181.2119404</v>
      </c>
      <c r="K9" s="884">
        <v>24688.358379099998</v>
      </c>
      <c r="L9" s="884">
        <v>23893.58283711</v>
      </c>
      <c r="M9" s="884">
        <v>24963.61071683</v>
      </c>
      <c r="N9" s="884">
        <v>25817.770621569998</v>
      </c>
      <c r="O9" s="884">
        <v>30003.98025972</v>
      </c>
      <c r="P9" s="884">
        <v>35957.697840380002</v>
      </c>
      <c r="Q9" s="884">
        <v>36484.70546746</v>
      </c>
      <c r="R9" s="884">
        <v>39251.483347989997</v>
      </c>
      <c r="S9" s="884">
        <v>40580.596932519999</v>
      </c>
      <c r="T9" s="884">
        <v>55079.191359409997</v>
      </c>
      <c r="U9" s="791"/>
      <c r="X9" s="316"/>
      <c r="Y9" s="316"/>
      <c r="Z9" s="316"/>
      <c r="AA9" s="316"/>
      <c r="AB9" s="316"/>
    </row>
    <row r="10" spans="1:28" s="47" customFormat="1" ht="21.75" customHeight="1">
      <c r="A10" s="873" t="s">
        <v>226</v>
      </c>
      <c r="B10" s="883">
        <v>1018.77825523</v>
      </c>
      <c r="C10" s="883">
        <v>744.46820978999995</v>
      </c>
      <c r="D10" s="883">
        <v>383.13613984</v>
      </c>
      <c r="E10" s="883">
        <v>683.88499408901805</v>
      </c>
      <c r="F10" s="883">
        <v>510.58334160259801</v>
      </c>
      <c r="G10" s="883">
        <v>216.36137672999999</v>
      </c>
      <c r="H10" s="883">
        <v>896.31084553999995</v>
      </c>
      <c r="I10" s="883">
        <v>4062.7082169099999</v>
      </c>
      <c r="J10" s="883">
        <v>5380.7249642999996</v>
      </c>
      <c r="K10" s="883">
        <v>6830.8823623199996</v>
      </c>
      <c r="L10" s="883">
        <v>7649.5534109199998</v>
      </c>
      <c r="M10" s="883">
        <v>8642.0458205899995</v>
      </c>
      <c r="N10" s="883">
        <v>9145.5234145899994</v>
      </c>
      <c r="O10" s="883">
        <v>11390.112079459999</v>
      </c>
      <c r="P10" s="883">
        <v>13393.5470867</v>
      </c>
      <c r="Q10" s="883">
        <v>11789.16906215</v>
      </c>
      <c r="R10" s="883">
        <v>13004.458511770001</v>
      </c>
      <c r="S10" s="883">
        <v>13298.025778040001</v>
      </c>
      <c r="T10" s="883">
        <v>25207.53313765</v>
      </c>
      <c r="U10" s="791"/>
      <c r="X10" s="316"/>
      <c r="Y10" s="316"/>
      <c r="Z10" s="316"/>
      <c r="AA10" s="316"/>
      <c r="AB10" s="316"/>
    </row>
    <row r="11" spans="1:28" s="47" customFormat="1" ht="21.75" customHeight="1">
      <c r="A11" s="874" t="s">
        <v>227</v>
      </c>
      <c r="B11" s="884">
        <v>2306.5392153600001</v>
      </c>
      <c r="C11" s="884">
        <v>2329.5198153599999</v>
      </c>
      <c r="D11" s="884">
        <v>3786.0886613600001</v>
      </c>
      <c r="E11" s="884">
        <v>6128.6425290699999</v>
      </c>
      <c r="F11" s="884">
        <v>8950.6228962099995</v>
      </c>
      <c r="G11" s="884">
        <v>13532.04527162</v>
      </c>
      <c r="H11" s="884">
        <v>17693.784121519999</v>
      </c>
      <c r="I11" s="884">
        <v>17124.726924660001</v>
      </c>
      <c r="J11" s="884">
        <v>16800.486976100001</v>
      </c>
      <c r="K11" s="884">
        <v>17857.476016780001</v>
      </c>
      <c r="L11" s="884">
        <v>16244.02942619</v>
      </c>
      <c r="M11" s="884">
        <v>16321.564896239999</v>
      </c>
      <c r="N11" s="884">
        <v>16672.247206979999</v>
      </c>
      <c r="O11" s="884">
        <v>18613.86818026</v>
      </c>
      <c r="P11" s="884">
        <v>22564.150753680002</v>
      </c>
      <c r="Q11" s="884">
        <v>24695.536405309998</v>
      </c>
      <c r="R11" s="884">
        <v>26247.02483622</v>
      </c>
      <c r="S11" s="884">
        <v>27282.57115448</v>
      </c>
      <c r="T11" s="884">
        <v>29871.658221760001</v>
      </c>
      <c r="U11" s="791"/>
      <c r="X11" s="316"/>
      <c r="Y11" s="316"/>
      <c r="Z11" s="316"/>
      <c r="AA11" s="316"/>
      <c r="AB11" s="316"/>
    </row>
    <row r="12" spans="1:28" s="47" customFormat="1" ht="21.75" customHeight="1">
      <c r="A12" s="626" t="s">
        <v>228</v>
      </c>
      <c r="B12" s="883">
        <v>2089.0830620199999</v>
      </c>
      <c r="C12" s="883">
        <v>2232.72766202</v>
      </c>
      <c r="D12" s="883">
        <v>3529.6675080199998</v>
      </c>
      <c r="E12" s="883">
        <v>5634.2935290699997</v>
      </c>
      <c r="F12" s="883">
        <v>8371.6978962100002</v>
      </c>
      <c r="G12" s="883">
        <v>12509.10727162</v>
      </c>
      <c r="H12" s="883">
        <v>16218.546976719999</v>
      </c>
      <c r="I12" s="883">
        <v>15553.84992466</v>
      </c>
      <c r="J12" s="883">
        <v>15190.9669761</v>
      </c>
      <c r="K12" s="883">
        <v>16090.537016779999</v>
      </c>
      <c r="L12" s="883">
        <v>14505.446426189999</v>
      </c>
      <c r="M12" s="883">
        <v>14637.904896239999</v>
      </c>
      <c r="N12" s="883">
        <v>15050.09320698</v>
      </c>
      <c r="O12" s="883">
        <v>16817.051180260001</v>
      </c>
      <c r="P12" s="883">
        <v>18583.038155509999</v>
      </c>
      <c r="Q12" s="883">
        <v>20723.370223620001</v>
      </c>
      <c r="R12" s="883">
        <v>23084.4378173</v>
      </c>
      <c r="S12" s="883">
        <v>24788.647154480001</v>
      </c>
      <c r="T12" s="883">
        <v>27142.550221760001</v>
      </c>
      <c r="U12" s="791"/>
      <c r="X12" s="316"/>
      <c r="Y12" s="316"/>
      <c r="Z12" s="316"/>
      <c r="AA12" s="316"/>
      <c r="AB12" s="316"/>
    </row>
    <row r="13" spans="1:28" s="47" customFormat="1" ht="21.75" customHeight="1">
      <c r="A13" s="874" t="s">
        <v>403</v>
      </c>
      <c r="B13" s="884">
        <v>-1070.04942817757</v>
      </c>
      <c r="C13" s="884">
        <v>-1118.3486770816201</v>
      </c>
      <c r="D13" s="884">
        <v>-1472.4116175797401</v>
      </c>
      <c r="E13" s="884">
        <v>-1907.5963538701801</v>
      </c>
      <c r="F13" s="884">
        <v>-2446.9177326620802</v>
      </c>
      <c r="G13" s="884">
        <v>-3299.1489285756002</v>
      </c>
      <c r="H13" s="884">
        <v>-4747.7016949070003</v>
      </c>
      <c r="I13" s="884">
        <v>-5993.5043361242497</v>
      </c>
      <c r="J13" s="884">
        <v>-6982.8476477742997</v>
      </c>
      <c r="K13" s="884">
        <v>-8499.16487004392</v>
      </c>
      <c r="L13" s="884">
        <v>-9150.2307354495006</v>
      </c>
      <c r="M13" s="884">
        <v>-10100.2864056244</v>
      </c>
      <c r="N13" s="884">
        <v>-11140.6280311132</v>
      </c>
      <c r="O13" s="884">
        <v>-11809.199422890901</v>
      </c>
      <c r="P13" s="884">
        <v>-13390.7792722878</v>
      </c>
      <c r="Q13" s="884">
        <v>-14832.260623550599</v>
      </c>
      <c r="R13" s="884">
        <v>-15982.3525734626</v>
      </c>
      <c r="S13" s="884">
        <v>-17380.872300390201</v>
      </c>
      <c r="T13" s="884">
        <v>-19946.602777895299</v>
      </c>
      <c r="U13" s="883"/>
      <c r="V13" s="316"/>
      <c r="W13" s="316"/>
      <c r="X13" s="316"/>
      <c r="Y13" s="316"/>
      <c r="Z13" s="316"/>
      <c r="AA13" s="316"/>
      <c r="AB13" s="316"/>
    </row>
    <row r="14" spans="1:28" s="47" customFormat="1" ht="21.75" customHeight="1">
      <c r="A14" s="875" t="s">
        <v>229</v>
      </c>
      <c r="B14" s="882">
        <v>3956.7185773800002</v>
      </c>
      <c r="C14" s="882">
        <v>4636.4545292900002</v>
      </c>
      <c r="D14" s="882">
        <v>6090.8128879400001</v>
      </c>
      <c r="E14" s="882">
        <v>6737.2101852916103</v>
      </c>
      <c r="F14" s="882">
        <v>8008.6519399926001</v>
      </c>
      <c r="G14" s="882">
        <v>9938.8197146399998</v>
      </c>
      <c r="H14" s="882">
        <v>12110.27237431</v>
      </c>
      <c r="I14" s="882">
        <v>13855.275390680001</v>
      </c>
      <c r="J14" s="882">
        <v>15883.97011231</v>
      </c>
      <c r="K14" s="882">
        <v>19062.239077369999</v>
      </c>
      <c r="L14" s="882">
        <v>20001.611515550001</v>
      </c>
      <c r="M14" s="882">
        <v>23676.728450850002</v>
      </c>
      <c r="N14" s="882">
        <v>27197.055754289999</v>
      </c>
      <c r="O14" s="882">
        <v>30491.924283619999</v>
      </c>
      <c r="P14" s="882">
        <v>30436.28260907</v>
      </c>
      <c r="Q14" s="882">
        <v>32005.875289079999</v>
      </c>
      <c r="R14" s="882">
        <v>33088.326226589998</v>
      </c>
      <c r="S14" s="882">
        <v>36241.41626043</v>
      </c>
      <c r="T14" s="882">
        <v>41394.841351069997</v>
      </c>
      <c r="U14" s="791"/>
      <c r="W14" s="438"/>
      <c r="X14" s="319"/>
      <c r="Y14" s="319"/>
      <c r="Z14" s="319"/>
      <c r="AA14" s="319"/>
      <c r="AB14" s="319"/>
    </row>
    <row r="15" spans="1:28" s="47" customFormat="1" ht="21.75" customHeight="1">
      <c r="A15" s="874" t="s">
        <v>230</v>
      </c>
      <c r="B15" s="884">
        <v>1856.6792969099999</v>
      </c>
      <c r="C15" s="884">
        <v>2069.5277078200002</v>
      </c>
      <c r="D15" s="884">
        <v>2477.26411534</v>
      </c>
      <c r="E15" s="884">
        <v>3033.65168773</v>
      </c>
      <c r="F15" s="884">
        <v>3707.5963386600001</v>
      </c>
      <c r="G15" s="884">
        <v>4448.8188793600002</v>
      </c>
      <c r="H15" s="884">
        <v>6097.63714222</v>
      </c>
      <c r="I15" s="884">
        <v>7456.6101585899996</v>
      </c>
      <c r="J15" s="884">
        <v>7538.7235657299998</v>
      </c>
      <c r="K15" s="884">
        <v>8192.3727477400007</v>
      </c>
      <c r="L15" s="884">
        <v>8428.2895155499991</v>
      </c>
      <c r="M15" s="884">
        <v>10415.840450850001</v>
      </c>
      <c r="N15" s="884">
        <v>11232.43875429</v>
      </c>
      <c r="O15" s="884">
        <v>13337.88428362</v>
      </c>
      <c r="P15" s="884">
        <v>13468.481609070001</v>
      </c>
      <c r="Q15" s="884">
        <v>14469.652289080001</v>
      </c>
      <c r="R15" s="884">
        <v>14579.44322659</v>
      </c>
      <c r="S15" s="884">
        <v>14556.913260429999</v>
      </c>
      <c r="T15" s="884">
        <v>19004.73035107</v>
      </c>
      <c r="U15" s="883"/>
      <c r="V15" s="316"/>
      <c r="W15" s="316"/>
      <c r="X15" s="316"/>
      <c r="Y15" s="316"/>
      <c r="Z15" s="316"/>
      <c r="AA15" s="316"/>
      <c r="AB15" s="316"/>
    </row>
    <row r="16" spans="1:28" s="47" customFormat="1" ht="21.75" customHeight="1">
      <c r="A16" s="873" t="s">
        <v>231</v>
      </c>
      <c r="B16" s="883">
        <v>2100.03928047</v>
      </c>
      <c r="C16" s="883">
        <v>2566.92682147</v>
      </c>
      <c r="D16" s="883">
        <v>3613.5487726000001</v>
      </c>
      <c r="E16" s="883">
        <v>3703.5584975616098</v>
      </c>
      <c r="F16" s="883">
        <v>4301.0556013326004</v>
      </c>
      <c r="G16" s="883">
        <v>5490.0008352799996</v>
      </c>
      <c r="H16" s="883">
        <v>6012.6352320899996</v>
      </c>
      <c r="I16" s="883">
        <v>6398.6652320900002</v>
      </c>
      <c r="J16" s="883">
        <v>8345.2465465799996</v>
      </c>
      <c r="K16" s="883">
        <v>10869.86632963</v>
      </c>
      <c r="L16" s="883">
        <v>11573.322</v>
      </c>
      <c r="M16" s="883">
        <v>13260.888000000001</v>
      </c>
      <c r="N16" s="883">
        <v>15964.617</v>
      </c>
      <c r="O16" s="883">
        <v>17154.04</v>
      </c>
      <c r="P16" s="883">
        <v>16967.800999999999</v>
      </c>
      <c r="Q16" s="883">
        <v>17536.2229999999</v>
      </c>
      <c r="R16" s="883">
        <v>18508.883000000002</v>
      </c>
      <c r="S16" s="883">
        <v>21684.503000000001</v>
      </c>
      <c r="T16" s="883">
        <v>22390.111000000001</v>
      </c>
      <c r="U16" s="883"/>
      <c r="V16" s="316"/>
      <c r="W16" s="316"/>
      <c r="X16" s="316"/>
      <c r="Y16" s="316"/>
      <c r="Z16" s="316"/>
      <c r="AA16" s="316"/>
      <c r="AB16" s="316"/>
    </row>
    <row r="17" spans="1:28" s="273" customFormat="1" ht="21.75" customHeight="1">
      <c r="A17" s="872" t="s">
        <v>232</v>
      </c>
      <c r="B17" s="881">
        <v>2085.0360000000001</v>
      </c>
      <c r="C17" s="881">
        <v>2228.6709999999998</v>
      </c>
      <c r="D17" s="881">
        <v>3525.598</v>
      </c>
      <c r="E17" s="881">
        <v>5474.7502003099999</v>
      </c>
      <c r="F17" s="881">
        <v>8184.8329999999996</v>
      </c>
      <c r="G17" s="881">
        <v>12486.425999999999</v>
      </c>
      <c r="H17" s="881">
        <v>16121.84</v>
      </c>
      <c r="I17" s="881">
        <v>15403.58</v>
      </c>
      <c r="J17" s="881">
        <v>15094.156000000001</v>
      </c>
      <c r="K17" s="881">
        <v>15970.263000000001</v>
      </c>
      <c r="L17" s="881">
        <v>14403.161</v>
      </c>
      <c r="M17" s="881">
        <v>14533.496999999999</v>
      </c>
      <c r="N17" s="881">
        <v>14927.800999999999</v>
      </c>
      <c r="O17" s="881">
        <v>16759.403999999999</v>
      </c>
      <c r="P17" s="881">
        <v>18495.563999999998</v>
      </c>
      <c r="Q17" s="881">
        <v>20949.241999999998</v>
      </c>
      <c r="R17" s="881">
        <v>22793.71</v>
      </c>
      <c r="S17" s="881">
        <v>24498.911</v>
      </c>
      <c r="T17" s="881">
        <v>26782.530999999999</v>
      </c>
      <c r="U17" s="882"/>
      <c r="V17" s="319"/>
      <c r="W17" s="319"/>
      <c r="X17" s="319"/>
      <c r="Y17" s="319"/>
      <c r="Z17" s="319"/>
      <c r="AA17" s="319"/>
      <c r="AB17" s="319"/>
    </row>
    <row r="18" spans="1:28" s="47" customFormat="1" ht="21.75" customHeight="1">
      <c r="A18" s="873" t="s">
        <v>233</v>
      </c>
      <c r="B18" s="883">
        <v>10.48</v>
      </c>
      <c r="C18" s="883">
        <v>10.507999999999999</v>
      </c>
      <c r="D18" s="883">
        <v>11.625999999999999</v>
      </c>
      <c r="E18" s="883">
        <v>14.012</v>
      </c>
      <c r="F18" s="883">
        <v>17.184000000000001</v>
      </c>
      <c r="G18" s="883">
        <v>37.991</v>
      </c>
      <c r="H18" s="883">
        <v>38.798000000000002</v>
      </c>
      <c r="I18" s="883">
        <v>31.306999999999999</v>
      </c>
      <c r="J18" s="883">
        <v>28.722999999999999</v>
      </c>
      <c r="K18" s="883">
        <v>25.042999999999999</v>
      </c>
      <c r="L18" s="883">
        <v>15.909000000000001</v>
      </c>
      <c r="M18" s="883">
        <v>10.318</v>
      </c>
      <c r="N18" s="883">
        <v>7.85</v>
      </c>
      <c r="O18" s="883">
        <v>4.1970000000000001</v>
      </c>
      <c r="P18" s="883">
        <v>1.859</v>
      </c>
      <c r="Q18" s="883">
        <v>2.6760000000000002</v>
      </c>
      <c r="R18" s="883">
        <v>2.3340000000000001</v>
      </c>
      <c r="S18" s="883">
        <v>1.929</v>
      </c>
      <c r="T18" s="883">
        <v>1.7629999999999999</v>
      </c>
      <c r="U18" s="883"/>
      <c r="V18" s="316"/>
      <c r="W18" s="316"/>
      <c r="X18" s="316"/>
      <c r="Y18" s="316"/>
      <c r="Z18" s="316"/>
      <c r="AA18" s="316"/>
      <c r="AB18" s="316"/>
    </row>
    <row r="19" spans="1:28" s="47" customFormat="1" ht="21.75" customHeight="1">
      <c r="A19" s="874" t="s">
        <v>234</v>
      </c>
      <c r="B19" s="884">
        <v>115.251</v>
      </c>
      <c r="C19" s="884">
        <v>150.846</v>
      </c>
      <c r="D19" s="884">
        <v>222.31299999999999</v>
      </c>
      <c r="E19" s="884">
        <v>357.33600000000001</v>
      </c>
      <c r="F19" s="884">
        <v>641.32500000000005</v>
      </c>
      <c r="G19" s="884">
        <v>1182.9059999999999</v>
      </c>
      <c r="H19" s="884">
        <v>1088.7629999999999</v>
      </c>
      <c r="I19" s="884">
        <v>960.52099999999996</v>
      </c>
      <c r="J19" s="884">
        <v>896.01199999999994</v>
      </c>
      <c r="K19" s="884">
        <v>772.30799999999999</v>
      </c>
      <c r="L19" s="884">
        <v>551.89200000000005</v>
      </c>
      <c r="M19" s="884">
        <v>546.6</v>
      </c>
      <c r="N19" s="884">
        <v>399.83100000000002</v>
      </c>
      <c r="O19" s="884">
        <v>450.85899999999998</v>
      </c>
      <c r="P19" s="884">
        <v>520.00400000000002</v>
      </c>
      <c r="Q19" s="884">
        <v>501.79399999999998</v>
      </c>
      <c r="R19" s="884">
        <v>466.25400000000002</v>
      </c>
      <c r="S19" s="884">
        <v>434.25900000000001</v>
      </c>
      <c r="T19" s="884">
        <v>343.68700000000001</v>
      </c>
      <c r="U19" s="883"/>
      <c r="V19" s="316"/>
      <c r="W19" s="316"/>
      <c r="X19" s="316"/>
      <c r="Y19" s="316"/>
      <c r="Z19" s="316"/>
      <c r="AA19" s="316"/>
      <c r="AB19" s="316"/>
    </row>
    <row r="20" spans="1:28" s="47" customFormat="1" ht="21.75" customHeight="1">
      <c r="A20" s="873" t="s">
        <v>235</v>
      </c>
      <c r="B20" s="883">
        <v>14.617000000000001</v>
      </c>
      <c r="C20" s="883">
        <v>39.945</v>
      </c>
      <c r="D20" s="883">
        <v>48.228000000000002</v>
      </c>
      <c r="E20" s="883">
        <v>87.397999999999996</v>
      </c>
      <c r="F20" s="883">
        <v>139.96600000000001</v>
      </c>
      <c r="G20" s="883">
        <v>490.78399999999999</v>
      </c>
      <c r="H20" s="883">
        <v>581.02800000000002</v>
      </c>
      <c r="I20" s="883">
        <v>532.00900000000001</v>
      </c>
      <c r="J20" s="883">
        <v>493.06099999999998</v>
      </c>
      <c r="K20" s="883">
        <v>492.00900000000001</v>
      </c>
      <c r="L20" s="883">
        <v>324.09899999999999</v>
      </c>
      <c r="M20" s="883">
        <v>316.529</v>
      </c>
      <c r="N20" s="883">
        <v>199.191</v>
      </c>
      <c r="O20" s="883">
        <v>170.82</v>
      </c>
      <c r="P20" s="883">
        <v>171.88800000000001</v>
      </c>
      <c r="Q20" s="883">
        <v>164.43600000000001</v>
      </c>
      <c r="R20" s="883">
        <v>136.41300000000001</v>
      </c>
      <c r="S20" s="883">
        <v>108.143</v>
      </c>
      <c r="T20" s="883">
        <v>103.758</v>
      </c>
      <c r="U20" s="883"/>
      <c r="V20" s="316"/>
      <c r="W20" s="316"/>
      <c r="X20" s="316"/>
      <c r="Y20" s="316"/>
      <c r="Z20" s="316"/>
      <c r="AA20" s="316"/>
      <c r="AB20" s="316"/>
    </row>
    <row r="21" spans="1:28" s="47" customFormat="1" ht="21.75" customHeight="1">
      <c r="A21" s="874" t="s">
        <v>221</v>
      </c>
      <c r="B21" s="884">
        <v>136.05600000000001</v>
      </c>
      <c r="C21" s="884">
        <v>169.08199999999999</v>
      </c>
      <c r="D21" s="884">
        <v>238.61699999999999</v>
      </c>
      <c r="E21" s="884">
        <v>295.77600000000001</v>
      </c>
      <c r="F21" s="884">
        <v>525.90700000000004</v>
      </c>
      <c r="G21" s="884">
        <v>1053.7360000000001</v>
      </c>
      <c r="H21" s="884">
        <v>1368.9380000000001</v>
      </c>
      <c r="I21" s="884">
        <v>1263.98</v>
      </c>
      <c r="J21" s="884">
        <v>1119.663</v>
      </c>
      <c r="K21" s="884">
        <v>1187.367</v>
      </c>
      <c r="L21" s="884">
        <v>1205.817</v>
      </c>
      <c r="M21" s="884">
        <v>1320.739</v>
      </c>
      <c r="N21" s="884">
        <v>1735.5219999999999</v>
      </c>
      <c r="O21" s="884">
        <v>2441.692</v>
      </c>
      <c r="P21" s="884">
        <v>3344.9920000000002</v>
      </c>
      <c r="Q21" s="884">
        <v>3720.0529999999999</v>
      </c>
      <c r="R21" s="884">
        <v>4843.5119999999997</v>
      </c>
      <c r="S21" s="884">
        <v>5305.8339999999998</v>
      </c>
      <c r="T21" s="884">
        <v>5774.5569999999998</v>
      </c>
      <c r="U21" s="883"/>
      <c r="V21" s="316"/>
      <c r="W21" s="316"/>
      <c r="X21" s="316"/>
      <c r="Y21" s="316"/>
      <c r="Z21" s="316"/>
      <c r="AA21" s="316"/>
      <c r="AB21" s="316"/>
    </row>
    <row r="22" spans="1:28" s="47" customFormat="1" ht="21.75" customHeight="1">
      <c r="A22" s="873" t="s">
        <v>404</v>
      </c>
      <c r="B22" s="883" t="s">
        <v>405</v>
      </c>
      <c r="C22" s="883" t="s">
        <v>405</v>
      </c>
      <c r="D22" s="883" t="s">
        <v>405</v>
      </c>
      <c r="E22" s="883" t="s">
        <v>405</v>
      </c>
      <c r="F22" s="883" t="s">
        <v>405</v>
      </c>
      <c r="G22" s="883">
        <v>153.15100000000001</v>
      </c>
      <c r="H22" s="883">
        <v>295.95299999999997</v>
      </c>
      <c r="I22" s="883">
        <v>357.78199999999998</v>
      </c>
      <c r="J22" s="883">
        <v>691.197</v>
      </c>
      <c r="K22" s="883">
        <v>721.08799999999997</v>
      </c>
      <c r="L22" s="883">
        <v>605.24199999999996</v>
      </c>
      <c r="M22" s="883">
        <v>712.95100000000002</v>
      </c>
      <c r="N22" s="883">
        <v>619.45399999999995</v>
      </c>
      <c r="O22" s="883">
        <v>669.92200000000003</v>
      </c>
      <c r="P22" s="883">
        <v>633.03</v>
      </c>
      <c r="Q22" s="883">
        <v>1638.184</v>
      </c>
      <c r="R22" s="883">
        <v>1697.297</v>
      </c>
      <c r="S22" s="883">
        <v>1842.288</v>
      </c>
      <c r="T22" s="883">
        <v>2041.307</v>
      </c>
      <c r="U22" s="883"/>
      <c r="V22" s="316"/>
      <c r="W22" s="316"/>
      <c r="X22" s="316"/>
      <c r="Y22" s="316"/>
      <c r="Z22" s="316"/>
      <c r="AA22" s="316"/>
      <c r="AB22" s="316"/>
    </row>
    <row r="23" spans="1:28" s="47" customFormat="1" ht="21.75" customHeight="1">
      <c r="A23" s="874" t="s">
        <v>219</v>
      </c>
      <c r="B23" s="884">
        <v>1159.999</v>
      </c>
      <c r="C23" s="884">
        <v>1248.3710000000001</v>
      </c>
      <c r="D23" s="884">
        <v>2053.011</v>
      </c>
      <c r="E23" s="884">
        <v>3048.1109999999999</v>
      </c>
      <c r="F23" s="884">
        <v>4297.9049999999997</v>
      </c>
      <c r="G23" s="884">
        <v>6536.143</v>
      </c>
      <c r="H23" s="884">
        <v>9317.0249999999996</v>
      </c>
      <c r="I23" s="884">
        <v>9148.8870000000006</v>
      </c>
      <c r="J23" s="884">
        <v>8698.2839999999997</v>
      </c>
      <c r="K23" s="884">
        <v>9170.32</v>
      </c>
      <c r="L23" s="884">
        <v>8326.7520000000004</v>
      </c>
      <c r="M23" s="884">
        <v>7430.0550000000003</v>
      </c>
      <c r="N23" s="884">
        <v>6475.9759999999997</v>
      </c>
      <c r="O23" s="884">
        <v>6628.0360000000001</v>
      </c>
      <c r="P23" s="884">
        <v>7257</v>
      </c>
      <c r="Q23" s="884">
        <v>7938.1559999999999</v>
      </c>
      <c r="R23" s="884">
        <v>8454.9519999999993</v>
      </c>
      <c r="S23" s="884">
        <v>8978.8240000000005</v>
      </c>
      <c r="T23" s="884">
        <v>10696.021000000001</v>
      </c>
      <c r="U23" s="883"/>
      <c r="V23" s="316"/>
      <c r="W23" s="316"/>
      <c r="X23" s="316"/>
      <c r="Y23" s="316"/>
      <c r="Z23" s="316"/>
      <c r="AA23" s="316"/>
      <c r="AB23" s="316"/>
    </row>
    <row r="24" spans="1:28" s="47" customFormat="1" ht="21.75" customHeight="1">
      <c r="A24" s="873" t="s">
        <v>220</v>
      </c>
      <c r="B24" s="883">
        <v>529.40300000000002</v>
      </c>
      <c r="C24" s="883">
        <v>489.18299999999999</v>
      </c>
      <c r="D24" s="883">
        <v>730.87199999999996</v>
      </c>
      <c r="E24" s="883">
        <v>1007.34420031</v>
      </c>
      <c r="F24" s="883">
        <v>1655.355</v>
      </c>
      <c r="G24" s="883">
        <v>1299.345</v>
      </c>
      <c r="H24" s="883">
        <v>1837.2850000000001</v>
      </c>
      <c r="I24" s="883">
        <v>1587.8989999999999</v>
      </c>
      <c r="J24" s="883">
        <v>1774.309</v>
      </c>
      <c r="K24" s="883">
        <v>2131.0590000000002</v>
      </c>
      <c r="L24" s="883">
        <v>2144.2919999999999</v>
      </c>
      <c r="M24" s="883">
        <v>2551.6610000000001</v>
      </c>
      <c r="N24" s="883">
        <v>2515.5010000000002</v>
      </c>
      <c r="O24" s="883">
        <v>2964.2629999999999</v>
      </c>
      <c r="P24" s="883">
        <v>3178.1219999999998</v>
      </c>
      <c r="Q24" s="883">
        <v>3212.8679999999999</v>
      </c>
      <c r="R24" s="883">
        <v>3140.0729999999999</v>
      </c>
      <c r="S24" s="883">
        <v>3098.1039999999998</v>
      </c>
      <c r="T24" s="883">
        <v>2982.9630000000002</v>
      </c>
      <c r="U24" s="883"/>
      <c r="V24" s="316"/>
      <c r="W24" s="316"/>
      <c r="X24" s="316"/>
      <c r="Y24" s="316"/>
      <c r="Z24" s="316"/>
      <c r="AA24" s="316"/>
      <c r="AB24" s="316"/>
    </row>
    <row r="25" spans="1:28" s="47" customFormat="1" ht="21.75" customHeight="1">
      <c r="A25" s="874" t="s">
        <v>236</v>
      </c>
      <c r="B25" s="884">
        <v>36.966000000000001</v>
      </c>
      <c r="C25" s="884">
        <v>31.135999999999999</v>
      </c>
      <c r="D25" s="884">
        <v>88.888000000000005</v>
      </c>
      <c r="E25" s="884">
        <v>248.23500000000001</v>
      </c>
      <c r="F25" s="884">
        <v>367.25700000000001</v>
      </c>
      <c r="G25" s="884">
        <v>550.63099999999997</v>
      </c>
      <c r="H25" s="884">
        <v>786.70100000000002</v>
      </c>
      <c r="I25" s="884">
        <v>814.49699999999996</v>
      </c>
      <c r="J25" s="884">
        <v>677.71299999999997</v>
      </c>
      <c r="K25" s="884">
        <v>614</v>
      </c>
      <c r="L25" s="884">
        <v>480.03699999999998</v>
      </c>
      <c r="M25" s="884">
        <v>520.01499999999999</v>
      </c>
      <c r="N25" s="884">
        <v>613.14300000000003</v>
      </c>
      <c r="O25" s="884">
        <v>894.28700000000003</v>
      </c>
      <c r="P25" s="884">
        <v>1069.778</v>
      </c>
      <c r="Q25" s="884">
        <v>983.90899999999999</v>
      </c>
      <c r="R25" s="884">
        <v>859.85299999999995</v>
      </c>
      <c r="S25" s="884">
        <v>898.32299999999998</v>
      </c>
      <c r="T25" s="884">
        <v>711.89400000000001</v>
      </c>
      <c r="U25" s="883"/>
      <c r="V25" s="316"/>
      <c r="W25" s="316"/>
      <c r="X25" s="316"/>
      <c r="Y25" s="316"/>
      <c r="Z25" s="316"/>
      <c r="AA25" s="316"/>
      <c r="AB25" s="316"/>
    </row>
    <row r="26" spans="1:28" s="47" customFormat="1" ht="27" customHeight="1">
      <c r="A26" s="887" t="s">
        <v>406</v>
      </c>
      <c r="B26" s="883">
        <v>0.71399999999999997</v>
      </c>
      <c r="C26" s="883">
        <v>2.4940000000000002</v>
      </c>
      <c r="D26" s="883">
        <v>2.4780000000000002</v>
      </c>
      <c r="E26" s="883">
        <v>1.8640000000000001</v>
      </c>
      <c r="F26" s="883">
        <v>1.1499999999999999</v>
      </c>
      <c r="G26" s="883">
        <v>573.06600000000003</v>
      </c>
      <c r="H26" s="883">
        <v>0.33300000000000002</v>
      </c>
      <c r="I26" s="883">
        <v>3.8109999999999999</v>
      </c>
      <c r="J26" s="883">
        <v>7.6680000000000001</v>
      </c>
      <c r="K26" s="883">
        <v>241.036</v>
      </c>
      <c r="L26" s="883">
        <v>0.69599999999999995</v>
      </c>
      <c r="M26" s="883">
        <v>11.378</v>
      </c>
      <c r="N26" s="883">
        <v>54.003</v>
      </c>
      <c r="O26" s="883">
        <v>21.972000000000001</v>
      </c>
      <c r="P26" s="883">
        <v>13.896000000000001</v>
      </c>
      <c r="Q26" s="883">
        <v>2.2770000000000001</v>
      </c>
      <c r="R26" s="883">
        <v>2.8370000000000002</v>
      </c>
      <c r="S26" s="883">
        <v>0.73699999999999999</v>
      </c>
      <c r="T26" s="883">
        <v>0</v>
      </c>
      <c r="U26" s="883"/>
      <c r="V26" s="316"/>
      <c r="W26" s="316"/>
      <c r="X26" s="316"/>
      <c r="Y26" s="316"/>
      <c r="Z26" s="316"/>
      <c r="AA26" s="316"/>
      <c r="AB26" s="316"/>
    </row>
    <row r="27" spans="1:28" s="47" customFormat="1" ht="32.25" customHeight="1">
      <c r="A27" s="886" t="s">
        <v>407</v>
      </c>
      <c r="B27" s="884">
        <v>81.55</v>
      </c>
      <c r="C27" s="884">
        <v>87.105999999999995</v>
      </c>
      <c r="D27" s="884">
        <v>129.565</v>
      </c>
      <c r="E27" s="884">
        <v>414.67399999999998</v>
      </c>
      <c r="F27" s="884">
        <v>538.78399999999999</v>
      </c>
      <c r="G27" s="884">
        <v>608.673</v>
      </c>
      <c r="H27" s="884">
        <v>807.01599999999996</v>
      </c>
      <c r="I27" s="884">
        <v>702.88699999999994</v>
      </c>
      <c r="J27" s="884">
        <v>707.52599999999995</v>
      </c>
      <c r="K27" s="884">
        <v>616.03300000000002</v>
      </c>
      <c r="L27" s="884">
        <v>748.42499999999995</v>
      </c>
      <c r="M27" s="884">
        <v>1113.251</v>
      </c>
      <c r="N27" s="884">
        <v>2307.33</v>
      </c>
      <c r="O27" s="884">
        <v>2513.3559999999998</v>
      </c>
      <c r="P27" s="884">
        <v>2304.9949999999999</v>
      </c>
      <c r="Q27" s="884">
        <v>2784.8890000000001</v>
      </c>
      <c r="R27" s="884">
        <v>3190.1849999999999</v>
      </c>
      <c r="S27" s="884">
        <v>3830.4700000000003</v>
      </c>
      <c r="T27" s="884">
        <v>4126.5810000000001</v>
      </c>
      <c r="U27" s="883"/>
      <c r="V27" s="316"/>
      <c r="W27" s="316"/>
      <c r="X27" s="316"/>
      <c r="Y27" s="316"/>
      <c r="Z27" s="316"/>
      <c r="AA27" s="316"/>
      <c r="AB27" s="316"/>
    </row>
    <row r="28" spans="1:28" ht="18.75" customHeight="1">
      <c r="A28" s="495" t="s">
        <v>415</v>
      </c>
      <c r="B28" s="883"/>
      <c r="C28" s="883"/>
      <c r="D28" s="883"/>
      <c r="E28" s="883"/>
      <c r="F28" s="883"/>
      <c r="G28" s="883"/>
      <c r="H28" s="883"/>
      <c r="I28" s="883"/>
      <c r="J28" s="883"/>
      <c r="K28" s="883"/>
      <c r="L28" s="883"/>
      <c r="M28" s="883"/>
      <c r="N28" s="883"/>
      <c r="O28" s="883"/>
      <c r="P28" s="883"/>
      <c r="Q28" s="883"/>
      <c r="R28" s="883"/>
      <c r="S28" s="883"/>
      <c r="T28" s="883"/>
      <c r="U28" s="883"/>
      <c r="V28" s="316"/>
      <c r="W28" s="316"/>
      <c r="X28" s="316"/>
      <c r="Y28" s="316"/>
      <c r="Z28" s="316"/>
      <c r="AA28" s="316"/>
      <c r="AB28" s="316"/>
    </row>
    <row r="29" spans="1:28">
      <c r="B29" s="885"/>
      <c r="C29" s="885"/>
      <c r="D29" s="885"/>
      <c r="E29" s="885"/>
      <c r="F29" s="885"/>
      <c r="G29" s="885"/>
      <c r="H29" s="885"/>
      <c r="I29" s="885"/>
      <c r="J29" s="885"/>
      <c r="K29" s="885"/>
      <c r="L29" s="885"/>
      <c r="M29" s="885"/>
      <c r="N29" s="885"/>
      <c r="O29" s="885"/>
      <c r="P29" s="885"/>
      <c r="Q29" s="885"/>
      <c r="R29" s="885"/>
      <c r="S29" s="885"/>
      <c r="T29" s="885"/>
    </row>
    <row r="49" spans="2:20">
      <c r="J49" s="668"/>
    </row>
    <row r="54" spans="2:20">
      <c r="M54" s="668"/>
    </row>
    <row r="57" spans="2:20">
      <c r="M57" s="668"/>
    </row>
    <row r="58" spans="2:20">
      <c r="B58" s="885"/>
      <c r="C58" s="885"/>
      <c r="D58" s="885"/>
      <c r="E58" s="885"/>
      <c r="F58" s="885"/>
      <c r="G58" s="885"/>
      <c r="H58" s="885"/>
      <c r="I58" s="885"/>
      <c r="J58" s="885"/>
      <c r="K58" s="885"/>
      <c r="L58" s="885"/>
      <c r="M58" s="885"/>
      <c r="N58" s="885"/>
      <c r="O58" s="885"/>
      <c r="P58" s="885"/>
      <c r="Q58" s="885"/>
      <c r="R58" s="885"/>
      <c r="S58" s="885"/>
      <c r="T58" s="885"/>
    </row>
    <row r="59" spans="2:20">
      <c r="B59" s="885"/>
      <c r="C59" s="885"/>
      <c r="D59" s="885"/>
      <c r="E59" s="885"/>
      <c r="F59" s="885"/>
      <c r="G59" s="885"/>
      <c r="H59" s="885"/>
      <c r="I59" s="885"/>
      <c r="J59" s="885"/>
      <c r="K59" s="885"/>
      <c r="L59" s="885"/>
      <c r="M59" s="885"/>
      <c r="N59" s="885"/>
      <c r="O59" s="885"/>
      <c r="P59" s="885"/>
      <c r="Q59" s="885"/>
      <c r="R59" s="885"/>
      <c r="S59" s="885"/>
      <c r="T59" s="885"/>
    </row>
    <row r="60" spans="2:20">
      <c r="B60" s="885"/>
      <c r="C60" s="885"/>
      <c r="D60" s="885"/>
      <c r="E60" s="885"/>
      <c r="F60" s="885"/>
      <c r="G60" s="885"/>
      <c r="H60" s="885"/>
      <c r="I60" s="885"/>
      <c r="J60" s="885"/>
      <c r="K60" s="885"/>
      <c r="L60" s="885"/>
      <c r="M60" s="885"/>
      <c r="N60" s="885"/>
      <c r="O60" s="885"/>
      <c r="P60" s="885"/>
      <c r="Q60" s="885"/>
      <c r="R60" s="885"/>
      <c r="S60" s="885"/>
      <c r="T60" s="885"/>
    </row>
    <row r="61" spans="2:20">
      <c r="B61" s="885"/>
      <c r="C61" s="885"/>
      <c r="D61" s="885"/>
      <c r="E61" s="885"/>
      <c r="F61" s="885"/>
      <c r="G61" s="885"/>
      <c r="H61" s="885"/>
      <c r="I61" s="885"/>
      <c r="J61" s="885"/>
      <c r="K61" s="885"/>
      <c r="L61" s="885"/>
      <c r="M61" s="885"/>
      <c r="N61" s="885"/>
      <c r="O61" s="885"/>
      <c r="P61" s="885"/>
      <c r="Q61" s="885"/>
      <c r="R61" s="885"/>
      <c r="S61" s="885"/>
      <c r="T61" s="885"/>
    </row>
    <row r="62" spans="2:20">
      <c r="B62" s="885"/>
      <c r="C62" s="885"/>
      <c r="D62" s="885"/>
      <c r="E62" s="885"/>
      <c r="F62" s="885"/>
      <c r="G62" s="885"/>
      <c r="H62" s="885"/>
      <c r="I62" s="885"/>
      <c r="J62" s="885"/>
      <c r="K62" s="885"/>
      <c r="L62" s="885"/>
      <c r="M62" s="885"/>
      <c r="N62" s="885"/>
      <c r="O62" s="885"/>
      <c r="P62" s="885"/>
      <c r="Q62" s="885"/>
      <c r="R62" s="885"/>
      <c r="S62" s="885"/>
      <c r="T62" s="885"/>
    </row>
    <row r="63" spans="2:20">
      <c r="B63" s="885"/>
      <c r="C63" s="885"/>
      <c r="D63" s="885"/>
      <c r="E63" s="885"/>
      <c r="F63" s="885"/>
      <c r="G63" s="885"/>
      <c r="H63" s="885"/>
      <c r="I63" s="885"/>
      <c r="J63" s="885"/>
      <c r="K63" s="885"/>
      <c r="L63" s="885"/>
      <c r="M63" s="885"/>
      <c r="N63" s="885"/>
      <c r="O63" s="885"/>
      <c r="P63" s="885"/>
      <c r="Q63" s="885"/>
      <c r="R63" s="885"/>
      <c r="S63" s="885"/>
      <c r="T63" s="885"/>
    </row>
    <row r="64" spans="2:20">
      <c r="B64" s="885"/>
      <c r="C64" s="885"/>
      <c r="D64" s="885"/>
      <c r="E64" s="885"/>
      <c r="F64" s="885"/>
      <c r="G64" s="885"/>
      <c r="H64" s="885"/>
      <c r="I64" s="885"/>
      <c r="J64" s="885"/>
      <c r="K64" s="885"/>
      <c r="L64" s="885"/>
      <c r="M64" s="885"/>
      <c r="N64" s="885"/>
      <c r="O64" s="885"/>
      <c r="P64" s="885"/>
      <c r="Q64" s="885"/>
      <c r="R64" s="885"/>
      <c r="S64" s="885"/>
      <c r="T64" s="885"/>
    </row>
    <row r="65" spans="2:20">
      <c r="B65" s="885"/>
      <c r="C65" s="885"/>
      <c r="D65" s="885"/>
      <c r="E65" s="885"/>
      <c r="F65" s="885"/>
      <c r="G65" s="885"/>
      <c r="H65" s="885"/>
      <c r="I65" s="885"/>
      <c r="J65" s="885"/>
      <c r="K65" s="885"/>
      <c r="L65" s="885"/>
      <c r="M65" s="885"/>
      <c r="N65" s="885"/>
      <c r="O65" s="885"/>
      <c r="P65" s="885"/>
      <c r="Q65" s="885"/>
      <c r="R65" s="885"/>
      <c r="S65" s="885"/>
      <c r="T65" s="885"/>
    </row>
    <row r="66" spans="2:20">
      <c r="B66" s="885"/>
      <c r="C66" s="885"/>
      <c r="D66" s="885"/>
      <c r="E66" s="885"/>
      <c r="F66" s="885"/>
      <c r="G66" s="885"/>
      <c r="H66" s="885"/>
      <c r="I66" s="885"/>
      <c r="J66" s="885"/>
      <c r="K66" s="885"/>
      <c r="L66" s="885"/>
      <c r="M66" s="885"/>
      <c r="N66" s="885"/>
      <c r="O66" s="885"/>
      <c r="P66" s="885"/>
      <c r="Q66" s="885"/>
      <c r="R66" s="885"/>
      <c r="S66" s="885"/>
      <c r="T66" s="885"/>
    </row>
    <row r="67" spans="2:20">
      <c r="B67" s="885"/>
      <c r="C67" s="885"/>
      <c r="D67" s="885"/>
      <c r="E67" s="885"/>
      <c r="F67" s="885"/>
      <c r="G67" s="885"/>
      <c r="H67" s="885"/>
      <c r="I67" s="885"/>
      <c r="J67" s="885"/>
      <c r="K67" s="885"/>
      <c r="L67" s="885"/>
      <c r="M67" s="885"/>
      <c r="N67" s="885"/>
      <c r="O67" s="885"/>
      <c r="P67" s="885"/>
      <c r="Q67" s="885"/>
      <c r="R67" s="885"/>
      <c r="S67" s="885"/>
      <c r="T67" s="885"/>
    </row>
    <row r="68" spans="2:20">
      <c r="B68" s="885"/>
      <c r="C68" s="885"/>
      <c r="D68" s="885"/>
      <c r="E68" s="885"/>
      <c r="F68" s="885"/>
      <c r="G68" s="885"/>
      <c r="H68" s="885"/>
      <c r="I68" s="885"/>
      <c r="J68" s="885"/>
      <c r="K68" s="885"/>
      <c r="L68" s="885"/>
      <c r="M68" s="885"/>
      <c r="N68" s="885"/>
      <c r="O68" s="885"/>
      <c r="P68" s="885"/>
      <c r="Q68" s="885"/>
      <c r="R68" s="885"/>
      <c r="S68" s="885"/>
      <c r="T68" s="885"/>
    </row>
    <row r="69" spans="2:20">
      <c r="B69" s="885"/>
      <c r="C69" s="885"/>
      <c r="D69" s="885"/>
      <c r="E69" s="885"/>
      <c r="F69" s="885"/>
      <c r="G69" s="885"/>
      <c r="H69" s="885"/>
      <c r="I69" s="885"/>
      <c r="J69" s="885"/>
      <c r="K69" s="885"/>
      <c r="L69" s="885"/>
      <c r="M69" s="885"/>
      <c r="N69" s="885"/>
      <c r="O69" s="885"/>
      <c r="P69" s="885"/>
      <c r="Q69" s="885"/>
      <c r="R69" s="885"/>
      <c r="S69" s="885"/>
      <c r="T69" s="885"/>
    </row>
    <row r="70" spans="2:20">
      <c r="B70" s="885"/>
      <c r="C70" s="885"/>
      <c r="D70" s="885"/>
      <c r="E70" s="885"/>
      <c r="F70" s="885"/>
      <c r="G70" s="885"/>
      <c r="H70" s="885"/>
      <c r="I70" s="885"/>
      <c r="J70" s="885"/>
      <c r="K70" s="885"/>
      <c r="L70" s="885"/>
      <c r="M70" s="885"/>
      <c r="N70" s="885"/>
      <c r="O70" s="885"/>
      <c r="P70" s="885"/>
      <c r="Q70" s="885"/>
      <c r="R70" s="885"/>
      <c r="S70" s="885"/>
      <c r="T70" s="885"/>
    </row>
    <row r="71" spans="2:20">
      <c r="B71" s="885"/>
      <c r="C71" s="885"/>
      <c r="D71" s="885"/>
      <c r="E71" s="885"/>
      <c r="F71" s="885"/>
      <c r="G71" s="885"/>
      <c r="H71" s="885"/>
      <c r="I71" s="885"/>
      <c r="J71" s="885"/>
      <c r="K71" s="885"/>
      <c r="L71" s="885"/>
      <c r="M71" s="885"/>
      <c r="N71" s="885"/>
      <c r="O71" s="885"/>
      <c r="P71" s="885"/>
      <c r="Q71" s="885"/>
      <c r="R71" s="885"/>
      <c r="S71" s="885"/>
      <c r="T71" s="885"/>
    </row>
    <row r="72" spans="2:20">
      <c r="B72" s="885"/>
      <c r="C72" s="885"/>
      <c r="D72" s="885"/>
      <c r="E72" s="885"/>
      <c r="F72" s="885"/>
      <c r="G72" s="885"/>
      <c r="H72" s="885"/>
      <c r="I72" s="885"/>
      <c r="J72" s="885"/>
      <c r="K72" s="885"/>
      <c r="L72" s="885"/>
      <c r="M72" s="885"/>
      <c r="N72" s="885"/>
      <c r="O72" s="885"/>
      <c r="P72" s="885"/>
      <c r="Q72" s="885"/>
      <c r="R72" s="885"/>
      <c r="S72" s="885"/>
      <c r="T72" s="885"/>
    </row>
    <row r="73" spans="2:20">
      <c r="B73" s="885"/>
      <c r="C73" s="885"/>
      <c r="D73" s="885"/>
      <c r="E73" s="885"/>
      <c r="F73" s="885"/>
      <c r="G73" s="885"/>
      <c r="H73" s="885"/>
      <c r="I73" s="885"/>
      <c r="J73" s="885"/>
      <c r="K73" s="885"/>
      <c r="L73" s="885"/>
      <c r="M73" s="885"/>
      <c r="N73" s="885"/>
      <c r="O73" s="885"/>
      <c r="P73" s="885"/>
      <c r="Q73" s="885"/>
      <c r="R73" s="885"/>
      <c r="S73" s="885"/>
      <c r="T73" s="885"/>
    </row>
    <row r="74" spans="2:20">
      <c r="B74" s="885"/>
      <c r="C74" s="885"/>
      <c r="D74" s="885"/>
      <c r="E74" s="885"/>
      <c r="F74" s="885"/>
      <c r="G74" s="885"/>
      <c r="H74" s="885"/>
      <c r="I74" s="885"/>
      <c r="J74" s="885"/>
      <c r="K74" s="885"/>
      <c r="L74" s="885"/>
      <c r="M74" s="885"/>
      <c r="N74" s="885"/>
      <c r="O74" s="885"/>
      <c r="P74" s="885"/>
      <c r="Q74" s="885"/>
      <c r="R74" s="885"/>
      <c r="S74" s="885"/>
      <c r="T74" s="885"/>
    </row>
    <row r="75" spans="2:20">
      <c r="B75" s="885"/>
      <c r="C75" s="885"/>
      <c r="D75" s="885"/>
      <c r="E75" s="885"/>
      <c r="F75" s="885"/>
      <c r="G75" s="885"/>
      <c r="H75" s="885"/>
      <c r="I75" s="885"/>
      <c r="J75" s="885"/>
      <c r="K75" s="885"/>
      <c r="L75" s="885"/>
      <c r="M75" s="885"/>
      <c r="N75" s="885"/>
      <c r="O75" s="885"/>
      <c r="P75" s="885"/>
      <c r="Q75" s="885"/>
      <c r="R75" s="885"/>
      <c r="S75" s="885"/>
      <c r="T75" s="885"/>
    </row>
    <row r="76" spans="2:20">
      <c r="B76" s="885"/>
      <c r="C76" s="885"/>
      <c r="D76" s="885"/>
      <c r="E76" s="885"/>
      <c r="F76" s="885"/>
      <c r="G76" s="885"/>
      <c r="H76" s="885"/>
      <c r="I76" s="885"/>
      <c r="J76" s="885"/>
      <c r="K76" s="885"/>
      <c r="L76" s="885"/>
      <c r="M76" s="885"/>
      <c r="N76" s="885"/>
      <c r="O76" s="885"/>
      <c r="P76" s="885"/>
      <c r="Q76" s="885"/>
      <c r="R76" s="885"/>
      <c r="S76" s="885"/>
      <c r="T76" s="885"/>
    </row>
  </sheetData>
  <mergeCells count="1">
    <mergeCell ref="A1:T1"/>
  </mergeCells>
  <pageMargins left="0.70866141732283472" right="0.70866141732283472" top="0.74803149606299213" bottom="0.74803149606299213" header="0.31496062992125984" footer="0.31496062992125984"/>
  <pageSetup paperSize="9" scale="45" orientation="landscape" horizontalDpi="4294967295" verticalDpi="4294967295" r:id="rId1"/>
  <colBreaks count="1" manualBreakCount="1">
    <brk id="20" max="46"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L101"/>
  <sheetViews>
    <sheetView topLeftCell="A27" zoomScale="106" zoomScaleNormal="106" workbookViewId="0">
      <selection activeCell="BG53" sqref="BG53"/>
    </sheetView>
  </sheetViews>
  <sheetFormatPr defaultColWidth="8.85546875" defaultRowHeight="15"/>
  <cols>
    <col min="1" max="1" width="46.140625" style="267" customWidth="1"/>
    <col min="2" max="12" width="13.140625" style="828" customWidth="1"/>
    <col min="13" max="13" width="15" style="828" customWidth="1"/>
    <col min="14" max="15" width="15" style="267" customWidth="1"/>
    <col min="16" max="18" width="12.28515625" style="267" customWidth="1"/>
    <col min="19" max="19" width="14.5703125" style="267" customWidth="1"/>
    <col min="20" max="20" width="10.28515625" style="267" bestFit="1" customWidth="1"/>
    <col min="21" max="16384" width="8.85546875" style="267"/>
  </cols>
  <sheetData>
    <row r="1" spans="1:13" ht="30" customHeight="1">
      <c r="A1" s="1023" t="s">
        <v>237</v>
      </c>
      <c r="B1" s="1023"/>
      <c r="C1" s="1023"/>
      <c r="D1" s="1023"/>
      <c r="E1" s="1023"/>
      <c r="F1" s="1023"/>
      <c r="G1" s="1023"/>
      <c r="H1" s="1023"/>
      <c r="I1" s="1023"/>
      <c r="J1" s="1023"/>
      <c r="K1" s="1023"/>
      <c r="L1" s="1023"/>
    </row>
    <row r="2" spans="1:13" ht="15" customHeight="1">
      <c r="A2" s="321"/>
      <c r="B2" s="877"/>
      <c r="C2" s="877"/>
    </row>
    <row r="3" spans="1:13" ht="18.75" customHeight="1">
      <c r="A3" s="931"/>
      <c r="B3" s="888">
        <v>2010</v>
      </c>
      <c r="C3" s="888">
        <v>2011</v>
      </c>
      <c r="D3" s="888">
        <v>2012</v>
      </c>
      <c r="E3" s="888">
        <v>2013</v>
      </c>
      <c r="F3" s="888">
        <v>2014</v>
      </c>
      <c r="G3" s="888">
        <v>2015</v>
      </c>
      <c r="H3" s="888">
        <v>2016</v>
      </c>
      <c r="I3" s="888">
        <v>2017</v>
      </c>
      <c r="J3" s="888">
        <v>2018</v>
      </c>
      <c r="K3" s="888">
        <v>2019</v>
      </c>
      <c r="L3" s="888">
        <v>2020</v>
      </c>
    </row>
    <row r="4" spans="1:13" ht="18.75" customHeight="1">
      <c r="A4" s="932" t="s">
        <v>238</v>
      </c>
      <c r="B4" s="889"/>
      <c r="C4" s="889"/>
      <c r="D4" s="889"/>
      <c r="E4" s="889"/>
      <c r="F4" s="889"/>
      <c r="G4" s="889"/>
      <c r="H4" s="889"/>
      <c r="I4" s="889"/>
      <c r="J4" s="889"/>
      <c r="K4" s="889"/>
      <c r="L4" s="889"/>
    </row>
    <row r="5" spans="1:13" s="322" customFormat="1" ht="18.75" customHeight="1">
      <c r="A5" s="933" t="s">
        <v>239</v>
      </c>
      <c r="B5" s="890">
        <v>949797.71057000011</v>
      </c>
      <c r="C5" s="890">
        <v>1770329.6</v>
      </c>
      <c r="D5" s="890">
        <v>2483060.3319799998</v>
      </c>
      <c r="E5" s="890">
        <v>2558635</v>
      </c>
      <c r="F5" s="890">
        <v>2227693.0179500002</v>
      </c>
      <c r="G5" s="890">
        <v>2215411.7713000001</v>
      </c>
      <c r="H5" s="890">
        <v>2145317.25288</v>
      </c>
      <c r="I5" s="890">
        <v>3067317.6454699999</v>
      </c>
      <c r="J5" s="890">
        <v>2796690.3097899999</v>
      </c>
      <c r="K5" s="890">
        <f>2431140552.34/1000</f>
        <v>2431140.5523399999</v>
      </c>
      <c r="L5" s="890">
        <v>2504298.1249300004</v>
      </c>
      <c r="M5" s="891"/>
    </row>
    <row r="6" spans="1:13" s="322" customFormat="1" ht="18.75" customHeight="1">
      <c r="A6" s="934" t="s">
        <v>240</v>
      </c>
      <c r="B6" s="892">
        <v>74202.946138281259</v>
      </c>
      <c r="C6" s="892">
        <v>114881.86891628813</v>
      </c>
      <c r="D6" s="892">
        <v>161552.39635523746</v>
      </c>
      <c r="E6" s="892">
        <v>166037.31343283583</v>
      </c>
      <c r="F6" s="892">
        <v>144655.39077597403</v>
      </c>
      <c r="G6" s="892">
        <v>143857.90722727272</v>
      </c>
      <c r="H6" s="892">
        <v>139760.0816208469</v>
      </c>
      <c r="I6" s="892">
        <v>187603.52571681954</v>
      </c>
      <c r="J6" s="892">
        <v>181637.47132836701</v>
      </c>
      <c r="K6" s="892">
        <f>K5/K18</f>
        <v>158018.04562325831</v>
      </c>
      <c r="L6" s="892">
        <f>L5/L18</f>
        <v>162773.10457371129</v>
      </c>
      <c r="M6" s="891"/>
    </row>
    <row r="7" spans="1:13" s="322" customFormat="1" ht="18.75" customHeight="1">
      <c r="A7" s="935" t="s">
        <v>241</v>
      </c>
      <c r="B7" s="890">
        <v>913242.30200000003</v>
      </c>
      <c r="C7" s="890">
        <v>1717120.87</v>
      </c>
      <c r="D7" s="890">
        <v>2438537</v>
      </c>
      <c r="E7" s="890">
        <v>2517185</v>
      </c>
      <c r="F7" s="890">
        <v>2177115.4294599998</v>
      </c>
      <c r="G7" s="890">
        <v>2158075</v>
      </c>
      <c r="H7" s="890">
        <v>2114278.1638700003</v>
      </c>
      <c r="I7" s="890">
        <v>2992796.3549100002</v>
      </c>
      <c r="J7" s="890">
        <v>2694726.70132</v>
      </c>
      <c r="K7" s="890">
        <v>2374715.8070300007</v>
      </c>
      <c r="L7" s="890">
        <v>2447687.0994800003</v>
      </c>
      <c r="M7" s="891"/>
    </row>
    <row r="8" spans="1:13" s="322" customFormat="1" ht="18.75" customHeight="1">
      <c r="A8" s="936" t="s">
        <v>242</v>
      </c>
      <c r="B8" s="892">
        <v>36555.408570000087</v>
      </c>
      <c r="C8" s="892">
        <v>53208.729999999981</v>
      </c>
      <c r="D8" s="892">
        <v>44523.331979999784</v>
      </c>
      <c r="E8" s="892">
        <v>41450</v>
      </c>
      <c r="F8" s="892">
        <v>50577.58849000046</v>
      </c>
      <c r="G8" s="892">
        <v>57336.771300000139</v>
      </c>
      <c r="H8" s="892">
        <v>31039.089009999763</v>
      </c>
      <c r="I8" s="892">
        <v>74521.290559999601</v>
      </c>
      <c r="J8" s="892">
        <f>J5-J7</f>
        <v>101963.60846999986</v>
      </c>
      <c r="K8" s="892">
        <f>K5-K7</f>
        <v>56424.745309999213</v>
      </c>
      <c r="L8" s="892">
        <f>L5-L7</f>
        <v>56611.025450000074</v>
      </c>
      <c r="M8" s="891"/>
    </row>
    <row r="9" spans="1:13" ht="18.75" customHeight="1">
      <c r="A9" s="931" t="s">
        <v>243</v>
      </c>
      <c r="B9" s="893"/>
      <c r="C9" s="893"/>
      <c r="D9" s="893"/>
      <c r="E9" s="893"/>
      <c r="F9" s="893"/>
      <c r="G9" s="893"/>
      <c r="H9" s="893"/>
      <c r="I9" s="893"/>
      <c r="J9" s="893"/>
      <c r="K9" s="893"/>
      <c r="L9" s="893"/>
      <c r="M9" s="891"/>
    </row>
    <row r="10" spans="1:13" ht="18.75" customHeight="1">
      <c r="A10" s="937" t="s">
        <v>244</v>
      </c>
      <c r="B10" s="889">
        <v>96.151242715876606</v>
      </c>
      <c r="C10" s="889">
        <v>96.994416745898619</v>
      </c>
      <c r="D10" s="889">
        <v>98.20691702869351</v>
      </c>
      <c r="E10" s="889">
        <v>98.379995583582655</v>
      </c>
      <c r="F10" s="889">
        <v>97.729597925635929</v>
      </c>
      <c r="G10" s="889">
        <v>97.423422407090271</v>
      </c>
      <c r="H10" s="889">
        <v>98.553170214413228</v>
      </c>
      <c r="I10" s="889">
        <v>98.553170214413228</v>
      </c>
      <c r="J10" s="889">
        <f>J7/J5*100</f>
        <v>96.354133022413336</v>
      </c>
      <c r="K10" s="889">
        <f>K7/K5*100</f>
        <v>97.679083372794324</v>
      </c>
      <c r="L10" s="889">
        <f>L7/L5*100</f>
        <v>97.739445440363355</v>
      </c>
      <c r="M10" s="891"/>
    </row>
    <row r="11" spans="1:13" ht="18.75" customHeight="1">
      <c r="A11" s="938" t="s">
        <v>245</v>
      </c>
      <c r="B11" s="893">
        <v>3.8487572841233915</v>
      </c>
      <c r="C11" s="893">
        <v>3.0055832541013818</v>
      </c>
      <c r="D11" s="893">
        <v>1.7930829713064904</v>
      </c>
      <c r="E11" s="893">
        <v>1.6200044164173473</v>
      </c>
      <c r="F11" s="893">
        <v>2.264059538437357</v>
      </c>
      <c r="G11" s="893">
        <v>2.5765775929097137</v>
      </c>
      <c r="H11" s="893">
        <v>1.4468297855867847</v>
      </c>
      <c r="I11" s="893">
        <v>1.4468297855867847</v>
      </c>
      <c r="J11" s="893">
        <f>J8/J5*100</f>
        <v>3.645866977586667</v>
      </c>
      <c r="K11" s="893">
        <f>K8/K5*100</f>
        <v>2.320916627205686</v>
      </c>
      <c r="L11" s="893">
        <f>L8/L5*100</f>
        <v>2.2605545596366428</v>
      </c>
      <c r="M11" s="891"/>
    </row>
    <row r="12" spans="1:13" ht="18.75" customHeight="1">
      <c r="A12" s="939" t="s">
        <v>246</v>
      </c>
      <c r="B12" s="889">
        <v>-3.2120302855158065</v>
      </c>
      <c r="C12" s="889">
        <f t="shared" ref="C12:H12" si="0">(C5-B5)/B5*100</f>
        <v>86.390173433622607</v>
      </c>
      <c r="D12" s="889">
        <f t="shared" si="0"/>
        <v>40.25977603153671</v>
      </c>
      <c r="E12" s="889">
        <f t="shared" si="0"/>
        <v>3.0436098167512808</v>
      </c>
      <c r="F12" s="889">
        <f t="shared" si="0"/>
        <v>-12.934317792494818</v>
      </c>
      <c r="G12" s="889">
        <f t="shared" si="0"/>
        <v>-0.55129887965002145</v>
      </c>
      <c r="H12" s="889">
        <f t="shared" si="0"/>
        <v>-3.1639498953672498</v>
      </c>
      <c r="I12" s="889">
        <v>42.977344789086665</v>
      </c>
      <c r="J12" s="889">
        <f>(J5-I5)/I5*100</f>
        <v>-8.8229315304099281</v>
      </c>
      <c r="K12" s="889">
        <f>(K5-J5)/J5*100</f>
        <v>-13.070798585398203</v>
      </c>
      <c r="L12" s="889">
        <f>(L5-K5)/K5*100</f>
        <v>3.0091872935764852</v>
      </c>
      <c r="M12" s="891"/>
    </row>
    <row r="13" spans="1:13" ht="18.75" customHeight="1">
      <c r="A13" s="940" t="s">
        <v>247</v>
      </c>
      <c r="B13" s="894"/>
      <c r="C13" s="894"/>
      <c r="D13" s="894"/>
      <c r="E13" s="894"/>
      <c r="F13" s="894"/>
      <c r="G13" s="894"/>
      <c r="H13" s="894"/>
      <c r="I13" s="894"/>
      <c r="J13" s="894"/>
      <c r="K13" s="894"/>
      <c r="L13" s="894"/>
      <c r="M13" s="891"/>
    </row>
    <row r="14" spans="1:13" s="322" customFormat="1" ht="18.75" customHeight="1">
      <c r="A14" s="934" t="s">
        <v>248</v>
      </c>
      <c r="B14" s="892">
        <v>14017488.443949997</v>
      </c>
      <c r="C14" s="892">
        <v>20486217</v>
      </c>
      <c r="D14" s="892">
        <v>23884653.941069901</v>
      </c>
      <c r="E14" s="892">
        <v>26634885</v>
      </c>
      <c r="F14" s="892">
        <v>30649233.308269795</v>
      </c>
      <c r="G14" s="892">
        <v>29147779.394449871</v>
      </c>
      <c r="H14" s="892">
        <v>32705613.741919942</v>
      </c>
      <c r="I14" s="892">
        <v>36242805.391699404</v>
      </c>
      <c r="J14" s="892">
        <v>45557513.264470898</v>
      </c>
      <c r="K14" s="892">
        <v>44418763.244260497</v>
      </c>
      <c r="L14" s="892">
        <v>28255524.516999986</v>
      </c>
      <c r="M14" s="891"/>
    </row>
    <row r="15" spans="1:13" s="322" customFormat="1" ht="18.75" customHeight="1">
      <c r="A15" s="933" t="s">
        <v>249</v>
      </c>
      <c r="B15" s="890">
        <v>1095116.2846835935</v>
      </c>
      <c r="C15" s="890">
        <v>1329410.5775470473</v>
      </c>
      <c r="D15" s="890">
        <v>1553978.7860162591</v>
      </c>
      <c r="E15" s="890">
        <v>1728415.6391953276</v>
      </c>
      <c r="F15" s="890">
        <v>1990209.9550824543</v>
      </c>
      <c r="G15" s="890">
        <v>1892712.94769155</v>
      </c>
      <c r="H15" s="890">
        <v>2130658.8756951103</v>
      </c>
      <c r="I15" s="890">
        <f>I14/I18</f>
        <v>2355481.0451767654</v>
      </c>
      <c r="J15" s="890">
        <f>J14/J18</f>
        <v>2958837.2657494526</v>
      </c>
      <c r="K15" s="890">
        <f>K14/K18</f>
        <v>2887108.3369097812</v>
      </c>
      <c r="L15" s="890">
        <f>L14/L18</f>
        <v>1836538.3103576212</v>
      </c>
      <c r="M15" s="891"/>
    </row>
    <row r="16" spans="1:13" ht="18.75" customHeight="1">
      <c r="A16" s="792" t="s">
        <v>250</v>
      </c>
      <c r="B16" s="889">
        <v>13.331905332227064</v>
      </c>
      <c r="C16" s="889">
        <f t="shared" ref="C16:H16" si="1">(C14-B14)/B14*100</f>
        <v>46.147557616442555</v>
      </c>
      <c r="D16" s="889">
        <f t="shared" si="1"/>
        <v>16.588894577607476</v>
      </c>
      <c r="E16" s="889">
        <f t="shared" si="1"/>
        <v>11.514636409284746</v>
      </c>
      <c r="F16" s="889">
        <f t="shared" si="1"/>
        <v>15.071768878558309</v>
      </c>
      <c r="G16" s="889">
        <f t="shared" si="1"/>
        <v>-4.8988302536585833</v>
      </c>
      <c r="H16" s="889">
        <f t="shared" si="1"/>
        <v>12.206193478147192</v>
      </c>
      <c r="I16" s="889">
        <v>11.050951946980959</v>
      </c>
      <c r="J16" s="889">
        <f>(J14-I14)/I14*100</f>
        <v>25.700846753173302</v>
      </c>
      <c r="K16" s="889">
        <f>(K14-J14)/J14*100</f>
        <v>-2.4995877487862828</v>
      </c>
      <c r="L16" s="889">
        <f>(L14-K14)/K14*100</f>
        <v>-36.38831328638809</v>
      </c>
      <c r="M16" s="891"/>
    </row>
    <row r="17" spans="1:13" ht="18.75" customHeight="1">
      <c r="A17" s="941" t="s">
        <v>251</v>
      </c>
      <c r="B17" s="894"/>
      <c r="C17" s="894"/>
      <c r="D17" s="894"/>
      <c r="E17" s="894"/>
      <c r="F17" s="894"/>
      <c r="G17" s="894"/>
      <c r="H17" s="894"/>
      <c r="I17" s="894"/>
      <c r="J17" s="894"/>
      <c r="K17" s="894"/>
      <c r="L17" s="894"/>
      <c r="M17" s="891"/>
    </row>
    <row r="18" spans="1:13" ht="18.75" customHeight="1">
      <c r="A18" s="939" t="s">
        <v>252</v>
      </c>
      <c r="B18" s="895">
        <v>12.8</v>
      </c>
      <c r="C18" s="895">
        <v>15.41</v>
      </c>
      <c r="D18" s="895">
        <v>15.37</v>
      </c>
      <c r="E18" s="895">
        <v>15.41</v>
      </c>
      <c r="F18" s="895">
        <v>15.4</v>
      </c>
      <c r="G18" s="895">
        <v>15.41</v>
      </c>
      <c r="H18" s="895">
        <v>15.35</v>
      </c>
      <c r="I18" s="895">
        <v>15.386583333333336</v>
      </c>
      <c r="J18" s="895">
        <v>15.3971</v>
      </c>
      <c r="K18" s="895">
        <v>15.385208333333329</v>
      </c>
      <c r="L18" s="895">
        <v>15.385208333333329</v>
      </c>
      <c r="M18" s="891"/>
    </row>
    <row r="19" spans="1:13" ht="18.75" customHeight="1">
      <c r="A19" s="942"/>
      <c r="B19" s="896"/>
      <c r="C19" s="896"/>
      <c r="D19" s="896"/>
      <c r="E19" s="896"/>
      <c r="F19" s="896"/>
      <c r="G19" s="896"/>
      <c r="H19" s="896"/>
      <c r="I19" s="896"/>
      <c r="J19" s="896"/>
      <c r="K19" s="894"/>
      <c r="L19" s="894"/>
      <c r="M19" s="891"/>
    </row>
    <row r="20" spans="1:13" ht="15" customHeight="1">
      <c r="A20" s="943"/>
      <c r="B20" s="877"/>
      <c r="C20" s="877"/>
      <c r="D20" s="877"/>
      <c r="E20" s="877"/>
      <c r="F20" s="877"/>
      <c r="M20" s="891"/>
    </row>
    <row r="21" spans="1:13" s="324" customFormat="1" ht="30" customHeight="1">
      <c r="A21" s="1023" t="s">
        <v>253</v>
      </c>
      <c r="B21" s="1023"/>
      <c r="C21" s="1023"/>
      <c r="D21" s="1023"/>
      <c r="E21" s="1023"/>
      <c r="F21" s="1023"/>
      <c r="G21" s="1023"/>
      <c r="H21" s="1023"/>
      <c r="I21" s="1023"/>
      <c r="J21" s="1023"/>
      <c r="K21" s="1023"/>
      <c r="L21" s="1023"/>
      <c r="M21" s="891"/>
    </row>
    <row r="22" spans="1:13" s="324" customFormat="1" ht="15" customHeight="1">
      <c r="A22" s="944"/>
      <c r="B22" s="897"/>
      <c r="C22" s="897"/>
      <c r="D22" s="897"/>
      <c r="E22" s="897"/>
      <c r="F22" s="897"/>
      <c r="G22" s="801"/>
      <c r="H22" s="801"/>
      <c r="I22" s="801"/>
      <c r="J22" s="801"/>
      <c r="K22" s="828"/>
      <c r="L22" s="801"/>
      <c r="M22" s="891"/>
    </row>
    <row r="23" spans="1:13" s="325" customFormat="1" ht="12" customHeight="1">
      <c r="A23" s="1026" t="s">
        <v>254</v>
      </c>
      <c r="B23" s="898"/>
      <c r="C23" s="899">
        <v>2011</v>
      </c>
      <c r="D23" s="899">
        <v>2012</v>
      </c>
      <c r="E23" s="899">
        <v>2013</v>
      </c>
      <c r="F23" s="899">
        <v>2014</v>
      </c>
      <c r="G23" s="899">
        <v>2015</v>
      </c>
      <c r="H23" s="899">
        <v>2016</v>
      </c>
      <c r="I23" s="899">
        <v>2017</v>
      </c>
      <c r="J23" s="888">
        <v>2018</v>
      </c>
      <c r="K23" s="888">
        <v>2019</v>
      </c>
      <c r="L23" s="888">
        <v>2020</v>
      </c>
      <c r="M23" s="891"/>
    </row>
    <row r="24" spans="1:13" s="325" customFormat="1" ht="15" customHeight="1">
      <c r="A24" s="1026"/>
      <c r="B24" s="898"/>
      <c r="C24" s="899"/>
      <c r="D24" s="899"/>
      <c r="E24" s="899"/>
      <c r="F24" s="899"/>
      <c r="G24" s="899"/>
      <c r="H24" s="899"/>
      <c r="I24" s="900"/>
      <c r="J24" s="900"/>
      <c r="K24" s="900" t="s">
        <v>390</v>
      </c>
      <c r="L24" s="901"/>
      <c r="M24" s="891"/>
    </row>
    <row r="25" spans="1:13" s="324" customFormat="1" ht="19.5" customHeight="1">
      <c r="A25" s="939"/>
      <c r="B25" s="801"/>
      <c r="C25" s="902"/>
      <c r="D25" s="902"/>
      <c r="E25" s="902"/>
      <c r="F25" s="902"/>
      <c r="G25" s="902"/>
      <c r="H25" s="801"/>
      <c r="I25" s="801"/>
      <c r="J25" s="801"/>
      <c r="K25" s="801"/>
      <c r="L25" s="801"/>
      <c r="M25" s="891"/>
    </row>
    <row r="26" spans="1:13" s="324" customFormat="1" ht="19.5" customHeight="1">
      <c r="A26" s="931" t="s">
        <v>255</v>
      </c>
      <c r="B26" s="903"/>
      <c r="C26" s="904">
        <v>-1370.4497932458348</v>
      </c>
      <c r="D26" s="904">
        <v>-1261.3818460941536</v>
      </c>
      <c r="E26" s="904">
        <v>-1372.0279990268523</v>
      </c>
      <c r="F26" s="904">
        <v>-1659.9839496319867</v>
      </c>
      <c r="G26" s="904">
        <v>-1654.7584348513501</v>
      </c>
      <c r="H26" s="904">
        <v>-1839.4548719095881</v>
      </c>
      <c r="I26" s="904">
        <v>-1908.1295867368151</v>
      </c>
      <c r="J26" s="904">
        <v>-2424.9375968742447</v>
      </c>
      <c r="K26" s="904">
        <v>-2392.3893471110855</v>
      </c>
      <c r="L26" s="904">
        <v>-1450.6795210327987</v>
      </c>
      <c r="M26" s="891"/>
    </row>
    <row r="27" spans="1:13" s="324" customFormat="1" ht="19.5" customHeight="1">
      <c r="A27" s="939" t="s">
        <v>256</v>
      </c>
      <c r="B27" s="905"/>
      <c r="C27" s="906">
        <v>-383.43893319959636</v>
      </c>
      <c r="D27" s="906">
        <v>-184.49200425916638</v>
      </c>
      <c r="E27" s="906">
        <v>-127.39386882882224</v>
      </c>
      <c r="F27" s="906">
        <v>-117.82183397517781</v>
      </c>
      <c r="G27" s="906">
        <v>-301.69645723293632</v>
      </c>
      <c r="H27" s="906">
        <v>-1032.4010542370552</v>
      </c>
      <c r="I27" s="906">
        <v>-1026.6914699274976</v>
      </c>
      <c r="J27" s="906">
        <v>-1502.5276350482209</v>
      </c>
      <c r="K27" s="906">
        <v>-1489.6293501866098</v>
      </c>
      <c r="L27" s="906">
        <v>-1118.5254729936482</v>
      </c>
      <c r="M27" s="891"/>
    </row>
    <row r="28" spans="1:13" s="324" customFormat="1" ht="19.5" customHeight="1">
      <c r="A28" s="931" t="s">
        <v>257</v>
      </c>
      <c r="B28" s="907"/>
      <c r="C28" s="908">
        <v>1517.3770387971886</v>
      </c>
      <c r="D28" s="908">
        <v>1600.8817311996886</v>
      </c>
      <c r="E28" s="908">
        <v>1880.361607822555</v>
      </c>
      <c r="F28" s="908">
        <v>2205.0323957415444</v>
      </c>
      <c r="G28" s="908">
        <v>2030.6397094299637</v>
      </c>
      <c r="H28" s="908">
        <v>1787.9990137608904</v>
      </c>
      <c r="I28" s="908">
        <v>1725.8235994517538</v>
      </c>
      <c r="J28" s="908">
        <v>1907.3969726542693</v>
      </c>
      <c r="K28" s="908">
        <v>2044.064390552548</v>
      </c>
      <c r="L28" s="908">
        <v>802.04705981549216</v>
      </c>
      <c r="M28" s="891"/>
    </row>
    <row r="29" spans="1:13" s="324" customFormat="1" ht="19.5" customHeight="1">
      <c r="A29" s="937" t="s">
        <v>258</v>
      </c>
      <c r="B29" s="905"/>
      <c r="C29" s="909">
        <v>2098.3922653935401</v>
      </c>
      <c r="D29" s="909">
        <v>2171.5273990140345</v>
      </c>
      <c r="E29" s="909">
        <v>2576.9287597133889</v>
      </c>
      <c r="F29" s="909">
        <v>2998.330646183721</v>
      </c>
      <c r="G29" s="909">
        <v>2905.2675897799904</v>
      </c>
      <c r="H29" s="910">
        <v>2891.3586495738027</v>
      </c>
      <c r="I29" s="910">
        <v>3000.7331302641501</v>
      </c>
      <c r="J29" s="910">
        <v>3245.0741660863296</v>
      </c>
      <c r="K29" s="910">
        <v>3381.4403769540795</v>
      </c>
      <c r="L29" s="910">
        <v>1522.2421331220592</v>
      </c>
      <c r="M29" s="891"/>
    </row>
    <row r="30" spans="1:13" s="324" customFormat="1" ht="19.5" customHeight="1">
      <c r="A30" s="938" t="s">
        <v>259</v>
      </c>
      <c r="B30" s="903"/>
      <c r="C30" s="904">
        <v>581.01522659635168</v>
      </c>
      <c r="D30" s="904">
        <v>570.64566781434723</v>
      </c>
      <c r="E30" s="904">
        <v>696.56715189082945</v>
      </c>
      <c r="F30" s="904">
        <v>793.29825044217978</v>
      </c>
      <c r="G30" s="904">
        <v>874.69347902002255</v>
      </c>
      <c r="H30" s="904">
        <v>1103.3603022341283</v>
      </c>
      <c r="I30" s="904">
        <v>1274.9095308123963</v>
      </c>
      <c r="J30" s="904">
        <v>1337.6771934320602</v>
      </c>
      <c r="K30" s="904">
        <v>1337.3759864015315</v>
      </c>
      <c r="L30" s="904">
        <v>720.195073306567</v>
      </c>
      <c r="M30" s="891"/>
    </row>
    <row r="31" spans="1:13" s="324" customFormat="1" ht="19.5" customHeight="1">
      <c r="A31" s="939" t="s">
        <v>460</v>
      </c>
      <c r="B31" s="905"/>
      <c r="C31" s="906">
        <v>-416.44516451822949</v>
      </c>
      <c r="D31" s="906">
        <v>-187.69412038217746</v>
      </c>
      <c r="E31" s="906">
        <v>-67.400198894263639</v>
      </c>
      <c r="F31" s="906">
        <v>-543.88273890864502</v>
      </c>
      <c r="G31" s="906">
        <v>-491.03246343540076</v>
      </c>
      <c r="H31" s="906">
        <v>-673.23314578774364</v>
      </c>
      <c r="I31" s="906">
        <v>-910.31924198322554</v>
      </c>
      <c r="J31" s="906">
        <v>-1835.1228551446513</v>
      </c>
      <c r="K31" s="906">
        <v>-1969.7359245213629</v>
      </c>
      <c r="L31" s="906">
        <v>-1612.5622165755472</v>
      </c>
      <c r="M31" s="891"/>
    </row>
    <row r="32" spans="1:13" s="324" customFormat="1" ht="19.5" customHeight="1">
      <c r="A32" s="945" t="s">
        <v>461</v>
      </c>
      <c r="B32" s="911"/>
      <c r="C32" s="904">
        <f t="shared" ref="C32:I32" si="2">C27/C34*100</f>
        <v>-13.790559655451947</v>
      </c>
      <c r="D32" s="904">
        <f t="shared" si="2"/>
        <v>-6.4152416064496443</v>
      </c>
      <c r="E32" s="904">
        <f>E27/E34*100</f>
        <v>-3.8796752020414398</v>
      </c>
      <c r="F32" s="904">
        <f t="shared" si="2"/>
        <v>-3.1948595497400034</v>
      </c>
      <c r="G32" s="904">
        <f t="shared" si="2"/>
        <v>-7.3672301726762353</v>
      </c>
      <c r="H32" s="904">
        <f t="shared" si="2"/>
        <v>-23.654603809616052</v>
      </c>
      <c r="I32" s="904">
        <f t="shared" si="2"/>
        <v>-21.641084139450939</v>
      </c>
      <c r="J32" s="904">
        <v>-28.404579692869213</v>
      </c>
      <c r="K32" s="904">
        <v>-26.466935306422389</v>
      </c>
      <c r="L32" s="904">
        <v>-29.76731690527415</v>
      </c>
      <c r="M32" s="891"/>
    </row>
    <row r="33" spans="1:64" s="324" customFormat="1" ht="19.5" customHeight="1">
      <c r="A33" s="946" t="s">
        <v>260</v>
      </c>
      <c r="B33" s="912"/>
      <c r="C33" s="906">
        <f t="shared" ref="C33:L33" si="3">C31/C34*100</f>
        <v>-14.977644123382905</v>
      </c>
      <c r="D33" s="906">
        <f t="shared" si="3"/>
        <v>-6.5265870745825989</v>
      </c>
      <c r="E33" s="906">
        <f t="shared" si="3"/>
        <v>-2.0526174663405348</v>
      </c>
      <c r="F33" s="906">
        <f t="shared" si="3"/>
        <v>-14.747936810312334</v>
      </c>
      <c r="G33" s="906">
        <f t="shared" si="3"/>
        <v>-11.99069161621529</v>
      </c>
      <c r="H33" s="906">
        <f t="shared" si="3"/>
        <v>-15.425268377780949</v>
      </c>
      <c r="I33" s="906">
        <f t="shared" si="3"/>
        <v>-19.188135760893555</v>
      </c>
      <c r="J33" s="906">
        <f t="shared" si="3"/>
        <v>-34.684351430478294</v>
      </c>
      <c r="K33" s="906">
        <f t="shared" si="3"/>
        <v>-35.21193981320851</v>
      </c>
      <c r="L33" s="906">
        <f t="shared" si="3"/>
        <v>-43.193129805175772</v>
      </c>
      <c r="M33" s="913"/>
      <c r="N33" s="326"/>
      <c r="O33" s="326"/>
      <c r="P33" s="326"/>
      <c r="Q33" s="326"/>
      <c r="R33" s="326"/>
    </row>
    <row r="34" spans="1:64" s="324" customFormat="1" ht="19.5" customHeight="1">
      <c r="A34" s="947" t="s">
        <v>462</v>
      </c>
      <c r="B34" s="914"/>
      <c r="C34" s="915">
        <v>2780.4450492189267</v>
      </c>
      <c r="D34" s="915">
        <v>2875.8387536594882</v>
      </c>
      <c r="E34" s="915">
        <v>3283.622009434941</v>
      </c>
      <c r="F34" s="915">
        <v>3687.85645005165</v>
      </c>
      <c r="G34" s="915">
        <v>4095.1137695123953</v>
      </c>
      <c r="H34" s="915">
        <v>4364.4825444819508</v>
      </c>
      <c r="I34" s="915">
        <v>4744.1776174968745</v>
      </c>
      <c r="J34" s="915">
        <v>5290.9245220369548</v>
      </c>
      <c r="K34" s="915">
        <v>5593.9432333758741</v>
      </c>
      <c r="L34" s="915">
        <v>3733.3766361666062</v>
      </c>
      <c r="M34" s="801"/>
    </row>
    <row r="35" spans="1:64" s="324" customFormat="1" ht="18" hidden="1" customHeight="1">
      <c r="A35" s="327"/>
      <c r="B35" s="916"/>
      <c r="C35" s="917"/>
      <c r="D35" s="917"/>
      <c r="E35" s="917"/>
      <c r="F35" s="918"/>
      <c r="G35" s="801"/>
      <c r="H35" s="801"/>
      <c r="I35" s="801"/>
      <c r="J35" s="801"/>
      <c r="K35" s="801"/>
      <c r="L35" s="801"/>
      <c r="M35" s="801"/>
    </row>
    <row r="36" spans="1:64" s="324" customFormat="1" ht="18" customHeight="1">
      <c r="A36" s="328" t="s">
        <v>261</v>
      </c>
      <c r="B36" s="801"/>
      <c r="C36" s="801"/>
      <c r="D36" s="801"/>
      <c r="E36" s="801"/>
      <c r="F36" s="801"/>
      <c r="G36" s="801"/>
      <c r="H36" s="801"/>
      <c r="I36" s="801"/>
      <c r="J36" s="801"/>
      <c r="K36" s="801"/>
      <c r="L36" s="801"/>
      <c r="M36" s="673"/>
      <c r="N36" s="69"/>
      <c r="O36" s="69"/>
      <c r="P36" s="69"/>
      <c r="Q36" s="69"/>
      <c r="R36" s="69"/>
      <c r="S36" s="69"/>
      <c r="T36" s="69"/>
    </row>
    <row r="37" spans="1:64" s="324" customFormat="1" ht="18" customHeight="1">
      <c r="A37" s="328" t="s">
        <v>392</v>
      </c>
      <c r="B37" s="801"/>
      <c r="C37" s="801"/>
      <c r="D37" s="801"/>
      <c r="E37" s="801"/>
      <c r="F37" s="801"/>
      <c r="G37" s="801"/>
      <c r="H37" s="801"/>
      <c r="I37" s="801"/>
      <c r="J37" s="801"/>
      <c r="K37" s="801"/>
      <c r="L37" s="673"/>
      <c r="M37" s="673"/>
      <c r="N37" s="69"/>
      <c r="O37" s="69"/>
      <c r="P37" s="69"/>
      <c r="Q37" s="69"/>
      <c r="R37" s="69"/>
      <c r="S37" s="69"/>
      <c r="T37" s="69"/>
    </row>
    <row r="38" spans="1:64">
      <c r="A38" s="328" t="s">
        <v>262</v>
      </c>
      <c r="I38" s="919"/>
      <c r="J38" s="919"/>
      <c r="K38" s="919"/>
    </row>
    <row r="42" spans="1:64" ht="15.75">
      <c r="AW42" s="330">
        <v>2006</v>
      </c>
      <c r="AX42" s="272">
        <v>2007</v>
      </c>
      <c r="AY42" s="330">
        <v>2008</v>
      </c>
      <c r="AZ42" s="272">
        <v>2009</v>
      </c>
      <c r="BA42" s="922">
        <v>2010</v>
      </c>
      <c r="BB42" s="923">
        <v>2011</v>
      </c>
      <c r="BC42" s="923">
        <v>2012</v>
      </c>
      <c r="BD42" s="923">
        <v>2013</v>
      </c>
      <c r="BE42" s="828">
        <v>2014</v>
      </c>
      <c r="BF42" s="828">
        <v>2015</v>
      </c>
      <c r="BG42" s="828">
        <v>2016</v>
      </c>
      <c r="BH42" s="828">
        <v>2017</v>
      </c>
      <c r="BI42" s="828">
        <v>2018</v>
      </c>
      <c r="BJ42" s="828">
        <v>2019</v>
      </c>
      <c r="BK42" s="828">
        <v>2020</v>
      </c>
      <c r="BL42" s="828"/>
    </row>
    <row r="43" spans="1:64">
      <c r="AP43" s="54"/>
      <c r="AQ43" s="332"/>
      <c r="AR43" s="332"/>
      <c r="AS43" s="332"/>
      <c r="AT43" s="332"/>
      <c r="AU43" s="332"/>
      <c r="AV43" s="331" t="s">
        <v>255</v>
      </c>
      <c r="AW43" s="333">
        <v>-590.1</v>
      </c>
      <c r="AX43" s="334">
        <v>-1077.8</v>
      </c>
      <c r="AY43" s="334">
        <v>-1317.6</v>
      </c>
      <c r="AZ43" s="334">
        <v>-912.7</v>
      </c>
      <c r="BA43" s="919">
        <v>-1044.3</v>
      </c>
      <c r="BB43" s="919">
        <f>C26</f>
        <v>-1370.4497932458348</v>
      </c>
      <c r="BC43" s="919">
        <f>D26</f>
        <v>-1261.3818460941536</v>
      </c>
      <c r="BD43" s="919">
        <f>E26</f>
        <v>-1372.0279990268523</v>
      </c>
      <c r="BE43" s="919">
        <f>F26</f>
        <v>-1659.9839496319867</v>
      </c>
      <c r="BF43" s="919">
        <f>G26</f>
        <v>-1654.7584348513501</v>
      </c>
      <c r="BG43" s="919">
        <f>H26</f>
        <v>-1839.4548719095881</v>
      </c>
      <c r="BH43" s="919">
        <f>I26</f>
        <v>-1908.1295867368151</v>
      </c>
      <c r="BI43" s="919">
        <f>J26</f>
        <v>-2424.9375968742447</v>
      </c>
      <c r="BJ43" s="919">
        <f>K26</f>
        <v>-2392.3893471110855</v>
      </c>
      <c r="BK43" s="919">
        <f>L26</f>
        <v>-1450.6795210327987</v>
      </c>
      <c r="BL43" s="924"/>
    </row>
    <row r="44" spans="1:64">
      <c r="AP44" s="54"/>
      <c r="AQ44" s="332"/>
      <c r="AR44" s="332"/>
      <c r="AS44" s="332"/>
      <c r="AT44" s="332"/>
      <c r="AU44" s="332"/>
      <c r="AV44" s="331" t="s">
        <v>257</v>
      </c>
      <c r="AW44" s="333">
        <v>320.70550261011971</v>
      </c>
      <c r="AX44" s="334">
        <v>1246</v>
      </c>
      <c r="AY44" s="334">
        <v>1210.5</v>
      </c>
      <c r="AZ44" s="334">
        <v>1144.9000000000001</v>
      </c>
      <c r="BA44" s="919">
        <v>1358.5</v>
      </c>
      <c r="BB44" s="925">
        <f>SUM(C29:C30)</f>
        <v>2679.4074919898917</v>
      </c>
      <c r="BC44" s="925">
        <f>SUM(D29:D30)</f>
        <v>2742.1730668283817</v>
      </c>
      <c r="BD44" s="925">
        <f>SUM(E29:E30)</f>
        <v>3273.4959116042182</v>
      </c>
      <c r="BE44" s="925">
        <f>SUM(F29:F30)</f>
        <v>3791.6288966259008</v>
      </c>
      <c r="BF44" s="925">
        <f>SUM(G29:G30)</f>
        <v>3779.961068800013</v>
      </c>
      <c r="BG44" s="925">
        <f>SUM(H29:H30)</f>
        <v>3994.7189518079313</v>
      </c>
      <c r="BH44" s="925">
        <f>SUM(I29:I30)</f>
        <v>4275.6426610765466</v>
      </c>
      <c r="BI44" s="925">
        <f>SUM(J29:J30)</f>
        <v>4582.75135951839</v>
      </c>
      <c r="BJ44" s="925">
        <f>SUM(K29:K30)</f>
        <v>4718.8163633556105</v>
      </c>
      <c r="BK44" s="925">
        <f>SUM(L29:L30)</f>
        <v>2242.4372064286263</v>
      </c>
      <c r="BL44" s="924"/>
    </row>
    <row r="45" spans="1:64">
      <c r="AW45" s="329"/>
      <c r="BA45" s="828"/>
      <c r="BB45" s="828"/>
      <c r="BC45" s="828"/>
      <c r="BD45" s="828"/>
      <c r="BE45" s="828"/>
      <c r="BF45" s="828"/>
      <c r="BG45" s="828"/>
      <c r="BH45" s="828"/>
      <c r="BI45" s="828"/>
      <c r="BJ45" s="828"/>
      <c r="BK45" s="828"/>
      <c r="BL45" s="828"/>
    </row>
    <row r="46" spans="1:64">
      <c r="AW46" s="329"/>
      <c r="BA46" s="828"/>
      <c r="BB46" s="828"/>
      <c r="BC46" s="828"/>
      <c r="BD46" s="828"/>
      <c r="BE46" s="828"/>
      <c r="BF46" s="828"/>
      <c r="BG46" s="828"/>
      <c r="BH46" s="828"/>
      <c r="BI46" s="828"/>
      <c r="BJ46" s="828"/>
      <c r="BK46" s="828"/>
      <c r="BL46" s="828"/>
    </row>
    <row r="47" spans="1:64" ht="15.75">
      <c r="L47" s="910"/>
      <c r="AW47" s="329"/>
      <c r="BA47" s="828"/>
      <c r="BB47" s="828"/>
      <c r="BC47" s="828"/>
      <c r="BD47" s="828"/>
      <c r="BE47" s="828"/>
      <c r="BF47" s="828"/>
      <c r="BG47" s="828"/>
      <c r="BH47" s="828"/>
      <c r="BI47" s="828"/>
      <c r="BJ47" s="828"/>
      <c r="BK47" s="828"/>
      <c r="BL47" s="828"/>
    </row>
    <row r="62" spans="8:10">
      <c r="H62" s="920"/>
    </row>
    <row r="63" spans="8:10">
      <c r="H63" s="920"/>
      <c r="I63" s="921"/>
      <c r="J63" s="921"/>
    </row>
    <row r="64" spans="8:10">
      <c r="H64" s="920"/>
      <c r="I64" s="920"/>
      <c r="J64" s="920"/>
    </row>
    <row r="65" spans="1:18">
      <c r="I65" s="921"/>
      <c r="J65" s="921"/>
    </row>
    <row r="66" spans="1:18">
      <c r="H66" s="920"/>
    </row>
    <row r="68" spans="1:18">
      <c r="N68" s="332"/>
      <c r="O68" s="332"/>
      <c r="P68" s="332"/>
      <c r="Q68" s="332"/>
      <c r="R68" s="332"/>
    </row>
    <row r="69" spans="1:18">
      <c r="N69" s="332"/>
      <c r="O69" s="332"/>
      <c r="P69" s="332"/>
      <c r="Q69" s="332"/>
      <c r="R69" s="332"/>
    </row>
    <row r="76" spans="1:18" ht="15.75">
      <c r="A76" s="324"/>
    </row>
    <row r="81" spans="2:19" ht="15.75">
      <c r="B81" s="926"/>
      <c r="E81" s="927"/>
      <c r="S81" s="323"/>
    </row>
    <row r="82" spans="2:19" ht="15.75">
      <c r="B82" s="926"/>
      <c r="C82" s="928"/>
      <c r="E82" s="919"/>
      <c r="S82" s="323"/>
    </row>
    <row r="83" spans="2:19" ht="15.75">
      <c r="B83" s="926"/>
      <c r="C83" s="926"/>
      <c r="D83" s="926"/>
      <c r="E83" s="929"/>
      <c r="F83" s="929"/>
      <c r="G83" s="929"/>
      <c r="H83" s="929"/>
      <c r="I83" s="929"/>
      <c r="J83" s="929"/>
      <c r="K83" s="929"/>
      <c r="L83" s="929"/>
      <c r="M83" s="929"/>
      <c r="N83" s="335"/>
      <c r="O83" s="335"/>
      <c r="P83" s="335"/>
      <c r="Q83" s="335"/>
      <c r="R83" s="335"/>
      <c r="S83" s="335"/>
    </row>
    <row r="86" spans="2:19">
      <c r="B86" s="928"/>
      <c r="C86" s="928"/>
      <c r="D86" s="928"/>
      <c r="E86" s="928"/>
      <c r="G86" s="928"/>
      <c r="H86" s="928"/>
      <c r="I86" s="928"/>
      <c r="J86" s="928"/>
      <c r="K86" s="928"/>
      <c r="L86" s="928"/>
      <c r="M86" s="928"/>
      <c r="N86" s="318"/>
      <c r="O86" s="318"/>
      <c r="P86" s="318"/>
      <c r="Q86" s="318"/>
      <c r="R86" s="318"/>
    </row>
    <row r="87" spans="2:19">
      <c r="B87" s="928"/>
      <c r="C87" s="928"/>
      <c r="D87" s="928"/>
      <c r="E87" s="928"/>
      <c r="G87" s="928"/>
      <c r="H87" s="928"/>
      <c r="I87" s="928"/>
      <c r="J87" s="928"/>
      <c r="K87" s="928"/>
      <c r="L87" s="928"/>
      <c r="M87" s="928"/>
      <c r="N87" s="318"/>
      <c r="O87" s="318"/>
      <c r="P87" s="318"/>
      <c r="Q87" s="318"/>
      <c r="R87" s="318"/>
    </row>
    <row r="88" spans="2:19">
      <c r="B88" s="928"/>
      <c r="D88" s="928"/>
      <c r="E88" s="928"/>
      <c r="F88" s="928"/>
      <c r="G88" s="928"/>
      <c r="H88" s="928"/>
      <c r="I88" s="928"/>
      <c r="J88" s="928"/>
      <c r="K88" s="928"/>
      <c r="L88" s="928"/>
      <c r="M88" s="928"/>
      <c r="N88" s="318"/>
      <c r="O88" s="318"/>
      <c r="P88" s="318"/>
      <c r="Q88" s="318"/>
      <c r="R88" s="318"/>
    </row>
    <row r="97" spans="2:12">
      <c r="B97" s="930"/>
      <c r="C97" s="930"/>
      <c r="K97" s="930"/>
    </row>
    <row r="101" spans="2:12">
      <c r="B101" s="930"/>
      <c r="C101" s="930"/>
      <c r="K101" s="930"/>
      <c r="L101" s="930"/>
    </row>
  </sheetData>
  <mergeCells count="3">
    <mergeCell ref="A23:A24"/>
    <mergeCell ref="A21:L21"/>
    <mergeCell ref="A1:L1"/>
  </mergeCells>
  <pageMargins left="0.7" right="0.7" top="0.75" bottom="0.75" header="0.3" footer="0.3"/>
  <pageSetup paperSize="9" scale="45"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FA110"/>
  <sheetViews>
    <sheetView zoomScale="96" zoomScaleNormal="96" workbookViewId="0">
      <selection activeCell="F3" sqref="F3"/>
    </sheetView>
  </sheetViews>
  <sheetFormatPr defaultColWidth="9.140625" defaultRowHeight="15"/>
  <cols>
    <col min="1" max="1" width="48.5703125" style="353" customWidth="1"/>
    <col min="2" max="3" width="10.7109375" style="966" customWidth="1"/>
    <col min="4" max="5" width="10.7109375" style="967" customWidth="1"/>
    <col min="6" max="12" width="10.7109375" style="961" customWidth="1"/>
    <col min="13" max="157" width="9.140625" style="352"/>
    <col min="158" max="16384" width="9.140625" style="353"/>
  </cols>
  <sheetData>
    <row r="1" spans="1:157" s="337" customFormat="1" ht="30.75" customHeight="1">
      <c r="A1" s="980" t="s">
        <v>263</v>
      </c>
      <c r="B1" s="948"/>
      <c r="C1" s="948"/>
      <c r="D1" s="948"/>
      <c r="E1" s="948"/>
      <c r="F1" s="948"/>
      <c r="G1" s="948"/>
      <c r="H1" s="948"/>
      <c r="I1" s="948"/>
      <c r="J1" s="948"/>
      <c r="K1" s="948"/>
      <c r="L1" s="948"/>
      <c r="M1" s="336"/>
      <c r="N1" s="336"/>
      <c r="O1" s="336"/>
      <c r="P1" s="336"/>
      <c r="Q1" s="336"/>
      <c r="R1" s="336"/>
      <c r="S1" s="336"/>
      <c r="T1" s="336"/>
      <c r="U1" s="336"/>
      <c r="V1" s="336"/>
      <c r="W1" s="336"/>
      <c r="X1" s="336"/>
      <c r="Y1" s="336"/>
      <c r="Z1" s="336"/>
      <c r="AA1" s="336"/>
      <c r="AB1" s="336"/>
      <c r="AC1" s="336"/>
      <c r="AD1" s="336"/>
      <c r="AE1" s="336"/>
      <c r="AF1" s="336"/>
      <c r="AG1" s="336"/>
      <c r="AH1" s="336"/>
      <c r="AI1" s="336"/>
      <c r="AJ1" s="336"/>
      <c r="AK1" s="336"/>
      <c r="AL1" s="336"/>
      <c r="AM1" s="336"/>
      <c r="AN1" s="336"/>
      <c r="AO1" s="336"/>
      <c r="AP1" s="336"/>
      <c r="AQ1" s="336"/>
      <c r="AR1" s="336"/>
      <c r="AS1" s="336"/>
      <c r="AT1" s="336"/>
      <c r="AU1" s="336"/>
      <c r="AV1" s="336"/>
      <c r="AW1" s="336"/>
      <c r="AX1" s="336"/>
      <c r="AY1" s="336"/>
      <c r="AZ1" s="336"/>
      <c r="BA1" s="336"/>
      <c r="BB1" s="336"/>
      <c r="BC1" s="336"/>
      <c r="BD1" s="336"/>
      <c r="BE1" s="336"/>
      <c r="BF1" s="336"/>
      <c r="BG1" s="336"/>
      <c r="BH1" s="336"/>
      <c r="BI1" s="336"/>
      <c r="BJ1" s="336"/>
      <c r="BK1" s="336"/>
      <c r="BL1" s="336"/>
      <c r="BM1" s="336"/>
      <c r="BN1" s="336"/>
      <c r="BO1" s="336"/>
      <c r="BP1" s="336"/>
      <c r="BQ1" s="336"/>
      <c r="BR1" s="336"/>
      <c r="BS1" s="336"/>
      <c r="BT1" s="336"/>
      <c r="BU1" s="336"/>
      <c r="BV1" s="336"/>
      <c r="BW1" s="336"/>
      <c r="BX1" s="336"/>
      <c r="BY1" s="336"/>
      <c r="BZ1" s="336"/>
      <c r="CA1" s="336"/>
      <c r="CB1" s="336"/>
      <c r="CC1" s="336"/>
      <c r="CD1" s="336"/>
      <c r="CE1" s="336"/>
      <c r="CF1" s="336"/>
      <c r="CG1" s="336"/>
      <c r="CH1" s="336"/>
      <c r="CI1" s="336"/>
      <c r="CJ1" s="336"/>
      <c r="CK1" s="336"/>
      <c r="CL1" s="336"/>
      <c r="CM1" s="336"/>
      <c r="CN1" s="336"/>
      <c r="CO1" s="336"/>
      <c r="CP1" s="336"/>
      <c r="CQ1" s="336"/>
      <c r="CR1" s="336"/>
      <c r="CS1" s="336"/>
      <c r="CT1" s="336"/>
      <c r="CU1" s="336"/>
      <c r="CV1" s="336"/>
      <c r="CW1" s="336"/>
      <c r="CX1" s="336"/>
      <c r="CY1" s="336"/>
      <c r="CZ1" s="336"/>
      <c r="DA1" s="336"/>
      <c r="DB1" s="336"/>
      <c r="DC1" s="336"/>
      <c r="DD1" s="336"/>
      <c r="DE1" s="336"/>
      <c r="DF1" s="336"/>
      <c r="DG1" s="336"/>
      <c r="DH1" s="336"/>
      <c r="DI1" s="336"/>
      <c r="DJ1" s="336"/>
      <c r="DK1" s="336"/>
      <c r="DL1" s="336"/>
      <c r="DM1" s="336"/>
      <c r="DN1" s="336"/>
      <c r="DO1" s="336"/>
      <c r="DP1" s="336"/>
      <c r="DQ1" s="336"/>
      <c r="DR1" s="336"/>
      <c r="DS1" s="336"/>
      <c r="DT1" s="336"/>
      <c r="DU1" s="336"/>
      <c r="DV1" s="336"/>
      <c r="DW1" s="336"/>
      <c r="DX1" s="336"/>
      <c r="DY1" s="336"/>
      <c r="DZ1" s="336"/>
      <c r="EA1" s="336"/>
      <c r="EB1" s="336"/>
      <c r="EC1" s="336"/>
      <c r="ED1" s="336"/>
      <c r="EE1" s="336"/>
      <c r="EF1" s="336"/>
      <c r="EG1" s="336"/>
      <c r="EH1" s="336"/>
      <c r="EI1" s="336"/>
      <c r="EJ1" s="336"/>
      <c r="EK1" s="336"/>
      <c r="EL1" s="336"/>
      <c r="EM1" s="336"/>
      <c r="EN1" s="336"/>
      <c r="EO1" s="336"/>
      <c r="EP1" s="336"/>
      <c r="EQ1" s="336"/>
      <c r="ER1" s="336"/>
      <c r="ES1" s="336"/>
      <c r="ET1" s="336"/>
      <c r="EU1" s="336"/>
      <c r="EV1" s="336"/>
      <c r="EW1" s="336"/>
      <c r="EX1" s="336"/>
      <c r="EY1" s="336"/>
      <c r="EZ1" s="336"/>
      <c r="FA1" s="336"/>
    </row>
    <row r="2" spans="1:157" s="337" customFormat="1" ht="15.75">
      <c r="A2" s="338"/>
      <c r="B2" s="949"/>
      <c r="C2" s="949"/>
      <c r="D2" s="949"/>
      <c r="E2" s="949"/>
      <c r="F2" s="949"/>
      <c r="G2" s="949"/>
      <c r="H2" s="949"/>
      <c r="I2" s="949"/>
      <c r="J2" s="949"/>
      <c r="K2" s="949"/>
      <c r="L2" s="949"/>
      <c r="M2" s="339"/>
      <c r="N2" s="336"/>
      <c r="O2" s="336"/>
      <c r="P2" s="336"/>
      <c r="Q2" s="336"/>
      <c r="R2" s="336"/>
      <c r="S2" s="336"/>
      <c r="T2" s="336"/>
      <c r="U2" s="336"/>
      <c r="V2" s="336"/>
      <c r="W2" s="336"/>
      <c r="X2" s="336"/>
      <c r="Y2" s="336"/>
      <c r="Z2" s="336"/>
      <c r="AA2" s="336"/>
      <c r="AB2" s="336"/>
      <c r="AC2" s="336"/>
      <c r="AD2" s="336"/>
      <c r="AE2" s="336"/>
      <c r="AF2" s="336"/>
      <c r="AG2" s="336"/>
      <c r="AH2" s="336"/>
      <c r="AI2" s="336"/>
      <c r="AJ2" s="336"/>
      <c r="AK2" s="336"/>
      <c r="AL2" s="336"/>
      <c r="AM2" s="336"/>
      <c r="AN2" s="336"/>
      <c r="AO2" s="336"/>
      <c r="AP2" s="336"/>
      <c r="AQ2" s="336"/>
      <c r="AR2" s="336"/>
      <c r="AS2" s="336"/>
      <c r="AT2" s="336"/>
      <c r="AU2" s="336"/>
      <c r="AV2" s="336"/>
      <c r="AW2" s="336"/>
      <c r="AX2" s="336"/>
      <c r="AY2" s="336"/>
      <c r="AZ2" s="336"/>
      <c r="BA2" s="336"/>
      <c r="BB2" s="336"/>
      <c r="BC2" s="336"/>
      <c r="BD2" s="336"/>
      <c r="BE2" s="336"/>
      <c r="BF2" s="336"/>
      <c r="BG2" s="336"/>
      <c r="BH2" s="336"/>
      <c r="BI2" s="336"/>
      <c r="BJ2" s="336"/>
      <c r="BK2" s="336"/>
      <c r="BL2" s="336"/>
      <c r="BM2" s="336"/>
      <c r="BN2" s="336"/>
      <c r="BO2" s="336"/>
      <c r="BP2" s="336"/>
      <c r="BQ2" s="336"/>
      <c r="BR2" s="336"/>
      <c r="BS2" s="336"/>
      <c r="BT2" s="336"/>
      <c r="BU2" s="336"/>
      <c r="BV2" s="336"/>
      <c r="BW2" s="336"/>
      <c r="BX2" s="336"/>
      <c r="BY2" s="336"/>
      <c r="BZ2" s="336"/>
      <c r="CA2" s="336"/>
      <c r="CB2" s="336"/>
      <c r="CC2" s="336"/>
      <c r="CD2" s="336"/>
      <c r="CE2" s="336"/>
      <c r="CF2" s="336"/>
      <c r="CG2" s="336"/>
      <c r="CH2" s="336"/>
      <c r="CI2" s="336"/>
      <c r="CJ2" s="336"/>
      <c r="CK2" s="336"/>
      <c r="CL2" s="336"/>
      <c r="CM2" s="336"/>
      <c r="CN2" s="336"/>
      <c r="CO2" s="336"/>
      <c r="CP2" s="336"/>
      <c r="CQ2" s="336"/>
      <c r="CR2" s="336"/>
      <c r="CS2" s="336"/>
      <c r="CT2" s="336"/>
      <c r="CU2" s="336"/>
      <c r="CV2" s="336"/>
      <c r="CW2" s="336"/>
      <c r="CX2" s="336"/>
      <c r="CY2" s="336"/>
      <c r="CZ2" s="336"/>
      <c r="DA2" s="336"/>
      <c r="DB2" s="336"/>
      <c r="DC2" s="336"/>
      <c r="DD2" s="336"/>
      <c r="DE2" s="336"/>
      <c r="DF2" s="336"/>
      <c r="DG2" s="336"/>
      <c r="DH2" s="336"/>
      <c r="DI2" s="336"/>
      <c r="DJ2" s="336"/>
      <c r="DK2" s="336"/>
      <c r="DL2" s="336"/>
      <c r="DM2" s="336"/>
      <c r="DN2" s="336"/>
      <c r="DO2" s="336"/>
      <c r="DP2" s="336"/>
      <c r="DQ2" s="336"/>
      <c r="DR2" s="336"/>
      <c r="DS2" s="336"/>
      <c r="DT2" s="336"/>
      <c r="DU2" s="336"/>
      <c r="DV2" s="336"/>
      <c r="DW2" s="336"/>
      <c r="DX2" s="336"/>
      <c r="DY2" s="336"/>
      <c r="DZ2" s="336"/>
      <c r="EA2" s="336"/>
      <c r="EB2" s="336"/>
      <c r="EC2" s="336"/>
      <c r="ED2" s="336"/>
      <c r="EE2" s="336"/>
      <c r="EF2" s="336"/>
      <c r="EG2" s="336"/>
      <c r="EH2" s="336"/>
      <c r="EI2" s="336"/>
      <c r="EJ2" s="336"/>
      <c r="EK2" s="336"/>
      <c r="EL2" s="336"/>
      <c r="EM2" s="336"/>
      <c r="EN2" s="336"/>
      <c r="EO2" s="336"/>
      <c r="EP2" s="336"/>
      <c r="EQ2" s="336"/>
      <c r="ER2" s="336"/>
      <c r="ES2" s="336"/>
      <c r="ET2" s="336"/>
      <c r="EU2" s="336"/>
      <c r="EV2" s="336"/>
      <c r="EW2" s="336"/>
      <c r="EX2" s="336"/>
      <c r="EY2" s="336"/>
      <c r="EZ2" s="336"/>
      <c r="FA2" s="336"/>
    </row>
    <row r="3" spans="1:157" s="341" customFormat="1" ht="21" customHeight="1">
      <c r="A3" s="970" t="s">
        <v>264</v>
      </c>
      <c r="B3" s="950"/>
      <c r="C3" s="950"/>
      <c r="D3" s="950"/>
      <c r="E3" s="950"/>
      <c r="F3" s="950"/>
      <c r="G3" s="950"/>
      <c r="H3" s="950"/>
      <c r="I3" s="950"/>
      <c r="J3" s="950"/>
      <c r="K3" s="950"/>
      <c r="L3" s="950"/>
      <c r="M3" s="340"/>
      <c r="N3" s="336"/>
      <c r="O3" s="336"/>
      <c r="P3" s="336"/>
      <c r="Q3" s="336"/>
      <c r="R3" s="336"/>
      <c r="S3" s="336"/>
      <c r="T3" s="336"/>
      <c r="U3" s="336"/>
      <c r="V3" s="336"/>
      <c r="W3" s="336"/>
      <c r="X3" s="336"/>
      <c r="Y3" s="336"/>
      <c r="Z3" s="336"/>
      <c r="AA3" s="336"/>
      <c r="AB3" s="336"/>
      <c r="AC3" s="336"/>
      <c r="AD3" s="336"/>
      <c r="AE3" s="336"/>
      <c r="AF3" s="336"/>
      <c r="AG3" s="336"/>
      <c r="AH3" s="336"/>
      <c r="AI3" s="336"/>
      <c r="AJ3" s="336"/>
      <c r="AK3" s="336"/>
      <c r="AL3" s="336"/>
      <c r="AM3" s="336"/>
      <c r="AN3" s="336"/>
      <c r="AO3" s="336"/>
      <c r="AP3" s="336"/>
      <c r="AQ3" s="336"/>
      <c r="AR3" s="336"/>
      <c r="AS3" s="336"/>
      <c r="AT3" s="336"/>
      <c r="AU3" s="336"/>
      <c r="AV3" s="336"/>
      <c r="AW3" s="336"/>
      <c r="AX3" s="336"/>
      <c r="AY3" s="336"/>
      <c r="AZ3" s="336"/>
      <c r="BA3" s="336"/>
      <c r="BB3" s="336"/>
      <c r="BC3" s="336"/>
      <c r="BD3" s="336"/>
      <c r="BE3" s="336"/>
      <c r="BF3" s="336"/>
      <c r="BG3" s="336"/>
      <c r="BH3" s="336"/>
      <c r="BI3" s="336"/>
      <c r="BJ3" s="336"/>
      <c r="BK3" s="336"/>
      <c r="BL3" s="336"/>
      <c r="BM3" s="336"/>
      <c r="BN3" s="336"/>
      <c r="BO3" s="336"/>
      <c r="BP3" s="336"/>
      <c r="BQ3" s="336"/>
      <c r="BR3" s="336"/>
      <c r="BS3" s="336"/>
      <c r="BT3" s="336"/>
      <c r="BU3" s="336"/>
      <c r="BV3" s="336"/>
      <c r="BW3" s="336"/>
      <c r="BX3" s="336"/>
      <c r="BY3" s="336"/>
      <c r="BZ3" s="336"/>
      <c r="CA3" s="336"/>
      <c r="CB3" s="336"/>
      <c r="CC3" s="336"/>
      <c r="CD3" s="336"/>
      <c r="CE3" s="336"/>
      <c r="CF3" s="336"/>
      <c r="CG3" s="336"/>
      <c r="CH3" s="336"/>
      <c r="CI3" s="336"/>
      <c r="CJ3" s="336"/>
      <c r="CK3" s="336"/>
      <c r="CL3" s="336"/>
      <c r="CM3" s="336"/>
      <c r="CN3" s="336"/>
      <c r="CO3" s="336"/>
      <c r="CP3" s="336"/>
      <c r="CQ3" s="336"/>
      <c r="CR3" s="336"/>
      <c r="CS3" s="336"/>
      <c r="CT3" s="336"/>
      <c r="CU3" s="336"/>
      <c r="CV3" s="336"/>
      <c r="CW3" s="336"/>
      <c r="CX3" s="336"/>
      <c r="CY3" s="336"/>
      <c r="CZ3" s="336"/>
      <c r="DA3" s="336"/>
      <c r="DB3" s="336"/>
      <c r="DC3" s="336"/>
      <c r="DD3" s="336"/>
      <c r="DE3" s="336"/>
      <c r="DF3" s="336"/>
      <c r="DG3" s="336"/>
      <c r="DH3" s="336"/>
      <c r="DI3" s="336"/>
      <c r="DJ3" s="336"/>
      <c r="DK3" s="336"/>
      <c r="DL3" s="336"/>
      <c r="DM3" s="336"/>
      <c r="DN3" s="336"/>
      <c r="DO3" s="336"/>
      <c r="DP3" s="336"/>
      <c r="DQ3" s="336"/>
      <c r="DR3" s="336"/>
      <c r="DS3" s="336"/>
      <c r="DT3" s="336"/>
      <c r="DU3" s="336"/>
      <c r="DV3" s="336"/>
      <c r="DW3" s="336"/>
      <c r="DX3" s="336"/>
      <c r="DY3" s="336"/>
      <c r="DZ3" s="336"/>
      <c r="EA3" s="336"/>
      <c r="EB3" s="336"/>
      <c r="EC3" s="336"/>
      <c r="ED3" s="336"/>
      <c r="EE3" s="336"/>
      <c r="EF3" s="336"/>
      <c r="EG3" s="336"/>
      <c r="EH3" s="336"/>
      <c r="EI3" s="336"/>
      <c r="EJ3" s="336"/>
      <c r="EK3" s="336"/>
      <c r="EL3" s="336"/>
      <c r="EM3" s="336"/>
      <c r="EN3" s="336"/>
      <c r="EO3" s="336"/>
      <c r="EP3" s="336"/>
      <c r="EQ3" s="336"/>
      <c r="ER3" s="336"/>
      <c r="ES3" s="336"/>
      <c r="ET3" s="336"/>
      <c r="EU3" s="336"/>
      <c r="EV3" s="336"/>
      <c r="EW3" s="336"/>
      <c r="EX3" s="336"/>
      <c r="EY3" s="336"/>
      <c r="EZ3" s="336"/>
      <c r="FA3" s="336"/>
    </row>
    <row r="4" spans="1:157" s="337" customFormat="1" ht="15.75" customHeight="1">
      <c r="A4" s="342"/>
      <c r="B4" s="951">
        <v>2010</v>
      </c>
      <c r="C4" s="951">
        <v>2011</v>
      </c>
      <c r="D4" s="951">
        <v>2012</v>
      </c>
      <c r="E4" s="951">
        <v>2013</v>
      </c>
      <c r="F4" s="951">
        <v>2014</v>
      </c>
      <c r="G4" s="951">
        <v>2015</v>
      </c>
      <c r="H4" s="951">
        <v>2016</v>
      </c>
      <c r="I4" s="951" t="s">
        <v>463</v>
      </c>
      <c r="J4" s="951" t="s">
        <v>464</v>
      </c>
      <c r="K4" s="951" t="s">
        <v>465</v>
      </c>
      <c r="L4" s="951">
        <v>2020</v>
      </c>
      <c r="M4" s="340"/>
      <c r="N4" s="336"/>
      <c r="O4" s="336"/>
      <c r="P4" s="336"/>
      <c r="Q4" s="336"/>
      <c r="R4" s="336"/>
      <c r="S4" s="336"/>
      <c r="T4" s="336"/>
      <c r="U4" s="336"/>
      <c r="V4" s="336"/>
      <c r="W4" s="336"/>
      <c r="X4" s="336"/>
      <c r="Y4" s="336"/>
      <c r="Z4" s="336"/>
      <c r="AA4" s="336"/>
      <c r="AB4" s="336"/>
      <c r="AC4" s="336"/>
      <c r="AD4" s="336"/>
      <c r="AE4" s="336"/>
      <c r="AF4" s="336"/>
      <c r="AG4" s="336"/>
      <c r="AH4" s="336"/>
      <c r="AI4" s="336"/>
      <c r="AJ4" s="336"/>
      <c r="AK4" s="336"/>
      <c r="AL4" s="336"/>
      <c r="AM4" s="336"/>
      <c r="AN4" s="336"/>
      <c r="AO4" s="336"/>
      <c r="AP4" s="336"/>
      <c r="AQ4" s="336"/>
      <c r="AR4" s="336"/>
      <c r="AS4" s="336"/>
      <c r="AT4" s="336"/>
      <c r="AU4" s="336"/>
      <c r="AV4" s="336"/>
      <c r="AW4" s="336"/>
      <c r="AX4" s="336"/>
      <c r="AY4" s="336"/>
      <c r="AZ4" s="336"/>
      <c r="BA4" s="336"/>
      <c r="BB4" s="336"/>
      <c r="BC4" s="336"/>
      <c r="BD4" s="336"/>
      <c r="BE4" s="336"/>
      <c r="BF4" s="336"/>
      <c r="BG4" s="336"/>
      <c r="BH4" s="336"/>
      <c r="BI4" s="336"/>
      <c r="BJ4" s="336"/>
      <c r="BK4" s="336"/>
      <c r="BL4" s="336"/>
      <c r="BM4" s="336"/>
      <c r="BN4" s="336"/>
      <c r="BO4" s="336"/>
      <c r="BP4" s="336"/>
      <c r="BQ4" s="336"/>
      <c r="BR4" s="336"/>
      <c r="BS4" s="336"/>
      <c r="BT4" s="336"/>
      <c r="BU4" s="336"/>
      <c r="BV4" s="336"/>
      <c r="BW4" s="336"/>
      <c r="BX4" s="336"/>
      <c r="BY4" s="336"/>
      <c r="BZ4" s="336"/>
      <c r="CA4" s="336"/>
      <c r="CB4" s="336"/>
      <c r="CC4" s="336"/>
      <c r="CD4" s="336"/>
      <c r="CE4" s="336"/>
      <c r="CF4" s="336"/>
      <c r="CG4" s="336"/>
      <c r="CH4" s="336"/>
      <c r="CI4" s="336"/>
      <c r="CJ4" s="336"/>
      <c r="CK4" s="336"/>
      <c r="CL4" s="336"/>
      <c r="CM4" s="336"/>
      <c r="CN4" s="336"/>
      <c r="CO4" s="336"/>
      <c r="CP4" s="336"/>
      <c r="CQ4" s="336"/>
      <c r="CR4" s="336"/>
      <c r="CS4" s="336"/>
      <c r="CT4" s="336"/>
      <c r="CU4" s="336"/>
      <c r="CV4" s="336"/>
      <c r="CW4" s="336"/>
      <c r="CX4" s="336"/>
      <c r="CY4" s="336"/>
      <c r="CZ4" s="336"/>
      <c r="DA4" s="336"/>
      <c r="DB4" s="336"/>
      <c r="DC4" s="336"/>
      <c r="DD4" s="336"/>
      <c r="DE4" s="336"/>
      <c r="DF4" s="336"/>
      <c r="DG4" s="336"/>
      <c r="DH4" s="336"/>
      <c r="DI4" s="336"/>
      <c r="DJ4" s="336"/>
      <c r="DK4" s="336"/>
      <c r="DL4" s="336"/>
      <c r="DM4" s="336"/>
      <c r="DN4" s="336"/>
      <c r="DO4" s="336"/>
      <c r="DP4" s="336"/>
      <c r="DQ4" s="336"/>
      <c r="DR4" s="336"/>
      <c r="DS4" s="336"/>
      <c r="DT4" s="336"/>
      <c r="DU4" s="336"/>
      <c r="DV4" s="336"/>
      <c r="DW4" s="336"/>
      <c r="DX4" s="336"/>
      <c r="DY4" s="336"/>
      <c r="DZ4" s="336"/>
      <c r="EA4" s="336"/>
      <c r="EB4" s="336"/>
      <c r="EC4" s="336"/>
      <c r="ED4" s="336"/>
      <c r="EE4" s="336"/>
      <c r="EF4" s="336"/>
      <c r="EG4" s="336"/>
      <c r="EH4" s="336"/>
      <c r="EI4" s="336"/>
      <c r="EJ4" s="336"/>
      <c r="EK4" s="336"/>
      <c r="EL4" s="336"/>
      <c r="EM4" s="336"/>
      <c r="EN4" s="336"/>
      <c r="EO4" s="336"/>
      <c r="EP4" s="336"/>
      <c r="EQ4" s="336"/>
      <c r="ER4" s="336"/>
      <c r="ES4" s="336"/>
      <c r="ET4" s="336"/>
      <c r="EU4" s="336"/>
      <c r="EV4" s="336"/>
      <c r="EW4" s="336"/>
      <c r="EX4" s="336"/>
      <c r="EY4" s="336"/>
      <c r="EZ4" s="336"/>
      <c r="FA4" s="336"/>
    </row>
    <row r="5" spans="1:157" s="344" customFormat="1" ht="20.25" customHeight="1">
      <c r="A5" s="968" t="s">
        <v>265</v>
      </c>
      <c r="B5" s="952">
        <v>44373.263009045702</v>
      </c>
      <c r="C5" s="952">
        <v>48174.602246722294</v>
      </c>
      <c r="D5" s="952">
        <v>49387.341903578039</v>
      </c>
      <c r="E5" s="952">
        <v>52983.270832843715</v>
      </c>
      <c r="F5" s="952">
        <v>56866.746459796508</v>
      </c>
      <c r="G5" s="952">
        <v>58507.095409109577</v>
      </c>
      <c r="H5" s="952">
        <v>62215.450950118036</v>
      </c>
      <c r="I5" s="952">
        <v>66701.129096139601</v>
      </c>
      <c r="J5" s="952">
        <v>72119.347812321037</v>
      </c>
      <c r="K5" s="952">
        <v>77083.819263393671</v>
      </c>
      <c r="L5" s="952">
        <v>51260.815289149716</v>
      </c>
      <c r="M5" s="340"/>
      <c r="N5" s="343"/>
      <c r="O5" s="336"/>
      <c r="P5" s="336"/>
      <c r="Q5" s="336"/>
      <c r="R5" s="336"/>
      <c r="S5" s="336"/>
      <c r="T5" s="336"/>
      <c r="U5" s="336"/>
      <c r="V5" s="336"/>
      <c r="W5" s="336"/>
      <c r="X5" s="336"/>
      <c r="Y5" s="336"/>
      <c r="Z5" s="336"/>
      <c r="AA5" s="336"/>
      <c r="AB5" s="336"/>
      <c r="AC5" s="336"/>
      <c r="AD5" s="336"/>
      <c r="AE5" s="336"/>
      <c r="AF5" s="336"/>
      <c r="AG5" s="336"/>
      <c r="AH5" s="336"/>
      <c r="AI5" s="336"/>
      <c r="AJ5" s="336"/>
      <c r="AK5" s="343"/>
      <c r="AL5" s="343"/>
      <c r="AM5" s="343"/>
      <c r="AN5" s="343"/>
      <c r="AO5" s="343"/>
      <c r="AP5" s="343"/>
      <c r="AQ5" s="343"/>
      <c r="AR5" s="343"/>
      <c r="AS5" s="343"/>
      <c r="AT5" s="343"/>
      <c r="AU5" s="343"/>
      <c r="AV5" s="343"/>
      <c r="AW5" s="343"/>
      <c r="AX5" s="343"/>
      <c r="AY5" s="343"/>
      <c r="AZ5" s="343"/>
      <c r="BA5" s="343"/>
      <c r="BB5" s="343"/>
      <c r="BC5" s="343"/>
      <c r="BD5" s="343"/>
      <c r="BE5" s="343"/>
      <c r="BF5" s="343"/>
      <c r="BG5" s="343"/>
      <c r="BH5" s="343"/>
      <c r="BI5" s="343"/>
      <c r="BJ5" s="343"/>
      <c r="BK5" s="343"/>
      <c r="BL5" s="343"/>
      <c r="BM5" s="343"/>
      <c r="BN5" s="343"/>
      <c r="BO5" s="343"/>
      <c r="BP5" s="343"/>
      <c r="BQ5" s="343"/>
      <c r="BR5" s="343"/>
      <c r="BS5" s="343"/>
      <c r="BT5" s="343"/>
      <c r="BU5" s="343"/>
      <c r="BV5" s="343"/>
      <c r="BW5" s="343"/>
      <c r="BX5" s="343"/>
      <c r="BY5" s="343"/>
      <c r="BZ5" s="343"/>
      <c r="CA5" s="343"/>
      <c r="CB5" s="343"/>
      <c r="CC5" s="343"/>
      <c r="CD5" s="343"/>
      <c r="CE5" s="343"/>
      <c r="CF5" s="343"/>
      <c r="CG5" s="343"/>
      <c r="CH5" s="343"/>
      <c r="CI5" s="343"/>
      <c r="CJ5" s="343"/>
      <c r="CK5" s="343"/>
      <c r="CL5" s="343"/>
      <c r="CM5" s="343"/>
      <c r="CN5" s="343"/>
      <c r="CO5" s="343"/>
      <c r="CP5" s="343"/>
      <c r="CQ5" s="343"/>
      <c r="CR5" s="343"/>
      <c r="CS5" s="343"/>
      <c r="CT5" s="343"/>
      <c r="CU5" s="343"/>
      <c r="CV5" s="343"/>
      <c r="CW5" s="343"/>
      <c r="CX5" s="343"/>
      <c r="CY5" s="343"/>
      <c r="CZ5" s="343"/>
      <c r="DA5" s="343"/>
      <c r="DB5" s="343"/>
      <c r="DC5" s="343"/>
      <c r="DD5" s="343"/>
      <c r="DE5" s="343"/>
      <c r="DF5" s="343"/>
      <c r="DG5" s="343"/>
      <c r="DH5" s="343"/>
      <c r="DI5" s="343"/>
      <c r="DJ5" s="343"/>
      <c r="DK5" s="343"/>
      <c r="DL5" s="343"/>
      <c r="DM5" s="343"/>
      <c r="DN5" s="343"/>
      <c r="DO5" s="343"/>
      <c r="DP5" s="343"/>
      <c r="DQ5" s="343"/>
      <c r="DR5" s="343"/>
      <c r="DS5" s="343"/>
      <c r="DT5" s="343"/>
      <c r="DU5" s="343"/>
      <c r="DV5" s="343"/>
      <c r="DW5" s="343"/>
      <c r="DX5" s="343"/>
      <c r="DY5" s="343"/>
      <c r="DZ5" s="343"/>
      <c r="EA5" s="343"/>
      <c r="EB5" s="343"/>
      <c r="EC5" s="343"/>
      <c r="ED5" s="343"/>
      <c r="EE5" s="343"/>
      <c r="EF5" s="343"/>
      <c r="EG5" s="343"/>
      <c r="EH5" s="343"/>
      <c r="EI5" s="343"/>
      <c r="EJ5" s="343"/>
      <c r="EK5" s="343"/>
      <c r="EL5" s="343"/>
      <c r="EM5" s="343"/>
      <c r="EN5" s="343"/>
      <c r="EO5" s="343"/>
      <c r="EP5" s="343"/>
      <c r="EQ5" s="343"/>
      <c r="ER5" s="343"/>
      <c r="ES5" s="343"/>
      <c r="ET5" s="343"/>
      <c r="EU5" s="343"/>
      <c r="EV5" s="343"/>
      <c r="EW5" s="343"/>
      <c r="EX5" s="343"/>
      <c r="EY5" s="343"/>
      <c r="EZ5" s="343"/>
      <c r="FA5" s="343"/>
    </row>
    <row r="6" spans="1:157" s="346" customFormat="1" ht="20.25" customHeight="1">
      <c r="A6" s="969" t="s">
        <v>266</v>
      </c>
      <c r="B6" s="953">
        <v>3466.6611725816952</v>
      </c>
      <c r="C6" s="953">
        <v>3306.4243134332391</v>
      </c>
      <c r="D6" s="953">
        <v>3202.8107589869028</v>
      </c>
      <c r="E6" s="953">
        <v>3436.0097816370762</v>
      </c>
      <c r="F6" s="953">
        <v>3687.8564500516541</v>
      </c>
      <c r="G6" s="953">
        <v>3794.2344623287663</v>
      </c>
      <c r="H6" s="953">
        <v>4034.7244455329464</v>
      </c>
      <c r="I6" s="953">
        <v>4325.6244550025685</v>
      </c>
      <c r="J6" s="953">
        <v>4677.0005066356052</v>
      </c>
      <c r="K6" s="953">
        <v>4998.9506655897321</v>
      </c>
      <c r="L6" s="953">
        <v>3324.3070874934965</v>
      </c>
      <c r="M6" s="340"/>
      <c r="N6" s="343"/>
      <c r="O6" s="336"/>
      <c r="P6" s="336"/>
      <c r="Q6" s="336"/>
      <c r="R6" s="336"/>
      <c r="S6" s="336"/>
      <c r="T6" s="336"/>
      <c r="U6" s="336"/>
      <c r="V6" s="336"/>
      <c r="W6" s="336"/>
      <c r="X6" s="336"/>
      <c r="Y6" s="336"/>
      <c r="Z6" s="336"/>
      <c r="AA6" s="336"/>
      <c r="AB6" s="336"/>
      <c r="AC6" s="336"/>
      <c r="AD6" s="336"/>
      <c r="AE6" s="336"/>
      <c r="AF6" s="336"/>
      <c r="AG6" s="336"/>
      <c r="AH6" s="336"/>
      <c r="AI6" s="336"/>
      <c r="AJ6" s="336"/>
      <c r="AK6" s="343"/>
      <c r="AL6" s="343"/>
      <c r="AM6" s="343"/>
      <c r="AN6" s="343"/>
      <c r="AO6" s="343"/>
      <c r="AP6" s="343"/>
      <c r="AQ6" s="343"/>
      <c r="AR6" s="343"/>
      <c r="AS6" s="343"/>
      <c r="AT6" s="343"/>
      <c r="AU6" s="343"/>
      <c r="AV6" s="343"/>
      <c r="AW6" s="343"/>
      <c r="AX6" s="343"/>
      <c r="AY6" s="343"/>
      <c r="AZ6" s="343"/>
      <c r="BA6" s="343"/>
      <c r="BB6" s="343"/>
      <c r="BC6" s="343"/>
      <c r="BD6" s="343"/>
      <c r="BE6" s="343"/>
      <c r="BF6" s="343"/>
      <c r="BG6" s="343"/>
      <c r="BH6" s="343"/>
      <c r="BI6" s="343"/>
      <c r="BJ6" s="343"/>
      <c r="BK6" s="343"/>
      <c r="BL6" s="343"/>
      <c r="BM6" s="343"/>
      <c r="BN6" s="343"/>
      <c r="BO6" s="343"/>
      <c r="BP6" s="343"/>
      <c r="BQ6" s="343"/>
      <c r="BR6" s="343"/>
      <c r="BS6" s="343"/>
      <c r="BT6" s="343"/>
      <c r="BU6" s="343"/>
      <c r="BV6" s="343"/>
      <c r="BW6" s="343"/>
      <c r="BX6" s="343"/>
      <c r="BY6" s="343"/>
      <c r="BZ6" s="343"/>
      <c r="CA6" s="343"/>
      <c r="CB6" s="343"/>
      <c r="CC6" s="343"/>
      <c r="CD6" s="343"/>
      <c r="CE6" s="343"/>
      <c r="CF6" s="343"/>
      <c r="CG6" s="343"/>
      <c r="CH6" s="343"/>
      <c r="CI6" s="343"/>
      <c r="CJ6" s="343"/>
      <c r="CK6" s="343"/>
      <c r="CL6" s="343"/>
      <c r="CM6" s="343"/>
      <c r="CN6" s="343"/>
      <c r="CO6" s="343"/>
      <c r="CP6" s="343"/>
      <c r="CQ6" s="343"/>
      <c r="CR6" s="343"/>
      <c r="CS6" s="343"/>
      <c r="CT6" s="343"/>
      <c r="CU6" s="343"/>
      <c r="CV6" s="343"/>
      <c r="CW6" s="343"/>
      <c r="CX6" s="343"/>
      <c r="CY6" s="343"/>
      <c r="CZ6" s="343"/>
      <c r="DA6" s="343"/>
      <c r="DB6" s="343"/>
      <c r="DC6" s="343"/>
      <c r="DD6" s="343"/>
      <c r="DE6" s="343"/>
      <c r="DF6" s="343"/>
      <c r="DG6" s="343"/>
      <c r="DH6" s="343"/>
      <c r="DI6" s="343"/>
      <c r="DJ6" s="343"/>
      <c r="DK6" s="343"/>
      <c r="DL6" s="343"/>
      <c r="DM6" s="343"/>
      <c r="DN6" s="343"/>
      <c r="DO6" s="343"/>
      <c r="DP6" s="343"/>
      <c r="DQ6" s="343"/>
      <c r="DR6" s="343"/>
      <c r="DS6" s="343"/>
      <c r="DT6" s="343"/>
      <c r="DU6" s="343"/>
      <c r="DV6" s="343"/>
      <c r="DW6" s="343"/>
      <c r="DX6" s="343"/>
      <c r="DY6" s="343"/>
      <c r="DZ6" s="343"/>
      <c r="EA6" s="343"/>
      <c r="EB6" s="343"/>
      <c r="EC6" s="343"/>
      <c r="ED6" s="343"/>
      <c r="EE6" s="343"/>
      <c r="EF6" s="343"/>
      <c r="EG6" s="343"/>
      <c r="EH6" s="343"/>
      <c r="EI6" s="343"/>
      <c r="EJ6" s="343"/>
      <c r="EK6" s="343"/>
      <c r="EL6" s="343"/>
      <c r="EM6" s="343"/>
      <c r="EN6" s="343"/>
      <c r="EO6" s="343"/>
      <c r="EP6" s="343"/>
      <c r="EQ6" s="343"/>
      <c r="ER6" s="343"/>
      <c r="ES6" s="343"/>
      <c r="ET6" s="343"/>
      <c r="EU6" s="343"/>
      <c r="EV6" s="343"/>
      <c r="EW6" s="343"/>
      <c r="EX6" s="343"/>
      <c r="EY6" s="343"/>
      <c r="EZ6" s="343"/>
      <c r="FA6" s="343"/>
    </row>
    <row r="7" spans="1:157" s="344" customFormat="1" ht="20.25" customHeight="1">
      <c r="A7" s="968" t="s">
        <v>267</v>
      </c>
      <c r="B7" s="954">
        <v>7.2651291881888458</v>
      </c>
      <c r="C7" s="954">
        <v>8.5667336136665782</v>
      </c>
      <c r="D7" s="954">
        <v>2.5173838501972412</v>
      </c>
      <c r="E7" s="954">
        <v>7.2810740377285965</v>
      </c>
      <c r="F7" s="954">
        <v>7.3296260610348662</v>
      </c>
      <c r="G7" s="954">
        <v>2.8845486183612712</v>
      </c>
      <c r="H7" s="954">
        <v>6.3383005344529009</v>
      </c>
      <c r="I7" s="954">
        <v>7.2099102032034068</v>
      </c>
      <c r="J7" s="954">
        <v>8.1231289329029011</v>
      </c>
      <c r="K7" s="954">
        <v>6.8836887765428401</v>
      </c>
      <c r="L7" s="954">
        <v>-33.49990208192375</v>
      </c>
      <c r="M7" s="340"/>
      <c r="N7" s="343"/>
      <c r="O7" s="336"/>
      <c r="P7" s="336"/>
      <c r="Q7" s="336"/>
      <c r="R7" s="336"/>
      <c r="S7" s="336"/>
      <c r="T7" s="336"/>
      <c r="U7" s="336"/>
      <c r="V7" s="336"/>
      <c r="W7" s="336"/>
      <c r="X7" s="336"/>
      <c r="Y7" s="336"/>
      <c r="Z7" s="336"/>
      <c r="AA7" s="336"/>
      <c r="AB7" s="336"/>
      <c r="AC7" s="336"/>
      <c r="AD7" s="336"/>
      <c r="AE7" s="336"/>
      <c r="AF7" s="336"/>
      <c r="AG7" s="336"/>
      <c r="AH7" s="336"/>
      <c r="AI7" s="336"/>
      <c r="AJ7" s="336"/>
      <c r="AK7" s="343"/>
      <c r="AL7" s="343"/>
      <c r="AM7" s="343"/>
      <c r="AN7" s="343"/>
      <c r="AO7" s="343"/>
      <c r="AP7" s="343"/>
      <c r="AQ7" s="343"/>
      <c r="AR7" s="343"/>
      <c r="AS7" s="343"/>
      <c r="AT7" s="343"/>
      <c r="AU7" s="343"/>
      <c r="AV7" s="343"/>
      <c r="AW7" s="343"/>
      <c r="AX7" s="343"/>
      <c r="AY7" s="343"/>
      <c r="AZ7" s="343"/>
      <c r="BA7" s="343"/>
      <c r="BB7" s="343"/>
      <c r="BC7" s="343"/>
      <c r="BD7" s="343"/>
      <c r="BE7" s="343"/>
      <c r="BF7" s="343"/>
      <c r="BG7" s="343"/>
      <c r="BH7" s="343"/>
      <c r="BI7" s="343"/>
      <c r="BJ7" s="343"/>
      <c r="BK7" s="343"/>
      <c r="BL7" s="343"/>
      <c r="BM7" s="343"/>
      <c r="BN7" s="343"/>
      <c r="BO7" s="343"/>
      <c r="BP7" s="343"/>
      <c r="BQ7" s="343"/>
      <c r="BR7" s="343"/>
      <c r="BS7" s="343"/>
      <c r="BT7" s="343"/>
      <c r="BU7" s="343"/>
      <c r="BV7" s="343"/>
      <c r="BW7" s="343"/>
      <c r="BX7" s="343"/>
      <c r="BY7" s="343"/>
      <c r="BZ7" s="343"/>
      <c r="CA7" s="343"/>
      <c r="CB7" s="343"/>
      <c r="CC7" s="343"/>
      <c r="CD7" s="343"/>
      <c r="CE7" s="343"/>
      <c r="CF7" s="343"/>
      <c r="CG7" s="343"/>
      <c r="CH7" s="343"/>
      <c r="CI7" s="343"/>
      <c r="CJ7" s="343"/>
      <c r="CK7" s="343"/>
      <c r="CL7" s="343"/>
      <c r="CM7" s="343"/>
      <c r="CN7" s="343"/>
      <c r="CO7" s="343"/>
      <c r="CP7" s="343"/>
      <c r="CQ7" s="343"/>
      <c r="CR7" s="343"/>
      <c r="CS7" s="343"/>
      <c r="CT7" s="343"/>
      <c r="CU7" s="343"/>
      <c r="CV7" s="343"/>
      <c r="CW7" s="343"/>
      <c r="CX7" s="343"/>
      <c r="CY7" s="343"/>
      <c r="CZ7" s="343"/>
      <c r="DA7" s="343"/>
      <c r="DB7" s="343"/>
      <c r="DC7" s="343"/>
      <c r="DD7" s="343"/>
      <c r="DE7" s="343"/>
      <c r="DF7" s="343"/>
      <c r="DG7" s="343"/>
      <c r="DH7" s="343"/>
      <c r="DI7" s="343"/>
      <c r="DJ7" s="343"/>
      <c r="DK7" s="343"/>
      <c r="DL7" s="343"/>
      <c r="DM7" s="343"/>
      <c r="DN7" s="343"/>
      <c r="DO7" s="343"/>
      <c r="DP7" s="343"/>
      <c r="DQ7" s="343"/>
      <c r="DR7" s="343"/>
      <c r="DS7" s="343"/>
      <c r="DT7" s="343"/>
      <c r="DU7" s="343"/>
      <c r="DV7" s="343"/>
      <c r="DW7" s="343"/>
      <c r="DX7" s="343"/>
      <c r="DY7" s="343"/>
      <c r="DZ7" s="343"/>
      <c r="EA7" s="343"/>
      <c r="EB7" s="343"/>
      <c r="EC7" s="343"/>
      <c r="ED7" s="343"/>
      <c r="EE7" s="343"/>
      <c r="EF7" s="343"/>
      <c r="EG7" s="343"/>
      <c r="EH7" s="343"/>
      <c r="EI7" s="343"/>
      <c r="EJ7" s="343"/>
      <c r="EK7" s="343"/>
      <c r="EL7" s="343"/>
      <c r="EM7" s="343"/>
      <c r="EN7" s="343"/>
      <c r="EO7" s="343"/>
      <c r="EP7" s="343"/>
      <c r="EQ7" s="343"/>
      <c r="ER7" s="343"/>
      <c r="ES7" s="343"/>
      <c r="ET7" s="343"/>
      <c r="EU7" s="343"/>
      <c r="EV7" s="343"/>
      <c r="EW7" s="343"/>
      <c r="EX7" s="343"/>
      <c r="EY7" s="343"/>
      <c r="EZ7" s="343"/>
      <c r="FA7" s="343"/>
    </row>
    <row r="8" spans="1:157" s="350" customFormat="1" ht="20.25" customHeight="1">
      <c r="A8" s="969" t="s">
        <v>269</v>
      </c>
      <c r="B8" s="955">
        <v>112743.25040791331</v>
      </c>
      <c r="C8" s="955">
        <v>118551.82793225275</v>
      </c>
      <c r="D8" s="955">
        <v>118348.051403494</v>
      </c>
      <c r="E8" s="955">
        <v>123598.96587524533</v>
      </c>
      <c r="F8" s="955">
        <v>129970.73710628068</v>
      </c>
      <c r="G8" s="955">
        <v>128747.16884539835</v>
      </c>
      <c r="H8" s="955">
        <v>131693.53763453988</v>
      </c>
      <c r="I8" s="955">
        <v>135684.78067657788</v>
      </c>
      <c r="J8" s="955">
        <v>140847.74894467555</v>
      </c>
      <c r="K8" s="955">
        <v>144367.55236551689</v>
      </c>
      <c r="L8" s="955">
        <v>91959.838338811343</v>
      </c>
      <c r="M8" s="340"/>
      <c r="N8" s="343"/>
      <c r="O8" s="336"/>
      <c r="P8" s="336"/>
      <c r="Q8" s="336"/>
      <c r="R8" s="336"/>
      <c r="S8" s="336"/>
      <c r="T8" s="336"/>
      <c r="U8" s="336"/>
      <c r="V8" s="336"/>
      <c r="W8" s="336"/>
      <c r="X8" s="336"/>
      <c r="Y8" s="336"/>
      <c r="Z8" s="336"/>
      <c r="AA8" s="336"/>
      <c r="AB8" s="336"/>
      <c r="AC8" s="336"/>
      <c r="AD8" s="336"/>
      <c r="AE8" s="336"/>
      <c r="AF8" s="336"/>
      <c r="AG8" s="336"/>
      <c r="AH8" s="336"/>
      <c r="AI8" s="336"/>
      <c r="AJ8" s="336"/>
      <c r="AK8" s="343"/>
      <c r="AL8" s="343"/>
      <c r="AM8" s="343"/>
      <c r="AN8" s="343"/>
      <c r="AO8" s="343"/>
      <c r="AP8" s="343"/>
      <c r="AQ8" s="343"/>
      <c r="AR8" s="343"/>
      <c r="AS8" s="343"/>
      <c r="AT8" s="343"/>
      <c r="AU8" s="343"/>
      <c r="AV8" s="343"/>
      <c r="AW8" s="343"/>
      <c r="AX8" s="343"/>
      <c r="AY8" s="343"/>
      <c r="AZ8" s="343"/>
      <c r="BA8" s="343"/>
      <c r="BB8" s="343"/>
      <c r="BC8" s="343"/>
      <c r="BD8" s="343"/>
      <c r="BE8" s="343"/>
      <c r="BF8" s="343"/>
      <c r="BG8" s="343"/>
      <c r="BH8" s="343"/>
      <c r="BI8" s="343"/>
      <c r="BJ8" s="343"/>
      <c r="BK8" s="343"/>
      <c r="BL8" s="343"/>
      <c r="BM8" s="343"/>
      <c r="BN8" s="343"/>
      <c r="BO8" s="343"/>
      <c r="BP8" s="343"/>
      <c r="BQ8" s="343"/>
      <c r="BR8" s="343"/>
      <c r="BS8" s="343"/>
      <c r="BT8" s="343"/>
      <c r="BU8" s="343"/>
      <c r="BV8" s="343"/>
      <c r="BW8" s="343"/>
      <c r="BX8" s="343"/>
      <c r="BY8" s="343"/>
      <c r="BZ8" s="343"/>
      <c r="CA8" s="343"/>
      <c r="CB8" s="343"/>
      <c r="CC8" s="343"/>
      <c r="CD8" s="343"/>
      <c r="CE8" s="343"/>
      <c r="CF8" s="343"/>
      <c r="CG8" s="343"/>
      <c r="CH8" s="343"/>
      <c r="CI8" s="343"/>
      <c r="CJ8" s="343"/>
      <c r="CK8" s="343"/>
      <c r="CL8" s="343"/>
      <c r="CM8" s="343"/>
      <c r="CN8" s="343"/>
      <c r="CO8" s="343"/>
      <c r="CP8" s="343"/>
      <c r="CQ8" s="343"/>
      <c r="CR8" s="343"/>
      <c r="CS8" s="343"/>
      <c r="CT8" s="343"/>
      <c r="CU8" s="343"/>
      <c r="CV8" s="343"/>
      <c r="CW8" s="343"/>
      <c r="CX8" s="343"/>
      <c r="CY8" s="343"/>
      <c r="CZ8" s="343"/>
      <c r="DA8" s="343"/>
      <c r="DB8" s="343"/>
      <c r="DC8" s="343"/>
      <c r="DD8" s="343"/>
      <c r="DE8" s="343"/>
      <c r="DF8" s="343"/>
      <c r="DG8" s="343"/>
      <c r="DH8" s="343"/>
      <c r="DI8" s="343"/>
      <c r="DJ8" s="343"/>
      <c r="DK8" s="343"/>
      <c r="DL8" s="343"/>
      <c r="DM8" s="343"/>
      <c r="DN8" s="343"/>
      <c r="DO8" s="343"/>
      <c r="DP8" s="343"/>
      <c r="DQ8" s="343"/>
      <c r="DR8" s="343"/>
      <c r="DS8" s="343"/>
      <c r="DT8" s="343"/>
      <c r="DU8" s="343"/>
      <c r="DV8" s="343"/>
      <c r="DW8" s="343"/>
      <c r="DX8" s="343"/>
      <c r="DY8" s="343"/>
      <c r="DZ8" s="343"/>
      <c r="EA8" s="343"/>
      <c r="EB8" s="343"/>
      <c r="EC8" s="343"/>
      <c r="ED8" s="343"/>
      <c r="EE8" s="343"/>
      <c r="EF8" s="343"/>
      <c r="EG8" s="343"/>
      <c r="EH8" s="343"/>
      <c r="EI8" s="343"/>
      <c r="EJ8" s="343"/>
      <c r="EK8" s="343"/>
      <c r="EL8" s="343"/>
      <c r="EM8" s="343"/>
      <c r="EN8" s="343"/>
      <c r="EO8" s="343"/>
      <c r="EP8" s="343"/>
      <c r="EQ8" s="343"/>
      <c r="ER8" s="343"/>
      <c r="ES8" s="343"/>
      <c r="ET8" s="343"/>
      <c r="EU8" s="343"/>
      <c r="EV8" s="343"/>
      <c r="EW8" s="343"/>
      <c r="EX8" s="343"/>
      <c r="EY8" s="343"/>
      <c r="EZ8" s="343"/>
      <c r="FA8" s="343"/>
    </row>
    <row r="9" spans="1:157" s="344" customFormat="1" ht="20.25" customHeight="1">
      <c r="A9" s="968" t="s">
        <v>271</v>
      </c>
      <c r="B9" s="850">
        <v>8808.0664381182269</v>
      </c>
      <c r="C9" s="850">
        <v>8136.7074764758236</v>
      </c>
      <c r="D9" s="850">
        <v>7674.9709081383917</v>
      </c>
      <c r="E9" s="850">
        <v>8015.4971384724595</v>
      </c>
      <c r="F9" s="850">
        <v>8428.7118745966709</v>
      </c>
      <c r="G9" s="850">
        <v>8349.3624413358211</v>
      </c>
      <c r="H9" s="850">
        <v>8540.4369412801479</v>
      </c>
      <c r="I9" s="850">
        <v>8799.2724174175019</v>
      </c>
      <c r="J9" s="850">
        <v>9134.0952623006197</v>
      </c>
      <c r="K9" s="850">
        <v>9362.357481551031</v>
      </c>
      <c r="L9" s="850">
        <v>5963.6730440214878</v>
      </c>
      <c r="M9" s="340"/>
      <c r="N9" s="343"/>
      <c r="O9" s="336"/>
      <c r="P9" s="336"/>
      <c r="Q9" s="336"/>
      <c r="R9" s="336"/>
      <c r="S9" s="336"/>
      <c r="T9" s="336"/>
      <c r="U9" s="336"/>
      <c r="V9" s="336"/>
      <c r="W9" s="336"/>
      <c r="X9" s="336"/>
      <c r="Y9" s="336"/>
      <c r="Z9" s="336"/>
      <c r="AA9" s="336"/>
      <c r="AB9" s="336"/>
      <c r="AC9" s="336"/>
      <c r="AD9" s="336"/>
      <c r="AE9" s="336"/>
      <c r="AF9" s="336"/>
      <c r="AG9" s="336"/>
      <c r="AH9" s="336"/>
      <c r="AI9" s="336"/>
      <c r="AJ9" s="336"/>
      <c r="AK9" s="343"/>
      <c r="AL9" s="343"/>
      <c r="AM9" s="343"/>
      <c r="AN9" s="343"/>
      <c r="AO9" s="343"/>
      <c r="AP9" s="343"/>
      <c r="AQ9" s="343"/>
      <c r="AR9" s="343"/>
      <c r="AS9" s="343"/>
      <c r="AT9" s="343"/>
      <c r="AU9" s="343"/>
      <c r="AV9" s="343"/>
      <c r="AW9" s="343"/>
      <c r="AX9" s="343"/>
      <c r="AY9" s="343"/>
      <c r="AZ9" s="343"/>
      <c r="BA9" s="343"/>
      <c r="BB9" s="343"/>
      <c r="BC9" s="343"/>
      <c r="BD9" s="343"/>
      <c r="BE9" s="343"/>
      <c r="BF9" s="343"/>
      <c r="BG9" s="343"/>
      <c r="BH9" s="343"/>
      <c r="BI9" s="343"/>
      <c r="BJ9" s="343"/>
      <c r="BK9" s="343"/>
      <c r="BL9" s="343"/>
      <c r="BM9" s="343"/>
      <c r="BN9" s="343"/>
      <c r="BO9" s="343"/>
      <c r="BP9" s="343"/>
      <c r="BQ9" s="343"/>
      <c r="BR9" s="343"/>
      <c r="BS9" s="343"/>
      <c r="BT9" s="343"/>
      <c r="BU9" s="343"/>
      <c r="BV9" s="343"/>
      <c r="BW9" s="343"/>
      <c r="BX9" s="343"/>
      <c r="BY9" s="343"/>
      <c r="BZ9" s="343"/>
      <c r="CA9" s="343"/>
      <c r="CB9" s="343"/>
      <c r="CC9" s="343"/>
      <c r="CD9" s="343"/>
      <c r="CE9" s="343"/>
      <c r="CF9" s="343"/>
      <c r="CG9" s="343"/>
      <c r="CH9" s="343"/>
      <c r="CI9" s="343"/>
      <c r="CJ9" s="343"/>
      <c r="CK9" s="343"/>
      <c r="CL9" s="343"/>
      <c r="CM9" s="343"/>
      <c r="CN9" s="343"/>
      <c r="CO9" s="343"/>
      <c r="CP9" s="343"/>
      <c r="CQ9" s="343"/>
      <c r="CR9" s="343"/>
      <c r="CS9" s="343"/>
      <c r="CT9" s="343"/>
      <c r="CU9" s="343"/>
      <c r="CV9" s="343"/>
      <c r="CW9" s="343"/>
      <c r="CX9" s="343"/>
      <c r="CY9" s="343"/>
      <c r="CZ9" s="343"/>
      <c r="DA9" s="343"/>
      <c r="DB9" s="343"/>
      <c r="DC9" s="343"/>
      <c r="DD9" s="343"/>
      <c r="DE9" s="343"/>
      <c r="DF9" s="343"/>
      <c r="DG9" s="343"/>
      <c r="DH9" s="343"/>
      <c r="DI9" s="343"/>
      <c r="DJ9" s="343"/>
      <c r="DK9" s="343"/>
      <c r="DL9" s="343"/>
      <c r="DM9" s="343"/>
      <c r="DN9" s="343"/>
      <c r="DO9" s="343"/>
      <c r="DP9" s="343"/>
      <c r="DQ9" s="343"/>
      <c r="DR9" s="343"/>
      <c r="DS9" s="343"/>
      <c r="DT9" s="343"/>
      <c r="DU9" s="343"/>
      <c r="DV9" s="343"/>
      <c r="DW9" s="343"/>
      <c r="DX9" s="343"/>
      <c r="DY9" s="343"/>
      <c r="DZ9" s="343"/>
      <c r="EA9" s="343"/>
      <c r="EB9" s="343"/>
      <c r="EC9" s="343"/>
      <c r="ED9" s="343"/>
      <c r="EE9" s="343"/>
      <c r="EF9" s="343"/>
      <c r="EG9" s="343"/>
      <c r="EH9" s="343"/>
      <c r="EI9" s="343"/>
      <c r="EJ9" s="343"/>
      <c r="EK9" s="343"/>
      <c r="EL9" s="343"/>
      <c r="EM9" s="343"/>
      <c r="EN9" s="343"/>
      <c r="EO9" s="343"/>
      <c r="EP9" s="343"/>
      <c r="EQ9" s="343"/>
      <c r="ER9" s="343"/>
      <c r="ES9" s="343"/>
      <c r="ET9" s="343"/>
      <c r="EU9" s="343"/>
      <c r="EV9" s="343"/>
      <c r="EW9" s="343"/>
      <c r="EX9" s="343"/>
      <c r="EY9" s="343"/>
      <c r="EZ9" s="343"/>
      <c r="FA9" s="343"/>
    </row>
    <row r="10" spans="1:157" s="350" customFormat="1" ht="17.25">
      <c r="A10" s="969" t="s">
        <v>272</v>
      </c>
      <c r="B10" s="955">
        <v>2588.1760584114645</v>
      </c>
      <c r="C10" s="955">
        <v>2780.4450492189267</v>
      </c>
      <c r="D10" s="955">
        <v>2875.8387536594887</v>
      </c>
      <c r="E10" s="955">
        <v>3283.622009434941</v>
      </c>
      <c r="F10" s="955">
        <v>3687.8564500516541</v>
      </c>
      <c r="G10" s="955">
        <v>4095.1137695123948</v>
      </c>
      <c r="H10" s="955">
        <v>4364.4825444819508</v>
      </c>
      <c r="I10" s="955">
        <v>4744.0015624540138</v>
      </c>
      <c r="J10" s="955">
        <v>5290.9245220369548</v>
      </c>
      <c r="K10" s="955">
        <v>5593.9432333758741</v>
      </c>
      <c r="L10" s="955">
        <v>3733.3766361666062</v>
      </c>
      <c r="M10" s="340"/>
      <c r="N10" s="343"/>
      <c r="O10" s="343"/>
      <c r="P10" s="343"/>
      <c r="Q10" s="343"/>
      <c r="R10" s="343"/>
      <c r="S10" s="343"/>
      <c r="T10" s="343"/>
      <c r="U10" s="343"/>
      <c r="V10" s="343"/>
      <c r="W10" s="343"/>
      <c r="X10" s="343"/>
      <c r="Y10" s="343"/>
      <c r="Z10" s="343"/>
      <c r="AA10" s="343"/>
      <c r="AB10" s="343"/>
      <c r="AC10" s="343"/>
      <c r="AD10" s="343"/>
      <c r="AE10" s="343"/>
      <c r="AF10" s="343"/>
      <c r="AG10" s="343"/>
      <c r="AH10" s="343"/>
      <c r="AI10" s="343"/>
      <c r="AJ10" s="343"/>
      <c r="AK10" s="343"/>
      <c r="AL10" s="343"/>
      <c r="AM10" s="343"/>
      <c r="AN10" s="343"/>
      <c r="AO10" s="343"/>
      <c r="AP10" s="343"/>
      <c r="AQ10" s="343"/>
      <c r="AR10" s="343"/>
      <c r="AS10" s="343"/>
      <c r="AT10" s="343"/>
      <c r="AU10" s="343"/>
      <c r="AV10" s="343"/>
      <c r="AW10" s="343"/>
      <c r="AX10" s="343"/>
      <c r="AY10" s="343"/>
      <c r="AZ10" s="343"/>
      <c r="BA10" s="343"/>
      <c r="BB10" s="343"/>
      <c r="BC10" s="343"/>
      <c r="BD10" s="343"/>
      <c r="BE10" s="343"/>
      <c r="BF10" s="343"/>
      <c r="BG10" s="343"/>
      <c r="BH10" s="343"/>
      <c r="BI10" s="343"/>
      <c r="BJ10" s="343"/>
      <c r="BK10" s="343"/>
      <c r="BL10" s="343"/>
      <c r="BM10" s="343"/>
      <c r="BN10" s="343"/>
      <c r="BO10" s="343"/>
      <c r="BP10" s="343"/>
      <c r="BQ10" s="343"/>
      <c r="BR10" s="343"/>
      <c r="BS10" s="343"/>
      <c r="BT10" s="343"/>
      <c r="BU10" s="343"/>
      <c r="BV10" s="343"/>
      <c r="BW10" s="343"/>
      <c r="BX10" s="343"/>
      <c r="BY10" s="343"/>
      <c r="BZ10" s="343"/>
      <c r="CA10" s="343"/>
      <c r="CB10" s="343"/>
      <c r="CC10" s="343"/>
      <c r="CD10" s="343"/>
      <c r="CE10" s="343"/>
      <c r="CF10" s="343"/>
      <c r="CG10" s="343"/>
      <c r="CH10" s="343"/>
      <c r="CI10" s="343"/>
      <c r="CJ10" s="343"/>
      <c r="CK10" s="343"/>
      <c r="CL10" s="343"/>
      <c r="CM10" s="343"/>
      <c r="CN10" s="343"/>
      <c r="CO10" s="343"/>
      <c r="CP10" s="343"/>
      <c r="CQ10" s="343"/>
      <c r="CR10" s="343"/>
      <c r="CS10" s="343"/>
      <c r="CT10" s="343"/>
      <c r="CU10" s="343"/>
      <c r="CV10" s="343"/>
      <c r="CW10" s="343"/>
      <c r="CX10" s="343"/>
      <c r="CY10" s="343"/>
      <c r="CZ10" s="343"/>
      <c r="DA10" s="343"/>
      <c r="DB10" s="343"/>
      <c r="DC10" s="343"/>
      <c r="DD10" s="343"/>
      <c r="DE10" s="343"/>
      <c r="DF10" s="343"/>
      <c r="DG10" s="343"/>
      <c r="DH10" s="343"/>
      <c r="DI10" s="343"/>
      <c r="DJ10" s="343"/>
      <c r="DK10" s="343"/>
      <c r="DL10" s="343"/>
      <c r="DM10" s="343"/>
      <c r="DN10" s="343"/>
      <c r="DO10" s="343"/>
      <c r="DP10" s="343"/>
      <c r="DQ10" s="343"/>
      <c r="DR10" s="343"/>
      <c r="DS10" s="343"/>
      <c r="DT10" s="343"/>
      <c r="DU10" s="343"/>
      <c r="DV10" s="343"/>
      <c r="DW10" s="343"/>
      <c r="DX10" s="343"/>
      <c r="DY10" s="343"/>
      <c r="DZ10" s="343"/>
      <c r="EA10" s="343"/>
      <c r="EB10" s="343"/>
      <c r="EC10" s="343"/>
      <c r="ED10" s="343"/>
      <c r="EE10" s="343"/>
      <c r="EF10" s="343"/>
      <c r="EG10" s="343"/>
      <c r="EH10" s="343"/>
      <c r="EI10" s="343"/>
      <c r="EJ10" s="343"/>
      <c r="EK10" s="343"/>
      <c r="EL10" s="343"/>
      <c r="EM10" s="343"/>
      <c r="EN10" s="343"/>
      <c r="EO10" s="343"/>
      <c r="EP10" s="343"/>
      <c r="EQ10" s="343"/>
      <c r="ER10" s="343"/>
      <c r="ES10" s="343"/>
      <c r="ET10" s="343"/>
      <c r="EU10" s="343"/>
      <c r="EV10" s="343"/>
      <c r="EW10" s="343"/>
      <c r="EX10" s="343"/>
      <c r="EY10" s="343"/>
      <c r="EZ10" s="343"/>
      <c r="FA10" s="343"/>
    </row>
    <row r="11" spans="1:157" s="344" customFormat="1" ht="20.25" customHeight="1">
      <c r="A11" s="968" t="s">
        <v>273</v>
      </c>
      <c r="B11" s="850">
        <v>33128.653547666749</v>
      </c>
      <c r="C11" s="850">
        <v>40511.084367119765</v>
      </c>
      <c r="D11" s="850">
        <v>44345.433581429315</v>
      </c>
      <c r="E11" s="850">
        <v>50633.451385486791</v>
      </c>
      <c r="F11" s="850">
        <v>56866.746459796508</v>
      </c>
      <c r="G11" s="850">
        <v>63146.654325881129</v>
      </c>
      <c r="H11" s="850">
        <v>67300.320835911683</v>
      </c>
      <c r="I11" s="850">
        <v>73152.504093040887</v>
      </c>
      <c r="J11" s="850">
        <v>81586.056129809847</v>
      </c>
      <c r="K11" s="850">
        <v>86258.604658655982</v>
      </c>
      <c r="L11" s="850">
        <v>57568.66772968907</v>
      </c>
      <c r="M11" s="340"/>
      <c r="N11" s="343"/>
      <c r="O11" s="343"/>
      <c r="P11" s="343"/>
      <c r="Q11" s="343"/>
      <c r="R11" s="351"/>
      <c r="S11" s="351"/>
      <c r="T11" s="351"/>
      <c r="U11" s="351"/>
      <c r="V11" s="351"/>
      <c r="W11" s="351"/>
      <c r="X11" s="351"/>
      <c r="Y11" s="351"/>
      <c r="Z11" s="351"/>
      <c r="AA11" s="343"/>
      <c r="AB11" s="343"/>
      <c r="AC11" s="343"/>
      <c r="AD11" s="343"/>
      <c r="AE11" s="343"/>
      <c r="AF11" s="343"/>
      <c r="AG11" s="343"/>
      <c r="AH11" s="343"/>
      <c r="AI11" s="343"/>
      <c r="AJ11" s="343"/>
      <c r="AK11" s="343"/>
      <c r="AL11" s="343"/>
      <c r="AM11" s="343"/>
      <c r="AN11" s="343"/>
      <c r="AO11" s="343"/>
      <c r="AP11" s="343"/>
      <c r="AQ11" s="343"/>
      <c r="AR11" s="343"/>
      <c r="AS11" s="343"/>
      <c r="AT11" s="343"/>
      <c r="AU11" s="343"/>
      <c r="AV11" s="343"/>
      <c r="AW11" s="343"/>
      <c r="AX11" s="343"/>
      <c r="AY11" s="343"/>
      <c r="AZ11" s="343"/>
      <c r="BA11" s="343"/>
      <c r="BB11" s="343"/>
      <c r="BC11" s="343"/>
      <c r="BD11" s="343"/>
      <c r="BE11" s="343"/>
      <c r="BF11" s="343"/>
      <c r="BG11" s="343"/>
      <c r="BH11" s="343"/>
      <c r="BI11" s="343"/>
      <c r="BJ11" s="343"/>
      <c r="BK11" s="343"/>
      <c r="BL11" s="343"/>
      <c r="BM11" s="343"/>
      <c r="BN11" s="343"/>
      <c r="BO11" s="343"/>
      <c r="BP11" s="343"/>
      <c r="BQ11" s="343"/>
      <c r="BR11" s="343"/>
      <c r="BS11" s="343"/>
      <c r="BT11" s="343"/>
      <c r="BU11" s="343"/>
      <c r="BV11" s="343"/>
      <c r="BW11" s="343"/>
      <c r="BX11" s="343"/>
      <c r="BY11" s="343"/>
      <c r="BZ11" s="343"/>
      <c r="CA11" s="343"/>
      <c r="CB11" s="343"/>
      <c r="CC11" s="343"/>
      <c r="CD11" s="343"/>
      <c r="CE11" s="343"/>
      <c r="CF11" s="343"/>
      <c r="CG11" s="343"/>
      <c r="CH11" s="343"/>
      <c r="CI11" s="343"/>
      <c r="CJ11" s="343"/>
      <c r="CK11" s="343"/>
      <c r="CL11" s="343"/>
      <c r="CM11" s="343"/>
      <c r="CN11" s="343"/>
      <c r="CO11" s="343"/>
      <c r="CP11" s="343"/>
      <c r="CQ11" s="343"/>
      <c r="CR11" s="343"/>
      <c r="CS11" s="343"/>
      <c r="CT11" s="343"/>
      <c r="CU11" s="343"/>
      <c r="CV11" s="343"/>
      <c r="CW11" s="343"/>
      <c r="CX11" s="343"/>
      <c r="CY11" s="343"/>
      <c r="CZ11" s="343"/>
      <c r="DA11" s="343"/>
      <c r="DB11" s="343"/>
      <c r="DC11" s="343"/>
      <c r="DD11" s="343"/>
      <c r="DE11" s="343"/>
      <c r="DF11" s="343"/>
      <c r="DG11" s="343"/>
      <c r="DH11" s="343"/>
      <c r="DI11" s="343"/>
      <c r="DJ11" s="343"/>
      <c r="DK11" s="343"/>
      <c r="DL11" s="343"/>
      <c r="DM11" s="343"/>
      <c r="DN11" s="343"/>
      <c r="DO11" s="343"/>
      <c r="DP11" s="343"/>
      <c r="DQ11" s="343"/>
      <c r="DR11" s="343"/>
      <c r="DS11" s="343"/>
      <c r="DT11" s="343"/>
      <c r="DU11" s="343"/>
      <c r="DV11" s="343"/>
      <c r="DW11" s="343"/>
      <c r="DX11" s="343"/>
      <c r="DY11" s="343"/>
      <c r="DZ11" s="343"/>
      <c r="EA11" s="343"/>
      <c r="EB11" s="343"/>
      <c r="EC11" s="343"/>
      <c r="ED11" s="343"/>
      <c r="EE11" s="343"/>
      <c r="EF11" s="343"/>
      <c r="EG11" s="343"/>
      <c r="EH11" s="343"/>
      <c r="EI11" s="343"/>
      <c r="EJ11" s="343"/>
      <c r="EK11" s="343"/>
      <c r="EL11" s="343"/>
      <c r="EM11" s="343"/>
      <c r="EN11" s="343"/>
      <c r="EO11" s="343"/>
      <c r="EP11" s="343"/>
      <c r="EQ11" s="343"/>
      <c r="ER11" s="343"/>
      <c r="ES11" s="343"/>
      <c r="ET11" s="343"/>
      <c r="EU11" s="343"/>
      <c r="EV11" s="343"/>
      <c r="EW11" s="343"/>
      <c r="EX11" s="343"/>
      <c r="EY11" s="343"/>
      <c r="EZ11" s="343"/>
      <c r="FA11" s="343"/>
    </row>
    <row r="12" spans="1:157" s="350" customFormat="1" ht="20.25" customHeight="1">
      <c r="A12" s="969" t="s">
        <v>274</v>
      </c>
      <c r="B12" s="955">
        <v>84173.031896261353</v>
      </c>
      <c r="C12" s="955">
        <v>99692.843931399984</v>
      </c>
      <c r="D12" s="955">
        <v>106266.00765944445</v>
      </c>
      <c r="E12" s="955">
        <v>118117.32517769105</v>
      </c>
      <c r="F12" s="955">
        <v>129970.73710628068</v>
      </c>
      <c r="G12" s="955">
        <v>138956.70105767011</v>
      </c>
      <c r="H12" s="955">
        <v>142456.8527507222</v>
      </c>
      <c r="I12" s="955">
        <v>148808.29767514649</v>
      </c>
      <c r="J12" s="955">
        <v>159336.05474444514</v>
      </c>
      <c r="K12" s="955">
        <v>161550.68267289031</v>
      </c>
      <c r="L12" s="955">
        <v>103275.8715978426</v>
      </c>
      <c r="M12" s="340"/>
      <c r="N12" s="343"/>
      <c r="O12" s="343"/>
      <c r="P12" s="343"/>
      <c r="Q12" s="343"/>
      <c r="R12" s="343"/>
      <c r="S12" s="343"/>
      <c r="T12" s="343"/>
      <c r="U12" s="343"/>
      <c r="V12" s="343"/>
      <c r="W12" s="343"/>
      <c r="X12" s="343"/>
      <c r="Y12" s="343"/>
      <c r="Z12" s="343"/>
      <c r="AA12" s="343"/>
      <c r="AB12" s="343"/>
      <c r="AC12" s="343"/>
      <c r="AD12" s="343"/>
      <c r="AE12" s="343"/>
      <c r="AF12" s="343"/>
      <c r="AG12" s="343"/>
      <c r="AH12" s="343"/>
      <c r="AI12" s="343"/>
      <c r="AJ12" s="343"/>
      <c r="AK12" s="343"/>
      <c r="AL12" s="343"/>
      <c r="AM12" s="343"/>
      <c r="AN12" s="343"/>
      <c r="AO12" s="343"/>
      <c r="AP12" s="343"/>
      <c r="AQ12" s="343"/>
      <c r="AR12" s="343"/>
      <c r="AS12" s="343"/>
      <c r="AT12" s="343"/>
      <c r="AU12" s="343"/>
      <c r="AV12" s="343"/>
      <c r="AW12" s="343"/>
      <c r="AX12" s="343"/>
      <c r="AY12" s="343"/>
      <c r="AZ12" s="343"/>
      <c r="BA12" s="343"/>
      <c r="BB12" s="343"/>
      <c r="BC12" s="343"/>
      <c r="BD12" s="343"/>
      <c r="BE12" s="343"/>
      <c r="BF12" s="343"/>
      <c r="BG12" s="343"/>
      <c r="BH12" s="343"/>
      <c r="BI12" s="343"/>
      <c r="BJ12" s="343"/>
      <c r="BK12" s="343"/>
      <c r="BL12" s="343"/>
      <c r="BM12" s="343"/>
      <c r="BN12" s="343"/>
      <c r="BO12" s="343"/>
      <c r="BP12" s="343"/>
      <c r="BQ12" s="343"/>
      <c r="BR12" s="343"/>
      <c r="BS12" s="343"/>
      <c r="BT12" s="343"/>
      <c r="BU12" s="343"/>
      <c r="BV12" s="343"/>
      <c r="BW12" s="343"/>
      <c r="BX12" s="343"/>
      <c r="BY12" s="343"/>
      <c r="BZ12" s="343"/>
      <c r="CA12" s="343"/>
      <c r="CB12" s="343"/>
      <c r="CC12" s="343"/>
      <c r="CD12" s="343"/>
      <c r="CE12" s="343"/>
      <c r="CF12" s="343"/>
      <c r="CG12" s="343"/>
      <c r="CH12" s="343"/>
      <c r="CI12" s="343"/>
      <c r="CJ12" s="343"/>
      <c r="CK12" s="343"/>
      <c r="CL12" s="343"/>
      <c r="CM12" s="343"/>
      <c r="CN12" s="343"/>
      <c r="CO12" s="343"/>
      <c r="CP12" s="343"/>
      <c r="CQ12" s="343"/>
      <c r="CR12" s="343"/>
      <c r="CS12" s="343"/>
      <c r="CT12" s="343"/>
      <c r="CU12" s="343"/>
      <c r="CV12" s="343"/>
      <c r="CW12" s="343"/>
      <c r="CX12" s="343"/>
      <c r="CY12" s="343"/>
      <c r="CZ12" s="343"/>
      <c r="DA12" s="343"/>
      <c r="DB12" s="343"/>
      <c r="DC12" s="343"/>
      <c r="DD12" s="343"/>
      <c r="DE12" s="343"/>
      <c r="DF12" s="343"/>
      <c r="DG12" s="343"/>
      <c r="DH12" s="343"/>
      <c r="DI12" s="343"/>
      <c r="DJ12" s="343"/>
      <c r="DK12" s="343"/>
      <c r="DL12" s="343"/>
      <c r="DM12" s="343"/>
      <c r="DN12" s="343"/>
      <c r="DO12" s="343"/>
      <c r="DP12" s="343"/>
      <c r="DQ12" s="343"/>
      <c r="DR12" s="343"/>
      <c r="DS12" s="343"/>
      <c r="DT12" s="343"/>
      <c r="DU12" s="343"/>
      <c r="DV12" s="343"/>
      <c r="DW12" s="343"/>
      <c r="DX12" s="343"/>
      <c r="DY12" s="343"/>
      <c r="DZ12" s="343"/>
      <c r="EA12" s="343"/>
      <c r="EB12" s="343"/>
      <c r="EC12" s="343"/>
      <c r="ED12" s="343"/>
      <c r="EE12" s="343"/>
      <c r="EF12" s="343"/>
      <c r="EG12" s="343"/>
      <c r="EH12" s="343"/>
      <c r="EI12" s="343"/>
      <c r="EJ12" s="343"/>
      <c r="EK12" s="343"/>
      <c r="EL12" s="343"/>
      <c r="EM12" s="343"/>
      <c r="EN12" s="343"/>
      <c r="EO12" s="343"/>
      <c r="EP12" s="343"/>
      <c r="EQ12" s="343"/>
      <c r="ER12" s="343"/>
      <c r="ES12" s="343"/>
      <c r="ET12" s="343"/>
      <c r="EU12" s="343"/>
      <c r="EV12" s="343"/>
      <c r="EW12" s="343"/>
      <c r="EX12" s="343"/>
      <c r="EY12" s="343"/>
      <c r="EZ12" s="343"/>
      <c r="FA12" s="343"/>
    </row>
    <row r="13" spans="1:157" s="344" customFormat="1" ht="20.25" customHeight="1">
      <c r="A13" s="968" t="s">
        <v>275</v>
      </c>
      <c r="B13" s="952">
        <f t="shared" ref="B13" si="0">B12/12.8</f>
        <v>6576.0181168954177</v>
      </c>
      <c r="C13" s="952">
        <f>C12/14.57</f>
        <v>6842.3365773095393</v>
      </c>
      <c r="D13" s="952">
        <f>D12/15.42</f>
        <v>6891.4401854373837</v>
      </c>
      <c r="E13" s="952">
        <f t="shared" ref="E13:L13" si="1">E12/15.42</f>
        <v>7660.0081178787968</v>
      </c>
      <c r="F13" s="952">
        <f t="shared" si="1"/>
        <v>8428.7118745966709</v>
      </c>
      <c r="G13" s="952">
        <f t="shared" si="1"/>
        <v>9011.45921255967</v>
      </c>
      <c r="H13" s="952">
        <f t="shared" si="1"/>
        <v>9238.4470006953434</v>
      </c>
      <c r="I13" s="952">
        <f t="shared" si="1"/>
        <v>9650.3435586995129</v>
      </c>
      <c r="J13" s="952">
        <f t="shared" si="1"/>
        <v>10333.077480184509</v>
      </c>
      <c r="K13" s="952">
        <f t="shared" si="1"/>
        <v>10476.697968410526</v>
      </c>
      <c r="L13" s="952">
        <f t="shared" si="1"/>
        <v>6697.5273409755255</v>
      </c>
      <c r="M13" s="340"/>
      <c r="N13" s="343"/>
      <c r="O13" s="343"/>
      <c r="P13" s="343"/>
      <c r="Q13" s="343"/>
      <c r="R13" s="343"/>
      <c r="S13" s="343"/>
      <c r="T13" s="343"/>
      <c r="U13" s="343"/>
      <c r="V13" s="343"/>
      <c r="W13" s="343"/>
      <c r="X13" s="343"/>
      <c r="Y13" s="343"/>
      <c r="Z13" s="343"/>
      <c r="AA13" s="343"/>
      <c r="AB13" s="343"/>
      <c r="AC13" s="343"/>
      <c r="AD13" s="343"/>
      <c r="AE13" s="343"/>
      <c r="AF13" s="343"/>
      <c r="AG13" s="343"/>
      <c r="AH13" s="343"/>
      <c r="AI13" s="343"/>
      <c r="AJ13" s="343"/>
      <c r="AK13" s="343"/>
      <c r="AL13" s="343"/>
      <c r="AM13" s="343"/>
      <c r="AN13" s="343"/>
      <c r="AO13" s="343"/>
      <c r="AP13" s="343"/>
      <c r="AQ13" s="343"/>
      <c r="AR13" s="343"/>
      <c r="AS13" s="343"/>
      <c r="AT13" s="343"/>
      <c r="AU13" s="343"/>
      <c r="AV13" s="343"/>
      <c r="AW13" s="343"/>
      <c r="AX13" s="343"/>
      <c r="AY13" s="343"/>
      <c r="AZ13" s="343"/>
      <c r="BA13" s="343"/>
      <c r="BB13" s="343"/>
      <c r="BC13" s="343"/>
      <c r="BD13" s="343"/>
      <c r="BE13" s="343"/>
      <c r="BF13" s="343"/>
      <c r="BG13" s="343"/>
      <c r="BH13" s="343"/>
      <c r="BI13" s="343"/>
      <c r="BJ13" s="343"/>
      <c r="BK13" s="343"/>
      <c r="BL13" s="343"/>
      <c r="BM13" s="343"/>
      <c r="BN13" s="343"/>
      <c r="BO13" s="343"/>
      <c r="BP13" s="343"/>
      <c r="BQ13" s="343"/>
      <c r="BR13" s="343"/>
      <c r="BS13" s="343"/>
      <c r="BT13" s="343"/>
      <c r="BU13" s="343"/>
      <c r="BV13" s="343"/>
      <c r="BW13" s="343"/>
      <c r="BX13" s="343"/>
      <c r="BY13" s="343"/>
      <c r="BZ13" s="343"/>
      <c r="CA13" s="343"/>
      <c r="CB13" s="343"/>
      <c r="CC13" s="343"/>
      <c r="CD13" s="343"/>
      <c r="CE13" s="343"/>
      <c r="CF13" s="343"/>
      <c r="CG13" s="343"/>
      <c r="CH13" s="343"/>
      <c r="CI13" s="343"/>
      <c r="CJ13" s="343"/>
      <c r="CK13" s="343"/>
      <c r="CL13" s="343"/>
      <c r="CM13" s="343"/>
      <c r="CN13" s="343"/>
      <c r="CO13" s="343"/>
      <c r="CP13" s="343"/>
      <c r="CQ13" s="343"/>
      <c r="CR13" s="343"/>
      <c r="CS13" s="343"/>
      <c r="CT13" s="343"/>
      <c r="CU13" s="343"/>
      <c r="CV13" s="343"/>
      <c r="CW13" s="343"/>
      <c r="CX13" s="343"/>
      <c r="CY13" s="343"/>
      <c r="CZ13" s="343"/>
      <c r="DA13" s="343"/>
      <c r="DB13" s="343"/>
      <c r="DC13" s="343"/>
      <c r="DD13" s="343"/>
      <c r="DE13" s="343"/>
      <c r="DF13" s="343"/>
      <c r="DG13" s="343"/>
      <c r="DH13" s="343"/>
      <c r="DI13" s="343"/>
      <c r="DJ13" s="343"/>
      <c r="DK13" s="343"/>
      <c r="DL13" s="343"/>
      <c r="DM13" s="343"/>
      <c r="DN13" s="343"/>
      <c r="DO13" s="343"/>
      <c r="DP13" s="343"/>
      <c r="DQ13" s="343"/>
      <c r="DR13" s="343"/>
      <c r="DS13" s="343"/>
      <c r="DT13" s="343"/>
      <c r="DU13" s="343"/>
      <c r="DV13" s="343"/>
      <c r="DW13" s="343"/>
      <c r="DX13" s="343"/>
      <c r="DY13" s="343"/>
      <c r="DZ13" s="343"/>
      <c r="EA13" s="343"/>
      <c r="EB13" s="343"/>
      <c r="EC13" s="343"/>
      <c r="ED13" s="343"/>
      <c r="EE13" s="343"/>
      <c r="EF13" s="343"/>
      <c r="EG13" s="343"/>
      <c r="EH13" s="343"/>
      <c r="EI13" s="343"/>
      <c r="EJ13" s="343"/>
      <c r="EK13" s="343"/>
      <c r="EL13" s="343"/>
      <c r="EM13" s="343"/>
      <c r="EN13" s="343"/>
      <c r="EO13" s="343"/>
      <c r="EP13" s="343"/>
      <c r="EQ13" s="343"/>
      <c r="ER13" s="343"/>
      <c r="ES13" s="343"/>
      <c r="ET13" s="343"/>
      <c r="EU13" s="343"/>
      <c r="EV13" s="343"/>
      <c r="EW13" s="343"/>
      <c r="EX13" s="343"/>
      <c r="EY13" s="343"/>
      <c r="EZ13" s="343"/>
      <c r="FA13" s="343"/>
    </row>
    <row r="14" spans="1:157" s="343" customFormat="1" ht="15" customHeight="1">
      <c r="A14" s="621" t="s">
        <v>429</v>
      </c>
      <c r="B14" s="956"/>
      <c r="C14" s="956"/>
      <c r="D14" s="956"/>
      <c r="E14" s="956"/>
      <c r="F14" s="956"/>
      <c r="G14" s="956"/>
      <c r="H14" s="956"/>
      <c r="I14" s="956"/>
      <c r="J14" s="956"/>
      <c r="K14" s="956"/>
      <c r="L14" s="956"/>
      <c r="M14" s="340"/>
    </row>
    <row r="15" spans="1:157" ht="15.75" customHeight="1">
      <c r="A15" s="621" t="s">
        <v>430</v>
      </c>
      <c r="B15" s="957"/>
      <c r="C15" s="957"/>
      <c r="D15" s="957"/>
      <c r="E15" s="957"/>
      <c r="F15" s="957"/>
      <c r="G15" s="957"/>
      <c r="H15" s="958"/>
      <c r="I15" s="958"/>
      <c r="J15" s="958"/>
      <c r="K15" s="958"/>
      <c r="L15" s="958"/>
      <c r="M15" s="340"/>
    </row>
    <row r="16" spans="1:157" s="352" customFormat="1">
      <c r="B16" s="959"/>
      <c r="C16" s="959"/>
      <c r="D16" s="959"/>
      <c r="E16" s="959"/>
      <c r="F16" s="959"/>
      <c r="G16" s="959"/>
      <c r="H16" s="959"/>
      <c r="I16" s="959"/>
      <c r="J16" s="959"/>
      <c r="K16" s="959"/>
      <c r="L16" s="959"/>
      <c r="AT16" s="343"/>
      <c r="AU16" s="345">
        <v>2003</v>
      </c>
      <c r="AV16" s="345">
        <v>2004</v>
      </c>
      <c r="AW16" s="345">
        <v>2005</v>
      </c>
      <c r="AX16" s="345">
        <v>2006</v>
      </c>
      <c r="AY16" s="345">
        <v>2007</v>
      </c>
      <c r="AZ16" s="345">
        <v>2008</v>
      </c>
      <c r="BA16" s="345">
        <v>2009</v>
      </c>
      <c r="BB16" s="345">
        <v>2010</v>
      </c>
      <c r="BC16" s="345">
        <v>2011</v>
      </c>
      <c r="BD16" s="345">
        <v>2012</v>
      </c>
      <c r="BE16" s="345">
        <v>2013</v>
      </c>
      <c r="BF16" s="345">
        <v>2014</v>
      </c>
      <c r="BG16" s="345">
        <v>2015</v>
      </c>
      <c r="BH16" s="345">
        <v>2016</v>
      </c>
      <c r="BI16" s="345">
        <v>2017</v>
      </c>
      <c r="BJ16" s="345">
        <v>2018</v>
      </c>
      <c r="BK16" s="345">
        <v>2019</v>
      </c>
      <c r="BL16" s="343">
        <v>2020</v>
      </c>
      <c r="BM16" s="343"/>
    </row>
    <row r="17" spans="2:65" s="352" customFormat="1">
      <c r="B17" s="960"/>
      <c r="C17" s="960"/>
      <c r="D17" s="961"/>
      <c r="E17" s="961"/>
      <c r="F17" s="961"/>
      <c r="G17" s="961"/>
      <c r="H17" s="961"/>
      <c r="I17" s="961"/>
      <c r="J17" s="961"/>
      <c r="K17" s="961"/>
      <c r="L17" s="961"/>
      <c r="AT17" s="347" t="s">
        <v>268</v>
      </c>
      <c r="AU17" s="348" t="e">
        <f>#REF!</f>
        <v>#REF!</v>
      </c>
      <c r="AV17" s="348" t="e">
        <f>#REF!</f>
        <v>#REF!</v>
      </c>
      <c r="AW17" s="348" t="e">
        <f>#REF!</f>
        <v>#REF!</v>
      </c>
      <c r="AX17" s="348" t="e">
        <f>#REF!</f>
        <v>#REF!</v>
      </c>
      <c r="AY17" s="348" t="e">
        <f>#REF!</f>
        <v>#REF!</v>
      </c>
      <c r="AZ17" s="348" t="e">
        <f>#REF!</f>
        <v>#REF!</v>
      </c>
      <c r="BA17" s="348" t="e">
        <f>#REF!</f>
        <v>#REF!</v>
      </c>
      <c r="BB17" s="348">
        <f>B5</f>
        <v>44373.263009045702</v>
      </c>
      <c r="BC17" s="348">
        <f>C5</f>
        <v>48174.602246722294</v>
      </c>
      <c r="BD17" s="348">
        <f>D5</f>
        <v>49387.341903578039</v>
      </c>
      <c r="BE17" s="348">
        <f>E5</f>
        <v>52983.270832843715</v>
      </c>
      <c r="BF17" s="348">
        <f>F5</f>
        <v>56866.746459796508</v>
      </c>
      <c r="BG17" s="348">
        <f>G5</f>
        <v>58507.095409109577</v>
      </c>
      <c r="BH17" s="348">
        <f>H5</f>
        <v>62215.450950118036</v>
      </c>
      <c r="BI17" s="348">
        <f>I5</f>
        <v>66701.129096139601</v>
      </c>
      <c r="BJ17" s="348">
        <f>J5</f>
        <v>72119.347812321037</v>
      </c>
      <c r="BK17" s="348">
        <f>K5</f>
        <v>77083.819263393671</v>
      </c>
      <c r="BL17" s="348">
        <f>L5</f>
        <v>51260.815289149716</v>
      </c>
      <c r="BM17" s="343"/>
    </row>
    <row r="18" spans="2:65" s="352" customFormat="1">
      <c r="B18" s="960"/>
      <c r="C18" s="960"/>
      <c r="D18" s="961"/>
      <c r="E18" s="961"/>
      <c r="F18" s="961"/>
      <c r="G18" s="961"/>
      <c r="H18" s="961"/>
      <c r="I18" s="961"/>
      <c r="J18" s="961"/>
      <c r="K18" s="961"/>
      <c r="L18" s="961"/>
      <c r="AT18" s="347" t="s">
        <v>270</v>
      </c>
      <c r="AU18" s="349" t="e">
        <f>#REF!</f>
        <v>#REF!</v>
      </c>
      <c r="AV18" s="349" t="e">
        <f>#REF!</f>
        <v>#REF!</v>
      </c>
      <c r="AW18" s="349" t="e">
        <f>#REF!</f>
        <v>#REF!</v>
      </c>
      <c r="AX18" s="349" t="e">
        <f>#REF!</f>
        <v>#REF!</v>
      </c>
      <c r="AY18" s="349" t="e">
        <f>#REF!</f>
        <v>#REF!</v>
      </c>
      <c r="AZ18" s="349" t="e">
        <f>#REF!</f>
        <v>#REF!</v>
      </c>
      <c r="BA18" s="349" t="e">
        <f>#REF!</f>
        <v>#REF!</v>
      </c>
      <c r="BB18" s="349">
        <f>B7</f>
        <v>7.2651291881888458</v>
      </c>
      <c r="BC18" s="349">
        <f>C7</f>
        <v>8.5667336136665782</v>
      </c>
      <c r="BD18" s="349">
        <f>D7</f>
        <v>2.5173838501972412</v>
      </c>
      <c r="BE18" s="349">
        <f>E7</f>
        <v>7.2810740377285965</v>
      </c>
      <c r="BF18" s="349">
        <f>(BF17/BE17-1)*100</f>
        <v>7.3296260610348662</v>
      </c>
      <c r="BG18" s="349">
        <f>(BG17/BF17-1)*100</f>
        <v>2.8845486183612712</v>
      </c>
      <c r="BH18" s="349">
        <f t="shared" ref="BH18:BL18" si="2">(BH17/BG17-1)*100</f>
        <v>6.3383005344529009</v>
      </c>
      <c r="BI18" s="349">
        <f t="shared" si="2"/>
        <v>7.2099102032034068</v>
      </c>
      <c r="BJ18" s="349">
        <f t="shared" si="2"/>
        <v>8.1231289329029011</v>
      </c>
      <c r="BK18" s="349">
        <f t="shared" si="2"/>
        <v>6.8836887765428401</v>
      </c>
      <c r="BL18" s="349">
        <f t="shared" si="2"/>
        <v>-33.49990208192375</v>
      </c>
      <c r="BM18" s="343"/>
    </row>
    <row r="19" spans="2:65" s="352" customFormat="1">
      <c r="B19" s="960"/>
      <c r="C19" s="960"/>
      <c r="D19" s="961"/>
      <c r="E19" s="961"/>
      <c r="F19" s="961"/>
      <c r="G19" s="961"/>
      <c r="H19" s="961"/>
      <c r="I19" s="961"/>
      <c r="J19" s="961"/>
      <c r="K19" s="961"/>
      <c r="L19" s="961"/>
    </row>
    <row r="20" spans="2:65" s="352" customFormat="1">
      <c r="B20" s="960"/>
      <c r="C20" s="960"/>
      <c r="D20" s="961"/>
      <c r="E20" s="961"/>
      <c r="F20" s="961"/>
      <c r="G20" s="961"/>
      <c r="H20" s="961"/>
      <c r="I20" s="961"/>
      <c r="J20" s="961"/>
      <c r="K20" s="961"/>
      <c r="L20" s="961"/>
    </row>
    <row r="21" spans="2:65" s="352" customFormat="1">
      <c r="B21" s="960"/>
      <c r="C21" s="960"/>
      <c r="D21" s="961"/>
      <c r="E21" s="961"/>
      <c r="F21" s="961"/>
      <c r="G21" s="961"/>
      <c r="H21" s="961"/>
      <c r="I21" s="961"/>
      <c r="J21" s="961"/>
      <c r="K21" s="961"/>
      <c r="L21" s="961"/>
    </row>
    <row r="22" spans="2:65" s="352" customFormat="1">
      <c r="B22" s="960"/>
      <c r="C22" s="960"/>
      <c r="D22" s="961"/>
      <c r="E22" s="961"/>
      <c r="F22" s="961"/>
      <c r="G22" s="961"/>
      <c r="H22" s="961"/>
      <c r="I22" s="961"/>
      <c r="J22" s="961"/>
      <c r="K22" s="961"/>
      <c r="L22" s="961"/>
    </row>
    <row r="23" spans="2:65" s="352" customFormat="1">
      <c r="B23" s="960"/>
      <c r="C23" s="960"/>
      <c r="D23" s="961"/>
      <c r="E23" s="961"/>
      <c r="F23" s="961"/>
      <c r="G23" s="961"/>
      <c r="H23" s="961"/>
      <c r="I23" s="961"/>
      <c r="J23" s="961"/>
      <c r="K23" s="961"/>
      <c r="L23" s="961"/>
    </row>
    <row r="24" spans="2:65" s="352" customFormat="1">
      <c r="B24" s="960"/>
      <c r="C24" s="960"/>
      <c r="D24" s="961"/>
      <c r="E24" s="961"/>
      <c r="F24" s="961"/>
      <c r="G24" s="961"/>
      <c r="H24" s="961"/>
      <c r="I24" s="961"/>
      <c r="J24" s="961"/>
      <c r="K24" s="961"/>
      <c r="L24" s="961"/>
    </row>
    <row r="25" spans="2:65" s="352" customFormat="1">
      <c r="B25" s="960"/>
      <c r="C25" s="960"/>
      <c r="D25" s="961"/>
      <c r="E25" s="961"/>
      <c r="F25" s="961"/>
      <c r="G25" s="961"/>
      <c r="H25" s="961"/>
      <c r="I25" s="961"/>
      <c r="J25" s="961"/>
      <c r="K25" s="961"/>
      <c r="L25" s="961"/>
    </row>
    <row r="26" spans="2:65" s="352" customFormat="1">
      <c r="B26" s="960"/>
      <c r="C26" s="960"/>
      <c r="D26" s="961"/>
      <c r="E26" s="961"/>
      <c r="F26" s="961"/>
      <c r="G26" s="961"/>
      <c r="H26" s="961"/>
      <c r="I26" s="961"/>
      <c r="J26" s="961"/>
      <c r="K26" s="961"/>
      <c r="L26" s="961"/>
    </row>
    <row r="27" spans="2:65" s="352" customFormat="1">
      <c r="B27" s="960"/>
      <c r="C27" s="960"/>
      <c r="D27" s="961"/>
      <c r="E27" s="961"/>
      <c r="F27" s="961"/>
      <c r="G27" s="961"/>
      <c r="H27" s="961"/>
      <c r="I27" s="961"/>
      <c r="J27" s="961"/>
      <c r="K27" s="961"/>
      <c r="L27" s="961"/>
    </row>
    <row r="28" spans="2:65" s="352" customFormat="1">
      <c r="B28" s="960"/>
      <c r="C28" s="960"/>
      <c r="D28" s="961"/>
      <c r="E28" s="961"/>
      <c r="F28" s="961"/>
      <c r="G28" s="961"/>
      <c r="H28" s="961"/>
      <c r="I28" s="961"/>
      <c r="J28" s="961"/>
      <c r="K28" s="961"/>
      <c r="L28" s="961"/>
    </row>
    <row r="29" spans="2:65" s="352" customFormat="1">
      <c r="B29" s="960"/>
      <c r="C29" s="960"/>
      <c r="D29" s="961"/>
      <c r="E29" s="961"/>
      <c r="F29" s="961"/>
      <c r="G29" s="961"/>
      <c r="H29" s="961"/>
      <c r="I29" s="961"/>
      <c r="J29" s="961"/>
      <c r="K29" s="961"/>
      <c r="L29" s="961"/>
    </row>
    <row r="30" spans="2:65" s="352" customFormat="1">
      <c r="B30" s="960"/>
      <c r="C30" s="960"/>
      <c r="D30" s="961"/>
      <c r="E30" s="961"/>
      <c r="F30" s="961"/>
      <c r="G30" s="961"/>
      <c r="H30" s="961"/>
      <c r="I30" s="961"/>
      <c r="J30" s="961"/>
      <c r="K30" s="961"/>
      <c r="L30" s="961"/>
    </row>
    <row r="31" spans="2:65" s="352" customFormat="1">
      <c r="B31" s="960"/>
      <c r="C31" s="960"/>
      <c r="D31" s="961"/>
      <c r="E31" s="961"/>
      <c r="F31" s="961"/>
      <c r="G31" s="961"/>
      <c r="H31" s="961"/>
      <c r="I31" s="961"/>
      <c r="J31" s="961"/>
      <c r="K31" s="961"/>
      <c r="L31" s="961"/>
    </row>
    <row r="32" spans="2:65" s="352" customFormat="1">
      <c r="B32" s="960"/>
      <c r="C32" s="960"/>
      <c r="D32" s="961"/>
      <c r="E32" s="961"/>
      <c r="F32" s="961"/>
      <c r="G32" s="961"/>
      <c r="H32" s="961"/>
      <c r="I32" s="961"/>
      <c r="J32" s="961"/>
      <c r="K32" s="961"/>
      <c r="L32" s="961"/>
    </row>
    <row r="33" spans="1:12" s="352" customFormat="1">
      <c r="B33" s="960"/>
      <c r="C33" s="960"/>
      <c r="D33" s="961"/>
      <c r="E33" s="961"/>
      <c r="F33" s="961"/>
      <c r="G33" s="961"/>
      <c r="H33" s="961"/>
      <c r="I33" s="961"/>
      <c r="J33" s="961"/>
      <c r="K33" s="961"/>
      <c r="L33" s="961"/>
    </row>
    <row r="34" spans="1:12" s="352" customFormat="1">
      <c r="B34" s="960"/>
      <c r="C34" s="960"/>
      <c r="D34" s="961"/>
      <c r="E34" s="961"/>
      <c r="F34" s="961"/>
      <c r="G34" s="961"/>
      <c r="H34" s="961"/>
      <c r="I34" s="961"/>
      <c r="J34" s="961"/>
      <c r="K34" s="961"/>
      <c r="L34" s="961"/>
    </row>
    <row r="35" spans="1:12" s="352" customFormat="1">
      <c r="A35" s="622"/>
      <c r="B35" s="962"/>
      <c r="C35" s="962"/>
      <c r="D35" s="962"/>
      <c r="E35" s="962"/>
      <c r="F35" s="962"/>
      <c r="G35" s="962"/>
      <c r="H35" s="962"/>
      <c r="I35" s="962"/>
      <c r="J35" s="962"/>
      <c r="K35" s="962"/>
      <c r="L35" s="962"/>
    </row>
    <row r="36" spans="1:12" s="352" customFormat="1">
      <c r="B36" s="960"/>
      <c r="C36" s="960"/>
      <c r="D36" s="961"/>
      <c r="E36" s="961"/>
      <c r="F36" s="961"/>
      <c r="G36" s="961"/>
      <c r="H36" s="961"/>
      <c r="I36" s="961"/>
      <c r="J36" s="961"/>
      <c r="K36" s="961"/>
      <c r="L36" s="961"/>
    </row>
    <row r="37" spans="1:12" s="352" customFormat="1">
      <c r="A37" s="622"/>
      <c r="B37" s="960"/>
      <c r="C37" s="960"/>
      <c r="D37" s="961"/>
      <c r="E37" s="961"/>
      <c r="F37" s="961"/>
      <c r="G37" s="961"/>
      <c r="H37" s="961"/>
      <c r="I37" s="961"/>
      <c r="J37" s="961"/>
      <c r="K37" s="961"/>
      <c r="L37" s="961"/>
    </row>
    <row r="38" spans="1:12" s="352" customFormat="1">
      <c r="B38" s="960"/>
      <c r="C38" s="960"/>
      <c r="D38" s="961"/>
      <c r="E38" s="961"/>
      <c r="F38" s="961"/>
      <c r="G38" s="961"/>
      <c r="H38" s="961"/>
      <c r="I38" s="961"/>
      <c r="J38" s="961"/>
      <c r="K38" s="961"/>
      <c r="L38" s="961"/>
    </row>
    <row r="39" spans="1:12" s="352" customFormat="1">
      <c r="A39" s="622"/>
      <c r="B39" s="960"/>
      <c r="C39" s="960"/>
      <c r="D39" s="961"/>
      <c r="E39" s="961"/>
      <c r="F39" s="961"/>
      <c r="G39" s="961"/>
      <c r="H39" s="961"/>
      <c r="I39" s="961"/>
      <c r="J39" s="961"/>
      <c r="K39" s="961"/>
      <c r="L39" s="961"/>
    </row>
    <row r="40" spans="1:12" s="352" customFormat="1">
      <c r="A40" s="622"/>
      <c r="B40" s="960"/>
      <c r="C40" s="960"/>
      <c r="D40" s="961"/>
      <c r="E40" s="961"/>
      <c r="F40" s="961"/>
      <c r="G40" s="961"/>
      <c r="H40" s="961"/>
      <c r="I40" s="961"/>
      <c r="J40" s="961"/>
      <c r="K40" s="961"/>
      <c r="L40" s="961"/>
    </row>
    <row r="41" spans="1:12" s="352" customFormat="1">
      <c r="B41" s="960"/>
      <c r="C41" s="960"/>
      <c r="D41" s="961"/>
      <c r="E41" s="961"/>
      <c r="F41" s="961"/>
      <c r="G41" s="961"/>
      <c r="H41" s="961"/>
      <c r="I41" s="961"/>
      <c r="J41" s="961"/>
      <c r="K41" s="961"/>
      <c r="L41" s="961"/>
    </row>
    <row r="42" spans="1:12" s="352" customFormat="1">
      <c r="B42" s="960"/>
      <c r="C42" s="960"/>
      <c r="D42" s="961"/>
      <c r="E42" s="961"/>
      <c r="F42" s="961"/>
      <c r="G42" s="961"/>
      <c r="H42" s="961"/>
      <c r="I42" s="961"/>
      <c r="J42" s="961"/>
      <c r="K42" s="961"/>
      <c r="L42" s="961"/>
    </row>
    <row r="43" spans="1:12" s="352" customFormat="1">
      <c r="B43" s="960"/>
      <c r="C43" s="960"/>
      <c r="D43" s="961"/>
      <c r="E43" s="961"/>
      <c r="F43" s="961"/>
      <c r="G43" s="961"/>
      <c r="H43" s="961"/>
      <c r="I43" s="961"/>
      <c r="J43" s="961"/>
      <c r="K43" s="961"/>
      <c r="L43" s="961"/>
    </row>
    <row r="44" spans="1:12" s="352" customFormat="1">
      <c r="B44" s="960"/>
      <c r="C44" s="960"/>
      <c r="D44" s="961"/>
      <c r="E44" s="961"/>
      <c r="F44" s="961"/>
      <c r="G44" s="961"/>
      <c r="H44" s="961"/>
      <c r="I44" s="961"/>
      <c r="J44" s="961"/>
      <c r="K44" s="961"/>
      <c r="L44" s="961"/>
    </row>
    <row r="45" spans="1:12" s="352" customFormat="1">
      <c r="B45" s="960"/>
      <c r="C45" s="960"/>
      <c r="D45" s="961"/>
      <c r="E45" s="961"/>
      <c r="F45" s="961"/>
      <c r="G45" s="961"/>
      <c r="H45" s="961"/>
      <c r="I45" s="961"/>
      <c r="J45" s="961"/>
      <c r="K45" s="961"/>
      <c r="L45" s="961"/>
    </row>
    <row r="46" spans="1:12" s="352" customFormat="1">
      <c r="B46" s="960"/>
      <c r="C46" s="960"/>
      <c r="D46" s="961"/>
      <c r="E46" s="961"/>
      <c r="F46" s="961"/>
      <c r="G46" s="961"/>
      <c r="H46" s="961"/>
      <c r="I46" s="961"/>
      <c r="J46" s="961"/>
      <c r="K46" s="961"/>
      <c r="L46" s="961"/>
    </row>
    <row r="47" spans="1:12" s="352" customFormat="1">
      <c r="B47" s="960"/>
      <c r="C47" s="960"/>
      <c r="D47" s="961"/>
      <c r="E47" s="961"/>
      <c r="F47" s="961"/>
      <c r="G47" s="961"/>
      <c r="H47" s="961"/>
      <c r="I47" s="961"/>
      <c r="J47" s="961"/>
      <c r="K47" s="961"/>
      <c r="L47" s="961"/>
    </row>
    <row r="48" spans="1:12" s="352" customFormat="1">
      <c r="B48" s="960"/>
      <c r="C48" s="960"/>
      <c r="D48" s="961"/>
      <c r="E48" s="961"/>
      <c r="F48" s="961"/>
      <c r="G48" s="961"/>
      <c r="H48" s="961"/>
      <c r="I48" s="961"/>
      <c r="J48" s="961"/>
      <c r="K48" s="961"/>
      <c r="L48" s="961"/>
    </row>
    <row r="49" spans="2:12" s="352" customFormat="1">
      <c r="B49" s="960"/>
      <c r="C49" s="960"/>
      <c r="D49" s="961"/>
      <c r="E49" s="961"/>
      <c r="F49" s="961"/>
      <c r="G49" s="961"/>
      <c r="H49" s="961"/>
      <c r="I49" s="961"/>
      <c r="J49" s="961"/>
      <c r="K49" s="961"/>
      <c r="L49" s="961"/>
    </row>
    <row r="50" spans="2:12" s="352" customFormat="1">
      <c r="B50" s="960"/>
      <c r="C50" s="960"/>
      <c r="D50" s="961"/>
      <c r="E50" s="961"/>
      <c r="F50" s="961"/>
      <c r="G50" s="961"/>
      <c r="H50" s="961"/>
      <c r="I50" s="961"/>
      <c r="J50" s="961"/>
      <c r="K50" s="961"/>
      <c r="L50" s="961"/>
    </row>
    <row r="51" spans="2:12" s="352" customFormat="1">
      <c r="B51" s="960"/>
      <c r="C51" s="960"/>
      <c r="D51" s="961"/>
      <c r="E51" s="961"/>
      <c r="F51" s="961"/>
      <c r="G51" s="961"/>
      <c r="H51" s="961"/>
      <c r="I51" s="961"/>
      <c r="J51" s="961"/>
      <c r="K51" s="961"/>
      <c r="L51" s="961"/>
    </row>
    <row r="52" spans="2:12" s="352" customFormat="1">
      <c r="B52" s="960"/>
      <c r="C52" s="960"/>
      <c r="D52" s="961"/>
      <c r="E52" s="961"/>
      <c r="F52" s="961"/>
      <c r="G52" s="961"/>
      <c r="H52" s="961"/>
      <c r="I52" s="961"/>
      <c r="J52" s="961"/>
      <c r="K52" s="961"/>
      <c r="L52" s="961"/>
    </row>
    <row r="53" spans="2:12" s="352" customFormat="1">
      <c r="B53" s="960"/>
      <c r="C53" s="960"/>
      <c r="D53" s="961"/>
      <c r="E53" s="961"/>
      <c r="F53" s="961"/>
      <c r="G53" s="961"/>
      <c r="H53" s="961"/>
      <c r="I53" s="961"/>
      <c r="J53" s="961"/>
      <c r="K53" s="961"/>
      <c r="L53" s="961"/>
    </row>
    <row r="54" spans="2:12" s="352" customFormat="1">
      <c r="B54" s="960"/>
      <c r="C54" s="960"/>
      <c r="D54" s="961"/>
      <c r="E54" s="961"/>
      <c r="F54" s="961"/>
      <c r="G54" s="961"/>
      <c r="H54" s="961"/>
      <c r="I54" s="961"/>
      <c r="J54" s="961"/>
      <c r="K54" s="961"/>
      <c r="L54" s="961"/>
    </row>
    <row r="55" spans="2:12" s="352" customFormat="1">
      <c r="B55" s="960"/>
      <c r="C55" s="960"/>
      <c r="D55" s="961"/>
      <c r="E55" s="961"/>
      <c r="F55" s="961"/>
      <c r="G55" s="961"/>
      <c r="H55" s="961"/>
      <c r="I55" s="961"/>
      <c r="J55" s="961"/>
      <c r="K55" s="961"/>
      <c r="L55" s="961"/>
    </row>
    <row r="56" spans="2:12" s="352" customFormat="1">
      <c r="B56" s="960"/>
      <c r="C56" s="960"/>
      <c r="D56" s="961"/>
      <c r="E56" s="961"/>
      <c r="F56" s="961"/>
      <c r="G56" s="961"/>
      <c r="H56" s="961"/>
      <c r="I56" s="961"/>
      <c r="J56" s="961"/>
      <c r="K56" s="961"/>
      <c r="L56" s="961"/>
    </row>
    <row r="57" spans="2:12" s="352" customFormat="1">
      <c r="B57" s="960"/>
      <c r="C57" s="960"/>
      <c r="D57" s="961"/>
      <c r="E57" s="961"/>
      <c r="F57" s="961"/>
      <c r="G57" s="961"/>
      <c r="H57" s="961"/>
      <c r="I57" s="961"/>
      <c r="J57" s="961"/>
      <c r="K57" s="961"/>
      <c r="L57" s="961"/>
    </row>
    <row r="58" spans="2:12" s="352" customFormat="1">
      <c r="B58" s="960"/>
      <c r="C58" s="960"/>
      <c r="D58" s="961"/>
      <c r="E58" s="961"/>
      <c r="F58" s="961"/>
      <c r="G58" s="961"/>
      <c r="H58" s="961"/>
      <c r="I58" s="961"/>
      <c r="J58" s="961"/>
      <c r="K58" s="961"/>
      <c r="L58" s="961"/>
    </row>
    <row r="59" spans="2:12" s="352" customFormat="1">
      <c r="B59" s="963"/>
      <c r="C59" s="963"/>
      <c r="D59" s="964"/>
      <c r="E59" s="964"/>
      <c r="F59" s="964"/>
      <c r="G59" s="964"/>
      <c r="H59" s="964"/>
      <c r="I59" s="964"/>
      <c r="J59" s="964"/>
      <c r="K59" s="964"/>
      <c r="L59" s="964"/>
    </row>
    <row r="60" spans="2:12" s="352" customFormat="1">
      <c r="B60" s="963"/>
      <c r="C60" s="963"/>
      <c r="D60" s="964"/>
      <c r="E60" s="964"/>
      <c r="F60" s="964"/>
      <c r="G60" s="964"/>
      <c r="H60" s="964"/>
      <c r="I60" s="964"/>
      <c r="J60" s="964"/>
      <c r="K60" s="964"/>
      <c r="L60" s="964"/>
    </row>
    <row r="61" spans="2:12" s="352" customFormat="1">
      <c r="B61" s="963"/>
      <c r="C61" s="963"/>
      <c r="D61" s="964"/>
      <c r="E61" s="964"/>
      <c r="F61" s="964"/>
      <c r="G61" s="964"/>
      <c r="H61" s="964"/>
      <c r="I61" s="964"/>
      <c r="J61" s="964"/>
      <c r="K61" s="964"/>
      <c r="L61" s="964"/>
    </row>
    <row r="62" spans="2:12" s="352" customFormat="1">
      <c r="B62" s="963"/>
      <c r="C62" s="963"/>
      <c r="D62" s="964"/>
      <c r="E62" s="964"/>
      <c r="F62" s="964"/>
      <c r="G62" s="964"/>
      <c r="H62" s="964"/>
      <c r="I62" s="964"/>
      <c r="J62" s="964"/>
      <c r="K62" s="964"/>
      <c r="L62" s="964"/>
    </row>
    <row r="63" spans="2:12" s="352" customFormat="1">
      <c r="B63" s="963"/>
      <c r="C63" s="963"/>
      <c r="D63" s="964"/>
      <c r="E63" s="964"/>
      <c r="F63" s="964"/>
      <c r="G63" s="964"/>
      <c r="H63" s="964"/>
      <c r="I63" s="964"/>
      <c r="J63" s="964"/>
      <c r="K63" s="964"/>
      <c r="L63" s="964"/>
    </row>
    <row r="64" spans="2:12" s="352" customFormat="1">
      <c r="B64" s="963"/>
      <c r="C64" s="963"/>
      <c r="D64" s="964"/>
      <c r="E64" s="964"/>
      <c r="F64" s="964"/>
      <c r="G64" s="964"/>
      <c r="H64" s="964"/>
      <c r="I64" s="964"/>
      <c r="J64" s="964"/>
      <c r="K64" s="964"/>
      <c r="L64" s="964"/>
    </row>
    <row r="65" spans="2:12" s="352" customFormat="1">
      <c r="B65" s="963"/>
      <c r="C65" s="963"/>
      <c r="D65" s="964"/>
      <c r="E65" s="964"/>
      <c r="F65" s="964"/>
      <c r="G65" s="964"/>
      <c r="H65" s="964"/>
      <c r="I65" s="964"/>
      <c r="J65" s="964"/>
      <c r="K65" s="964"/>
      <c r="L65" s="964"/>
    </row>
    <row r="66" spans="2:12" s="352" customFormat="1">
      <c r="B66" s="963"/>
      <c r="C66" s="963"/>
      <c r="D66" s="964"/>
      <c r="E66" s="964"/>
      <c r="F66" s="964"/>
      <c r="G66" s="964"/>
      <c r="H66" s="964"/>
      <c r="I66" s="964"/>
      <c r="J66" s="964"/>
      <c r="K66" s="964"/>
      <c r="L66" s="964"/>
    </row>
    <row r="67" spans="2:12" s="352" customFormat="1">
      <c r="B67" s="963"/>
      <c r="C67" s="963"/>
      <c r="D67" s="964"/>
      <c r="E67" s="964"/>
      <c r="F67" s="964"/>
      <c r="G67" s="964"/>
      <c r="H67" s="964"/>
      <c r="I67" s="964"/>
      <c r="J67" s="964"/>
      <c r="K67" s="964"/>
      <c r="L67" s="964"/>
    </row>
    <row r="68" spans="2:12" s="352" customFormat="1">
      <c r="B68" s="960"/>
      <c r="C68" s="960"/>
      <c r="D68" s="961"/>
      <c r="E68" s="961"/>
      <c r="F68" s="961"/>
      <c r="G68" s="961"/>
      <c r="H68" s="961"/>
      <c r="I68" s="961"/>
      <c r="J68" s="961"/>
      <c r="K68" s="961"/>
      <c r="L68" s="961"/>
    </row>
    <row r="69" spans="2:12" s="352" customFormat="1">
      <c r="B69" s="965"/>
      <c r="C69" s="965"/>
      <c r="D69" s="965"/>
      <c r="E69" s="965"/>
      <c r="F69" s="965"/>
      <c r="G69" s="965"/>
      <c r="H69" s="965"/>
      <c r="I69" s="965"/>
      <c r="J69" s="965"/>
      <c r="K69" s="965"/>
      <c r="L69" s="965"/>
    </row>
    <row r="70" spans="2:12" s="352" customFormat="1">
      <c r="B70" s="965"/>
      <c r="C70" s="965"/>
      <c r="D70" s="965"/>
      <c r="E70" s="965"/>
      <c r="F70" s="965"/>
      <c r="G70" s="965"/>
      <c r="H70" s="965"/>
      <c r="I70" s="965"/>
      <c r="J70" s="965"/>
      <c r="K70" s="965"/>
      <c r="L70" s="965"/>
    </row>
    <row r="71" spans="2:12" s="352" customFormat="1">
      <c r="B71" s="965"/>
      <c r="C71" s="965"/>
      <c r="D71" s="965"/>
      <c r="E71" s="965"/>
      <c r="F71" s="965"/>
      <c r="G71" s="965"/>
      <c r="H71" s="965"/>
      <c r="I71" s="965"/>
      <c r="J71" s="965"/>
      <c r="K71" s="965"/>
      <c r="L71" s="965"/>
    </row>
    <row r="72" spans="2:12" s="352" customFormat="1">
      <c r="B72" s="965"/>
      <c r="C72" s="965"/>
      <c r="D72" s="965"/>
      <c r="E72" s="965"/>
      <c r="F72" s="965"/>
      <c r="G72" s="965"/>
      <c r="H72" s="965"/>
      <c r="I72" s="965"/>
      <c r="J72" s="965"/>
      <c r="K72" s="965"/>
      <c r="L72" s="965"/>
    </row>
    <row r="73" spans="2:12" s="352" customFormat="1">
      <c r="B73" s="965"/>
      <c r="C73" s="965"/>
      <c r="D73" s="965"/>
      <c r="E73" s="965"/>
      <c r="F73" s="965"/>
      <c r="G73" s="965"/>
      <c r="H73" s="965"/>
      <c r="I73" s="965"/>
      <c r="J73" s="965"/>
      <c r="K73" s="965"/>
      <c r="L73" s="965"/>
    </row>
    <row r="74" spans="2:12" s="352" customFormat="1">
      <c r="B74" s="965"/>
      <c r="C74" s="965"/>
      <c r="D74" s="965"/>
      <c r="E74" s="965"/>
      <c r="F74" s="965"/>
      <c r="G74" s="965"/>
      <c r="H74" s="965"/>
      <c r="I74" s="965"/>
      <c r="J74" s="965"/>
      <c r="K74" s="965"/>
      <c r="L74" s="965"/>
    </row>
    <row r="75" spans="2:12" s="352" customFormat="1">
      <c r="B75" s="965"/>
      <c r="C75" s="965"/>
      <c r="D75" s="965"/>
      <c r="E75" s="965"/>
      <c r="F75" s="965"/>
      <c r="G75" s="965"/>
      <c r="H75" s="965"/>
      <c r="I75" s="965"/>
      <c r="J75" s="965"/>
      <c r="K75" s="965"/>
      <c r="L75" s="965"/>
    </row>
    <row r="76" spans="2:12" s="352" customFormat="1">
      <c r="B76" s="965"/>
      <c r="C76" s="965"/>
      <c r="D76" s="965"/>
      <c r="E76" s="965"/>
      <c r="F76" s="965"/>
      <c r="G76" s="965"/>
      <c r="H76" s="965"/>
      <c r="I76" s="965"/>
      <c r="J76" s="965"/>
      <c r="K76" s="965"/>
      <c r="L76" s="965"/>
    </row>
    <row r="77" spans="2:12" s="352" customFormat="1">
      <c r="B77" s="965"/>
      <c r="C77" s="965"/>
      <c r="D77" s="965"/>
      <c r="E77" s="965"/>
      <c r="F77" s="965"/>
      <c r="G77" s="965"/>
      <c r="H77" s="965"/>
      <c r="I77" s="965"/>
      <c r="J77" s="965"/>
      <c r="K77" s="965"/>
      <c r="L77" s="965"/>
    </row>
    <row r="78" spans="2:12" s="352" customFormat="1">
      <c r="B78" s="965"/>
      <c r="C78" s="965"/>
      <c r="D78" s="965"/>
      <c r="E78" s="965"/>
      <c r="F78" s="965"/>
      <c r="G78" s="965"/>
      <c r="H78" s="965"/>
      <c r="I78" s="965"/>
      <c r="J78" s="965"/>
      <c r="K78" s="965"/>
      <c r="L78" s="965"/>
    </row>
    <row r="79" spans="2:12" s="352" customFormat="1">
      <c r="B79" s="965"/>
      <c r="C79" s="965"/>
      <c r="D79" s="965"/>
      <c r="E79" s="965"/>
      <c r="F79" s="965"/>
      <c r="G79" s="965"/>
      <c r="H79" s="965"/>
      <c r="I79" s="965"/>
      <c r="J79" s="965"/>
      <c r="K79" s="965"/>
      <c r="L79" s="965"/>
    </row>
    <row r="80" spans="2:12" s="352" customFormat="1">
      <c r="B80" s="965"/>
      <c r="C80" s="965"/>
      <c r="D80" s="965"/>
      <c r="E80" s="965"/>
      <c r="F80" s="965"/>
      <c r="G80" s="965"/>
      <c r="H80" s="965"/>
      <c r="I80" s="965"/>
      <c r="J80" s="965"/>
      <c r="K80" s="965"/>
      <c r="L80" s="965"/>
    </row>
    <row r="81" spans="2:12" s="352" customFormat="1">
      <c r="B81" s="965"/>
      <c r="C81" s="965"/>
      <c r="D81" s="965"/>
      <c r="E81" s="965"/>
      <c r="F81" s="965"/>
      <c r="G81" s="965"/>
      <c r="H81" s="965"/>
      <c r="I81" s="965"/>
      <c r="J81" s="965"/>
      <c r="K81" s="965"/>
      <c r="L81" s="965"/>
    </row>
    <row r="82" spans="2:12" s="352" customFormat="1">
      <c r="B82" s="965"/>
      <c r="C82" s="965"/>
      <c r="D82" s="965"/>
      <c r="E82" s="965"/>
      <c r="F82" s="965"/>
      <c r="G82" s="965"/>
      <c r="H82" s="965"/>
      <c r="I82" s="965"/>
      <c r="J82" s="965"/>
      <c r="K82" s="965"/>
      <c r="L82" s="965"/>
    </row>
    <row r="83" spans="2:12" s="352" customFormat="1">
      <c r="B83" s="965"/>
      <c r="C83" s="965"/>
      <c r="D83" s="965"/>
      <c r="E83" s="965"/>
      <c r="F83" s="965"/>
      <c r="G83" s="965"/>
      <c r="H83" s="965"/>
      <c r="I83" s="965"/>
      <c r="J83" s="965"/>
      <c r="K83" s="965"/>
      <c r="L83" s="965"/>
    </row>
    <row r="84" spans="2:12" s="352" customFormat="1">
      <c r="B84" s="960"/>
      <c r="C84" s="960"/>
      <c r="D84" s="961"/>
      <c r="E84" s="961"/>
      <c r="F84" s="961"/>
      <c r="G84" s="961"/>
      <c r="H84" s="961"/>
      <c r="I84" s="961"/>
      <c r="J84" s="961"/>
      <c r="K84" s="961"/>
      <c r="L84" s="961"/>
    </row>
    <row r="85" spans="2:12" s="352" customFormat="1">
      <c r="B85" s="960"/>
      <c r="C85" s="960"/>
      <c r="D85" s="961"/>
      <c r="E85" s="961"/>
      <c r="F85" s="961"/>
      <c r="G85" s="961"/>
      <c r="H85" s="961"/>
      <c r="I85" s="961"/>
      <c r="J85" s="961"/>
      <c r="K85" s="961"/>
      <c r="L85" s="961"/>
    </row>
    <row r="86" spans="2:12" s="352" customFormat="1">
      <c r="B86" s="960"/>
      <c r="C86" s="960"/>
      <c r="D86" s="961"/>
      <c r="E86" s="961"/>
      <c r="F86" s="961"/>
      <c r="G86" s="961"/>
      <c r="H86" s="961"/>
      <c r="I86" s="961"/>
      <c r="J86" s="961"/>
      <c r="K86" s="961"/>
      <c r="L86" s="961"/>
    </row>
    <row r="87" spans="2:12" s="352" customFormat="1">
      <c r="B87" s="960"/>
      <c r="C87" s="960"/>
      <c r="D87" s="961"/>
      <c r="E87" s="961"/>
      <c r="F87" s="961"/>
      <c r="G87" s="961"/>
      <c r="H87" s="961"/>
      <c r="I87" s="961"/>
      <c r="J87" s="961"/>
      <c r="K87" s="961"/>
      <c r="L87" s="961"/>
    </row>
    <row r="88" spans="2:12" s="352" customFormat="1">
      <c r="B88" s="960"/>
      <c r="C88" s="960"/>
      <c r="D88" s="961"/>
      <c r="E88" s="961"/>
      <c r="F88" s="961"/>
      <c r="G88" s="961"/>
      <c r="H88" s="961"/>
      <c r="I88" s="961"/>
      <c r="J88" s="961"/>
      <c r="K88" s="961"/>
      <c r="L88" s="961"/>
    </row>
    <row r="89" spans="2:12" s="352" customFormat="1">
      <c r="B89" s="960"/>
      <c r="C89" s="960"/>
      <c r="D89" s="961"/>
      <c r="E89" s="961"/>
      <c r="F89" s="961"/>
      <c r="G89" s="961"/>
      <c r="H89" s="961"/>
      <c r="I89" s="961"/>
      <c r="J89" s="961"/>
      <c r="K89" s="961"/>
      <c r="L89" s="961"/>
    </row>
    <row r="90" spans="2:12" s="352" customFormat="1">
      <c r="B90" s="960"/>
      <c r="C90" s="960"/>
      <c r="D90" s="961"/>
      <c r="E90" s="961"/>
      <c r="F90" s="961"/>
      <c r="G90" s="961"/>
      <c r="H90" s="961"/>
      <c r="I90" s="961"/>
      <c r="J90" s="961"/>
      <c r="K90" s="961"/>
      <c r="L90" s="961"/>
    </row>
    <row r="91" spans="2:12" s="352" customFormat="1">
      <c r="B91" s="960"/>
      <c r="C91" s="960"/>
      <c r="D91" s="961"/>
      <c r="E91" s="961"/>
      <c r="F91" s="961"/>
      <c r="G91" s="961"/>
      <c r="H91" s="961"/>
      <c r="I91" s="961"/>
      <c r="J91" s="961"/>
      <c r="K91" s="961"/>
      <c r="L91" s="961"/>
    </row>
    <row r="92" spans="2:12" s="352" customFormat="1">
      <c r="B92" s="960"/>
      <c r="C92" s="960"/>
      <c r="D92" s="961"/>
      <c r="E92" s="961"/>
      <c r="F92" s="961"/>
      <c r="G92" s="961"/>
      <c r="H92" s="961"/>
      <c r="I92" s="961"/>
      <c r="J92" s="961"/>
      <c r="K92" s="961"/>
      <c r="L92" s="961"/>
    </row>
    <row r="93" spans="2:12" s="352" customFormat="1">
      <c r="B93" s="960"/>
      <c r="C93" s="960"/>
      <c r="D93" s="961"/>
      <c r="E93" s="961"/>
      <c r="F93" s="961"/>
      <c r="G93" s="961"/>
      <c r="H93" s="961"/>
      <c r="I93" s="961"/>
      <c r="J93" s="961"/>
      <c r="K93" s="961"/>
      <c r="L93" s="961"/>
    </row>
    <row r="94" spans="2:12" s="352" customFormat="1">
      <c r="B94" s="960"/>
      <c r="C94" s="960"/>
      <c r="D94" s="961"/>
      <c r="E94" s="961"/>
      <c r="F94" s="961"/>
      <c r="G94" s="961"/>
      <c r="H94" s="961"/>
      <c r="I94" s="961"/>
      <c r="J94" s="961"/>
      <c r="K94" s="961"/>
      <c r="L94" s="961"/>
    </row>
    <row r="95" spans="2:12" s="352" customFormat="1">
      <c r="B95" s="960"/>
      <c r="C95" s="960"/>
      <c r="D95" s="961"/>
      <c r="E95" s="961"/>
      <c r="F95" s="961"/>
      <c r="G95" s="961"/>
      <c r="H95" s="961"/>
      <c r="I95" s="961"/>
      <c r="J95" s="961"/>
      <c r="K95" s="961"/>
      <c r="L95" s="961"/>
    </row>
    <row r="96" spans="2:12" s="352" customFormat="1">
      <c r="B96" s="960"/>
      <c r="C96" s="960"/>
      <c r="D96" s="961"/>
      <c r="E96" s="961"/>
      <c r="F96" s="961"/>
      <c r="G96" s="961"/>
      <c r="H96" s="961"/>
      <c r="I96" s="961"/>
      <c r="J96" s="961"/>
      <c r="K96" s="961"/>
      <c r="L96" s="961"/>
    </row>
    <row r="97" spans="2:12" s="352" customFormat="1">
      <c r="B97" s="960"/>
      <c r="C97" s="960"/>
      <c r="D97" s="961"/>
      <c r="E97" s="961"/>
      <c r="F97" s="961"/>
      <c r="G97" s="961"/>
      <c r="H97" s="961"/>
      <c r="I97" s="961"/>
      <c r="J97" s="961"/>
      <c r="K97" s="961"/>
      <c r="L97" s="961"/>
    </row>
    <row r="98" spans="2:12" s="352" customFormat="1">
      <c r="B98" s="960"/>
      <c r="C98" s="960"/>
      <c r="D98" s="961"/>
      <c r="E98" s="961"/>
      <c r="F98" s="961"/>
      <c r="G98" s="961"/>
      <c r="H98" s="961"/>
      <c r="I98" s="961"/>
      <c r="J98" s="961"/>
      <c r="K98" s="961"/>
      <c r="L98" s="961"/>
    </row>
    <row r="99" spans="2:12" s="352" customFormat="1">
      <c r="B99" s="960"/>
      <c r="C99" s="960"/>
      <c r="D99" s="961"/>
      <c r="E99" s="961"/>
      <c r="F99" s="961"/>
      <c r="G99" s="961"/>
      <c r="H99" s="961"/>
      <c r="I99" s="961"/>
      <c r="J99" s="961"/>
      <c r="K99" s="961"/>
      <c r="L99" s="961"/>
    </row>
    <row r="100" spans="2:12" s="352" customFormat="1">
      <c r="B100" s="960"/>
      <c r="C100" s="960"/>
      <c r="D100" s="961"/>
      <c r="E100" s="961"/>
      <c r="F100" s="961"/>
      <c r="G100" s="961"/>
      <c r="H100" s="961"/>
      <c r="I100" s="961"/>
      <c r="J100" s="961"/>
      <c r="K100" s="961"/>
      <c r="L100" s="961"/>
    </row>
    <row r="101" spans="2:12" s="352" customFormat="1">
      <c r="B101" s="960"/>
      <c r="C101" s="960"/>
      <c r="D101" s="961"/>
      <c r="E101" s="961"/>
      <c r="F101" s="961"/>
      <c r="G101" s="961"/>
      <c r="H101" s="961"/>
      <c r="I101" s="961"/>
      <c r="J101" s="961"/>
      <c r="K101" s="961"/>
      <c r="L101" s="961"/>
    </row>
    <row r="102" spans="2:12" s="352" customFormat="1">
      <c r="B102" s="960"/>
      <c r="C102" s="960"/>
      <c r="D102" s="961"/>
      <c r="E102" s="961"/>
      <c r="F102" s="961"/>
      <c r="G102" s="961"/>
      <c r="H102" s="961"/>
      <c r="I102" s="961"/>
      <c r="J102" s="961"/>
      <c r="K102" s="961"/>
      <c r="L102" s="961"/>
    </row>
    <row r="103" spans="2:12" s="352" customFormat="1">
      <c r="B103" s="960"/>
      <c r="C103" s="960"/>
      <c r="D103" s="961"/>
      <c r="E103" s="961"/>
      <c r="F103" s="961"/>
      <c r="G103" s="961"/>
      <c r="H103" s="961"/>
      <c r="I103" s="961"/>
      <c r="J103" s="961"/>
      <c r="K103" s="961"/>
      <c r="L103" s="961"/>
    </row>
    <row r="104" spans="2:12" s="352" customFormat="1">
      <c r="B104" s="960"/>
      <c r="C104" s="960"/>
      <c r="D104" s="961"/>
      <c r="E104" s="961"/>
      <c r="F104" s="961"/>
      <c r="G104" s="961"/>
      <c r="H104" s="961"/>
      <c r="I104" s="961"/>
      <c r="J104" s="961"/>
      <c r="K104" s="961"/>
      <c r="L104" s="961"/>
    </row>
    <row r="105" spans="2:12" s="352" customFormat="1">
      <c r="B105" s="960"/>
      <c r="C105" s="960"/>
      <c r="D105" s="961"/>
      <c r="E105" s="961"/>
      <c r="F105" s="961"/>
      <c r="G105" s="961"/>
      <c r="H105" s="961"/>
      <c r="I105" s="961"/>
      <c r="J105" s="961"/>
      <c r="K105" s="961"/>
      <c r="L105" s="961"/>
    </row>
    <row r="106" spans="2:12" s="352" customFormat="1">
      <c r="B106" s="960"/>
      <c r="C106" s="960"/>
      <c r="D106" s="961"/>
      <c r="E106" s="961"/>
      <c r="F106" s="961"/>
      <c r="G106" s="961"/>
      <c r="H106" s="961"/>
      <c r="I106" s="961"/>
      <c r="J106" s="961"/>
      <c r="K106" s="961"/>
      <c r="L106" s="961"/>
    </row>
    <row r="107" spans="2:12" s="352" customFormat="1">
      <c r="B107" s="960"/>
      <c r="C107" s="960"/>
      <c r="D107" s="961"/>
      <c r="E107" s="961"/>
      <c r="F107" s="961"/>
      <c r="G107" s="961"/>
      <c r="H107" s="961"/>
      <c r="I107" s="961"/>
      <c r="J107" s="961"/>
      <c r="K107" s="961"/>
      <c r="L107" s="961"/>
    </row>
    <row r="108" spans="2:12" s="352" customFormat="1">
      <c r="B108" s="960"/>
      <c r="C108" s="960"/>
      <c r="D108" s="961"/>
      <c r="E108" s="961"/>
      <c r="F108" s="961"/>
      <c r="G108" s="961"/>
      <c r="H108" s="961"/>
      <c r="I108" s="961"/>
      <c r="J108" s="961"/>
      <c r="K108" s="961"/>
      <c r="L108" s="961"/>
    </row>
    <row r="109" spans="2:12" s="352" customFormat="1">
      <c r="B109" s="960"/>
      <c r="C109" s="960"/>
      <c r="D109" s="961"/>
      <c r="E109" s="961"/>
      <c r="F109" s="961"/>
      <c r="G109" s="961"/>
      <c r="H109" s="961"/>
      <c r="I109" s="961"/>
      <c r="J109" s="961"/>
      <c r="K109" s="961"/>
      <c r="L109" s="961"/>
    </row>
    <row r="110" spans="2:12" s="352" customFormat="1">
      <c r="B110" s="960"/>
      <c r="C110" s="960"/>
      <c r="D110" s="961"/>
      <c r="E110" s="961"/>
      <c r="F110" s="961"/>
      <c r="G110" s="961"/>
      <c r="H110" s="961"/>
      <c r="I110" s="961"/>
      <c r="J110" s="961"/>
      <c r="K110" s="961"/>
      <c r="L110" s="961"/>
    </row>
  </sheetData>
  <pageMargins left="0.70866141732283472" right="0.70866141732283472" top="0.74803149606299213" bottom="0.74803149606299213" header="0.31496062992125984" footer="0.31496062992125984"/>
  <pageSetup scale="70" orientation="landscape" r:id="rId1"/>
  <colBreaks count="1" manualBreakCount="1">
    <brk id="12" max="33" man="1"/>
  </col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I11"/>
  <sheetViews>
    <sheetView view="pageBreakPreview" zoomScale="60" zoomScaleNormal="118" workbookViewId="0">
      <selection activeCell="S41" sqref="S41"/>
    </sheetView>
  </sheetViews>
  <sheetFormatPr defaultColWidth="9.140625" defaultRowHeight="15"/>
  <cols>
    <col min="1" max="1" width="56" style="356" customWidth="1"/>
    <col min="2" max="12" width="11.7109375" style="80" customWidth="1"/>
    <col min="13" max="16384" width="9.140625" style="80"/>
  </cols>
  <sheetData>
    <row r="1" spans="1:61" ht="30" customHeight="1">
      <c r="A1" s="1023" t="s">
        <v>276</v>
      </c>
      <c r="B1" s="1023"/>
      <c r="C1" s="1023"/>
      <c r="D1" s="1023"/>
      <c r="E1" s="1023"/>
      <c r="F1" s="1023"/>
      <c r="G1" s="1023"/>
      <c r="H1" s="1023"/>
      <c r="I1" s="1023"/>
      <c r="J1" s="1023"/>
      <c r="K1" s="1023"/>
      <c r="L1" s="1023"/>
    </row>
    <row r="2" spans="1:61" ht="14.25" customHeight="1">
      <c r="A2" s="354"/>
      <c r="B2" s="33"/>
      <c r="C2" s="33"/>
    </row>
    <row r="3" spans="1:61" s="70" customFormat="1" ht="26.25" customHeight="1">
      <c r="A3" s="570" t="s">
        <v>277</v>
      </c>
      <c r="B3" s="971">
        <v>2010</v>
      </c>
      <c r="C3" s="971">
        <v>2011</v>
      </c>
      <c r="D3" s="971">
        <v>2012</v>
      </c>
      <c r="E3" s="971">
        <v>2013</v>
      </c>
      <c r="F3" s="971">
        <v>2014</v>
      </c>
      <c r="G3" s="971">
        <v>2015</v>
      </c>
      <c r="H3" s="971">
        <v>2016</v>
      </c>
      <c r="I3" s="971">
        <v>2017</v>
      </c>
      <c r="J3" s="971">
        <v>2018</v>
      </c>
      <c r="K3" s="971">
        <v>2019</v>
      </c>
      <c r="L3" s="971">
        <v>2020</v>
      </c>
    </row>
    <row r="4" spans="1:61" s="70" customFormat="1" ht="26.25" customHeight="1">
      <c r="A4" s="247" t="s">
        <v>278</v>
      </c>
      <c r="B4" s="973">
        <v>80.599999999999994</v>
      </c>
      <c r="C4" s="973">
        <v>89.7</v>
      </c>
      <c r="D4" s="973">
        <v>99.4</v>
      </c>
      <c r="E4" s="973">
        <v>103.2</v>
      </c>
      <c r="F4" s="972">
        <v>105.38050013404563</v>
      </c>
      <c r="G4" s="972">
        <v>106.38</v>
      </c>
      <c r="H4" s="972">
        <v>106.91958868829052</v>
      </c>
      <c r="I4" s="972">
        <v>109.93201964009602</v>
      </c>
      <c r="J4" s="972">
        <v>109.78539958307455</v>
      </c>
      <c r="K4" s="972">
        <v>99.704026856120265</v>
      </c>
      <c r="L4" s="972">
        <v>98.338306764350818</v>
      </c>
    </row>
    <row r="5" spans="1:61" s="54" customFormat="1" ht="26.25" customHeight="1">
      <c r="A5" s="974" t="s">
        <v>279</v>
      </c>
      <c r="B5" s="975">
        <v>6.2</v>
      </c>
      <c r="C5" s="975">
        <v>11.3</v>
      </c>
      <c r="D5" s="975">
        <v>10.9</v>
      </c>
      <c r="E5" s="976">
        <v>3.8</v>
      </c>
      <c r="F5" s="975">
        <v>2.1200017571813001</v>
      </c>
      <c r="G5" s="975">
        <v>0.95</v>
      </c>
      <c r="H5" s="975">
        <v>0.50250941361158485</v>
      </c>
      <c r="I5" s="975">
        <v>2.8174733823451481</v>
      </c>
      <c r="J5" s="975">
        <v>-0.13337338611760785</v>
      </c>
      <c r="K5" s="975">
        <v>0.22002973106536317</v>
      </c>
      <c r="L5" s="975">
        <v>-1.3697742556980863</v>
      </c>
    </row>
    <row r="6" spans="1:61" s="70" customFormat="1" ht="26.25" customHeight="1">
      <c r="A6" s="247" t="s">
        <v>280</v>
      </c>
      <c r="B6" s="973">
        <v>69.599999999999994</v>
      </c>
      <c r="C6" s="973">
        <v>83.4</v>
      </c>
      <c r="D6" s="973">
        <v>98.1</v>
      </c>
      <c r="E6" s="973">
        <v>105.2</v>
      </c>
      <c r="F6" s="972">
        <v>105.91516633353841</v>
      </c>
      <c r="G6" s="972">
        <v>106.42761479980396</v>
      </c>
      <c r="H6" s="972">
        <v>107.04157551050889</v>
      </c>
      <c r="I6" s="972">
        <v>113.03489126776282</v>
      </c>
      <c r="J6" s="972">
        <v>111.81011866226531</v>
      </c>
      <c r="K6" s="972">
        <v>99.755867509454859</v>
      </c>
      <c r="L6" s="972">
        <v>102.47540524074198</v>
      </c>
    </row>
    <row r="7" spans="1:61" s="54" customFormat="1" ht="26.25" customHeight="1">
      <c r="A7" s="974" t="s">
        <v>281</v>
      </c>
      <c r="B7" s="975">
        <v>7.5</v>
      </c>
      <c r="C7" s="975">
        <v>19.899999999999999</v>
      </c>
      <c r="D7" s="975">
        <f>((D6-C6)/C6)*100</f>
        <v>17.625899280575524</v>
      </c>
      <c r="E7" s="975">
        <f>((E6-D6)/D6)*100</f>
        <v>7.2375127420999066</v>
      </c>
      <c r="F7" s="975">
        <v>0.7</v>
      </c>
      <c r="G7" s="975">
        <v>0.48</v>
      </c>
      <c r="H7" s="975">
        <v>0.57688102083264248</v>
      </c>
      <c r="I7" s="975">
        <v>5.5990541326304877</v>
      </c>
      <c r="J7" s="975">
        <v>-1.0835349968147301</v>
      </c>
      <c r="K7" s="975">
        <v>-0.79052536778502214</v>
      </c>
      <c r="L7" s="975">
        <v>2.7261932547770762</v>
      </c>
      <c r="AM7" s="80"/>
      <c r="AN7" s="80"/>
      <c r="AO7" s="80"/>
      <c r="AP7" s="80"/>
      <c r="AQ7" s="80"/>
      <c r="AR7" s="80"/>
      <c r="AS7" s="80"/>
      <c r="AT7" s="80"/>
      <c r="AU7" s="80"/>
      <c r="AV7" s="80"/>
      <c r="AW7" s="80"/>
      <c r="AX7" s="80"/>
      <c r="AY7" s="80"/>
      <c r="AZ7" s="80"/>
      <c r="BA7" s="80"/>
      <c r="BB7" s="80"/>
      <c r="BC7" s="80"/>
      <c r="BD7" s="80"/>
      <c r="BE7" s="80"/>
      <c r="BF7" s="80"/>
      <c r="BG7" s="80"/>
      <c r="BH7" s="80"/>
      <c r="BI7" s="80"/>
    </row>
    <row r="8" spans="1:61" ht="27" customHeight="1">
      <c r="A8" s="247" t="s">
        <v>466</v>
      </c>
      <c r="B8" s="977">
        <v>12.8</v>
      </c>
      <c r="C8" s="978">
        <v>15.41</v>
      </c>
      <c r="D8" s="978">
        <v>15.37</v>
      </c>
      <c r="E8" s="978">
        <v>15.41</v>
      </c>
      <c r="F8" s="978">
        <v>15.4</v>
      </c>
      <c r="G8" s="978">
        <v>15.41</v>
      </c>
      <c r="H8" s="978">
        <v>15.35</v>
      </c>
      <c r="I8" s="978">
        <v>15.41</v>
      </c>
      <c r="J8" s="978">
        <v>15.41</v>
      </c>
      <c r="K8" s="978">
        <v>15.38</v>
      </c>
      <c r="L8" s="978">
        <v>15.41</v>
      </c>
      <c r="AO8" s="80">
        <v>2000</v>
      </c>
      <c r="AP8" s="80">
        <v>2001</v>
      </c>
      <c r="AQ8" s="80">
        <v>2002</v>
      </c>
      <c r="AR8" s="80">
        <v>2003</v>
      </c>
      <c r="AS8" s="80">
        <v>2004</v>
      </c>
      <c r="AT8" s="80">
        <v>2005</v>
      </c>
      <c r="AU8" s="80">
        <v>2006</v>
      </c>
      <c r="AV8" s="80">
        <v>2007</v>
      </c>
      <c r="AW8" s="80">
        <v>2008</v>
      </c>
      <c r="AX8" s="80">
        <v>2009</v>
      </c>
      <c r="AY8" s="80">
        <v>2010</v>
      </c>
      <c r="AZ8" s="80">
        <v>2011</v>
      </c>
      <c r="BA8" s="80">
        <v>2012</v>
      </c>
      <c r="BB8" s="80">
        <v>2013</v>
      </c>
      <c r="BC8" s="80">
        <v>2014</v>
      </c>
      <c r="BD8" s="80">
        <v>2015</v>
      </c>
      <c r="BE8" s="80">
        <v>2016</v>
      </c>
      <c r="BF8" s="80">
        <v>2017</v>
      </c>
      <c r="BG8" s="80">
        <v>2018</v>
      </c>
      <c r="BH8" s="80">
        <v>2019</v>
      </c>
      <c r="BI8" s="80">
        <v>2020</v>
      </c>
    </row>
    <row r="9" spans="1:61" ht="27" customHeight="1">
      <c r="A9" s="974" t="s">
        <v>282</v>
      </c>
      <c r="B9" s="975">
        <v>8.1999999999999993</v>
      </c>
      <c r="C9" s="975">
        <v>15.65</v>
      </c>
      <c r="D9" s="975">
        <v>16.23</v>
      </c>
      <c r="E9" s="975">
        <v>16.079999999999998</v>
      </c>
      <c r="F9" s="975">
        <v>12</v>
      </c>
      <c r="G9" s="975">
        <v>11</v>
      </c>
      <c r="H9" s="975">
        <v>9.25</v>
      </c>
      <c r="I9" s="975">
        <v>9.61</v>
      </c>
      <c r="J9" s="975">
        <v>11.99</v>
      </c>
      <c r="K9" s="975">
        <v>11.19</v>
      </c>
      <c r="L9" s="975">
        <v>8.7100000000000009</v>
      </c>
      <c r="AN9" s="35" t="s">
        <v>284</v>
      </c>
      <c r="AO9" s="357"/>
      <c r="AP9" s="357">
        <v>0.7</v>
      </c>
      <c r="AQ9" s="357">
        <v>4.2</v>
      </c>
      <c r="AR9" s="357">
        <v>-1.3</v>
      </c>
      <c r="AS9" s="357">
        <v>-1.7</v>
      </c>
      <c r="AT9" s="357">
        <v>1.3</v>
      </c>
      <c r="AU9" s="357">
        <v>2.7</v>
      </c>
      <c r="AV9" s="357">
        <v>6.8</v>
      </c>
      <c r="AW9" s="357">
        <v>12</v>
      </c>
      <c r="AX9" s="357">
        <v>4.5</v>
      </c>
      <c r="AY9" s="54">
        <v>6.2</v>
      </c>
      <c r="AZ9" s="54">
        <v>11.3</v>
      </c>
      <c r="BA9" s="80">
        <v>10.9</v>
      </c>
      <c r="BB9" s="38">
        <v>3.8</v>
      </c>
      <c r="BC9" s="80">
        <v>2.1</v>
      </c>
      <c r="BD9" s="358">
        <v>0.95</v>
      </c>
      <c r="BE9" s="148">
        <f>H5</f>
        <v>0.50250941361158485</v>
      </c>
      <c r="BF9" s="148">
        <f>I5</f>
        <v>2.8174733823451481</v>
      </c>
      <c r="BG9" s="148">
        <f>J5</f>
        <v>-0.13337338611760785</v>
      </c>
      <c r="BH9" s="148">
        <f>K5</f>
        <v>0.22002973106536317</v>
      </c>
      <c r="BI9" s="148">
        <f>L5</f>
        <v>-1.3697742556980863</v>
      </c>
    </row>
    <row r="10" spans="1:61" ht="18.75" customHeight="1">
      <c r="A10" s="355" t="s">
        <v>283</v>
      </c>
      <c r="AN10" s="35" t="s">
        <v>285</v>
      </c>
      <c r="AO10" s="359"/>
      <c r="AP10" s="360">
        <v>1.9390581717451405</v>
      </c>
      <c r="AQ10" s="360">
        <v>3.5326086956521854</v>
      </c>
      <c r="AR10" s="360">
        <v>-6.0367454068241582</v>
      </c>
      <c r="AS10" s="360">
        <v>15.921787709497215</v>
      </c>
      <c r="AT10" s="360">
        <v>7.9518072289156558</v>
      </c>
      <c r="AU10" s="360">
        <v>4</v>
      </c>
      <c r="AV10" s="360">
        <v>16.2</v>
      </c>
      <c r="AW10" s="360">
        <v>19.100000000000001</v>
      </c>
      <c r="AX10" s="360">
        <v>0.5</v>
      </c>
      <c r="AY10" s="361">
        <v>7.5</v>
      </c>
      <c r="AZ10" s="361">
        <v>19.899999999999999</v>
      </c>
      <c r="BA10" s="362">
        <v>17.625899280575524</v>
      </c>
      <c r="BB10" s="38">
        <v>7.2</v>
      </c>
      <c r="BC10" s="80">
        <v>0.7</v>
      </c>
      <c r="BD10" s="358">
        <v>0.48</v>
      </c>
      <c r="BE10" s="148">
        <f>H7</f>
        <v>0.57688102083264248</v>
      </c>
      <c r="BF10" s="148">
        <f>I7</f>
        <v>5.5990541326304877</v>
      </c>
      <c r="BG10" s="148">
        <f>J7</f>
        <v>-1.0835349968147301</v>
      </c>
      <c r="BH10" s="148">
        <f>K7</f>
        <v>-0.79052536778502214</v>
      </c>
      <c r="BI10" s="148">
        <f>L7</f>
        <v>2.7261932547770762</v>
      </c>
    </row>
    <row r="11" spans="1:61">
      <c r="B11" s="356"/>
      <c r="C11" s="356"/>
      <c r="D11" s="356"/>
      <c r="E11" s="356"/>
      <c r="F11" s="356"/>
      <c r="G11" s="356"/>
      <c r="H11" s="356"/>
      <c r="I11" s="356"/>
      <c r="J11" s="356"/>
      <c r="K11" s="356"/>
      <c r="L11" s="356"/>
      <c r="AU11" s="148"/>
      <c r="AV11" s="148"/>
      <c r="AW11" s="148"/>
      <c r="AX11" s="148"/>
      <c r="AY11" s="148"/>
      <c r="AZ11" s="148"/>
      <c r="BA11" s="148"/>
      <c r="BB11" s="148"/>
      <c r="BC11" s="148"/>
      <c r="BD11" s="148"/>
      <c r="BE11" s="148"/>
    </row>
  </sheetData>
  <mergeCells count="1">
    <mergeCell ref="A1:L1"/>
  </mergeCells>
  <pageMargins left="0.7" right="0.7" top="0.75" bottom="0.75" header="0.3" footer="0.3"/>
  <pageSetup scale="48" orientation="portrait" horizontalDpi="0" verticalDpi="0" r:id="rId1"/>
  <colBreaks count="1" manualBreakCount="1">
    <brk id="12" max="1048575" man="1"/>
  </col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CB153"/>
  <sheetViews>
    <sheetView view="pageBreakPreview" zoomScale="95" zoomScaleNormal="91" zoomScaleSheetLayoutView="95" workbookViewId="0">
      <selection activeCell="P44" sqref="P44"/>
    </sheetView>
  </sheetViews>
  <sheetFormatPr defaultColWidth="9.140625" defaultRowHeight="15"/>
  <cols>
    <col min="1" max="1" width="32.28515625" style="378" customWidth="1"/>
    <col min="2" max="2" width="14.42578125" style="79" customWidth="1"/>
    <col min="3" max="3" width="13.85546875" style="79" customWidth="1"/>
    <col min="4" max="4" width="16" style="79" customWidth="1"/>
    <col min="5" max="5" width="16.28515625" style="79" customWidth="1"/>
    <col min="6" max="6" width="14.7109375" style="79" customWidth="1"/>
    <col min="7" max="7" width="15.5703125" style="79" customWidth="1"/>
    <col min="8" max="8" width="16" style="79" customWidth="1"/>
    <col min="9" max="9" width="16" style="80" customWidth="1"/>
    <col min="10" max="10" width="16.85546875" style="80" customWidth="1"/>
    <col min="11" max="11" width="18.7109375" style="80" customWidth="1"/>
    <col min="12" max="12" width="14.140625" style="80" customWidth="1"/>
    <col min="13" max="20" width="14.7109375" style="80" customWidth="1"/>
    <col min="21" max="23" width="9.140625" style="80"/>
    <col min="24" max="24" width="14.140625" style="80" customWidth="1"/>
    <col min="25" max="27" width="9.140625" style="80"/>
    <col min="28" max="28" width="20" style="80" customWidth="1"/>
    <col min="29" max="30" width="9.140625" style="80"/>
    <col min="31" max="31" width="27" style="80" customWidth="1"/>
    <col min="32" max="33" width="17.42578125" style="80" customWidth="1"/>
    <col min="34" max="80" width="9.140625" style="80"/>
    <col min="81" max="16384" width="9.140625" style="79"/>
  </cols>
  <sheetData>
    <row r="1" spans="1:34" ht="28.5">
      <c r="A1" s="1023" t="s">
        <v>286</v>
      </c>
      <c r="B1" s="1023"/>
      <c r="C1" s="1023"/>
      <c r="D1" s="1023"/>
      <c r="E1" s="1023"/>
      <c r="F1" s="1023"/>
      <c r="G1" s="1023"/>
      <c r="H1" s="1023"/>
      <c r="I1" s="1023"/>
      <c r="J1" s="1023"/>
      <c r="K1" s="1023"/>
      <c r="L1" s="1023"/>
      <c r="M1" s="1023"/>
      <c r="N1" s="1014"/>
      <c r="O1" s="1014"/>
      <c r="P1" s="1014"/>
      <c r="Q1" s="1014"/>
      <c r="R1" s="1014"/>
      <c r="S1" s="1014"/>
      <c r="T1" s="1014"/>
      <c r="U1" s="134"/>
      <c r="V1" s="134"/>
      <c r="W1" s="134"/>
    </row>
    <row r="2" spans="1:34">
      <c r="A2" s="356"/>
      <c r="B2" s="80"/>
      <c r="C2" s="80"/>
      <c r="D2" s="363">
        <v>2011</v>
      </c>
      <c r="E2" s="363">
        <v>2012</v>
      </c>
      <c r="F2" s="363">
        <v>2013</v>
      </c>
      <c r="G2" s="363">
        <v>2014</v>
      </c>
      <c r="H2" s="363">
        <v>2015</v>
      </c>
      <c r="I2" s="363">
        <v>2016</v>
      </c>
      <c r="J2" s="363">
        <v>2017</v>
      </c>
      <c r="K2" s="363">
        <v>2018</v>
      </c>
      <c r="L2" s="363">
        <v>2019</v>
      </c>
      <c r="M2" s="363">
        <v>2020</v>
      </c>
      <c r="N2" s="363"/>
      <c r="O2" s="363"/>
      <c r="P2" s="363"/>
      <c r="Q2" s="363"/>
      <c r="R2" s="363"/>
      <c r="S2" s="363"/>
      <c r="T2" s="363"/>
    </row>
    <row r="3" spans="1:34" ht="24.6" customHeight="1">
      <c r="A3" s="610" t="s">
        <v>287</v>
      </c>
      <c r="B3" s="476"/>
      <c r="C3" s="476"/>
      <c r="D3" s="609">
        <v>122671</v>
      </c>
      <c r="E3" s="609">
        <v>130928</v>
      </c>
      <c r="F3" s="609">
        <v>135587</v>
      </c>
      <c r="G3" s="609">
        <v>137800</v>
      </c>
      <c r="H3" s="609">
        <v>131157</v>
      </c>
      <c r="I3" s="609">
        <v>101889</v>
      </c>
      <c r="J3" s="609">
        <v>107089</v>
      </c>
      <c r="K3" s="609">
        <v>108987</v>
      </c>
      <c r="L3" s="609">
        <v>133523</v>
      </c>
      <c r="M3" s="620">
        <v>134572</v>
      </c>
      <c r="N3" s="1016"/>
      <c r="O3" s="1016"/>
      <c r="P3" s="1016"/>
      <c r="Q3" s="1016"/>
      <c r="R3" s="1016"/>
      <c r="S3" s="1016"/>
      <c r="T3" s="1016"/>
    </row>
    <row r="4" spans="1:34" ht="26.45" customHeight="1">
      <c r="A4" s="612" t="s">
        <v>288</v>
      </c>
      <c r="B4" s="613"/>
      <c r="C4" s="613"/>
      <c r="D4" s="608">
        <v>13049317.129999999</v>
      </c>
      <c r="E4" s="608">
        <v>13236363.319999998</v>
      </c>
      <c r="F4" s="608">
        <v>12825451.089999996</v>
      </c>
      <c r="G4" s="608">
        <v>14078994.187899999</v>
      </c>
      <c r="H4" s="608">
        <v>18379175.989999998</v>
      </c>
      <c r="I4" s="608">
        <v>23216868</v>
      </c>
      <c r="J4" s="608">
        <v>23007353</v>
      </c>
      <c r="K4" s="608">
        <v>24248671</v>
      </c>
      <c r="L4" s="608">
        <v>26123073</v>
      </c>
      <c r="M4" s="619">
        <v>0</v>
      </c>
      <c r="N4" s="619"/>
      <c r="O4" s="619"/>
      <c r="P4" s="619"/>
      <c r="Q4" s="619"/>
      <c r="R4" s="619"/>
      <c r="S4" s="619"/>
      <c r="T4" s="619"/>
    </row>
    <row r="5" spans="1:34" ht="18" customHeight="1">
      <c r="A5" s="478"/>
      <c r="B5" s="476"/>
      <c r="C5" s="476"/>
      <c r="D5" s="476"/>
      <c r="E5" s="476"/>
      <c r="F5" s="611"/>
      <c r="G5" s="611"/>
      <c r="H5" s="611"/>
      <c r="I5" s="611"/>
      <c r="J5" s="611"/>
      <c r="K5" s="611"/>
      <c r="L5" s="611"/>
      <c r="M5" s="611"/>
      <c r="N5" s="611"/>
      <c r="O5" s="611"/>
      <c r="P5" s="611"/>
      <c r="Q5" s="611"/>
      <c r="R5" s="611"/>
      <c r="S5" s="611"/>
      <c r="T5" s="611"/>
    </row>
    <row r="6" spans="1:34">
      <c r="A6" s="366"/>
      <c r="B6" s="367"/>
      <c r="C6" s="367"/>
      <c r="D6" s="367"/>
      <c r="E6" s="608"/>
      <c r="F6" s="608"/>
      <c r="G6" s="608"/>
      <c r="H6" s="614"/>
      <c r="I6" s="613"/>
      <c r="J6" s="613"/>
      <c r="K6" s="613"/>
      <c r="L6" s="613"/>
      <c r="M6" s="613"/>
      <c r="N6" s="613"/>
      <c r="O6" s="613"/>
      <c r="P6" s="613"/>
      <c r="Q6" s="613"/>
      <c r="R6" s="613"/>
      <c r="S6" s="613"/>
      <c r="T6" s="613"/>
    </row>
    <row r="7" spans="1:34" ht="28.5">
      <c r="A7" s="1023" t="s">
        <v>289</v>
      </c>
      <c r="B7" s="1023"/>
      <c r="C7" s="1023"/>
      <c r="D7" s="1023"/>
      <c r="E7" s="1023"/>
      <c r="F7" s="1023"/>
      <c r="G7" s="1023"/>
      <c r="H7" s="1023"/>
      <c r="I7" s="1023"/>
      <c r="J7" s="1023"/>
      <c r="K7" s="1023"/>
      <c r="L7" s="1023"/>
      <c r="M7" s="1023"/>
      <c r="N7" s="1014"/>
      <c r="O7" s="1014"/>
      <c r="P7" s="1014"/>
      <c r="Q7" s="1014"/>
      <c r="R7" s="1014"/>
      <c r="S7" s="1014"/>
      <c r="T7" s="1014"/>
      <c r="V7" s="465">
        <v>2019</v>
      </c>
      <c r="AB7" s="363"/>
      <c r="AC7" s="363"/>
      <c r="AD7" s="363"/>
      <c r="AE7" s="363"/>
      <c r="AF7" s="364"/>
      <c r="AG7" s="363"/>
      <c r="AH7" s="363"/>
    </row>
    <row r="8" spans="1:34" ht="32.25" customHeight="1">
      <c r="A8" s="366"/>
      <c r="B8" s="1029" t="s">
        <v>290</v>
      </c>
      <c r="C8" s="1029"/>
      <c r="D8" s="615" t="s">
        <v>416</v>
      </c>
      <c r="E8" s="615" t="s">
        <v>292</v>
      </c>
      <c r="F8" s="1029" t="s">
        <v>417</v>
      </c>
      <c r="G8" s="1029"/>
      <c r="H8" s="615" t="s">
        <v>343</v>
      </c>
      <c r="I8" s="615" t="s">
        <v>418</v>
      </c>
      <c r="J8" s="615" t="s">
        <v>295</v>
      </c>
      <c r="K8" s="615" t="s">
        <v>342</v>
      </c>
      <c r="L8" s="615" t="s">
        <v>398</v>
      </c>
      <c r="M8" s="613"/>
      <c r="N8" s="613"/>
      <c r="O8" s="613"/>
      <c r="P8" s="613"/>
      <c r="Q8" s="613"/>
      <c r="R8" s="613"/>
      <c r="S8" s="613"/>
      <c r="T8" s="613"/>
      <c r="U8" s="368"/>
      <c r="V8" s="369" t="s">
        <v>296</v>
      </c>
      <c r="W8" s="369" t="s">
        <v>38</v>
      </c>
      <c r="X8" s="369" t="s">
        <v>39</v>
      </c>
    </row>
    <row r="9" spans="1:34" ht="22.5" customHeight="1">
      <c r="A9" s="616" t="s">
        <v>297</v>
      </c>
      <c r="B9" s="1030">
        <v>61599484.75</v>
      </c>
      <c r="C9" s="1030"/>
      <c r="D9" s="609">
        <v>22069176.829999998</v>
      </c>
      <c r="E9" s="609">
        <v>44840129.75</v>
      </c>
      <c r="F9" s="609"/>
      <c r="G9" s="609">
        <f>X25</f>
        <v>76487271</v>
      </c>
      <c r="H9" s="609">
        <v>29564148</v>
      </c>
      <c r="I9" s="609">
        <v>25929972</v>
      </c>
      <c r="J9" s="609">
        <v>46220447</v>
      </c>
      <c r="K9" s="609">
        <v>65829595</v>
      </c>
      <c r="L9" s="609">
        <v>45440227</v>
      </c>
      <c r="M9" s="611"/>
      <c r="N9" s="611"/>
      <c r="O9" s="611"/>
      <c r="P9" s="611"/>
      <c r="Q9" s="611"/>
      <c r="R9" s="611"/>
      <c r="S9" s="611"/>
      <c r="T9" s="611"/>
      <c r="U9" s="368"/>
      <c r="V9" s="370">
        <v>87</v>
      </c>
      <c r="W9" s="371">
        <v>83</v>
      </c>
      <c r="X9" s="372">
        <v>4</v>
      </c>
    </row>
    <row r="10" spans="1:34" ht="22.5" customHeight="1">
      <c r="A10" s="617"/>
      <c r="B10" s="373" t="s">
        <v>298</v>
      </c>
      <c r="C10" s="373" t="s">
        <v>299</v>
      </c>
      <c r="D10" s="367"/>
      <c r="E10" s="367"/>
      <c r="F10" s="373" t="s">
        <v>298</v>
      </c>
      <c r="G10" s="373" t="s">
        <v>299</v>
      </c>
      <c r="H10" s="373"/>
      <c r="I10" s="367"/>
      <c r="J10" s="613"/>
      <c r="K10" s="613"/>
      <c r="L10" s="613"/>
      <c r="M10" s="613"/>
      <c r="N10" s="613"/>
      <c r="O10" s="613"/>
      <c r="P10" s="613"/>
      <c r="Q10" s="613"/>
      <c r="R10" s="613"/>
      <c r="S10" s="613"/>
      <c r="T10" s="613"/>
      <c r="U10" s="368"/>
      <c r="V10" s="374"/>
    </row>
    <row r="11" spans="1:34" ht="22.5" customHeight="1">
      <c r="A11" s="616" t="s">
        <v>300</v>
      </c>
      <c r="B11" s="609">
        <v>207961</v>
      </c>
      <c r="C11" s="609">
        <v>209294</v>
      </c>
      <c r="D11" s="609">
        <v>212559</v>
      </c>
      <c r="E11" s="609">
        <v>223975</v>
      </c>
      <c r="F11" s="609">
        <v>239105</v>
      </c>
      <c r="G11" s="609">
        <v>239165</v>
      </c>
      <c r="H11" s="609"/>
      <c r="I11" s="609">
        <v>240653</v>
      </c>
      <c r="J11" s="611"/>
      <c r="K11" s="609">
        <v>262135</v>
      </c>
      <c r="L11" s="609">
        <v>264442</v>
      </c>
      <c r="M11" s="611"/>
      <c r="N11" s="611"/>
      <c r="O11" s="611"/>
      <c r="P11" s="611"/>
      <c r="Q11" s="611"/>
      <c r="R11" s="611"/>
      <c r="S11" s="611"/>
      <c r="T11" s="611"/>
      <c r="Z11" s="320"/>
      <c r="AA11" s="320"/>
      <c r="AB11" s="320"/>
    </row>
    <row r="12" spans="1:34" ht="22.5" customHeight="1">
      <c r="A12" s="618" t="s">
        <v>301</v>
      </c>
      <c r="B12" s="608">
        <v>177802</v>
      </c>
      <c r="C12" s="608">
        <v>181204</v>
      </c>
      <c r="D12" s="608">
        <v>166105</v>
      </c>
      <c r="E12" s="608">
        <v>161510</v>
      </c>
      <c r="F12" s="608">
        <v>208504</v>
      </c>
      <c r="G12" s="608">
        <v>218619</v>
      </c>
      <c r="H12" s="608"/>
      <c r="I12" s="608">
        <v>189642</v>
      </c>
      <c r="J12" s="613"/>
      <c r="K12" s="608">
        <v>233889</v>
      </c>
      <c r="L12" s="608">
        <v>215053</v>
      </c>
      <c r="M12" s="613"/>
      <c r="N12" s="613"/>
      <c r="O12" s="613"/>
      <c r="P12" s="613"/>
      <c r="Q12" s="613"/>
      <c r="R12" s="613"/>
      <c r="S12" s="613"/>
      <c r="T12" s="613"/>
      <c r="Z12" s="320"/>
      <c r="AA12" s="320"/>
      <c r="AB12" s="320"/>
    </row>
    <row r="13" spans="1:34" ht="22.5" customHeight="1">
      <c r="A13" s="616" t="s">
        <v>302</v>
      </c>
      <c r="B13" s="479">
        <v>0.85499999999999998</v>
      </c>
      <c r="C13" s="479">
        <v>0.86580000000000001</v>
      </c>
      <c r="D13" s="479">
        <v>0.79</v>
      </c>
      <c r="E13" s="479">
        <f>E12/E11</f>
        <v>0.72110726643598611</v>
      </c>
      <c r="F13" s="479">
        <v>0.872</v>
      </c>
      <c r="G13" s="479">
        <v>0.91400000000000003</v>
      </c>
      <c r="H13" s="479"/>
      <c r="I13" s="479">
        <v>0.79</v>
      </c>
      <c r="J13" s="611"/>
      <c r="K13" s="479">
        <v>0.89219999999999999</v>
      </c>
      <c r="L13" s="479">
        <f>L12/L11</f>
        <v>0.81323314753329656</v>
      </c>
      <c r="M13" s="611"/>
      <c r="N13" s="611"/>
      <c r="O13" s="611"/>
      <c r="P13" s="611"/>
      <c r="Q13" s="611"/>
      <c r="R13" s="611"/>
      <c r="S13" s="611"/>
      <c r="T13" s="611"/>
      <c r="W13" s="369" t="s">
        <v>38</v>
      </c>
      <c r="X13" s="369" t="s">
        <v>39</v>
      </c>
      <c r="Z13" s="320"/>
      <c r="AA13" s="320"/>
      <c r="AB13" s="320"/>
    </row>
    <row r="14" spans="1:34" ht="21.75" customHeight="1">
      <c r="A14" s="409" t="s">
        <v>303</v>
      </c>
      <c r="B14" s="80"/>
      <c r="C14" s="80"/>
      <c r="D14" s="80"/>
      <c r="E14" s="466"/>
      <c r="F14" s="80"/>
      <c r="G14" s="80"/>
      <c r="H14" s="80"/>
      <c r="V14" s="80" t="s">
        <v>427</v>
      </c>
      <c r="W14" s="464">
        <f>W9/V9*100</f>
        <v>95.402298850574709</v>
      </c>
      <c r="X14" s="464">
        <f>X9/V9*100</f>
        <v>4.5977011494252871</v>
      </c>
      <c r="Z14" s="320"/>
      <c r="AA14" s="320"/>
      <c r="AB14" s="320"/>
    </row>
    <row r="15" spans="1:34" s="80" customFormat="1" ht="15" customHeight="1">
      <c r="A15" s="409" t="s">
        <v>359</v>
      </c>
      <c r="B15" s="409"/>
      <c r="C15" s="409"/>
      <c r="D15" s="409"/>
      <c r="V15" s="80" t="s">
        <v>428</v>
      </c>
      <c r="W15" s="80">
        <v>94</v>
      </c>
      <c r="X15" s="80">
        <v>6</v>
      </c>
      <c r="Z15" s="320"/>
      <c r="AA15" s="320"/>
      <c r="AB15" s="320"/>
    </row>
    <row r="16" spans="1:34" s="80" customFormat="1">
      <c r="A16" s="356"/>
      <c r="Z16" s="320"/>
      <c r="AA16" s="320" t="s">
        <v>421</v>
      </c>
      <c r="AB16" s="320" t="s">
        <v>422</v>
      </c>
    </row>
    <row r="17" spans="1:33" s="80" customFormat="1">
      <c r="A17" s="356"/>
      <c r="J17" s="467"/>
      <c r="AB17" s="80" t="s">
        <v>296</v>
      </c>
      <c r="AC17" s="80" t="s">
        <v>38</v>
      </c>
      <c r="AD17" s="80" t="s">
        <v>39</v>
      </c>
    </row>
    <row r="18" spans="1:33" s="80" customFormat="1" ht="15" customHeight="1">
      <c r="A18" s="356"/>
      <c r="J18" s="467"/>
      <c r="AA18" s="80" t="s">
        <v>423</v>
      </c>
      <c r="AB18" s="80">
        <v>617</v>
      </c>
      <c r="AC18" s="80">
        <v>580</v>
      </c>
      <c r="AD18" s="80">
        <v>37</v>
      </c>
      <c r="AF18" s="214"/>
      <c r="AG18" s="214"/>
    </row>
    <row r="19" spans="1:33" s="80" customFormat="1" ht="15" customHeight="1">
      <c r="A19" s="356"/>
      <c r="J19" s="467"/>
      <c r="AA19" s="80" t="s">
        <v>424</v>
      </c>
      <c r="AB19" s="80">
        <v>62</v>
      </c>
      <c r="AC19" s="80">
        <v>61</v>
      </c>
      <c r="AD19" s="80">
        <v>1</v>
      </c>
    </row>
    <row r="20" spans="1:33" s="80" customFormat="1">
      <c r="A20" s="356"/>
      <c r="J20" s="467"/>
      <c r="AA20" s="80" t="s">
        <v>425</v>
      </c>
      <c r="AB20" s="80">
        <v>532</v>
      </c>
      <c r="AC20" s="80">
        <v>500</v>
      </c>
      <c r="AD20" s="80">
        <v>32</v>
      </c>
    </row>
    <row r="21" spans="1:33" s="80" customFormat="1">
      <c r="A21" s="356"/>
      <c r="J21" s="467"/>
      <c r="AA21" s="80" t="s">
        <v>426</v>
      </c>
      <c r="AB21" s="80">
        <v>23</v>
      </c>
      <c r="AC21" s="80">
        <v>19</v>
      </c>
      <c r="AD21" s="80">
        <v>4</v>
      </c>
    </row>
    <row r="22" spans="1:33" s="80" customFormat="1">
      <c r="A22" s="356"/>
      <c r="J22" s="467"/>
      <c r="V22" s="408" t="s">
        <v>304</v>
      </c>
      <c r="W22" s="399">
        <v>2008</v>
      </c>
      <c r="X22" s="405">
        <v>61599484.75</v>
      </c>
    </row>
    <row r="23" spans="1:33" s="80" customFormat="1">
      <c r="A23" s="356"/>
      <c r="J23" s="467"/>
      <c r="V23" s="408" t="s">
        <v>291</v>
      </c>
      <c r="W23" s="399">
        <v>2009</v>
      </c>
      <c r="X23" s="401">
        <v>22069176.829999998</v>
      </c>
    </row>
    <row r="24" spans="1:33" s="80" customFormat="1">
      <c r="A24" s="356"/>
      <c r="J24" s="467"/>
      <c r="V24" s="408" t="s">
        <v>292</v>
      </c>
      <c r="W24" s="400">
        <v>2011</v>
      </c>
      <c r="X24" s="403">
        <v>44840129.75</v>
      </c>
    </row>
    <row r="25" spans="1:33" s="80" customFormat="1">
      <c r="A25" s="356"/>
      <c r="J25" s="467"/>
      <c r="V25" s="407" t="s">
        <v>293</v>
      </c>
      <c r="W25" s="400">
        <v>2013</v>
      </c>
      <c r="X25" s="403">
        <v>76487271</v>
      </c>
    </row>
    <row r="26" spans="1:33" s="80" customFormat="1">
      <c r="A26" s="356"/>
      <c r="J26" s="467"/>
      <c r="V26" s="408" t="s">
        <v>343</v>
      </c>
      <c r="W26" s="400">
        <v>2014</v>
      </c>
      <c r="X26" s="403">
        <v>29564148</v>
      </c>
    </row>
    <row r="27" spans="1:33" s="80" customFormat="1" ht="15" customHeight="1">
      <c r="A27" s="356"/>
      <c r="V27" s="408" t="s">
        <v>294</v>
      </c>
      <c r="W27" s="400">
        <v>2014</v>
      </c>
      <c r="X27" s="402">
        <v>25929972</v>
      </c>
    </row>
    <row r="28" spans="1:33" s="80" customFormat="1">
      <c r="A28" s="356"/>
      <c r="V28" s="408" t="s">
        <v>295</v>
      </c>
      <c r="W28" s="400">
        <v>2017</v>
      </c>
      <c r="X28" s="406">
        <v>46220447</v>
      </c>
    </row>
    <row r="29" spans="1:33" s="80" customFormat="1">
      <c r="A29" s="356"/>
      <c r="V29" s="408" t="s">
        <v>342</v>
      </c>
      <c r="W29" s="404">
        <v>2018</v>
      </c>
      <c r="X29" s="403">
        <v>65829595</v>
      </c>
    </row>
    <row r="30" spans="1:33" s="80" customFormat="1">
      <c r="A30" s="356"/>
      <c r="V30" s="408" t="s">
        <v>398</v>
      </c>
      <c r="W30" s="489">
        <v>2019</v>
      </c>
      <c r="X30" s="403">
        <v>45440227</v>
      </c>
    </row>
    <row r="31" spans="1:33" s="80" customFormat="1" ht="15" customHeight="1">
      <c r="A31" s="356"/>
    </row>
    <row r="32" spans="1:33" s="80" customFormat="1">
      <c r="A32" s="356"/>
      <c r="AE32" s="47"/>
    </row>
    <row r="33" spans="1:31" s="80" customFormat="1">
      <c r="A33" s="356"/>
      <c r="E33" s="366"/>
      <c r="F33" s="1031"/>
      <c r="G33" s="1031"/>
      <c r="H33" s="376"/>
      <c r="I33" s="377"/>
      <c r="K33" s="1027"/>
      <c r="L33" s="1027"/>
      <c r="M33" s="377"/>
      <c r="N33" s="377"/>
      <c r="O33" s="377"/>
      <c r="P33" s="377"/>
      <c r="Q33" s="377"/>
      <c r="R33" s="377"/>
      <c r="S33" s="377"/>
      <c r="T33" s="377"/>
      <c r="AE33" s="130"/>
    </row>
    <row r="34" spans="1:31" s="80" customFormat="1">
      <c r="A34" s="356"/>
      <c r="E34" s="375"/>
      <c r="F34" s="1028"/>
      <c r="G34" s="1028"/>
      <c r="H34" s="365"/>
      <c r="I34" s="365"/>
      <c r="K34" s="365"/>
      <c r="L34" s="365"/>
      <c r="M34" s="365"/>
      <c r="N34" s="1015"/>
      <c r="O34" s="1015"/>
      <c r="P34" s="1015"/>
      <c r="Q34" s="1015"/>
      <c r="R34" s="1015"/>
      <c r="S34" s="1015"/>
      <c r="T34" s="1015"/>
      <c r="AE34" s="47"/>
    </row>
    <row r="35" spans="1:31" s="80" customFormat="1">
      <c r="A35" s="356"/>
      <c r="AE35" s="47"/>
    </row>
    <row r="36" spans="1:31" s="80" customFormat="1">
      <c r="A36" s="356"/>
      <c r="AE36" s="47"/>
    </row>
    <row r="37" spans="1:31" s="80" customFormat="1">
      <c r="A37" s="356"/>
      <c r="AE37" s="47"/>
    </row>
    <row r="38" spans="1:31" s="80" customFormat="1">
      <c r="A38" s="356"/>
      <c r="AE38" s="47"/>
    </row>
    <row r="39" spans="1:31" s="80" customFormat="1">
      <c r="A39" s="356"/>
      <c r="AE39" s="47"/>
    </row>
    <row r="40" spans="1:31" s="80" customFormat="1">
      <c r="A40" s="356"/>
    </row>
    <row r="41" spans="1:31" s="80" customFormat="1">
      <c r="A41" s="356"/>
    </row>
    <row r="42" spans="1:31" s="80" customFormat="1">
      <c r="A42" s="356"/>
    </row>
    <row r="43" spans="1:31" s="80" customFormat="1">
      <c r="A43" s="356"/>
    </row>
    <row r="44" spans="1:31" s="80" customFormat="1">
      <c r="A44" s="356"/>
    </row>
    <row r="45" spans="1:31" s="80" customFormat="1">
      <c r="A45" s="356"/>
    </row>
    <row r="46" spans="1:31" s="80" customFormat="1">
      <c r="A46" s="356"/>
    </row>
    <row r="47" spans="1:31" s="80" customFormat="1">
      <c r="A47" s="356"/>
    </row>
    <row r="48" spans="1:31" s="80" customFormat="1">
      <c r="A48" s="356"/>
    </row>
    <row r="49" spans="1:1" s="80" customFormat="1">
      <c r="A49" s="356"/>
    </row>
    <row r="50" spans="1:1" s="80" customFormat="1">
      <c r="A50" s="356"/>
    </row>
    <row r="51" spans="1:1" s="80" customFormat="1">
      <c r="A51" s="356"/>
    </row>
    <row r="52" spans="1:1" s="80" customFormat="1">
      <c r="A52" s="356"/>
    </row>
    <row r="53" spans="1:1" s="80" customFormat="1">
      <c r="A53" s="356"/>
    </row>
    <row r="54" spans="1:1" s="80" customFormat="1">
      <c r="A54" s="356"/>
    </row>
    <row r="55" spans="1:1" s="80" customFormat="1">
      <c r="A55" s="356"/>
    </row>
    <row r="56" spans="1:1" s="80" customFormat="1">
      <c r="A56" s="356"/>
    </row>
    <row r="57" spans="1:1" s="80" customFormat="1">
      <c r="A57" s="356"/>
    </row>
    <row r="58" spans="1:1" s="80" customFormat="1">
      <c r="A58" s="356"/>
    </row>
    <row r="59" spans="1:1" s="80" customFormat="1">
      <c r="A59" s="356"/>
    </row>
    <row r="60" spans="1:1" s="80" customFormat="1">
      <c r="A60" s="356"/>
    </row>
    <row r="61" spans="1:1" s="80" customFormat="1">
      <c r="A61" s="356"/>
    </row>
    <row r="62" spans="1:1" s="80" customFormat="1">
      <c r="A62" s="356"/>
    </row>
    <row r="63" spans="1:1" s="80" customFormat="1">
      <c r="A63" s="356"/>
    </row>
    <row r="64" spans="1:1" s="80" customFormat="1">
      <c r="A64" s="356"/>
    </row>
    <row r="65" spans="1:1" s="80" customFormat="1">
      <c r="A65" s="356"/>
    </row>
    <row r="66" spans="1:1" s="80" customFormat="1">
      <c r="A66" s="356"/>
    </row>
    <row r="67" spans="1:1" s="80" customFormat="1">
      <c r="A67" s="356"/>
    </row>
    <row r="68" spans="1:1" s="80" customFormat="1">
      <c r="A68" s="356"/>
    </row>
    <row r="69" spans="1:1" s="80" customFormat="1">
      <c r="A69" s="356"/>
    </row>
    <row r="70" spans="1:1" s="80" customFormat="1">
      <c r="A70" s="356"/>
    </row>
    <row r="71" spans="1:1" s="80" customFormat="1">
      <c r="A71" s="356"/>
    </row>
    <row r="72" spans="1:1" s="80" customFormat="1">
      <c r="A72" s="356"/>
    </row>
    <row r="73" spans="1:1" s="80" customFormat="1">
      <c r="A73" s="356"/>
    </row>
    <row r="74" spans="1:1" s="80" customFormat="1">
      <c r="A74" s="356"/>
    </row>
    <row r="75" spans="1:1" s="80" customFormat="1">
      <c r="A75" s="356"/>
    </row>
    <row r="76" spans="1:1" s="80" customFormat="1">
      <c r="A76" s="356"/>
    </row>
    <row r="77" spans="1:1" s="80" customFormat="1">
      <c r="A77" s="356"/>
    </row>
    <row r="78" spans="1:1" s="80" customFormat="1">
      <c r="A78" s="356"/>
    </row>
    <row r="79" spans="1:1" s="80" customFormat="1">
      <c r="A79" s="356"/>
    </row>
    <row r="80" spans="1:1" s="80" customFormat="1">
      <c r="A80" s="356"/>
    </row>
    <row r="81" spans="1:1" s="80" customFormat="1">
      <c r="A81" s="356"/>
    </row>
    <row r="82" spans="1:1" s="80" customFormat="1">
      <c r="A82" s="356"/>
    </row>
    <row r="83" spans="1:1" s="80" customFormat="1">
      <c r="A83" s="356"/>
    </row>
    <row r="84" spans="1:1" s="80" customFormat="1">
      <c r="A84" s="356"/>
    </row>
    <row r="85" spans="1:1" s="80" customFormat="1">
      <c r="A85" s="356"/>
    </row>
    <row r="86" spans="1:1" s="80" customFormat="1">
      <c r="A86" s="356"/>
    </row>
    <row r="87" spans="1:1" s="80" customFormat="1">
      <c r="A87" s="356"/>
    </row>
    <row r="88" spans="1:1" s="80" customFormat="1">
      <c r="A88" s="356"/>
    </row>
    <row r="89" spans="1:1" s="80" customFormat="1">
      <c r="A89" s="356"/>
    </row>
    <row r="90" spans="1:1" s="80" customFormat="1">
      <c r="A90" s="356"/>
    </row>
    <row r="91" spans="1:1" s="80" customFormat="1">
      <c r="A91" s="356"/>
    </row>
    <row r="92" spans="1:1" s="80" customFormat="1">
      <c r="A92" s="356"/>
    </row>
    <row r="93" spans="1:1" s="80" customFormat="1">
      <c r="A93" s="356"/>
    </row>
    <row r="94" spans="1:1" s="80" customFormat="1">
      <c r="A94" s="356"/>
    </row>
    <row r="95" spans="1:1" s="80" customFormat="1">
      <c r="A95" s="356"/>
    </row>
    <row r="96" spans="1:1" s="80" customFormat="1">
      <c r="A96" s="356"/>
    </row>
    <row r="97" spans="1:1" s="80" customFormat="1">
      <c r="A97" s="356"/>
    </row>
    <row r="98" spans="1:1" s="80" customFormat="1">
      <c r="A98" s="356"/>
    </row>
    <row r="99" spans="1:1" s="80" customFormat="1">
      <c r="A99" s="356"/>
    </row>
    <row r="100" spans="1:1" s="80" customFormat="1">
      <c r="A100" s="356"/>
    </row>
    <row r="101" spans="1:1" s="80" customFormat="1">
      <c r="A101" s="356"/>
    </row>
    <row r="102" spans="1:1" s="80" customFormat="1">
      <c r="A102" s="356"/>
    </row>
    <row r="103" spans="1:1" s="80" customFormat="1">
      <c r="A103" s="356"/>
    </row>
    <row r="104" spans="1:1" s="80" customFormat="1">
      <c r="A104" s="356"/>
    </row>
    <row r="105" spans="1:1" s="80" customFormat="1">
      <c r="A105" s="356"/>
    </row>
    <row r="106" spans="1:1" s="80" customFormat="1">
      <c r="A106" s="356"/>
    </row>
    <row r="107" spans="1:1" s="80" customFormat="1">
      <c r="A107" s="356"/>
    </row>
    <row r="108" spans="1:1" s="80" customFormat="1">
      <c r="A108" s="356"/>
    </row>
    <row r="109" spans="1:1" s="80" customFormat="1">
      <c r="A109" s="356"/>
    </row>
    <row r="110" spans="1:1" s="80" customFormat="1">
      <c r="A110" s="356"/>
    </row>
    <row r="111" spans="1:1" s="80" customFormat="1">
      <c r="A111" s="356"/>
    </row>
    <row r="112" spans="1:1" s="80" customFormat="1">
      <c r="A112" s="356"/>
    </row>
    <row r="113" spans="1:1" s="80" customFormat="1">
      <c r="A113" s="356"/>
    </row>
    <row r="114" spans="1:1" s="80" customFormat="1">
      <c r="A114" s="356"/>
    </row>
    <row r="115" spans="1:1" s="80" customFormat="1">
      <c r="A115" s="356"/>
    </row>
    <row r="116" spans="1:1" s="80" customFormat="1">
      <c r="A116" s="356"/>
    </row>
    <row r="117" spans="1:1" s="80" customFormat="1">
      <c r="A117" s="356"/>
    </row>
    <row r="118" spans="1:1" s="80" customFormat="1">
      <c r="A118" s="356"/>
    </row>
    <row r="119" spans="1:1" s="80" customFormat="1">
      <c r="A119" s="356"/>
    </row>
    <row r="120" spans="1:1" s="80" customFormat="1">
      <c r="A120" s="356"/>
    </row>
    <row r="121" spans="1:1" s="80" customFormat="1">
      <c r="A121" s="356"/>
    </row>
    <row r="122" spans="1:1" s="80" customFormat="1">
      <c r="A122" s="356"/>
    </row>
    <row r="123" spans="1:1" s="80" customFormat="1">
      <c r="A123" s="356"/>
    </row>
    <row r="124" spans="1:1" s="80" customFormat="1">
      <c r="A124" s="356"/>
    </row>
    <row r="125" spans="1:1" s="80" customFormat="1">
      <c r="A125" s="356"/>
    </row>
    <row r="126" spans="1:1" s="80" customFormat="1">
      <c r="A126" s="356"/>
    </row>
    <row r="127" spans="1:1" s="80" customFormat="1">
      <c r="A127" s="356"/>
    </row>
    <row r="128" spans="1:1" s="80" customFormat="1">
      <c r="A128" s="356"/>
    </row>
    <row r="129" spans="1:1" s="80" customFormat="1">
      <c r="A129" s="356"/>
    </row>
    <row r="130" spans="1:1" s="80" customFormat="1">
      <c r="A130" s="356"/>
    </row>
    <row r="131" spans="1:1" s="80" customFormat="1">
      <c r="A131" s="356"/>
    </row>
    <row r="132" spans="1:1" s="80" customFormat="1">
      <c r="A132" s="356"/>
    </row>
    <row r="133" spans="1:1" s="80" customFormat="1">
      <c r="A133" s="356"/>
    </row>
    <row r="134" spans="1:1" s="80" customFormat="1">
      <c r="A134" s="356"/>
    </row>
    <row r="135" spans="1:1" s="80" customFormat="1">
      <c r="A135" s="356"/>
    </row>
    <row r="136" spans="1:1" s="80" customFormat="1">
      <c r="A136" s="356"/>
    </row>
    <row r="137" spans="1:1" s="80" customFormat="1">
      <c r="A137" s="356"/>
    </row>
    <row r="138" spans="1:1" s="80" customFormat="1">
      <c r="A138" s="356"/>
    </row>
    <row r="139" spans="1:1" s="80" customFormat="1">
      <c r="A139" s="356"/>
    </row>
    <row r="140" spans="1:1" s="80" customFormat="1">
      <c r="A140" s="356"/>
    </row>
    <row r="141" spans="1:1" s="80" customFormat="1">
      <c r="A141" s="356"/>
    </row>
    <row r="142" spans="1:1" s="80" customFormat="1">
      <c r="A142" s="356"/>
    </row>
    <row r="143" spans="1:1" s="80" customFormat="1">
      <c r="A143" s="356"/>
    </row>
    <row r="144" spans="1:1" s="80" customFormat="1">
      <c r="A144" s="356"/>
    </row>
    <row r="145" spans="1:1" s="80" customFormat="1">
      <c r="A145" s="356"/>
    </row>
    <row r="146" spans="1:1" s="80" customFormat="1">
      <c r="A146" s="356"/>
    </row>
    <row r="147" spans="1:1" s="80" customFormat="1">
      <c r="A147" s="356"/>
    </row>
    <row r="148" spans="1:1" s="80" customFormat="1">
      <c r="A148" s="356"/>
    </row>
    <row r="149" spans="1:1" s="80" customFormat="1">
      <c r="A149" s="356"/>
    </row>
    <row r="150" spans="1:1" s="80" customFormat="1">
      <c r="A150" s="356"/>
    </row>
    <row r="151" spans="1:1" s="80" customFormat="1">
      <c r="A151" s="356"/>
    </row>
    <row r="152" spans="1:1" s="80" customFormat="1">
      <c r="A152" s="356"/>
    </row>
    <row r="153" spans="1:1" s="80" customFormat="1">
      <c r="A153" s="356"/>
    </row>
  </sheetData>
  <mergeCells count="8">
    <mergeCell ref="A1:M1"/>
    <mergeCell ref="A7:M7"/>
    <mergeCell ref="K33:L33"/>
    <mergeCell ref="F34:G34"/>
    <mergeCell ref="B8:C8"/>
    <mergeCell ref="F8:G8"/>
    <mergeCell ref="B9:C9"/>
    <mergeCell ref="F33:G33"/>
  </mergeCells>
  <dataValidations count="1">
    <dataValidation type="decimal" errorStyle="warning" allowBlank="1" showErrorMessage="1" errorTitle="Check data type!" error="You may enter only decimals but descriptors as NA (not available) &amp; &quot;-&quot; (dash). Check for exceptionally high or low values. Click 'yes' if you are sure what you have typed is correct." sqref="J17:J26">
      <formula1>0</formula1>
      <formula2>1000</formula2>
    </dataValidation>
  </dataValidations>
  <pageMargins left="0.70866141732283472" right="0.70866141732283472" top="0.74803149606299213" bottom="0.74803149606299213" header="0.31496062992125984" footer="0.31496062992125984"/>
  <pageSetup paperSize="9" scale="50" orientation="landscape" horizontalDpi="4294967295" verticalDpi="4294967295" r:id="rId1"/>
  <colBreaks count="1" manualBreakCount="1">
    <brk id="20" max="1048575" man="1"/>
  </col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E251"/>
  <sheetViews>
    <sheetView zoomScaleNormal="100" workbookViewId="0">
      <selection activeCell="I7" sqref="I7"/>
    </sheetView>
  </sheetViews>
  <sheetFormatPr defaultColWidth="9.140625" defaultRowHeight="15"/>
  <cols>
    <col min="1" max="1" width="53.42578125" style="390" customWidth="1"/>
    <col min="2" max="2" width="59.28515625" style="390" customWidth="1"/>
    <col min="3" max="3" width="3" style="79" customWidth="1"/>
    <col min="4" max="4" width="9.140625" style="80"/>
    <col min="5" max="5" width="11.5703125" style="80" customWidth="1"/>
    <col min="6" max="8" width="9.140625" style="80"/>
    <col min="9" max="9" width="22.85546875" style="80" customWidth="1"/>
    <col min="10" max="57" width="9.140625" style="80"/>
    <col min="58" max="16384" width="9.140625" style="79"/>
  </cols>
  <sheetData>
    <row r="1" spans="1:57" ht="28.5">
      <c r="A1" s="1021" t="s">
        <v>305</v>
      </c>
      <c r="B1" s="1021"/>
      <c r="C1" s="1021"/>
      <c r="D1" s="1021"/>
      <c r="E1" s="1021"/>
      <c r="F1" s="1021"/>
    </row>
    <row r="2" spans="1:57" s="380" customFormat="1" ht="15" customHeight="1">
      <c r="A2" s="275"/>
      <c r="B2" s="275"/>
      <c r="C2" s="275"/>
      <c r="D2" s="47"/>
      <c r="E2" s="47"/>
      <c r="F2" s="379"/>
      <c r="G2" s="379"/>
      <c r="H2" s="379"/>
      <c r="I2" s="379"/>
      <c r="J2" s="379"/>
      <c r="K2" s="379"/>
      <c r="L2" s="379"/>
      <c r="M2" s="379"/>
      <c r="N2" s="379"/>
      <c r="O2" s="379"/>
      <c r="P2" s="379"/>
      <c r="Q2" s="379"/>
      <c r="R2" s="379"/>
      <c r="S2" s="379"/>
      <c r="T2" s="379"/>
      <c r="U2" s="379"/>
      <c r="V2" s="379"/>
      <c r="W2" s="379"/>
      <c r="X2" s="379"/>
      <c r="Y2" s="379"/>
      <c r="Z2" s="379"/>
      <c r="AA2" s="379"/>
      <c r="AB2" s="379"/>
      <c r="AC2" s="379"/>
      <c r="AD2" s="379"/>
      <c r="AE2" s="379"/>
      <c r="AF2" s="379"/>
      <c r="AG2" s="379"/>
      <c r="AH2" s="379"/>
      <c r="AI2" s="379"/>
      <c r="AJ2" s="379"/>
      <c r="AK2" s="379"/>
      <c r="AL2" s="379"/>
      <c r="AM2" s="379"/>
      <c r="AN2" s="379"/>
      <c r="AO2" s="379"/>
      <c r="AP2" s="379"/>
      <c r="AQ2" s="379"/>
      <c r="AR2" s="379"/>
      <c r="AS2" s="379"/>
      <c r="AT2" s="379"/>
      <c r="AU2" s="379"/>
      <c r="AV2" s="379"/>
      <c r="AW2" s="379"/>
      <c r="AX2" s="379"/>
      <c r="AY2" s="379"/>
      <c r="AZ2" s="379"/>
      <c r="BA2" s="379"/>
      <c r="BB2" s="379"/>
      <c r="BC2" s="379"/>
      <c r="BD2" s="379"/>
      <c r="BE2" s="379"/>
    </row>
    <row r="3" spans="1:57" s="381" customFormat="1" ht="18.75" customHeight="1">
      <c r="A3" s="481" t="s">
        <v>306</v>
      </c>
      <c r="B3" s="481"/>
      <c r="C3" s="482"/>
      <c r="D3" s="480"/>
      <c r="E3" s="483">
        <v>2016</v>
      </c>
      <c r="F3" s="480"/>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row>
    <row r="4" spans="1:57" s="47" customFormat="1" ht="18.75" customHeight="1">
      <c r="B4" s="382"/>
      <c r="C4" s="383"/>
      <c r="D4" s="383" t="s">
        <v>83</v>
      </c>
      <c r="E4" s="383" t="s">
        <v>307</v>
      </c>
      <c r="F4" s="383" t="s">
        <v>86</v>
      </c>
    </row>
    <row r="5" spans="1:57" s="47" customFormat="1" ht="18.75" customHeight="1">
      <c r="A5" s="481" t="s">
        <v>308</v>
      </c>
      <c r="B5" s="484"/>
      <c r="C5" s="482"/>
      <c r="D5" s="485"/>
      <c r="E5" s="485"/>
      <c r="F5" s="485"/>
    </row>
    <row r="6" spans="1:57" s="381" customFormat="1" ht="18.75" customHeight="1">
      <c r="A6" s="98" t="s">
        <v>309</v>
      </c>
      <c r="B6" s="66" t="s">
        <v>310</v>
      </c>
      <c r="C6" s="383"/>
      <c r="D6" s="384">
        <v>8.2000000000000003E-2</v>
      </c>
      <c r="E6" s="384">
        <v>1.7000000000000001E-2</v>
      </c>
      <c r="F6" s="384">
        <v>0.128</v>
      </c>
      <c r="G6" s="47"/>
      <c r="H6" s="47"/>
      <c r="I6" s="47"/>
      <c r="J6" s="47"/>
      <c r="K6" s="47"/>
      <c r="L6" s="47"/>
      <c r="M6" s="47"/>
      <c r="N6" s="47"/>
      <c r="O6" s="47"/>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47"/>
      <c r="AY6" s="47"/>
      <c r="AZ6" s="47"/>
      <c r="BA6" s="47"/>
      <c r="BB6" s="47"/>
      <c r="BC6" s="47"/>
      <c r="BD6" s="47"/>
      <c r="BE6" s="47"/>
    </row>
    <row r="7" spans="1:57" s="47" customFormat="1" ht="18.75" customHeight="1">
      <c r="A7" s="486" t="s">
        <v>311</v>
      </c>
      <c r="B7" s="487" t="s">
        <v>312</v>
      </c>
      <c r="C7" s="482"/>
      <c r="D7" s="488">
        <v>0.46500000000000002</v>
      </c>
      <c r="E7" s="488">
        <v>0.21299999999999999</v>
      </c>
      <c r="F7" s="488">
        <v>0.64700000000000002</v>
      </c>
    </row>
    <row r="8" spans="1:57" s="381" customFormat="1" ht="18.75" customHeight="1">
      <c r="A8" s="90" t="s">
        <v>313</v>
      </c>
      <c r="B8" s="66" t="s">
        <v>314</v>
      </c>
      <c r="C8" s="383"/>
      <c r="D8" s="384">
        <v>6.6000000000000003E-2</v>
      </c>
      <c r="E8" s="384">
        <v>1.4999999999999999E-2</v>
      </c>
      <c r="F8" s="384">
        <v>0.104</v>
      </c>
      <c r="G8" s="47"/>
      <c r="H8" s="47"/>
      <c r="I8" s="47"/>
      <c r="J8" s="47"/>
      <c r="K8" s="47"/>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row>
    <row r="9" spans="1:57" s="47" customFormat="1" ht="18.75" customHeight="1">
      <c r="A9" s="481" t="s">
        <v>315</v>
      </c>
      <c r="B9" s="484"/>
      <c r="C9" s="482"/>
      <c r="D9" s="485"/>
      <c r="E9" s="485"/>
      <c r="F9" s="485"/>
    </row>
    <row r="10" spans="1:57" s="47" customFormat="1" ht="18.75" customHeight="1">
      <c r="A10" s="98" t="s">
        <v>309</v>
      </c>
      <c r="B10" s="66" t="s">
        <v>310</v>
      </c>
      <c r="C10" s="383"/>
      <c r="D10" s="384">
        <v>1.6E-2</v>
      </c>
      <c r="E10" s="384">
        <v>3.0000000000000001E-3</v>
      </c>
      <c r="F10" s="384">
        <v>2.5999999999999999E-2</v>
      </c>
    </row>
    <row r="11" spans="1:57" s="47" customFormat="1" ht="18.75" customHeight="1">
      <c r="A11" s="486" t="s">
        <v>311</v>
      </c>
      <c r="B11" s="487" t="s">
        <v>312</v>
      </c>
      <c r="C11" s="482"/>
      <c r="D11" s="488">
        <v>0.13900000000000001</v>
      </c>
      <c r="E11" s="488">
        <v>4.2999999999999997E-2</v>
      </c>
      <c r="F11" s="488">
        <v>0.20799999999999999</v>
      </c>
    </row>
    <row r="12" spans="1:57" s="47" customFormat="1" ht="18.75" customHeight="1">
      <c r="A12" s="90" t="s">
        <v>316</v>
      </c>
      <c r="B12" s="66" t="s">
        <v>314</v>
      </c>
      <c r="C12" s="383"/>
      <c r="D12" s="384">
        <v>1.2999999999999999E-2</v>
      </c>
      <c r="E12" s="384">
        <v>2E-3</v>
      </c>
      <c r="F12" s="384">
        <v>2.1000000000000001E-2</v>
      </c>
    </row>
    <row r="13" spans="1:57" s="47" customFormat="1" ht="18.75" customHeight="1">
      <c r="A13" s="481" t="s">
        <v>317</v>
      </c>
      <c r="B13" s="484"/>
      <c r="C13" s="482"/>
      <c r="D13" s="485"/>
      <c r="E13" s="485"/>
      <c r="F13" s="485"/>
    </row>
    <row r="14" spans="1:57" s="381" customFormat="1" ht="18.75" customHeight="1">
      <c r="A14" s="90" t="s">
        <v>318</v>
      </c>
      <c r="B14" s="385"/>
      <c r="C14" s="383"/>
      <c r="D14" s="386">
        <v>0.313</v>
      </c>
      <c r="E14" s="386">
        <v>0.28399999999999997</v>
      </c>
      <c r="F14" s="386">
        <v>0.27600000000000002</v>
      </c>
      <c r="G14" s="47"/>
      <c r="H14" s="47"/>
      <c r="I14" s="47"/>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row>
    <row r="15" spans="1:57" s="389" customFormat="1" ht="13.9" customHeight="1">
      <c r="A15" s="387" t="s">
        <v>319</v>
      </c>
      <c r="B15" s="387"/>
      <c r="C15" s="388"/>
      <c r="D15" s="47"/>
      <c r="E15" s="47"/>
    </row>
    <row r="16" spans="1:57" s="77" customFormat="1" ht="27" customHeight="1">
      <c r="A16" s="1032" t="s">
        <v>320</v>
      </c>
      <c r="B16" s="1032"/>
      <c r="C16" s="1032"/>
      <c r="D16" s="1032"/>
      <c r="E16" s="1032"/>
      <c r="F16" s="1032"/>
    </row>
    <row r="17" spans="1:12" s="77" customFormat="1" ht="11.25">
      <c r="A17" s="1032" t="s">
        <v>321</v>
      </c>
      <c r="B17" s="1032"/>
      <c r="C17" s="1032"/>
      <c r="D17" s="1032"/>
      <c r="E17" s="1032"/>
      <c r="F17" s="1032"/>
      <c r="G17" s="1032"/>
      <c r="H17" s="1032"/>
    </row>
    <row r="18" spans="1:12" s="47" customFormat="1">
      <c r="A18" s="1032" t="s">
        <v>322</v>
      </c>
      <c r="B18" s="1032"/>
      <c r="C18" s="1032"/>
      <c r="D18" s="1032"/>
      <c r="E18" s="1032"/>
      <c r="F18" s="1032"/>
      <c r="G18" s="1032"/>
      <c r="H18" s="1032"/>
    </row>
    <row r="19" spans="1:12" s="80" customFormat="1">
      <c r="A19" s="1032" t="s">
        <v>323</v>
      </c>
      <c r="B19" s="1032"/>
      <c r="C19" s="1032"/>
      <c r="D19" s="1032"/>
      <c r="E19" s="1032"/>
      <c r="F19" s="1032"/>
      <c r="G19" s="1032"/>
      <c r="H19" s="1032"/>
    </row>
    <row r="20" spans="1:12" s="80" customFormat="1">
      <c r="A20" s="1032" t="s">
        <v>324</v>
      </c>
      <c r="B20" s="1032"/>
      <c r="C20" s="1032"/>
      <c r="D20" s="1032"/>
      <c r="E20" s="1032"/>
      <c r="F20" s="1032"/>
      <c r="G20" s="1032"/>
      <c r="H20" s="1032"/>
    </row>
    <row r="21" spans="1:12" s="80" customFormat="1" ht="21" customHeight="1">
      <c r="A21" s="1032" t="s">
        <v>325</v>
      </c>
      <c r="B21" s="1032"/>
      <c r="C21" s="1032"/>
      <c r="D21" s="1032"/>
      <c r="E21" s="1032"/>
      <c r="F21" s="1032"/>
      <c r="G21" s="1032"/>
      <c r="H21" s="1032"/>
      <c r="I21" s="428"/>
      <c r="J21" s="425"/>
      <c r="K21" s="425"/>
      <c r="L21" s="425"/>
    </row>
    <row r="22" spans="1:12" s="80" customFormat="1" ht="24.75" customHeight="1">
      <c r="A22" s="1032" t="s">
        <v>326</v>
      </c>
      <c r="B22" s="1032"/>
      <c r="C22" s="1032"/>
      <c r="D22" s="1032"/>
      <c r="E22" s="1032"/>
      <c r="F22" s="1032"/>
      <c r="G22" s="1032"/>
      <c r="H22" s="1032"/>
      <c r="I22" s="428"/>
      <c r="J22" s="425"/>
      <c r="K22" s="425"/>
      <c r="L22" s="425"/>
    </row>
    <row r="23" spans="1:12" s="80" customFormat="1" ht="18.75" customHeight="1">
      <c r="A23" s="1032"/>
      <c r="B23" s="1032"/>
      <c r="C23" s="1032"/>
      <c r="D23" s="1032"/>
      <c r="E23" s="1032"/>
      <c r="F23" s="1032"/>
      <c r="G23" s="1032"/>
      <c r="H23" s="1032"/>
    </row>
    <row r="24" spans="1:12" s="80" customFormat="1">
      <c r="A24" s="224"/>
      <c r="B24" s="224"/>
    </row>
    <row r="25" spans="1:12" s="80" customFormat="1" ht="15.75" customHeight="1">
      <c r="A25" s="224"/>
      <c r="B25" s="224"/>
    </row>
    <row r="26" spans="1:12" s="80" customFormat="1">
      <c r="A26" s="224"/>
      <c r="B26" s="224"/>
    </row>
    <row r="27" spans="1:12" s="80" customFormat="1">
      <c r="A27" s="224"/>
      <c r="B27" s="224"/>
    </row>
    <row r="28" spans="1:12" s="80" customFormat="1">
      <c r="A28" s="224"/>
      <c r="B28" s="224"/>
    </row>
    <row r="29" spans="1:12" s="80" customFormat="1">
      <c r="A29" s="224"/>
      <c r="B29" s="224"/>
    </row>
    <row r="30" spans="1:12" s="80" customFormat="1">
      <c r="A30" s="387"/>
      <c r="B30" s="224"/>
    </row>
    <row r="31" spans="1:12" s="80" customFormat="1">
      <c r="A31" s="387"/>
      <c r="B31" s="224"/>
    </row>
    <row r="32" spans="1:12" s="80" customFormat="1">
      <c r="A32" s="224"/>
      <c r="B32" s="224"/>
    </row>
    <row r="33" spans="1:2" s="80" customFormat="1">
      <c r="A33" s="224"/>
      <c r="B33" s="224"/>
    </row>
    <row r="34" spans="1:2" s="80" customFormat="1">
      <c r="A34" s="224"/>
      <c r="B34" s="224"/>
    </row>
    <row r="35" spans="1:2" s="80" customFormat="1">
      <c r="A35" s="224"/>
      <c r="B35" s="224"/>
    </row>
    <row r="36" spans="1:2" s="80" customFormat="1">
      <c r="A36" s="224"/>
      <c r="B36" s="224"/>
    </row>
    <row r="37" spans="1:2" s="80" customFormat="1">
      <c r="A37" s="224"/>
      <c r="B37" s="224"/>
    </row>
    <row r="38" spans="1:2" s="80" customFormat="1">
      <c r="A38" s="224"/>
      <c r="B38" s="224"/>
    </row>
    <row r="39" spans="1:2" s="80" customFormat="1">
      <c r="A39" s="224"/>
      <c r="B39" s="224"/>
    </row>
    <row r="40" spans="1:2" s="80" customFormat="1">
      <c r="A40" s="224"/>
      <c r="B40" s="224"/>
    </row>
    <row r="41" spans="1:2" s="80" customFormat="1">
      <c r="A41" s="224"/>
      <c r="B41" s="224"/>
    </row>
    <row r="42" spans="1:2" s="80" customFormat="1">
      <c r="A42" s="224"/>
      <c r="B42" s="224"/>
    </row>
    <row r="43" spans="1:2" s="80" customFormat="1">
      <c r="A43" s="224"/>
      <c r="B43" s="224"/>
    </row>
    <row r="44" spans="1:2" s="80" customFormat="1">
      <c r="A44" s="224"/>
      <c r="B44" s="224"/>
    </row>
    <row r="45" spans="1:2" s="80" customFormat="1">
      <c r="A45" s="224"/>
      <c r="B45" s="224"/>
    </row>
    <row r="46" spans="1:2" s="80" customFormat="1">
      <c r="A46" s="224"/>
      <c r="B46" s="224"/>
    </row>
    <row r="47" spans="1:2" s="80" customFormat="1">
      <c r="A47" s="224"/>
      <c r="B47" s="224"/>
    </row>
    <row r="48" spans="1:2" s="80" customFormat="1">
      <c r="A48" s="224"/>
      <c r="B48" s="224"/>
    </row>
    <row r="49" spans="1:2" s="80" customFormat="1">
      <c r="A49" s="224"/>
      <c r="B49" s="224"/>
    </row>
    <row r="50" spans="1:2" s="80" customFormat="1">
      <c r="A50" s="224"/>
      <c r="B50" s="224"/>
    </row>
    <row r="51" spans="1:2" s="80" customFormat="1">
      <c r="A51" s="224"/>
      <c r="B51" s="224"/>
    </row>
    <row r="52" spans="1:2" s="80" customFormat="1">
      <c r="A52" s="224"/>
      <c r="B52" s="224"/>
    </row>
    <row r="53" spans="1:2" s="80" customFormat="1">
      <c r="A53" s="224"/>
      <c r="B53" s="224"/>
    </row>
    <row r="54" spans="1:2" s="80" customFormat="1">
      <c r="A54" s="224"/>
      <c r="B54" s="224"/>
    </row>
    <row r="55" spans="1:2" s="80" customFormat="1">
      <c r="A55" s="224"/>
      <c r="B55" s="224"/>
    </row>
    <row r="56" spans="1:2" s="80" customFormat="1">
      <c r="A56" s="224"/>
      <c r="B56" s="224"/>
    </row>
    <row r="57" spans="1:2" s="80" customFormat="1">
      <c r="A57" s="224"/>
      <c r="B57" s="224"/>
    </row>
    <row r="58" spans="1:2" s="80" customFormat="1">
      <c r="A58" s="224"/>
      <c r="B58" s="224"/>
    </row>
    <row r="59" spans="1:2" s="80" customFormat="1">
      <c r="A59" s="224"/>
      <c r="B59" s="224"/>
    </row>
    <row r="60" spans="1:2" s="80" customFormat="1">
      <c r="A60" s="224"/>
      <c r="B60" s="224"/>
    </row>
    <row r="61" spans="1:2" s="80" customFormat="1">
      <c r="A61" s="224"/>
      <c r="B61" s="224"/>
    </row>
    <row r="62" spans="1:2" s="80" customFormat="1">
      <c r="A62" s="224"/>
      <c r="B62" s="224"/>
    </row>
    <row r="63" spans="1:2" s="80" customFormat="1">
      <c r="A63" s="224"/>
      <c r="B63" s="224"/>
    </row>
    <row r="64" spans="1:2" s="80" customFormat="1">
      <c r="A64" s="224"/>
      <c r="B64" s="224"/>
    </row>
    <row r="65" spans="1:2" s="80" customFormat="1">
      <c r="A65" s="224"/>
      <c r="B65" s="224"/>
    </row>
    <row r="66" spans="1:2" s="80" customFormat="1">
      <c r="A66" s="224"/>
      <c r="B66" s="224"/>
    </row>
    <row r="67" spans="1:2" s="80" customFormat="1">
      <c r="A67" s="224"/>
      <c r="B67" s="224"/>
    </row>
    <row r="68" spans="1:2" s="80" customFormat="1">
      <c r="A68" s="224"/>
      <c r="B68" s="224"/>
    </row>
    <row r="69" spans="1:2" s="80" customFormat="1">
      <c r="A69" s="224"/>
      <c r="B69" s="224"/>
    </row>
    <row r="70" spans="1:2" s="80" customFormat="1">
      <c r="A70" s="224"/>
      <c r="B70" s="224"/>
    </row>
    <row r="71" spans="1:2" s="80" customFormat="1">
      <c r="A71" s="224"/>
      <c r="B71" s="224"/>
    </row>
    <row r="72" spans="1:2" s="80" customFormat="1">
      <c r="A72" s="224"/>
      <c r="B72" s="224"/>
    </row>
    <row r="73" spans="1:2" s="80" customFormat="1">
      <c r="A73" s="224"/>
      <c r="B73" s="224"/>
    </row>
    <row r="74" spans="1:2" s="80" customFormat="1">
      <c r="A74" s="224"/>
      <c r="B74" s="224"/>
    </row>
    <row r="75" spans="1:2" s="80" customFormat="1">
      <c r="A75" s="224"/>
      <c r="B75" s="224"/>
    </row>
    <row r="76" spans="1:2" s="80" customFormat="1">
      <c r="A76" s="224"/>
      <c r="B76" s="224"/>
    </row>
    <row r="77" spans="1:2" s="80" customFormat="1">
      <c r="A77" s="224"/>
      <c r="B77" s="224"/>
    </row>
    <row r="78" spans="1:2" s="80" customFormat="1">
      <c r="A78" s="224"/>
      <c r="B78" s="224"/>
    </row>
    <row r="79" spans="1:2" s="80" customFormat="1">
      <c r="A79" s="224"/>
      <c r="B79" s="224"/>
    </row>
    <row r="80" spans="1:2" s="80" customFormat="1">
      <c r="A80" s="224"/>
      <c r="B80" s="224"/>
    </row>
    <row r="81" spans="1:2" s="80" customFormat="1">
      <c r="A81" s="224"/>
      <c r="B81" s="224"/>
    </row>
    <row r="82" spans="1:2" s="80" customFormat="1">
      <c r="A82" s="224"/>
      <c r="B82" s="224"/>
    </row>
    <row r="83" spans="1:2" s="80" customFormat="1">
      <c r="A83" s="224"/>
      <c r="B83" s="224"/>
    </row>
    <row r="84" spans="1:2" s="80" customFormat="1">
      <c r="A84" s="224"/>
      <c r="B84" s="224"/>
    </row>
    <row r="85" spans="1:2" s="80" customFormat="1">
      <c r="A85" s="224"/>
      <c r="B85" s="224"/>
    </row>
    <row r="86" spans="1:2" s="80" customFormat="1">
      <c r="A86" s="224"/>
      <c r="B86" s="224"/>
    </row>
    <row r="87" spans="1:2" s="80" customFormat="1">
      <c r="A87" s="224"/>
      <c r="B87" s="224"/>
    </row>
    <row r="88" spans="1:2" s="80" customFormat="1">
      <c r="A88" s="224"/>
      <c r="B88" s="224"/>
    </row>
    <row r="89" spans="1:2" s="80" customFormat="1">
      <c r="A89" s="224"/>
      <c r="B89" s="224"/>
    </row>
    <row r="90" spans="1:2" s="80" customFormat="1">
      <c r="A90" s="224"/>
      <c r="B90" s="224"/>
    </row>
    <row r="91" spans="1:2" s="80" customFormat="1">
      <c r="A91" s="224"/>
      <c r="B91" s="224"/>
    </row>
    <row r="92" spans="1:2" s="80" customFormat="1">
      <c r="A92" s="224"/>
      <c r="B92" s="224"/>
    </row>
    <row r="93" spans="1:2" s="80" customFormat="1">
      <c r="A93" s="224"/>
      <c r="B93" s="224"/>
    </row>
    <row r="94" spans="1:2" s="80" customFormat="1">
      <c r="A94" s="224"/>
      <c r="B94" s="224"/>
    </row>
    <row r="95" spans="1:2" s="80" customFormat="1">
      <c r="A95" s="224"/>
      <c r="B95" s="224"/>
    </row>
    <row r="96" spans="1:2" s="80" customFormat="1">
      <c r="A96" s="224"/>
      <c r="B96" s="224"/>
    </row>
    <row r="97" spans="1:2" s="80" customFormat="1">
      <c r="A97" s="224"/>
      <c r="B97" s="224"/>
    </row>
    <row r="98" spans="1:2" s="80" customFormat="1">
      <c r="A98" s="224"/>
      <c r="B98" s="224"/>
    </row>
    <row r="99" spans="1:2" s="80" customFormat="1">
      <c r="A99" s="224"/>
      <c r="B99" s="224"/>
    </row>
    <row r="100" spans="1:2" s="80" customFormat="1">
      <c r="A100" s="224"/>
      <c r="B100" s="224"/>
    </row>
    <row r="101" spans="1:2" s="80" customFormat="1">
      <c r="A101" s="224"/>
      <c r="B101" s="224"/>
    </row>
    <row r="102" spans="1:2" s="80" customFormat="1">
      <c r="A102" s="224"/>
      <c r="B102" s="224"/>
    </row>
    <row r="103" spans="1:2" s="80" customFormat="1">
      <c r="A103" s="224"/>
      <c r="B103" s="224"/>
    </row>
    <row r="104" spans="1:2" s="80" customFormat="1">
      <c r="A104" s="224"/>
      <c r="B104" s="224"/>
    </row>
    <row r="105" spans="1:2" s="80" customFormat="1">
      <c r="A105" s="224"/>
      <c r="B105" s="224"/>
    </row>
    <row r="106" spans="1:2" s="80" customFormat="1">
      <c r="A106" s="224"/>
      <c r="B106" s="224"/>
    </row>
    <row r="107" spans="1:2" s="80" customFormat="1">
      <c r="A107" s="224"/>
      <c r="B107" s="224"/>
    </row>
    <row r="108" spans="1:2" s="80" customFormat="1">
      <c r="A108" s="224"/>
      <c r="B108" s="224"/>
    </row>
    <row r="109" spans="1:2" s="80" customFormat="1">
      <c r="A109" s="224"/>
      <c r="B109" s="224"/>
    </row>
    <row r="110" spans="1:2" s="80" customFormat="1">
      <c r="A110" s="224"/>
      <c r="B110" s="224"/>
    </row>
    <row r="111" spans="1:2" s="80" customFormat="1">
      <c r="A111" s="224"/>
      <c r="B111" s="224"/>
    </row>
    <row r="112" spans="1:2" s="80" customFormat="1">
      <c r="A112" s="224"/>
      <c r="B112" s="224"/>
    </row>
    <row r="113" spans="1:2" s="80" customFormat="1">
      <c r="A113" s="224"/>
      <c r="B113" s="224"/>
    </row>
    <row r="114" spans="1:2" s="80" customFormat="1">
      <c r="A114" s="224"/>
      <c r="B114" s="224"/>
    </row>
    <row r="115" spans="1:2" s="80" customFormat="1">
      <c r="A115" s="224"/>
      <c r="B115" s="224"/>
    </row>
    <row r="116" spans="1:2" s="80" customFormat="1">
      <c r="A116" s="224"/>
      <c r="B116" s="224"/>
    </row>
    <row r="117" spans="1:2" s="80" customFormat="1">
      <c r="A117" s="224"/>
      <c r="B117" s="224"/>
    </row>
    <row r="118" spans="1:2" s="80" customFormat="1">
      <c r="A118" s="224"/>
      <c r="B118" s="224"/>
    </row>
    <row r="119" spans="1:2" s="80" customFormat="1">
      <c r="A119" s="224"/>
      <c r="B119" s="224"/>
    </row>
    <row r="120" spans="1:2" s="80" customFormat="1">
      <c r="A120" s="224"/>
      <c r="B120" s="224"/>
    </row>
    <row r="121" spans="1:2" s="80" customFormat="1">
      <c r="A121" s="224"/>
      <c r="B121" s="224"/>
    </row>
    <row r="122" spans="1:2" s="80" customFormat="1">
      <c r="A122" s="224"/>
      <c r="B122" s="224"/>
    </row>
    <row r="123" spans="1:2" s="80" customFormat="1">
      <c r="A123" s="224"/>
      <c r="B123" s="224"/>
    </row>
    <row r="124" spans="1:2" s="80" customFormat="1">
      <c r="A124" s="224"/>
      <c r="B124" s="224"/>
    </row>
    <row r="125" spans="1:2" s="80" customFormat="1">
      <c r="A125" s="224"/>
      <c r="B125" s="224"/>
    </row>
    <row r="126" spans="1:2" s="80" customFormat="1">
      <c r="A126" s="224"/>
      <c r="B126" s="224"/>
    </row>
    <row r="127" spans="1:2" s="80" customFormat="1">
      <c r="A127" s="224"/>
      <c r="B127" s="224"/>
    </row>
    <row r="128" spans="1:2" s="80" customFormat="1">
      <c r="A128" s="224"/>
      <c r="B128" s="224"/>
    </row>
    <row r="129" spans="1:2" s="80" customFormat="1">
      <c r="A129" s="224"/>
      <c r="B129" s="224"/>
    </row>
    <row r="130" spans="1:2" s="80" customFormat="1">
      <c r="A130" s="224"/>
      <c r="B130" s="224"/>
    </row>
    <row r="131" spans="1:2" s="80" customFormat="1">
      <c r="A131" s="224"/>
      <c r="B131" s="224"/>
    </row>
    <row r="132" spans="1:2" s="80" customFormat="1">
      <c r="A132" s="224"/>
      <c r="B132" s="224"/>
    </row>
    <row r="133" spans="1:2" s="80" customFormat="1">
      <c r="A133" s="224"/>
      <c r="B133" s="224"/>
    </row>
    <row r="134" spans="1:2" s="80" customFormat="1">
      <c r="A134" s="224"/>
      <c r="B134" s="224"/>
    </row>
    <row r="135" spans="1:2" s="80" customFormat="1">
      <c r="A135" s="224"/>
      <c r="B135" s="224"/>
    </row>
    <row r="136" spans="1:2" s="80" customFormat="1">
      <c r="A136" s="224"/>
      <c r="B136" s="224"/>
    </row>
    <row r="137" spans="1:2" s="80" customFormat="1">
      <c r="A137" s="224"/>
      <c r="B137" s="224"/>
    </row>
    <row r="138" spans="1:2" s="80" customFormat="1">
      <c r="A138" s="224"/>
      <c r="B138" s="224"/>
    </row>
    <row r="139" spans="1:2" s="80" customFormat="1">
      <c r="A139" s="224"/>
      <c r="B139" s="224"/>
    </row>
    <row r="140" spans="1:2" s="80" customFormat="1">
      <c r="A140" s="224"/>
      <c r="B140" s="224"/>
    </row>
    <row r="141" spans="1:2" s="80" customFormat="1">
      <c r="A141" s="224"/>
      <c r="B141" s="224"/>
    </row>
    <row r="142" spans="1:2" s="80" customFormat="1">
      <c r="A142" s="224"/>
      <c r="B142" s="224"/>
    </row>
    <row r="143" spans="1:2" s="80" customFormat="1">
      <c r="A143" s="224"/>
      <c r="B143" s="224"/>
    </row>
    <row r="144" spans="1:2" s="80" customFormat="1">
      <c r="A144" s="224"/>
      <c r="B144" s="224"/>
    </row>
    <row r="145" spans="1:2" s="80" customFormat="1">
      <c r="A145" s="224"/>
      <c r="B145" s="224"/>
    </row>
    <row r="146" spans="1:2" s="80" customFormat="1">
      <c r="A146" s="224"/>
      <c r="B146" s="224"/>
    </row>
    <row r="147" spans="1:2" s="80" customFormat="1">
      <c r="A147" s="224"/>
      <c r="B147" s="224"/>
    </row>
    <row r="148" spans="1:2" s="80" customFormat="1">
      <c r="A148" s="224"/>
      <c r="B148" s="224"/>
    </row>
    <row r="149" spans="1:2" s="80" customFormat="1">
      <c r="A149" s="224"/>
      <c r="B149" s="224"/>
    </row>
    <row r="150" spans="1:2" s="80" customFormat="1">
      <c r="A150" s="224"/>
      <c r="B150" s="224"/>
    </row>
    <row r="151" spans="1:2" s="80" customFormat="1">
      <c r="A151" s="224"/>
      <c r="B151" s="224"/>
    </row>
    <row r="152" spans="1:2" s="80" customFormat="1">
      <c r="A152" s="224"/>
      <c r="B152" s="224"/>
    </row>
    <row r="153" spans="1:2" s="80" customFormat="1">
      <c r="A153" s="224"/>
      <c r="B153" s="224"/>
    </row>
    <row r="154" spans="1:2" s="80" customFormat="1">
      <c r="A154" s="224"/>
      <c r="B154" s="224"/>
    </row>
    <row r="155" spans="1:2" s="80" customFormat="1">
      <c r="A155" s="224"/>
      <c r="B155" s="224"/>
    </row>
    <row r="156" spans="1:2" s="80" customFormat="1">
      <c r="A156" s="224"/>
      <c r="B156" s="224"/>
    </row>
    <row r="157" spans="1:2" s="80" customFormat="1">
      <c r="A157" s="224"/>
      <c r="B157" s="224"/>
    </row>
    <row r="158" spans="1:2" s="80" customFormat="1">
      <c r="A158" s="224"/>
      <c r="B158" s="224"/>
    </row>
    <row r="159" spans="1:2" s="80" customFormat="1">
      <c r="A159" s="224"/>
      <c r="B159" s="224"/>
    </row>
    <row r="160" spans="1:2" s="80" customFormat="1">
      <c r="A160" s="224"/>
      <c r="B160" s="224"/>
    </row>
    <row r="161" spans="1:2" s="80" customFormat="1">
      <c r="A161" s="224"/>
      <c r="B161" s="224"/>
    </row>
    <row r="162" spans="1:2" s="80" customFormat="1">
      <c r="A162" s="224"/>
      <c r="B162" s="224"/>
    </row>
    <row r="163" spans="1:2" s="80" customFormat="1">
      <c r="A163" s="224"/>
      <c r="B163" s="224"/>
    </row>
    <row r="164" spans="1:2" s="80" customFormat="1">
      <c r="A164" s="224"/>
      <c r="B164" s="224"/>
    </row>
    <row r="165" spans="1:2" s="80" customFormat="1">
      <c r="A165" s="224"/>
      <c r="B165" s="224"/>
    </row>
    <row r="166" spans="1:2" s="80" customFormat="1">
      <c r="A166" s="224"/>
      <c r="B166" s="224"/>
    </row>
    <row r="167" spans="1:2" s="80" customFormat="1">
      <c r="A167" s="224"/>
      <c r="B167" s="224"/>
    </row>
    <row r="168" spans="1:2" s="80" customFormat="1">
      <c r="A168" s="224"/>
      <c r="B168" s="224"/>
    </row>
    <row r="169" spans="1:2" s="80" customFormat="1">
      <c r="A169" s="224"/>
      <c r="B169" s="224"/>
    </row>
    <row r="170" spans="1:2" s="80" customFormat="1">
      <c r="A170" s="224"/>
      <c r="B170" s="224"/>
    </row>
    <row r="171" spans="1:2" s="80" customFormat="1">
      <c r="A171" s="224"/>
      <c r="B171" s="224"/>
    </row>
    <row r="172" spans="1:2" s="80" customFormat="1">
      <c r="A172" s="224"/>
      <c r="B172" s="224"/>
    </row>
    <row r="173" spans="1:2" s="80" customFormat="1">
      <c r="A173" s="224"/>
      <c r="B173" s="224"/>
    </row>
    <row r="174" spans="1:2" s="80" customFormat="1">
      <c r="A174" s="224"/>
      <c r="B174" s="224"/>
    </row>
    <row r="175" spans="1:2" s="80" customFormat="1">
      <c r="A175" s="224"/>
      <c r="B175" s="224"/>
    </row>
    <row r="176" spans="1:2" s="80" customFormat="1">
      <c r="A176" s="224"/>
      <c r="B176" s="224"/>
    </row>
    <row r="177" spans="1:2" s="80" customFormat="1">
      <c r="A177" s="224"/>
      <c r="B177" s="224"/>
    </row>
    <row r="178" spans="1:2" s="80" customFormat="1">
      <c r="A178" s="224"/>
      <c r="B178" s="224"/>
    </row>
    <row r="179" spans="1:2" s="80" customFormat="1">
      <c r="A179" s="224"/>
      <c r="B179" s="224"/>
    </row>
    <row r="180" spans="1:2" s="80" customFormat="1">
      <c r="A180" s="224"/>
      <c r="B180" s="224"/>
    </row>
    <row r="181" spans="1:2" s="80" customFormat="1">
      <c r="A181" s="224"/>
      <c r="B181" s="224"/>
    </row>
    <row r="182" spans="1:2" s="80" customFormat="1">
      <c r="A182" s="224"/>
      <c r="B182" s="224"/>
    </row>
    <row r="183" spans="1:2" s="80" customFormat="1">
      <c r="A183" s="224"/>
      <c r="B183" s="224"/>
    </row>
    <row r="184" spans="1:2" s="80" customFormat="1">
      <c r="A184" s="224"/>
      <c r="B184" s="224"/>
    </row>
    <row r="185" spans="1:2" s="80" customFormat="1">
      <c r="A185" s="224"/>
      <c r="B185" s="224"/>
    </row>
    <row r="186" spans="1:2" s="80" customFormat="1">
      <c r="A186" s="224"/>
      <c r="B186" s="224"/>
    </row>
    <row r="187" spans="1:2" s="80" customFormat="1">
      <c r="A187" s="224"/>
      <c r="B187" s="224"/>
    </row>
    <row r="188" spans="1:2" s="80" customFormat="1">
      <c r="A188" s="224"/>
      <c r="B188" s="224"/>
    </row>
    <row r="189" spans="1:2" s="80" customFormat="1">
      <c r="A189" s="224"/>
      <c r="B189" s="224"/>
    </row>
    <row r="190" spans="1:2" s="80" customFormat="1">
      <c r="A190" s="224"/>
      <c r="B190" s="224"/>
    </row>
    <row r="191" spans="1:2" s="80" customFormat="1">
      <c r="A191" s="224"/>
      <c r="B191" s="224"/>
    </row>
    <row r="192" spans="1:2" s="80" customFormat="1">
      <c r="A192" s="224"/>
      <c r="B192" s="224"/>
    </row>
    <row r="193" spans="1:2" s="80" customFormat="1">
      <c r="A193" s="224"/>
      <c r="B193" s="224"/>
    </row>
    <row r="194" spans="1:2" s="80" customFormat="1">
      <c r="A194" s="224"/>
      <c r="B194" s="224"/>
    </row>
    <row r="195" spans="1:2" s="80" customFormat="1">
      <c r="A195" s="224"/>
      <c r="B195" s="224"/>
    </row>
    <row r="196" spans="1:2" s="80" customFormat="1">
      <c r="A196" s="224"/>
      <c r="B196" s="224"/>
    </row>
    <row r="197" spans="1:2" s="80" customFormat="1">
      <c r="A197" s="224"/>
      <c r="B197" s="224"/>
    </row>
    <row r="198" spans="1:2" s="80" customFormat="1">
      <c r="A198" s="224"/>
      <c r="B198" s="224"/>
    </row>
    <row r="199" spans="1:2" s="80" customFormat="1">
      <c r="A199" s="224"/>
      <c r="B199" s="224"/>
    </row>
    <row r="200" spans="1:2" s="80" customFormat="1">
      <c r="A200" s="224"/>
      <c r="B200" s="224"/>
    </row>
    <row r="201" spans="1:2" s="80" customFormat="1">
      <c r="A201" s="224"/>
      <c r="B201" s="224"/>
    </row>
    <row r="202" spans="1:2" s="80" customFormat="1">
      <c r="A202" s="224"/>
      <c r="B202" s="224"/>
    </row>
    <row r="203" spans="1:2" s="80" customFormat="1">
      <c r="A203" s="224"/>
      <c r="B203" s="224"/>
    </row>
    <row r="204" spans="1:2" s="80" customFormat="1">
      <c r="A204" s="224"/>
      <c r="B204" s="224"/>
    </row>
    <row r="205" spans="1:2" s="80" customFormat="1">
      <c r="A205" s="224"/>
      <c r="B205" s="224"/>
    </row>
    <row r="206" spans="1:2" s="80" customFormat="1">
      <c r="A206" s="224"/>
      <c r="B206" s="224"/>
    </row>
    <row r="207" spans="1:2" s="80" customFormat="1">
      <c r="A207" s="224"/>
      <c r="B207" s="224"/>
    </row>
    <row r="208" spans="1:2" s="80" customFormat="1">
      <c r="A208" s="224"/>
      <c r="B208" s="224"/>
    </row>
    <row r="209" spans="1:2" s="80" customFormat="1">
      <c r="A209" s="224"/>
      <c r="B209" s="224"/>
    </row>
    <row r="210" spans="1:2" s="80" customFormat="1">
      <c r="A210" s="224"/>
      <c r="B210" s="224"/>
    </row>
    <row r="211" spans="1:2" s="80" customFormat="1">
      <c r="A211" s="224"/>
      <c r="B211" s="224"/>
    </row>
    <row r="212" spans="1:2" s="80" customFormat="1">
      <c r="A212" s="224"/>
      <c r="B212" s="224"/>
    </row>
    <row r="213" spans="1:2" s="80" customFormat="1">
      <c r="A213" s="224"/>
      <c r="B213" s="224"/>
    </row>
    <row r="214" spans="1:2" s="80" customFormat="1">
      <c r="A214" s="224"/>
      <c r="B214" s="224"/>
    </row>
    <row r="215" spans="1:2" s="80" customFormat="1">
      <c r="A215" s="224"/>
      <c r="B215" s="224"/>
    </row>
    <row r="216" spans="1:2" s="80" customFormat="1">
      <c r="A216" s="224"/>
      <c r="B216" s="224"/>
    </row>
    <row r="217" spans="1:2" s="80" customFormat="1">
      <c r="A217" s="224"/>
      <c r="B217" s="224"/>
    </row>
    <row r="218" spans="1:2" s="80" customFormat="1">
      <c r="A218" s="224"/>
      <c r="B218" s="224"/>
    </row>
    <row r="219" spans="1:2" s="80" customFormat="1">
      <c r="A219" s="224"/>
      <c r="B219" s="224"/>
    </row>
    <row r="220" spans="1:2" s="80" customFormat="1">
      <c r="A220" s="224"/>
      <c r="B220" s="224"/>
    </row>
    <row r="221" spans="1:2" s="80" customFormat="1">
      <c r="A221" s="224"/>
      <c r="B221" s="224"/>
    </row>
    <row r="222" spans="1:2" s="80" customFormat="1">
      <c r="A222" s="224"/>
      <c r="B222" s="224"/>
    </row>
    <row r="223" spans="1:2" s="80" customFormat="1">
      <c r="A223" s="224"/>
      <c r="B223" s="224"/>
    </row>
    <row r="224" spans="1:2" s="80" customFormat="1">
      <c r="A224" s="224"/>
      <c r="B224" s="224"/>
    </row>
    <row r="225" spans="1:2" s="80" customFormat="1">
      <c r="A225" s="224"/>
      <c r="B225" s="224"/>
    </row>
    <row r="226" spans="1:2" s="80" customFormat="1">
      <c r="A226" s="224"/>
      <c r="B226" s="224"/>
    </row>
    <row r="227" spans="1:2" s="80" customFormat="1">
      <c r="A227" s="224"/>
      <c r="B227" s="224"/>
    </row>
    <row r="228" spans="1:2" s="80" customFormat="1">
      <c r="A228" s="224"/>
      <c r="B228" s="224"/>
    </row>
    <row r="229" spans="1:2" s="80" customFormat="1">
      <c r="A229" s="224"/>
      <c r="B229" s="224"/>
    </row>
    <row r="230" spans="1:2" s="80" customFormat="1">
      <c r="A230" s="224"/>
      <c r="B230" s="224"/>
    </row>
    <row r="231" spans="1:2" s="80" customFormat="1">
      <c r="A231" s="224"/>
      <c r="B231" s="224"/>
    </row>
    <row r="232" spans="1:2" s="80" customFormat="1">
      <c r="A232" s="224"/>
      <c r="B232" s="224"/>
    </row>
    <row r="233" spans="1:2" s="80" customFormat="1">
      <c r="A233" s="224"/>
      <c r="B233" s="224"/>
    </row>
    <row r="234" spans="1:2" s="80" customFormat="1">
      <c r="A234" s="224"/>
      <c r="B234" s="224"/>
    </row>
    <row r="235" spans="1:2" s="80" customFormat="1">
      <c r="A235" s="224"/>
      <c r="B235" s="224"/>
    </row>
    <row r="236" spans="1:2" s="80" customFormat="1">
      <c r="A236" s="224"/>
      <c r="B236" s="224"/>
    </row>
    <row r="237" spans="1:2" s="80" customFormat="1">
      <c r="A237" s="224"/>
      <c r="B237" s="224"/>
    </row>
    <row r="238" spans="1:2" s="80" customFormat="1">
      <c r="A238" s="224"/>
      <c r="B238" s="224"/>
    </row>
    <row r="239" spans="1:2" s="80" customFormat="1">
      <c r="A239" s="224"/>
      <c r="B239" s="224"/>
    </row>
    <row r="240" spans="1:2" s="80" customFormat="1">
      <c r="A240" s="224"/>
      <c r="B240" s="224"/>
    </row>
    <row r="241" spans="1:2" s="80" customFormat="1">
      <c r="A241" s="224"/>
      <c r="B241" s="224"/>
    </row>
    <row r="242" spans="1:2" s="80" customFormat="1">
      <c r="A242" s="224"/>
      <c r="B242" s="224"/>
    </row>
    <row r="243" spans="1:2" s="80" customFormat="1">
      <c r="A243" s="224"/>
      <c r="B243" s="224"/>
    </row>
    <row r="244" spans="1:2" s="80" customFormat="1">
      <c r="A244" s="224"/>
      <c r="B244" s="224"/>
    </row>
    <row r="245" spans="1:2" s="80" customFormat="1">
      <c r="A245" s="224"/>
      <c r="B245" s="224"/>
    </row>
    <row r="246" spans="1:2" s="80" customFormat="1">
      <c r="A246" s="224"/>
      <c r="B246" s="224"/>
    </row>
    <row r="247" spans="1:2" s="80" customFormat="1">
      <c r="A247" s="224"/>
      <c r="B247" s="224"/>
    </row>
    <row r="248" spans="1:2" s="80" customFormat="1">
      <c r="A248" s="224"/>
      <c r="B248" s="224"/>
    </row>
    <row r="249" spans="1:2" s="80" customFormat="1">
      <c r="A249" s="224"/>
      <c r="B249" s="224"/>
    </row>
    <row r="250" spans="1:2" s="80" customFormat="1">
      <c r="A250" s="224"/>
      <c r="B250" s="224"/>
    </row>
    <row r="251" spans="1:2" s="80" customFormat="1">
      <c r="A251" s="224"/>
      <c r="B251" s="224"/>
    </row>
  </sheetData>
  <mergeCells count="28">
    <mergeCell ref="A22:F22"/>
    <mergeCell ref="G22:H22"/>
    <mergeCell ref="A23:B23"/>
    <mergeCell ref="C23:D23"/>
    <mergeCell ref="E23:F23"/>
    <mergeCell ref="G23:H23"/>
    <mergeCell ref="A20:B20"/>
    <mergeCell ref="C20:D20"/>
    <mergeCell ref="E20:F20"/>
    <mergeCell ref="G20:H20"/>
    <mergeCell ref="A21:B21"/>
    <mergeCell ref="C21:D21"/>
    <mergeCell ref="E21:F21"/>
    <mergeCell ref="G21:H21"/>
    <mergeCell ref="A18:B18"/>
    <mergeCell ref="C18:D18"/>
    <mergeCell ref="E18:F18"/>
    <mergeCell ref="G18:H18"/>
    <mergeCell ref="A19:B19"/>
    <mergeCell ref="C19:D19"/>
    <mergeCell ref="E19:F19"/>
    <mergeCell ref="G19:H19"/>
    <mergeCell ref="G17:H17"/>
    <mergeCell ref="A1:F1"/>
    <mergeCell ref="A16:F16"/>
    <mergeCell ref="A17:B17"/>
    <mergeCell ref="C17:D17"/>
    <mergeCell ref="E17:F17"/>
  </mergeCells>
  <pageMargins left="0.70866141732283472" right="0.70866141732283472" top="0.74803149606299213" bottom="0.74803149606299213" header="0.31496062992125984" footer="0.31496062992125984"/>
  <pageSetup scale="75" orientation="landscape" horizontalDpi="0" verticalDpi="0" r:id="rId1"/>
  <colBreaks count="1" manualBreakCount="1">
    <brk id="6"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W156"/>
  <sheetViews>
    <sheetView tabSelected="1" view="pageBreakPreview" topLeftCell="A19" zoomScale="93" zoomScaleNormal="93" zoomScaleSheetLayoutView="93" workbookViewId="0">
      <selection activeCell="R48" sqref="R48"/>
    </sheetView>
  </sheetViews>
  <sheetFormatPr defaultColWidth="9.140625" defaultRowHeight="15"/>
  <cols>
    <col min="1" max="1" width="35.42578125" style="378" customWidth="1"/>
    <col min="2" max="11" width="14.140625" style="80" customWidth="1"/>
    <col min="12" max="12" width="13.140625" style="80" customWidth="1"/>
    <col min="13" max="13" width="13.28515625" style="80" customWidth="1"/>
    <col min="14" max="15" width="7.28515625" style="80" customWidth="1"/>
    <col min="16" max="49" width="9.140625" style="80"/>
    <col min="50" max="16384" width="9.140625" style="79"/>
  </cols>
  <sheetData>
    <row r="1" spans="1:49" s="397" customFormat="1" ht="27" customHeight="1">
      <c r="A1" s="1023" t="s">
        <v>334</v>
      </c>
      <c r="B1" s="1023"/>
      <c r="C1" s="1023"/>
      <c r="D1" s="1023"/>
      <c r="E1" s="1023"/>
      <c r="F1" s="1023"/>
      <c r="G1" s="1023"/>
      <c r="H1" s="1023"/>
      <c r="I1" s="1023"/>
      <c r="J1" s="1023"/>
      <c r="K1" s="1023"/>
      <c r="L1" s="297"/>
      <c r="M1" s="297"/>
      <c r="N1" s="297"/>
      <c r="O1" s="25"/>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row>
    <row r="2" spans="1:49" s="397" customFormat="1" ht="18" customHeight="1">
      <c r="A2" s="981"/>
      <c r="B2" s="982">
        <v>2011</v>
      </c>
      <c r="C2" s="982">
        <v>2012</v>
      </c>
      <c r="D2" s="982">
        <v>2013</v>
      </c>
      <c r="E2" s="982">
        <v>2014</v>
      </c>
      <c r="F2" s="982">
        <v>2015</v>
      </c>
      <c r="G2" s="982">
        <v>2016</v>
      </c>
      <c r="H2" s="983">
        <v>2017</v>
      </c>
      <c r="I2" s="984">
        <v>2018</v>
      </c>
      <c r="J2" s="984">
        <v>2019</v>
      </c>
      <c r="K2" s="984">
        <v>2020</v>
      </c>
      <c r="L2" s="297"/>
      <c r="M2" s="297"/>
      <c r="N2" s="297"/>
      <c r="O2" s="25"/>
      <c r="P2" s="47"/>
      <c r="Q2" s="47"/>
      <c r="R2" s="47"/>
      <c r="S2" s="47"/>
      <c r="T2" s="47"/>
      <c r="U2" s="47"/>
      <c r="V2" s="47"/>
      <c r="W2" s="47"/>
      <c r="X2" s="47"/>
      <c r="Y2" s="47"/>
      <c r="Z2" s="47"/>
      <c r="AA2" s="47"/>
      <c r="AB2" s="47"/>
      <c r="AC2" s="47"/>
      <c r="AD2" s="47"/>
      <c r="AE2" s="47"/>
      <c r="AF2" s="47"/>
      <c r="AG2" s="47"/>
      <c r="AH2" s="47"/>
      <c r="AI2" s="47"/>
      <c r="AJ2" s="47"/>
      <c r="AK2" s="47"/>
      <c r="AL2" s="47"/>
      <c r="AM2" s="47"/>
      <c r="AN2" s="47"/>
      <c r="AO2" s="47"/>
      <c r="AP2" s="47"/>
      <c r="AQ2" s="47"/>
      <c r="AR2" s="47"/>
      <c r="AS2" s="47"/>
      <c r="AT2" s="47"/>
      <c r="AU2" s="47"/>
      <c r="AV2" s="47"/>
      <c r="AW2" s="47"/>
    </row>
    <row r="3" spans="1:49" ht="18" customHeight="1">
      <c r="A3" s="985" t="s">
        <v>335</v>
      </c>
      <c r="B3" s="985"/>
      <c r="C3" s="985"/>
      <c r="D3" s="985"/>
      <c r="E3" s="985"/>
      <c r="F3" s="985"/>
      <c r="G3" s="985"/>
      <c r="H3" s="985"/>
      <c r="I3" s="986"/>
      <c r="J3" s="987"/>
      <c r="K3" s="987"/>
      <c r="L3" s="297"/>
      <c r="M3" s="297"/>
      <c r="N3" s="25"/>
      <c r="O3" s="25"/>
    </row>
    <row r="4" spans="1:49" s="397" customFormat="1" ht="18" customHeight="1">
      <c r="A4" s="988" t="s">
        <v>363</v>
      </c>
      <c r="B4" s="772">
        <v>15035</v>
      </c>
      <c r="C4" s="772">
        <v>15268</v>
      </c>
      <c r="D4" s="772">
        <v>15447</v>
      </c>
      <c r="E4" s="772">
        <v>15767</v>
      </c>
      <c r="F4" s="772">
        <v>16091</v>
      </c>
      <c r="G4" s="772">
        <v>16321</v>
      </c>
      <c r="H4" s="772">
        <v>16533</v>
      </c>
      <c r="I4" s="772">
        <v>16835</v>
      </c>
      <c r="J4" s="772">
        <v>17496</v>
      </c>
      <c r="K4" s="772">
        <v>18341</v>
      </c>
      <c r="L4" s="297"/>
      <c r="M4" s="297"/>
      <c r="N4" s="297"/>
      <c r="O4" s="25"/>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7"/>
      <c r="AU4" s="47"/>
      <c r="AV4" s="47"/>
      <c r="AW4" s="47"/>
    </row>
    <row r="5" spans="1:49" s="397" customFormat="1" ht="18" customHeight="1">
      <c r="A5" s="988" t="s">
        <v>419</v>
      </c>
      <c r="B5" s="772">
        <v>360.06647099000003</v>
      </c>
      <c r="C5" s="772">
        <v>414.73893651999998</v>
      </c>
      <c r="D5" s="772">
        <v>421.20435024</v>
      </c>
      <c r="E5" s="772">
        <v>431.70710243999997</v>
      </c>
      <c r="F5" s="772">
        <v>426.99923999999999</v>
      </c>
      <c r="G5" s="772">
        <v>432.11594074999999</v>
      </c>
      <c r="H5" s="772">
        <v>435.25136824000003</v>
      </c>
      <c r="I5" s="772">
        <v>443.15210785000005</v>
      </c>
      <c r="J5" s="772">
        <v>903.98428605999993</v>
      </c>
      <c r="K5" s="772">
        <v>1033.2069669300001</v>
      </c>
      <c r="L5" s="297"/>
      <c r="M5" s="297"/>
      <c r="N5" s="398"/>
      <c r="O5" s="25"/>
      <c r="P5" s="398"/>
      <c r="Q5" s="47"/>
      <c r="R5" s="47"/>
      <c r="S5" s="47"/>
      <c r="T5" s="47"/>
      <c r="U5" s="47"/>
      <c r="V5" s="47"/>
      <c r="W5" s="47"/>
      <c r="X5" s="47"/>
      <c r="Y5" s="47"/>
      <c r="Z5" s="47"/>
      <c r="AA5" s="47"/>
      <c r="AB5" s="47"/>
      <c r="AC5" s="47"/>
      <c r="AD5" s="47"/>
      <c r="AE5" s="47"/>
      <c r="AF5" s="47"/>
      <c r="AG5" s="47"/>
      <c r="AH5" s="47"/>
      <c r="AI5" s="47"/>
      <c r="AJ5" s="47"/>
      <c r="AK5" s="47"/>
      <c r="AL5" s="47"/>
      <c r="AM5" s="47"/>
      <c r="AN5" s="47"/>
      <c r="AO5" s="47"/>
      <c r="AP5" s="47"/>
      <c r="AQ5" s="47"/>
      <c r="AR5" s="47"/>
      <c r="AS5" s="47"/>
      <c r="AT5" s="47"/>
      <c r="AU5" s="47"/>
      <c r="AV5" s="47"/>
      <c r="AW5" s="47"/>
    </row>
    <row r="6" spans="1:49" s="397" customFormat="1" ht="18" customHeight="1">
      <c r="A6" s="985" t="s">
        <v>336</v>
      </c>
      <c r="B6" s="985"/>
      <c r="C6" s="985"/>
      <c r="D6" s="985"/>
      <c r="E6" s="985"/>
      <c r="F6" s="985"/>
      <c r="G6" s="985"/>
      <c r="H6" s="985"/>
      <c r="I6" s="985"/>
      <c r="J6" s="985"/>
      <c r="K6" s="985"/>
      <c r="L6" s="297"/>
      <c r="M6" s="297"/>
      <c r="N6" s="47"/>
      <c r="O6" s="47"/>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row>
    <row r="7" spans="1:49" s="397" customFormat="1" ht="18" customHeight="1">
      <c r="A7" s="988" t="s">
        <v>363</v>
      </c>
      <c r="B7" s="772">
        <v>177</v>
      </c>
      <c r="C7" s="772">
        <v>293</v>
      </c>
      <c r="D7" s="772">
        <v>425</v>
      </c>
      <c r="E7" s="772">
        <v>646</v>
      </c>
      <c r="F7" s="772">
        <v>895</v>
      </c>
      <c r="G7" s="772">
        <v>1008</v>
      </c>
      <c r="H7" s="772">
        <v>1105</v>
      </c>
      <c r="I7" s="772">
        <v>1259</v>
      </c>
      <c r="J7" s="772">
        <v>1258</v>
      </c>
      <c r="K7" s="772">
        <v>1328</v>
      </c>
      <c r="L7" s="297"/>
      <c r="M7" s="297"/>
      <c r="N7" s="47"/>
      <c r="O7" s="47"/>
      <c r="P7" s="47"/>
      <c r="Q7" s="47"/>
      <c r="R7" s="47"/>
      <c r="S7" s="47"/>
      <c r="T7" s="47"/>
      <c r="U7" s="47"/>
      <c r="V7" s="47"/>
      <c r="W7" s="47"/>
      <c r="X7" s="47"/>
      <c r="Y7" s="47"/>
      <c r="Z7" s="47"/>
      <c r="AA7" s="47"/>
      <c r="AB7" s="47"/>
      <c r="AC7" s="47"/>
      <c r="AD7" s="47"/>
      <c r="AE7" s="47"/>
      <c r="AF7" s="47"/>
      <c r="AG7" s="47"/>
      <c r="AH7" s="47"/>
      <c r="AI7" s="47"/>
      <c r="AJ7" s="47"/>
      <c r="AK7" s="47"/>
      <c r="AL7" s="47"/>
      <c r="AM7" s="47"/>
      <c r="AN7" s="47"/>
      <c r="AO7" s="47"/>
      <c r="AP7" s="47"/>
      <c r="AQ7" s="47"/>
      <c r="AR7" s="47"/>
      <c r="AS7" s="47"/>
      <c r="AT7" s="47"/>
      <c r="AU7" s="47"/>
      <c r="AV7" s="47"/>
      <c r="AW7" s="47"/>
    </row>
    <row r="8" spans="1:49" s="397" customFormat="1" ht="18" customHeight="1">
      <c r="A8" s="988" t="s">
        <v>419</v>
      </c>
      <c r="B8" s="989">
        <v>7.8175141200000002</v>
      </c>
      <c r="C8" s="989">
        <v>21.4522516</v>
      </c>
      <c r="D8" s="989">
        <v>25.887906539999999</v>
      </c>
      <c r="E8" s="989">
        <v>35.973669200000003</v>
      </c>
      <c r="F8" s="989">
        <v>48.839669629999996</v>
      </c>
      <c r="G8" s="989">
        <v>49.17862706999999</v>
      </c>
      <c r="H8" s="989">
        <v>54.585241879999998</v>
      </c>
      <c r="I8" s="989">
        <v>58.618929450000003</v>
      </c>
      <c r="J8" s="989">
        <v>90.949201129999992</v>
      </c>
      <c r="K8" s="989">
        <v>102.48052143000001</v>
      </c>
      <c r="L8" s="297"/>
      <c r="M8" s="29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row>
    <row r="9" spans="1:49" ht="18" customHeight="1">
      <c r="A9" s="985" t="s">
        <v>467</v>
      </c>
      <c r="B9" s="985"/>
      <c r="C9" s="985"/>
      <c r="D9" s="985"/>
      <c r="E9" s="985"/>
      <c r="F9" s="985"/>
      <c r="G9" s="985"/>
      <c r="H9" s="985"/>
      <c r="I9" s="985"/>
      <c r="J9" s="985"/>
      <c r="K9" s="985"/>
      <c r="L9" s="297"/>
      <c r="M9" s="297"/>
    </row>
    <row r="10" spans="1:49" s="397" customFormat="1" ht="18" customHeight="1">
      <c r="A10" s="988" t="s">
        <v>363</v>
      </c>
      <c r="B10" s="772">
        <v>7219</v>
      </c>
      <c r="C10" s="772">
        <v>7314</v>
      </c>
      <c r="D10" s="772">
        <v>7293</v>
      </c>
      <c r="E10" s="772">
        <v>7284</v>
      </c>
      <c r="F10" s="772">
        <v>7264</v>
      </c>
      <c r="G10" s="772">
        <v>7255</v>
      </c>
      <c r="H10" s="772">
        <v>7218</v>
      </c>
      <c r="I10" s="772">
        <v>7200</v>
      </c>
      <c r="J10" s="772">
        <v>7159</v>
      </c>
      <c r="K10" s="772">
        <v>7131</v>
      </c>
      <c r="L10" s="297"/>
      <c r="M10" s="297"/>
      <c r="N10" s="47"/>
      <c r="O10" s="47"/>
      <c r="P10" s="47"/>
      <c r="Q10" s="47"/>
      <c r="R10" s="47"/>
      <c r="S10" s="47"/>
      <c r="T10" s="47"/>
      <c r="U10" s="47"/>
      <c r="V10" s="47"/>
      <c r="W10" s="47"/>
      <c r="X10" s="47"/>
      <c r="Y10" s="47"/>
      <c r="Z10" s="47"/>
      <c r="AA10" s="47"/>
      <c r="AB10" s="47"/>
      <c r="AC10" s="47"/>
      <c r="AD10" s="47"/>
      <c r="AE10" s="47"/>
      <c r="AF10" s="47"/>
      <c r="AG10" s="47"/>
      <c r="AH10" s="47"/>
      <c r="AI10" s="47"/>
      <c r="AJ10" s="47"/>
      <c r="AK10" s="47"/>
      <c r="AL10" s="47"/>
      <c r="AM10" s="47"/>
      <c r="AN10" s="47"/>
      <c r="AO10" s="47"/>
      <c r="AP10" s="47"/>
      <c r="AQ10" s="47"/>
      <c r="AR10" s="47"/>
      <c r="AS10" s="47"/>
      <c r="AT10" s="47"/>
      <c r="AU10" s="47"/>
      <c r="AV10" s="47"/>
      <c r="AW10" s="47"/>
    </row>
    <row r="11" spans="1:49" s="397" customFormat="1" ht="18" customHeight="1">
      <c r="A11" s="988" t="s">
        <v>419</v>
      </c>
      <c r="B11" s="772">
        <v>167.05241654</v>
      </c>
      <c r="C11" s="772">
        <v>240.70123962</v>
      </c>
      <c r="D11" s="772">
        <v>244.38423925999999</v>
      </c>
      <c r="E11" s="772">
        <v>259.55405459000002</v>
      </c>
      <c r="F11" s="772">
        <v>260.11826271000001</v>
      </c>
      <c r="G11" s="772">
        <v>264.84195394</v>
      </c>
      <c r="H11" s="772">
        <v>270.65722773000005</v>
      </c>
      <c r="I11" s="772">
        <v>280.56057788999999</v>
      </c>
      <c r="J11" s="772">
        <v>297.50286885000003</v>
      </c>
      <c r="K11" s="772">
        <v>292.83854117999999</v>
      </c>
      <c r="L11" s="297"/>
      <c r="M11" s="297"/>
      <c r="N11" s="47"/>
      <c r="O11" s="47"/>
      <c r="P11" s="47"/>
      <c r="Q11" s="47"/>
      <c r="R11" s="47"/>
      <c r="S11" s="47"/>
      <c r="T11" s="47"/>
      <c r="U11" s="47"/>
      <c r="V11" s="47"/>
      <c r="W11" s="47"/>
      <c r="X11" s="47"/>
      <c r="Y11" s="47"/>
      <c r="Z11" s="47"/>
      <c r="AA11" s="47"/>
      <c r="AB11" s="47"/>
      <c r="AC11" s="47"/>
      <c r="AD11" s="47"/>
      <c r="AE11" s="47"/>
      <c r="AF11" s="47"/>
      <c r="AG11" s="47"/>
      <c r="AH11" s="47"/>
      <c r="AI11" s="47"/>
      <c r="AJ11" s="47"/>
      <c r="AK11" s="47"/>
      <c r="AL11" s="47"/>
      <c r="AM11" s="47"/>
      <c r="AN11" s="47"/>
      <c r="AO11" s="47"/>
      <c r="AP11" s="47"/>
      <c r="AQ11" s="47"/>
      <c r="AR11" s="47"/>
      <c r="AS11" s="47"/>
      <c r="AT11" s="47"/>
      <c r="AU11" s="47"/>
      <c r="AV11" s="47"/>
      <c r="AW11" s="47"/>
    </row>
    <row r="12" spans="1:49" s="80" customFormat="1" ht="18" customHeight="1">
      <c r="A12" s="985" t="s">
        <v>468</v>
      </c>
      <c r="B12" s="985"/>
      <c r="C12" s="985"/>
      <c r="D12" s="985"/>
      <c r="E12" s="985"/>
      <c r="F12" s="985"/>
      <c r="G12" s="985"/>
      <c r="H12" s="985"/>
      <c r="I12" s="985"/>
      <c r="J12" s="985"/>
      <c r="K12" s="985"/>
      <c r="L12" s="297"/>
      <c r="M12" s="297"/>
    </row>
    <row r="13" spans="1:49" s="80" customFormat="1" ht="18" customHeight="1">
      <c r="A13" s="988" t="s">
        <v>363</v>
      </c>
      <c r="B13" s="772">
        <v>0</v>
      </c>
      <c r="C13" s="772">
        <v>0</v>
      </c>
      <c r="D13" s="772">
        <v>0</v>
      </c>
      <c r="E13" s="772">
        <v>16198</v>
      </c>
      <c r="F13" s="772">
        <v>16561</v>
      </c>
      <c r="G13" s="772">
        <v>16779</v>
      </c>
      <c r="H13" s="772">
        <v>17007</v>
      </c>
      <c r="I13" s="772">
        <v>17310</v>
      </c>
      <c r="J13" s="772">
        <v>17676</v>
      </c>
      <c r="K13" s="772">
        <v>0</v>
      </c>
      <c r="L13" s="297"/>
      <c r="M13" s="25"/>
    </row>
    <row r="14" spans="1:49" s="25" customFormat="1" ht="18" customHeight="1">
      <c r="A14" s="988" t="s">
        <v>419</v>
      </c>
      <c r="B14" s="990">
        <v>0</v>
      </c>
      <c r="C14" s="990">
        <v>0</v>
      </c>
      <c r="D14" s="990">
        <v>0</v>
      </c>
      <c r="E14" s="990">
        <v>471.31171135</v>
      </c>
      <c r="F14" s="990">
        <v>524.54732846000002</v>
      </c>
      <c r="G14" s="990">
        <v>533.48253768999996</v>
      </c>
      <c r="H14" s="772">
        <v>539.03694702999996</v>
      </c>
      <c r="I14" s="772">
        <v>550.82376364999993</v>
      </c>
      <c r="J14" s="772">
        <v>93.669343139999995</v>
      </c>
      <c r="K14" s="772">
        <v>0</v>
      </c>
      <c r="L14" s="297"/>
    </row>
    <row r="15" spans="1:49" s="80" customFormat="1" ht="18" customHeight="1">
      <c r="A15" s="991" t="s">
        <v>337</v>
      </c>
      <c r="B15" s="991"/>
      <c r="C15" s="991"/>
      <c r="D15" s="991"/>
      <c r="E15" s="991"/>
      <c r="F15" s="991"/>
      <c r="G15" s="991"/>
      <c r="H15" s="991"/>
      <c r="I15" s="991"/>
      <c r="J15" s="987"/>
      <c r="K15" s="987"/>
      <c r="L15" s="297"/>
      <c r="M15" s="25"/>
    </row>
    <row r="16" spans="1:49" s="80" customFormat="1" ht="18" customHeight="1">
      <c r="A16" s="992" t="s">
        <v>420</v>
      </c>
      <c r="B16" s="772">
        <v>582.61387109000009</v>
      </c>
      <c r="C16" s="772">
        <v>701.62056966</v>
      </c>
      <c r="D16" s="772">
        <v>742.87434793</v>
      </c>
      <c r="E16" s="772">
        <v>798.04040264000002</v>
      </c>
      <c r="F16" s="772">
        <v>891.86379866999994</v>
      </c>
      <c r="G16" s="772">
        <v>937.23958923999999</v>
      </c>
      <c r="H16" s="772">
        <v>1023.4450120299999</v>
      </c>
      <c r="I16" s="772">
        <v>1100.8305198399999</v>
      </c>
      <c r="J16" s="772">
        <v>1183.8258163599999</v>
      </c>
      <c r="K16" s="772">
        <v>1121.58271816</v>
      </c>
      <c r="L16" s="297"/>
      <c r="M16" s="25"/>
    </row>
    <row r="17" spans="1:15" s="80" customFormat="1" ht="18" customHeight="1">
      <c r="A17" s="992" t="s">
        <v>338</v>
      </c>
      <c r="B17" s="990">
        <v>1399</v>
      </c>
      <c r="C17" s="990">
        <v>1431</v>
      </c>
      <c r="D17" s="990">
        <v>1501</v>
      </c>
      <c r="E17" s="990">
        <v>1543</v>
      </c>
      <c r="F17" s="990">
        <v>1762</v>
      </c>
      <c r="G17" s="990">
        <v>1709</v>
      </c>
      <c r="H17" s="990">
        <v>1892</v>
      </c>
      <c r="I17" s="990">
        <v>2055</v>
      </c>
      <c r="J17" s="990">
        <v>2164</v>
      </c>
      <c r="K17" s="990">
        <v>2012</v>
      </c>
      <c r="L17" s="297"/>
      <c r="M17" s="25"/>
    </row>
    <row r="18" spans="1:15" s="80" customFormat="1" ht="18" customHeight="1">
      <c r="A18" s="993" t="s">
        <v>339</v>
      </c>
      <c r="B18" s="994">
        <v>59002</v>
      </c>
      <c r="C18" s="994">
        <v>68805</v>
      </c>
      <c r="D18" s="994">
        <v>69461</v>
      </c>
      <c r="E18" s="994">
        <v>74849</v>
      </c>
      <c r="F18" s="994">
        <v>81922</v>
      </c>
      <c r="G18" s="994">
        <v>79729</v>
      </c>
      <c r="H18" s="994">
        <v>88716</v>
      </c>
      <c r="I18" s="994">
        <v>95087</v>
      </c>
      <c r="J18" s="994">
        <v>100225</v>
      </c>
      <c r="K18" s="994">
        <v>94458</v>
      </c>
      <c r="M18" s="25"/>
    </row>
    <row r="19" spans="1:15" s="80" customFormat="1" ht="13.5" customHeight="1">
      <c r="A19" s="1033" t="s">
        <v>340</v>
      </c>
      <c r="B19" s="1033"/>
      <c r="C19" s="1033"/>
      <c r="D19" s="1033"/>
      <c r="E19" s="1033"/>
      <c r="F19" s="1033"/>
      <c r="G19" s="1033"/>
      <c r="J19" s="297"/>
      <c r="K19" s="297"/>
      <c r="L19" s="297"/>
      <c r="M19" s="25"/>
    </row>
    <row r="20" spans="1:15" s="80" customFormat="1" ht="18.75" customHeight="1">
      <c r="A20" s="395" t="s">
        <v>368</v>
      </c>
      <c r="B20" s="395"/>
      <c r="C20" s="395"/>
      <c r="D20" s="395"/>
      <c r="E20" s="395"/>
      <c r="F20" s="395"/>
      <c r="G20" s="395"/>
      <c r="K20" s="297"/>
      <c r="L20" s="297"/>
      <c r="M20" s="25"/>
    </row>
    <row r="21" spans="1:15" s="80" customFormat="1" ht="18.75" customHeight="1">
      <c r="A21" s="395"/>
      <c r="B21" s="395"/>
      <c r="C21" s="395"/>
      <c r="D21" s="395"/>
      <c r="E21" s="395"/>
      <c r="F21" s="395"/>
      <c r="G21" s="395"/>
      <c r="K21" s="297"/>
      <c r="L21" s="297"/>
      <c r="M21" s="25"/>
    </row>
    <row r="22" spans="1:15" ht="28.5">
      <c r="A22" s="1023" t="s">
        <v>327</v>
      </c>
      <c r="B22" s="1023"/>
      <c r="C22" s="1023"/>
      <c r="D22" s="1023"/>
      <c r="E22" s="1023"/>
      <c r="F22" s="1023"/>
      <c r="G22" s="1023"/>
      <c r="H22" s="1023"/>
      <c r="I22" s="1023"/>
      <c r="J22" s="1023"/>
      <c r="K22" s="1023"/>
      <c r="L22" s="25"/>
      <c r="M22" s="25"/>
      <c r="N22" s="25"/>
      <c r="O22" s="25"/>
    </row>
    <row r="23" spans="1:15" s="80" customFormat="1" ht="18.75" customHeight="1">
      <c r="A23" s="984"/>
      <c r="B23" s="984">
        <v>2011</v>
      </c>
      <c r="C23" s="984">
        <v>2012</v>
      </c>
      <c r="D23" s="984">
        <v>2013</v>
      </c>
      <c r="E23" s="984">
        <v>2014</v>
      </c>
      <c r="F23" s="984">
        <v>2015</v>
      </c>
      <c r="G23" s="984">
        <v>2016</v>
      </c>
      <c r="H23" s="984">
        <v>2017</v>
      </c>
      <c r="I23" s="984">
        <v>2018</v>
      </c>
      <c r="J23" s="984">
        <v>2019</v>
      </c>
      <c r="K23" s="984">
        <v>2020</v>
      </c>
      <c r="L23" s="25"/>
    </row>
    <row r="24" spans="1:15" ht="18.75" customHeight="1">
      <c r="A24" s="985" t="s">
        <v>364</v>
      </c>
      <c r="B24" s="995"/>
      <c r="C24" s="996"/>
      <c r="D24" s="996"/>
      <c r="E24" s="996"/>
      <c r="F24" s="996"/>
      <c r="G24" s="996"/>
      <c r="H24" s="996"/>
      <c r="I24" s="996"/>
      <c r="J24" s="997"/>
      <c r="K24" s="997"/>
      <c r="L24" s="25"/>
      <c r="M24" s="25"/>
      <c r="N24" s="25"/>
      <c r="O24" s="25"/>
    </row>
    <row r="25" spans="1:15" ht="18.75" customHeight="1">
      <c r="A25" s="988" t="s">
        <v>328</v>
      </c>
      <c r="B25" s="998">
        <v>103828</v>
      </c>
      <c r="C25" s="998">
        <v>275175</v>
      </c>
      <c r="D25" s="998">
        <v>285877</v>
      </c>
      <c r="E25" s="998">
        <v>302104</v>
      </c>
      <c r="F25" s="998">
        <v>317545</v>
      </c>
      <c r="G25" s="998">
        <v>325387</v>
      </c>
      <c r="H25" s="998">
        <v>330404</v>
      </c>
      <c r="I25" s="998">
        <v>339997</v>
      </c>
      <c r="J25" s="998">
        <v>349743</v>
      </c>
      <c r="K25" s="998">
        <v>330378</v>
      </c>
      <c r="L25" s="25"/>
      <c r="M25" s="25"/>
      <c r="N25" s="25"/>
      <c r="O25" s="25"/>
    </row>
    <row r="26" spans="1:15" ht="18.75" customHeight="1">
      <c r="A26" s="988" t="s">
        <v>366</v>
      </c>
      <c r="B26" s="998">
        <v>212774081.04740971</v>
      </c>
      <c r="C26" s="998">
        <v>782126477</v>
      </c>
      <c r="D26" s="998">
        <v>744921545.23043644</v>
      </c>
      <c r="E26" s="998">
        <v>1063054680.1289001</v>
      </c>
      <c r="F26" s="998">
        <v>1400609841.9112999</v>
      </c>
      <c r="G26" s="998">
        <v>1675199186.7771001</v>
      </c>
      <c r="H26" s="998">
        <v>1797290685.4338</v>
      </c>
      <c r="I26" s="998">
        <v>2164672440.9019995</v>
      </c>
      <c r="J26" s="998">
        <v>2433716952.1483998</v>
      </c>
      <c r="K26" s="998">
        <v>2014669790.0487003</v>
      </c>
      <c r="L26" s="25"/>
      <c r="N26" s="25"/>
      <c r="O26" s="25"/>
    </row>
    <row r="27" spans="1:15" ht="18.75" customHeight="1">
      <c r="A27" s="986" t="s">
        <v>329</v>
      </c>
      <c r="B27" s="999"/>
      <c r="C27" s="999"/>
      <c r="D27" s="999"/>
      <c r="E27" s="999"/>
      <c r="F27" s="999"/>
      <c r="G27" s="999"/>
      <c r="H27" s="999"/>
      <c r="I27" s="999"/>
      <c r="J27" s="999"/>
      <c r="K27" s="999"/>
      <c r="L27" s="25"/>
      <c r="M27" s="25"/>
      <c r="N27" s="25"/>
      <c r="O27" s="25"/>
    </row>
    <row r="28" spans="1:15" ht="18.75" customHeight="1">
      <c r="A28" s="988" t="s">
        <v>328</v>
      </c>
      <c r="B28" s="998">
        <v>7145</v>
      </c>
      <c r="C28" s="998">
        <v>8545</v>
      </c>
      <c r="D28" s="998">
        <v>9230</v>
      </c>
      <c r="E28" s="998">
        <v>7260</v>
      </c>
      <c r="F28" s="998">
        <v>8279</v>
      </c>
      <c r="G28" s="998">
        <v>8034</v>
      </c>
      <c r="H28" s="998">
        <v>7017</v>
      </c>
      <c r="I28" s="998">
        <v>6951</v>
      </c>
      <c r="J28" s="998">
        <v>6734</v>
      </c>
      <c r="K28" s="998">
        <v>7870</v>
      </c>
      <c r="L28" s="25"/>
      <c r="N28" s="25"/>
      <c r="O28" s="25"/>
    </row>
    <row r="29" spans="1:15" ht="18.75" customHeight="1">
      <c r="A29" s="988" t="s">
        <v>366</v>
      </c>
      <c r="B29" s="998">
        <v>44840000</v>
      </c>
      <c r="C29" s="998">
        <v>62959000</v>
      </c>
      <c r="D29" s="998">
        <v>66389000</v>
      </c>
      <c r="E29" s="998">
        <v>70378000</v>
      </c>
      <c r="F29" s="998">
        <v>62871000</v>
      </c>
      <c r="G29" s="998">
        <v>58122000</v>
      </c>
      <c r="H29" s="998">
        <v>55411000</v>
      </c>
      <c r="I29" s="998">
        <v>51465000</v>
      </c>
      <c r="J29" s="998">
        <v>48907000</v>
      </c>
      <c r="K29" s="998">
        <v>55477000</v>
      </c>
      <c r="L29" s="25"/>
    </row>
    <row r="30" spans="1:15" ht="18.75" customHeight="1">
      <c r="A30" s="986" t="s">
        <v>330</v>
      </c>
      <c r="B30" s="999"/>
      <c r="C30" s="999"/>
      <c r="D30" s="999"/>
      <c r="E30" s="999"/>
      <c r="F30" s="999"/>
      <c r="G30" s="999"/>
      <c r="H30" s="999"/>
      <c r="I30" s="999"/>
      <c r="J30" s="999"/>
      <c r="K30" s="999"/>
      <c r="L30" s="25"/>
      <c r="M30" s="25"/>
      <c r="N30" s="25"/>
      <c r="O30" s="25"/>
    </row>
    <row r="31" spans="1:15" ht="18.75" customHeight="1">
      <c r="A31" s="988" t="s">
        <v>328</v>
      </c>
      <c r="B31" s="998">
        <v>55</v>
      </c>
      <c r="C31" s="998">
        <v>96</v>
      </c>
      <c r="D31" s="998">
        <v>144</v>
      </c>
      <c r="E31" s="998">
        <v>241</v>
      </c>
      <c r="F31" s="998">
        <v>258</v>
      </c>
      <c r="G31" s="998">
        <v>254</v>
      </c>
      <c r="H31" s="998">
        <v>251</v>
      </c>
      <c r="I31" s="998">
        <v>254</v>
      </c>
      <c r="J31" s="998">
        <v>247</v>
      </c>
      <c r="K31" s="998">
        <v>260</v>
      </c>
      <c r="L31" s="25"/>
      <c r="M31" s="25"/>
      <c r="N31" s="25"/>
      <c r="O31" s="25"/>
    </row>
    <row r="32" spans="1:15" ht="18.75" customHeight="1">
      <c r="A32" s="988" t="s">
        <v>366</v>
      </c>
      <c r="B32" s="998">
        <v>1242500</v>
      </c>
      <c r="C32" s="998">
        <v>648500</v>
      </c>
      <c r="D32" s="998">
        <v>1180500</v>
      </c>
      <c r="E32" s="998">
        <v>1807000</v>
      </c>
      <c r="F32" s="998">
        <v>2464500</v>
      </c>
      <c r="G32" s="998">
        <v>2416000</v>
      </c>
      <c r="H32" s="998">
        <v>2330000</v>
      </c>
      <c r="I32" s="998">
        <v>2386000</v>
      </c>
      <c r="J32" s="998">
        <v>2362500</v>
      </c>
      <c r="K32" s="998">
        <v>2466500</v>
      </c>
      <c r="M32" s="25"/>
      <c r="N32" s="25"/>
      <c r="O32" s="25"/>
    </row>
    <row r="33" spans="1:49" ht="18.75" customHeight="1">
      <c r="A33" s="986" t="s">
        <v>331</v>
      </c>
      <c r="B33" s="999"/>
      <c r="C33" s="999"/>
      <c r="D33" s="999"/>
      <c r="E33" s="999"/>
      <c r="F33" s="999"/>
      <c r="G33" s="999"/>
      <c r="H33" s="999"/>
      <c r="I33" s="999"/>
      <c r="J33" s="999"/>
      <c r="K33" s="999"/>
      <c r="L33" s="25"/>
      <c r="M33" s="25"/>
      <c r="N33" s="25"/>
      <c r="O33" s="25"/>
    </row>
    <row r="34" spans="1:49" ht="18.75" customHeight="1">
      <c r="A34" s="988" t="s">
        <v>328</v>
      </c>
      <c r="B34" s="998">
        <v>1002</v>
      </c>
      <c r="C34" s="998">
        <v>831</v>
      </c>
      <c r="D34" s="998">
        <v>4288</v>
      </c>
      <c r="E34" s="998" t="s">
        <v>124</v>
      </c>
      <c r="F34" s="998">
        <v>5682</v>
      </c>
      <c r="G34" s="998">
        <v>6777</v>
      </c>
      <c r="H34" s="998">
        <v>3693</v>
      </c>
      <c r="I34" s="998">
        <v>5790</v>
      </c>
      <c r="J34" s="998">
        <v>3943</v>
      </c>
      <c r="K34" s="998">
        <v>3584</v>
      </c>
      <c r="L34" s="25"/>
      <c r="M34" s="25"/>
      <c r="N34" s="25"/>
      <c r="O34" s="25"/>
    </row>
    <row r="35" spans="1:49" ht="18.75" customHeight="1">
      <c r="A35" s="988" t="s">
        <v>366</v>
      </c>
      <c r="B35" s="1000">
        <v>10465083</v>
      </c>
      <c r="C35" s="1000">
        <v>14510916</v>
      </c>
      <c r="D35" s="1000">
        <v>40484849.039999999</v>
      </c>
      <c r="E35" s="1000">
        <v>35665347.009999998</v>
      </c>
      <c r="F35" s="1000">
        <v>51002563.189999998</v>
      </c>
      <c r="G35" s="1000">
        <v>75254785.549999997</v>
      </c>
      <c r="H35" s="1000">
        <v>55406665.420000002</v>
      </c>
      <c r="I35" s="1000">
        <v>70179122.040000007</v>
      </c>
      <c r="J35" s="1000">
        <v>102497805.55999997</v>
      </c>
      <c r="K35" s="1000">
        <v>79889650.350000009</v>
      </c>
      <c r="L35" s="25"/>
      <c r="M35" s="25"/>
      <c r="N35" s="25"/>
      <c r="O35" s="25"/>
    </row>
    <row r="36" spans="1:49" ht="18.75" customHeight="1">
      <c r="A36" s="986" t="s">
        <v>332</v>
      </c>
      <c r="B36" s="999"/>
      <c r="C36" s="999"/>
      <c r="D36" s="999"/>
      <c r="E36" s="999"/>
      <c r="F36" s="999"/>
      <c r="G36" s="999"/>
      <c r="H36" s="999"/>
      <c r="I36" s="999"/>
      <c r="J36" s="999"/>
      <c r="K36" s="999"/>
    </row>
    <row r="37" spans="1:49" ht="18.75" customHeight="1">
      <c r="A37" s="988" t="s">
        <v>328</v>
      </c>
      <c r="B37" s="1001">
        <v>3560</v>
      </c>
      <c r="C37" s="1001">
        <v>4408</v>
      </c>
      <c r="D37" s="1001">
        <v>4876</v>
      </c>
      <c r="E37" s="1001">
        <v>5601</v>
      </c>
      <c r="F37" s="1001">
        <v>6176</v>
      </c>
      <c r="G37" s="1001">
        <v>6696</v>
      </c>
      <c r="H37" s="1001">
        <v>6869</v>
      </c>
      <c r="I37" s="1001">
        <v>7771</v>
      </c>
      <c r="J37" s="1001">
        <v>8476</v>
      </c>
      <c r="K37" s="1001">
        <v>8948</v>
      </c>
      <c r="L37" s="25"/>
      <c r="M37" s="25"/>
      <c r="N37" s="25"/>
      <c r="O37" s="25"/>
    </row>
    <row r="38" spans="1:49" s="391" customFormat="1" ht="18.75" customHeight="1">
      <c r="A38" s="988" t="s">
        <v>366</v>
      </c>
      <c r="B38" s="1002">
        <v>79300500</v>
      </c>
      <c r="C38" s="1002">
        <v>109680000</v>
      </c>
      <c r="D38" s="1002">
        <v>112764000</v>
      </c>
      <c r="E38" s="1002">
        <v>127918000</v>
      </c>
      <c r="F38" s="1002">
        <v>154048000</v>
      </c>
      <c r="G38" s="1002">
        <v>155797000</v>
      </c>
      <c r="H38" s="1002">
        <v>161688000</v>
      </c>
      <c r="I38" s="1002">
        <v>176688000</v>
      </c>
      <c r="J38" s="1002">
        <v>195912000</v>
      </c>
      <c r="K38" s="1002">
        <v>209578000</v>
      </c>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row>
    <row r="39" spans="1:49" s="391" customFormat="1" ht="18.75" customHeight="1">
      <c r="A39" s="986" t="s">
        <v>333</v>
      </c>
      <c r="B39" s="1003"/>
      <c r="C39" s="1003"/>
      <c r="D39" s="1003"/>
      <c r="E39" s="1003"/>
      <c r="F39" s="1003"/>
      <c r="G39" s="1003"/>
      <c r="H39" s="1003"/>
      <c r="I39" s="1003"/>
      <c r="J39" s="1003"/>
      <c r="K39" s="1003"/>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row>
    <row r="40" spans="1:49" ht="18.75" customHeight="1">
      <c r="A40" s="988" t="s">
        <v>328</v>
      </c>
      <c r="B40" s="772">
        <v>0</v>
      </c>
      <c r="C40" s="772">
        <v>0</v>
      </c>
      <c r="D40" s="772">
        <v>0</v>
      </c>
      <c r="E40" s="772">
        <v>0</v>
      </c>
      <c r="F40" s="772">
        <v>0</v>
      </c>
      <c r="G40" s="1001">
        <v>395</v>
      </c>
      <c r="H40" s="1001">
        <v>481</v>
      </c>
      <c r="I40" s="1001">
        <v>483</v>
      </c>
      <c r="J40" s="1001">
        <v>495</v>
      </c>
      <c r="K40" s="1001">
        <v>535</v>
      </c>
      <c r="L40" s="25"/>
      <c r="M40" s="25"/>
      <c r="N40" s="25"/>
      <c r="O40" s="25"/>
    </row>
    <row r="41" spans="1:49" s="394" customFormat="1" ht="18.75" customHeight="1">
      <c r="A41" s="1004" t="s">
        <v>366</v>
      </c>
      <c r="B41" s="772">
        <v>0</v>
      </c>
      <c r="C41" s="772">
        <v>0</v>
      </c>
      <c r="D41" s="772">
        <v>0</v>
      </c>
      <c r="E41" s="772">
        <v>0</v>
      </c>
      <c r="F41" s="772">
        <v>0</v>
      </c>
      <c r="G41" s="1005">
        <v>34800</v>
      </c>
      <c r="H41" s="1005">
        <v>225080</v>
      </c>
      <c r="I41" s="1005">
        <v>229000</v>
      </c>
      <c r="J41" s="1005">
        <v>234480</v>
      </c>
      <c r="K41" s="1005">
        <v>247120</v>
      </c>
      <c r="L41" s="25"/>
      <c r="M41" s="25"/>
      <c r="N41" s="392"/>
      <c r="O41" s="392"/>
      <c r="P41" s="393"/>
      <c r="Q41" s="393"/>
      <c r="R41" s="393"/>
      <c r="S41" s="393"/>
      <c r="T41" s="393"/>
      <c r="U41" s="393"/>
      <c r="V41" s="393"/>
      <c r="W41" s="393"/>
      <c r="X41" s="393"/>
      <c r="Y41" s="393"/>
      <c r="Z41" s="393"/>
      <c r="AA41" s="393"/>
      <c r="AB41" s="393"/>
      <c r="AC41" s="393"/>
      <c r="AD41" s="393"/>
      <c r="AE41" s="393"/>
      <c r="AF41" s="393"/>
      <c r="AG41" s="393"/>
      <c r="AH41" s="393"/>
      <c r="AI41" s="393"/>
      <c r="AJ41" s="393"/>
      <c r="AK41" s="393"/>
      <c r="AL41" s="393"/>
      <c r="AM41" s="393"/>
      <c r="AN41" s="393"/>
      <c r="AO41" s="393"/>
      <c r="AP41" s="393"/>
      <c r="AQ41" s="393"/>
      <c r="AR41" s="393"/>
      <c r="AS41" s="393"/>
      <c r="AT41" s="393"/>
      <c r="AU41" s="393"/>
      <c r="AV41" s="393"/>
      <c r="AW41" s="393"/>
    </row>
    <row r="42" spans="1:49" ht="19.5" customHeight="1">
      <c r="A42" s="1034" t="s">
        <v>365</v>
      </c>
      <c r="B42" s="1034"/>
      <c r="C42" s="1034"/>
      <c r="D42" s="1034"/>
      <c r="E42" s="1034"/>
      <c r="F42" s="1034"/>
      <c r="G42" s="1034"/>
      <c r="H42" s="1034"/>
      <c r="I42" s="1034"/>
      <c r="J42" s="25"/>
      <c r="K42" s="25"/>
      <c r="L42" s="25"/>
      <c r="M42" s="25"/>
      <c r="N42" s="25"/>
      <c r="O42" s="25"/>
    </row>
    <row r="43" spans="1:49" ht="15.75" customHeight="1">
      <c r="A43" s="395"/>
      <c r="B43" s="257"/>
      <c r="C43" s="396"/>
      <c r="D43" s="396"/>
      <c r="E43" s="396"/>
      <c r="F43" s="396"/>
      <c r="G43" s="396"/>
      <c r="I43" s="25"/>
      <c r="J43" s="25"/>
      <c r="K43" s="25"/>
      <c r="L43" s="25"/>
      <c r="M43" s="25"/>
      <c r="N43" s="25"/>
      <c r="O43" s="25"/>
    </row>
    <row r="44" spans="1:49" s="80" customFormat="1" ht="13.5" customHeight="1">
      <c r="A44" s="1035"/>
      <c r="B44" s="1035"/>
      <c r="C44" s="1035"/>
      <c r="D44" s="1035"/>
      <c r="E44" s="1035"/>
      <c r="F44" s="1035"/>
      <c r="G44" s="1035"/>
      <c r="H44" s="426"/>
      <c r="I44" s="426"/>
    </row>
    <row r="45" spans="1:49" s="80" customFormat="1">
      <c r="A45" s="356"/>
      <c r="B45" s="356"/>
    </row>
    <row r="46" spans="1:49" s="80" customFormat="1">
      <c r="A46" s="356"/>
      <c r="B46" s="356"/>
    </row>
    <row r="47" spans="1:49" s="80" customFormat="1">
      <c r="A47" s="356"/>
      <c r="B47" s="356"/>
    </row>
    <row r="48" spans="1:49" s="80" customFormat="1">
      <c r="A48" s="356"/>
      <c r="B48" s="356"/>
    </row>
    <row r="49" spans="1:2" s="80" customFormat="1">
      <c r="A49" s="356"/>
      <c r="B49" s="356"/>
    </row>
    <row r="50" spans="1:2" s="80" customFormat="1">
      <c r="A50" s="356"/>
      <c r="B50" s="356"/>
    </row>
    <row r="51" spans="1:2" s="80" customFormat="1">
      <c r="A51" s="356"/>
      <c r="B51" s="356"/>
    </row>
    <row r="52" spans="1:2" s="80" customFormat="1">
      <c r="A52" s="356"/>
    </row>
    <row r="53" spans="1:2" s="80" customFormat="1">
      <c r="A53" s="356"/>
    </row>
    <row r="54" spans="1:2" s="80" customFormat="1">
      <c r="A54" s="356"/>
    </row>
    <row r="55" spans="1:2" s="80" customFormat="1">
      <c r="A55" s="356"/>
    </row>
    <row r="56" spans="1:2" s="80" customFormat="1"/>
    <row r="57" spans="1:2" s="80" customFormat="1"/>
    <row r="58" spans="1:2" s="80" customFormat="1"/>
    <row r="59" spans="1:2" s="80" customFormat="1"/>
    <row r="60" spans="1:2" s="80" customFormat="1">
      <c r="A60" s="356"/>
    </row>
    <row r="61" spans="1:2" s="80" customFormat="1">
      <c r="A61" s="356"/>
    </row>
    <row r="62" spans="1:2" s="80" customFormat="1">
      <c r="A62" s="356"/>
    </row>
    <row r="63" spans="1:2" s="80" customFormat="1">
      <c r="A63" s="356"/>
    </row>
    <row r="64" spans="1:2" s="80" customFormat="1">
      <c r="A64" s="356"/>
    </row>
    <row r="65" spans="1:1" s="80" customFormat="1">
      <c r="A65" s="356"/>
    </row>
    <row r="66" spans="1:1" s="80" customFormat="1">
      <c r="A66" s="356"/>
    </row>
    <row r="67" spans="1:1" s="80" customFormat="1">
      <c r="A67" s="356"/>
    </row>
    <row r="68" spans="1:1" s="80" customFormat="1">
      <c r="A68" s="356"/>
    </row>
    <row r="69" spans="1:1" s="80" customFormat="1">
      <c r="A69" s="356"/>
    </row>
    <row r="70" spans="1:1" s="80" customFormat="1">
      <c r="A70" s="356"/>
    </row>
    <row r="71" spans="1:1" s="80" customFormat="1">
      <c r="A71" s="356"/>
    </row>
    <row r="72" spans="1:1" s="80" customFormat="1">
      <c r="A72" s="356"/>
    </row>
    <row r="73" spans="1:1" s="80" customFormat="1">
      <c r="A73" s="356"/>
    </row>
    <row r="74" spans="1:1" s="80" customFormat="1">
      <c r="A74" s="356"/>
    </row>
    <row r="75" spans="1:1" s="80" customFormat="1">
      <c r="A75" s="356"/>
    </row>
    <row r="76" spans="1:1" s="80" customFormat="1">
      <c r="A76" s="356"/>
    </row>
    <row r="77" spans="1:1" s="80" customFormat="1">
      <c r="A77" s="356"/>
    </row>
    <row r="78" spans="1:1" s="80" customFormat="1">
      <c r="A78" s="356"/>
    </row>
    <row r="79" spans="1:1" s="80" customFormat="1">
      <c r="A79" s="356"/>
    </row>
    <row r="80" spans="1:1" s="80" customFormat="1">
      <c r="A80" s="356"/>
    </row>
    <row r="81" spans="1:1" s="80" customFormat="1">
      <c r="A81" s="356"/>
    </row>
    <row r="82" spans="1:1" s="80" customFormat="1">
      <c r="A82" s="356"/>
    </row>
    <row r="83" spans="1:1" s="80" customFormat="1">
      <c r="A83" s="356"/>
    </row>
    <row r="84" spans="1:1" s="80" customFormat="1">
      <c r="A84" s="356"/>
    </row>
    <row r="85" spans="1:1" s="80" customFormat="1">
      <c r="A85" s="356"/>
    </row>
    <row r="86" spans="1:1" s="80" customFormat="1">
      <c r="A86" s="356"/>
    </row>
    <row r="87" spans="1:1" s="80" customFormat="1">
      <c r="A87" s="356"/>
    </row>
    <row r="88" spans="1:1" s="80" customFormat="1">
      <c r="A88" s="356"/>
    </row>
    <row r="89" spans="1:1" s="80" customFormat="1">
      <c r="A89" s="356"/>
    </row>
    <row r="90" spans="1:1" s="80" customFormat="1">
      <c r="A90" s="356"/>
    </row>
    <row r="91" spans="1:1" s="80" customFormat="1">
      <c r="A91" s="356"/>
    </row>
    <row r="92" spans="1:1" s="80" customFormat="1">
      <c r="A92" s="356"/>
    </row>
    <row r="93" spans="1:1" s="80" customFormat="1">
      <c r="A93" s="356"/>
    </row>
    <row r="94" spans="1:1" s="80" customFormat="1">
      <c r="A94" s="356"/>
    </row>
    <row r="95" spans="1:1" s="80" customFormat="1">
      <c r="A95" s="356"/>
    </row>
    <row r="96" spans="1:1" s="80" customFormat="1">
      <c r="A96" s="356"/>
    </row>
    <row r="97" spans="1:1" s="80" customFormat="1">
      <c r="A97" s="356"/>
    </row>
    <row r="98" spans="1:1" s="80" customFormat="1">
      <c r="A98" s="356"/>
    </row>
    <row r="99" spans="1:1" s="80" customFormat="1">
      <c r="A99" s="356"/>
    </row>
    <row r="100" spans="1:1" s="80" customFormat="1">
      <c r="A100" s="356"/>
    </row>
    <row r="101" spans="1:1" s="80" customFormat="1">
      <c r="A101" s="356"/>
    </row>
    <row r="102" spans="1:1" s="80" customFormat="1">
      <c r="A102" s="356"/>
    </row>
    <row r="103" spans="1:1" s="80" customFormat="1">
      <c r="A103" s="356"/>
    </row>
    <row r="104" spans="1:1" s="80" customFormat="1">
      <c r="A104" s="356"/>
    </row>
    <row r="105" spans="1:1" s="80" customFormat="1">
      <c r="A105" s="356"/>
    </row>
    <row r="106" spans="1:1" s="80" customFormat="1">
      <c r="A106" s="356"/>
    </row>
    <row r="107" spans="1:1" s="80" customFormat="1">
      <c r="A107" s="356"/>
    </row>
    <row r="108" spans="1:1" s="80" customFormat="1">
      <c r="A108" s="356"/>
    </row>
    <row r="109" spans="1:1" s="80" customFormat="1">
      <c r="A109" s="356"/>
    </row>
    <row r="110" spans="1:1" s="80" customFormat="1">
      <c r="A110" s="356"/>
    </row>
    <row r="111" spans="1:1" s="80" customFormat="1">
      <c r="A111" s="356"/>
    </row>
    <row r="112" spans="1:1" s="80" customFormat="1">
      <c r="A112" s="356"/>
    </row>
    <row r="113" spans="1:1" s="80" customFormat="1">
      <c r="A113" s="356"/>
    </row>
    <row r="114" spans="1:1" s="80" customFormat="1">
      <c r="A114" s="356"/>
    </row>
    <row r="115" spans="1:1" s="80" customFormat="1">
      <c r="A115" s="356"/>
    </row>
    <row r="116" spans="1:1" s="80" customFormat="1">
      <c r="A116" s="356"/>
    </row>
    <row r="117" spans="1:1" s="80" customFormat="1">
      <c r="A117" s="356"/>
    </row>
    <row r="118" spans="1:1" s="80" customFormat="1">
      <c r="A118" s="356"/>
    </row>
    <row r="119" spans="1:1" s="80" customFormat="1">
      <c r="A119" s="356"/>
    </row>
    <row r="120" spans="1:1" s="80" customFormat="1">
      <c r="A120" s="356"/>
    </row>
    <row r="121" spans="1:1" s="80" customFormat="1">
      <c r="A121" s="356"/>
    </row>
    <row r="122" spans="1:1" s="80" customFormat="1">
      <c r="A122" s="356"/>
    </row>
    <row r="123" spans="1:1" s="80" customFormat="1">
      <c r="A123" s="356"/>
    </row>
    <row r="124" spans="1:1" s="80" customFormat="1">
      <c r="A124" s="356"/>
    </row>
    <row r="125" spans="1:1" s="80" customFormat="1">
      <c r="A125" s="356"/>
    </row>
    <row r="126" spans="1:1" s="80" customFormat="1">
      <c r="A126" s="356"/>
    </row>
    <row r="127" spans="1:1" s="80" customFormat="1">
      <c r="A127" s="356"/>
    </row>
    <row r="128" spans="1:1" s="80" customFormat="1">
      <c r="A128" s="356"/>
    </row>
    <row r="129" spans="1:1" s="80" customFormat="1">
      <c r="A129" s="356"/>
    </row>
    <row r="130" spans="1:1" s="80" customFormat="1">
      <c r="A130" s="356"/>
    </row>
    <row r="131" spans="1:1" s="80" customFormat="1">
      <c r="A131" s="356"/>
    </row>
    <row r="132" spans="1:1" s="80" customFormat="1">
      <c r="A132" s="356"/>
    </row>
    <row r="133" spans="1:1" s="80" customFormat="1">
      <c r="A133" s="356"/>
    </row>
    <row r="134" spans="1:1" s="80" customFormat="1">
      <c r="A134" s="356"/>
    </row>
    <row r="135" spans="1:1" s="80" customFormat="1">
      <c r="A135" s="356"/>
    </row>
    <row r="136" spans="1:1" s="80" customFormat="1">
      <c r="A136" s="356"/>
    </row>
    <row r="137" spans="1:1" s="80" customFormat="1">
      <c r="A137" s="356"/>
    </row>
    <row r="138" spans="1:1" s="80" customFormat="1">
      <c r="A138" s="356"/>
    </row>
    <row r="139" spans="1:1" s="80" customFormat="1">
      <c r="A139" s="356"/>
    </row>
    <row r="140" spans="1:1" s="80" customFormat="1">
      <c r="A140" s="356"/>
    </row>
    <row r="141" spans="1:1" s="80" customFormat="1">
      <c r="A141" s="356"/>
    </row>
    <row r="142" spans="1:1" s="80" customFormat="1">
      <c r="A142" s="356"/>
    </row>
    <row r="143" spans="1:1" s="80" customFormat="1">
      <c r="A143" s="356"/>
    </row>
    <row r="144" spans="1:1" s="80" customFormat="1">
      <c r="A144" s="356"/>
    </row>
    <row r="145" spans="1:1" s="80" customFormat="1">
      <c r="A145" s="356"/>
    </row>
    <row r="146" spans="1:1" s="80" customFormat="1">
      <c r="A146" s="356"/>
    </row>
    <row r="147" spans="1:1" s="80" customFormat="1">
      <c r="A147" s="356"/>
    </row>
    <row r="148" spans="1:1" s="80" customFormat="1">
      <c r="A148" s="356"/>
    </row>
    <row r="149" spans="1:1" s="80" customFormat="1">
      <c r="A149" s="356"/>
    </row>
    <row r="150" spans="1:1" s="80" customFormat="1">
      <c r="A150" s="356"/>
    </row>
    <row r="151" spans="1:1" s="80" customFormat="1">
      <c r="A151" s="356"/>
    </row>
    <row r="152" spans="1:1" s="80" customFormat="1">
      <c r="A152" s="356"/>
    </row>
    <row r="153" spans="1:1" s="80" customFormat="1">
      <c r="A153" s="356"/>
    </row>
    <row r="154" spans="1:1">
      <c r="A154" s="356"/>
    </row>
    <row r="155" spans="1:1">
      <c r="A155" s="356"/>
    </row>
    <row r="156" spans="1:1">
      <c r="A156" s="356"/>
    </row>
  </sheetData>
  <mergeCells count="5">
    <mergeCell ref="A1:K1"/>
    <mergeCell ref="A22:K22"/>
    <mergeCell ref="A19:G19"/>
    <mergeCell ref="A42:I42"/>
    <mergeCell ref="A44:G44"/>
  </mergeCells>
  <pageMargins left="0.70866141732283472" right="0.70866141732283472" top="0.74803149606299213" bottom="0.74803149606299213" header="0.31496062992125984" footer="0.31496062992125984"/>
  <pageSetup paperSize="9" scale="63" orientation="landscape" horizontalDpi="4294967295" verticalDpi="4294967295" r:id="rId1"/>
  <rowBreaks count="1" manualBreakCount="1">
    <brk id="42" max="10"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18</vt:i4>
      </vt:variant>
    </vt:vector>
  </HeadingPairs>
  <TitlesOfParts>
    <vt:vector size="36" baseType="lpstr">
      <vt:lpstr>1 Geo</vt:lpstr>
      <vt:lpstr>2 Popu</vt:lpstr>
      <vt:lpstr>Eploymt</vt:lpstr>
      <vt:lpstr>Health</vt:lpstr>
      <vt:lpstr>Edu</vt:lpstr>
      <vt:lpstr>Law &amp; order</vt:lpstr>
      <vt:lpstr>fish agri</vt:lpstr>
      <vt:lpstr>Tourism</vt:lpstr>
      <vt:lpstr>Transp</vt:lpstr>
      <vt:lpstr>Elec &amp; water</vt:lpstr>
      <vt:lpstr>Finance</vt:lpstr>
      <vt:lpstr>Money n BAnking</vt:lpstr>
      <vt:lpstr>Foerign trade &amp; BOP</vt:lpstr>
      <vt:lpstr>Annual nationa accounts</vt:lpstr>
      <vt:lpstr>Prices</vt:lpstr>
      <vt:lpstr>Political parties &amp; Elections</vt:lpstr>
      <vt:lpstr>Poverty</vt:lpstr>
      <vt:lpstr>Social Protection</vt:lpstr>
      <vt:lpstr>'1 Geo'!Print_Area</vt:lpstr>
      <vt:lpstr>'2 Popu'!Print_Area</vt:lpstr>
      <vt:lpstr>'Annual nationa accounts'!Print_Area</vt:lpstr>
      <vt:lpstr>Edu!Print_Area</vt:lpstr>
      <vt:lpstr>'Elec &amp; water'!Print_Area</vt:lpstr>
      <vt:lpstr>Eploymt!Print_Area</vt:lpstr>
      <vt:lpstr>Finance!Print_Area</vt:lpstr>
      <vt:lpstr>'fish agri'!Print_Area</vt:lpstr>
      <vt:lpstr>'Foerign trade &amp; BOP'!Print_Area</vt:lpstr>
      <vt:lpstr>Health!Print_Area</vt:lpstr>
      <vt:lpstr>'Law &amp; order'!Print_Area</vt:lpstr>
      <vt:lpstr>'Money n BAnking'!Print_Area</vt:lpstr>
      <vt:lpstr>'Political parties &amp; Elections'!Print_Area</vt:lpstr>
      <vt:lpstr>Poverty!Print_Area</vt:lpstr>
      <vt:lpstr>Prices!Print_Area</vt:lpstr>
      <vt:lpstr>'Social Protection'!Print_Area</vt:lpstr>
      <vt:lpstr>Tourism!Print_Area</vt:lpstr>
      <vt:lpstr>Transp!Print_Area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mohamed</cp:lastModifiedBy>
  <cp:lastPrinted>2021-12-13T23:16:19Z</cp:lastPrinted>
  <dcterms:created xsi:type="dcterms:W3CDTF">2019-05-14T08:05:18Z</dcterms:created>
  <dcterms:modified xsi:type="dcterms:W3CDTF">2021-12-13T23:16:36Z</dcterms:modified>
</cp:coreProperties>
</file>