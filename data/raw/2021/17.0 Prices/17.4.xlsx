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7. Prices\"/>
    </mc:Choice>
  </mc:AlternateContent>
  <bookViews>
    <workbookView xWindow="0" yWindow="0" windowWidth="28800" windowHeight="11700" tabRatio="793"/>
  </bookViews>
  <sheets>
    <sheet name="17.4" sheetId="4" r:id="rId1"/>
  </sheets>
  <definedNames>
    <definedName name="_xlnm.Print_Area" localSheetId="0">'17.4'!$A$1:$O$31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6" i="4" l="1"/>
  <c r="N24" i="4" l="1"/>
  <c r="N25" i="4"/>
  <c r="N17" i="4"/>
  <c r="N10" i="4"/>
  <c r="N11" i="4"/>
  <c r="N12" i="4"/>
  <c r="N13" i="4"/>
  <c r="N14" i="4"/>
  <c r="N15" i="4"/>
  <c r="N16" i="4"/>
  <c r="N18" i="4"/>
  <c r="N19" i="4"/>
  <c r="N20" i="4"/>
  <c r="N21" i="4"/>
  <c r="N22" i="4"/>
  <c r="N9" i="4"/>
</calcChain>
</file>

<file path=xl/sharedStrings.xml><?xml version="1.0" encoding="utf-8"?>
<sst xmlns="http://schemas.openxmlformats.org/spreadsheetml/2006/main" count="74" uniqueCount="74">
  <si>
    <t xml:space="preserve">Source:  National  Bureau of Statistics   </t>
  </si>
  <si>
    <t>Major Groups - Republic</t>
  </si>
  <si>
    <t>cSwa ejcaWr - cawtiawb uDnwgiawm</t>
  </si>
  <si>
    <t>Food and beverages including fish</t>
  </si>
  <si>
    <t xml:space="preserve"> cniaubIrWycawt iaWaWnWk</t>
  </si>
  <si>
    <t>Food and beverages excluding fish</t>
  </si>
  <si>
    <t>(Wnwmihuncswm) cniaubIrWycawt iaWaWnWk</t>
  </si>
  <si>
    <t>Fish Index</t>
  </si>
  <si>
    <t>uDnwgcnim eguhwm</t>
  </si>
  <si>
    <t xml:space="preserve">Tobacco and Aracanuts </t>
  </si>
  <si>
    <t>cnWviawf iaWTUb idwa unuawncnwa</t>
  </si>
  <si>
    <t>cawtctwvWb egulet idwa csEg ,uTcnwrwk ,cnef ,ilukegEg</t>
  </si>
  <si>
    <t xml:space="preserve"> ilukegEg</t>
  </si>
  <si>
    <t>cnurukctWmWrwm  iaWCcaekwt  ELugcneg Wfih ,cnixem,rwCInrwf</t>
  </si>
  <si>
    <t>Health</t>
  </si>
  <si>
    <t>ctwmcdiK IHcaiB</t>
  </si>
  <si>
    <t xml:space="preserve"> urutwfurutwd</t>
  </si>
  <si>
    <t>ctwmudiK ItWlwBWvum</t>
  </si>
  <si>
    <t>cawtcawtcnwk IfWqws iaWrwviLuk</t>
  </si>
  <si>
    <t>cmIluAwt</t>
  </si>
  <si>
    <t xml:space="preserve">  cTcnwrOTcser idwa Efek ,WToh</t>
  </si>
  <si>
    <t>ctwmcdiK iaWlwdum cnehinehea</t>
  </si>
  <si>
    <t>All groups CPI (Total)</t>
  </si>
  <si>
    <t>wlcmuj</t>
  </si>
  <si>
    <t>Total excluding fish</t>
  </si>
  <si>
    <t xml:space="preserve"> Wnwmihuncswm uDnwgcnim wlcmuj</t>
  </si>
  <si>
    <t>cawtctwvWb egumufud iaWtwfcnud</t>
  </si>
  <si>
    <t>Note:</t>
  </si>
  <si>
    <t>na- Not available</t>
  </si>
  <si>
    <t>Monthly CPI</t>
  </si>
  <si>
    <t>iawa.Ip.Is eguhwmcswm</t>
  </si>
  <si>
    <t>Irwaunej</t>
  </si>
  <si>
    <t>Irwaurcbef</t>
  </si>
  <si>
    <t>cCrWm</t>
  </si>
  <si>
    <t>clIrcpEa</t>
  </si>
  <si>
    <t>Em</t>
  </si>
  <si>
    <t>cnUj</t>
  </si>
  <si>
    <t>iawluj</t>
  </si>
  <si>
    <t>cTcswgOa</t>
  </si>
  <si>
    <t>urwbcmeTcpes</t>
  </si>
  <si>
    <t>urwbOTckoa</t>
  </si>
  <si>
    <t>urwbcmevon</t>
  </si>
  <si>
    <t>urwbcmesiD</t>
  </si>
  <si>
    <t>cjErwvea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</si>
  <si>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</si>
  <si>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</si>
  <si>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</si>
  <si>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</si>
  <si>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</si>
  <si>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</si>
  <si>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</si>
  <si>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</si>
  <si>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</si>
  <si>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</si>
  <si>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</si>
  <si>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</si>
  <si>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Jan-Dec</t>
  </si>
  <si>
    <t>Clothing &amp; footwear</t>
  </si>
  <si>
    <t>Housing, water, electricity, gas &amp; other fuels</t>
  </si>
  <si>
    <t>Actual rentals for housing</t>
  </si>
  <si>
    <t>Furnishing, household equip., Carpets &amp; Other Floor covering</t>
  </si>
  <si>
    <t>Transport</t>
  </si>
  <si>
    <t>Information &amp; Communication</t>
  </si>
  <si>
    <t xml:space="preserve">Recreation, Sports &amp; culture </t>
  </si>
  <si>
    <t xml:space="preserve">Education Services                                             </t>
  </si>
  <si>
    <t>Restaurants and Accomodation services</t>
  </si>
  <si>
    <t>Insurance and Financial Services</t>
  </si>
  <si>
    <t>Personal Care, Social Protection and Miscellaneous goods and services</t>
  </si>
  <si>
    <t>(Index - base: Aug 2019=100)</t>
  </si>
  <si>
    <t>In 2019, base of ndex: Aug 2019=100, COICOP 2018 has been adopted in the rebased series</t>
  </si>
  <si>
    <t>އިންޝުއަރެންސް އަދި މާލީ ޚިދުމަތްތައް</t>
  </si>
  <si>
    <t>2020 ,cSwaejcaWr ,uDnwgcnim egugwa egurWzWb uhwmcswmikea : 17.4 ulwvWt</t>
  </si>
  <si>
    <t>Table 17.4 :   CPI GROUPS, by months,  Republic,  2020</t>
  </si>
  <si>
    <t>(cnegiawlwbcSwa 100 IkwDnwgcnim eg އޮގަސްޓް 2019 )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</si>
</sst>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-* #,##0.00\ _ރ_._-;_-* #,##0.00\ _ރ_.\-;_-* &quot;-&quot;??\ _ރ_._-;_-@_-"/>
    <numFmt numFmtId="164" formatCode="_(* #,##0.00_);_(* \(#,##0.00\);_(* &quot;-&quot;??_);_(@_)"/>
    <numFmt numFmtId="165" formatCode="General_)"/>
    <numFmt numFmtId="166" formatCode="0.0"/>
    <numFmt numFmtId="170" formatCode="_-* #,##0.00_-;\-* #,##0.00_-;_-* &quot;-&quot;??_-;_-@_-"/>
    <numFmt numFmtId="172" formatCode="0.00_)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color theme="1"/>
      <name val="A_Randhoo"/>
    </font>
    <font>
      <sz val="10"/>
      <name val="Arial"/>
      <family val="2"/>
    </font>
    <font>
      <b/>
      <sz val="9"/>
      <name val="Calibri"/>
      <family val="2"/>
      <scheme val="minor"/>
    </font>
    <font>
      <i/>
      <sz val="9"/>
      <name val="Calibri"/>
      <family val="2"/>
      <scheme val="minor"/>
    </font>
    <font>
      <sz val="9"/>
      <name val="Faruma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9"/>
      <name val="Arial"/>
      <family val="2"/>
    </font>
    <font>
      <b/>
      <sz val="11"/>
      <color theme="1"/>
      <name val="A_Randhoo"/>
    </font>
    <font>
      <sz val="9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9"/>
      <name val="A_Faseyha"/>
    </font>
    <font>
      <b/>
      <sz val="10"/>
      <name val="A_Faseyha"/>
    </font>
    <font>
      <sz val="9"/>
      <name val="A_Faseyha"/>
    </font>
    <font>
      <sz val="11"/>
      <color theme="1"/>
      <name val="A_Faseyha"/>
    </font>
    <font>
      <b/>
      <sz val="9"/>
      <color theme="1"/>
      <name val="A_Faseyha"/>
    </font>
    <font>
      <b/>
      <sz val="11"/>
      <color theme="1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1">
    <xf numFmtId="0" fontId="0" fillId="0" borderId="0"/>
    <xf numFmtId="165" fontId="3" fillId="0" borderId="0"/>
    <xf numFmtId="0" fontId="5" fillId="0" borderId="0"/>
    <xf numFmtId="165" fontId="3" fillId="0" borderId="0"/>
    <xf numFmtId="165" fontId="3" fillId="0" borderId="0"/>
    <xf numFmtId="0" fontId="5" fillId="0" borderId="0"/>
    <xf numFmtId="164" fontId="5" fillId="0" borderId="0" applyFont="0" applyFill="0" applyBorder="0" applyAlignment="0" applyProtection="0"/>
    <xf numFmtId="0" fontId="5" fillId="0" borderId="0"/>
    <xf numFmtId="0" fontId="5" fillId="0" borderId="0"/>
    <xf numFmtId="0" fontId="17" fillId="0" borderId="0"/>
    <xf numFmtId="0" fontId="5" fillId="0" borderId="0"/>
    <xf numFmtId="43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18" fillId="0" borderId="0"/>
    <xf numFmtId="9" fontId="5" fillId="0" borderId="0" applyFont="0" applyFill="0" applyBorder="0" applyAlignment="0" applyProtection="0"/>
    <xf numFmtId="0" fontId="1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</cellStyleXfs>
  <cellXfs count="48">
    <xf numFmtId="0" fontId="0" fillId="0" borderId="0" xfId="0"/>
    <xf numFmtId="0" fontId="9" fillId="2" borderId="0" xfId="0" applyFont="1" applyFill="1"/>
    <xf numFmtId="0" fontId="9" fillId="2" borderId="0" xfId="2" applyFont="1" applyFill="1"/>
    <xf numFmtId="0" fontId="6" fillId="2" borderId="3" xfId="2" applyFont="1" applyFill="1" applyBorder="1" applyAlignment="1">
      <alignment vertical="center"/>
    </xf>
    <xf numFmtId="0" fontId="5" fillId="2" borderId="3" xfId="2" applyFont="1" applyFill="1" applyBorder="1"/>
    <xf numFmtId="165" fontId="12" fillId="2" borderId="0" xfId="4" applyFont="1" applyFill="1" applyAlignment="1">
      <alignment vertical="center" wrapText="1"/>
    </xf>
    <xf numFmtId="165" fontId="12" fillId="2" borderId="0" xfId="4" applyFont="1" applyFill="1" applyAlignment="1">
      <alignment vertical="center"/>
    </xf>
    <xf numFmtId="0" fontId="12" fillId="2" borderId="0" xfId="5" applyFont="1" applyFill="1" applyAlignment="1">
      <alignment vertical="center"/>
    </xf>
    <xf numFmtId="165" fontId="12" fillId="2" borderId="0" xfId="4" applyFont="1" applyFill="1" applyBorder="1" applyAlignment="1">
      <alignment vertical="center" wrapText="1"/>
    </xf>
    <xf numFmtId="165" fontId="11" fillId="2" borderId="0" xfId="4" applyFont="1" applyFill="1" applyBorder="1" applyAlignment="1">
      <alignment vertical="center"/>
    </xf>
    <xf numFmtId="165" fontId="11" fillId="2" borderId="1" xfId="4" applyFont="1" applyFill="1" applyBorder="1" applyAlignment="1">
      <alignment vertical="center"/>
    </xf>
    <xf numFmtId="0" fontId="13" fillId="2" borderId="0" xfId="0" applyFont="1" applyFill="1" applyAlignment="1">
      <alignment horizontal="left" vertical="center" indent="1"/>
    </xf>
    <xf numFmtId="165" fontId="15" fillId="2" borderId="0" xfId="1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14" fillId="2" borderId="0" xfId="0" applyFont="1" applyFill="1" applyAlignment="1">
      <alignment vertical="center"/>
    </xf>
    <xf numFmtId="0" fontId="16" fillId="2" borderId="2" xfId="2" applyFont="1" applyFill="1" applyBorder="1" applyAlignment="1">
      <alignment horizontal="left"/>
    </xf>
    <xf numFmtId="0" fontId="11" fillId="2" borderId="0" xfId="2" applyFont="1" applyFill="1" applyBorder="1" applyAlignment="1">
      <alignment horizontal="left" vertical="center"/>
    </xf>
    <xf numFmtId="166" fontId="14" fillId="2" borderId="0" xfId="0" applyNumberFormat="1" applyFont="1" applyFill="1" applyAlignment="1">
      <alignment vertical="center"/>
    </xf>
    <xf numFmtId="0" fontId="6" fillId="2" borderId="1" xfId="2" applyFont="1" applyFill="1" applyBorder="1" applyAlignment="1">
      <alignment horizontal="right" vertical="center"/>
    </xf>
    <xf numFmtId="17" fontId="6" fillId="2" borderId="1" xfId="2" applyNumberFormat="1" applyFont="1" applyFill="1" applyBorder="1" applyAlignment="1">
      <alignment horizontal="right" vertical="center"/>
    </xf>
    <xf numFmtId="0" fontId="13" fillId="2" borderId="0" xfId="0" applyFont="1" applyFill="1" applyAlignment="1">
      <alignment vertical="center"/>
    </xf>
    <xf numFmtId="2" fontId="11" fillId="2" borderId="0" xfId="5" applyNumberFormat="1" applyFont="1" applyFill="1" applyBorder="1" applyAlignment="1">
      <alignment horizontal="right" vertical="center"/>
    </xf>
    <xf numFmtId="2" fontId="11" fillId="2" borderId="1" xfId="5" applyNumberFormat="1" applyFont="1" applyFill="1" applyBorder="1" applyAlignment="1">
      <alignment horizontal="right" vertical="center"/>
    </xf>
    <xf numFmtId="165" fontId="8" fillId="2" borderId="0" xfId="1" applyFont="1" applyFill="1" applyAlignment="1">
      <alignment horizontal="right" vertical="center"/>
    </xf>
    <xf numFmtId="165" fontId="7" fillId="2" borderId="0" xfId="1" applyFont="1" applyFill="1" applyBorder="1" applyAlignment="1" applyProtection="1">
      <alignment horizontal="left" vertical="center"/>
    </xf>
    <xf numFmtId="165" fontId="21" fillId="2" borderId="0" xfId="3" applyFont="1" applyFill="1" applyAlignment="1">
      <alignment horizontal="right" vertical="center"/>
    </xf>
    <xf numFmtId="165" fontId="21" fillId="2" borderId="0" xfId="3" applyFont="1" applyFill="1" applyAlignment="1">
      <alignment horizontal="right" vertical="center" indent="1"/>
    </xf>
    <xf numFmtId="165" fontId="21" fillId="2" borderId="0" xfId="1" applyFont="1" applyFill="1" applyAlignment="1">
      <alignment horizontal="right" vertical="center"/>
    </xf>
    <xf numFmtId="165" fontId="19" fillId="2" borderId="0" xfId="3" applyFont="1" applyFill="1" applyBorder="1" applyAlignment="1">
      <alignment horizontal="right" vertical="center"/>
    </xf>
    <xf numFmtId="165" fontId="19" fillId="2" borderId="0" xfId="1" applyFont="1" applyFill="1" applyBorder="1" applyAlignment="1" applyProtection="1">
      <alignment horizontal="center" vertical="center"/>
    </xf>
    <xf numFmtId="165" fontId="19" fillId="2" borderId="1" xfId="1" applyFont="1" applyFill="1" applyBorder="1" applyAlignment="1">
      <alignment horizontal="right" vertical="center"/>
    </xf>
    <xf numFmtId="0" fontId="22" fillId="2" borderId="0" xfId="0" applyFont="1" applyFill="1"/>
    <xf numFmtId="165" fontId="19" fillId="2" borderId="3" xfId="3" applyFont="1" applyFill="1" applyBorder="1" applyAlignment="1">
      <alignment horizontal="right" vertical="center"/>
    </xf>
    <xf numFmtId="165" fontId="19" fillId="2" borderId="0" xfId="3" applyFont="1" applyFill="1" applyBorder="1" applyAlignment="1">
      <alignment horizontal="right" vertical="center" wrapText="1"/>
    </xf>
    <xf numFmtId="0" fontId="21" fillId="2" borderId="2" xfId="2" applyFont="1" applyFill="1" applyBorder="1" applyAlignment="1">
      <alignment horizontal="right"/>
    </xf>
    <xf numFmtId="0" fontId="20" fillId="2" borderId="0" xfId="2" applyFont="1" applyFill="1" applyBorder="1" applyAlignment="1">
      <alignment horizontal="right" vertical="center"/>
    </xf>
    <xf numFmtId="0" fontId="19" fillId="2" borderId="1" xfId="2" applyFont="1" applyFill="1" applyBorder="1" applyAlignment="1">
      <alignment horizontal="right" vertical="center"/>
    </xf>
    <xf numFmtId="0" fontId="21" fillId="2" borderId="0" xfId="0" applyFont="1" applyFill="1" applyAlignment="1">
      <alignment vertical="center"/>
    </xf>
    <xf numFmtId="165" fontId="21" fillId="2" borderId="0" xfId="3" applyFont="1" applyFill="1" applyAlignment="1">
      <alignment horizontal="right" vertical="center" wrapText="1"/>
    </xf>
    <xf numFmtId="0" fontId="0" fillId="2" borderId="0" xfId="0" applyFill="1"/>
    <xf numFmtId="2" fontId="12" fillId="2" borderId="0" xfId="5" applyNumberFormat="1" applyFont="1" applyFill="1" applyBorder="1" applyAlignment="1">
      <alignment horizontal="right" vertical="center"/>
    </xf>
    <xf numFmtId="165" fontId="6" fillId="2" borderId="0" xfId="1" applyFont="1" applyFill="1" applyBorder="1" applyAlignment="1" applyProtection="1">
      <alignment horizontal="center" vertical="center"/>
    </xf>
    <xf numFmtId="165" fontId="4" fillId="2" borderId="0" xfId="1" applyFont="1" applyFill="1" applyAlignment="1">
      <alignment horizontal="center" vertical="center"/>
    </xf>
    <xf numFmtId="165" fontId="23" fillId="2" borderId="0" xfId="1" applyFont="1" applyFill="1" applyAlignment="1">
      <alignment horizontal="center" vertical="center" wrapText="1"/>
    </xf>
    <xf numFmtId="165" fontId="10" fillId="2" borderId="1" xfId="1" applyFont="1" applyFill="1" applyBorder="1" applyAlignment="1" applyProtection="1">
      <alignment horizontal="center" vertical="center"/>
    </xf>
    <xf numFmtId="165" fontId="11" fillId="2" borderId="4" xfId="1" applyFont="1" applyFill="1" applyBorder="1" applyAlignment="1" applyProtection="1">
      <alignment horizontal="center" vertical="center"/>
    </xf>
    <xf numFmtId="165" fontId="24" fillId="2" borderId="0" xfId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</cellXfs>
  <cellStyles count="21">
    <cellStyle name="1" xfId="10"/>
    <cellStyle name="Comma 2" xfId="11"/>
    <cellStyle name="Comma 2 2" xfId="16"/>
    <cellStyle name="Comma 3" xfId="12"/>
    <cellStyle name="Comma 3 2" xfId="6"/>
    <cellStyle name="Normal" xfId="0" builtinId="0"/>
    <cellStyle name="Normal - Style1" xfId="13"/>
    <cellStyle name="Normal 2" xfId="15"/>
    <cellStyle name="Normal 3" xfId="7"/>
    <cellStyle name="Normal 4" xfId="8"/>
    <cellStyle name="Normal 5" xfId="9"/>
    <cellStyle name="Normal 5 2" xfId="19"/>
    <cellStyle name="Normal 6" xfId="18"/>
    <cellStyle name="Normal 6 2" xfId="20"/>
    <cellStyle name="Normal_17 Prices_done" xfId="2"/>
    <cellStyle name="Normal_CPI new tables" xfId="5"/>
    <cellStyle name="Normal_Dec97" xfId="4"/>
    <cellStyle name="Normal_XII-11(Commerce)" xfId="3"/>
    <cellStyle name="Normal_XII-12 (Commerce)" xfId="1"/>
    <cellStyle name="Percent 2" xfId="14"/>
    <cellStyle name="Percent 2 2" xfId="17"/>
  </cellStyles>
  <dxfs count="0"/>
  <tableStyles count="0" defaultTableStyle="TableStyleMedium2" defaultPivotStyle="PivotStyleLight16"/>
  <colors>
    <mruColors>
      <color rgb="FF33CCCC"/>
      <color rgb="FFD0F5F4"/>
      <color rgb="FF196563"/>
      <color rgb="FFEAFAFA"/>
      <color rgb="FFFF9900"/>
      <color rgb="FF249390"/>
      <color rgb="FFD1A375"/>
      <color rgb="FF996633"/>
      <color rgb="FFB85C00"/>
      <color rgb="FFFCF9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X31"/>
  <sheetViews>
    <sheetView tabSelected="1" zoomScale="93" zoomScaleNormal="93" workbookViewId="0">
      <selection activeCell="H21" sqref="H21"/>
    </sheetView>
  </sheetViews>
  <sheetFormatPr defaultColWidth="9.140625" defaultRowHeight="18"/>
  <cols>
    <col min="1" max="1" width="39.7109375" style="39" customWidth="1"/>
    <col min="2" max="6" width="9.140625" style="39" customWidth="1"/>
    <col min="7" max="9" width="9.140625" style="39"/>
    <col min="10" max="13" width="11" style="39" customWidth="1"/>
    <col min="14" max="14" width="10.28515625" style="39" customWidth="1"/>
    <col min="15" max="15" width="40" style="31" customWidth="1"/>
    <col min="16" max="16384" width="9.140625" style="39"/>
  </cols>
  <sheetData>
    <row r="1" spans="1:24" s="1" customFormat="1">
      <c r="A1" s="46" t="s">
        <v>71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12"/>
      <c r="Q1" s="42"/>
      <c r="R1" s="42"/>
      <c r="S1" s="42"/>
      <c r="T1" s="42"/>
      <c r="U1" s="42"/>
      <c r="V1" s="42"/>
      <c r="W1" s="42"/>
      <c r="X1" s="42"/>
    </row>
    <row r="2" spans="1:24" s="13" customFormat="1" ht="15">
      <c r="A2" s="47" t="s">
        <v>72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</row>
    <row r="3" spans="1:24" s="2" customFormat="1" ht="15.75" customHeight="1">
      <c r="A3" s="43" t="s">
        <v>73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</row>
    <row r="4" spans="1:24" s="2" customFormat="1" ht="12.75">
      <c r="A4" s="44" t="s">
        <v>68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</row>
    <row r="5" spans="1:24" s="14" customFormat="1" ht="14.25">
      <c r="A5" s="41"/>
      <c r="B5" s="45">
        <v>2020</v>
      </c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29"/>
    </row>
    <row r="6" spans="1:24" s="14" customFormat="1" ht="15.75" customHeight="1">
      <c r="A6" s="15"/>
      <c r="B6" s="3" t="s">
        <v>29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32" t="s">
        <v>30</v>
      </c>
      <c r="O6" s="34"/>
    </row>
    <row r="7" spans="1:24" s="14" customFormat="1" ht="15.75">
      <c r="A7" s="16" t="s">
        <v>1</v>
      </c>
      <c r="B7" s="33" t="s">
        <v>31</v>
      </c>
      <c r="C7" s="33" t="s">
        <v>32</v>
      </c>
      <c r="D7" s="33" t="s">
        <v>33</v>
      </c>
      <c r="E7" s="33" t="s">
        <v>34</v>
      </c>
      <c r="F7" s="33" t="s">
        <v>35</v>
      </c>
      <c r="G7" s="33" t="s">
        <v>36</v>
      </c>
      <c r="H7" s="33" t="s">
        <v>37</v>
      </c>
      <c r="I7" s="33" t="s">
        <v>38</v>
      </c>
      <c r="J7" s="33" t="s">
        <v>39</v>
      </c>
      <c r="K7" s="33" t="s">
        <v>40</v>
      </c>
      <c r="L7" s="33" t="s">
        <v>41</v>
      </c>
      <c r="M7" s="33" t="s">
        <v>42</v>
      </c>
      <c r="N7" s="33" t="s">
        <v>43</v>
      </c>
      <c r="O7" s="35" t="s">
        <v>2</v>
      </c>
      <c r="Q7" s="17"/>
    </row>
    <row r="8" spans="1:24" s="14" customFormat="1" ht="14.25">
      <c r="A8" s="18"/>
      <c r="B8" s="19" t="s">
        <v>44</v>
      </c>
      <c r="C8" s="18" t="s">
        <v>45</v>
      </c>
      <c r="D8" s="18" t="s">
        <v>46</v>
      </c>
      <c r="E8" s="18" t="s">
        <v>47</v>
      </c>
      <c r="F8" s="18" t="s">
        <v>48</v>
      </c>
      <c r="G8" s="18" t="s">
        <v>49</v>
      </c>
      <c r="H8" s="18" t="s">
        <v>50</v>
      </c>
      <c r="I8" s="18" t="s">
        <v>51</v>
      </c>
      <c r="J8" s="18" t="s">
        <v>52</v>
      </c>
      <c r="K8" s="18" t="s">
        <v>53</v>
      </c>
      <c r="L8" s="18" t="s">
        <v>54</v>
      </c>
      <c r="M8" s="18" t="s">
        <v>55</v>
      </c>
      <c r="N8" s="18" t="s">
        <v>56</v>
      </c>
      <c r="O8" s="36"/>
      <c r="Q8" s="17"/>
    </row>
    <row r="9" spans="1:24" s="14" customFormat="1" ht="14.25">
      <c r="A9" s="5" t="s">
        <v>3</v>
      </c>
      <c r="B9" s="40">
        <v>102.47347996504308</v>
      </c>
      <c r="C9" s="40">
        <v>102.56569068815743</v>
      </c>
      <c r="D9" s="40">
        <v>101.61895522133183</v>
      </c>
      <c r="E9" s="40">
        <v>102.4835359313046</v>
      </c>
      <c r="F9" s="40">
        <v>103.54601209538312</v>
      </c>
      <c r="G9" s="40">
        <v>101.65922466907723</v>
      </c>
      <c r="H9" s="40">
        <v>101.217825430011</v>
      </c>
      <c r="I9" s="40">
        <v>102.39076326511839</v>
      </c>
      <c r="J9" s="40">
        <v>103.09264210146198</v>
      </c>
      <c r="K9" s="40">
        <v>103.076285795557</v>
      </c>
      <c r="L9" s="40">
        <v>102.7847085471623</v>
      </c>
      <c r="M9" s="40">
        <v>102.79573917929575</v>
      </c>
      <c r="N9" s="40">
        <f>AVERAGE(B9:M9)</f>
        <v>102.47540524074198</v>
      </c>
      <c r="O9" s="25" t="s">
        <v>4</v>
      </c>
      <c r="Q9" s="17"/>
    </row>
    <row r="10" spans="1:24" s="14" customFormat="1" ht="14.25">
      <c r="A10" s="5" t="s">
        <v>5</v>
      </c>
      <c r="B10" s="40">
        <v>102.85709028867964</v>
      </c>
      <c r="C10" s="40">
        <v>102.17619569512593</v>
      </c>
      <c r="D10" s="40">
        <v>101.54857843097243</v>
      </c>
      <c r="E10" s="40">
        <v>102.33905948271212</v>
      </c>
      <c r="F10" s="40">
        <v>103.16784472350815</v>
      </c>
      <c r="G10" s="40">
        <v>101.86915890903676</v>
      </c>
      <c r="H10" s="40">
        <v>101.54142284830557</v>
      </c>
      <c r="I10" s="40">
        <v>102.83599879480947</v>
      </c>
      <c r="J10" s="40">
        <v>103.65203580291326</v>
      </c>
      <c r="K10" s="40">
        <v>103.63425745350885</v>
      </c>
      <c r="L10" s="40">
        <v>103.82915227523112</v>
      </c>
      <c r="M10" s="40">
        <v>103.90585861538624</v>
      </c>
      <c r="N10" s="40">
        <f t="shared" ref="N10:N22" si="0">AVERAGE(B10:M10)</f>
        <v>102.77972111001579</v>
      </c>
      <c r="O10" s="25" t="s">
        <v>6</v>
      </c>
      <c r="Q10" s="17"/>
    </row>
    <row r="11" spans="1:24" s="14" customFormat="1" ht="14.25">
      <c r="A11" s="6" t="s">
        <v>7</v>
      </c>
      <c r="B11" s="40">
        <v>100.80380253207898</v>
      </c>
      <c r="C11" s="40">
        <v>104.26098135174566</v>
      </c>
      <c r="D11" s="40">
        <v>101.92527267794658</v>
      </c>
      <c r="E11" s="40">
        <v>103.11237475796284</v>
      </c>
      <c r="F11" s="40">
        <v>105.19199888926599</v>
      </c>
      <c r="G11" s="40">
        <v>100.74547850201897</v>
      </c>
      <c r="H11" s="40">
        <v>99.809356279415951</v>
      </c>
      <c r="I11" s="40">
        <v>100.45285995419677</v>
      </c>
      <c r="J11" s="40">
        <v>100.65786133070162</v>
      </c>
      <c r="K11" s="40">
        <v>100.64769451916997</v>
      </c>
      <c r="L11" s="40">
        <v>98.238730466526661</v>
      </c>
      <c r="M11" s="40">
        <v>97.963905268352619</v>
      </c>
      <c r="N11" s="40">
        <f t="shared" si="0"/>
        <v>101.15085971078189</v>
      </c>
      <c r="O11" s="25" t="s">
        <v>8</v>
      </c>
      <c r="Q11" s="17"/>
    </row>
    <row r="12" spans="1:24" s="14" customFormat="1" ht="14.25">
      <c r="A12" s="6" t="s">
        <v>9</v>
      </c>
      <c r="B12" s="40">
        <v>99.557855021155788</v>
      </c>
      <c r="C12" s="40">
        <v>99.249561471620993</v>
      </c>
      <c r="D12" s="40">
        <v>99.132943813977604</v>
      </c>
      <c r="E12" s="40">
        <v>99.943418124915084</v>
      </c>
      <c r="F12" s="40">
        <v>100.15345246814675</v>
      </c>
      <c r="G12" s="40">
        <v>100.67060754224462</v>
      </c>
      <c r="H12" s="40">
        <v>103.95834798730094</v>
      </c>
      <c r="I12" s="40">
        <v>129.46576685357672</v>
      </c>
      <c r="J12" s="40">
        <v>129.80326408071292</v>
      </c>
      <c r="K12" s="40">
        <v>130.0352862786809</v>
      </c>
      <c r="L12" s="40">
        <v>130.24843151055089</v>
      </c>
      <c r="M12" s="40">
        <v>130.30622464178447</v>
      </c>
      <c r="N12" s="40">
        <f t="shared" si="0"/>
        <v>112.71042998288897</v>
      </c>
      <c r="O12" s="25" t="s">
        <v>26</v>
      </c>
      <c r="Q12" s="17"/>
    </row>
    <row r="13" spans="1:24" ht="15">
      <c r="A13" s="6" t="s">
        <v>57</v>
      </c>
      <c r="B13" s="40">
        <v>98.954449746328805</v>
      </c>
      <c r="C13" s="40">
        <v>98.089211620407255</v>
      </c>
      <c r="D13" s="40">
        <v>98.117187279329755</v>
      </c>
      <c r="E13" s="40">
        <v>97.881542888451989</v>
      </c>
      <c r="F13" s="40">
        <v>97.744670023009206</v>
      </c>
      <c r="G13" s="40">
        <v>97.7592450898523</v>
      </c>
      <c r="H13" s="40">
        <v>97.781012625894903</v>
      </c>
      <c r="I13" s="40">
        <v>97.844758409326957</v>
      </c>
      <c r="J13" s="40">
        <v>97.85922893118051</v>
      </c>
      <c r="K13" s="40">
        <v>97.958656436215179</v>
      </c>
      <c r="L13" s="40">
        <v>98.091258500838279</v>
      </c>
      <c r="M13" s="40">
        <v>98.198737226546015</v>
      </c>
      <c r="N13" s="40">
        <f t="shared" si="0"/>
        <v>98.02332989811508</v>
      </c>
      <c r="O13" s="25" t="s">
        <v>10</v>
      </c>
      <c r="Q13" s="17"/>
    </row>
    <row r="14" spans="1:24" ht="15">
      <c r="A14" s="6" t="s">
        <v>58</v>
      </c>
      <c r="B14" s="40">
        <v>100.07308134750944</v>
      </c>
      <c r="C14" s="40">
        <v>100.12787823970154</v>
      </c>
      <c r="D14" s="40">
        <v>100.07850085348144</v>
      </c>
      <c r="E14" s="40">
        <v>86.667298732251552</v>
      </c>
      <c r="F14" s="40">
        <v>86.385429489995218</v>
      </c>
      <c r="G14" s="40">
        <v>86.271649561335622</v>
      </c>
      <c r="H14" s="40">
        <v>96.591550417460951</v>
      </c>
      <c r="I14" s="40">
        <v>96.553526771711404</v>
      </c>
      <c r="J14" s="40">
        <v>96.34792546433124</v>
      </c>
      <c r="K14" s="40">
        <v>96.384281216197593</v>
      </c>
      <c r="L14" s="40">
        <v>96.423974545737551</v>
      </c>
      <c r="M14" s="40">
        <v>96.429866297134851</v>
      </c>
      <c r="N14" s="40">
        <f t="shared" si="0"/>
        <v>94.86124691140401</v>
      </c>
      <c r="O14" s="25" t="s">
        <v>11</v>
      </c>
      <c r="Q14" s="17"/>
    </row>
    <row r="15" spans="1:24" ht="15">
      <c r="A15" s="6" t="s">
        <v>59</v>
      </c>
      <c r="B15" s="40">
        <v>100.13947693376284</v>
      </c>
      <c r="C15" s="40">
        <v>100.13947693376284</v>
      </c>
      <c r="D15" s="40">
        <v>100.05647711494839</v>
      </c>
      <c r="E15" s="40">
        <v>95.043301505239413</v>
      </c>
      <c r="F15" s="40">
        <v>94.57221764818776</v>
      </c>
      <c r="G15" s="40">
        <v>94.381829837690972</v>
      </c>
      <c r="H15" s="40">
        <v>94.171989421382705</v>
      </c>
      <c r="I15" s="40">
        <v>94.108074420013295</v>
      </c>
      <c r="J15" s="40">
        <v>93.762473476607667</v>
      </c>
      <c r="K15" s="40">
        <v>93.823584868861587</v>
      </c>
      <c r="L15" s="40">
        <v>93.895283330756499</v>
      </c>
      <c r="M15" s="40">
        <v>93.903419959032618</v>
      </c>
      <c r="N15" s="40">
        <f t="shared" si="0"/>
        <v>95.666467120853881</v>
      </c>
      <c r="O15" s="26" t="s">
        <v>12</v>
      </c>
      <c r="Q15" s="17"/>
    </row>
    <row r="16" spans="1:24" ht="25.5">
      <c r="A16" s="5" t="s">
        <v>60</v>
      </c>
      <c r="B16" s="40">
        <v>98.694265245136904</v>
      </c>
      <c r="C16" s="40">
        <v>99.908818421583973</v>
      </c>
      <c r="D16" s="40">
        <v>99.758503287001929</v>
      </c>
      <c r="E16" s="40">
        <v>99.401519224805341</v>
      </c>
      <c r="F16" s="40">
        <v>99.401499985160768</v>
      </c>
      <c r="G16" s="40">
        <v>99.46839869957698</v>
      </c>
      <c r="H16" s="40">
        <v>99.472633787957591</v>
      </c>
      <c r="I16" s="40">
        <v>99.481382798977236</v>
      </c>
      <c r="J16" s="40">
        <v>99.471779855713777</v>
      </c>
      <c r="K16" s="40">
        <v>99.52558892363416</v>
      </c>
      <c r="L16" s="40">
        <v>99.464630687566952</v>
      </c>
      <c r="M16" s="40">
        <v>99.491824851374474</v>
      </c>
      <c r="N16" s="40">
        <f t="shared" si="0"/>
        <v>99.461737147374166</v>
      </c>
      <c r="O16" s="38" t="s">
        <v>13</v>
      </c>
      <c r="Q16" s="17"/>
    </row>
    <row r="17" spans="1:17" ht="15">
      <c r="A17" s="7" t="s">
        <v>14</v>
      </c>
      <c r="B17" s="40">
        <v>100.15415229917572</v>
      </c>
      <c r="C17" s="40">
        <v>100.15412666021531</v>
      </c>
      <c r="D17" s="40">
        <v>100.15410102697437</v>
      </c>
      <c r="E17" s="40">
        <v>100.15407539945161</v>
      </c>
      <c r="F17" s="40">
        <v>100.15404977764577</v>
      </c>
      <c r="G17" s="40">
        <v>100.15402416155557</v>
      </c>
      <c r="H17" s="40">
        <v>100.16936882587268</v>
      </c>
      <c r="I17" s="40">
        <v>100.16577005706962</v>
      </c>
      <c r="J17" s="40">
        <v>100.16574445811868</v>
      </c>
      <c r="K17" s="40">
        <v>100.16571886487827</v>
      </c>
      <c r="L17" s="40">
        <v>100.16569327734713</v>
      </c>
      <c r="M17" s="40">
        <v>100.16566769552399</v>
      </c>
      <c r="N17" s="40">
        <f>AVERAGE(B17:M17)</f>
        <v>100.16020770865238</v>
      </c>
      <c r="O17" s="25" t="s">
        <v>15</v>
      </c>
      <c r="Q17" s="17"/>
    </row>
    <row r="18" spans="1:17" ht="15">
      <c r="A18" s="7" t="s">
        <v>61</v>
      </c>
      <c r="B18" s="40">
        <v>98.758066291618448</v>
      </c>
      <c r="C18" s="40">
        <v>98.672225830973701</v>
      </c>
      <c r="D18" s="40">
        <v>97.706528309233789</v>
      </c>
      <c r="E18" s="40">
        <v>97.50490748728275</v>
      </c>
      <c r="F18" s="40">
        <v>97.504934128127715</v>
      </c>
      <c r="G18" s="40">
        <v>97.351063252138843</v>
      </c>
      <c r="H18" s="40">
        <v>97.351063252138843</v>
      </c>
      <c r="I18" s="40">
        <v>97.344358578071706</v>
      </c>
      <c r="J18" s="40">
        <v>97.392116823205058</v>
      </c>
      <c r="K18" s="40">
        <v>97.393307615503616</v>
      </c>
      <c r="L18" s="40">
        <v>100.39156885182376</v>
      </c>
      <c r="M18" s="40">
        <v>100.08322656732688</v>
      </c>
      <c r="N18" s="40">
        <f t="shared" si="0"/>
        <v>98.121113915620427</v>
      </c>
      <c r="O18" s="25" t="s">
        <v>16</v>
      </c>
      <c r="Q18" s="17"/>
    </row>
    <row r="19" spans="1:17" ht="15">
      <c r="A19" s="7" t="s">
        <v>62</v>
      </c>
      <c r="B19" s="40">
        <v>99.065602137709945</v>
      </c>
      <c r="C19" s="40">
        <v>98.524447613264726</v>
      </c>
      <c r="D19" s="40">
        <v>90.49225435410726</v>
      </c>
      <c r="E19" s="40">
        <v>88.313643783556529</v>
      </c>
      <c r="F19" s="40">
        <v>88.836583270845253</v>
      </c>
      <c r="G19" s="40">
        <v>87.985231844725575</v>
      </c>
      <c r="H19" s="40">
        <v>90.654897063508542</v>
      </c>
      <c r="I19" s="40">
        <v>89.016495856551813</v>
      </c>
      <c r="J19" s="40">
        <v>88.473444206418989</v>
      </c>
      <c r="K19" s="40">
        <v>88.412230203714543</v>
      </c>
      <c r="L19" s="40">
        <v>87.643347276152426</v>
      </c>
      <c r="M19" s="40">
        <v>88.232423436574095</v>
      </c>
      <c r="N19" s="40">
        <f t="shared" si="0"/>
        <v>90.470883420594149</v>
      </c>
      <c r="O19" s="25" t="s">
        <v>17</v>
      </c>
      <c r="Q19" s="17"/>
    </row>
    <row r="20" spans="1:17" ht="15">
      <c r="A20" s="8" t="s">
        <v>63</v>
      </c>
      <c r="B20" s="40">
        <v>100.13220984627817</v>
      </c>
      <c r="C20" s="40">
        <v>100.18178245455256</v>
      </c>
      <c r="D20" s="40">
        <v>100.18399293850999</v>
      </c>
      <c r="E20" s="40">
        <v>100.33361170625896</v>
      </c>
      <c r="F20" s="40">
        <v>98.769980430952316</v>
      </c>
      <c r="G20" s="40">
        <v>100.16441925445841</v>
      </c>
      <c r="H20" s="40">
        <v>100.28951652605477</v>
      </c>
      <c r="I20" s="40">
        <v>100.28951652605477</v>
      </c>
      <c r="J20" s="40">
        <v>100.50967754258855</v>
      </c>
      <c r="K20" s="40">
        <v>100.50967754258855</v>
      </c>
      <c r="L20" s="40">
        <v>100.50967754258855</v>
      </c>
      <c r="M20" s="40">
        <v>100.49759305609493</v>
      </c>
      <c r="N20" s="40">
        <f t="shared" si="0"/>
        <v>100.19763794724838</v>
      </c>
      <c r="O20" s="27" t="s">
        <v>18</v>
      </c>
      <c r="Q20" s="17"/>
    </row>
    <row r="21" spans="1:17" ht="15">
      <c r="A21" s="6" t="s">
        <v>64</v>
      </c>
      <c r="B21" s="40">
        <v>100.03756931194668</v>
      </c>
      <c r="C21" s="40">
        <v>100.03756931194668</v>
      </c>
      <c r="D21" s="40">
        <v>100.03862823747514</v>
      </c>
      <c r="E21" s="40">
        <v>100.03818644226132</v>
      </c>
      <c r="F21" s="40">
        <v>99.279915058188521</v>
      </c>
      <c r="G21" s="40">
        <v>99.279915058188521</v>
      </c>
      <c r="H21" s="40">
        <v>100.03818644226131</v>
      </c>
      <c r="I21" s="40">
        <v>100.03818644226131</v>
      </c>
      <c r="J21" s="40">
        <v>100.03840335044265</v>
      </c>
      <c r="K21" s="40">
        <v>100.03840335044265</v>
      </c>
      <c r="L21" s="40">
        <v>100.03840335044265</v>
      </c>
      <c r="M21" s="40">
        <v>100.03840335044265</v>
      </c>
      <c r="N21" s="40">
        <f t="shared" si="0"/>
        <v>99.911814142191687</v>
      </c>
      <c r="O21" s="27" t="s">
        <v>19</v>
      </c>
      <c r="Q21" s="17"/>
    </row>
    <row r="22" spans="1:17" ht="15">
      <c r="A22" s="6" t="s">
        <v>65</v>
      </c>
      <c r="B22" s="40">
        <v>100.3255244181501</v>
      </c>
      <c r="C22" s="40">
        <v>100.32320254296495</v>
      </c>
      <c r="D22" s="40">
        <v>100.34576776398259</v>
      </c>
      <c r="E22" s="40">
        <v>100.29725947625583</v>
      </c>
      <c r="F22" s="40">
        <v>98.229454787020842</v>
      </c>
      <c r="G22" s="40">
        <v>100.12691955419922</v>
      </c>
      <c r="H22" s="40">
        <v>100.29725947625583</v>
      </c>
      <c r="I22" s="40">
        <v>100.24070893768902</v>
      </c>
      <c r="J22" s="40">
        <v>100.24070893768902</v>
      </c>
      <c r="K22" s="40">
        <v>100.35104638277926</v>
      </c>
      <c r="L22" s="40">
        <v>100.49569630219816</v>
      </c>
      <c r="M22" s="40">
        <v>100.40074093675237</v>
      </c>
      <c r="N22" s="40">
        <f t="shared" si="0"/>
        <v>100.13952412632808</v>
      </c>
      <c r="O22" s="27" t="s">
        <v>20</v>
      </c>
      <c r="Q22" s="17"/>
    </row>
    <row r="23" spans="1:17" ht="17.25">
      <c r="A23" s="6" t="s">
        <v>66</v>
      </c>
      <c r="B23" s="40">
        <v>100.35149288767562</v>
      </c>
      <c r="C23" s="40">
        <v>100.34907141317521</v>
      </c>
      <c r="D23" s="40">
        <v>100.34907141317521</v>
      </c>
      <c r="E23" s="40">
        <v>100.34907141317521</v>
      </c>
      <c r="F23" s="40">
        <v>98.192566033904072</v>
      </c>
      <c r="G23" s="40">
        <v>100.17142457828211</v>
      </c>
      <c r="H23" s="40">
        <v>100.34907141317522</v>
      </c>
      <c r="I23" s="40">
        <v>100.29009507887496</v>
      </c>
      <c r="J23" s="40">
        <v>100.29009507887496</v>
      </c>
      <c r="K23" s="40">
        <v>100.40516556648475</v>
      </c>
      <c r="L23" s="40">
        <v>100.55602039864658</v>
      </c>
      <c r="M23" s="40">
        <v>100.44094991103678</v>
      </c>
      <c r="N23" s="40">
        <v>100</v>
      </c>
      <c r="O23" s="23" t="s">
        <v>70</v>
      </c>
      <c r="Q23" s="17"/>
    </row>
    <row r="24" spans="1:17" ht="25.5">
      <c r="A24" s="8" t="s">
        <v>67</v>
      </c>
      <c r="B24" s="40">
        <v>99.938995221973485</v>
      </c>
      <c r="C24" s="40">
        <v>99.749073900324817</v>
      </c>
      <c r="D24" s="40">
        <v>99.762115399211098</v>
      </c>
      <c r="E24" s="40">
        <v>99.768044076201562</v>
      </c>
      <c r="F24" s="40">
        <v>99.854692018209846</v>
      </c>
      <c r="G24" s="40">
        <v>99.861099313267047</v>
      </c>
      <c r="H24" s="40">
        <v>99.853220531357252</v>
      </c>
      <c r="I24" s="40">
        <v>99.840937277164286</v>
      </c>
      <c r="J24" s="40">
        <v>99.976267795771676</v>
      </c>
      <c r="K24" s="40">
        <v>100.015936960033</v>
      </c>
      <c r="L24" s="40">
        <v>100.0321155232733</v>
      </c>
      <c r="M24" s="40">
        <v>99.900928200702637</v>
      </c>
      <c r="N24" s="40">
        <f>AVERAGE(B24:M24)</f>
        <v>99.879452184790821</v>
      </c>
      <c r="O24" s="27" t="s">
        <v>21</v>
      </c>
      <c r="Q24" s="17"/>
    </row>
    <row r="25" spans="1:17" ht="15">
      <c r="A25" s="9" t="s">
        <v>22</v>
      </c>
      <c r="B25" s="21">
        <v>100.25198249012915</v>
      </c>
      <c r="C25" s="21">
        <v>100.25305581995573</v>
      </c>
      <c r="D25" s="21">
        <v>99.134360875184882</v>
      </c>
      <c r="E25" s="21">
        <v>95.928851542873616</v>
      </c>
      <c r="F25" s="21">
        <v>95.980515573689644</v>
      </c>
      <c r="G25" s="21">
        <v>95.584066696262042</v>
      </c>
      <c r="H25" s="21">
        <v>98.274426578525649</v>
      </c>
      <c r="I25" s="21">
        <v>98.804137332519716</v>
      </c>
      <c r="J25" s="21">
        <v>98.878005829685932</v>
      </c>
      <c r="K25" s="21">
        <v>98.89643815543414</v>
      </c>
      <c r="L25" s="21">
        <v>99.020036660051346</v>
      </c>
      <c r="M25" s="21">
        <v>99.053803617897771</v>
      </c>
      <c r="N25" s="21">
        <f>AVERAGE(B25:M25)</f>
        <v>98.338306764350818</v>
      </c>
      <c r="O25" s="28" t="s">
        <v>23</v>
      </c>
      <c r="Q25" s="17"/>
    </row>
    <row r="26" spans="1:17" ht="15">
      <c r="A26" s="10" t="s">
        <v>24</v>
      </c>
      <c r="B26" s="22">
        <v>100.22836836331116</v>
      </c>
      <c r="C26" s="22">
        <v>100.08154399619121</v>
      </c>
      <c r="D26" s="22">
        <v>99.014928922305288</v>
      </c>
      <c r="E26" s="22">
        <v>95.621445839373834</v>
      </c>
      <c r="F26" s="22">
        <v>95.586327036377867</v>
      </c>
      <c r="G26" s="22">
        <v>95.363193542561078</v>
      </c>
      <c r="H26" s="22">
        <v>98.208742076590184</v>
      </c>
      <c r="I26" s="22">
        <v>98.733583271202249</v>
      </c>
      <c r="J26" s="22">
        <v>98.801840177256693</v>
      </c>
      <c r="K26" s="22">
        <v>98.821496350642292</v>
      </c>
      <c r="L26" s="22">
        <v>99.053471225915118</v>
      </c>
      <c r="M26" s="22">
        <v>99.100443819210284</v>
      </c>
      <c r="N26" s="22">
        <f>AVERAGE(B26:M26)</f>
        <v>98.217948718411449</v>
      </c>
      <c r="O26" s="30" t="s">
        <v>25</v>
      </c>
      <c r="Q26" s="17"/>
    </row>
    <row r="27" spans="1:17" ht="15">
      <c r="A27" s="20" t="s">
        <v>27</v>
      </c>
      <c r="B27" s="20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37"/>
      <c r="Q27" s="17"/>
    </row>
    <row r="28" spans="1:17" ht="15">
      <c r="A28" s="11" t="s">
        <v>28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37"/>
      <c r="Q28" s="17"/>
    </row>
    <row r="29" spans="1:17" ht="15">
      <c r="A29" s="11" t="s">
        <v>69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37"/>
      <c r="Q29" s="17"/>
    </row>
    <row r="30" spans="1:17" ht="15">
      <c r="A30" s="24" t="s">
        <v>0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37"/>
      <c r="Q30" s="17"/>
    </row>
    <row r="31" spans="1:17">
      <c r="Q31" s="17"/>
    </row>
  </sheetData>
  <mergeCells count="6">
    <mergeCell ref="B5:N5"/>
    <mergeCell ref="A1:O1"/>
    <mergeCell ref="Q1:X1"/>
    <mergeCell ref="A2:O2"/>
    <mergeCell ref="A3:O3"/>
    <mergeCell ref="A4:O4"/>
  </mergeCells>
  <pageMargins left="0.7" right="0.7" top="0.75" bottom="0.75" header="0.3" footer="0.3"/>
  <pageSetup scale="43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17.4</vt:lpstr>
      <vt:lpstr>'17.4'!Print_Area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2021-06-16T22:18:40Z</cp:lastPrinted>
  <dcterms:created xsi:type="dcterms:W3CDTF">2019-03-21T03:27:43Z</dcterms:created>
  <dcterms:modified xsi:type="dcterms:W3CDTF">2021-06-16T22:18:51Z</dcterms:modified>
</cp:coreProperties>
</file>