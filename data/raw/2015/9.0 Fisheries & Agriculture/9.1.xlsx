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45" windowWidth="14130" windowHeight="12255" tabRatio="898"/>
  </bookViews>
  <sheets>
    <sheet name="9.1" sheetId="6" r:id="rId1"/>
  </sheets>
  <definedNames>
    <definedName name="_xlnm.Print_Area" localSheetId="0">'9.1'!$A$1:$V$24</definedName>
  </definedNames>
  <calcPr calcId="144525"/>
</workbook>
</file>

<file path=xl/calcChain.xml><?xml version="1.0" encoding="utf-8"?>
<calcChain xmlns="http://schemas.openxmlformats.org/spreadsheetml/2006/main">
  <c r="S13" i="6" l="1"/>
  <c r="S12" i="6"/>
  <c r="T11" i="6"/>
  <c r="T12" i="6"/>
  <c r="T13" i="6"/>
  <c r="T14" i="6"/>
  <c r="K11" i="6" l="1"/>
  <c r="J11" i="6"/>
  <c r="I11" i="6"/>
  <c r="R14" i="6" s="1"/>
  <c r="H11" i="6"/>
  <c r="Q15" i="6" s="1"/>
  <c r="G11" i="6"/>
  <c r="P8" i="6" s="1"/>
  <c r="F11" i="6"/>
  <c r="O10" i="6" s="1"/>
  <c r="E11" i="6"/>
  <c r="N14" i="6" s="1"/>
  <c r="D11" i="6"/>
  <c r="M11" i="6" s="1"/>
  <c r="C11" i="6"/>
  <c r="L12" i="6" s="1"/>
  <c r="Q10" i="6"/>
  <c r="O9" i="6"/>
  <c r="G9" i="6"/>
  <c r="P9" i="6" s="1"/>
  <c r="S9" i="6" l="1"/>
  <c r="R10" i="6"/>
  <c r="P14" i="6"/>
  <c r="T9" i="6"/>
  <c r="P10" i="6"/>
  <c r="N8" i="6"/>
  <c r="T10" i="6"/>
  <c r="N11" i="6"/>
  <c r="H9" i="6"/>
  <c r="Q9" i="6" s="1"/>
  <c r="R11" i="6"/>
  <c r="Q8" i="6"/>
  <c r="I9" i="6"/>
  <c r="R9" i="6" s="1"/>
  <c r="Q13" i="6"/>
  <c r="R8" i="6"/>
  <c r="N9" i="6"/>
  <c r="R13" i="6"/>
  <c r="N10" i="6"/>
  <c r="N12" i="6"/>
  <c r="N15" i="6"/>
  <c r="Q12" i="6"/>
  <c r="R15" i="6"/>
  <c r="R12" i="6"/>
  <c r="M13" i="6"/>
  <c r="N13" i="6"/>
  <c r="M12" i="6"/>
  <c r="L13" i="6"/>
  <c r="S14" i="6"/>
  <c r="O11" i="6"/>
  <c r="L14" i="6"/>
  <c r="S15" i="6"/>
  <c r="S8" i="6"/>
  <c r="P11" i="6"/>
  <c r="O12" i="6"/>
  <c r="M14" i="6"/>
  <c r="L15" i="6"/>
  <c r="T15" i="6"/>
  <c r="T8" i="6"/>
  <c r="S10" i="6"/>
  <c r="Q11" i="6"/>
  <c r="P12" i="6"/>
  <c r="O13" i="6"/>
  <c r="M15" i="6"/>
  <c r="P13" i="6"/>
  <c r="O14" i="6"/>
  <c r="S11" i="6"/>
  <c r="O15" i="6"/>
  <c r="O8" i="6"/>
  <c r="L11" i="6"/>
  <c r="Q14" i="6"/>
  <c r="P15" i="6"/>
</calcChain>
</file>

<file path=xl/sharedStrings.xml><?xml version="1.0" encoding="utf-8"?>
<sst xmlns="http://schemas.openxmlformats.org/spreadsheetml/2006/main" count="36" uniqueCount="36">
  <si>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</si>
  <si>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</si>
  <si>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</si>
  <si>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</si>
  <si>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</si>
  <si>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</si>
  <si>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</si>
  <si>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</si>
  <si>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</si>
  <si>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</si>
  <si>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</si>
  <si>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</si>
  <si>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Stock of current years </t>
  </si>
  <si>
    <t>ckoTcs iruh uriaunumin urwhwa</t>
  </si>
  <si>
    <t xml:space="preserve">Total Catch       </t>
  </si>
  <si>
    <t>wlcmuj eguhwm inEb / Wfih</t>
  </si>
  <si>
    <t>Skipjack Tuna ( Including EEZ )</t>
  </si>
  <si>
    <t>(iawfWnwmih udcawHwrws IdWBitcqia)  cswmwlibuLwk</t>
  </si>
  <si>
    <t>Yellowfin Tuna (Including EEZ)</t>
  </si>
  <si>
    <t>(iawfWnwmih udcawHwrws IdWBitcqia) ilencnwk</t>
  </si>
  <si>
    <t>Other Tuna Related Species</t>
  </si>
  <si>
    <t>cswmiSov idwa ,iDnogWr ,iTcawl</t>
  </si>
  <si>
    <t>Other Marine Fishes ( Including EEZ )</t>
  </si>
  <si>
    <t>(iawfWnwmih udcawHwrws IdWBitcqia)  cswmurwf cnehinehea</t>
  </si>
  <si>
    <t>Source: Island Councils, Maldives Customs Services</t>
  </si>
  <si>
    <t>މަޢުލޫމާތުދެއްވި ފަރާތް: ރަށު ކައުންސިލްތައް، މޯލްޑިވްސް ކަސްޓަމްސް ސަރވިސަސް</t>
  </si>
  <si>
    <t>Ministry of Fisheries  and Agriculture</t>
  </si>
  <si>
    <t xml:space="preserve"> rwCclwkircgea cDcnea  czIrwxif cfoa IrcTcsinim :ctWrwf ivcaedutWmUluAwm</t>
  </si>
  <si>
    <r>
      <t xml:space="preserve">Note: </t>
    </r>
    <r>
      <rPr>
        <b/>
        <i/>
        <vertAlign val="superscript"/>
        <sz val="11"/>
        <rFont val="Arial"/>
        <family val="2"/>
      </rPr>
      <t/>
    </r>
  </si>
  <si>
    <t>Fish catch data for 2010 shows a substantial upward revision from 94.3 to 116.7 thousand metric tons, based on the fish collection data by vessel, newly available at the MOFA. Some vessesls had not reported catch data while reporting collection. Hence this ajustment could not be  brought to previous years catch data to make it consistent.</t>
  </si>
  <si>
    <t>Ftp stock not available (2006 &amp; 2007)</t>
  </si>
  <si>
    <t>The Export in metric tons does not include:</t>
  </si>
  <si>
    <t>Articles Made Of Shells, Dried Shark Fins, Fish Soup, Flours, Meals And Pellets Of Fish, Etc, Unfit For Human Consumption,</t>
  </si>
  <si>
    <t>Live Grouper, Live Ornamental Fish,  Other Hides And Skins, Fresh Or Preserved, Not Tanned, Nes, Salted Dried Shark Fins &amp; Shark-Liver Oil</t>
  </si>
  <si>
    <t xml:space="preserve">Table 9.1 :FISH PRODUCTION BY TYPE AND UTILIZATION, 2006 - 2014                                                       </t>
  </si>
  <si>
    <t>2014 - 2006 ,urwvcnim eguhwminEb wtwvun Wfih ecnutog egumunEbunuveruk iaWncnutwvWb eguhwm : 9.1 ulwvWt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</si>
</sst>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mmmm\ d\,\ yyyy;@"/>
    <numFmt numFmtId="165" formatCode="General_)"/>
    <numFmt numFmtId="166" formatCode="#,##0.0"/>
  </numFmts>
  <fonts count="29" x14ac:knownFonts="1">
    <font>
      <sz val="11"/>
      <color theme="1"/>
      <name val="Calibri"/>
      <family val="2"/>
      <scheme val="minor"/>
    </font>
    <font>
      <sz val="10"/>
      <name val="Courier"/>
      <family val="3"/>
    </font>
    <font>
      <sz val="10"/>
      <name val="Arial"/>
      <family val="2"/>
    </font>
    <font>
      <sz val="10"/>
      <name val="MS Sans Serif"/>
      <family val="2"/>
    </font>
    <font>
      <b/>
      <sz val="11"/>
      <name val="Calibri"/>
      <family val="2"/>
    </font>
    <font>
      <sz val="10"/>
      <name val="Calibri"/>
      <family val="2"/>
    </font>
    <font>
      <b/>
      <sz val="9"/>
      <name val="A_Randhoo"/>
    </font>
    <font>
      <b/>
      <sz val="9"/>
      <name val="Calibri"/>
      <family val="2"/>
    </font>
    <font>
      <sz val="9"/>
      <name val="Courier"/>
      <family val="3"/>
    </font>
    <font>
      <i/>
      <sz val="9"/>
      <name val="Calibri"/>
      <family val="2"/>
    </font>
    <font>
      <sz val="9"/>
      <name val="A_Randhoo"/>
    </font>
    <font>
      <i/>
      <sz val="9"/>
      <name val="Calibri"/>
      <family val="2"/>
      <scheme val="minor"/>
    </font>
    <font>
      <sz val="9"/>
      <name val="Calibri"/>
      <family val="2"/>
      <scheme val="minor"/>
    </font>
    <font>
      <b/>
      <sz val="11"/>
      <name val="A_Randhoo"/>
    </font>
    <font>
      <b/>
      <sz val="10"/>
      <name val="Calibri"/>
      <family val="2"/>
    </font>
    <font>
      <b/>
      <sz val="10"/>
      <name val="A_Randhoo"/>
    </font>
    <font>
      <sz val="10"/>
      <name val="A_Randhoo"/>
    </font>
    <font>
      <b/>
      <sz val="12"/>
      <name val="A_Randhoo"/>
    </font>
    <font>
      <sz val="9"/>
      <name val="Arial"/>
      <family val="2"/>
    </font>
    <font>
      <b/>
      <sz val="9"/>
      <name val="Arial"/>
      <family val="2"/>
    </font>
    <font>
      <i/>
      <sz val="9"/>
      <name val="Arial"/>
      <family val="2"/>
    </font>
    <font>
      <sz val="9"/>
      <name val="Faruma"/>
    </font>
    <font>
      <b/>
      <i/>
      <vertAlign val="superscript"/>
      <sz val="11"/>
      <name val="Arial"/>
      <family val="2"/>
    </font>
    <font>
      <sz val="9.5"/>
      <name val="Courier"/>
      <family val="3"/>
    </font>
    <font>
      <b/>
      <sz val="9.5"/>
      <name val="Arial"/>
      <family val="2"/>
    </font>
    <font>
      <b/>
      <sz val="9.5"/>
      <name val="Calibri"/>
      <family val="2"/>
    </font>
    <font>
      <sz val="9.5"/>
      <name val="Arial"/>
      <family val="2"/>
    </font>
    <font>
      <sz val="10"/>
      <name val="AKKO"/>
      <family val="2"/>
    </font>
    <font>
      <sz val="11"/>
      <name val="A_Utheem"/>
    </font>
  </fonts>
  <fills count="3">
    <fill>
      <patternFill patternType="none"/>
    </fill>
    <fill>
      <patternFill patternType="gray125"/>
    </fill>
    <fill>
      <patternFill patternType="solid">
        <fgColor theme="0"/>
        <bgColor indexed="64"/>
      </patternFill>
    </fill>
  </fills>
  <borders count="11">
    <border>
      <left/>
      <right/>
      <top/>
      <bottom/>
      <diagonal/>
    </border>
    <border>
      <left/>
      <right/>
      <top style="thin">
        <color indexed="64"/>
      </top>
      <bottom/>
      <diagonal/>
    </border>
    <border>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s>
  <cellStyleXfs count="6">
    <xf numFmtId="0" fontId="0" fillId="0" borderId="0"/>
    <xf numFmtId="40" fontId="3" fillId="0" borderId="0" applyFont="0" applyFill="0" applyBorder="0" applyAlignment="0" applyProtection="0"/>
    <xf numFmtId="164" fontId="1" fillId="0" borderId="0"/>
    <xf numFmtId="164" fontId="1" fillId="0" borderId="0"/>
    <xf numFmtId="165" fontId="1" fillId="0" borderId="0"/>
    <xf numFmtId="0" fontId="1" fillId="0" borderId="0"/>
  </cellStyleXfs>
  <cellXfs count="62">
    <xf numFmtId="0" fontId="0" fillId="0" borderId="0" xfId="0"/>
    <xf numFmtId="165" fontId="9" fillId="2" borderId="0" xfId="4" applyFont="1" applyFill="1" applyAlignment="1" applyProtection="1">
      <alignment horizontal="left" vertical="center"/>
    </xf>
    <xf numFmtId="165" fontId="1" fillId="2" borderId="0" xfId="4" applyFont="1" applyFill="1" applyAlignment="1">
      <alignment vertical="center"/>
    </xf>
    <xf numFmtId="165" fontId="18" fillId="2" borderId="0" xfId="4" applyFont="1" applyFill="1" applyAlignment="1">
      <alignment vertical="center"/>
    </xf>
    <xf numFmtId="165" fontId="19" fillId="2" borderId="0" xfId="4" applyFont="1" applyFill="1" applyBorder="1" applyAlignment="1" applyProtection="1">
      <alignment horizontal="center" vertical="center"/>
    </xf>
    <xf numFmtId="165" fontId="19" fillId="2" borderId="2" xfId="4" applyFont="1" applyFill="1" applyBorder="1" applyAlignment="1" applyProtection="1">
      <alignment horizontal="center" vertical="center"/>
    </xf>
    <xf numFmtId="165" fontId="0" fillId="2" borderId="1" xfId="0" applyNumberFormat="1" applyFill="1" applyBorder="1" applyAlignment="1">
      <alignment vertical="center"/>
    </xf>
    <xf numFmtId="165" fontId="8" fillId="2" borderId="0" xfId="4" applyFont="1" applyFill="1" applyAlignment="1">
      <alignment vertical="center"/>
    </xf>
    <xf numFmtId="165" fontId="16" fillId="2" borderId="0" xfId="4" applyFont="1" applyFill="1" applyAlignment="1">
      <alignment horizontal="right" vertical="center"/>
    </xf>
    <xf numFmtId="165" fontId="16" fillId="2" borderId="0" xfId="4" applyFont="1" applyFill="1" applyBorder="1" applyAlignment="1">
      <alignment horizontal="right" vertical="center"/>
    </xf>
    <xf numFmtId="165" fontId="15" fillId="2" borderId="0" xfId="4" applyFont="1" applyFill="1" applyBorder="1" applyAlignment="1">
      <alignment horizontal="right" vertical="center"/>
    </xf>
    <xf numFmtId="165" fontId="16" fillId="2" borderId="2" xfId="4" applyFont="1" applyFill="1" applyBorder="1" applyAlignment="1">
      <alignment horizontal="right" vertical="center"/>
    </xf>
    <xf numFmtId="165" fontId="20" fillId="2" borderId="0" xfId="4" applyFont="1" applyFill="1" applyAlignment="1" applyProtection="1">
      <alignment horizontal="left" vertical="center"/>
    </xf>
    <xf numFmtId="165" fontId="21" fillId="2" borderId="0" xfId="4" applyFont="1" applyFill="1" applyBorder="1" applyAlignment="1">
      <alignment horizontal="right" vertical="center"/>
    </xf>
    <xf numFmtId="165" fontId="10" fillId="2" borderId="0" xfId="4" applyFont="1" applyFill="1" applyBorder="1" applyAlignment="1">
      <alignment horizontal="right" vertical="center"/>
    </xf>
    <xf numFmtId="165" fontId="11" fillId="2" borderId="0" xfId="4" applyFont="1" applyFill="1" applyAlignment="1" applyProtection="1">
      <alignment horizontal="left" vertical="center"/>
    </xf>
    <xf numFmtId="165" fontId="12" fillId="2" borderId="0" xfId="4" applyFont="1" applyFill="1" applyAlignment="1">
      <alignment horizontal="left" vertical="center"/>
    </xf>
    <xf numFmtId="165" fontId="18" fillId="2" borderId="0" xfId="4" applyFont="1" applyFill="1" applyAlignment="1">
      <alignment horizontal="left" vertical="center"/>
    </xf>
    <xf numFmtId="165" fontId="12" fillId="2" borderId="0" xfId="4" applyFont="1" applyFill="1" applyAlignment="1">
      <alignment horizontal="left"/>
    </xf>
    <xf numFmtId="165" fontId="18" fillId="2" borderId="0" xfId="4" applyFont="1" applyFill="1" applyAlignment="1">
      <alignment horizontal="left"/>
    </xf>
    <xf numFmtId="165" fontId="18" fillId="2" borderId="0" xfId="4" applyFont="1" applyFill="1" applyAlignment="1"/>
    <xf numFmtId="165" fontId="8" fillId="2" borderId="0" xfId="4" applyFont="1" applyFill="1" applyAlignment="1"/>
    <xf numFmtId="3" fontId="18" fillId="2" borderId="0" xfId="4" applyNumberFormat="1" applyFont="1" applyFill="1" applyAlignment="1">
      <alignment vertical="center"/>
    </xf>
    <xf numFmtId="165" fontId="11" fillId="2" borderId="0" xfId="4" applyFont="1" applyFill="1" applyBorder="1" applyAlignment="1">
      <alignment horizontal="left" vertical="top"/>
    </xf>
    <xf numFmtId="165" fontId="18" fillId="2" borderId="0" xfId="4" applyFont="1" applyFill="1" applyBorder="1" applyAlignment="1">
      <alignment vertical="center"/>
    </xf>
    <xf numFmtId="165" fontId="14" fillId="2" borderId="0" xfId="4" applyFont="1" applyFill="1" applyAlignment="1" applyProtection="1">
      <alignment horizontal="left" vertical="center"/>
    </xf>
    <xf numFmtId="165" fontId="9" fillId="2" borderId="0" xfId="4" applyFont="1" applyFill="1" applyAlignment="1" applyProtection="1">
      <alignment vertical="center" wrapText="1"/>
    </xf>
    <xf numFmtId="165" fontId="2" fillId="2" borderId="0" xfId="4" applyFont="1" applyFill="1" applyAlignment="1">
      <alignment vertical="center"/>
    </xf>
    <xf numFmtId="165" fontId="19" fillId="2" borderId="7" xfId="4" applyFont="1" applyFill="1" applyBorder="1" applyAlignment="1" applyProtection="1">
      <alignment horizontal="center" vertical="center"/>
    </xf>
    <xf numFmtId="165" fontId="5" fillId="2" borderId="0" xfId="4" applyFont="1" applyFill="1" applyAlignment="1" applyProtection="1">
      <alignment horizontal="left" vertical="center"/>
    </xf>
    <xf numFmtId="165" fontId="5" fillId="2" borderId="2" xfId="4" applyFont="1" applyFill="1" applyBorder="1" applyAlignment="1" applyProtection="1">
      <alignment horizontal="left" vertical="center"/>
    </xf>
    <xf numFmtId="166" fontId="5" fillId="2" borderId="0" xfId="4" applyNumberFormat="1" applyFont="1" applyFill="1" applyBorder="1" applyAlignment="1" applyProtection="1">
      <alignment horizontal="right" vertical="center"/>
      <protection locked="0"/>
    </xf>
    <xf numFmtId="166" fontId="5" fillId="2" borderId="1" xfId="4" applyNumberFormat="1" applyFont="1" applyFill="1" applyBorder="1" applyAlignment="1" applyProtection="1">
      <alignment horizontal="right" vertical="center"/>
      <protection locked="0"/>
    </xf>
    <xf numFmtId="166" fontId="14" fillId="2" borderId="0" xfId="4" applyNumberFormat="1" applyFont="1" applyFill="1" applyBorder="1" applyAlignment="1" applyProtection="1">
      <alignment horizontal="right" vertical="center"/>
      <protection locked="0"/>
    </xf>
    <xf numFmtId="166" fontId="5" fillId="2" borderId="2" xfId="4" applyNumberFormat="1" applyFont="1" applyFill="1" applyBorder="1" applyAlignment="1" applyProtection="1">
      <alignment horizontal="right" vertical="center"/>
      <protection locked="0"/>
    </xf>
    <xf numFmtId="165" fontId="23" fillId="2" borderId="2" xfId="4" applyFont="1" applyFill="1" applyBorder="1" applyAlignment="1">
      <alignment vertical="center"/>
    </xf>
    <xf numFmtId="1" fontId="24" fillId="2" borderId="2" xfId="4" applyNumberFormat="1" applyFont="1" applyFill="1" applyBorder="1" applyAlignment="1">
      <alignment horizontal="right" vertical="center"/>
    </xf>
    <xf numFmtId="1" fontId="25" fillId="2" borderId="2" xfId="4" applyNumberFormat="1" applyFont="1" applyFill="1" applyBorder="1" applyAlignment="1">
      <alignment horizontal="right" vertical="center"/>
    </xf>
    <xf numFmtId="1" fontId="25" fillId="2" borderId="2" xfId="4" applyNumberFormat="1" applyFont="1" applyFill="1" applyBorder="1" applyAlignment="1" applyProtection="1">
      <alignment horizontal="right" vertical="center"/>
    </xf>
    <xf numFmtId="165" fontId="26" fillId="2" borderId="0" xfId="4" applyFont="1" applyFill="1" applyAlignment="1">
      <alignment vertical="center"/>
    </xf>
    <xf numFmtId="165" fontId="23" fillId="2" borderId="0" xfId="4" applyFont="1" applyFill="1" applyAlignment="1">
      <alignment vertical="center"/>
    </xf>
    <xf numFmtId="165" fontId="7" fillId="2" borderId="0" xfId="4" applyFont="1" applyFill="1" applyBorder="1" applyAlignment="1" applyProtection="1">
      <alignment horizontal="left" vertical="center"/>
    </xf>
    <xf numFmtId="165" fontId="6" fillId="2" borderId="0" xfId="4" applyFont="1" applyFill="1" applyBorder="1" applyAlignment="1">
      <alignment horizontal="right" vertical="center"/>
    </xf>
    <xf numFmtId="166" fontId="5" fillId="2" borderId="5" xfId="4" applyNumberFormat="1" applyFont="1" applyFill="1" applyBorder="1" applyAlignment="1" applyProtection="1">
      <alignment horizontal="right" vertical="center"/>
      <protection locked="0"/>
    </xf>
    <xf numFmtId="166" fontId="5" fillId="2" borderId="3" xfId="4" applyNumberFormat="1" applyFont="1" applyFill="1" applyBorder="1" applyAlignment="1" applyProtection="1">
      <alignment horizontal="right" vertical="center"/>
      <protection locked="0"/>
    </xf>
    <xf numFmtId="166" fontId="14" fillId="2" borderId="3" xfId="4" applyNumberFormat="1" applyFont="1" applyFill="1" applyBorder="1" applyAlignment="1" applyProtection="1">
      <alignment horizontal="right" vertical="center"/>
      <protection locked="0"/>
    </xf>
    <xf numFmtId="166" fontId="5" fillId="2" borderId="6" xfId="4" applyNumberFormat="1" applyFont="1" applyFill="1" applyBorder="1" applyAlignment="1" applyProtection="1">
      <alignment horizontal="right" vertical="center"/>
      <protection locked="0"/>
    </xf>
    <xf numFmtId="165" fontId="11" fillId="2" borderId="0" xfId="4" applyFont="1" applyFill="1" applyAlignment="1" applyProtection="1">
      <alignment horizontal="left" vertical="center" wrapText="1"/>
    </xf>
    <xf numFmtId="165" fontId="27" fillId="2" borderId="0" xfId="4" applyFont="1" applyFill="1" applyBorder="1" applyAlignment="1">
      <alignment horizontal="right" vertical="center"/>
    </xf>
    <xf numFmtId="1" fontId="25" fillId="2" borderId="6" xfId="4" applyNumberFormat="1" applyFont="1" applyFill="1" applyBorder="1" applyAlignment="1">
      <alignment horizontal="right" vertical="center"/>
    </xf>
    <xf numFmtId="165" fontId="11" fillId="2" borderId="0" xfId="4" applyFont="1" applyFill="1" applyAlignment="1" applyProtection="1">
      <alignment horizontal="left" vertical="center" wrapText="1" indent="2"/>
    </xf>
    <xf numFmtId="165" fontId="17" fillId="2" borderId="0" xfId="4" applyFont="1" applyFill="1" applyAlignment="1">
      <alignment horizontal="center" vertical="center"/>
    </xf>
    <xf numFmtId="165" fontId="4" fillId="2" borderId="0" xfId="4" applyFont="1" applyFill="1" applyBorder="1" applyAlignment="1" applyProtection="1">
      <alignment horizontal="center" vertical="center" wrapText="1"/>
    </xf>
    <xf numFmtId="165" fontId="28" fillId="2" borderId="0" xfId="4" applyFont="1" applyFill="1" applyBorder="1" applyAlignment="1">
      <alignment horizontal="center" vertical="center"/>
    </xf>
    <xf numFmtId="165" fontId="4" fillId="2" borderId="2" xfId="4" applyFont="1" applyFill="1" applyBorder="1" applyAlignment="1" applyProtection="1">
      <alignment horizontal="center" vertical="center"/>
    </xf>
    <xf numFmtId="165" fontId="13" fillId="2" borderId="1" xfId="4" applyFont="1" applyFill="1" applyBorder="1" applyAlignment="1">
      <alignment horizontal="center" vertical="center"/>
    </xf>
    <xf numFmtId="165" fontId="13" fillId="2" borderId="5" xfId="4" applyFont="1" applyFill="1" applyBorder="1" applyAlignment="1">
      <alignment horizontal="center" vertical="center"/>
    </xf>
    <xf numFmtId="165" fontId="4" fillId="2" borderId="8" xfId="4" applyFont="1" applyFill="1" applyBorder="1" applyAlignment="1">
      <alignment horizontal="center" vertical="center"/>
    </xf>
    <xf numFmtId="165" fontId="4" fillId="2" borderId="9" xfId="4" applyFont="1" applyFill="1" applyBorder="1" applyAlignment="1">
      <alignment horizontal="center" vertical="center"/>
    </xf>
    <xf numFmtId="165" fontId="13" fillId="2" borderId="4" xfId="4" applyFont="1" applyFill="1" applyBorder="1" applyAlignment="1">
      <alignment horizontal="center" vertical="center"/>
    </xf>
    <xf numFmtId="165" fontId="4" fillId="2" borderId="10" xfId="4" applyFont="1" applyFill="1" applyBorder="1" applyAlignment="1">
      <alignment horizontal="center" vertical="center"/>
    </xf>
    <xf numFmtId="165" fontId="9" fillId="2" borderId="0" xfId="4" applyFont="1" applyFill="1" applyAlignment="1" applyProtection="1">
      <alignment horizontal="left" vertical="center" wrapText="1"/>
    </xf>
  </cellXfs>
  <cellStyles count="6">
    <cellStyle name="Comma 2" xfId="1"/>
    <cellStyle name="Normal" xfId="0" builtinId="0"/>
    <cellStyle name="Normal 2" xfId="5"/>
    <cellStyle name="Normal 3_agri planning 2009 year book(final)" xfId="3"/>
    <cellStyle name="Normal 4_agri planning 2009 year book(final)" xfId="2"/>
    <cellStyle name="Normal_Fish &amp;  Agri - 8" xfId="4"/>
  </cellStyles>
  <dxfs count="0"/>
  <tableStyles count="0" defaultTableStyle="TableStyleMedium9" defaultPivotStyle="PivotStyleLight16"/>
  <colors>
    <mruColors>
      <color rgb="FFFF3399"/>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42290560"/>
        <c:axId val="42547456"/>
      </c:barChart>
      <c:catAx>
        <c:axId val="42290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547456"/>
        <c:crosses val="autoZero"/>
        <c:auto val="1"/>
        <c:lblAlgn val="ctr"/>
        <c:lblOffset val="100"/>
        <c:tickLblSkip val="1"/>
        <c:tickMarkSkip val="1"/>
        <c:noMultiLvlLbl val="0"/>
      </c:catAx>
      <c:valAx>
        <c:axId val="4254745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29056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46656896"/>
        <c:axId val="46814336"/>
      </c:barChart>
      <c:catAx>
        <c:axId val="466568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6814336"/>
        <c:crosses val="autoZero"/>
        <c:auto val="1"/>
        <c:lblAlgn val="ctr"/>
        <c:lblOffset val="100"/>
        <c:tickLblSkip val="1"/>
        <c:tickMarkSkip val="1"/>
        <c:noMultiLvlLbl val="0"/>
      </c:catAx>
      <c:valAx>
        <c:axId val="4681433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665689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52343552"/>
        <c:axId val="52345088"/>
      </c:barChart>
      <c:catAx>
        <c:axId val="5234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52345088"/>
        <c:crosses val="autoZero"/>
        <c:auto val="1"/>
        <c:lblAlgn val="ctr"/>
        <c:lblOffset val="100"/>
        <c:tickLblSkip val="1"/>
        <c:tickMarkSkip val="1"/>
        <c:noMultiLvlLbl val="0"/>
      </c:catAx>
      <c:valAx>
        <c:axId val="5234508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5234355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ser>
        <c:ser>
          <c:idx val="1"/>
          <c:order val="1"/>
          <c:spPr>
            <a:solidFill>
              <a:srgbClr val="993366"/>
            </a:solidFill>
            <a:ln w="12700">
              <a:solidFill>
                <a:srgbClr val="000000"/>
              </a:solidFill>
              <a:prstDash val="solid"/>
            </a:ln>
          </c:spPr>
          <c:invertIfNegative val="0"/>
          <c:val>
            <c:numLit>
              <c:formatCode>General</c:formatCode>
              <c:ptCount val="1"/>
              <c:pt idx="0">
                <c:v>0</c:v>
              </c:pt>
            </c:numLit>
          </c:val>
        </c:ser>
        <c:ser>
          <c:idx val="2"/>
          <c:order val="2"/>
          <c:spPr>
            <a:solidFill>
              <a:srgbClr val="FFFFCC"/>
            </a:solidFill>
            <a:ln w="12700">
              <a:solidFill>
                <a:srgbClr val="000000"/>
              </a:solidFill>
              <a:prstDash val="solid"/>
            </a:ln>
          </c:spPr>
          <c:invertIfNegative val="0"/>
          <c:val>
            <c:numLit>
              <c:formatCode>General</c:formatCode>
              <c:ptCount val="1"/>
              <c:pt idx="0">
                <c:v>0</c:v>
              </c:pt>
            </c:numLit>
          </c:val>
        </c:ser>
        <c:dLbls>
          <c:showLegendKey val="0"/>
          <c:showVal val="0"/>
          <c:showCatName val="0"/>
          <c:showSerName val="0"/>
          <c:showPercent val="0"/>
          <c:showBubbleSize val="0"/>
        </c:dLbls>
        <c:gapWidth val="150"/>
        <c:axId val="52500736"/>
        <c:axId val="52543488"/>
      </c:barChart>
      <c:catAx>
        <c:axId val="52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52543488"/>
        <c:crosses val="autoZero"/>
        <c:auto val="1"/>
        <c:lblAlgn val="ctr"/>
        <c:lblOffset val="100"/>
        <c:tickLblSkip val="1"/>
        <c:tickMarkSkip val="1"/>
        <c:noMultiLvlLbl val="0"/>
      </c:catAx>
      <c:valAx>
        <c:axId val="5254348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525007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24</xdr:row>
      <xdr:rowOff>0</xdr:rowOff>
    </xdr:from>
    <xdr:to>
      <xdr:col>4</xdr:col>
      <xdr:colOff>0</xdr:colOff>
      <xdr:row>24</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24</xdr:row>
      <xdr:rowOff>0</xdr:rowOff>
    </xdr:from>
    <xdr:to>
      <xdr:col>4</xdr:col>
      <xdr:colOff>0</xdr:colOff>
      <xdr:row>24</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24</xdr:row>
      <xdr:rowOff>0</xdr:rowOff>
    </xdr:from>
    <xdr:to>
      <xdr:col>4</xdr:col>
      <xdr:colOff>0</xdr:colOff>
      <xdr:row>24</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24</xdr:row>
      <xdr:rowOff>0</xdr:rowOff>
    </xdr:from>
    <xdr:to>
      <xdr:col>4</xdr:col>
      <xdr:colOff>0</xdr:colOff>
      <xdr:row>24</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G39"/>
  <sheetViews>
    <sheetView tabSelected="1" zoomScaleNormal="100" workbookViewId="0">
      <selection activeCell="N31" sqref="N31"/>
    </sheetView>
  </sheetViews>
  <sheetFormatPr defaultColWidth="8.85546875" defaultRowHeight="12" x14ac:dyDescent="0.25"/>
  <cols>
    <col min="1" max="1" width="34.28515625" style="2" customWidth="1"/>
    <col min="2" max="2" width="0" style="2" hidden="1" customWidth="1"/>
    <col min="3" max="11" width="7.28515625" style="2" customWidth="1"/>
    <col min="12" max="20" width="7.7109375" style="2" customWidth="1"/>
    <col min="21" max="21" width="41.7109375" style="2" customWidth="1"/>
    <col min="22" max="16384" width="8.85546875" style="2"/>
  </cols>
  <sheetData>
    <row r="1" spans="1:33" ht="19.5" x14ac:dyDescent="0.25">
      <c r="A1" s="51" t="s">
        <v>35</v>
      </c>
      <c r="B1" s="51"/>
      <c r="C1" s="51"/>
      <c r="D1" s="51"/>
      <c r="E1" s="51"/>
      <c r="F1" s="51"/>
      <c r="G1" s="51"/>
      <c r="H1" s="51"/>
      <c r="I1" s="51"/>
      <c r="J1" s="51"/>
      <c r="K1" s="51"/>
      <c r="L1" s="51"/>
      <c r="M1" s="51"/>
      <c r="N1" s="51"/>
      <c r="O1" s="51"/>
      <c r="P1" s="51"/>
      <c r="Q1" s="51"/>
      <c r="R1" s="51"/>
      <c r="S1" s="51"/>
      <c r="T1" s="51"/>
      <c r="U1" s="51"/>
      <c r="V1" s="51"/>
    </row>
    <row r="2" spans="1:33" ht="15" x14ac:dyDescent="0.25">
      <c r="A2" s="52" t="s">
        <v>34</v>
      </c>
      <c r="B2" s="52"/>
      <c r="C2" s="52"/>
      <c r="D2" s="52"/>
      <c r="E2" s="52"/>
      <c r="F2" s="52"/>
      <c r="G2" s="52"/>
      <c r="H2" s="52"/>
      <c r="I2" s="52"/>
      <c r="J2" s="52"/>
      <c r="K2" s="52"/>
      <c r="L2" s="52"/>
      <c r="M2" s="52"/>
      <c r="N2" s="52"/>
      <c r="O2" s="52"/>
      <c r="P2" s="52"/>
      <c r="Q2" s="52"/>
      <c r="R2" s="52"/>
      <c r="S2" s="52"/>
      <c r="T2" s="52"/>
      <c r="U2" s="52"/>
      <c r="V2" s="3"/>
      <c r="W2" s="3"/>
      <c r="X2" s="3"/>
      <c r="Y2" s="3"/>
      <c r="Z2" s="3"/>
      <c r="AA2" s="3"/>
      <c r="AB2" s="3"/>
      <c r="AC2" s="3"/>
      <c r="AD2" s="3"/>
      <c r="AE2" s="3"/>
    </row>
    <row r="3" spans="1:33" ht="17.25" x14ac:dyDescent="0.25">
      <c r="A3" s="53" t="s">
        <v>0</v>
      </c>
      <c r="B3" s="53"/>
      <c r="C3" s="53"/>
      <c r="D3" s="53"/>
      <c r="E3" s="53"/>
      <c r="F3" s="53"/>
      <c r="G3" s="53"/>
      <c r="H3" s="53"/>
      <c r="I3" s="53"/>
      <c r="J3" s="53"/>
      <c r="K3" s="53"/>
      <c r="L3" s="53"/>
      <c r="M3" s="53"/>
      <c r="N3" s="53"/>
      <c r="O3" s="53"/>
      <c r="P3" s="53"/>
      <c r="Q3" s="53"/>
      <c r="R3" s="53"/>
      <c r="S3" s="53"/>
      <c r="T3" s="53"/>
      <c r="U3" s="53"/>
      <c r="V3" s="3"/>
      <c r="W3" s="3"/>
      <c r="X3" s="3"/>
      <c r="Y3" s="3"/>
      <c r="Z3" s="3"/>
      <c r="AA3" s="3"/>
      <c r="AB3" s="3"/>
      <c r="AC3" s="3"/>
      <c r="AD3" s="3"/>
      <c r="AE3" s="3"/>
    </row>
    <row r="4" spans="1:33" ht="15" x14ac:dyDescent="0.25">
      <c r="A4" s="54" t="s">
        <v>1</v>
      </c>
      <c r="B4" s="54"/>
      <c r="C4" s="54"/>
      <c r="D4" s="54"/>
      <c r="E4" s="54"/>
      <c r="F4" s="54"/>
      <c r="G4" s="54"/>
      <c r="H4" s="54"/>
      <c r="I4" s="54"/>
      <c r="J4" s="54"/>
      <c r="K4" s="54"/>
      <c r="L4" s="54"/>
      <c r="M4" s="54"/>
      <c r="N4" s="54"/>
      <c r="O4" s="54"/>
      <c r="P4" s="54"/>
      <c r="Q4" s="54"/>
      <c r="R4" s="54"/>
      <c r="S4" s="54"/>
      <c r="T4" s="54"/>
      <c r="U4" s="54"/>
      <c r="V4" s="3"/>
      <c r="W4" s="3"/>
      <c r="X4" s="3"/>
      <c r="Y4" s="3"/>
      <c r="Z4" s="3"/>
      <c r="AA4" s="3"/>
      <c r="AB4" s="3"/>
      <c r="AC4" s="3"/>
      <c r="AD4" s="3"/>
      <c r="AE4" s="3"/>
    </row>
    <row r="5" spans="1:33" ht="18" x14ac:dyDescent="0.25">
      <c r="A5" s="4"/>
      <c r="B5" s="28"/>
      <c r="C5" s="55" t="s">
        <v>2</v>
      </c>
      <c r="D5" s="55"/>
      <c r="E5" s="55"/>
      <c r="F5" s="55"/>
      <c r="G5" s="55"/>
      <c r="H5" s="55"/>
      <c r="I5" s="55"/>
      <c r="J5" s="55"/>
      <c r="K5" s="56"/>
      <c r="L5" s="59" t="s">
        <v>3</v>
      </c>
      <c r="M5" s="55"/>
      <c r="N5" s="55"/>
      <c r="O5" s="55"/>
      <c r="P5" s="55"/>
      <c r="Q5" s="55"/>
      <c r="R5" s="55"/>
      <c r="S5" s="55"/>
      <c r="T5" s="55"/>
      <c r="U5" s="6"/>
      <c r="V5" s="3"/>
      <c r="W5" s="3"/>
      <c r="X5" s="3"/>
      <c r="Y5" s="3"/>
      <c r="Z5" s="3"/>
      <c r="AA5" s="3"/>
      <c r="AB5" s="3"/>
      <c r="AC5" s="3"/>
      <c r="AD5" s="3"/>
      <c r="AE5" s="3"/>
    </row>
    <row r="6" spans="1:33" ht="15" x14ac:dyDescent="0.25">
      <c r="A6" s="41" t="s">
        <v>4</v>
      </c>
      <c r="B6" s="5"/>
      <c r="C6" s="57" t="s">
        <v>5</v>
      </c>
      <c r="D6" s="57"/>
      <c r="E6" s="57"/>
      <c r="F6" s="57"/>
      <c r="G6" s="57"/>
      <c r="H6" s="57"/>
      <c r="I6" s="57"/>
      <c r="J6" s="57"/>
      <c r="K6" s="58"/>
      <c r="L6" s="60" t="s">
        <v>6</v>
      </c>
      <c r="M6" s="57"/>
      <c r="N6" s="57"/>
      <c r="O6" s="57"/>
      <c r="P6" s="57"/>
      <c r="Q6" s="57"/>
      <c r="R6" s="57"/>
      <c r="S6" s="57"/>
      <c r="T6" s="57"/>
      <c r="U6" s="42" t="s">
        <v>7</v>
      </c>
      <c r="V6" s="3"/>
      <c r="W6" s="3"/>
      <c r="X6" s="3"/>
      <c r="Y6" s="3"/>
      <c r="Z6" s="3"/>
      <c r="AA6" s="3"/>
      <c r="AB6" s="3"/>
      <c r="AC6" s="3"/>
      <c r="AD6" s="3"/>
      <c r="AE6" s="3"/>
    </row>
    <row r="7" spans="1:33" s="40" customFormat="1" ht="19.5" customHeight="1" x14ac:dyDescent="0.25">
      <c r="A7" s="35"/>
      <c r="B7" s="36">
        <v>2005</v>
      </c>
      <c r="C7" s="37">
        <v>2006</v>
      </c>
      <c r="D7" s="37">
        <v>2007</v>
      </c>
      <c r="E7" s="38">
        <v>2008</v>
      </c>
      <c r="F7" s="38">
        <v>2009</v>
      </c>
      <c r="G7" s="38">
        <v>2010</v>
      </c>
      <c r="H7" s="37">
        <v>2011</v>
      </c>
      <c r="I7" s="37">
        <v>2012</v>
      </c>
      <c r="J7" s="37">
        <v>2013</v>
      </c>
      <c r="K7" s="49">
        <v>2014</v>
      </c>
      <c r="L7" s="37">
        <v>2006</v>
      </c>
      <c r="M7" s="37">
        <v>2007</v>
      </c>
      <c r="N7" s="38">
        <v>2008</v>
      </c>
      <c r="O7" s="38">
        <v>2009</v>
      </c>
      <c r="P7" s="38">
        <v>2010</v>
      </c>
      <c r="Q7" s="37">
        <v>2011</v>
      </c>
      <c r="R7" s="37">
        <v>2012</v>
      </c>
      <c r="S7" s="37">
        <v>2013</v>
      </c>
      <c r="T7" s="37">
        <v>2014</v>
      </c>
      <c r="U7" s="35"/>
      <c r="V7" s="39"/>
      <c r="W7" s="39"/>
      <c r="X7" s="39"/>
      <c r="Y7" s="39"/>
      <c r="Z7" s="39"/>
      <c r="AA7" s="39"/>
      <c r="AB7" s="39"/>
      <c r="AC7" s="39"/>
      <c r="AD7" s="39"/>
      <c r="AE7" s="39"/>
    </row>
    <row r="8" spans="1:33" ht="20.25" customHeight="1" x14ac:dyDescent="0.25">
      <c r="A8" s="29" t="s">
        <v>8</v>
      </c>
      <c r="B8" s="31">
        <v>129.6</v>
      </c>
      <c r="C8" s="31">
        <v>148.44467879000001</v>
      </c>
      <c r="D8" s="31">
        <v>97.947148769999984</v>
      </c>
      <c r="E8" s="31">
        <v>88.402086870000019</v>
      </c>
      <c r="F8" s="31">
        <v>65.609831299999996</v>
      </c>
      <c r="G8" s="31">
        <v>59.360208729999997</v>
      </c>
      <c r="H8" s="32">
        <v>57.483915529999997</v>
      </c>
      <c r="I8" s="32">
        <v>56.340714440000021</v>
      </c>
      <c r="J8" s="32">
        <v>65.590923509000007</v>
      </c>
      <c r="K8" s="43">
        <v>64.930000000000007</v>
      </c>
      <c r="L8" s="31">
        <v>80.607141466592196</v>
      </c>
      <c r="M8" s="31">
        <v>67.939331235392913</v>
      </c>
      <c r="N8" s="31">
        <f t="shared" ref="N8:Q8" si="0">E8/E11*100</f>
        <v>66.681109676479323</v>
      </c>
      <c r="O8" s="31">
        <f t="shared" si="0"/>
        <v>56.203664117415016</v>
      </c>
      <c r="P8" s="31">
        <f t="shared" si="0"/>
        <v>48.586160791769423</v>
      </c>
      <c r="Q8" s="31">
        <f t="shared" si="0"/>
        <v>47.571833240342848</v>
      </c>
      <c r="R8" s="31">
        <f>I8/I11*100</f>
        <v>46.950231738796376</v>
      </c>
      <c r="S8" s="31">
        <f>J8/J11*100</f>
        <v>50.515506623430049</v>
      </c>
      <c r="T8" s="31">
        <f>K8/K11*100</f>
        <v>50.457236357617788</v>
      </c>
      <c r="U8" s="8" t="s">
        <v>9</v>
      </c>
      <c r="X8" s="48"/>
      <c r="Y8" s="27"/>
      <c r="Z8" s="27"/>
      <c r="AA8" s="27"/>
      <c r="AB8" s="27"/>
      <c r="AC8" s="27"/>
      <c r="AD8" s="27"/>
      <c r="AE8" s="27"/>
      <c r="AF8" s="27"/>
      <c r="AG8" s="27"/>
    </row>
    <row r="9" spans="1:33" ht="20.25" customHeight="1" x14ac:dyDescent="0.25">
      <c r="A9" s="29" t="s">
        <v>10</v>
      </c>
      <c r="B9" s="31">
        <v>50.023182311000042</v>
      </c>
      <c r="C9" s="31">
        <v>33.123882013540019</v>
      </c>
      <c r="D9" s="31">
        <v>43.955257966350025</v>
      </c>
      <c r="E9" s="31">
        <v>42.582126319403983</v>
      </c>
      <c r="F9" s="31">
        <v>50.555216612999985</v>
      </c>
      <c r="G9" s="31">
        <f>G11-G8</f>
        <v>62.814928722012297</v>
      </c>
      <c r="H9" s="31">
        <f>H11-H8</f>
        <v>63.352116244473017</v>
      </c>
      <c r="I9" s="31">
        <f>I11-I8</f>
        <v>63.6602149557201</v>
      </c>
      <c r="J9" s="31">
        <v>64.252223463572804</v>
      </c>
      <c r="K9" s="44">
        <v>63.753227000000351</v>
      </c>
      <c r="L9" s="31">
        <v>17.986643004533665</v>
      </c>
      <c r="M9" s="31">
        <v>30.262677948493977</v>
      </c>
      <c r="N9" s="31">
        <f t="shared" ref="N9:P9" si="1">E9/E11*100</f>
        <v>32.119416361034524</v>
      </c>
      <c r="O9" s="31">
        <f t="shared" si="1"/>
        <v>43.307357412763402</v>
      </c>
      <c r="P9" s="31">
        <f t="shared" si="1"/>
        <v>51.413839208230584</v>
      </c>
      <c r="Q9" s="31">
        <f>H9/H11*100</f>
        <v>52.428166759657159</v>
      </c>
      <c r="R9" s="31">
        <f>I9/I11*100</f>
        <v>53.049768261203624</v>
      </c>
      <c r="S9" s="31">
        <f>J9/J11*100</f>
        <v>49.484493376569993</v>
      </c>
      <c r="T9" s="31">
        <f>K9/K11*100</f>
        <v>49.542763642382212</v>
      </c>
      <c r="U9" s="9" t="s">
        <v>11</v>
      </c>
      <c r="W9" s="27"/>
      <c r="X9" s="27"/>
      <c r="Y9" s="27"/>
      <c r="Z9" s="27"/>
      <c r="AA9" s="27"/>
      <c r="AB9" s="27"/>
      <c r="AC9" s="27"/>
      <c r="AD9" s="27"/>
      <c r="AE9" s="27"/>
      <c r="AF9" s="27"/>
      <c r="AG9" s="27"/>
    </row>
    <row r="10" spans="1:33" ht="20.25" customHeight="1" x14ac:dyDescent="0.25">
      <c r="A10" s="29" t="s">
        <v>12</v>
      </c>
      <c r="B10" s="31">
        <v>6.3</v>
      </c>
      <c r="C10" s="31">
        <v>2.5896615199999995</v>
      </c>
      <c r="D10" s="31">
        <v>2.5921372899999997</v>
      </c>
      <c r="E10" s="31">
        <v>2.0914010000000003</v>
      </c>
      <c r="F10" s="31">
        <v>0.57081322000000001</v>
      </c>
      <c r="G10" s="31">
        <v>0</v>
      </c>
      <c r="H10" s="31">
        <v>0</v>
      </c>
      <c r="I10" s="31">
        <v>0</v>
      </c>
      <c r="J10" s="31">
        <v>0</v>
      </c>
      <c r="K10" s="44">
        <v>0</v>
      </c>
      <c r="L10" s="31">
        <v>1.4062155288741296</v>
      </c>
      <c r="M10" s="31">
        <v>1.7979908161131024</v>
      </c>
      <c r="N10" s="31">
        <f t="shared" ref="N10:P10" si="2">E10/E11*100</f>
        <v>1.5775299474952149</v>
      </c>
      <c r="O10" s="31">
        <f>F10/F11*100</f>
        <v>0.48897846336422646</v>
      </c>
      <c r="P10" s="31">
        <f t="shared" si="2"/>
        <v>0</v>
      </c>
      <c r="Q10" s="31">
        <f>H10/H11*100</f>
        <v>0</v>
      </c>
      <c r="R10" s="31">
        <f>I10/I11*100</f>
        <v>0</v>
      </c>
      <c r="S10" s="31">
        <f>J10/J11*100</f>
        <v>0</v>
      </c>
      <c r="T10" s="31">
        <f>K10/K11*100</f>
        <v>0</v>
      </c>
      <c r="U10" s="9" t="s">
        <v>13</v>
      </c>
      <c r="W10" s="27"/>
      <c r="X10" s="27"/>
      <c r="Y10" s="27"/>
      <c r="Z10" s="27"/>
      <c r="AA10" s="27"/>
      <c r="AB10" s="27"/>
      <c r="AC10" s="27"/>
      <c r="AD10" s="27"/>
      <c r="AE10" s="27"/>
      <c r="AF10" s="27"/>
      <c r="AG10" s="27"/>
    </row>
    <row r="11" spans="1:33" ht="20.25" customHeight="1" x14ac:dyDescent="0.25">
      <c r="A11" s="25" t="s">
        <v>14</v>
      </c>
      <c r="B11" s="33">
        <v>185.92318231100003</v>
      </c>
      <c r="C11" s="33">
        <f t="shared" ref="C11:I11" si="3">SUM(C12:C15)</f>
        <v>184.15822232267499</v>
      </c>
      <c r="D11" s="33">
        <f t="shared" si="3"/>
        <v>144.16855006704401</v>
      </c>
      <c r="E11" s="33">
        <f t="shared" si="3"/>
        <v>132.57440870271301</v>
      </c>
      <c r="F11" s="33">
        <f t="shared" si="3"/>
        <v>116.73586114053802</v>
      </c>
      <c r="G11" s="33">
        <f t="shared" si="3"/>
        <v>122.17513745201229</v>
      </c>
      <c r="H11" s="33">
        <f t="shared" si="3"/>
        <v>120.83603177447301</v>
      </c>
      <c r="I11" s="33">
        <f t="shared" si="3"/>
        <v>120.00092939572012</v>
      </c>
      <c r="J11" s="33">
        <f>SUM(J12:J15)</f>
        <v>129.84314697257275</v>
      </c>
      <c r="K11" s="45">
        <f>SUM(K12:K15)</f>
        <v>128.68322700000036</v>
      </c>
      <c r="L11" s="33">
        <f t="shared" ref="L11:R11" si="4">C11/C11*100</f>
        <v>100</v>
      </c>
      <c r="M11" s="33">
        <f t="shared" si="4"/>
        <v>100</v>
      </c>
      <c r="N11" s="33">
        <f t="shared" si="4"/>
        <v>100</v>
      </c>
      <c r="O11" s="33">
        <f t="shared" si="4"/>
        <v>100</v>
      </c>
      <c r="P11" s="33">
        <f t="shared" si="4"/>
        <v>100</v>
      </c>
      <c r="Q11" s="33">
        <f t="shared" si="4"/>
        <v>100</v>
      </c>
      <c r="R11" s="33">
        <f t="shared" si="4"/>
        <v>100</v>
      </c>
      <c r="S11" s="33">
        <f>J11/J11*100</f>
        <v>100</v>
      </c>
      <c r="T11" s="33">
        <f>K11/K11*100</f>
        <v>100</v>
      </c>
      <c r="U11" s="10" t="s">
        <v>15</v>
      </c>
      <c r="W11" s="27"/>
      <c r="X11" s="27"/>
      <c r="Y11" s="27"/>
      <c r="Z11" s="27"/>
      <c r="AA11" s="27"/>
      <c r="AB11" s="27"/>
      <c r="AC11" s="27"/>
      <c r="AD11" s="27"/>
      <c r="AE11" s="27"/>
      <c r="AF11" s="27"/>
      <c r="AG11" s="27"/>
    </row>
    <row r="12" spans="1:33" ht="20.25" customHeight="1" x14ac:dyDescent="0.25">
      <c r="A12" s="29" t="s">
        <v>16</v>
      </c>
      <c r="B12" s="31">
        <v>131.99824860000001</v>
      </c>
      <c r="C12" s="31">
        <v>138.45835473299999</v>
      </c>
      <c r="D12" s="31">
        <v>97.341794686838995</v>
      </c>
      <c r="E12" s="31">
        <v>87.072147391601007</v>
      </c>
      <c r="F12" s="31">
        <v>66.188623244799999</v>
      </c>
      <c r="G12" s="31">
        <v>73.72129191542227</v>
      </c>
      <c r="H12" s="31">
        <v>57.671721671347001</v>
      </c>
      <c r="I12" s="31">
        <v>53.391687689080399</v>
      </c>
      <c r="J12" s="31">
        <v>74.421630037020805</v>
      </c>
      <c r="K12" s="44">
        <v>68.521958485088547</v>
      </c>
      <c r="L12" s="31">
        <f>(C12/$C$11)*100</f>
        <v>75.184454425498615</v>
      </c>
      <c r="M12" s="31">
        <f>(D12/$D$11)*100</f>
        <v>67.519437936756148</v>
      </c>
      <c r="N12" s="31">
        <f>(E12/$E$11)*100</f>
        <v>65.677945120504361</v>
      </c>
      <c r="O12" s="31">
        <f>(F12/$F$11)*100</f>
        <v>56.699477434030044</v>
      </c>
      <c r="P12" s="31">
        <f>(G12/$G$11)*100</f>
        <v>60.340666237742823</v>
      </c>
      <c r="Q12" s="31">
        <f>(H12/$H$11)*100</f>
        <v>47.727255541612656</v>
      </c>
      <c r="R12" s="31">
        <f>(I12/$I$11)*100</f>
        <v>44.492728479638458</v>
      </c>
      <c r="S12" s="31">
        <f>(J12/$J$11)*100</f>
        <v>57.316563694147959</v>
      </c>
      <c r="T12" s="31">
        <f>(K12/$J$11)*100</f>
        <v>52.772872564127461</v>
      </c>
      <c r="U12" s="9" t="s">
        <v>17</v>
      </c>
      <c r="W12" s="27"/>
      <c r="X12" s="27"/>
      <c r="Y12" s="27"/>
      <c r="Z12" s="27"/>
      <c r="AA12" s="27"/>
      <c r="AB12" s="27"/>
      <c r="AC12" s="27"/>
      <c r="AD12" s="27"/>
      <c r="AE12" s="27"/>
      <c r="AF12" s="27"/>
      <c r="AG12" s="27"/>
    </row>
    <row r="13" spans="1:33" ht="20.25" customHeight="1" x14ac:dyDescent="0.25">
      <c r="A13" s="29" t="s">
        <v>18</v>
      </c>
      <c r="B13" s="31">
        <v>24.57092359</v>
      </c>
      <c r="C13" s="31">
        <v>22.953538301159995</v>
      </c>
      <c r="D13" s="31">
        <v>24.414838911040007</v>
      </c>
      <c r="E13" s="31">
        <v>23.768766590410003</v>
      </c>
      <c r="F13" s="31">
        <v>20.733008264210007</v>
      </c>
      <c r="G13" s="31">
        <v>21.835377509832018</v>
      </c>
      <c r="H13" s="31">
        <v>35.57521338092301</v>
      </c>
      <c r="I13" s="31">
        <v>44.977381086497097</v>
      </c>
      <c r="J13" s="31">
        <v>47.146416175683598</v>
      </c>
      <c r="K13" s="44">
        <v>51.434631751573413</v>
      </c>
      <c r="L13" s="31">
        <f>(C13/$C$11)*100</f>
        <v>12.464031207328709</v>
      </c>
      <c r="M13" s="31">
        <f>(D13/$D$11)*100</f>
        <v>16.934927138884419</v>
      </c>
      <c r="N13" s="31">
        <f>(E13/$E$11)*100</f>
        <v>17.928623497548056</v>
      </c>
      <c r="O13" s="31">
        <f>(F13/$F$11)*100</f>
        <v>17.760616199378173</v>
      </c>
      <c r="P13" s="31">
        <f>(G13/$G$11)*100</f>
        <v>17.872193938319466</v>
      </c>
      <c r="Q13" s="31">
        <f>(H13/$H$11)*100</f>
        <v>29.440898429468604</v>
      </c>
      <c r="R13" s="31">
        <f>(I13/$I$11)*100</f>
        <v>37.480860617485547</v>
      </c>
      <c r="S13" s="31">
        <f>(J13/$J$11)*100</f>
        <v>36.310284581782746</v>
      </c>
      <c r="T13" s="31">
        <f t="shared" ref="S13:T15" si="5">(K13/$J$11)*100</f>
        <v>39.612896753371309</v>
      </c>
      <c r="U13" s="9" t="s">
        <v>19</v>
      </c>
      <c r="W13" s="27"/>
      <c r="X13" s="27"/>
      <c r="Y13" s="27"/>
      <c r="Z13" s="48"/>
      <c r="AA13" s="27"/>
      <c r="AB13" s="27"/>
      <c r="AC13" s="27"/>
      <c r="AD13" s="27"/>
      <c r="AE13" s="27"/>
      <c r="AF13" s="27"/>
      <c r="AG13" s="27"/>
    </row>
    <row r="14" spans="1:33" ht="20.25" customHeight="1" x14ac:dyDescent="0.25">
      <c r="A14" s="29" t="s">
        <v>20</v>
      </c>
      <c r="B14" s="31">
        <v>8.3012412409999996</v>
      </c>
      <c r="C14" s="31">
        <v>5.7175900621500002</v>
      </c>
      <c r="D14" s="31">
        <v>7.0996787907630008</v>
      </c>
      <c r="E14" s="31">
        <v>6.6990521868619997</v>
      </c>
      <c r="F14" s="31">
        <v>8.876155542958001</v>
      </c>
      <c r="G14" s="31">
        <v>7.1236269087170054</v>
      </c>
      <c r="H14" s="31">
        <v>4.9472398022119997</v>
      </c>
      <c r="I14" s="31">
        <v>2.5377990840052944</v>
      </c>
      <c r="J14" s="31">
        <v>1.6640466762930248</v>
      </c>
      <c r="K14" s="44">
        <v>1.590176381215592</v>
      </c>
      <c r="L14" s="31">
        <f>(C14/$C$11)*100</f>
        <v>3.1047161457346486</v>
      </c>
      <c r="M14" s="31">
        <f>(D14/$D$11)*100</f>
        <v>4.92456835243288</v>
      </c>
      <c r="N14" s="31">
        <f>(E14/$E$11)*100</f>
        <v>5.053050775345385</v>
      </c>
      <c r="O14" s="31">
        <f>(F14/$F$11)*100</f>
        <v>7.6036236476398784</v>
      </c>
      <c r="P14" s="31">
        <f>(G14/$G$11)*100</f>
        <v>5.8306682171853579</v>
      </c>
      <c r="Q14" s="31">
        <f>(H14/$H$11)*100</f>
        <v>4.094175991682242</v>
      </c>
      <c r="R14" s="31">
        <f>(I14/$I$11)*100</f>
        <v>2.1148161908284404</v>
      </c>
      <c r="S14" s="31">
        <f t="shared" si="5"/>
        <v>1.2815822129176579</v>
      </c>
      <c r="T14" s="31">
        <f t="shared" si="5"/>
        <v>1.2246902653641711</v>
      </c>
      <c r="U14" s="9" t="s">
        <v>21</v>
      </c>
      <c r="W14" s="27"/>
      <c r="X14" s="27"/>
      <c r="Y14" s="27"/>
      <c r="Z14" s="27"/>
      <c r="AA14" s="27"/>
      <c r="AB14" s="27"/>
      <c r="AC14" s="27"/>
      <c r="AD14" s="27"/>
      <c r="AE14" s="27"/>
      <c r="AF14" s="27"/>
      <c r="AG14" s="27"/>
    </row>
    <row r="15" spans="1:33" ht="20.25" customHeight="1" x14ac:dyDescent="0.25">
      <c r="A15" s="30" t="s">
        <v>22</v>
      </c>
      <c r="B15" s="34">
        <v>21.052768879999999</v>
      </c>
      <c r="C15" s="34">
        <v>17.028739226365001</v>
      </c>
      <c r="D15" s="34">
        <v>15.312237678402001</v>
      </c>
      <c r="E15" s="34">
        <v>15.03444253384</v>
      </c>
      <c r="F15" s="34">
        <v>20.938074088570005</v>
      </c>
      <c r="G15" s="34">
        <v>19.494841118041013</v>
      </c>
      <c r="H15" s="34">
        <v>22.641856919991007</v>
      </c>
      <c r="I15" s="34">
        <v>19.094061536137332</v>
      </c>
      <c r="J15" s="34">
        <v>6.6110540835753202</v>
      </c>
      <c r="K15" s="46">
        <v>7.1364603821227943</v>
      </c>
      <c r="L15" s="34">
        <f>(C15/$C$11)*100</f>
        <v>9.2467982214380289</v>
      </c>
      <c r="M15" s="34">
        <f>(D15/$D$11)*100</f>
        <v>10.62106657192655</v>
      </c>
      <c r="N15" s="34">
        <f>(E15/$E$11)*100</f>
        <v>11.340380606602196</v>
      </c>
      <c r="O15" s="34">
        <f>(F15/$F$11)*100</f>
        <v>17.936282718951897</v>
      </c>
      <c r="P15" s="34">
        <f>(G15/$G$11)*100</f>
        <v>15.956471606752363</v>
      </c>
      <c r="Q15" s="34">
        <f>(H15/$H$11)*100</f>
        <v>18.737670037236501</v>
      </c>
      <c r="R15" s="34">
        <f>(I15/$I$11)*100</f>
        <v>15.911594712047563</v>
      </c>
      <c r="S15" s="34">
        <f t="shared" si="5"/>
        <v>5.0915695111516346</v>
      </c>
      <c r="T15" s="34">
        <f t="shared" si="5"/>
        <v>5.496216433840944</v>
      </c>
      <c r="U15" s="11" t="s">
        <v>23</v>
      </c>
      <c r="W15" s="27"/>
      <c r="X15" s="27"/>
      <c r="Y15" s="27"/>
      <c r="Z15" s="27"/>
      <c r="AA15" s="27"/>
      <c r="AB15" s="27"/>
      <c r="AC15" s="27"/>
      <c r="AD15" s="27"/>
      <c r="AE15" s="27"/>
      <c r="AF15" s="27"/>
      <c r="AG15" s="27"/>
    </row>
    <row r="16" spans="1:33" ht="17.25" x14ac:dyDescent="0.25">
      <c r="A16" s="15" t="s">
        <v>28</v>
      </c>
      <c r="B16" s="15"/>
      <c r="C16" s="15"/>
      <c r="D16" s="15"/>
      <c r="E16" s="15"/>
      <c r="F16" s="15"/>
      <c r="G16" s="15"/>
      <c r="H16" s="15"/>
      <c r="I16" s="15"/>
      <c r="J16" s="15"/>
      <c r="K16" s="15"/>
      <c r="L16" s="15"/>
      <c r="M16" s="15"/>
      <c r="N16" s="15"/>
      <c r="O16" s="15"/>
      <c r="P16" s="12"/>
      <c r="U16" s="13" t="s">
        <v>25</v>
      </c>
    </row>
    <row r="17" spans="1:31" ht="26.25" customHeight="1" x14ac:dyDescent="0.25">
      <c r="A17" s="61" t="s">
        <v>29</v>
      </c>
      <c r="B17" s="61"/>
      <c r="C17" s="61"/>
      <c r="D17" s="61"/>
      <c r="E17" s="61"/>
      <c r="F17" s="61"/>
      <c r="G17" s="61"/>
      <c r="H17" s="61"/>
      <c r="I17" s="61"/>
      <c r="J17" s="61"/>
      <c r="K17" s="61"/>
      <c r="L17" s="61"/>
      <c r="M17" s="61"/>
      <c r="N17" s="61"/>
      <c r="O17" s="61"/>
      <c r="P17" s="61"/>
      <c r="Q17" s="26"/>
      <c r="R17" s="26"/>
      <c r="S17" s="26"/>
      <c r="T17" s="26"/>
      <c r="U17" s="14" t="s">
        <v>27</v>
      </c>
    </row>
    <row r="18" spans="1:31" s="7" customFormat="1" ht="15" x14ac:dyDescent="0.25">
      <c r="A18" s="47" t="s">
        <v>30</v>
      </c>
      <c r="B18" s="16"/>
      <c r="C18" s="16"/>
      <c r="D18" s="16"/>
      <c r="E18" s="16"/>
      <c r="F18" s="16"/>
      <c r="G18" s="16"/>
      <c r="H18" s="16"/>
      <c r="I18" s="16"/>
      <c r="J18" s="16"/>
      <c r="K18" s="16"/>
      <c r="L18" s="16"/>
      <c r="M18" s="16"/>
      <c r="N18" s="16"/>
      <c r="O18" s="16"/>
      <c r="P18" s="17"/>
      <c r="Q18" s="12"/>
      <c r="R18" s="12"/>
      <c r="S18" s="12"/>
      <c r="T18" s="12"/>
      <c r="U18" s="14"/>
      <c r="X18" s="12"/>
      <c r="Y18" s="12"/>
      <c r="AA18" s="3"/>
      <c r="AB18" s="3"/>
      <c r="AC18" s="3"/>
      <c r="AD18" s="3"/>
      <c r="AE18" s="3"/>
    </row>
    <row r="19" spans="1:31" s="7" customFormat="1" ht="16.5" customHeight="1" x14ac:dyDescent="0.2">
      <c r="A19" s="15" t="s">
        <v>31</v>
      </c>
      <c r="B19" s="47"/>
      <c r="C19" s="47"/>
      <c r="D19" s="47"/>
      <c r="E19" s="47"/>
      <c r="F19" s="47"/>
      <c r="G19" s="47"/>
      <c r="H19" s="18"/>
      <c r="I19" s="18"/>
      <c r="J19" s="18"/>
      <c r="K19" s="18"/>
      <c r="L19" s="18"/>
      <c r="M19" s="18"/>
      <c r="N19" s="16"/>
      <c r="O19" s="18"/>
      <c r="P19" s="19"/>
      <c r="Q19" s="12"/>
      <c r="R19" s="12"/>
      <c r="S19" s="12"/>
      <c r="T19" s="12"/>
      <c r="X19" s="12"/>
      <c r="Y19" s="12"/>
      <c r="AA19" s="3"/>
      <c r="AB19" s="3"/>
      <c r="AC19" s="3"/>
      <c r="AD19" s="3"/>
      <c r="AE19" s="3"/>
    </row>
    <row r="20" spans="1:31" s="7" customFormat="1" ht="14.45" customHeight="1" x14ac:dyDescent="0.25">
      <c r="A20" s="50" t="s">
        <v>32</v>
      </c>
      <c r="B20" s="50"/>
      <c r="C20" s="50"/>
      <c r="D20" s="50"/>
      <c r="E20" s="50"/>
      <c r="F20" s="50"/>
      <c r="G20" s="50"/>
      <c r="H20" s="50"/>
      <c r="I20" s="50"/>
      <c r="J20" s="50"/>
      <c r="K20" s="50"/>
      <c r="L20" s="50"/>
      <c r="M20" s="50"/>
      <c r="N20" s="16"/>
      <c r="O20" s="16"/>
      <c r="P20" s="33"/>
      <c r="Q20" s="3"/>
      <c r="R20" s="3"/>
      <c r="S20" s="3"/>
      <c r="T20" s="3"/>
      <c r="V20" s="3"/>
      <c r="X20" s="3"/>
      <c r="Y20" s="3"/>
      <c r="Z20" s="3"/>
      <c r="AA20" s="3"/>
      <c r="AB20" s="3"/>
      <c r="AC20" s="3"/>
      <c r="AD20" s="3"/>
      <c r="AE20" s="3"/>
    </row>
    <row r="21" spans="1:31" s="21" customFormat="1" ht="12.75" customHeight="1" x14ac:dyDescent="0.2">
      <c r="A21" s="50" t="s">
        <v>33</v>
      </c>
      <c r="B21" s="50"/>
      <c r="C21" s="50"/>
      <c r="D21" s="50"/>
      <c r="E21" s="50"/>
      <c r="F21" s="50"/>
      <c r="G21" s="50"/>
      <c r="H21" s="50"/>
      <c r="I21" s="50"/>
      <c r="J21" s="50"/>
      <c r="K21" s="50"/>
      <c r="L21" s="50"/>
      <c r="M21" s="50"/>
      <c r="N21" s="16"/>
      <c r="O21" s="16"/>
      <c r="P21" s="33"/>
      <c r="Q21" s="20"/>
      <c r="R21" s="20"/>
      <c r="S21" s="20"/>
      <c r="T21" s="20"/>
      <c r="U21" s="20"/>
      <c r="V21" s="20"/>
      <c r="W21" s="20"/>
      <c r="X21" s="20"/>
      <c r="Y21" s="20"/>
      <c r="Z21" s="20"/>
      <c r="AA21" s="20"/>
      <c r="AB21" s="20"/>
      <c r="AC21" s="20"/>
      <c r="AD21" s="20"/>
      <c r="AE21" s="20"/>
    </row>
    <row r="22" spans="1:31" s="7" customFormat="1" ht="12.75" x14ac:dyDescent="0.25">
      <c r="A22" s="1" t="s">
        <v>24</v>
      </c>
      <c r="B22" s="12"/>
      <c r="C22" s="12"/>
      <c r="D22" s="12"/>
      <c r="E22" s="12"/>
      <c r="F22" s="12"/>
      <c r="G22" s="12"/>
      <c r="H22" s="12"/>
      <c r="I22" s="12"/>
      <c r="J22" s="12"/>
      <c r="K22" s="12"/>
      <c r="L22" s="12"/>
      <c r="M22" s="12"/>
      <c r="N22" s="12"/>
      <c r="O22" s="12"/>
      <c r="P22" s="33"/>
      <c r="Q22" s="12"/>
      <c r="R22" s="12"/>
      <c r="S22" s="12"/>
      <c r="T22" s="12"/>
      <c r="X22" s="12"/>
      <c r="Y22" s="12"/>
      <c r="AA22" s="3"/>
      <c r="AB22" s="3"/>
      <c r="AC22" s="3"/>
      <c r="AD22" s="3"/>
      <c r="AE22" s="3"/>
    </row>
    <row r="23" spans="1:31" s="7" customFormat="1" ht="12.75" x14ac:dyDescent="0.25">
      <c r="A23" s="1" t="s">
        <v>26</v>
      </c>
      <c r="B23" s="12"/>
      <c r="C23" s="12"/>
      <c r="D23" s="12"/>
      <c r="E23" s="12"/>
      <c r="F23" s="12"/>
      <c r="G23" s="12"/>
      <c r="H23" s="12"/>
      <c r="I23" s="12"/>
      <c r="J23" s="12"/>
      <c r="K23" s="12"/>
      <c r="L23" s="12"/>
      <c r="M23" s="12"/>
      <c r="N23" s="12"/>
      <c r="O23" s="12"/>
      <c r="P23" s="33"/>
      <c r="Q23" s="12"/>
      <c r="R23" s="12"/>
      <c r="S23" s="12"/>
      <c r="T23" s="12"/>
      <c r="X23" s="12"/>
      <c r="Y23" s="12"/>
      <c r="AA23" s="3"/>
      <c r="AB23" s="3"/>
      <c r="AC23" s="3"/>
      <c r="AD23" s="3"/>
      <c r="AE23" s="3"/>
    </row>
    <row r="24" spans="1:31" s="7" customFormat="1" ht="12.75" x14ac:dyDescent="0.25">
      <c r="B24" s="22"/>
      <c r="C24" s="22"/>
      <c r="D24" s="22"/>
      <c r="E24" s="22"/>
      <c r="F24" s="3"/>
      <c r="G24" s="3"/>
      <c r="H24" s="3"/>
      <c r="I24" s="3"/>
      <c r="J24" s="3"/>
      <c r="K24" s="3"/>
      <c r="L24" s="3"/>
      <c r="M24" s="3"/>
      <c r="N24" s="3"/>
      <c r="O24" s="3"/>
      <c r="P24" s="33"/>
      <c r="Q24" s="3"/>
      <c r="R24" s="3"/>
      <c r="S24" s="3"/>
      <c r="T24" s="3"/>
      <c r="U24" s="3"/>
      <c r="V24" s="3"/>
      <c r="W24" s="3"/>
      <c r="X24" s="3"/>
      <c r="Y24" s="3"/>
      <c r="Z24" s="3"/>
      <c r="AA24" s="3"/>
      <c r="AB24" s="3"/>
      <c r="AC24" s="3"/>
      <c r="AD24" s="3"/>
      <c r="AE24" s="3"/>
    </row>
    <row r="25" spans="1:31" ht="12.75" x14ac:dyDescent="0.25">
      <c r="A25" s="23"/>
      <c r="B25" s="24"/>
      <c r="D25" s="24"/>
      <c r="E25" s="24"/>
      <c r="F25" s="24"/>
      <c r="G25" s="24"/>
      <c r="H25" s="24"/>
      <c r="I25" s="24"/>
      <c r="J25" s="24"/>
      <c r="K25" s="24"/>
      <c r="L25" s="24"/>
      <c r="M25" s="3"/>
      <c r="N25" s="3"/>
      <c r="O25" s="3"/>
      <c r="P25" s="33"/>
      <c r="Q25" s="3"/>
      <c r="R25" s="3"/>
      <c r="S25" s="3"/>
      <c r="T25" s="3"/>
      <c r="U25" s="3"/>
      <c r="V25" s="3"/>
      <c r="W25" s="3"/>
      <c r="X25" s="3"/>
      <c r="Y25" s="3"/>
      <c r="Z25" s="3"/>
      <c r="AA25" s="3"/>
      <c r="AB25" s="3"/>
      <c r="AC25" s="3"/>
      <c r="AD25" s="3"/>
      <c r="AE25" s="3"/>
    </row>
    <row r="26" spans="1:3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row>
    <row r="27" spans="1:3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row>
    <row r="28" spans="1:3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row>
    <row r="29" spans="1:3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row>
    <row r="30" spans="1:3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row>
    <row r="31" spans="1:3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row>
    <row r="32" spans="1:3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row>
    <row r="33" spans="1:3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row>
    <row r="34" spans="1:3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row>
    <row r="35" spans="1:3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row>
    <row r="36" spans="1:3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row>
    <row r="37" spans="1:3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row>
    <row r="38" spans="1:31" x14ac:dyDescent="0.25">
      <c r="A38" s="3"/>
      <c r="B38" s="3"/>
      <c r="C38" s="3"/>
      <c r="D38" s="3"/>
      <c r="E38" s="3"/>
      <c r="F38" s="3"/>
      <c r="G38" s="3"/>
      <c r="H38" s="3"/>
      <c r="I38" s="3"/>
      <c r="J38" s="3"/>
      <c r="K38" s="3"/>
      <c r="L38" s="3"/>
      <c r="M38" s="3"/>
      <c r="U38" s="3"/>
      <c r="V38" s="3"/>
      <c r="W38" s="3"/>
      <c r="X38" s="3"/>
      <c r="Y38" s="3"/>
      <c r="Z38" s="3"/>
      <c r="AA38" s="3"/>
      <c r="AB38" s="3"/>
      <c r="AC38" s="3"/>
      <c r="AD38" s="3"/>
      <c r="AE38" s="3"/>
    </row>
    <row r="39" spans="1:31" x14ac:dyDescent="0.25">
      <c r="B39" s="3"/>
      <c r="C39" s="3"/>
      <c r="D39" s="3"/>
      <c r="E39" s="3"/>
      <c r="F39" s="3"/>
      <c r="G39" s="3"/>
      <c r="H39" s="3"/>
      <c r="I39" s="3"/>
      <c r="J39" s="3"/>
      <c r="K39" s="3"/>
      <c r="L39" s="3"/>
      <c r="M39" s="3"/>
      <c r="V39" s="3"/>
      <c r="W39" s="3"/>
      <c r="X39" s="3"/>
      <c r="Y39" s="3"/>
      <c r="Z39" s="3"/>
      <c r="AA39" s="3"/>
      <c r="AB39" s="3"/>
      <c r="AC39" s="3"/>
      <c r="AD39" s="3"/>
      <c r="AE39" s="3"/>
    </row>
  </sheetData>
  <mergeCells count="11">
    <mergeCell ref="A21:M21"/>
    <mergeCell ref="A1:V1"/>
    <mergeCell ref="A2:U2"/>
    <mergeCell ref="A3:U3"/>
    <mergeCell ref="A4:U4"/>
    <mergeCell ref="A20:M20"/>
    <mergeCell ref="C5:K5"/>
    <mergeCell ref="C6:K6"/>
    <mergeCell ref="L5:T5"/>
    <mergeCell ref="L6:T6"/>
    <mergeCell ref="A17:P17"/>
  </mergeCells>
  <pageMargins left="0.17" right="0.16" top="0.75" bottom="0.75" header="0.3" footer="0.3"/>
  <pageSetup paperSize="9" scale="65" orientation="landscape" r:id="rId1"/>
  <ignoredErrors>
    <ignoredError sqref="N8:T11 L11:M15 C9:K11 N14:T15 N12:R12 N13:R13 T13"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Department of National Planning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2016-01-17T07:57:58Z</cp:lastPrinted>
  <dcterms:created xsi:type="dcterms:W3CDTF">2014-03-04T03:52:57Z</dcterms:created>
  <dcterms:modified xsi:type="dcterms:W3CDTF">2016-01-17T07:58:05Z</dcterms:modified>
</cp:coreProperties>
</file>