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5" sheetId="10" r:id="rId1"/>
  </sheets>
  <definedNames>
    <definedName name="_xlnm.Print_Area" localSheetId="0">'9.5'!$A$1:$K$23</definedName>
  </definedNames>
  <calcPr calcId="144525"/>
</workbook>
</file>

<file path=xl/calcChain.xml><?xml version="1.0" encoding="utf-8"?>
<calcChain xmlns="http://schemas.openxmlformats.org/spreadsheetml/2006/main">
  <c r="B21" i="10" l="1"/>
  <c r="B20" i="10"/>
  <c r="B19" i="10"/>
  <c r="B18" i="10"/>
  <c r="B17" i="10"/>
  <c r="B16" i="10"/>
  <c r="B15" i="10"/>
  <c r="B14" i="10"/>
  <c r="B13" i="10"/>
  <c r="B12" i="10"/>
  <c r="B11" i="10"/>
  <c r="B10" i="10"/>
  <c r="B9" i="10"/>
  <c r="I8" i="10"/>
  <c r="H8" i="10"/>
  <c r="G8" i="10"/>
  <c r="F8" i="10"/>
  <c r="E8" i="10"/>
  <c r="D8" i="10"/>
  <c r="C8" i="10"/>
  <c r="B8" i="10" l="1"/>
</calcChain>
</file>

<file path=xl/sharedStrings.xml><?xml version="1.0" encoding="utf-8"?>
<sst xmlns="http://schemas.openxmlformats.org/spreadsheetml/2006/main" count="54" uniqueCount="53">
  <si>
    <t>Month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</si>
  <si>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</si>
  <si>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</si>
  <si>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</si>
  <si>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</si>
  <si>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</si>
  <si>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</si>
  <si>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</si>
  <si>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</si>
  <si>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</si>
  <si>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</si>
  <si>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</si>
  <si>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</si>
  <si>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</si>
  <si>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Ministry of Fisheries  and Agriculture</t>
  </si>
  <si>
    <t>wlcmuj</t>
  </si>
  <si>
    <t>Irwaunej</t>
  </si>
  <si>
    <t>Irwaurcbef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</si>
  <si>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</si>
  <si>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</si>
  <si>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</si>
  <si>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</si>
  <si>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</si>
  <si>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</si>
  <si>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</si>
  <si>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</si>
  <si>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</si>
  <si>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 xml:space="preserve"> rwCclwkircgea cDcnea  czIrwxif cfoa IrcTcsinim :ctWrwf ivcaedutWmUluAwm</t>
  </si>
  <si>
    <t>EEZ</t>
  </si>
  <si>
    <t>(cnunwT ckircTem)</t>
  </si>
  <si>
    <t>ilencnwk</t>
  </si>
  <si>
    <t>ilencnwk uDobOl</t>
  </si>
  <si>
    <t>cswm iSov</t>
  </si>
  <si>
    <t>iTcawl</t>
  </si>
  <si>
    <t>iDnogWr</t>
  </si>
  <si>
    <t>cswmurwf cnehinehea</t>
  </si>
  <si>
    <t>Yellowfin tuna</t>
  </si>
  <si>
    <t>Bigeye tuna</t>
  </si>
  <si>
    <t>Dogtooth tuna</t>
  </si>
  <si>
    <t>Frigate tuna</t>
  </si>
  <si>
    <t>Other marine fish</t>
  </si>
  <si>
    <t>Skipjack</t>
  </si>
  <si>
    <t>(In metric tons)</t>
  </si>
  <si>
    <t>cswm</t>
  </si>
  <si>
    <t xml:space="preserve">    Type of fish</t>
  </si>
  <si>
    <t>ctwvWbeguhwm</t>
  </si>
  <si>
    <t xml:space="preserve">        wlcmuj</t>
  </si>
  <si>
    <t xml:space="preserve">       cswmwlibuLwk</t>
  </si>
  <si>
    <t>Little tuna</t>
  </si>
  <si>
    <t xml:space="preserve"> cnudcawHwrws IdWBitcqia</t>
  </si>
  <si>
    <t>cCrWm</t>
  </si>
  <si>
    <t>2014 ,urwvcnim iaWtwvcaWb eguhwminEb wtwvun ifih iawguhwmcswmikea :9.5 ulwvWt</t>
  </si>
  <si>
    <t>Table 9.5 :  MONTHLY FISH CATCH BY TYPE 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</si>
</sst>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General_)"/>
  </numFmts>
  <fonts count="22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</font>
    <font>
      <sz val="9"/>
      <name val="A_Randhoo"/>
    </font>
    <font>
      <b/>
      <sz val="10"/>
      <name val="Calibri"/>
      <family val="2"/>
    </font>
    <font>
      <b/>
      <sz val="10"/>
      <name val="A_Randhoo"/>
    </font>
    <font>
      <sz val="10"/>
      <name val="A_Randhoo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sz val="9"/>
      <name val="Win Ahamedey PRB"/>
      <family val="2"/>
    </font>
    <font>
      <b/>
      <sz val="10"/>
      <name val="A_Faseyha"/>
    </font>
    <font>
      <sz val="10"/>
      <name val="Win Ahamedey PRB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</cellStyleXfs>
  <cellXfs count="45">
    <xf numFmtId="0" fontId="0" fillId="0" borderId="0" xfId="0"/>
    <xf numFmtId="165" fontId="9" fillId="2" borderId="0" xfId="4" applyFont="1" applyFill="1" applyAlignment="1" applyProtection="1">
      <alignment horizontal="left" vertical="center"/>
    </xf>
    <xf numFmtId="38" fontId="7" fillId="2" borderId="2" xfId="1" applyNumberFormat="1" applyFont="1" applyFill="1" applyBorder="1" applyAlignment="1">
      <alignment horizontal="right"/>
    </xf>
    <xf numFmtId="165" fontId="15" fillId="2" borderId="0" xfId="4" applyFont="1" applyFill="1" applyAlignment="1">
      <alignment vertical="center"/>
    </xf>
    <xf numFmtId="165" fontId="2" fillId="2" borderId="0" xfId="4" applyFont="1" applyFill="1" applyAlignment="1">
      <alignment vertical="center"/>
    </xf>
    <xf numFmtId="165" fontId="16" fillId="2" borderId="0" xfId="4" applyFont="1" applyFill="1" applyAlignment="1">
      <alignment vertical="center"/>
    </xf>
    <xf numFmtId="165" fontId="8" fillId="2" borderId="0" xfId="4" applyFont="1" applyFill="1" applyAlignment="1">
      <alignment vertical="center"/>
    </xf>
    <xf numFmtId="165" fontId="16" fillId="2" borderId="0" xfId="4" applyFont="1" applyFill="1" applyAlignment="1">
      <alignment horizontal="right" vertical="center"/>
    </xf>
    <xf numFmtId="165" fontId="3" fillId="2" borderId="0" xfId="4" applyFont="1" applyFill="1" applyAlignment="1">
      <alignment vertical="center"/>
    </xf>
    <xf numFmtId="165" fontId="17" fillId="2" borderId="0" xfId="4" applyFont="1" applyFill="1" applyBorder="1" applyAlignment="1">
      <alignment horizontal="right" vertical="center"/>
    </xf>
    <xf numFmtId="165" fontId="18" fillId="2" borderId="0" xfId="4" applyFont="1" applyFill="1" applyBorder="1"/>
    <xf numFmtId="165" fontId="3" fillId="2" borderId="0" xfId="4" applyFont="1" applyFill="1" applyAlignment="1">
      <alignment horizontal="right" vertical="center"/>
    </xf>
    <xf numFmtId="165" fontId="16" fillId="2" borderId="0" xfId="4" applyFont="1" applyFill="1" applyAlignment="1">
      <alignment horizontal="centerContinuous" vertical="center"/>
    </xf>
    <xf numFmtId="165" fontId="2" fillId="2" borderId="0" xfId="4" applyFont="1" applyFill="1" applyAlignment="1" applyProtection="1">
      <alignment horizontal="center" vertical="center"/>
    </xf>
    <xf numFmtId="165" fontId="15" fillId="2" borderId="0" xfId="4" applyFont="1" applyFill="1" applyAlignment="1">
      <alignment horizontal="centerContinuous" vertical="center"/>
    </xf>
    <xf numFmtId="165" fontId="1" fillId="2" borderId="1" xfId="4" applyFont="1" applyFill="1" applyBorder="1" applyAlignment="1">
      <alignment vertical="center"/>
    </xf>
    <xf numFmtId="165" fontId="20" fillId="2" borderId="1" xfId="4" applyFont="1" applyFill="1" applyBorder="1"/>
    <xf numFmtId="165" fontId="20" fillId="2" borderId="0" xfId="4" applyFont="1" applyFill="1" applyBorder="1"/>
    <xf numFmtId="165" fontId="2" fillId="2" borderId="0" xfId="4" applyFont="1" applyFill="1" applyBorder="1" applyAlignment="1" applyProtection="1">
      <alignment horizontal="left" vertical="center"/>
    </xf>
    <xf numFmtId="165" fontId="12" fillId="2" borderId="0" xfId="0" applyNumberFormat="1" applyFont="1" applyFill="1" applyAlignment="1">
      <alignment horizontal="right"/>
    </xf>
    <xf numFmtId="165" fontId="12" fillId="2" borderId="0" xfId="0" applyNumberFormat="1" applyFont="1" applyFill="1" applyAlignment="1">
      <alignment horizontal="right" vertical="center"/>
    </xf>
    <xf numFmtId="165" fontId="11" fillId="2" borderId="2" xfId="4" applyFont="1" applyFill="1" applyBorder="1" applyAlignment="1" applyProtection="1">
      <alignment horizontal="left" vertical="center"/>
    </xf>
    <xf numFmtId="165" fontId="11" fillId="2" borderId="2" xfId="4" applyFont="1" applyFill="1" applyBorder="1" applyAlignment="1" applyProtection="1">
      <alignment horizontal="right" vertical="center"/>
    </xf>
    <xf numFmtId="165" fontId="11" fillId="2" borderId="2" xfId="4" applyFont="1" applyFill="1" applyBorder="1" applyAlignment="1" applyProtection="1">
      <alignment horizontal="right" vertical="center" wrapText="1"/>
    </xf>
    <xf numFmtId="165" fontId="6" fillId="2" borderId="2" xfId="4" applyFont="1" applyFill="1" applyBorder="1" applyAlignment="1">
      <alignment horizontal="right" vertical="center"/>
    </xf>
    <xf numFmtId="165" fontId="11" fillId="2" borderId="0" xfId="4" applyFont="1" applyFill="1" applyBorder="1" applyAlignment="1">
      <alignment vertical="center"/>
    </xf>
    <xf numFmtId="165" fontId="6" fillId="2" borderId="0" xfId="4" applyFont="1" applyFill="1" applyAlignment="1" applyProtection="1">
      <alignment horizontal="left" vertical="center"/>
    </xf>
    <xf numFmtId="165" fontId="13" fillId="2" borderId="0" xfId="0" applyNumberFormat="1" applyFont="1" applyFill="1" applyAlignment="1">
      <alignment horizontal="right"/>
    </xf>
    <xf numFmtId="165" fontId="6" fillId="2" borderId="2" xfId="4" applyFont="1" applyFill="1" applyBorder="1" applyAlignment="1" applyProtection="1">
      <alignment horizontal="left" vertical="center"/>
    </xf>
    <xf numFmtId="165" fontId="13" fillId="2" borderId="2" xfId="0" applyNumberFormat="1" applyFont="1" applyFill="1" applyBorder="1" applyAlignment="1">
      <alignment horizontal="right"/>
    </xf>
    <xf numFmtId="165" fontId="13" fillId="2" borderId="0" xfId="0" applyNumberFormat="1" applyFont="1" applyFill="1" applyBorder="1" applyAlignment="1">
      <alignment horizontal="right"/>
    </xf>
    <xf numFmtId="165" fontId="21" fillId="2" borderId="0" xfId="4" applyFont="1" applyFill="1" applyAlignment="1" applyProtection="1">
      <alignment horizontal="left" vertical="center"/>
    </xf>
    <xf numFmtId="165" fontId="10" fillId="2" borderId="0" xfId="0" applyNumberFormat="1" applyFont="1" applyFill="1" applyAlignment="1">
      <alignment horizontal="right"/>
    </xf>
    <xf numFmtId="165" fontId="12" fillId="2" borderId="0" xfId="0" applyNumberFormat="1" applyFont="1" applyFill="1" applyAlignment="1">
      <alignment horizontal="right" vertical="center" wrapText="1"/>
    </xf>
    <xf numFmtId="165" fontId="14" fillId="2" borderId="0" xfId="4" applyFont="1" applyFill="1" applyAlignment="1">
      <alignment horizontal="center" vertical="center"/>
    </xf>
    <xf numFmtId="38" fontId="5" fillId="2" borderId="0" xfId="1" applyNumberFormat="1" applyFont="1" applyFill="1" applyBorder="1" applyAlignment="1" applyProtection="1">
      <alignment horizontal="right" vertical="center"/>
      <protection hidden="1"/>
    </xf>
    <xf numFmtId="38" fontId="5" fillId="2" borderId="0" xfId="1" applyNumberFormat="1" applyFont="1" applyFill="1" applyBorder="1" applyAlignment="1">
      <alignment horizontal="right" vertical="center"/>
    </xf>
    <xf numFmtId="38" fontId="7" fillId="2" borderId="0" xfId="1" applyNumberFormat="1" applyFont="1" applyFill="1" applyAlignment="1">
      <alignment horizontal="right"/>
    </xf>
    <xf numFmtId="38" fontId="5" fillId="2" borderId="2" xfId="1" applyNumberFormat="1" applyFont="1" applyFill="1" applyBorder="1" applyAlignment="1" applyProtection="1">
      <alignment horizontal="right" vertical="center"/>
      <protection hidden="1"/>
    </xf>
    <xf numFmtId="165" fontId="14" fillId="2" borderId="0" xfId="4" applyFont="1" applyFill="1" applyAlignment="1">
      <alignment horizontal="center" vertical="center"/>
    </xf>
    <xf numFmtId="165" fontId="5" fillId="2" borderId="0" xfId="4" applyFont="1" applyFill="1" applyAlignment="1" applyProtection="1">
      <alignment horizontal="center" vertical="center"/>
    </xf>
    <xf numFmtId="165" fontId="19" fillId="2" borderId="0" xfId="4" applyFont="1" applyFill="1" applyAlignment="1">
      <alignment horizontal="center" vertical="center" wrapText="1"/>
    </xf>
    <xf numFmtId="165" fontId="8" fillId="2" borderId="2" xfId="4" applyFont="1" applyFill="1" applyBorder="1" applyAlignment="1" applyProtection="1">
      <alignment horizontal="center" vertical="center"/>
    </xf>
    <xf numFmtId="165" fontId="12" fillId="2" borderId="3" xfId="0" applyNumberFormat="1" applyFont="1" applyFill="1" applyBorder="1" applyAlignment="1">
      <alignment horizontal="left" vertical="center"/>
    </xf>
    <xf numFmtId="165" fontId="11" fillId="2" borderId="3" xfId="4" applyFont="1" applyFill="1" applyBorder="1" applyAlignment="1" applyProtection="1">
      <alignment horizontal="right" vertical="center" indent="2"/>
    </xf>
  </cellXfs>
  <cellStyles count="6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Fish &amp;  Agri - 8" xfId="4"/>
  </cellStyles>
  <dxfs count="0"/>
  <tableStyles count="0" defaultTableStyle="TableStyleMedium9" defaultPivotStyle="PivotStyleLight16"/>
  <colors>
    <mruColors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22"/>
  <sheetViews>
    <sheetView tabSelected="1" zoomScaleNormal="100" workbookViewId="0">
      <selection activeCell="AL16" sqref="AL16"/>
    </sheetView>
  </sheetViews>
  <sheetFormatPr defaultColWidth="12.28515625" defaultRowHeight="12.75"/>
  <cols>
    <col min="1" max="4" width="12.28515625" style="8"/>
    <col min="5" max="5" width="12.28515625" style="11"/>
    <col min="6" max="6" width="12.28515625" style="8"/>
    <col min="7" max="8" width="12.28515625" style="11"/>
    <col min="9" max="9" width="13.85546875" style="8" customWidth="1"/>
    <col min="10" max="10" width="26.42578125" style="8" customWidth="1"/>
    <col min="11" max="16384" width="12.28515625" style="8"/>
  </cols>
  <sheetData>
    <row r="1" spans="1:13" s="4" customFormat="1" ht="19.5">
      <c r="A1" s="39" t="s">
        <v>51</v>
      </c>
      <c r="B1" s="39"/>
      <c r="C1" s="39"/>
      <c r="D1" s="39"/>
      <c r="E1" s="39"/>
      <c r="F1" s="39"/>
      <c r="G1" s="39"/>
      <c r="H1" s="39"/>
      <c r="I1" s="39"/>
      <c r="J1" s="39"/>
      <c r="K1" s="34"/>
      <c r="L1" s="34"/>
      <c r="M1" s="34"/>
    </row>
    <row r="2" spans="1:13" s="5" customFormat="1" ht="15">
      <c r="A2" s="40" t="s">
        <v>52</v>
      </c>
      <c r="B2" s="40"/>
      <c r="C2" s="40"/>
      <c r="D2" s="40"/>
      <c r="E2" s="40"/>
      <c r="F2" s="40"/>
      <c r="G2" s="40"/>
      <c r="H2" s="40"/>
      <c r="I2" s="40"/>
      <c r="J2" s="40"/>
      <c r="K2" s="13"/>
      <c r="L2" s="13"/>
      <c r="M2" s="13"/>
    </row>
    <row r="3" spans="1:13" s="7" customFormat="1" ht="15.75" customHeight="1">
      <c r="A3" s="41" t="s">
        <v>29</v>
      </c>
      <c r="B3" s="41"/>
      <c r="C3" s="41"/>
      <c r="D3" s="41"/>
      <c r="E3" s="41"/>
      <c r="F3" s="41"/>
      <c r="G3" s="41"/>
      <c r="H3" s="41"/>
      <c r="I3" s="41"/>
      <c r="J3" s="41"/>
      <c r="L3" s="14"/>
      <c r="M3" s="14"/>
    </row>
    <row r="4" spans="1:13" s="5" customFormat="1" ht="12">
      <c r="A4" s="42" t="s">
        <v>42</v>
      </c>
      <c r="B4" s="42"/>
      <c r="C4" s="42"/>
      <c r="D4" s="42"/>
      <c r="E4" s="42"/>
      <c r="F4" s="42"/>
      <c r="G4" s="42"/>
      <c r="H4" s="42"/>
      <c r="I4" s="42"/>
      <c r="J4" s="42"/>
      <c r="L4" s="12"/>
      <c r="M4" s="12"/>
    </row>
    <row r="5" spans="1:13" s="5" customFormat="1" ht="17.25" customHeight="1">
      <c r="A5" s="15"/>
      <c r="C5" s="44" t="s">
        <v>44</v>
      </c>
      <c r="D5" s="44"/>
      <c r="E5" s="44"/>
      <c r="F5" s="44"/>
      <c r="G5" s="43" t="s">
        <v>45</v>
      </c>
      <c r="H5" s="43"/>
      <c r="I5" s="43"/>
      <c r="J5" s="16"/>
      <c r="K5" s="17"/>
      <c r="L5" s="10"/>
      <c r="M5" s="10"/>
    </row>
    <row r="6" spans="1:13" s="3" customFormat="1" ht="31.5">
      <c r="A6" s="18"/>
      <c r="B6" s="19" t="s">
        <v>46</v>
      </c>
      <c r="C6" s="20" t="s">
        <v>47</v>
      </c>
      <c r="D6" s="20" t="s">
        <v>30</v>
      </c>
      <c r="E6" s="20" t="s">
        <v>31</v>
      </c>
      <c r="F6" s="20" t="s">
        <v>32</v>
      </c>
      <c r="G6" s="20" t="s">
        <v>33</v>
      </c>
      <c r="H6" s="20" t="s">
        <v>34</v>
      </c>
      <c r="I6" s="33" t="s">
        <v>35</v>
      </c>
      <c r="J6" s="19" t="s">
        <v>43</v>
      </c>
      <c r="K6" s="19"/>
      <c r="L6" s="19"/>
      <c r="M6" s="19"/>
    </row>
    <row r="7" spans="1:13" s="6" customFormat="1" ht="25.5">
      <c r="A7" s="21" t="s">
        <v>0</v>
      </c>
      <c r="B7" s="22" t="s">
        <v>1</v>
      </c>
      <c r="C7" s="23" t="s">
        <v>41</v>
      </c>
      <c r="D7" s="22" t="s">
        <v>36</v>
      </c>
      <c r="E7" s="22" t="s">
        <v>37</v>
      </c>
      <c r="F7" s="22" t="s">
        <v>38</v>
      </c>
      <c r="G7" s="22" t="s">
        <v>48</v>
      </c>
      <c r="H7" s="23" t="s">
        <v>39</v>
      </c>
      <c r="I7" s="23" t="s">
        <v>40</v>
      </c>
      <c r="J7" s="24"/>
      <c r="K7" s="19"/>
      <c r="L7" s="9"/>
      <c r="M7" s="9"/>
    </row>
    <row r="8" spans="1:13" s="5" customFormat="1" ht="15.75">
      <c r="A8" s="25" t="s">
        <v>1</v>
      </c>
      <c r="B8" s="35">
        <f t="shared" ref="B8:B21" si="0">SUM(C8:I8)</f>
        <v>128684.22600000018</v>
      </c>
      <c r="C8" s="35">
        <f t="shared" ref="C8:I8" si="1">SUM(C9:C21)</f>
        <v>68521.958485088369</v>
      </c>
      <c r="D8" s="35">
        <f t="shared" si="1"/>
        <v>49100.552219018995</v>
      </c>
      <c r="E8" s="35">
        <f t="shared" si="1"/>
        <v>2334.0795325544509</v>
      </c>
      <c r="F8" s="35">
        <f t="shared" si="1"/>
        <v>51.063483535157246</v>
      </c>
      <c r="G8" s="35">
        <f t="shared" si="1"/>
        <v>888.90056791056486</v>
      </c>
      <c r="H8" s="35">
        <f t="shared" si="1"/>
        <v>651.21132976987133</v>
      </c>
      <c r="I8" s="35">
        <f t="shared" si="1"/>
        <v>7136.4603821227965</v>
      </c>
      <c r="J8" s="19" t="s">
        <v>15</v>
      </c>
      <c r="K8" s="19"/>
      <c r="L8" s="19"/>
      <c r="M8" s="19"/>
    </row>
    <row r="9" spans="1:13" s="5" customFormat="1" ht="15.75">
      <c r="A9" s="25" t="s">
        <v>28</v>
      </c>
      <c r="B9" s="35">
        <f t="shared" si="0"/>
        <v>2124.237000000001</v>
      </c>
      <c r="C9" s="36">
        <v>0.33300000000000007</v>
      </c>
      <c r="D9" s="36">
        <v>192.41699999999997</v>
      </c>
      <c r="E9" s="36">
        <v>1501.9940000000006</v>
      </c>
      <c r="F9" s="36">
        <v>0.33300000000000007</v>
      </c>
      <c r="G9" s="36">
        <v>0.33300000000000007</v>
      </c>
      <c r="H9" s="36">
        <v>0.33300000000000007</v>
      </c>
      <c r="I9" s="36">
        <v>428.49399999999997</v>
      </c>
      <c r="J9" s="19" t="s">
        <v>49</v>
      </c>
      <c r="K9" s="19"/>
      <c r="L9" s="19"/>
      <c r="M9" s="19"/>
    </row>
    <row r="10" spans="1:13" s="5" customFormat="1" ht="17.25">
      <c r="A10" s="26" t="s">
        <v>2</v>
      </c>
      <c r="B10" s="35">
        <f t="shared" si="0"/>
        <v>15131.434517689773</v>
      </c>
      <c r="C10" s="37">
        <v>9091.6121007037655</v>
      </c>
      <c r="D10" s="37">
        <v>5100.4166700776104</v>
      </c>
      <c r="E10" s="37">
        <v>50.666926428104873</v>
      </c>
      <c r="F10" s="37">
        <v>8.482041270847466</v>
      </c>
      <c r="G10" s="37">
        <v>168.52178603379173</v>
      </c>
      <c r="H10" s="37">
        <v>106.54351992454072</v>
      </c>
      <c r="I10" s="37">
        <v>605.19147325111226</v>
      </c>
      <c r="J10" s="27" t="s">
        <v>16</v>
      </c>
      <c r="K10" s="19"/>
      <c r="L10" s="19"/>
      <c r="M10" s="27"/>
    </row>
    <row r="11" spans="1:13" s="5" customFormat="1" ht="17.25">
      <c r="A11" s="26" t="s">
        <v>3</v>
      </c>
      <c r="B11" s="35">
        <f t="shared" si="0"/>
        <v>9148.580069118716</v>
      </c>
      <c r="C11" s="37">
        <v>3850.1922941919024</v>
      </c>
      <c r="D11" s="37">
        <v>4295.3784375899249</v>
      </c>
      <c r="E11" s="37">
        <v>50.94851002143762</v>
      </c>
      <c r="F11" s="37">
        <v>8.5014420971760316</v>
      </c>
      <c r="G11" s="37">
        <v>104.41679998569327</v>
      </c>
      <c r="H11" s="37">
        <v>57.776825685439981</v>
      </c>
      <c r="I11" s="37">
        <v>781.36575954714351</v>
      </c>
      <c r="J11" s="27" t="s">
        <v>17</v>
      </c>
      <c r="K11" s="19"/>
      <c r="L11" s="19"/>
      <c r="M11" s="27"/>
    </row>
    <row r="12" spans="1:13" s="5" customFormat="1" ht="17.25">
      <c r="A12" s="26" t="s">
        <v>4</v>
      </c>
      <c r="B12" s="35">
        <f t="shared" si="0"/>
        <v>8322.4547200830148</v>
      </c>
      <c r="C12" s="37">
        <v>3603.9251936670094</v>
      </c>
      <c r="D12" s="37">
        <v>3316.4998823933392</v>
      </c>
      <c r="E12" s="37">
        <v>72.590286997559573</v>
      </c>
      <c r="F12" s="37">
        <v>9.5956487021069492</v>
      </c>
      <c r="G12" s="37">
        <v>138.81170984869945</v>
      </c>
      <c r="H12" s="37">
        <v>37.0253131986277</v>
      </c>
      <c r="I12" s="37">
        <v>1144.0066852756729</v>
      </c>
      <c r="J12" s="27" t="s">
        <v>50</v>
      </c>
      <c r="K12" s="19"/>
      <c r="L12" s="19"/>
      <c r="M12" s="27"/>
    </row>
    <row r="13" spans="1:13" s="5" customFormat="1" ht="17.25">
      <c r="A13" s="26" t="s">
        <v>5</v>
      </c>
      <c r="B13" s="35">
        <f t="shared" si="0"/>
        <v>16024.174764017633</v>
      </c>
      <c r="C13" s="37">
        <v>9422.8554178854101</v>
      </c>
      <c r="D13" s="37">
        <v>5492.4030708964601</v>
      </c>
      <c r="E13" s="37">
        <v>51.350107126438871</v>
      </c>
      <c r="F13" s="37">
        <v>11.646548854951931</v>
      </c>
      <c r="G13" s="37">
        <v>151.25272262002352</v>
      </c>
      <c r="H13" s="37">
        <v>60.615554489807309</v>
      </c>
      <c r="I13" s="37">
        <v>834.05134214454313</v>
      </c>
      <c r="J13" s="27" t="s">
        <v>18</v>
      </c>
      <c r="K13" s="27"/>
      <c r="L13" s="19"/>
      <c r="M13" s="27"/>
    </row>
    <row r="14" spans="1:13" s="5" customFormat="1" ht="17.25">
      <c r="A14" s="26" t="s">
        <v>6</v>
      </c>
      <c r="B14" s="35">
        <f t="shared" si="0"/>
        <v>12472.820144779125</v>
      </c>
      <c r="C14" s="37">
        <v>8041.1151064268406</v>
      </c>
      <c r="D14" s="37">
        <v>3235.8803371220156</v>
      </c>
      <c r="E14" s="37">
        <v>123.65966416702413</v>
      </c>
      <c r="F14" s="37">
        <v>5.284785091900388</v>
      </c>
      <c r="G14" s="37">
        <v>58.820201557052755</v>
      </c>
      <c r="H14" s="37">
        <v>72.448894620590394</v>
      </c>
      <c r="I14" s="37">
        <v>935.61115579369971</v>
      </c>
      <c r="J14" s="27" t="s">
        <v>19</v>
      </c>
      <c r="K14" s="27"/>
      <c r="L14" s="19"/>
      <c r="M14" s="27"/>
    </row>
    <row r="15" spans="1:13" s="5" customFormat="1" ht="17.25">
      <c r="A15" s="26" t="s">
        <v>7</v>
      </c>
      <c r="B15" s="35">
        <f t="shared" si="0"/>
        <v>10574.246900258211</v>
      </c>
      <c r="C15" s="37">
        <v>7095.5251223792175</v>
      </c>
      <c r="D15" s="37">
        <v>2966.1767582772336</v>
      </c>
      <c r="E15" s="37">
        <v>34.919372701342439</v>
      </c>
      <c r="F15" s="37">
        <v>1.885760319136262</v>
      </c>
      <c r="G15" s="37">
        <v>40.553159379348422</v>
      </c>
      <c r="H15" s="37">
        <v>45.216148403714953</v>
      </c>
      <c r="I15" s="37">
        <v>389.97057879821813</v>
      </c>
      <c r="J15" s="27" t="s">
        <v>20</v>
      </c>
      <c r="K15" s="27"/>
      <c r="L15" s="19"/>
      <c r="M15" s="27"/>
    </row>
    <row r="16" spans="1:13" s="3" customFormat="1" ht="17.25">
      <c r="A16" s="26" t="s">
        <v>8</v>
      </c>
      <c r="B16" s="35">
        <f t="shared" si="0"/>
        <v>5943.6414964833157</v>
      </c>
      <c r="C16" s="37">
        <v>3269.5811560922134</v>
      </c>
      <c r="D16" s="37">
        <v>2051.2610270725181</v>
      </c>
      <c r="E16" s="37">
        <v>102.7331956576363</v>
      </c>
      <c r="F16" s="37">
        <v>1.771295443797744</v>
      </c>
      <c r="G16" s="37">
        <v>69.910877693291525</v>
      </c>
      <c r="H16" s="37">
        <v>41.28961487971803</v>
      </c>
      <c r="I16" s="37">
        <v>407.09432964414043</v>
      </c>
      <c r="J16" s="27" t="s">
        <v>21</v>
      </c>
      <c r="K16" s="27"/>
      <c r="L16" s="19"/>
      <c r="M16" s="27"/>
    </row>
    <row r="17" spans="1:13" s="3" customFormat="1" ht="17.25">
      <c r="A17" s="26" t="s">
        <v>9</v>
      </c>
      <c r="B17" s="35">
        <f t="shared" si="0"/>
        <v>8151.8591659124086</v>
      </c>
      <c r="C17" s="37">
        <v>4163.1111239963157</v>
      </c>
      <c r="D17" s="37">
        <v>3255.9910143810525</v>
      </c>
      <c r="E17" s="37">
        <v>84.222867257554952</v>
      </c>
      <c r="F17" s="37">
        <v>1.9808243681462174</v>
      </c>
      <c r="G17" s="37">
        <v>34.692751713478224</v>
      </c>
      <c r="H17" s="37">
        <v>36.868942356081604</v>
      </c>
      <c r="I17" s="37">
        <v>574.99164183977996</v>
      </c>
      <c r="J17" s="27" t="s">
        <v>22</v>
      </c>
      <c r="K17" s="27"/>
      <c r="L17" s="19"/>
      <c r="M17" s="27"/>
    </row>
    <row r="18" spans="1:13" s="3" customFormat="1" ht="17.25">
      <c r="A18" s="26" t="s">
        <v>10</v>
      </c>
      <c r="B18" s="35">
        <f t="shared" si="0"/>
        <v>10124.88573889277</v>
      </c>
      <c r="C18" s="37">
        <v>4740.4124383624221</v>
      </c>
      <c r="D18" s="37">
        <v>5052.8729054613241</v>
      </c>
      <c r="E18" s="37">
        <v>47.157588556836551</v>
      </c>
      <c r="F18" s="37">
        <v>0.17460743695706132</v>
      </c>
      <c r="G18" s="37">
        <v>42.28545916097687</v>
      </c>
      <c r="H18" s="37">
        <v>59.055339404572429</v>
      </c>
      <c r="I18" s="37">
        <v>182.92740050968024</v>
      </c>
      <c r="J18" s="27" t="s">
        <v>23</v>
      </c>
      <c r="K18" s="27"/>
      <c r="L18" s="19"/>
      <c r="M18" s="27"/>
    </row>
    <row r="19" spans="1:13" s="3" customFormat="1" ht="17.25">
      <c r="A19" s="26" t="s">
        <v>11</v>
      </c>
      <c r="B19" s="35">
        <f t="shared" si="0"/>
        <v>8516.499470765677</v>
      </c>
      <c r="C19" s="37">
        <v>3955.475764362629</v>
      </c>
      <c r="D19" s="37">
        <v>4242.1775457334143</v>
      </c>
      <c r="E19" s="37">
        <v>81.077547090689421</v>
      </c>
      <c r="F19" s="37">
        <v>0.81483470579961959</v>
      </c>
      <c r="G19" s="37">
        <v>31.193424614245604</v>
      </c>
      <c r="H19" s="37">
        <v>94.566807317194559</v>
      </c>
      <c r="I19" s="37">
        <v>111.19354694170252</v>
      </c>
      <c r="J19" s="27" t="s">
        <v>24</v>
      </c>
      <c r="K19" s="27"/>
      <c r="L19" s="19"/>
      <c r="M19" s="27"/>
    </row>
    <row r="20" spans="1:13" s="3" customFormat="1" ht="17.25">
      <c r="A20" s="26" t="s">
        <v>12</v>
      </c>
      <c r="B20" s="35">
        <f t="shared" si="0"/>
        <v>10254.910819876141</v>
      </c>
      <c r="C20" s="37">
        <v>4927.5836651915906</v>
      </c>
      <c r="D20" s="37">
        <v>4966.1233843163909</v>
      </c>
      <c r="E20" s="37">
        <v>76.35583218132291</v>
      </c>
      <c r="F20" s="37">
        <v>0.44136879897479381</v>
      </c>
      <c r="G20" s="37">
        <v>15.411046395666194</v>
      </c>
      <c r="H20" s="37">
        <v>28.448595972774271</v>
      </c>
      <c r="I20" s="37">
        <v>240.54692701942164</v>
      </c>
      <c r="J20" s="27" t="s">
        <v>25</v>
      </c>
      <c r="K20" s="27"/>
      <c r="L20" s="19"/>
      <c r="M20" s="27"/>
    </row>
    <row r="21" spans="1:13" s="3" customFormat="1" ht="17.25">
      <c r="A21" s="28" t="s">
        <v>13</v>
      </c>
      <c r="B21" s="38">
        <f t="shared" si="0"/>
        <v>11894.48119212342</v>
      </c>
      <c r="C21" s="2">
        <v>6360.2361018290558</v>
      </c>
      <c r="D21" s="2">
        <v>4932.9541856977085</v>
      </c>
      <c r="E21" s="2">
        <v>56.403634368502793</v>
      </c>
      <c r="F21" s="2">
        <v>0.15132644536278644</v>
      </c>
      <c r="G21" s="2">
        <v>32.697628908297226</v>
      </c>
      <c r="H21" s="2">
        <v>11.022773516809346</v>
      </c>
      <c r="I21" s="2">
        <v>501.01554135768305</v>
      </c>
      <c r="J21" s="29" t="s">
        <v>26</v>
      </c>
      <c r="K21" s="30"/>
      <c r="L21" s="19"/>
      <c r="M21" s="30"/>
    </row>
    <row r="22" spans="1:13" s="3" customFormat="1" ht="15.75">
      <c r="A22" s="1" t="s">
        <v>14</v>
      </c>
      <c r="B22" s="31"/>
      <c r="C22" s="31"/>
      <c r="D22" s="31"/>
      <c r="E22" s="31"/>
      <c r="F22" s="31"/>
      <c r="G22" s="31"/>
      <c r="H22" s="31"/>
      <c r="J22" s="32" t="s">
        <v>27</v>
      </c>
      <c r="K22" s="27"/>
      <c r="L22" s="27"/>
      <c r="M22" s="27"/>
    </row>
  </sheetData>
  <mergeCells count="6">
    <mergeCell ref="A1:J1"/>
    <mergeCell ref="A2:J2"/>
    <mergeCell ref="A3:J3"/>
    <mergeCell ref="A4:J4"/>
    <mergeCell ref="G5:I5"/>
    <mergeCell ref="C5:F5"/>
  </mergeCells>
  <pageMargins left="0.25" right="0.16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9.5</vt:lpstr>
      <vt:lpstr>'9.5'!Print_Area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2016-01-17T08:15:25Z</cp:lastPrinted>
  <dcterms:created xsi:type="dcterms:W3CDTF">2014-03-04T03:52:57Z</dcterms:created>
  <dcterms:modified xsi:type="dcterms:W3CDTF">2016-01-17T08:15:34Z</dcterms:modified>
</cp:coreProperties>
</file>