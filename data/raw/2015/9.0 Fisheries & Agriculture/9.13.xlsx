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120" yWindow="45" windowWidth="14130" windowHeight="12255" tabRatio="898"/>
  </bookViews>
  <sheets>
    <sheet name="9.13" sheetId="18" r:id="rId1"/>
  </sheets>
  <definedNames>
    <definedName name="_xlnm.Print_Area" localSheetId="0">'9.13'!$A$1:$T$34</definedName>
  </definedNames>
  <calcPr calcId="144525"/>
</workbook>
</file>

<file path=xl/calcChain.xml><?xml version="1.0" encoding="utf-8"?>
<calcChain xmlns="http://schemas.openxmlformats.org/spreadsheetml/2006/main">
  <c r="P30" i="18" l="1"/>
  <c r="F30" i="18"/>
  <c r="R29" i="18"/>
  <c r="P29" i="18"/>
  <c r="F29" i="18"/>
  <c r="F28" i="18"/>
  <c r="F27" i="18"/>
  <c r="R26" i="18"/>
  <c r="F26" i="18"/>
  <c r="R25" i="18"/>
  <c r="F25" i="18"/>
  <c r="F24" i="18"/>
  <c r="F23" i="18"/>
  <c r="F22" i="18"/>
  <c r="P21" i="18"/>
  <c r="F21" i="18"/>
  <c r="P20" i="18"/>
  <c r="F20" i="18"/>
  <c r="F19" i="18"/>
  <c r="P18" i="18"/>
  <c r="F18" i="18"/>
  <c r="F17" i="18"/>
  <c r="R16" i="18"/>
  <c r="P16" i="18"/>
  <c r="F16" i="18"/>
  <c r="P15" i="18"/>
  <c r="F15" i="18"/>
  <c r="R14" i="18"/>
  <c r="F14" i="18"/>
  <c r="P13" i="18"/>
  <c r="F13" i="18"/>
  <c r="P12" i="18"/>
  <c r="F12" i="18"/>
  <c r="F11" i="18"/>
  <c r="T9" i="18"/>
  <c r="T7" i="18" s="1"/>
  <c r="S9" i="18"/>
  <c r="S7" i="18" s="1"/>
  <c r="Q9" i="18"/>
  <c r="Q7" i="18" s="1"/>
  <c r="N9" i="18"/>
  <c r="N7" i="18" s="1"/>
  <c r="M9" i="18"/>
  <c r="M7" i="18" s="1"/>
  <c r="L9" i="18"/>
  <c r="L7" i="18" s="1"/>
  <c r="J9" i="18"/>
  <c r="J7" i="18" s="1"/>
  <c r="I9" i="18"/>
  <c r="I7" i="18" s="1"/>
  <c r="H9" i="18"/>
  <c r="H7" i="18" s="1"/>
  <c r="G9" i="18"/>
  <c r="G7" i="18" s="1"/>
  <c r="E9" i="18"/>
  <c r="E7" i="18" s="1"/>
  <c r="D9" i="18"/>
  <c r="C9" i="18"/>
  <c r="C7" i="18" s="1"/>
  <c r="B9" i="18"/>
  <c r="B7" i="18" s="1"/>
  <c r="R8" i="18"/>
  <c r="P8" i="18"/>
  <c r="F8" i="18"/>
  <c r="O7" i="18"/>
  <c r="K7" i="18"/>
  <c r="D7" i="18"/>
  <c r="R9" i="18" l="1"/>
  <c r="P9" i="18"/>
  <c r="P7" i="18" s="1"/>
  <c r="R7" i="18"/>
  <c r="F9" i="18"/>
  <c r="F7" i="18" s="1"/>
</calcChain>
</file>

<file path=xl/sharedStrings.xml><?xml version="1.0" encoding="utf-8"?>
<sst xmlns="http://schemas.openxmlformats.org/spreadsheetml/2006/main" count="71" uniqueCount="43">
  <si>
    <t>S</t>
  </si>
  <si>
    <t xml:space="preserve"> HA</t>
  </si>
  <si>
    <t xml:space="preserve"> HDh</t>
  </si>
  <si>
    <t xml:space="preserve"> Sh</t>
  </si>
  <si>
    <t xml:space="preserve"> N</t>
  </si>
  <si>
    <t xml:space="preserve"> R</t>
  </si>
  <si>
    <t>B</t>
  </si>
  <si>
    <t>Lh</t>
  </si>
  <si>
    <t>K</t>
  </si>
  <si>
    <t xml:space="preserve"> AA</t>
  </si>
  <si>
    <t>ADh</t>
  </si>
  <si>
    <t>V</t>
  </si>
  <si>
    <t>M</t>
  </si>
  <si>
    <t>F</t>
  </si>
  <si>
    <t>Dh</t>
  </si>
  <si>
    <t>Th</t>
  </si>
  <si>
    <t xml:space="preserve"> L</t>
  </si>
  <si>
    <t>GA</t>
  </si>
  <si>
    <t>GDh</t>
  </si>
  <si>
    <t>Gn</t>
  </si>
  <si>
    <t>Source: Ministry of Fisheries  and Agriculture</t>
  </si>
  <si>
    <t>Republic</t>
  </si>
  <si>
    <t>Male'</t>
  </si>
  <si>
    <t>Atolls</t>
  </si>
  <si>
    <t>EEZ</t>
  </si>
  <si>
    <t>Locality</t>
  </si>
  <si>
    <t>Miscellaneous</t>
  </si>
  <si>
    <t>Mechanised</t>
  </si>
  <si>
    <t>Sailing</t>
  </si>
  <si>
    <t>Rowing</t>
  </si>
  <si>
    <t>vadhu dhoni</t>
  </si>
  <si>
    <t>boats</t>
  </si>
  <si>
    <t>Fish Catch (metric tonnes)</t>
  </si>
  <si>
    <t>Fishing Trips</t>
  </si>
  <si>
    <t>Catch per unit effort (kgs)</t>
  </si>
  <si>
    <t>EEZ Vessels</t>
  </si>
  <si>
    <t xml:space="preserve">Fish Catch </t>
  </si>
  <si>
    <t>Masdhonis</t>
  </si>
  <si>
    <t>(metric tonnes)</t>
  </si>
  <si>
    <t xml:space="preserve">މައުލޫމާތު ދެއްވި ފަރާތް: މިނިސްޓްރީ އޮފް ފިޝަރީޒް އެންޑް އެގްރިކަލްޗަރ </t>
  </si>
  <si>
    <t>Mas dhoni</t>
  </si>
  <si>
    <t>ތާވަލު 9.13: ބޭނުނު މަހުގެ އަދަދު، މަސްދަތުރުގެ އަދަދު އަދި ތަނުގެ ގޮތުން ބޭނިފައިވާ މަހުގެ ނިސްބަތް، 2014</t>
  </si>
  <si>
    <t>Table 9.13 :  FISH CATCH, FISHING TRIPS AND CATCH PER UNIT EFFORT BY LOCALITY, 2014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</si>
</sst>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164" formatCode="[$-409]mmmm\ d\,\ yyyy;@"/>
    <numFmt numFmtId="165" formatCode="General_)"/>
    <numFmt numFmtId="166" formatCode="#,##0.0"/>
  </numFmts>
  <fonts count="16" x14ac:knownFonts="1">
    <font>
      <sz val="11"/>
      <color theme="1"/>
      <name val="Calibri"/>
      <family val="2"/>
      <scheme val="minor"/>
    </font>
    <font>
      <sz val="10"/>
      <name val="Courier"/>
      <family val="3"/>
    </font>
    <font>
      <b/>
      <sz val="10"/>
      <name val="Arial"/>
      <family val="2"/>
    </font>
    <font>
      <sz val="10"/>
      <name val="Arial"/>
      <family val="2"/>
    </font>
    <font>
      <b/>
      <sz val="10"/>
      <color indexed="8"/>
      <name val="Calibri"/>
      <family val="2"/>
    </font>
    <font>
      <sz val="10"/>
      <name val="MS Sans Serif"/>
      <family val="2"/>
    </font>
    <font>
      <sz val="10"/>
      <name val="Calibri"/>
      <family val="2"/>
    </font>
    <font>
      <i/>
      <sz val="9"/>
      <name val="Calibri"/>
      <family val="2"/>
    </font>
    <font>
      <b/>
      <sz val="10"/>
      <name val="Calibri"/>
      <family val="2"/>
    </font>
    <font>
      <sz val="9"/>
      <name val="Arial"/>
      <family val="2"/>
    </font>
    <font>
      <b/>
      <sz val="9"/>
      <name val="Arial"/>
      <family val="2"/>
    </font>
    <font>
      <sz val="9"/>
      <name val="Calibri"/>
      <family val="2"/>
    </font>
    <font>
      <b/>
      <sz val="11"/>
      <name val="Faruma"/>
    </font>
    <font>
      <b/>
      <sz val="11"/>
      <color theme="1"/>
      <name val="Calibri"/>
      <family val="2"/>
    </font>
    <font>
      <sz val="8"/>
      <name val="Arial"/>
      <family val="2"/>
    </font>
    <font>
      <sz val="9"/>
      <color theme="1"/>
      <name val="Faruma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5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hair">
        <color indexed="64"/>
      </right>
      <top style="thin">
        <color indexed="64"/>
      </top>
      <bottom/>
      <diagonal/>
    </border>
    <border>
      <left/>
      <right style="hair">
        <color indexed="64"/>
      </right>
      <top/>
      <bottom style="thin">
        <color indexed="64"/>
      </bottom>
      <diagonal/>
    </border>
    <border>
      <left/>
      <right style="hair">
        <color indexed="64"/>
      </right>
      <top style="thin">
        <color indexed="64"/>
      </top>
      <bottom style="thin">
        <color indexed="64"/>
      </bottom>
      <diagonal/>
    </border>
    <border>
      <left/>
      <right style="hair">
        <color indexed="64"/>
      </right>
      <top/>
      <bottom/>
      <diagonal/>
    </border>
    <border>
      <left style="hair">
        <color indexed="64"/>
      </left>
      <right/>
      <top style="thin">
        <color indexed="64"/>
      </top>
      <bottom/>
      <diagonal/>
    </border>
    <border>
      <left style="hair">
        <color indexed="64"/>
      </left>
      <right/>
      <top/>
      <bottom style="thin">
        <color indexed="64"/>
      </bottom>
      <diagonal/>
    </border>
    <border>
      <left style="hair">
        <color indexed="64"/>
      </left>
      <right/>
      <top/>
      <bottom/>
      <diagonal/>
    </border>
    <border>
      <left style="hair">
        <color indexed="64"/>
      </left>
      <right/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hair">
        <color indexed="64"/>
      </right>
      <top/>
      <bottom/>
      <diagonal/>
    </border>
    <border>
      <left style="hair">
        <color indexed="64"/>
      </left>
      <right style="hair">
        <color indexed="64"/>
      </right>
      <top/>
      <bottom style="thin">
        <color indexed="64"/>
      </bottom>
      <diagonal/>
    </border>
  </borders>
  <cellStyleXfs count="7">
    <xf numFmtId="0" fontId="0" fillId="0" borderId="0"/>
    <xf numFmtId="40" fontId="5" fillId="0" borderId="0" applyFont="0" applyFill="0" applyBorder="0" applyAlignment="0" applyProtection="0"/>
    <xf numFmtId="164" fontId="1" fillId="0" borderId="0"/>
    <xf numFmtId="164" fontId="1" fillId="0" borderId="0"/>
    <xf numFmtId="165" fontId="1" fillId="0" borderId="0"/>
    <xf numFmtId="0" fontId="1" fillId="0" borderId="0"/>
    <xf numFmtId="0" fontId="3" fillId="0" borderId="0"/>
  </cellStyleXfs>
  <cellXfs count="80">
    <xf numFmtId="0" fontId="0" fillId="0" borderId="0" xfId="0"/>
    <xf numFmtId="165" fontId="7" fillId="2" borderId="0" xfId="4" applyFont="1" applyFill="1" applyAlignment="1" applyProtection="1">
      <alignment horizontal="left" vertical="center"/>
    </xf>
    <xf numFmtId="165" fontId="2" fillId="2" borderId="0" xfId="4" applyFont="1" applyFill="1" applyAlignment="1">
      <alignment vertical="center"/>
    </xf>
    <xf numFmtId="165" fontId="10" fillId="2" borderId="0" xfId="4" applyFont="1" applyFill="1" applyAlignment="1">
      <alignment horizontal="right" vertical="center"/>
    </xf>
    <xf numFmtId="165" fontId="6" fillId="2" borderId="2" xfId="0" applyNumberFormat="1" applyFont="1" applyFill="1" applyBorder="1" applyAlignment="1" applyProtection="1">
      <alignment horizontal="left" vertical="center"/>
    </xf>
    <xf numFmtId="165" fontId="3" fillId="2" borderId="0" xfId="4" applyFont="1" applyFill="1" applyAlignment="1">
      <alignment vertical="center"/>
    </xf>
    <xf numFmtId="165" fontId="3" fillId="2" borderId="0" xfId="4" applyFont="1" applyFill="1" applyBorder="1" applyAlignment="1">
      <alignment vertical="center"/>
    </xf>
    <xf numFmtId="165" fontId="4" fillId="2" borderId="12" xfId="4" applyFont="1" applyFill="1" applyBorder="1" applyAlignment="1" applyProtection="1">
      <alignment horizontal="right" vertical="center"/>
    </xf>
    <xf numFmtId="165" fontId="4" fillId="2" borderId="13" xfId="4" applyFont="1" applyFill="1" applyBorder="1" applyAlignment="1" applyProtection="1">
      <alignment horizontal="right" vertical="center"/>
    </xf>
    <xf numFmtId="3" fontId="8" fillId="2" borderId="1" xfId="4" applyNumberFormat="1" applyFont="1" applyFill="1" applyBorder="1" applyAlignment="1" applyProtection="1">
      <alignment horizontal="right" vertical="center"/>
    </xf>
    <xf numFmtId="166" fontId="8" fillId="2" borderId="0" xfId="4" applyNumberFormat="1" applyFont="1" applyFill="1" applyBorder="1" applyAlignment="1" applyProtection="1">
      <alignment horizontal="right" vertical="center"/>
    </xf>
    <xf numFmtId="1" fontId="11" fillId="2" borderId="0" xfId="4" applyNumberFormat="1" applyFont="1" applyFill="1" applyBorder="1" applyAlignment="1">
      <alignment horizontal="right" vertical="center"/>
    </xf>
    <xf numFmtId="165" fontId="11" fillId="2" borderId="0" xfId="4" applyFont="1" applyFill="1" applyBorder="1" applyAlignment="1">
      <alignment horizontal="right" vertical="center"/>
    </xf>
    <xf numFmtId="165" fontId="2" fillId="2" borderId="0" xfId="4" applyFont="1" applyFill="1" applyAlignment="1">
      <alignment horizontal="right" vertical="center"/>
    </xf>
    <xf numFmtId="166" fontId="6" fillId="2" borderId="0" xfId="4" applyNumberFormat="1" applyFont="1" applyFill="1" applyBorder="1" applyAlignment="1" applyProtection="1">
      <alignment horizontal="right" vertical="center"/>
    </xf>
    <xf numFmtId="165" fontId="10" fillId="2" borderId="0" xfId="4" applyFont="1" applyFill="1" applyBorder="1" applyAlignment="1">
      <alignment horizontal="right" vertical="center"/>
    </xf>
    <xf numFmtId="165" fontId="8" fillId="2" borderId="2" xfId="4" applyFont="1" applyFill="1" applyBorder="1" applyAlignment="1" applyProtection="1">
      <alignment horizontal="right" vertical="center"/>
    </xf>
    <xf numFmtId="3" fontId="8" fillId="2" borderId="0" xfId="4" applyNumberFormat="1" applyFont="1" applyFill="1" applyBorder="1" applyAlignment="1">
      <alignment horizontal="right" vertical="center"/>
    </xf>
    <xf numFmtId="165" fontId="11" fillId="2" borderId="0" xfId="4" applyFont="1" applyFill="1" applyAlignment="1">
      <alignment horizontal="right" vertical="center"/>
    </xf>
    <xf numFmtId="165" fontId="2" fillId="2" borderId="0" xfId="4" applyFont="1" applyFill="1" applyBorder="1" applyAlignment="1">
      <alignment vertical="center"/>
    </xf>
    <xf numFmtId="165" fontId="2" fillId="2" borderId="0" xfId="4" applyFont="1" applyFill="1" applyBorder="1" applyAlignment="1" applyProtection="1">
      <alignment vertical="center"/>
    </xf>
    <xf numFmtId="165" fontId="8" fillId="2" borderId="0" xfId="4" applyFont="1" applyFill="1" applyBorder="1" applyAlignment="1" applyProtection="1">
      <alignment horizontal="right" vertical="center"/>
    </xf>
    <xf numFmtId="165" fontId="8" fillId="2" borderId="10" xfId="4" applyFont="1" applyFill="1" applyBorder="1" applyAlignment="1" applyProtection="1">
      <alignment horizontal="right" vertical="center"/>
    </xf>
    <xf numFmtId="165" fontId="8" fillId="2" borderId="7" xfId="4" applyFont="1" applyFill="1" applyBorder="1" applyAlignment="1" applyProtection="1">
      <alignment horizontal="right" vertical="center"/>
    </xf>
    <xf numFmtId="165" fontId="2" fillId="2" borderId="0" xfId="4" applyFont="1" applyFill="1" applyBorder="1" applyAlignment="1">
      <alignment horizontal="right" vertical="center"/>
    </xf>
    <xf numFmtId="165" fontId="8" fillId="2" borderId="9" xfId="4" applyFont="1" applyFill="1" applyBorder="1" applyAlignment="1" applyProtection="1">
      <alignment horizontal="right" vertical="center"/>
    </xf>
    <xf numFmtId="165" fontId="8" fillId="2" borderId="5" xfId="4" applyFont="1" applyFill="1" applyBorder="1" applyAlignment="1" applyProtection="1">
      <alignment horizontal="right" vertical="center"/>
    </xf>
    <xf numFmtId="165" fontId="8" fillId="2" borderId="0" xfId="4" applyFont="1" applyFill="1" applyBorder="1" applyAlignment="1" applyProtection="1">
      <alignment horizontal="left" vertical="center"/>
    </xf>
    <xf numFmtId="3" fontId="8" fillId="2" borderId="0" xfId="4" applyNumberFormat="1" applyFont="1" applyFill="1" applyBorder="1" applyAlignment="1" applyProtection="1">
      <alignment horizontal="right" vertical="center"/>
    </xf>
    <xf numFmtId="3" fontId="8" fillId="2" borderId="8" xfId="4" applyNumberFormat="1" applyFont="1" applyFill="1" applyBorder="1" applyAlignment="1" applyProtection="1">
      <alignment horizontal="right" vertical="center"/>
    </xf>
    <xf numFmtId="3" fontId="8" fillId="2" borderId="4" xfId="4" applyNumberFormat="1" applyFont="1" applyFill="1" applyBorder="1" applyAlignment="1" applyProtection="1">
      <alignment horizontal="right" vertical="center"/>
    </xf>
    <xf numFmtId="3" fontId="8" fillId="2" borderId="10" xfId="4" applyNumberFormat="1" applyFont="1" applyFill="1" applyBorder="1" applyAlignment="1" applyProtection="1">
      <alignment horizontal="right" vertical="center"/>
    </xf>
    <xf numFmtId="166" fontId="8" fillId="2" borderId="8" xfId="4" applyNumberFormat="1" applyFont="1" applyFill="1" applyBorder="1" applyAlignment="1" applyProtection="1">
      <alignment horizontal="right" vertical="center"/>
    </xf>
    <xf numFmtId="3" fontId="10" fillId="2" borderId="0" xfId="4" applyNumberFormat="1" applyFont="1" applyFill="1" applyBorder="1" applyAlignment="1">
      <alignment horizontal="right" vertical="center"/>
    </xf>
    <xf numFmtId="3" fontId="8" fillId="2" borderId="10" xfId="4" applyNumberFormat="1" applyFont="1" applyFill="1" applyBorder="1" applyAlignment="1">
      <alignment horizontal="right" vertical="center"/>
    </xf>
    <xf numFmtId="3" fontId="8" fillId="2" borderId="7" xfId="4" applyNumberFormat="1" applyFont="1" applyFill="1" applyBorder="1" applyAlignment="1">
      <alignment horizontal="right" vertical="center"/>
    </xf>
    <xf numFmtId="3" fontId="6" fillId="2" borderId="7" xfId="4" applyNumberFormat="1" applyFont="1" applyFill="1" applyBorder="1" applyAlignment="1">
      <alignment horizontal="right" vertical="center"/>
    </xf>
    <xf numFmtId="166" fontId="6" fillId="2" borderId="10" xfId="4" applyNumberFormat="1" applyFont="1" applyFill="1" applyBorder="1" applyAlignment="1" applyProtection="1">
      <alignment horizontal="right" vertical="center"/>
    </xf>
    <xf numFmtId="3" fontId="8" fillId="2" borderId="7" xfId="4" applyNumberFormat="1" applyFont="1" applyFill="1" applyBorder="1" applyAlignment="1" applyProtection="1">
      <alignment horizontal="right" vertical="center"/>
    </xf>
    <xf numFmtId="166" fontId="8" fillId="2" borderId="10" xfId="4" applyNumberFormat="1" applyFont="1" applyFill="1" applyBorder="1" applyAlignment="1" applyProtection="1">
      <alignment horizontal="right" vertical="center"/>
    </xf>
    <xf numFmtId="165" fontId="6" fillId="2" borderId="0" xfId="0" applyNumberFormat="1" applyFont="1" applyFill="1" applyBorder="1" applyAlignment="1" applyProtection="1">
      <alignment horizontal="left" vertical="center"/>
    </xf>
    <xf numFmtId="3" fontId="6" fillId="2" borderId="0" xfId="4" applyNumberFormat="1" applyFont="1" applyFill="1" applyBorder="1" applyAlignment="1">
      <alignment horizontal="right" vertical="center"/>
    </xf>
    <xf numFmtId="3" fontId="6" fillId="2" borderId="10" xfId="4" applyNumberFormat="1" applyFont="1" applyFill="1" applyBorder="1" applyAlignment="1">
      <alignment horizontal="right" vertical="center"/>
    </xf>
    <xf numFmtId="165" fontId="9" fillId="2" borderId="0" xfId="4" applyFont="1" applyFill="1" applyAlignment="1">
      <alignment horizontal="right" vertical="center"/>
    </xf>
    <xf numFmtId="3" fontId="6" fillId="2" borderId="2" xfId="4" applyNumberFormat="1" applyFont="1" applyFill="1" applyBorder="1" applyAlignment="1">
      <alignment horizontal="right" vertical="center"/>
    </xf>
    <xf numFmtId="3" fontId="6" fillId="2" borderId="9" xfId="4" applyNumberFormat="1" applyFont="1" applyFill="1" applyBorder="1" applyAlignment="1">
      <alignment horizontal="right" vertical="center"/>
    </xf>
    <xf numFmtId="3" fontId="6" fillId="2" borderId="5" xfId="4" applyNumberFormat="1" applyFont="1" applyFill="1" applyBorder="1" applyAlignment="1">
      <alignment horizontal="right" vertical="center"/>
    </xf>
    <xf numFmtId="166" fontId="6" fillId="2" borderId="9" xfId="4" applyNumberFormat="1" applyFont="1" applyFill="1" applyBorder="1" applyAlignment="1" applyProtection="1">
      <alignment horizontal="right" vertical="center"/>
    </xf>
    <xf numFmtId="166" fontId="6" fillId="2" borderId="5" xfId="4" applyNumberFormat="1" applyFont="1" applyFill="1" applyBorder="1" applyAlignment="1" applyProtection="1">
      <alignment horizontal="right" vertical="center"/>
    </xf>
    <xf numFmtId="165" fontId="7" fillId="2" borderId="0" xfId="4" applyFont="1" applyFill="1" applyBorder="1" applyAlignment="1" applyProtection="1">
      <alignment horizontal="right" vertical="center"/>
    </xf>
    <xf numFmtId="165" fontId="7" fillId="2" borderId="0" xfId="4" applyFont="1" applyFill="1" applyAlignment="1" applyProtection="1">
      <alignment horizontal="right" vertical="center"/>
    </xf>
    <xf numFmtId="37" fontId="6" fillId="2" borderId="0" xfId="1" applyNumberFormat="1" applyFont="1" applyFill="1" applyAlignment="1">
      <alignment horizontal="right" vertical="center"/>
    </xf>
    <xf numFmtId="165" fontId="9" fillId="2" borderId="0" xfId="4" applyFont="1" applyFill="1" applyBorder="1" applyAlignment="1">
      <alignment horizontal="right" vertical="center"/>
    </xf>
    <xf numFmtId="0" fontId="14" fillId="2" borderId="0" xfId="6" applyFont="1" applyFill="1" applyBorder="1" applyAlignment="1">
      <alignment horizontal="right" vertical="center"/>
    </xf>
    <xf numFmtId="38" fontId="9" fillId="2" borderId="0" xfId="1" applyNumberFormat="1" applyFont="1" applyFill="1" applyBorder="1" applyAlignment="1">
      <alignment horizontal="right" vertical="center"/>
    </xf>
    <xf numFmtId="3" fontId="9" fillId="2" borderId="0" xfId="4" applyNumberFormat="1" applyFont="1" applyFill="1" applyAlignment="1">
      <alignment horizontal="right" vertical="center"/>
    </xf>
    <xf numFmtId="3" fontId="10" fillId="2" borderId="0" xfId="4" applyNumberFormat="1" applyFont="1" applyFill="1" applyAlignment="1">
      <alignment horizontal="right" vertical="center"/>
    </xf>
    <xf numFmtId="0" fontId="15" fillId="2" borderId="0" xfId="0" applyNumberFormat="1" applyFont="1" applyFill="1" applyBorder="1"/>
    <xf numFmtId="166" fontId="8" fillId="2" borderId="1" xfId="4" applyNumberFormat="1" applyFont="1" applyFill="1" applyBorder="1" applyAlignment="1" applyProtection="1">
      <alignment horizontal="right" vertical="center"/>
    </xf>
    <xf numFmtId="165" fontId="8" fillId="2" borderId="0" xfId="4" applyFont="1" applyFill="1" applyBorder="1" applyAlignment="1" applyProtection="1">
      <alignment horizontal="center" vertical="center"/>
    </xf>
    <xf numFmtId="165" fontId="8" fillId="2" borderId="2" xfId="4" applyFont="1" applyFill="1" applyBorder="1" applyAlignment="1" applyProtection="1">
      <alignment horizontal="center" vertical="center"/>
    </xf>
    <xf numFmtId="3" fontId="6" fillId="2" borderId="0" xfId="4" applyNumberFormat="1" applyFont="1" applyFill="1" applyBorder="1" applyAlignment="1" applyProtection="1">
      <alignment horizontal="right" vertical="center"/>
    </xf>
    <xf numFmtId="3" fontId="6" fillId="2" borderId="2" xfId="4" applyNumberFormat="1" applyFont="1" applyFill="1" applyBorder="1" applyAlignment="1" applyProtection="1">
      <alignment horizontal="right" vertical="center"/>
    </xf>
    <xf numFmtId="3" fontId="8" fillId="2" borderId="12" xfId="4" applyNumberFormat="1" applyFont="1" applyFill="1" applyBorder="1" applyAlignment="1" applyProtection="1">
      <alignment horizontal="right" vertical="center"/>
    </xf>
    <xf numFmtId="3" fontId="8" fillId="2" borderId="13" xfId="4" applyNumberFormat="1" applyFont="1" applyFill="1" applyBorder="1" applyAlignment="1" applyProtection="1">
      <alignment horizontal="right" vertical="center"/>
    </xf>
    <xf numFmtId="3" fontId="6" fillId="2" borderId="13" xfId="4" applyNumberFormat="1" applyFont="1" applyFill="1" applyBorder="1" applyAlignment="1" applyProtection="1">
      <alignment horizontal="right" vertical="center"/>
    </xf>
    <xf numFmtId="3" fontId="6" fillId="2" borderId="13" xfId="4" applyNumberFormat="1" applyFont="1" applyFill="1" applyBorder="1" applyAlignment="1">
      <alignment horizontal="right" vertical="center"/>
    </xf>
    <xf numFmtId="3" fontId="6" fillId="2" borderId="14" xfId="4" applyNumberFormat="1" applyFont="1" applyFill="1" applyBorder="1" applyAlignment="1">
      <alignment horizontal="right" vertical="center"/>
    </xf>
    <xf numFmtId="3" fontId="6" fillId="2" borderId="9" xfId="4" applyNumberFormat="1" applyFont="1" applyFill="1" applyBorder="1" applyAlignment="1" applyProtection="1">
      <alignment horizontal="right" vertical="center"/>
    </xf>
    <xf numFmtId="165" fontId="12" fillId="2" borderId="0" xfId="4" applyFont="1" applyFill="1" applyAlignment="1">
      <alignment horizontal="center" vertical="center"/>
    </xf>
    <xf numFmtId="165" fontId="13" fillId="2" borderId="0" xfId="4" applyFont="1" applyFill="1" applyBorder="1" applyAlignment="1" applyProtection="1">
      <alignment horizontal="center" vertical="center"/>
    </xf>
    <xf numFmtId="165" fontId="8" fillId="2" borderId="1" xfId="4" applyFont="1" applyFill="1" applyBorder="1" applyAlignment="1" applyProtection="1">
      <alignment horizontal="center" vertical="center"/>
    </xf>
    <xf numFmtId="165" fontId="8" fillId="2" borderId="0" xfId="4" applyFont="1" applyFill="1" applyBorder="1" applyAlignment="1" applyProtection="1">
      <alignment horizontal="center" vertical="center"/>
    </xf>
    <xf numFmtId="165" fontId="8" fillId="2" borderId="2" xfId="4" applyFont="1" applyFill="1" applyBorder="1" applyAlignment="1" applyProtection="1">
      <alignment horizontal="center" vertical="center"/>
    </xf>
    <xf numFmtId="165" fontId="8" fillId="2" borderId="3" xfId="4" applyFont="1" applyFill="1" applyBorder="1" applyAlignment="1" applyProtection="1">
      <alignment horizontal="center" vertical="center"/>
    </xf>
    <xf numFmtId="165" fontId="8" fillId="2" borderId="11" xfId="4" applyFont="1" applyFill="1" applyBorder="1" applyAlignment="1" applyProtection="1">
      <alignment horizontal="center" vertical="center"/>
    </xf>
    <xf numFmtId="165" fontId="8" fillId="2" borderId="6" xfId="4" applyFont="1" applyFill="1" applyBorder="1" applyAlignment="1" applyProtection="1">
      <alignment horizontal="center" vertical="center"/>
    </xf>
    <xf numFmtId="0" fontId="4" fillId="2" borderId="3" xfId="6" applyFont="1" applyFill="1" applyBorder="1" applyAlignment="1">
      <alignment horizontal="center" vertical="center"/>
    </xf>
    <xf numFmtId="165" fontId="4" fillId="2" borderId="1" xfId="4" applyFont="1" applyFill="1" applyBorder="1" applyAlignment="1" applyProtection="1">
      <alignment horizontal="right" vertical="center"/>
    </xf>
    <xf numFmtId="165" fontId="4" fillId="2" borderId="2" xfId="4" applyFont="1" applyFill="1" applyBorder="1" applyAlignment="1" applyProtection="1">
      <alignment horizontal="right" vertical="center"/>
    </xf>
  </cellXfs>
  <cellStyles count="7">
    <cellStyle name="Comma 2" xfId="1"/>
    <cellStyle name="Normal" xfId="0" builtinId="0"/>
    <cellStyle name="Normal 2" xfId="5"/>
    <cellStyle name="Normal 3_agri planning 2009 year book(final)" xfId="3"/>
    <cellStyle name="Normal 4_agri planning 2009 year book(final)" xfId="2"/>
    <cellStyle name="Normal_9.16" xfId="6"/>
    <cellStyle name="Normal_Fish &amp;  Agri - 8" xfId="4"/>
  </cellStyles>
  <dxfs count="0"/>
  <tableStyles count="0" defaultTableStyle="TableStyleMedium9" defaultPivotStyle="PivotStyleLight16"/>
  <colors>
    <mruColors>
      <color rgb="FFFF3399"/>
      <color rgb="FFE8F5F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C000"/>
  </sheetPr>
  <dimension ref="A1:U34"/>
  <sheetViews>
    <sheetView tabSelected="1" zoomScaleNormal="100" workbookViewId="0">
      <selection activeCell="C43" sqref="C43"/>
    </sheetView>
  </sheetViews>
  <sheetFormatPr defaultColWidth="10" defaultRowHeight="12.75" x14ac:dyDescent="0.25"/>
  <cols>
    <col min="1" max="1" width="10" style="5"/>
    <col min="2" max="2" width="13.28515625" style="5" customWidth="1"/>
    <col min="3" max="3" width="11.5703125" style="6" customWidth="1"/>
    <col min="4" max="4" width="10" style="5"/>
    <col min="5" max="5" width="10" style="6"/>
    <col min="6" max="6" width="10" style="5"/>
    <col min="7" max="7" width="14.140625" style="5" customWidth="1"/>
    <col min="8" max="8" width="13.140625" style="5" customWidth="1"/>
    <col min="9" max="9" width="13.28515625" style="5" customWidth="1"/>
    <col min="10" max="10" width="10" style="6"/>
    <col min="11" max="11" width="13.28515625" style="6" customWidth="1"/>
    <col min="12" max="12" width="13.140625" style="5" customWidth="1"/>
    <col min="13" max="13" width="10" style="5"/>
    <col min="14" max="15" width="10" style="6"/>
    <col min="16" max="16" width="13.42578125" style="5" customWidth="1"/>
    <col min="17" max="17" width="12.28515625" style="5" customWidth="1"/>
    <col min="18" max="18" width="11.7109375" style="5" customWidth="1"/>
    <col min="19" max="19" width="15.42578125" style="5" customWidth="1"/>
    <col min="20" max="20" width="14.140625" style="5" customWidth="1"/>
    <col min="21" max="16384" width="10" style="5"/>
  </cols>
  <sheetData>
    <row r="1" spans="1:21" ht="21" x14ac:dyDescent="0.25">
      <c r="A1" s="69" t="s">
        <v>41</v>
      </c>
      <c r="B1" s="69"/>
      <c r="C1" s="69"/>
      <c r="D1" s="69"/>
      <c r="E1" s="69"/>
      <c r="F1" s="69"/>
      <c r="G1" s="69"/>
      <c r="H1" s="69"/>
      <c r="I1" s="69"/>
      <c r="J1" s="69"/>
      <c r="K1" s="69"/>
      <c r="L1" s="69"/>
      <c r="M1" s="69"/>
      <c r="N1" s="69"/>
      <c r="O1" s="69"/>
      <c r="P1" s="69"/>
      <c r="Q1" s="69"/>
      <c r="R1" s="69"/>
      <c r="S1" s="69"/>
      <c r="T1" s="69"/>
    </row>
    <row r="2" spans="1:21" s="2" customFormat="1" ht="15" x14ac:dyDescent="0.25">
      <c r="A2" s="70" t="s">
        <v>42</v>
      </c>
      <c r="B2" s="70"/>
      <c r="C2" s="70"/>
      <c r="D2" s="70"/>
      <c r="E2" s="70"/>
      <c r="F2" s="70"/>
      <c r="G2" s="70"/>
      <c r="H2" s="70"/>
      <c r="I2" s="70"/>
      <c r="J2" s="70"/>
      <c r="K2" s="70"/>
      <c r="L2" s="70"/>
      <c r="M2" s="70"/>
      <c r="N2" s="70"/>
      <c r="O2" s="70"/>
      <c r="P2" s="70"/>
      <c r="Q2" s="70"/>
      <c r="R2" s="70"/>
      <c r="S2" s="70"/>
      <c r="T2" s="70"/>
    </row>
    <row r="3" spans="1:21" s="19" customFormat="1" x14ac:dyDescent="0.25">
      <c r="A3" s="59"/>
      <c r="B3" s="60"/>
      <c r="C3" s="60"/>
      <c r="D3" s="60"/>
      <c r="E3" s="60"/>
      <c r="F3" s="60"/>
      <c r="G3" s="60"/>
      <c r="H3" s="60"/>
      <c r="I3" s="60"/>
      <c r="J3" s="60"/>
      <c r="K3" s="60"/>
      <c r="L3" s="60"/>
      <c r="M3" s="60"/>
      <c r="N3" s="60"/>
      <c r="O3" s="60"/>
      <c r="P3" s="60"/>
      <c r="Q3" s="60"/>
      <c r="R3" s="60"/>
      <c r="S3" s="60"/>
      <c r="T3" s="60"/>
    </row>
    <row r="4" spans="1:21" s="2" customFormat="1" x14ac:dyDescent="0.25">
      <c r="A4" s="71" t="s">
        <v>25</v>
      </c>
      <c r="B4" s="74" t="s">
        <v>32</v>
      </c>
      <c r="C4" s="74"/>
      <c r="D4" s="75" t="s">
        <v>33</v>
      </c>
      <c r="E4" s="76"/>
      <c r="F4" s="74" t="s">
        <v>34</v>
      </c>
      <c r="G4" s="74"/>
      <c r="H4" s="75" t="s">
        <v>32</v>
      </c>
      <c r="I4" s="74"/>
      <c r="J4" s="74"/>
      <c r="K4" s="76"/>
      <c r="L4" s="75" t="s">
        <v>33</v>
      </c>
      <c r="M4" s="74"/>
      <c r="N4" s="74"/>
      <c r="O4" s="76"/>
      <c r="P4" s="75" t="s">
        <v>34</v>
      </c>
      <c r="Q4" s="74"/>
      <c r="R4" s="76"/>
      <c r="S4" s="77" t="s">
        <v>26</v>
      </c>
      <c r="T4" s="77"/>
      <c r="U4" s="20"/>
    </row>
    <row r="5" spans="1:21" s="2" customFormat="1" x14ac:dyDescent="0.25">
      <c r="A5" s="72"/>
      <c r="B5" s="21" t="s">
        <v>27</v>
      </c>
      <c r="C5" s="21" t="s">
        <v>28</v>
      </c>
      <c r="D5" s="22" t="s">
        <v>27</v>
      </c>
      <c r="E5" s="23" t="s">
        <v>28</v>
      </c>
      <c r="F5" s="21" t="s">
        <v>27</v>
      </c>
      <c r="G5" s="21" t="s">
        <v>28</v>
      </c>
      <c r="H5" s="22" t="s">
        <v>27</v>
      </c>
      <c r="I5" s="21" t="s">
        <v>28</v>
      </c>
      <c r="J5" s="21" t="s">
        <v>29</v>
      </c>
      <c r="K5" s="23" t="s">
        <v>35</v>
      </c>
      <c r="L5" s="21" t="s">
        <v>27</v>
      </c>
      <c r="M5" s="21" t="s">
        <v>28</v>
      </c>
      <c r="N5" s="21" t="s">
        <v>29</v>
      </c>
      <c r="O5" s="21" t="s">
        <v>35</v>
      </c>
      <c r="P5" s="22" t="s">
        <v>27</v>
      </c>
      <c r="Q5" s="21" t="s">
        <v>28</v>
      </c>
      <c r="R5" s="23" t="s">
        <v>29</v>
      </c>
      <c r="S5" s="7" t="s">
        <v>36</v>
      </c>
      <c r="T5" s="78" t="s">
        <v>33</v>
      </c>
      <c r="U5" s="24"/>
    </row>
    <row r="6" spans="1:21" s="2" customFormat="1" x14ac:dyDescent="0.25">
      <c r="A6" s="73"/>
      <c r="B6" s="16" t="s">
        <v>37</v>
      </c>
      <c r="C6" s="16" t="s">
        <v>37</v>
      </c>
      <c r="D6" s="22" t="s">
        <v>37</v>
      </c>
      <c r="E6" s="23" t="s">
        <v>37</v>
      </c>
      <c r="F6" s="16" t="s">
        <v>37</v>
      </c>
      <c r="G6" s="16" t="s">
        <v>40</v>
      </c>
      <c r="H6" s="25" t="s">
        <v>30</v>
      </c>
      <c r="I6" s="21" t="s">
        <v>30</v>
      </c>
      <c r="J6" s="16" t="s">
        <v>31</v>
      </c>
      <c r="K6" s="26"/>
      <c r="L6" s="16" t="s">
        <v>30</v>
      </c>
      <c r="M6" s="16" t="s">
        <v>30</v>
      </c>
      <c r="N6" s="16" t="s">
        <v>31</v>
      </c>
      <c r="O6" s="16"/>
      <c r="P6" s="25" t="s">
        <v>30</v>
      </c>
      <c r="Q6" s="16" t="s">
        <v>30</v>
      </c>
      <c r="R6" s="26" t="s">
        <v>31</v>
      </c>
      <c r="S6" s="8" t="s">
        <v>38</v>
      </c>
      <c r="T6" s="79"/>
      <c r="U6" s="19"/>
    </row>
    <row r="7" spans="1:21" s="3" customFormat="1" x14ac:dyDescent="0.25">
      <c r="A7" s="27" t="s">
        <v>21</v>
      </c>
      <c r="B7" s="28">
        <f>B8+B9+B10</f>
        <v>125719.12905590377</v>
      </c>
      <c r="C7" s="28">
        <f>C8+C9+C10</f>
        <v>0</v>
      </c>
      <c r="D7" s="29">
        <f t="shared" ref="D7:O7" si="0">D8+D9+D10</f>
        <v>67993</v>
      </c>
      <c r="E7" s="30">
        <f t="shared" si="0"/>
        <v>0</v>
      </c>
      <c r="F7" s="10">
        <f>F8+F9+F10</f>
        <v>4.1688793895844167</v>
      </c>
      <c r="G7" s="28">
        <f>G8+G9+G10</f>
        <v>0</v>
      </c>
      <c r="H7" s="31">
        <f>H8+H9+H10</f>
        <v>314.21733520246329</v>
      </c>
      <c r="I7" s="9">
        <f t="shared" si="0"/>
        <v>0</v>
      </c>
      <c r="J7" s="28">
        <f t="shared" si="0"/>
        <v>525.64269030207379</v>
      </c>
      <c r="K7" s="30">
        <f t="shared" si="0"/>
        <v>2123.2380000000007</v>
      </c>
      <c r="L7" s="28">
        <f>L8+L9+L10</f>
        <v>707</v>
      </c>
      <c r="M7" s="28">
        <f t="shared" si="0"/>
        <v>0</v>
      </c>
      <c r="N7" s="9">
        <f t="shared" si="0"/>
        <v>544</v>
      </c>
      <c r="O7" s="9">
        <f t="shared" si="0"/>
        <v>3174</v>
      </c>
      <c r="P7" s="32">
        <f>P8+P9+P10</f>
        <v>7.8133780735105844</v>
      </c>
      <c r="Q7" s="9">
        <f t="shared" ref="Q7:R7" si="1">Q8+Q9+Q10</f>
        <v>0</v>
      </c>
      <c r="R7" s="58">
        <f t="shared" si="1"/>
        <v>10.925171733678454</v>
      </c>
      <c r="S7" s="63">
        <f>S9+S8+S10</f>
        <v>0.99991859193443555</v>
      </c>
      <c r="T7" s="9">
        <f>T9+T8+T10</f>
        <v>0</v>
      </c>
      <c r="U7" s="33"/>
    </row>
    <row r="8" spans="1:21" s="3" customFormat="1" x14ac:dyDescent="0.25">
      <c r="A8" s="27" t="s">
        <v>22</v>
      </c>
      <c r="B8" s="17">
        <v>16969.001144648704</v>
      </c>
      <c r="C8" s="17">
        <v>0</v>
      </c>
      <c r="D8" s="34">
        <v>7123</v>
      </c>
      <c r="E8" s="35">
        <v>0</v>
      </c>
      <c r="F8" s="10">
        <f>B8/D8</f>
        <v>2.3822829067315321</v>
      </c>
      <c r="G8" s="28">
        <v>0</v>
      </c>
      <c r="H8" s="34">
        <v>18.038112121465602</v>
      </c>
      <c r="I8" s="17">
        <v>0</v>
      </c>
      <c r="J8" s="17">
        <v>216.22391660102539</v>
      </c>
      <c r="K8" s="35">
        <v>0</v>
      </c>
      <c r="L8" s="17">
        <v>10</v>
      </c>
      <c r="M8" s="17">
        <v>0</v>
      </c>
      <c r="N8" s="17">
        <v>62</v>
      </c>
      <c r="O8" s="17">
        <v>0</v>
      </c>
      <c r="P8" s="39">
        <f>H8/L8</f>
        <v>1.8038112121465602</v>
      </c>
      <c r="Q8" s="28">
        <v>0</v>
      </c>
      <c r="R8" s="10">
        <f>J8/N8</f>
        <v>3.48748252582299</v>
      </c>
      <c r="S8" s="64">
        <v>0</v>
      </c>
      <c r="T8" s="28">
        <v>0</v>
      </c>
      <c r="U8" s="33"/>
    </row>
    <row r="9" spans="1:21" s="3" customFormat="1" x14ac:dyDescent="0.25">
      <c r="A9" s="27" t="s">
        <v>23</v>
      </c>
      <c r="B9" s="28">
        <f>SUM(B11:B30)</f>
        <v>108750.12791125507</v>
      </c>
      <c r="C9" s="28">
        <f>SUM(C11:C30)</f>
        <v>0</v>
      </c>
      <c r="D9" s="31">
        <f>SUM(D11:D30)</f>
        <v>60870</v>
      </c>
      <c r="E9" s="38">
        <f>SUM(E11:E30)</f>
        <v>0</v>
      </c>
      <c r="F9" s="10">
        <f>B9/D9</f>
        <v>1.7865964828528844</v>
      </c>
      <c r="G9" s="28">
        <f t="shared" ref="G9:J9" si="2">SUM(G11:G30)</f>
        <v>0</v>
      </c>
      <c r="H9" s="31">
        <f t="shared" si="2"/>
        <v>296.1792230809977</v>
      </c>
      <c r="I9" s="28">
        <f t="shared" si="2"/>
        <v>0</v>
      </c>
      <c r="J9" s="28">
        <f t="shared" si="2"/>
        <v>309.41877370104845</v>
      </c>
      <c r="K9" s="38">
        <v>0</v>
      </c>
      <c r="L9" s="28">
        <f>SUM(L11:L30)</f>
        <v>697</v>
      </c>
      <c r="M9" s="28">
        <f>SUM(M11:M30)</f>
        <v>0</v>
      </c>
      <c r="N9" s="28">
        <f>SUM(N11:N30)</f>
        <v>482</v>
      </c>
      <c r="O9" s="28">
        <v>0</v>
      </c>
      <c r="P9" s="39">
        <f>SUM(P11:P30)</f>
        <v>6.0095668613640241</v>
      </c>
      <c r="Q9" s="28">
        <f t="shared" ref="Q9:R9" si="3">SUM(Q11:Q30)</f>
        <v>0</v>
      </c>
      <c r="R9" s="10">
        <f t="shared" si="3"/>
        <v>7.4376892078554633</v>
      </c>
      <c r="S9" s="64">
        <f>SUM(S11:S30)</f>
        <v>0.99991859193443555</v>
      </c>
      <c r="T9" s="28">
        <f>SUM(T11:T30)</f>
        <v>0</v>
      </c>
      <c r="U9" s="33"/>
    </row>
    <row r="10" spans="1:21" s="3" customFormat="1" x14ac:dyDescent="0.25">
      <c r="A10" s="27" t="s">
        <v>24</v>
      </c>
      <c r="B10" s="28">
        <v>0</v>
      </c>
      <c r="C10" s="28">
        <v>0</v>
      </c>
      <c r="D10" s="31">
        <v>0</v>
      </c>
      <c r="E10" s="38">
        <v>0</v>
      </c>
      <c r="F10" s="10">
        <v>0</v>
      </c>
      <c r="G10" s="28">
        <v>0</v>
      </c>
      <c r="H10" s="31">
        <v>0</v>
      </c>
      <c r="I10" s="28">
        <v>0</v>
      </c>
      <c r="J10" s="28">
        <v>0</v>
      </c>
      <c r="K10" s="38">
        <v>2123.2380000000007</v>
      </c>
      <c r="L10" s="28">
        <v>0</v>
      </c>
      <c r="M10" s="28">
        <v>0</v>
      </c>
      <c r="N10" s="28">
        <v>0</v>
      </c>
      <c r="O10" s="38">
        <v>3174</v>
      </c>
      <c r="P10" s="39">
        <v>0</v>
      </c>
      <c r="Q10" s="28">
        <v>0</v>
      </c>
      <c r="R10" s="10">
        <v>0</v>
      </c>
      <c r="S10" s="64">
        <v>0</v>
      </c>
      <c r="T10" s="28">
        <v>0</v>
      </c>
      <c r="U10" s="33"/>
    </row>
    <row r="11" spans="1:21" s="3" customFormat="1" x14ac:dyDescent="0.25">
      <c r="A11" s="40" t="s">
        <v>1</v>
      </c>
      <c r="B11" s="41">
        <v>3612.2603800417314</v>
      </c>
      <c r="C11" s="41">
        <v>0</v>
      </c>
      <c r="D11" s="42">
        <v>4319</v>
      </c>
      <c r="E11" s="36">
        <v>0</v>
      </c>
      <c r="F11" s="14">
        <f>B11/D11</f>
        <v>0.83636498727523301</v>
      </c>
      <c r="G11" s="61">
        <v>0</v>
      </c>
      <c r="H11" s="42">
        <v>0</v>
      </c>
      <c r="I11" s="41">
        <v>0</v>
      </c>
      <c r="J11" s="41">
        <v>0</v>
      </c>
      <c r="K11" s="36">
        <v>0</v>
      </c>
      <c r="L11" s="41">
        <v>0</v>
      </c>
      <c r="M11" s="41">
        <v>0</v>
      </c>
      <c r="N11" s="41">
        <v>0</v>
      </c>
      <c r="O11" s="36">
        <v>0</v>
      </c>
      <c r="P11" s="37">
        <v>0</v>
      </c>
      <c r="Q11" s="61">
        <v>0</v>
      </c>
      <c r="R11" s="14">
        <v>0</v>
      </c>
      <c r="S11" s="65">
        <v>0</v>
      </c>
      <c r="T11" s="61">
        <v>0</v>
      </c>
      <c r="U11" s="33"/>
    </row>
    <row r="12" spans="1:21" s="3" customFormat="1" x14ac:dyDescent="0.25">
      <c r="A12" s="40" t="s">
        <v>2</v>
      </c>
      <c r="B12" s="41">
        <v>2979.943146041302</v>
      </c>
      <c r="C12" s="41">
        <v>0</v>
      </c>
      <c r="D12" s="42">
        <v>2508</v>
      </c>
      <c r="E12" s="36">
        <v>0</v>
      </c>
      <c r="F12" s="14">
        <f t="shared" ref="F12:F29" si="4">B12/D12</f>
        <v>1.1881750981025925</v>
      </c>
      <c r="G12" s="61">
        <v>0</v>
      </c>
      <c r="H12" s="42">
        <v>6.1714027441032702</v>
      </c>
      <c r="I12" s="41">
        <v>0</v>
      </c>
      <c r="J12" s="41">
        <v>0</v>
      </c>
      <c r="K12" s="36">
        <v>0</v>
      </c>
      <c r="L12" s="41">
        <v>40</v>
      </c>
      <c r="M12" s="41">
        <v>0</v>
      </c>
      <c r="N12" s="41">
        <v>0</v>
      </c>
      <c r="O12" s="36">
        <v>0</v>
      </c>
      <c r="P12" s="37">
        <f t="shared" ref="P12:P30" si="5">H12/L12</f>
        <v>0.15428506860258176</v>
      </c>
      <c r="Q12" s="61">
        <v>0</v>
      </c>
      <c r="R12" s="14">
        <v>0</v>
      </c>
      <c r="S12" s="65">
        <v>0</v>
      </c>
      <c r="T12" s="61">
        <v>0</v>
      </c>
      <c r="U12" s="33"/>
    </row>
    <row r="13" spans="1:21" s="3" customFormat="1" x14ac:dyDescent="0.25">
      <c r="A13" s="40" t="s">
        <v>3</v>
      </c>
      <c r="B13" s="41">
        <v>1921.8490763167119</v>
      </c>
      <c r="C13" s="41">
        <v>0</v>
      </c>
      <c r="D13" s="42">
        <v>1998</v>
      </c>
      <c r="E13" s="36">
        <v>0</v>
      </c>
      <c r="F13" s="14">
        <f t="shared" si="4"/>
        <v>0.96188642458293894</v>
      </c>
      <c r="G13" s="61">
        <v>0</v>
      </c>
      <c r="H13" s="42">
        <v>180.04981496122861</v>
      </c>
      <c r="I13" s="41">
        <v>0</v>
      </c>
      <c r="J13" s="41">
        <v>0</v>
      </c>
      <c r="K13" s="36">
        <v>0</v>
      </c>
      <c r="L13" s="41">
        <v>158</v>
      </c>
      <c r="M13" s="41">
        <v>0</v>
      </c>
      <c r="N13" s="41">
        <v>0</v>
      </c>
      <c r="O13" s="36">
        <v>0</v>
      </c>
      <c r="P13" s="37">
        <f t="shared" si="5"/>
        <v>1.1395557908938518</v>
      </c>
      <c r="Q13" s="61">
        <v>0</v>
      </c>
      <c r="R13" s="14">
        <v>0</v>
      </c>
      <c r="S13" s="65">
        <v>0</v>
      </c>
      <c r="T13" s="61">
        <v>0</v>
      </c>
      <c r="U13" s="33"/>
    </row>
    <row r="14" spans="1:21" s="3" customFormat="1" x14ac:dyDescent="0.25">
      <c r="A14" s="40" t="s">
        <v>4</v>
      </c>
      <c r="B14" s="41">
        <v>1427.0911048945413</v>
      </c>
      <c r="C14" s="41">
        <v>0</v>
      </c>
      <c r="D14" s="42">
        <v>659</v>
      </c>
      <c r="E14" s="36">
        <v>0</v>
      </c>
      <c r="F14" s="14">
        <f t="shared" si="4"/>
        <v>2.1655403716153891</v>
      </c>
      <c r="G14" s="61">
        <v>0</v>
      </c>
      <c r="H14" s="42">
        <v>0</v>
      </c>
      <c r="I14" s="41">
        <v>0</v>
      </c>
      <c r="J14" s="41">
        <v>29.757899261586399</v>
      </c>
      <c r="K14" s="36">
        <v>0</v>
      </c>
      <c r="L14" s="41">
        <v>0</v>
      </c>
      <c r="M14" s="41">
        <v>0</v>
      </c>
      <c r="N14" s="41">
        <v>8</v>
      </c>
      <c r="O14" s="36">
        <v>0</v>
      </c>
      <c r="P14" s="37">
        <v>0</v>
      </c>
      <c r="Q14" s="61">
        <v>0</v>
      </c>
      <c r="R14" s="37">
        <f>J14/N14</f>
        <v>3.7197374076982999</v>
      </c>
      <c r="S14" s="65">
        <v>0</v>
      </c>
      <c r="T14" s="61">
        <v>0</v>
      </c>
      <c r="U14" s="33"/>
    </row>
    <row r="15" spans="1:21" s="3" customFormat="1" x14ac:dyDescent="0.25">
      <c r="A15" s="40" t="s">
        <v>5</v>
      </c>
      <c r="B15" s="41">
        <v>5410.5618403574308</v>
      </c>
      <c r="C15" s="41">
        <v>0</v>
      </c>
      <c r="D15" s="42">
        <v>4012</v>
      </c>
      <c r="E15" s="36">
        <v>0</v>
      </c>
      <c r="F15" s="14">
        <f t="shared" si="4"/>
        <v>1.3485946760611742</v>
      </c>
      <c r="G15" s="61">
        <v>0</v>
      </c>
      <c r="H15" s="42">
        <v>0.69775075887121629</v>
      </c>
      <c r="I15" s="41">
        <v>0</v>
      </c>
      <c r="J15" s="41">
        <v>0</v>
      </c>
      <c r="K15" s="36">
        <v>0</v>
      </c>
      <c r="L15" s="41">
        <v>127</v>
      </c>
      <c r="M15" s="41">
        <v>0</v>
      </c>
      <c r="N15" s="41">
        <v>0</v>
      </c>
      <c r="O15" s="36">
        <v>0</v>
      </c>
      <c r="P15" s="37">
        <f>H15/L15</f>
        <v>5.4941004635528845E-3</v>
      </c>
      <c r="Q15" s="61">
        <v>0</v>
      </c>
      <c r="R15" s="14">
        <v>0</v>
      </c>
      <c r="S15" s="65">
        <v>0.99991859193443555</v>
      </c>
      <c r="T15" s="61">
        <v>0</v>
      </c>
      <c r="U15" s="33"/>
    </row>
    <row r="16" spans="1:21" s="3" customFormat="1" x14ac:dyDescent="0.25">
      <c r="A16" s="40" t="s">
        <v>6</v>
      </c>
      <c r="B16" s="41">
        <v>3231.2464424738519</v>
      </c>
      <c r="C16" s="41">
        <v>0</v>
      </c>
      <c r="D16" s="42">
        <v>2556</v>
      </c>
      <c r="E16" s="36">
        <v>0</v>
      </c>
      <c r="F16" s="14">
        <f t="shared" si="4"/>
        <v>1.2641809242855446</v>
      </c>
      <c r="G16" s="61">
        <v>0</v>
      </c>
      <c r="H16" s="42">
        <v>5.1445172466893307</v>
      </c>
      <c r="I16" s="41">
        <v>0</v>
      </c>
      <c r="J16" s="41">
        <v>17.846820139644525</v>
      </c>
      <c r="K16" s="36">
        <v>0</v>
      </c>
      <c r="L16" s="41">
        <v>98</v>
      </c>
      <c r="M16" s="41">
        <v>0</v>
      </c>
      <c r="N16" s="41">
        <v>19</v>
      </c>
      <c r="O16" s="36">
        <v>0</v>
      </c>
      <c r="P16" s="37">
        <f t="shared" si="5"/>
        <v>5.2495073945809496E-2</v>
      </c>
      <c r="Q16" s="61">
        <v>0</v>
      </c>
      <c r="R16" s="14">
        <f>J16/N16</f>
        <v>0.9393063231391855</v>
      </c>
      <c r="S16" s="66">
        <v>0</v>
      </c>
      <c r="T16" s="61">
        <v>0</v>
      </c>
      <c r="U16" s="33"/>
    </row>
    <row r="17" spans="1:21" s="3" customFormat="1" x14ac:dyDescent="0.25">
      <c r="A17" s="40" t="s">
        <v>7</v>
      </c>
      <c r="B17" s="41">
        <v>6563.5837207718087</v>
      </c>
      <c r="C17" s="41">
        <v>0</v>
      </c>
      <c r="D17" s="42">
        <v>3276</v>
      </c>
      <c r="E17" s="36">
        <v>0</v>
      </c>
      <c r="F17" s="14">
        <f t="shared" si="4"/>
        <v>2.0035359343015289</v>
      </c>
      <c r="G17" s="61">
        <v>0</v>
      </c>
      <c r="H17" s="42">
        <v>0</v>
      </c>
      <c r="I17" s="41">
        <v>0</v>
      </c>
      <c r="J17" s="41">
        <v>0</v>
      </c>
      <c r="K17" s="36">
        <v>0</v>
      </c>
      <c r="L17" s="41">
        <v>0</v>
      </c>
      <c r="M17" s="41">
        <v>0</v>
      </c>
      <c r="N17" s="41">
        <v>0</v>
      </c>
      <c r="O17" s="36">
        <v>0</v>
      </c>
      <c r="P17" s="37">
        <v>0</v>
      </c>
      <c r="Q17" s="61">
        <v>0</v>
      </c>
      <c r="R17" s="14">
        <v>0</v>
      </c>
      <c r="S17" s="66">
        <v>0</v>
      </c>
      <c r="T17" s="61">
        <v>0</v>
      </c>
      <c r="U17" s="33"/>
    </row>
    <row r="18" spans="1:21" s="3" customFormat="1" x14ac:dyDescent="0.25">
      <c r="A18" s="40" t="s">
        <v>8</v>
      </c>
      <c r="B18" s="41">
        <v>3220.2314659045646</v>
      </c>
      <c r="C18" s="41">
        <v>0</v>
      </c>
      <c r="D18" s="42">
        <v>1810</v>
      </c>
      <c r="E18" s="36">
        <v>0</v>
      </c>
      <c r="F18" s="14">
        <f t="shared" si="4"/>
        <v>1.7791334065771076</v>
      </c>
      <c r="G18" s="61">
        <v>0</v>
      </c>
      <c r="H18" s="42">
        <v>56.947109716444807</v>
      </c>
      <c r="I18" s="41">
        <v>0</v>
      </c>
      <c r="J18" s="41">
        <v>0</v>
      </c>
      <c r="K18" s="36">
        <v>0</v>
      </c>
      <c r="L18" s="41">
        <v>17</v>
      </c>
      <c r="M18" s="41">
        <v>0</v>
      </c>
      <c r="N18" s="41">
        <v>0</v>
      </c>
      <c r="O18" s="36">
        <v>0</v>
      </c>
      <c r="P18" s="37">
        <f t="shared" si="5"/>
        <v>3.3498299833202827</v>
      </c>
      <c r="Q18" s="61">
        <v>0</v>
      </c>
      <c r="R18" s="14">
        <v>0</v>
      </c>
      <c r="S18" s="66">
        <v>0</v>
      </c>
      <c r="T18" s="61">
        <v>0</v>
      </c>
      <c r="U18" s="33"/>
    </row>
    <row r="19" spans="1:21" s="3" customFormat="1" x14ac:dyDescent="0.25">
      <c r="A19" s="40" t="s">
        <v>9</v>
      </c>
      <c r="B19" s="41">
        <v>2686.8825685070638</v>
      </c>
      <c r="C19" s="41">
        <v>0</v>
      </c>
      <c r="D19" s="42">
        <v>1595</v>
      </c>
      <c r="E19" s="36">
        <v>0</v>
      </c>
      <c r="F19" s="14">
        <f t="shared" si="4"/>
        <v>1.6845658736721403</v>
      </c>
      <c r="G19" s="61">
        <v>0</v>
      </c>
      <c r="H19" s="42">
        <v>0</v>
      </c>
      <c r="I19" s="41">
        <v>0</v>
      </c>
      <c r="J19" s="41">
        <v>0</v>
      </c>
      <c r="K19" s="36">
        <v>0</v>
      </c>
      <c r="L19" s="41">
        <v>0</v>
      </c>
      <c r="M19" s="41">
        <v>0</v>
      </c>
      <c r="N19" s="41">
        <v>0</v>
      </c>
      <c r="O19" s="36">
        <v>0</v>
      </c>
      <c r="P19" s="37">
        <v>0</v>
      </c>
      <c r="Q19" s="61">
        <v>0</v>
      </c>
      <c r="R19" s="14">
        <v>0</v>
      </c>
      <c r="S19" s="66">
        <v>0</v>
      </c>
      <c r="T19" s="61">
        <v>0</v>
      </c>
      <c r="U19" s="33"/>
    </row>
    <row r="20" spans="1:21" s="3" customFormat="1" x14ac:dyDescent="0.25">
      <c r="A20" s="40" t="s">
        <v>10</v>
      </c>
      <c r="B20" s="41">
        <v>4824.1734710671608</v>
      </c>
      <c r="C20" s="41">
        <v>0</v>
      </c>
      <c r="D20" s="42">
        <v>5583</v>
      </c>
      <c r="E20" s="36">
        <v>0</v>
      </c>
      <c r="F20" s="14">
        <f t="shared" si="4"/>
        <v>0.8640826564691314</v>
      </c>
      <c r="G20" s="61">
        <v>0</v>
      </c>
      <c r="H20" s="42">
        <v>32.270054060392951</v>
      </c>
      <c r="I20" s="41">
        <v>0</v>
      </c>
      <c r="J20" s="41">
        <v>0</v>
      </c>
      <c r="K20" s="36">
        <v>0</v>
      </c>
      <c r="L20" s="41">
        <v>33</v>
      </c>
      <c r="M20" s="41">
        <v>0</v>
      </c>
      <c r="N20" s="41">
        <v>0</v>
      </c>
      <c r="O20" s="36">
        <v>0</v>
      </c>
      <c r="P20" s="37">
        <f t="shared" si="5"/>
        <v>0.97788042607251369</v>
      </c>
      <c r="Q20" s="61">
        <v>0</v>
      </c>
      <c r="R20" s="14">
        <v>0</v>
      </c>
      <c r="S20" s="66">
        <v>0</v>
      </c>
      <c r="T20" s="61">
        <v>0</v>
      </c>
      <c r="U20" s="33"/>
    </row>
    <row r="21" spans="1:21" s="3" customFormat="1" x14ac:dyDescent="0.25">
      <c r="A21" s="40" t="s">
        <v>11</v>
      </c>
      <c r="B21" s="41">
        <v>774.20122068705825</v>
      </c>
      <c r="C21" s="41">
        <v>0</v>
      </c>
      <c r="D21" s="42">
        <v>1128</v>
      </c>
      <c r="E21" s="36">
        <v>0</v>
      </c>
      <c r="F21" s="14">
        <f t="shared" si="4"/>
        <v>0.68634859989987429</v>
      </c>
      <c r="G21" s="61">
        <v>0</v>
      </c>
      <c r="H21" s="42">
        <v>4.0522505967269868</v>
      </c>
      <c r="I21" s="41">
        <v>0</v>
      </c>
      <c r="J21" s="41">
        <v>0</v>
      </c>
      <c r="K21" s="36">
        <v>0</v>
      </c>
      <c r="L21" s="41">
        <v>96</v>
      </c>
      <c r="M21" s="41">
        <v>0</v>
      </c>
      <c r="N21" s="41">
        <v>0</v>
      </c>
      <c r="O21" s="36">
        <v>0</v>
      </c>
      <c r="P21" s="37">
        <f>H21/L21</f>
        <v>4.2210943715906113E-2</v>
      </c>
      <c r="Q21" s="61">
        <v>0</v>
      </c>
      <c r="R21" s="14">
        <v>0</v>
      </c>
      <c r="S21" s="66">
        <v>0</v>
      </c>
      <c r="T21" s="61">
        <v>0</v>
      </c>
      <c r="U21" s="33"/>
    </row>
    <row r="22" spans="1:21" s="43" customFormat="1" x14ac:dyDescent="0.25">
      <c r="A22" s="40" t="s">
        <v>12</v>
      </c>
      <c r="B22" s="41">
        <v>3617.0414694011301</v>
      </c>
      <c r="C22" s="41">
        <v>0</v>
      </c>
      <c r="D22" s="42">
        <v>2603</v>
      </c>
      <c r="E22" s="36">
        <v>0</v>
      </c>
      <c r="F22" s="14">
        <f t="shared" si="4"/>
        <v>1.3895664500196427</v>
      </c>
      <c r="G22" s="61">
        <v>0</v>
      </c>
      <c r="H22" s="42">
        <v>0</v>
      </c>
      <c r="I22" s="41">
        <v>0</v>
      </c>
      <c r="J22" s="41">
        <v>0</v>
      </c>
      <c r="K22" s="36">
        <v>0</v>
      </c>
      <c r="L22" s="41">
        <v>0</v>
      </c>
      <c r="M22" s="41">
        <v>0</v>
      </c>
      <c r="N22" s="41">
        <v>0</v>
      </c>
      <c r="O22" s="36">
        <v>0</v>
      </c>
      <c r="P22" s="37">
        <v>0</v>
      </c>
      <c r="Q22" s="61">
        <v>0</v>
      </c>
      <c r="R22" s="14">
        <v>0</v>
      </c>
      <c r="S22" s="66">
        <v>0</v>
      </c>
      <c r="T22" s="61">
        <v>0</v>
      </c>
      <c r="U22" s="33"/>
    </row>
    <row r="23" spans="1:21" s="43" customFormat="1" x14ac:dyDescent="0.25">
      <c r="A23" s="40" t="s">
        <v>13</v>
      </c>
      <c r="B23" s="41">
        <v>2855.8977392270021</v>
      </c>
      <c r="C23" s="41">
        <v>0</v>
      </c>
      <c r="D23" s="42">
        <v>3507</v>
      </c>
      <c r="E23" s="36">
        <v>0</v>
      </c>
      <c r="F23" s="14">
        <f t="shared" si="4"/>
        <v>0.81434209843940752</v>
      </c>
      <c r="G23" s="61">
        <v>0</v>
      </c>
      <c r="H23" s="42">
        <v>0</v>
      </c>
      <c r="I23" s="41">
        <v>0</v>
      </c>
      <c r="J23" s="41">
        <v>0</v>
      </c>
      <c r="K23" s="36">
        <v>0</v>
      </c>
      <c r="L23" s="41">
        <v>0</v>
      </c>
      <c r="M23" s="41">
        <v>0</v>
      </c>
      <c r="N23" s="41">
        <v>0</v>
      </c>
      <c r="O23" s="36">
        <v>0</v>
      </c>
      <c r="P23" s="37">
        <v>0</v>
      </c>
      <c r="Q23" s="61">
        <v>0</v>
      </c>
      <c r="R23" s="14">
        <v>0</v>
      </c>
      <c r="S23" s="66">
        <v>0</v>
      </c>
      <c r="T23" s="61">
        <v>0</v>
      </c>
      <c r="U23" s="33"/>
    </row>
    <row r="24" spans="1:21" s="43" customFormat="1" x14ac:dyDescent="0.25">
      <c r="A24" s="40" t="s">
        <v>14</v>
      </c>
      <c r="B24" s="41">
        <v>5558.4618312959783</v>
      </c>
      <c r="C24" s="41">
        <v>0</v>
      </c>
      <c r="D24" s="42">
        <v>3702</v>
      </c>
      <c r="E24" s="36">
        <v>0</v>
      </c>
      <c r="F24" s="14">
        <f t="shared" si="4"/>
        <v>1.50147537312155</v>
      </c>
      <c r="G24" s="61">
        <v>0</v>
      </c>
      <c r="H24" s="42">
        <v>0</v>
      </c>
      <c r="I24" s="41">
        <v>0</v>
      </c>
      <c r="J24" s="41">
        <v>0</v>
      </c>
      <c r="K24" s="36">
        <v>0</v>
      </c>
      <c r="L24" s="41">
        <v>0</v>
      </c>
      <c r="M24" s="41">
        <v>0</v>
      </c>
      <c r="N24" s="41">
        <v>0</v>
      </c>
      <c r="O24" s="36">
        <v>0</v>
      </c>
      <c r="P24" s="37">
        <v>0</v>
      </c>
      <c r="Q24" s="61">
        <v>0</v>
      </c>
      <c r="R24" s="14">
        <v>0</v>
      </c>
      <c r="S24" s="66">
        <v>0</v>
      </c>
      <c r="T24" s="61">
        <v>0</v>
      </c>
      <c r="U24" s="33"/>
    </row>
    <row r="25" spans="1:21" s="43" customFormat="1" x14ac:dyDescent="0.25">
      <c r="A25" s="40" t="s">
        <v>15</v>
      </c>
      <c r="B25" s="41">
        <v>3788.7502793250005</v>
      </c>
      <c r="C25" s="41">
        <v>0</v>
      </c>
      <c r="D25" s="42">
        <v>1432</v>
      </c>
      <c r="E25" s="36">
        <v>0</v>
      </c>
      <c r="F25" s="14">
        <f t="shared" si="4"/>
        <v>2.6457753347241622</v>
      </c>
      <c r="G25" s="61">
        <v>0</v>
      </c>
      <c r="H25" s="42">
        <v>0</v>
      </c>
      <c r="I25" s="41">
        <v>0</v>
      </c>
      <c r="J25" s="41">
        <v>43.356869674939531</v>
      </c>
      <c r="K25" s="36">
        <v>0</v>
      </c>
      <c r="L25" s="41">
        <v>0</v>
      </c>
      <c r="M25" s="41">
        <v>0</v>
      </c>
      <c r="N25" s="41">
        <v>251</v>
      </c>
      <c r="O25" s="36">
        <v>0</v>
      </c>
      <c r="P25" s="37">
        <v>0</v>
      </c>
      <c r="Q25" s="61">
        <v>0</v>
      </c>
      <c r="R25" s="14">
        <f>J25/N25</f>
        <v>0.17273653256948021</v>
      </c>
      <c r="S25" s="66">
        <v>0</v>
      </c>
      <c r="T25" s="61">
        <v>0</v>
      </c>
      <c r="U25" s="33"/>
    </row>
    <row r="26" spans="1:21" s="43" customFormat="1" x14ac:dyDescent="0.25">
      <c r="A26" s="40" t="s">
        <v>16</v>
      </c>
      <c r="B26" s="41">
        <v>14473.799846474703</v>
      </c>
      <c r="C26" s="41">
        <v>0</v>
      </c>
      <c r="D26" s="42">
        <v>5447</v>
      </c>
      <c r="E26" s="36">
        <v>0</v>
      </c>
      <c r="F26" s="14">
        <f t="shared" si="4"/>
        <v>2.6572057731732519</v>
      </c>
      <c r="G26" s="61">
        <v>0</v>
      </c>
      <c r="H26" s="42">
        <v>0</v>
      </c>
      <c r="I26" s="41">
        <v>0</v>
      </c>
      <c r="J26" s="41">
        <v>196.84854426012524</v>
      </c>
      <c r="K26" s="36">
        <v>0</v>
      </c>
      <c r="L26" s="41">
        <v>0</v>
      </c>
      <c r="M26" s="41">
        <v>0</v>
      </c>
      <c r="N26" s="41">
        <v>81</v>
      </c>
      <c r="O26" s="36">
        <v>0</v>
      </c>
      <c r="P26" s="37">
        <v>0</v>
      </c>
      <c r="Q26" s="61">
        <v>0</v>
      </c>
      <c r="R26" s="14">
        <f>J26/N26</f>
        <v>2.4302289414830276</v>
      </c>
      <c r="S26" s="66">
        <v>0</v>
      </c>
      <c r="T26" s="61">
        <v>0</v>
      </c>
      <c r="U26" s="33"/>
    </row>
    <row r="27" spans="1:21" s="43" customFormat="1" x14ac:dyDescent="0.25">
      <c r="A27" s="40" t="s">
        <v>17</v>
      </c>
      <c r="B27" s="41">
        <v>19576.918731986865</v>
      </c>
      <c r="C27" s="41">
        <v>0</v>
      </c>
      <c r="D27" s="42">
        <v>5286</v>
      </c>
      <c r="E27" s="36">
        <v>0</v>
      </c>
      <c r="F27" s="14">
        <f t="shared" si="4"/>
        <v>3.7035411903115523</v>
      </c>
      <c r="G27" s="61">
        <v>0</v>
      </c>
      <c r="H27" s="42">
        <v>0</v>
      </c>
      <c r="I27" s="41">
        <v>0</v>
      </c>
      <c r="J27" s="41">
        <v>0</v>
      </c>
      <c r="K27" s="36">
        <v>0</v>
      </c>
      <c r="L27" s="41">
        <v>0</v>
      </c>
      <c r="M27" s="41">
        <v>0</v>
      </c>
      <c r="N27" s="41">
        <v>0</v>
      </c>
      <c r="O27" s="36">
        <v>0</v>
      </c>
      <c r="P27" s="37">
        <v>0</v>
      </c>
      <c r="Q27" s="61">
        <v>0</v>
      </c>
      <c r="R27" s="14">
        <v>0</v>
      </c>
      <c r="S27" s="66">
        <v>0</v>
      </c>
      <c r="T27" s="61">
        <v>0</v>
      </c>
      <c r="U27" s="33"/>
    </row>
    <row r="28" spans="1:21" s="43" customFormat="1" x14ac:dyDescent="0.25">
      <c r="A28" s="40" t="s">
        <v>18</v>
      </c>
      <c r="B28" s="41">
        <v>10485.499486109851</v>
      </c>
      <c r="C28" s="41">
        <v>0</v>
      </c>
      <c r="D28" s="42">
        <v>2990</v>
      </c>
      <c r="E28" s="36">
        <v>0</v>
      </c>
      <c r="F28" s="14">
        <f t="shared" si="4"/>
        <v>3.5068560154213548</v>
      </c>
      <c r="G28" s="61">
        <v>0</v>
      </c>
      <c r="H28" s="42">
        <v>0</v>
      </c>
      <c r="I28" s="41">
        <v>0</v>
      </c>
      <c r="J28" s="41">
        <v>0</v>
      </c>
      <c r="K28" s="36">
        <v>0</v>
      </c>
      <c r="L28" s="41">
        <v>0</v>
      </c>
      <c r="M28" s="41">
        <v>0</v>
      </c>
      <c r="N28" s="41">
        <v>0</v>
      </c>
      <c r="O28" s="36">
        <v>0</v>
      </c>
      <c r="P28" s="37">
        <v>0</v>
      </c>
      <c r="Q28" s="61">
        <v>0</v>
      </c>
      <c r="R28" s="14">
        <v>0</v>
      </c>
      <c r="S28" s="66">
        <v>0</v>
      </c>
      <c r="T28" s="61">
        <v>0</v>
      </c>
      <c r="U28" s="33"/>
    </row>
    <row r="29" spans="1:21" s="43" customFormat="1" x14ac:dyDescent="0.25">
      <c r="A29" s="40" t="s">
        <v>19</v>
      </c>
      <c r="B29" s="41">
        <v>4104.5177594432289</v>
      </c>
      <c r="C29" s="41">
        <v>0</v>
      </c>
      <c r="D29" s="42">
        <v>3688</v>
      </c>
      <c r="E29" s="36">
        <v>0</v>
      </c>
      <c r="F29" s="14">
        <f t="shared" si="4"/>
        <v>1.1129386549466456</v>
      </c>
      <c r="G29" s="61">
        <v>0</v>
      </c>
      <c r="H29" s="42">
        <v>4.3331745604844052</v>
      </c>
      <c r="I29" s="41">
        <v>0</v>
      </c>
      <c r="J29" s="41">
        <v>21.60864036475277</v>
      </c>
      <c r="K29" s="36">
        <v>0</v>
      </c>
      <c r="L29" s="41">
        <v>19</v>
      </c>
      <c r="M29" s="41">
        <v>0</v>
      </c>
      <c r="N29" s="41">
        <v>123</v>
      </c>
      <c r="O29" s="36">
        <v>0</v>
      </c>
      <c r="P29" s="37">
        <f t="shared" si="5"/>
        <v>0.22806181897286343</v>
      </c>
      <c r="Q29" s="61">
        <v>0</v>
      </c>
      <c r="R29" s="14">
        <f t="shared" ref="R29" si="6">J29/N29</f>
        <v>0.17568000296546968</v>
      </c>
      <c r="S29" s="66">
        <v>0</v>
      </c>
      <c r="T29" s="61">
        <v>0</v>
      </c>
      <c r="U29" s="33"/>
    </row>
    <row r="30" spans="1:21" s="43" customFormat="1" x14ac:dyDescent="0.25">
      <c r="A30" s="4" t="s">
        <v>0</v>
      </c>
      <c r="B30" s="44">
        <v>7637.2163309280886</v>
      </c>
      <c r="C30" s="44">
        <v>0</v>
      </c>
      <c r="D30" s="45">
        <v>2771</v>
      </c>
      <c r="E30" s="46">
        <v>0</v>
      </c>
      <c r="F30" s="47">
        <f>B30/D30</f>
        <v>2.7561228188120133</v>
      </c>
      <c r="G30" s="44">
        <v>0</v>
      </c>
      <c r="H30" s="45">
        <v>6.5131484360561291</v>
      </c>
      <c r="I30" s="44">
        <v>0</v>
      </c>
      <c r="J30" s="44">
        <v>0</v>
      </c>
      <c r="K30" s="46">
        <v>0</v>
      </c>
      <c r="L30" s="44">
        <v>109</v>
      </c>
      <c r="M30" s="44">
        <v>0</v>
      </c>
      <c r="N30" s="44">
        <v>0</v>
      </c>
      <c r="O30" s="46">
        <v>0</v>
      </c>
      <c r="P30" s="47">
        <f t="shared" si="5"/>
        <v>5.9753655376661732E-2</v>
      </c>
      <c r="Q30" s="62">
        <v>0</v>
      </c>
      <c r="R30" s="48">
        <v>0</v>
      </c>
      <c r="S30" s="67">
        <v>0</v>
      </c>
      <c r="T30" s="68">
        <v>0</v>
      </c>
      <c r="U30" s="33"/>
    </row>
    <row r="31" spans="1:21" s="43" customFormat="1" ht="17.25" x14ac:dyDescent="0.45">
      <c r="A31" s="1" t="s">
        <v>20</v>
      </c>
      <c r="B31" s="12"/>
      <c r="C31" s="12"/>
      <c r="D31" s="12"/>
      <c r="E31" s="49"/>
      <c r="F31" s="50"/>
      <c r="G31" s="50"/>
      <c r="H31" s="51"/>
      <c r="I31" s="51"/>
      <c r="J31" s="51"/>
      <c r="K31" s="51"/>
      <c r="L31" s="50"/>
      <c r="M31" s="50"/>
      <c r="N31" s="49"/>
      <c r="O31" s="49"/>
      <c r="P31" s="18"/>
      <c r="Q31" s="12"/>
      <c r="R31" s="50"/>
      <c r="S31" s="11"/>
      <c r="T31" s="57" t="s">
        <v>39</v>
      </c>
      <c r="U31" s="52"/>
    </row>
    <row r="32" spans="1:21" s="13" customFormat="1" x14ac:dyDescent="0.25">
      <c r="A32" s="53"/>
      <c r="B32" s="54"/>
      <c r="C32" s="24"/>
      <c r="D32" s="54"/>
      <c r="E32" s="15"/>
      <c r="F32" s="55"/>
      <c r="G32" s="55"/>
      <c r="H32" s="55"/>
      <c r="I32" s="56"/>
      <c r="J32" s="24"/>
      <c r="K32" s="24"/>
      <c r="N32" s="24"/>
      <c r="O32" s="24"/>
    </row>
    <row r="33" spans="1:18" x14ac:dyDescent="0.25">
      <c r="A33" s="6"/>
      <c r="B33" s="6"/>
      <c r="D33" s="6"/>
      <c r="F33" s="6"/>
      <c r="G33" s="6"/>
      <c r="R33" s="6"/>
    </row>
    <row r="34" spans="1:18" x14ac:dyDescent="0.25">
      <c r="A34" s="6"/>
      <c r="B34" s="6"/>
      <c r="D34" s="6"/>
      <c r="F34" s="6"/>
      <c r="G34" s="6"/>
      <c r="R34" s="6"/>
    </row>
  </sheetData>
  <mergeCells count="11">
    <mergeCell ref="A1:T1"/>
    <mergeCell ref="A2:T2"/>
    <mergeCell ref="A4:A6"/>
    <mergeCell ref="B4:C4"/>
    <mergeCell ref="D4:E4"/>
    <mergeCell ref="F4:G4"/>
    <mergeCell ref="H4:K4"/>
    <mergeCell ref="L4:O4"/>
    <mergeCell ref="P4:R4"/>
    <mergeCell ref="S4:T4"/>
    <mergeCell ref="T5:T6"/>
  </mergeCells>
  <pageMargins left="0.17" right="0.17" top="0.75" bottom="0.75" header="0.3" footer="0.3"/>
  <pageSetup paperSize="9" scale="60" orientation="landscape" r:id="rId1"/>
  <colBreaks count="1" manualBreakCount="1">
    <brk id="20" max="1048575" man="1"/>
  </colBreaks>
  <ignoredErrors>
    <ignoredError sqref="B9:T9" formulaRange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9.13</vt:lpstr>
      <vt:lpstr>'9.13'!Print_Area</vt:lpstr>
    </vt:vector>
  </TitlesOfParts>
  <Company>Department of National Planning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f.shifaza</dc:creator>
  <cp:lastModifiedBy>Fathmath Shifaza</cp:lastModifiedBy>
  <cp:lastPrinted>2016-01-17T08:21:45Z</cp:lastPrinted>
  <dcterms:created xsi:type="dcterms:W3CDTF">2014-03-04T03:52:57Z</dcterms:created>
  <dcterms:modified xsi:type="dcterms:W3CDTF">2016-01-17T08:21:46Z</dcterms:modified>
</cp:coreProperties>
</file>