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3" sheetId="8" r:id="rId1"/>
  </sheets>
  <definedNames>
    <definedName name="_xlnm.Print_Area" localSheetId="0">'9.3'!$A$1:$K$69</definedName>
  </definedNames>
  <calcPr calcId="144525"/>
</workbook>
</file>

<file path=xl/calcChain.xml><?xml version="1.0" encoding="utf-8"?>
<calcChain xmlns="http://schemas.openxmlformats.org/spreadsheetml/2006/main">
  <c r="B13" i="8" l="1"/>
  <c r="B32" i="8" l="1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2" i="8"/>
  <c r="J11" i="8"/>
  <c r="I11" i="8"/>
  <c r="I9" i="8" s="1"/>
  <c r="H11" i="8"/>
  <c r="H9" i="8" s="1"/>
  <c r="G11" i="8"/>
  <c r="G9" i="8" s="1"/>
  <c r="F11" i="8"/>
  <c r="F9" i="8" s="1"/>
  <c r="E11" i="8"/>
  <c r="E9" i="8" s="1"/>
  <c r="D11" i="8"/>
  <c r="D9" i="8" s="1"/>
  <c r="B10" i="8"/>
  <c r="J9" i="8"/>
  <c r="B11" i="8" l="1"/>
  <c r="B9" i="8"/>
</calcChain>
</file>

<file path=xl/sharedStrings.xml><?xml version="1.0" encoding="utf-8"?>
<sst xmlns="http://schemas.openxmlformats.org/spreadsheetml/2006/main" count="75" uniqueCount="74">
  <si>
    <t>Total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</si>
  <si>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</si>
  <si>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</si>
  <si>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</si>
  <si>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</si>
  <si>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</si>
  <si>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</si>
  <si>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</si>
  <si>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</si>
  <si>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</si>
  <si>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</si>
  <si>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</si>
  <si>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</si>
  <si>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</si>
  <si>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</si>
  <si>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</si>
  <si>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</si>
  <si>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</si>
  <si>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</si>
  <si>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</si>
  <si>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</si>
  <si>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</si>
  <si>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</si>
  <si>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</si>
  <si>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</si>
  <si>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</si>
  <si>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</si>
  <si>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</si>
  <si>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</si>
  <si>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</si>
  <si>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</si>
  <si>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</si>
  <si>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</si>
  <si>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</si>
  <si>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</si>
  <si>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</si>
  <si>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</si>
  <si>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</si>
  <si>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</si>
  <si>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</si>
  <si>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wlcmuj</t>
  </si>
  <si>
    <t xml:space="preserve"> rwCclwkircgea cDcnea  czIrwxif cfoa IrcTcsinim :ctWrwf ivcaedutWmUluAwm</t>
  </si>
  <si>
    <t>cnwt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</si>
  <si>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</si>
  <si>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</si>
  <si>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</si>
  <si>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</si>
  <si>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</si>
  <si>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</si>
  <si>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</si>
  <si>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</si>
  <si>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>AA</t>
  </si>
  <si>
    <t>(cnunwT ckircTem)</t>
  </si>
  <si>
    <t>(In  metric tons)</t>
  </si>
  <si>
    <t>Type of fish</t>
  </si>
  <si>
    <t xml:space="preserve"> </t>
  </si>
  <si>
    <t>މަހުގެ ބާވަތް</t>
  </si>
  <si>
    <t>Locality</t>
  </si>
  <si>
    <t>cswmwlibuLwk</t>
  </si>
  <si>
    <t>ilencnwk</t>
  </si>
  <si>
    <t>ilencnwk uDobOl</t>
  </si>
  <si>
    <t>cswm iSov</t>
  </si>
  <si>
    <t>iTcawl</t>
  </si>
  <si>
    <t>iDnogWr</t>
  </si>
  <si>
    <t>cswmurwf cnehinehea</t>
  </si>
  <si>
    <t>Skipjack tuna</t>
  </si>
  <si>
    <t>Yellowfin tuna</t>
  </si>
  <si>
    <t>Dogtooth tuna</t>
  </si>
  <si>
    <t xml:space="preserve">   Little tuna</t>
  </si>
  <si>
    <t>Frigate tuna</t>
  </si>
  <si>
    <t>Other marine fish</t>
  </si>
  <si>
    <t>Big eye tuna</t>
  </si>
  <si>
    <t>2014 ,ctwvWb egEa iaWhwm inEb wtwvun ifih cnutogegunwt : 9.3 ulwvWt</t>
  </si>
  <si>
    <t>Table 9.3 :  FISH LANDING BY TYPE AND LOCALITY,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</si>
</sst>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6" formatCode="#,##0.0"/>
  </numFmts>
  <fonts count="24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9"/>
      <name val="Faruma"/>
    </font>
    <font>
      <b/>
      <sz val="10"/>
      <name val="Calibri"/>
      <family val="2"/>
    </font>
    <font>
      <b/>
      <sz val="10"/>
      <name val="A_Randhoo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/>
  </cellStyleXfs>
  <cellXfs count="94">
    <xf numFmtId="0" fontId="0" fillId="0" borderId="0" xfId="0"/>
    <xf numFmtId="165" fontId="10" fillId="2" borderId="0" xfId="4" applyFont="1" applyFill="1" applyAlignment="1" applyProtection="1">
      <alignment horizontal="left" vertical="center"/>
    </xf>
    <xf numFmtId="165" fontId="1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19" fillId="2" borderId="0" xfId="4" applyFont="1" applyFill="1" applyAlignment="1" applyProtection="1">
      <alignment horizontal="left" vertical="center"/>
    </xf>
    <xf numFmtId="165" fontId="11" fillId="2" borderId="0" xfId="4" applyFont="1" applyFill="1" applyBorder="1" applyAlignment="1">
      <alignment horizontal="right" vertical="center"/>
    </xf>
    <xf numFmtId="165" fontId="2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7" fillId="2" borderId="0" xfId="4" applyFont="1" applyFill="1" applyAlignment="1">
      <alignment vertical="center"/>
    </xf>
    <xf numFmtId="165" fontId="8" fillId="2" borderId="0" xfId="4" applyFont="1" applyFill="1" applyAlignment="1">
      <alignment horizontal="right" vertical="center"/>
    </xf>
    <xf numFmtId="165" fontId="17" fillId="2" borderId="0" xfId="4" applyFont="1" applyFill="1" applyAlignment="1">
      <alignment horizontal="right" vertical="center"/>
    </xf>
    <xf numFmtId="165" fontId="14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6" fillId="2" borderId="0" xfId="4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5" fontId="8" fillId="2" borderId="1" xfId="4" applyFont="1" applyFill="1" applyBorder="1" applyAlignment="1">
      <alignment vertical="center"/>
    </xf>
    <xf numFmtId="165" fontId="17" fillId="2" borderId="1" xfId="4" applyFont="1" applyFill="1" applyBorder="1" applyAlignment="1">
      <alignment vertical="center"/>
    </xf>
    <xf numFmtId="165" fontId="21" fillId="2" borderId="3" xfId="4" applyFont="1" applyFill="1" applyBorder="1" applyAlignment="1">
      <alignment horizontal="right" vertical="center"/>
    </xf>
    <xf numFmtId="165" fontId="22" fillId="2" borderId="1" xfId="4" applyFont="1" applyFill="1" applyBorder="1"/>
    <xf numFmtId="165" fontId="18" fillId="2" borderId="2" xfId="4" applyFont="1" applyFill="1" applyBorder="1" applyAlignment="1">
      <alignment horizontal="right" vertical="center"/>
    </xf>
    <xf numFmtId="165" fontId="7" fillId="2" borderId="2" xfId="4" applyFont="1" applyFill="1" applyBorder="1" applyAlignment="1" applyProtection="1">
      <alignment horizontal="right" vertical="center"/>
    </xf>
    <xf numFmtId="165" fontId="7" fillId="2" borderId="2" xfId="4" applyFont="1" applyFill="1" applyBorder="1" applyAlignment="1" applyProtection="1">
      <alignment horizontal="right" vertical="center" wrapText="1"/>
    </xf>
    <xf numFmtId="165" fontId="4" fillId="2" borderId="0" xfId="4" applyFont="1" applyFill="1" applyAlignment="1" applyProtection="1">
      <alignment horizontal="left" vertical="center"/>
    </xf>
    <xf numFmtId="38" fontId="4" fillId="2" borderId="1" xfId="1" applyNumberFormat="1" applyFont="1" applyFill="1" applyBorder="1" applyAlignment="1" applyProtection="1">
      <alignment vertical="center"/>
    </xf>
    <xf numFmtId="38" fontId="4" fillId="2" borderId="0" xfId="1" applyNumberFormat="1" applyFont="1" applyFill="1" applyAlignment="1" applyProtection="1">
      <alignment vertical="center"/>
    </xf>
    <xf numFmtId="38" fontId="4" fillId="2" borderId="0" xfId="1" applyNumberFormat="1" applyFont="1" applyFill="1" applyBorder="1" applyAlignment="1" applyProtection="1">
      <alignment vertical="center"/>
    </xf>
    <xf numFmtId="38" fontId="4" fillId="2" borderId="0" xfId="1" applyNumberFormat="1" applyFont="1" applyFill="1"/>
    <xf numFmtId="38" fontId="4" fillId="2" borderId="0" xfId="1" applyNumberFormat="1" applyFont="1" applyFill="1" applyAlignment="1">
      <alignment horizontal="right"/>
    </xf>
    <xf numFmtId="38" fontId="9" fillId="2" borderId="0" xfId="1" applyNumberFormat="1" applyFont="1" applyFill="1"/>
    <xf numFmtId="38" fontId="9" fillId="2" borderId="0" xfId="1" applyNumberFormat="1" applyFont="1" applyFill="1" applyAlignment="1">
      <alignment horizontal="right"/>
    </xf>
    <xf numFmtId="165" fontId="3" fillId="2" borderId="0" xfId="0" applyNumberFormat="1" applyFont="1" applyFill="1"/>
    <xf numFmtId="38" fontId="4" fillId="2" borderId="2" xfId="1" applyNumberFormat="1" applyFont="1" applyFill="1" applyBorder="1" applyAlignment="1" applyProtection="1">
      <alignment vertical="center"/>
    </xf>
    <xf numFmtId="38" fontId="9" fillId="2" borderId="2" xfId="1" applyNumberFormat="1" applyFont="1" applyFill="1" applyBorder="1"/>
    <xf numFmtId="165" fontId="11" fillId="2" borderId="0" xfId="0" applyNumberFormat="1" applyFont="1" applyFill="1" applyBorder="1" applyAlignment="1">
      <alignment horizontal="right" vertical="center"/>
    </xf>
    <xf numFmtId="165" fontId="8" fillId="2" borderId="4" xfId="4" applyFont="1" applyFill="1" applyBorder="1" applyAlignment="1">
      <alignment vertical="center"/>
    </xf>
    <xf numFmtId="165" fontId="7" fillId="2" borderId="4" xfId="4" applyFont="1" applyFill="1" applyBorder="1" applyAlignment="1" applyProtection="1">
      <alignment horizontal="left" vertical="center"/>
    </xf>
    <xf numFmtId="165" fontId="21" fillId="2" borderId="4" xfId="4" applyFont="1" applyFill="1" applyBorder="1" applyAlignment="1">
      <alignment horizontal="centerContinuous" vertical="center"/>
    </xf>
    <xf numFmtId="165" fontId="17" fillId="2" borderId="4" xfId="4" applyFont="1" applyFill="1" applyBorder="1" applyAlignment="1" applyProtection="1">
      <alignment horizontal="centerContinuous" vertical="center"/>
    </xf>
    <xf numFmtId="165" fontId="21" fillId="2" borderId="4" xfId="4" applyFont="1" applyFill="1" applyBorder="1" applyAlignment="1">
      <alignment horizontal="right" vertical="center"/>
    </xf>
    <xf numFmtId="165" fontId="17" fillId="2" borderId="4" xfId="4" applyFont="1" applyFill="1" applyBorder="1" applyAlignment="1" applyProtection="1">
      <alignment horizontal="right" vertical="center"/>
    </xf>
    <xf numFmtId="165" fontId="6" fillId="2" borderId="4" xfId="4" applyFont="1" applyFill="1" applyBorder="1" applyAlignment="1">
      <alignment horizontal="right" vertical="center"/>
    </xf>
    <xf numFmtId="165" fontId="22" fillId="2" borderId="4" xfId="4" applyFont="1" applyFill="1" applyBorder="1"/>
    <xf numFmtId="165" fontId="23" fillId="2" borderId="4" xfId="4" applyFont="1" applyFill="1" applyBorder="1" applyAlignment="1">
      <alignment horizontal="right" vertical="center"/>
    </xf>
    <xf numFmtId="165" fontId="18" fillId="2" borderId="4" xfId="4" applyFont="1" applyFill="1" applyBorder="1" applyAlignment="1">
      <alignment horizontal="right" vertical="center"/>
    </xf>
    <xf numFmtId="165" fontId="7" fillId="2" borderId="4" xfId="4" applyFont="1" applyFill="1" applyBorder="1" applyAlignment="1" applyProtection="1">
      <alignment horizontal="right" vertical="center"/>
    </xf>
    <xf numFmtId="165" fontId="7" fillId="2" borderId="4" xfId="4" applyFont="1" applyFill="1" applyBorder="1" applyAlignment="1" applyProtection="1">
      <alignment horizontal="right" vertical="center" wrapText="1"/>
    </xf>
    <xf numFmtId="38" fontId="7" fillId="2" borderId="4" xfId="1" applyNumberFormat="1" applyFont="1" applyFill="1" applyBorder="1" applyAlignment="1" applyProtection="1">
      <alignment vertical="center"/>
    </xf>
    <xf numFmtId="3" fontId="7" fillId="2" borderId="4" xfId="4" applyNumberFormat="1" applyFont="1" applyFill="1" applyBorder="1" applyAlignment="1" applyProtection="1">
      <alignment vertical="center"/>
    </xf>
    <xf numFmtId="3" fontId="7" fillId="2" borderId="4" xfId="4" applyNumberFormat="1" applyFont="1" applyFill="1" applyBorder="1"/>
    <xf numFmtId="3" fontId="7" fillId="2" borderId="4" xfId="6" applyNumberFormat="1" applyFont="1" applyFill="1" applyBorder="1"/>
    <xf numFmtId="166" fontId="7" fillId="2" borderId="4" xfId="6" applyNumberFormat="1" applyFont="1" applyFill="1" applyBorder="1"/>
    <xf numFmtId="166" fontId="7" fillId="2" borderId="4" xfId="6" applyNumberFormat="1" applyFont="1" applyFill="1" applyBorder="1" applyAlignment="1">
      <alignment horizontal="right"/>
    </xf>
    <xf numFmtId="165" fontId="18" fillId="2" borderId="4" xfId="0" applyNumberFormat="1" applyFont="1" applyFill="1" applyBorder="1" applyAlignment="1" applyProtection="1">
      <alignment horizontal="left" vertical="center"/>
    </xf>
    <xf numFmtId="3" fontId="18" fillId="2" borderId="4" xfId="6" applyNumberFormat="1" applyFont="1" applyFill="1" applyBorder="1"/>
    <xf numFmtId="3" fontId="18" fillId="2" borderId="4" xfId="4" applyNumberFormat="1" applyFont="1" applyFill="1" applyBorder="1"/>
    <xf numFmtId="165" fontId="11" fillId="2" borderId="4" xfId="0" applyNumberFormat="1" applyFont="1" applyFill="1" applyBorder="1" applyAlignment="1">
      <alignment horizontal="right" vertical="center"/>
    </xf>
    <xf numFmtId="166" fontId="18" fillId="2" borderId="4" xfId="4" applyNumberFormat="1" applyFont="1" applyFill="1" applyBorder="1"/>
    <xf numFmtId="166" fontId="18" fillId="2" borderId="4" xfId="4" applyNumberFormat="1" applyFont="1" applyFill="1" applyBorder="1" applyAlignment="1">
      <alignment horizontal="right"/>
    </xf>
    <xf numFmtId="3" fontId="18" fillId="2" borderId="4" xfId="4" applyNumberFormat="1" applyFont="1" applyFill="1" applyBorder="1" applyAlignment="1">
      <alignment horizontal="right"/>
    </xf>
    <xf numFmtId="165" fontId="10" fillId="2" borderId="4" xfId="4" applyFont="1" applyFill="1" applyBorder="1" applyAlignment="1" applyProtection="1">
      <alignment horizontal="left" vertical="center"/>
    </xf>
    <xf numFmtId="165" fontId="19" fillId="2" borderId="4" xfId="4" applyFont="1" applyFill="1" applyBorder="1" applyAlignment="1" applyProtection="1">
      <alignment horizontal="left" vertical="center"/>
    </xf>
    <xf numFmtId="165" fontId="11" fillId="2" borderId="4" xfId="4" applyFont="1" applyFill="1" applyBorder="1" applyAlignment="1">
      <alignment horizontal="right" vertical="center"/>
    </xf>
    <xf numFmtId="165" fontId="3" fillId="2" borderId="0" xfId="4" applyFont="1" applyFill="1" applyAlignment="1">
      <alignment horizontal="right" vertical="center"/>
    </xf>
    <xf numFmtId="1" fontId="3" fillId="2" borderId="0" xfId="4" applyNumberFormat="1" applyFont="1" applyFill="1" applyAlignment="1">
      <alignment vertical="center"/>
    </xf>
    <xf numFmtId="165" fontId="7" fillId="2" borderId="0" xfId="4" applyFont="1" applyFill="1" applyBorder="1" applyAlignment="1" applyProtection="1">
      <alignment horizontal="left" vertical="center" wrapText="1"/>
    </xf>
    <xf numFmtId="165" fontId="23" fillId="2" borderId="0" xfId="4" applyFont="1" applyFill="1" applyBorder="1" applyAlignment="1">
      <alignment horizontal="right" vertical="center" wrapText="1"/>
    </xf>
    <xf numFmtId="165" fontId="6" fillId="2" borderId="0" xfId="4" applyFont="1" applyFill="1" applyBorder="1" applyAlignment="1">
      <alignment horizontal="right" vertical="center" wrapText="1"/>
    </xf>
    <xf numFmtId="165" fontId="8" fillId="2" borderId="0" xfId="4" applyFont="1" applyFill="1" applyAlignment="1">
      <alignment vertical="center" wrapText="1"/>
    </xf>
    <xf numFmtId="165" fontId="17" fillId="2" borderId="0" xfId="4" applyFont="1" applyFill="1" applyAlignment="1">
      <alignment vertical="center" wrapText="1"/>
    </xf>
    <xf numFmtId="38" fontId="9" fillId="2" borderId="0" xfId="1" applyNumberFormat="1" applyFont="1" applyFill="1" applyBorder="1" applyAlignment="1" applyProtection="1">
      <alignment vertical="center"/>
    </xf>
    <xf numFmtId="38" fontId="9" fillId="2" borderId="2" xfId="1" applyNumberFormat="1" applyFont="1" applyFill="1" applyBorder="1" applyAlignment="1" applyProtection="1">
      <alignment vertical="center"/>
    </xf>
    <xf numFmtId="165" fontId="18" fillId="2" borderId="0" xfId="4" applyFont="1" applyFill="1" applyBorder="1" applyAlignment="1">
      <alignment vertical="center"/>
    </xf>
    <xf numFmtId="165" fontId="7" fillId="2" borderId="0" xfId="4" applyFont="1" applyFill="1" applyBorder="1" applyAlignment="1">
      <alignment vertical="center"/>
    </xf>
    <xf numFmtId="165" fontId="7" fillId="2" borderId="2" xfId="4" applyFont="1" applyFill="1" applyBorder="1" applyAlignment="1" applyProtection="1">
      <alignment horizontal="center" vertical="center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3" xfId="4" applyFont="1" applyFill="1" applyBorder="1" applyAlignment="1" applyProtection="1">
      <alignment horizontal="center" vertical="center"/>
    </xf>
    <xf numFmtId="165" fontId="11" fillId="2" borderId="0" xfId="0" applyNumberFormat="1" applyFont="1" applyFill="1" applyAlignment="1">
      <alignment horizontal="right" vertical="center" indent="2"/>
    </xf>
    <xf numFmtId="165" fontId="11" fillId="2" borderId="2" xfId="0" applyNumberFormat="1" applyFont="1" applyFill="1" applyBorder="1" applyAlignment="1">
      <alignment horizontal="right" vertical="center" indent="2"/>
    </xf>
    <xf numFmtId="165" fontId="4" fillId="2" borderId="0" xfId="4" applyFont="1" applyFill="1" applyAlignment="1" applyProtection="1">
      <alignment horizontal="left" vertical="center" indent="2"/>
    </xf>
    <xf numFmtId="165" fontId="9" fillId="2" borderId="0" xfId="0" applyNumberFormat="1" applyFont="1" applyFill="1" applyAlignment="1" applyProtection="1">
      <alignment horizontal="left" vertical="center" indent="2"/>
    </xf>
    <xf numFmtId="165" fontId="9" fillId="2" borderId="2" xfId="0" applyNumberFormat="1" applyFont="1" applyFill="1" applyBorder="1" applyAlignment="1" applyProtection="1">
      <alignment horizontal="left" vertical="center" indent="2"/>
    </xf>
    <xf numFmtId="165" fontId="15" fillId="2" borderId="4" xfId="4" applyFont="1" applyFill="1" applyBorder="1" applyAlignment="1">
      <alignment horizontal="center" vertical="center"/>
    </xf>
    <xf numFmtId="165" fontId="13" fillId="2" borderId="4" xfId="4" applyFont="1" applyFill="1" applyBorder="1" applyAlignment="1" applyProtection="1">
      <alignment horizontal="center" vertical="center"/>
    </xf>
    <xf numFmtId="165" fontId="6" fillId="2" borderId="4" xfId="4" applyFont="1" applyFill="1" applyBorder="1" applyAlignment="1">
      <alignment horizontal="center" vertical="center" wrapText="1"/>
    </xf>
    <xf numFmtId="165" fontId="7" fillId="2" borderId="4" xfId="4" applyFont="1" applyFill="1" applyBorder="1" applyAlignment="1" applyProtection="1">
      <alignment horizontal="center" vertical="center"/>
    </xf>
    <xf numFmtId="165" fontId="15" fillId="2" borderId="0" xfId="4" applyFont="1" applyFill="1" applyAlignment="1">
      <alignment horizontal="center" vertical="center"/>
    </xf>
    <xf numFmtId="165" fontId="20" fillId="2" borderId="0" xfId="4" applyFont="1" applyFill="1" applyBorder="1" applyAlignment="1" applyProtection="1">
      <alignment horizontal="center" vertical="center"/>
    </xf>
    <xf numFmtId="165" fontId="6" fillId="2" borderId="0" xfId="4" applyFont="1" applyFill="1" applyBorder="1" applyAlignment="1">
      <alignment horizontal="center" vertical="center" wrapText="1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3" xfId="4" applyFont="1" applyFill="1" applyBorder="1" applyAlignment="1" applyProtection="1">
      <alignment horizontal="center" vertical="center"/>
    </xf>
    <xf numFmtId="165" fontId="12" fillId="2" borderId="3" xfId="4" applyFont="1" applyFill="1" applyBorder="1" applyAlignment="1" applyProtection="1">
      <alignment horizontal="center" vertical="center"/>
    </xf>
    <xf numFmtId="165" fontId="17" fillId="2" borderId="3" xfId="4" applyFont="1" applyFill="1" applyBorder="1" applyAlignment="1" applyProtection="1">
      <alignment horizontal="center" vertical="center"/>
    </xf>
  </cellXfs>
  <cellStyles count="7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9.3fig9.1" xfId="6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9.2: Fish catch by Atoll, 2013</a:t>
            </a:r>
          </a:p>
        </c:rich>
      </c:tx>
      <c:layout>
        <c:manualLayout>
          <c:xMode val="edge"/>
          <c:yMode val="edge"/>
          <c:x val="0.32425661546405105"/>
          <c:y val="3.96039603960396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91886279886212"/>
          <c:y val="0.18082264349840874"/>
          <c:w val="0.86343717098921957"/>
          <c:h val="0.6684958335395737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3612.260380041731</c:v>
                </c:pt>
                <c:pt idx="1">
                  <c:v>2986.1145487854037</c:v>
                </c:pt>
                <c:pt idx="2">
                  <c:v>2101.8988912779414</c:v>
                </c:pt>
                <c:pt idx="3">
                  <c:v>1456.8490041561279</c:v>
                </c:pt>
                <c:pt idx="4">
                  <c:v>5412.2595097082376</c:v>
                </c:pt>
                <c:pt idx="5">
                  <c:v>3254.2377798601869</c:v>
                </c:pt>
                <c:pt idx="6">
                  <c:v>6563.5837207718096</c:v>
                </c:pt>
                <c:pt idx="7">
                  <c:v>3277.1785756210088</c:v>
                </c:pt>
                <c:pt idx="8">
                  <c:v>2686.8825685070651</c:v>
                </c:pt>
                <c:pt idx="9">
                  <c:v>4856.4435251275618</c:v>
                </c:pt>
                <c:pt idx="10">
                  <c:v>778.2534712837853</c:v>
                </c:pt>
                <c:pt idx="11">
                  <c:v>3617.0414694011315</c:v>
                </c:pt>
                <c:pt idx="12">
                  <c:v>2855.8977392270026</c:v>
                </c:pt>
                <c:pt idx="13">
                  <c:v>5558.4618312959838</c:v>
                </c:pt>
                <c:pt idx="14">
                  <c:v>3832.1071489999445</c:v>
                </c:pt>
                <c:pt idx="15">
                  <c:v>14670.648390734787</c:v>
                </c:pt>
                <c:pt idx="16">
                  <c:v>19576.91873198684</c:v>
                </c:pt>
                <c:pt idx="17">
                  <c:v>10485.499486109853</c:v>
                </c:pt>
                <c:pt idx="18">
                  <c:v>4130.4595743684713</c:v>
                </c:pt>
                <c:pt idx="19">
                  <c:v>7643.7294793641468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47267200"/>
        <c:axId val="52343168"/>
      </c:barChart>
      <c:catAx>
        <c:axId val="472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343168"/>
        <c:crosses val="autoZero"/>
        <c:auto val="1"/>
        <c:lblAlgn val="ctr"/>
        <c:lblOffset val="100"/>
        <c:noMultiLvlLbl val="0"/>
      </c:catAx>
      <c:valAx>
        <c:axId val="52343168"/>
        <c:scaling>
          <c:orientation val="minMax"/>
          <c:max val="16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672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 : Fish catch by type of species,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6880525536669884"/>
          <c:y val="0.28612564296336024"/>
          <c:w val="0.35276694462156449"/>
          <c:h val="0.69592290127820711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7456661313228222"/>
                  <c:y val="-8.07595479136537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310460395708328"/>
                  <c:y val="1.91614441052011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2699898879495591"/>
                  <c:y val="0.1459936927526920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2479608604165304"/>
                  <c:y val="4.76223954148588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2.4927505520733442E-2"/>
                  <c:y val="-7.57743451711393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9.9942933832987579E-2"/>
                  <c:y val="-4.80542610745085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22247347445591956"/>
                  <c:y val="-6.7460094273930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25719238175964626"/>
                  <c:y val="4.09197734211794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'9.3'!$D$8:$J$8</c:f>
              <c:strCache>
                <c:ptCount val="7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Dogtooth tuna</c:v>
                </c:pt>
                <c:pt idx="4">
                  <c:v>   Little tuna</c:v>
                </c:pt>
                <c:pt idx="5">
                  <c:v>Frigate tuna</c:v>
                </c:pt>
                <c:pt idx="6">
                  <c:v>Other marine fish</c:v>
                </c:pt>
              </c:strCache>
            </c:strRef>
          </c:cat>
          <c:val>
            <c:numRef>
              <c:f>'9.3'!$D$9:$J$9</c:f>
              <c:numCache>
                <c:formatCode>#,##0_);[Red]\(#,##0\)</c:formatCode>
                <c:ptCount val="7"/>
                <c:pt idx="0">
                  <c:v>68521.95848508834</c:v>
                </c:pt>
                <c:pt idx="1">
                  <c:v>49100.55221901898</c:v>
                </c:pt>
                <c:pt idx="2">
                  <c:v>2334.0795325544514</c:v>
                </c:pt>
                <c:pt idx="3">
                  <c:v>51.063483535157253</c:v>
                </c:pt>
                <c:pt idx="4">
                  <c:v>888.90056791056475</c:v>
                </c:pt>
                <c:pt idx="5">
                  <c:v>651.21132976987121</c:v>
                </c:pt>
                <c:pt idx="6">
                  <c:v>7136.4603821227956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2014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</c:spPr>
          <c:invertIfNegative val="0"/>
          <c:cat>
            <c:strRef>
              <c:f>'[1]9.3'!$A$13:$A$32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'[1]9.3'!$B$13:$B$32</c:f>
              <c:numCache>
                <c:formatCode>General</c:formatCode>
                <c:ptCount val="20"/>
                <c:pt idx="0">
                  <c:v>3612.260380041731</c:v>
                </c:pt>
                <c:pt idx="1">
                  <c:v>2986.1145487854037</c:v>
                </c:pt>
                <c:pt idx="2">
                  <c:v>2101.8988912779414</c:v>
                </c:pt>
                <c:pt idx="3">
                  <c:v>1456.8490041561279</c:v>
                </c:pt>
                <c:pt idx="4">
                  <c:v>5412.2595097082376</c:v>
                </c:pt>
                <c:pt idx="5">
                  <c:v>3254.2377798601869</c:v>
                </c:pt>
                <c:pt idx="6">
                  <c:v>6563.5837207718096</c:v>
                </c:pt>
                <c:pt idx="7">
                  <c:v>3277.1785756210088</c:v>
                </c:pt>
                <c:pt idx="8">
                  <c:v>2686.8825685070651</c:v>
                </c:pt>
                <c:pt idx="9">
                  <c:v>4856.4435251275618</c:v>
                </c:pt>
                <c:pt idx="10">
                  <c:v>778.2534712837853</c:v>
                </c:pt>
                <c:pt idx="11">
                  <c:v>3617.0414694011315</c:v>
                </c:pt>
                <c:pt idx="12">
                  <c:v>2855.8977392270026</c:v>
                </c:pt>
                <c:pt idx="13">
                  <c:v>5558.4618312959838</c:v>
                </c:pt>
                <c:pt idx="14">
                  <c:v>3832.1071489999445</c:v>
                </c:pt>
                <c:pt idx="15">
                  <c:v>14670.648390734787</c:v>
                </c:pt>
                <c:pt idx="16">
                  <c:v>19576.91873198684</c:v>
                </c:pt>
                <c:pt idx="17">
                  <c:v>10485.499486109853</c:v>
                </c:pt>
                <c:pt idx="18">
                  <c:v>4130.4595743684713</c:v>
                </c:pt>
                <c:pt idx="19">
                  <c:v>7643.7294793641468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80190464"/>
        <c:axId val="123595392"/>
      </c:barChart>
      <c:catAx>
        <c:axId val="801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3595392"/>
        <c:crosses val="autoZero"/>
        <c:auto val="1"/>
        <c:lblAlgn val="ctr"/>
        <c:lblOffset val="100"/>
        <c:noMultiLvlLbl val="0"/>
      </c:catAx>
      <c:valAx>
        <c:axId val="123595392"/>
        <c:scaling>
          <c:orientation val="minMax"/>
          <c:max val="2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01904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35</xdr:row>
      <xdr:rowOff>83820</xdr:rowOff>
    </xdr:from>
    <xdr:to>
      <xdr:col>9</xdr:col>
      <xdr:colOff>68580</xdr:colOff>
      <xdr:row>36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1988820" y="13213080"/>
          <a:ext cx="4091940" cy="21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9</xdr:col>
      <xdr:colOff>68580</xdr:colOff>
      <xdr:row>68</xdr:row>
      <xdr:rowOff>144780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988820" y="18806160"/>
          <a:ext cx="409194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152400</xdr:colOff>
      <xdr:row>51</xdr:row>
      <xdr:rowOff>121920</xdr:rowOff>
    </xdr:from>
    <xdr:to>
      <xdr:col>9</xdr:col>
      <xdr:colOff>632460</xdr:colOff>
      <xdr:row>66</xdr:row>
      <xdr:rowOff>160020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35</xdr:row>
      <xdr:rowOff>83820</xdr:rowOff>
    </xdr:from>
    <xdr:to>
      <xdr:col>9</xdr:col>
      <xdr:colOff>68580</xdr:colOff>
      <xdr:row>36</xdr:row>
      <xdr:rowOff>129540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2101215" y="7113270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140970</xdr:colOff>
      <xdr:row>33</xdr:row>
      <xdr:rowOff>209550</xdr:rowOff>
    </xdr:from>
    <xdr:to>
      <xdr:col>10</xdr:col>
      <xdr:colOff>381000</xdr:colOff>
      <xdr:row>50</xdr:row>
      <xdr:rowOff>38100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9</xdr:col>
      <xdr:colOff>68580</xdr:colOff>
      <xdr:row>68</xdr:row>
      <xdr:rowOff>144780</xdr:rowOff>
    </xdr:to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2101215" y="130778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152400</xdr:colOff>
      <xdr:row>51</xdr:row>
      <xdr:rowOff>121919</xdr:rowOff>
    </xdr:from>
    <xdr:to>
      <xdr:col>10</xdr:col>
      <xdr:colOff>381000</xdr:colOff>
      <xdr:row>67</xdr:row>
      <xdr:rowOff>152399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371475</xdr:colOff>
      <xdr:row>53</xdr:row>
      <xdr:rowOff>66674</xdr:rowOff>
    </xdr:from>
    <xdr:to>
      <xdr:col>8</xdr:col>
      <xdr:colOff>609600</xdr:colOff>
      <xdr:row>53</xdr:row>
      <xdr:rowOff>66674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524125" y="10420349"/>
          <a:ext cx="29813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3</xdr:col>
      <xdr:colOff>238126</xdr:colOff>
      <xdr:row>35</xdr:row>
      <xdr:rowOff>19049</xdr:rowOff>
    </xdr:from>
    <xdr:to>
      <xdr:col>9</xdr:col>
      <xdr:colOff>276225</xdr:colOff>
      <xdr:row>35</xdr:row>
      <xdr:rowOff>28574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 flipV="1">
          <a:off x="1714501" y="7048499"/>
          <a:ext cx="4143374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119"/>
  <sheetViews>
    <sheetView tabSelected="1" zoomScaleNormal="100" workbookViewId="0">
      <selection activeCell="K97" sqref="K78:K97"/>
    </sheetView>
  </sheetViews>
  <sheetFormatPr defaultColWidth="8.85546875" defaultRowHeight="12.75"/>
  <cols>
    <col min="1" max="1" width="12" style="14" customWidth="1"/>
    <col min="2" max="2" width="8.85546875" style="14"/>
    <col min="3" max="3" width="1.28515625" style="14" customWidth="1"/>
    <col min="4" max="4" width="10.140625" style="14" customWidth="1"/>
    <col min="5" max="5" width="10.85546875" style="14" customWidth="1"/>
    <col min="6" max="6" width="11.140625" style="64" customWidth="1"/>
    <col min="7" max="7" width="10.28515625" style="14" customWidth="1"/>
    <col min="8" max="8" width="8.85546875" style="64"/>
    <col min="9" max="9" width="10.28515625" style="64" customWidth="1"/>
    <col min="10" max="10" width="10.7109375" style="65" customWidth="1"/>
    <col min="11" max="11" width="22.5703125" style="14" customWidth="1"/>
    <col min="12" max="12" width="4.5703125" style="14" customWidth="1"/>
    <col min="13" max="24" width="3.140625" style="14" customWidth="1"/>
    <col min="25" max="16384" width="8.85546875" style="14"/>
  </cols>
  <sheetData>
    <row r="1" spans="1:31" s="7" customFormat="1" ht="19.5">
      <c r="A1" s="87" t="s">
        <v>72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1" s="10" customFormat="1" ht="15.75">
      <c r="A2" s="88" t="s">
        <v>73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1" s="12" customFormat="1" ht="15">
      <c r="A3" s="89" t="s">
        <v>52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31" s="74" customFormat="1" ht="12">
      <c r="A4" s="90" t="s">
        <v>53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</row>
    <row r="5" spans="1:31" s="10" customFormat="1" ht="6" customHeight="1">
      <c r="A5" s="76"/>
      <c r="B5" s="76"/>
      <c r="C5" s="76"/>
      <c r="D5" s="75"/>
      <c r="E5" s="75"/>
      <c r="F5" s="75"/>
      <c r="G5" s="75"/>
      <c r="H5" s="75"/>
      <c r="I5" s="75"/>
      <c r="J5" s="75"/>
      <c r="K5" s="7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31" s="8" customFormat="1" ht="17.25">
      <c r="A6" s="17"/>
      <c r="B6" s="18"/>
      <c r="C6" s="18"/>
      <c r="D6" s="91" t="s">
        <v>54</v>
      </c>
      <c r="E6" s="91"/>
      <c r="F6" s="77"/>
      <c r="G6" s="19" t="s">
        <v>55</v>
      </c>
      <c r="H6" s="92" t="s">
        <v>56</v>
      </c>
      <c r="I6" s="93"/>
      <c r="J6" s="93"/>
      <c r="K6" s="2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1" s="70" customFormat="1" ht="29.45" customHeight="1">
      <c r="A7" s="66" t="s">
        <v>57</v>
      </c>
      <c r="B7" s="67" t="s">
        <v>40</v>
      </c>
      <c r="C7" s="67"/>
      <c r="D7" s="67" t="s">
        <v>58</v>
      </c>
      <c r="E7" s="67" t="s">
        <v>59</v>
      </c>
      <c r="F7" s="67" t="s">
        <v>60</v>
      </c>
      <c r="G7" s="67" t="s">
        <v>61</v>
      </c>
      <c r="H7" s="67" t="s">
        <v>62</v>
      </c>
      <c r="I7" s="67" t="s">
        <v>63</v>
      </c>
      <c r="J7" s="67" t="s">
        <v>64</v>
      </c>
      <c r="K7" s="68" t="s">
        <v>42</v>
      </c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 spans="1:31" s="10" customFormat="1" ht="24">
      <c r="A8" s="21"/>
      <c r="B8" s="22" t="s">
        <v>0</v>
      </c>
      <c r="C8" s="22"/>
      <c r="D8" s="23" t="s">
        <v>65</v>
      </c>
      <c r="E8" s="23" t="s">
        <v>66</v>
      </c>
      <c r="F8" s="23" t="s">
        <v>71</v>
      </c>
      <c r="G8" s="23" t="s">
        <v>67</v>
      </c>
      <c r="H8" s="23" t="s">
        <v>68</v>
      </c>
      <c r="I8" s="23" t="s">
        <v>69</v>
      </c>
      <c r="J8" s="23" t="s">
        <v>70</v>
      </c>
      <c r="K8" s="2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1" s="8" customFormat="1" ht="15">
      <c r="A9" s="24" t="s">
        <v>43</v>
      </c>
      <c r="B9" s="25">
        <f t="shared" ref="B9:B32" si="0">SUM(D9:J9)</f>
        <v>128684.22600000014</v>
      </c>
      <c r="C9" s="26"/>
      <c r="D9" s="26">
        <f t="shared" ref="D9:J9" si="1">D10+D11+D12</f>
        <v>68521.95848508834</v>
      </c>
      <c r="E9" s="26">
        <f t="shared" si="1"/>
        <v>49100.55221901898</v>
      </c>
      <c r="F9" s="26">
        <f t="shared" si="1"/>
        <v>2334.0795325544514</v>
      </c>
      <c r="G9" s="26">
        <f t="shared" si="1"/>
        <v>51.063483535157253</v>
      </c>
      <c r="H9" s="26">
        <f t="shared" si="1"/>
        <v>888.90056791056475</v>
      </c>
      <c r="I9" s="26">
        <f t="shared" si="1"/>
        <v>651.21132976987121</v>
      </c>
      <c r="J9" s="26">
        <f t="shared" si="1"/>
        <v>7136.4603821227956</v>
      </c>
      <c r="K9" s="15" t="s">
        <v>44</v>
      </c>
      <c r="L9" s="1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s="8" customFormat="1" ht="15">
      <c r="A10" s="24" t="s">
        <v>45</v>
      </c>
      <c r="B10" s="27">
        <f t="shared" si="0"/>
        <v>17203.263173371157</v>
      </c>
      <c r="C10" s="28"/>
      <c r="D10" s="28">
        <v>9214.6568012431799</v>
      </c>
      <c r="E10" s="28">
        <v>6336.2397910260961</v>
      </c>
      <c r="F10" s="28">
        <v>2.5027065963845452</v>
      </c>
      <c r="G10" s="28">
        <v>2.1185702350790105</v>
      </c>
      <c r="H10" s="28">
        <v>139.09286689125418</v>
      </c>
      <c r="I10" s="28">
        <v>104.5429067253345</v>
      </c>
      <c r="J10" s="28">
        <v>1404.1095306538275</v>
      </c>
      <c r="K10" s="15" t="s">
        <v>46</v>
      </c>
      <c r="L10" s="1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s="8" customFormat="1" ht="15">
      <c r="A11" s="24" t="s">
        <v>47</v>
      </c>
      <c r="B11" s="27">
        <f t="shared" si="0"/>
        <v>109356.725826629</v>
      </c>
      <c r="C11" s="28"/>
      <c r="D11" s="28">
        <f t="shared" ref="D11:J11" si="2">SUM(D13:D32)</f>
        <v>59306.968683845167</v>
      </c>
      <c r="E11" s="28">
        <f t="shared" si="2"/>
        <v>42571.89542799288</v>
      </c>
      <c r="F11" s="28">
        <f t="shared" si="2"/>
        <v>829.582825958066</v>
      </c>
      <c r="G11" s="28">
        <f t="shared" si="2"/>
        <v>48.611913300078243</v>
      </c>
      <c r="H11" s="28">
        <f t="shared" si="2"/>
        <v>749.4747010193106</v>
      </c>
      <c r="I11" s="28">
        <f t="shared" si="2"/>
        <v>546.3354230445367</v>
      </c>
      <c r="J11" s="28">
        <f t="shared" si="2"/>
        <v>5303.8568514689687</v>
      </c>
      <c r="K11" s="15" t="s">
        <v>48</v>
      </c>
      <c r="L11" s="1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s="8" customFormat="1" ht="15.75">
      <c r="A12" s="80" t="s">
        <v>49</v>
      </c>
      <c r="B12" s="27">
        <f t="shared" si="0"/>
        <v>2124.237000000001</v>
      </c>
      <c r="C12" s="26"/>
      <c r="D12" s="28">
        <v>0.33300000000000007</v>
      </c>
      <c r="E12" s="28">
        <v>192.41699999999997</v>
      </c>
      <c r="F12" s="28">
        <v>1501.9940000000006</v>
      </c>
      <c r="G12" s="28">
        <v>0.33300000000000007</v>
      </c>
      <c r="H12" s="28">
        <v>0.33300000000000007</v>
      </c>
      <c r="I12" s="28">
        <v>0.33300000000000007</v>
      </c>
      <c r="J12" s="29">
        <v>428.49399999999997</v>
      </c>
      <c r="K12" s="13" t="s">
        <v>50</v>
      </c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s="8" customFormat="1" ht="15">
      <c r="A13" s="81" t="s">
        <v>21</v>
      </c>
      <c r="B13" s="71">
        <f t="shared" si="0"/>
        <v>3612.260380041731</v>
      </c>
      <c r="C13" s="26"/>
      <c r="D13" s="30">
        <v>759.45947019631467</v>
      </c>
      <c r="E13" s="30">
        <v>2735.8147026490433</v>
      </c>
      <c r="F13" s="30">
        <v>19.012809801991118</v>
      </c>
      <c r="G13" s="30">
        <v>0</v>
      </c>
      <c r="H13" s="30">
        <v>43.508681411090755</v>
      </c>
      <c r="I13" s="30">
        <v>22.837100687877335</v>
      </c>
      <c r="J13" s="30">
        <v>31.627615295413609</v>
      </c>
      <c r="K13" s="78" t="s">
        <v>1</v>
      </c>
      <c r="L13" s="1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s="8" customFormat="1" ht="15">
      <c r="A14" s="81" t="s">
        <v>22</v>
      </c>
      <c r="B14" s="71">
        <f t="shared" si="0"/>
        <v>2986.1145487854037</v>
      </c>
      <c r="C14" s="26"/>
      <c r="D14" s="30">
        <v>821.00067305746666</v>
      </c>
      <c r="E14" s="30">
        <v>1599.1181257805156</v>
      </c>
      <c r="F14" s="30">
        <v>277.57815693143823</v>
      </c>
      <c r="G14" s="30">
        <v>3.4921487391412258E-2</v>
      </c>
      <c r="H14" s="30">
        <v>55.021519509737011</v>
      </c>
      <c r="I14" s="30">
        <v>152.1331319923984</v>
      </c>
      <c r="J14" s="30">
        <v>81.228020026456079</v>
      </c>
      <c r="K14" s="78" t="s">
        <v>2</v>
      </c>
      <c r="L14" s="1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s="8" customFormat="1" ht="15">
      <c r="A15" s="81" t="s">
        <v>23</v>
      </c>
      <c r="B15" s="71">
        <f t="shared" si="0"/>
        <v>2101.8988912779414</v>
      </c>
      <c r="C15" s="26"/>
      <c r="D15" s="30">
        <v>112.01474426878416</v>
      </c>
      <c r="E15" s="30">
        <v>1919.0865733198928</v>
      </c>
      <c r="F15" s="30">
        <v>13.493274711515124</v>
      </c>
      <c r="G15" s="30">
        <v>6.0142561618543339E-2</v>
      </c>
      <c r="H15" s="30">
        <v>17.312327560793495</v>
      </c>
      <c r="I15" s="30">
        <v>9.2522543773050892</v>
      </c>
      <c r="J15" s="30">
        <v>30.679574478031878</v>
      </c>
      <c r="K15" s="78" t="s">
        <v>3</v>
      </c>
      <c r="L15" s="1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s="8" customFormat="1" ht="15">
      <c r="A16" s="81" t="s">
        <v>24</v>
      </c>
      <c r="B16" s="71">
        <f t="shared" si="0"/>
        <v>1456.8490041561279</v>
      </c>
      <c r="C16" s="26"/>
      <c r="D16" s="30">
        <v>58.640549644186045</v>
      </c>
      <c r="E16" s="30">
        <v>1392.4993733482358</v>
      </c>
      <c r="F16" s="30">
        <v>3.2302375837056343</v>
      </c>
      <c r="G16" s="30">
        <v>0</v>
      </c>
      <c r="H16" s="30">
        <v>4.3069834449408456E-2</v>
      </c>
      <c r="I16" s="30">
        <v>2.9101239492843548E-2</v>
      </c>
      <c r="J16" s="30">
        <v>2.406672506058162</v>
      </c>
      <c r="K16" s="78" t="s">
        <v>4</v>
      </c>
      <c r="L16" s="1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s="3" customFormat="1" ht="15">
      <c r="A17" s="81" t="s">
        <v>25</v>
      </c>
      <c r="B17" s="71">
        <f t="shared" si="0"/>
        <v>5412.2595097082376</v>
      </c>
      <c r="C17" s="26"/>
      <c r="D17" s="30">
        <v>1306.5734821547321</v>
      </c>
      <c r="E17" s="30">
        <v>3707.9433039186229</v>
      </c>
      <c r="F17" s="30">
        <v>4.2371404701580202</v>
      </c>
      <c r="G17" s="30">
        <v>0.51435470762284552</v>
      </c>
      <c r="H17" s="30">
        <v>12.822588223230449</v>
      </c>
      <c r="I17" s="30">
        <v>17.560464016765689</v>
      </c>
      <c r="J17" s="30">
        <v>362.60817621710584</v>
      </c>
      <c r="K17" s="78" t="s">
        <v>5</v>
      </c>
      <c r="L17" s="1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s="3" customFormat="1" ht="15">
      <c r="A18" s="81" t="s">
        <v>26</v>
      </c>
      <c r="B18" s="71">
        <f t="shared" si="0"/>
        <v>3254.2377798601869</v>
      </c>
      <c r="C18" s="26"/>
      <c r="D18" s="30">
        <v>121.94253487636902</v>
      </c>
      <c r="E18" s="30">
        <v>1564.4914420317509</v>
      </c>
      <c r="F18" s="30">
        <v>5.2440433566104074</v>
      </c>
      <c r="G18" s="30">
        <v>11.000268528294862</v>
      </c>
      <c r="H18" s="30">
        <v>13.92280926860383</v>
      </c>
      <c r="I18" s="30">
        <v>22.752514446189561</v>
      </c>
      <c r="J18" s="30">
        <v>1514.8841673523682</v>
      </c>
      <c r="K18" s="78" t="s">
        <v>6</v>
      </c>
      <c r="L18" s="1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s="3" customFormat="1" ht="15">
      <c r="A19" s="81" t="s">
        <v>27</v>
      </c>
      <c r="B19" s="71">
        <f t="shared" si="0"/>
        <v>6563.5837207718096</v>
      </c>
      <c r="C19" s="26"/>
      <c r="D19" s="30">
        <v>3214.1668611718233</v>
      </c>
      <c r="E19" s="30">
        <v>2650.1715579365218</v>
      </c>
      <c r="F19" s="30">
        <v>33.627452275297145</v>
      </c>
      <c r="G19" s="30">
        <v>2.9101239492843548E-2</v>
      </c>
      <c r="H19" s="30">
        <v>125.44341494632039</v>
      </c>
      <c r="I19" s="30">
        <v>112.98032517357561</v>
      </c>
      <c r="J19" s="30">
        <v>427.16500802877829</v>
      </c>
      <c r="K19" s="78" t="s">
        <v>7</v>
      </c>
      <c r="L19" s="1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s="3" customFormat="1" ht="15">
      <c r="A20" s="81" t="s">
        <v>28</v>
      </c>
      <c r="B20" s="71">
        <f t="shared" si="0"/>
        <v>3277.1785756210088</v>
      </c>
      <c r="C20" s="26"/>
      <c r="D20" s="30">
        <v>1236.0327100910179</v>
      </c>
      <c r="E20" s="30">
        <v>1955.8134770432184</v>
      </c>
      <c r="F20" s="30">
        <v>8.2899730901946977</v>
      </c>
      <c r="G20" s="30">
        <v>0</v>
      </c>
      <c r="H20" s="30">
        <v>38.640489992813357</v>
      </c>
      <c r="I20" s="30">
        <v>26.184519262607481</v>
      </c>
      <c r="J20" s="30">
        <v>12.217406141157555</v>
      </c>
      <c r="K20" s="78" t="s">
        <v>8</v>
      </c>
      <c r="L20" s="16"/>
      <c r="X20" s="4"/>
      <c r="Y20" s="4"/>
      <c r="Z20" s="4"/>
      <c r="AA20" s="4"/>
      <c r="AB20" s="4"/>
      <c r="AC20" s="4"/>
      <c r="AD20" s="4"/>
      <c r="AE20" s="4"/>
    </row>
    <row r="21" spans="1:31" s="3" customFormat="1" ht="15">
      <c r="A21" s="81" t="s">
        <v>51</v>
      </c>
      <c r="B21" s="71">
        <f t="shared" si="0"/>
        <v>2686.8825685070651</v>
      </c>
      <c r="C21" s="26"/>
      <c r="D21" s="30">
        <v>264.68621083197684</v>
      </c>
      <c r="E21" s="30">
        <v>2374.851551144181</v>
      </c>
      <c r="F21" s="30">
        <v>0.10670454480709302</v>
      </c>
      <c r="G21" s="30">
        <v>8.3423553212818163E-2</v>
      </c>
      <c r="H21" s="30">
        <v>9.4501425046427308</v>
      </c>
      <c r="I21" s="30">
        <v>3.6411470853445844</v>
      </c>
      <c r="J21" s="30">
        <v>34.06338884289994</v>
      </c>
      <c r="K21" s="78" t="s">
        <v>9</v>
      </c>
      <c r="L21" s="16"/>
      <c r="X21" s="4"/>
      <c r="Y21" s="4"/>
      <c r="Z21" s="4"/>
      <c r="AA21" s="4"/>
      <c r="AB21" s="4"/>
      <c r="AC21" s="4"/>
      <c r="AD21" s="4"/>
      <c r="AE21" s="4"/>
    </row>
    <row r="22" spans="1:31" s="3" customFormat="1" ht="15">
      <c r="A22" s="81" t="s">
        <v>29</v>
      </c>
      <c r="B22" s="71">
        <f t="shared" si="0"/>
        <v>4856.4435251275618</v>
      </c>
      <c r="C22" s="26"/>
      <c r="D22" s="30">
        <v>317.55912474818604</v>
      </c>
      <c r="E22" s="30">
        <v>2791.1550412223119</v>
      </c>
      <c r="F22" s="30">
        <v>16.310274694422382</v>
      </c>
      <c r="G22" s="30">
        <v>27.809144459361288</v>
      </c>
      <c r="H22" s="30">
        <v>82.243983711661869</v>
      </c>
      <c r="I22" s="30">
        <v>18.972844433392865</v>
      </c>
      <c r="J22" s="30">
        <v>1602.3931118582252</v>
      </c>
      <c r="K22" s="78" t="s">
        <v>10</v>
      </c>
      <c r="L22" s="16"/>
      <c r="X22" s="4"/>
      <c r="Y22" s="4"/>
      <c r="Z22" s="4"/>
      <c r="AA22" s="4"/>
      <c r="AB22" s="4"/>
      <c r="AC22" s="4"/>
      <c r="AD22" s="4"/>
      <c r="AE22" s="4"/>
    </row>
    <row r="23" spans="1:31" s="3" customFormat="1" ht="15">
      <c r="A23" s="81" t="s">
        <v>30</v>
      </c>
      <c r="B23" s="71">
        <f t="shared" si="0"/>
        <v>778.2534712837853</v>
      </c>
      <c r="C23" s="26"/>
      <c r="D23" s="30">
        <v>162.85324437210963</v>
      </c>
      <c r="E23" s="30">
        <v>184.84835574391471</v>
      </c>
      <c r="F23" s="30">
        <v>0</v>
      </c>
      <c r="G23" s="30">
        <v>3.9344875794324481</v>
      </c>
      <c r="H23" s="30">
        <v>47.778027016497731</v>
      </c>
      <c r="I23" s="30">
        <v>17.971762492182044</v>
      </c>
      <c r="J23" s="30">
        <v>360.86759407964865</v>
      </c>
      <c r="K23" s="78" t="s">
        <v>11</v>
      </c>
      <c r="L23" s="16"/>
      <c r="X23" s="4"/>
      <c r="Y23" s="4"/>
      <c r="Z23" s="4"/>
      <c r="AA23" s="4"/>
      <c r="AB23" s="4"/>
      <c r="AC23" s="4"/>
      <c r="AD23" s="4"/>
      <c r="AE23" s="4"/>
    </row>
    <row r="24" spans="1:31" s="3" customFormat="1" ht="15">
      <c r="A24" s="81" t="s">
        <v>31</v>
      </c>
      <c r="B24" s="71">
        <f t="shared" si="0"/>
        <v>3617.0414694011315</v>
      </c>
      <c r="C24" s="26"/>
      <c r="D24" s="30">
        <v>1956.0615108767283</v>
      </c>
      <c r="E24" s="30">
        <v>1518.976191250242</v>
      </c>
      <c r="F24" s="30">
        <v>2.8131198176415433</v>
      </c>
      <c r="G24" s="31">
        <v>2.5958305627616447</v>
      </c>
      <c r="H24" s="30">
        <v>35.096094906448073</v>
      </c>
      <c r="I24" s="30">
        <v>27.463810361789989</v>
      </c>
      <c r="J24" s="30">
        <v>74.034911625520309</v>
      </c>
      <c r="K24" s="78" t="s">
        <v>12</v>
      </c>
      <c r="L24" s="16"/>
      <c r="X24" s="4"/>
      <c r="Y24" s="4"/>
      <c r="Z24" s="4"/>
      <c r="AA24" s="4"/>
      <c r="AB24" s="4"/>
      <c r="AC24" s="4"/>
      <c r="AD24" s="4"/>
      <c r="AE24" s="4"/>
    </row>
    <row r="25" spans="1:31" s="3" customFormat="1" ht="15">
      <c r="A25" s="81" t="s">
        <v>32</v>
      </c>
      <c r="B25" s="71">
        <f t="shared" si="0"/>
        <v>2855.8977392270026</v>
      </c>
      <c r="C25" s="26"/>
      <c r="D25" s="30">
        <v>170.37443831508168</v>
      </c>
      <c r="E25" s="30">
        <v>1766.1615389322001</v>
      </c>
      <c r="F25" s="30">
        <v>281.49685223823923</v>
      </c>
      <c r="G25" s="30">
        <v>0.58202478985687101</v>
      </c>
      <c r="H25" s="30">
        <v>19.212832321438597</v>
      </c>
      <c r="I25" s="30">
        <v>8.4339274583791273</v>
      </c>
      <c r="J25" s="30">
        <v>609.63612517180684</v>
      </c>
      <c r="K25" s="78" t="s">
        <v>13</v>
      </c>
      <c r="L25" s="16"/>
      <c r="X25" s="4"/>
      <c r="Y25" s="4"/>
      <c r="Z25" s="4"/>
      <c r="AA25" s="4"/>
      <c r="AB25" s="4"/>
      <c r="AC25" s="4"/>
      <c r="AD25" s="4"/>
      <c r="AE25" s="4"/>
    </row>
    <row r="26" spans="1:31" s="3" customFormat="1" ht="15">
      <c r="A26" s="81" t="s">
        <v>33</v>
      </c>
      <c r="B26" s="71">
        <f t="shared" si="0"/>
        <v>5558.4618312959838</v>
      </c>
      <c r="C26" s="26"/>
      <c r="D26" s="30">
        <v>1435.6454724459409</v>
      </c>
      <c r="E26" s="30">
        <v>4037.1406025103938</v>
      </c>
      <c r="F26" s="30">
        <v>29.000355195935025</v>
      </c>
      <c r="G26" s="30">
        <v>1.1640495797137419E-2</v>
      </c>
      <c r="H26" s="30">
        <v>43.632225603020835</v>
      </c>
      <c r="I26" s="30">
        <v>1.0301838780466619</v>
      </c>
      <c r="J26" s="30">
        <v>12.001351166848682</v>
      </c>
      <c r="K26" s="78" t="s">
        <v>14</v>
      </c>
      <c r="L26" s="16"/>
      <c r="M26" s="32"/>
      <c r="N26" s="32"/>
      <c r="O26" s="32"/>
      <c r="P26" s="32"/>
      <c r="Q26" s="32"/>
      <c r="R26" s="32"/>
      <c r="S26" s="32"/>
      <c r="T26" s="32"/>
    </row>
    <row r="27" spans="1:31" ht="15">
      <c r="A27" s="81" t="s">
        <v>34</v>
      </c>
      <c r="B27" s="71">
        <f t="shared" si="0"/>
        <v>3832.1071489999445</v>
      </c>
      <c r="C27" s="26"/>
      <c r="D27" s="30">
        <v>2348.8582376073095</v>
      </c>
      <c r="E27" s="30">
        <v>1342.9916074916098</v>
      </c>
      <c r="F27" s="30">
        <v>7.863154910966327</v>
      </c>
      <c r="G27" s="30">
        <v>1.841138418580569</v>
      </c>
      <c r="H27" s="30">
        <v>39.08393468020531</v>
      </c>
      <c r="I27" s="30">
        <v>15.777139986913488</v>
      </c>
      <c r="J27" s="30">
        <v>75.691935904359511</v>
      </c>
      <c r="K27" s="78" t="s">
        <v>15</v>
      </c>
      <c r="L27" s="16"/>
    </row>
    <row r="28" spans="1:31" ht="15">
      <c r="A28" s="81" t="s">
        <v>35</v>
      </c>
      <c r="B28" s="71">
        <f t="shared" si="0"/>
        <v>14670.648390734787</v>
      </c>
      <c r="C28" s="26"/>
      <c r="D28" s="30">
        <v>11033.113157227786</v>
      </c>
      <c r="E28" s="30">
        <v>3426.3770277634512</v>
      </c>
      <c r="F28" s="30">
        <v>35.881828294676097</v>
      </c>
      <c r="G28" s="30">
        <v>2.2310950277846721E-2</v>
      </c>
      <c r="H28" s="30">
        <v>96.134392598502373</v>
      </c>
      <c r="I28" s="30">
        <v>71.617568367098144</v>
      </c>
      <c r="J28" s="30">
        <v>7.5021055329917825</v>
      </c>
      <c r="K28" s="78" t="s">
        <v>16</v>
      </c>
      <c r="L28" s="16"/>
    </row>
    <row r="29" spans="1:31" ht="15">
      <c r="A29" s="81" t="s">
        <v>36</v>
      </c>
      <c r="B29" s="71">
        <f t="shared" si="0"/>
        <v>19576.91873198684</v>
      </c>
      <c r="C29" s="26"/>
      <c r="D29" s="30">
        <v>16297.311962527037</v>
      </c>
      <c r="E29" s="30">
        <v>3153.4104084486626</v>
      </c>
      <c r="F29" s="30">
        <v>78.631549109663254</v>
      </c>
      <c r="G29" s="31">
        <v>2.3280991594274839E-2</v>
      </c>
      <c r="H29" s="30">
        <v>26.151925874375483</v>
      </c>
      <c r="I29" s="30">
        <v>5.3554040997363552</v>
      </c>
      <c r="J29" s="30">
        <v>16.03420093576694</v>
      </c>
      <c r="K29" s="78" t="s">
        <v>17</v>
      </c>
      <c r="L29" s="16"/>
    </row>
    <row r="30" spans="1:31" ht="15">
      <c r="A30" s="81" t="s">
        <v>37</v>
      </c>
      <c r="B30" s="71">
        <f t="shared" si="0"/>
        <v>10485.499486109853</v>
      </c>
      <c r="C30" s="26"/>
      <c r="D30" s="30">
        <v>9154.4393674094827</v>
      </c>
      <c r="E30" s="30">
        <v>1318.0169431596787</v>
      </c>
      <c r="F30" s="30">
        <v>0</v>
      </c>
      <c r="G30" s="30">
        <v>0</v>
      </c>
      <c r="H30" s="30">
        <v>13.031535044895342</v>
      </c>
      <c r="I30" s="30">
        <v>0</v>
      </c>
      <c r="J30" s="30">
        <v>1.1640495797137419E-2</v>
      </c>
      <c r="K30" s="78" t="s">
        <v>18</v>
      </c>
      <c r="L30" s="16"/>
    </row>
    <row r="31" spans="1:31" ht="15">
      <c r="A31" s="81" t="s">
        <v>38</v>
      </c>
      <c r="B31" s="71">
        <f t="shared" si="0"/>
        <v>4130.4595743684713</v>
      </c>
      <c r="C31" s="26"/>
      <c r="D31" s="30">
        <v>2613.2022563581095</v>
      </c>
      <c r="E31" s="30">
        <v>1501.9657807048791</v>
      </c>
      <c r="F31" s="30">
        <v>0</v>
      </c>
      <c r="G31" s="30">
        <v>0</v>
      </c>
      <c r="H31" s="30">
        <v>13.819208593834974</v>
      </c>
      <c r="I31" s="30">
        <v>0.94482024220098726</v>
      </c>
      <c r="J31" s="30">
        <v>0.52750846944628671</v>
      </c>
      <c r="K31" s="78" t="s">
        <v>19</v>
      </c>
      <c r="L31" s="16"/>
    </row>
    <row r="32" spans="1:31" ht="15">
      <c r="A32" s="82" t="s">
        <v>3</v>
      </c>
      <c r="B32" s="72">
        <f t="shared" si="0"/>
        <v>7643.7294793641468</v>
      </c>
      <c r="C32" s="33"/>
      <c r="D32" s="34">
        <v>5923.0326756647255</v>
      </c>
      <c r="E32" s="34">
        <v>1631.0618235935576</v>
      </c>
      <c r="F32" s="34">
        <v>12.765898930804662</v>
      </c>
      <c r="G32" s="34">
        <v>6.9842974782824516E-2</v>
      </c>
      <c r="H32" s="34">
        <v>17.125497416748573</v>
      </c>
      <c r="I32" s="34">
        <v>11.397403443240531</v>
      </c>
      <c r="J32" s="34">
        <v>48.276337340288002</v>
      </c>
      <c r="K32" s="79" t="s">
        <v>20</v>
      </c>
      <c r="L32" s="35"/>
    </row>
    <row r="33" spans="1:29" ht="15">
      <c r="A33" s="1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6" t="s">
        <v>41</v>
      </c>
    </row>
    <row r="34" spans="1:29" s="7" customFormat="1" ht="19.5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2"/>
      <c r="L34" s="2"/>
      <c r="M34" s="2"/>
      <c r="N34" s="1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s="7" customFormat="1" ht="19.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s="10" customForma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s="12" customFormat="1" ht="15">
      <c r="A37" s="85"/>
      <c r="B37" s="85"/>
      <c r="C37" s="85"/>
      <c r="D37" s="85"/>
      <c r="E37" s="85"/>
      <c r="F37" s="85"/>
      <c r="G37" s="85"/>
      <c r="H37" s="85"/>
      <c r="I37" s="85"/>
      <c r="J37" s="85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s="10" customFormat="1" ht="12">
      <c r="A38" s="86"/>
      <c r="B38" s="86"/>
      <c r="C38" s="86"/>
      <c r="D38" s="86"/>
      <c r="E38" s="86"/>
      <c r="F38" s="86"/>
      <c r="G38" s="86"/>
      <c r="H38" s="86"/>
      <c r="I38" s="86"/>
      <c r="J38" s="86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s="8" customFormat="1" ht="15">
      <c r="A39" s="36"/>
      <c r="B39" s="37"/>
      <c r="C39" s="37"/>
      <c r="D39" s="38"/>
      <c r="E39" s="39"/>
      <c r="F39" s="40"/>
      <c r="G39" s="39"/>
      <c r="H39" s="41"/>
      <c r="I39" s="42"/>
      <c r="J39" s="4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s="8" customFormat="1" ht="15">
      <c r="A40" s="37"/>
      <c r="B40" s="44"/>
      <c r="C40" s="44"/>
      <c r="D40" s="44"/>
      <c r="E40" s="44"/>
      <c r="F40" s="44"/>
      <c r="G40" s="44"/>
      <c r="H40" s="44"/>
      <c r="I40" s="44"/>
      <c r="J40" s="4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s="10" customFormat="1" ht="12">
      <c r="A41" s="45"/>
      <c r="B41" s="46"/>
      <c r="C41" s="46"/>
      <c r="D41" s="47"/>
      <c r="E41" s="47"/>
      <c r="F41" s="47"/>
      <c r="G41" s="47"/>
      <c r="H41" s="47"/>
      <c r="I41" s="47"/>
      <c r="J41" s="4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s="8" customFormat="1" ht="15">
      <c r="A42" s="37"/>
      <c r="B42" s="48"/>
      <c r="C42" s="48"/>
      <c r="D42" s="49"/>
      <c r="E42" s="49"/>
      <c r="F42" s="49"/>
      <c r="G42" s="49"/>
      <c r="H42" s="49"/>
      <c r="I42" s="49"/>
      <c r="J42" s="4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s="8" customFormat="1" ht="15">
      <c r="A43" s="37"/>
      <c r="B43" s="50"/>
      <c r="C43" s="50"/>
      <c r="D43" s="51"/>
      <c r="E43" s="51"/>
      <c r="F43" s="51"/>
      <c r="G43" s="51"/>
      <c r="H43" s="51"/>
      <c r="I43" s="51"/>
      <c r="J43" s="4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s="8" customFormat="1" ht="15">
      <c r="A44" s="37"/>
      <c r="B44" s="50"/>
      <c r="C44" s="50"/>
      <c r="D44" s="50"/>
      <c r="E44" s="50"/>
      <c r="F44" s="50"/>
      <c r="G44" s="50"/>
      <c r="H44" s="50"/>
      <c r="I44" s="50"/>
      <c r="J44" s="4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8" customFormat="1" ht="15">
      <c r="A45" s="37"/>
      <c r="B45" s="49"/>
      <c r="C45" s="49"/>
      <c r="D45" s="52"/>
      <c r="E45" s="51"/>
      <c r="F45" s="53"/>
      <c r="G45" s="53"/>
      <c r="H45" s="53"/>
      <c r="I45" s="51"/>
      <c r="J45" s="4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8" customFormat="1" ht="15">
      <c r="A46" s="54"/>
      <c r="B46" s="49"/>
      <c r="C46" s="49"/>
      <c r="D46" s="55"/>
      <c r="E46" s="56"/>
      <c r="F46" s="56"/>
      <c r="G46" s="56"/>
      <c r="H46" s="56"/>
      <c r="I46" s="56"/>
      <c r="J46" s="5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s="8" customFormat="1" ht="15">
      <c r="A47" s="54"/>
      <c r="B47" s="49"/>
      <c r="C47" s="49"/>
      <c r="D47" s="55"/>
      <c r="E47" s="56"/>
      <c r="F47" s="56"/>
      <c r="G47" s="56"/>
      <c r="H47" s="56"/>
      <c r="I47" s="56"/>
      <c r="J47" s="5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s="8" customFormat="1" ht="15">
      <c r="A48" s="54"/>
      <c r="B48" s="49"/>
      <c r="C48" s="49"/>
      <c r="D48" s="55"/>
      <c r="E48" s="56"/>
      <c r="F48" s="56"/>
      <c r="G48" s="56"/>
      <c r="H48" s="56"/>
      <c r="I48" s="56"/>
      <c r="J48" s="5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s="8" customFormat="1" ht="15">
      <c r="A49" s="54"/>
      <c r="B49" s="49"/>
      <c r="C49" s="49"/>
      <c r="D49" s="55"/>
      <c r="E49" s="56"/>
      <c r="F49" s="58"/>
      <c r="G49" s="56"/>
      <c r="H49" s="56"/>
      <c r="I49" s="56"/>
      <c r="J49" s="5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s="3" customFormat="1" ht="15">
      <c r="A50" s="54"/>
      <c r="B50" s="49"/>
      <c r="C50" s="49"/>
      <c r="D50" s="55"/>
      <c r="E50" s="56"/>
      <c r="F50" s="56"/>
      <c r="G50" s="56"/>
      <c r="H50" s="56"/>
      <c r="I50" s="56"/>
      <c r="J50" s="5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s="3" customFormat="1" ht="15">
      <c r="A51" s="54"/>
      <c r="B51" s="49"/>
      <c r="C51" s="49"/>
      <c r="D51" s="55"/>
      <c r="E51" s="56"/>
      <c r="F51" s="56"/>
      <c r="G51" s="56"/>
      <c r="H51" s="56"/>
      <c r="I51" s="56"/>
      <c r="J51" s="5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s="3" customFormat="1" ht="15">
      <c r="A52" s="54"/>
      <c r="B52" s="49"/>
      <c r="C52" s="49"/>
      <c r="D52" s="55"/>
      <c r="E52" s="56"/>
      <c r="F52" s="56"/>
      <c r="G52" s="56"/>
      <c r="H52" s="56"/>
      <c r="I52" s="56"/>
      <c r="J52" s="5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s="3" customFormat="1" ht="15">
      <c r="A53" s="54"/>
      <c r="B53" s="49"/>
      <c r="C53" s="49"/>
      <c r="D53" s="55"/>
      <c r="E53" s="56"/>
      <c r="F53" s="56"/>
      <c r="G53" s="56"/>
      <c r="H53" s="56"/>
      <c r="I53" s="56"/>
      <c r="J53" s="57"/>
      <c r="V53" s="4"/>
      <c r="W53" s="4"/>
      <c r="X53" s="4"/>
      <c r="Y53" s="4"/>
      <c r="Z53" s="4"/>
      <c r="AA53" s="4"/>
      <c r="AB53" s="4"/>
      <c r="AC53" s="4"/>
    </row>
    <row r="54" spans="1:29" s="3" customFormat="1" ht="15">
      <c r="A54" s="54"/>
      <c r="B54" s="49"/>
      <c r="C54" s="49"/>
      <c r="D54" s="55"/>
      <c r="E54" s="56"/>
      <c r="F54" s="56"/>
      <c r="G54" s="56"/>
      <c r="H54" s="56"/>
      <c r="I54" s="56"/>
      <c r="J54" s="57"/>
      <c r="V54" s="4"/>
      <c r="W54" s="4"/>
      <c r="X54" s="4"/>
      <c r="Y54" s="4"/>
      <c r="Z54" s="4"/>
      <c r="AA54" s="4"/>
      <c r="AB54" s="4"/>
      <c r="AC54" s="4"/>
    </row>
    <row r="55" spans="1:29" s="3" customFormat="1" ht="15">
      <c r="A55" s="54"/>
      <c r="B55" s="49"/>
      <c r="C55" s="49"/>
      <c r="D55" s="55"/>
      <c r="E55" s="56"/>
      <c r="F55" s="56"/>
      <c r="G55" s="56"/>
      <c r="H55" s="56"/>
      <c r="I55" s="56"/>
      <c r="J55" s="57"/>
      <c r="V55" s="4"/>
      <c r="W55" s="4"/>
      <c r="X55" s="4"/>
      <c r="Y55" s="4"/>
      <c r="Z55" s="4"/>
      <c r="AA55" s="4"/>
      <c r="AB55" s="4"/>
      <c r="AC55" s="4"/>
    </row>
    <row r="56" spans="1:29" s="3" customFormat="1" ht="15">
      <c r="A56" s="54"/>
      <c r="B56" s="49"/>
      <c r="C56" s="49"/>
      <c r="D56" s="55"/>
      <c r="E56" s="56"/>
      <c r="F56" s="56"/>
      <c r="G56" s="56"/>
      <c r="H56" s="56"/>
      <c r="I56" s="56"/>
      <c r="J56" s="57"/>
      <c r="V56" s="4"/>
      <c r="W56" s="4"/>
      <c r="X56" s="4"/>
      <c r="Y56" s="4"/>
      <c r="Z56" s="4"/>
      <c r="AA56" s="4"/>
      <c r="AB56" s="4"/>
      <c r="AC56" s="4"/>
    </row>
    <row r="57" spans="1:29" s="3" customFormat="1" ht="15">
      <c r="A57" s="54"/>
      <c r="B57" s="49"/>
      <c r="C57" s="49"/>
      <c r="D57" s="55"/>
      <c r="E57" s="56"/>
      <c r="F57" s="59"/>
      <c r="G57" s="56"/>
      <c r="H57" s="56"/>
      <c r="I57" s="56"/>
      <c r="J57" s="57"/>
      <c r="V57" s="4"/>
      <c r="W57" s="4"/>
      <c r="X57" s="4"/>
      <c r="Y57" s="4"/>
      <c r="Z57" s="4"/>
      <c r="AA57" s="4"/>
      <c r="AB57" s="4"/>
      <c r="AC57" s="4"/>
    </row>
    <row r="58" spans="1:29" s="3" customFormat="1" ht="15">
      <c r="A58" s="54"/>
      <c r="B58" s="49"/>
      <c r="C58" s="49"/>
      <c r="D58" s="55"/>
      <c r="E58" s="56"/>
      <c r="F58" s="56"/>
      <c r="G58" s="56"/>
      <c r="H58" s="56"/>
      <c r="I58" s="56"/>
      <c r="J58" s="57"/>
      <c r="V58" s="4"/>
      <c r="W58" s="4"/>
      <c r="X58" s="4"/>
      <c r="Y58" s="4"/>
      <c r="Z58" s="4"/>
      <c r="AA58" s="4"/>
      <c r="AB58" s="4"/>
      <c r="AC58" s="4"/>
    </row>
    <row r="59" spans="1:29" s="3" customFormat="1" ht="15">
      <c r="A59" s="54"/>
      <c r="B59" s="49"/>
      <c r="C59" s="49"/>
      <c r="D59" s="55"/>
      <c r="E59" s="56"/>
      <c r="F59" s="56"/>
      <c r="G59" s="56"/>
      <c r="H59" s="56"/>
      <c r="I59" s="56"/>
      <c r="J59" s="57"/>
      <c r="K59" s="32"/>
      <c r="L59" s="32"/>
      <c r="M59" s="32"/>
      <c r="N59" s="32"/>
      <c r="O59" s="32"/>
      <c r="P59" s="32"/>
      <c r="Q59" s="32"/>
      <c r="R59" s="32"/>
    </row>
    <row r="60" spans="1:29" ht="15">
      <c r="A60" s="54"/>
      <c r="B60" s="49"/>
      <c r="C60" s="49"/>
      <c r="D60" s="55"/>
      <c r="E60" s="56"/>
      <c r="F60" s="56"/>
      <c r="G60" s="56"/>
      <c r="H60" s="56"/>
      <c r="I60" s="56"/>
      <c r="J60" s="57"/>
    </row>
    <row r="61" spans="1:29" ht="15">
      <c r="A61" s="54"/>
      <c r="B61" s="49"/>
      <c r="C61" s="49"/>
      <c r="D61" s="55"/>
      <c r="E61" s="56"/>
      <c r="F61" s="56"/>
      <c r="G61" s="56"/>
      <c r="H61" s="56"/>
      <c r="I61" s="56"/>
      <c r="J61" s="57"/>
    </row>
    <row r="62" spans="1:29" ht="15">
      <c r="A62" s="54"/>
      <c r="B62" s="49"/>
      <c r="C62" s="49"/>
      <c r="D62" s="55"/>
      <c r="E62" s="56"/>
      <c r="F62" s="60"/>
      <c r="G62" s="58"/>
      <c r="H62" s="56"/>
      <c r="I62" s="56"/>
      <c r="J62" s="57"/>
    </row>
    <row r="63" spans="1:29" ht="15">
      <c r="A63" s="54"/>
      <c r="B63" s="49"/>
      <c r="C63" s="49"/>
      <c r="D63" s="55"/>
      <c r="E63" s="56"/>
      <c r="F63" s="58"/>
      <c r="G63" s="56"/>
      <c r="H63" s="56"/>
      <c r="I63" s="56"/>
      <c r="J63" s="57"/>
    </row>
    <row r="64" spans="1:29" ht="15">
      <c r="A64" s="54"/>
      <c r="B64" s="49"/>
      <c r="C64" s="49"/>
      <c r="D64" s="55"/>
      <c r="E64" s="56"/>
      <c r="F64" s="58"/>
      <c r="G64" s="58"/>
      <c r="H64" s="58"/>
      <c r="I64" s="56"/>
      <c r="J64" s="57"/>
    </row>
    <row r="65" spans="1:10" ht="15">
      <c r="A65" s="54"/>
      <c r="B65" s="49"/>
      <c r="C65" s="49"/>
      <c r="D65" s="55"/>
      <c r="E65" s="56"/>
      <c r="F65" s="58"/>
      <c r="G65" s="58"/>
      <c r="H65" s="58"/>
      <c r="I65" s="56"/>
      <c r="J65" s="57"/>
    </row>
    <row r="66" spans="1:10" ht="15">
      <c r="A66" s="61"/>
      <c r="B66" s="62"/>
      <c r="C66" s="62"/>
      <c r="D66" s="62"/>
      <c r="E66" s="62"/>
      <c r="F66" s="62"/>
      <c r="G66" s="62"/>
      <c r="H66" s="62"/>
      <c r="I66" s="62"/>
      <c r="J66" s="63"/>
    </row>
    <row r="67" spans="1:10">
      <c r="A67" s="5"/>
    </row>
    <row r="71" spans="1:10">
      <c r="B71" s="65"/>
      <c r="C71" s="65"/>
      <c r="D71" s="65"/>
      <c r="E71" s="65"/>
      <c r="F71" s="65"/>
      <c r="G71" s="65"/>
      <c r="H71" s="65"/>
      <c r="I71" s="65"/>
    </row>
    <row r="72" spans="1:10">
      <c r="B72" s="65"/>
      <c r="C72" s="65"/>
      <c r="D72" s="65"/>
      <c r="E72" s="65"/>
      <c r="F72" s="65"/>
      <c r="G72" s="65"/>
      <c r="H72" s="65"/>
      <c r="I72" s="65"/>
    </row>
    <row r="73" spans="1:10">
      <c r="B73" s="65"/>
      <c r="C73" s="65"/>
      <c r="D73" s="65"/>
      <c r="E73" s="65"/>
      <c r="F73" s="65"/>
      <c r="G73" s="65"/>
      <c r="H73" s="65"/>
      <c r="I73" s="65"/>
    </row>
    <row r="74" spans="1:10">
      <c r="B74" s="65"/>
      <c r="C74" s="65"/>
      <c r="D74" s="65"/>
      <c r="E74" s="65"/>
      <c r="F74" s="65"/>
      <c r="G74" s="65"/>
      <c r="H74" s="65"/>
      <c r="I74" s="65"/>
    </row>
    <row r="75" spans="1:10">
      <c r="B75" s="65"/>
      <c r="C75" s="65"/>
      <c r="D75" s="65"/>
      <c r="E75" s="65"/>
      <c r="F75" s="65"/>
      <c r="G75" s="65"/>
      <c r="H75" s="65"/>
      <c r="I75" s="65"/>
    </row>
    <row r="76" spans="1:10">
      <c r="B76" s="65"/>
      <c r="C76" s="65"/>
      <c r="D76" s="65"/>
      <c r="E76" s="65"/>
      <c r="F76" s="65"/>
      <c r="G76" s="65"/>
      <c r="H76" s="65"/>
      <c r="I76" s="65"/>
    </row>
    <row r="77" spans="1:10">
      <c r="B77" s="65"/>
      <c r="C77" s="65"/>
      <c r="D77" s="65"/>
      <c r="E77" s="65"/>
      <c r="F77" s="65"/>
      <c r="G77" s="65"/>
      <c r="H77" s="65"/>
      <c r="I77" s="65"/>
    </row>
    <row r="78" spans="1:10">
      <c r="B78" s="65"/>
      <c r="C78" s="65"/>
      <c r="D78" s="65"/>
      <c r="E78" s="65"/>
      <c r="F78" s="65"/>
      <c r="G78" s="65"/>
      <c r="H78" s="65"/>
      <c r="I78" s="65"/>
    </row>
    <row r="79" spans="1:10">
      <c r="B79" s="65"/>
      <c r="C79" s="65"/>
      <c r="D79" s="65"/>
      <c r="E79" s="65"/>
      <c r="F79" s="65"/>
      <c r="G79" s="65"/>
      <c r="H79" s="65"/>
      <c r="I79" s="65"/>
    </row>
    <row r="80" spans="1:10">
      <c r="B80" s="65"/>
      <c r="C80" s="65"/>
      <c r="D80" s="65"/>
      <c r="E80" s="65"/>
      <c r="F80" s="65"/>
      <c r="G80" s="65"/>
      <c r="H80" s="65"/>
      <c r="I80" s="65"/>
    </row>
    <row r="81" spans="2:9">
      <c r="B81" s="65"/>
      <c r="C81" s="65"/>
      <c r="D81" s="65"/>
      <c r="E81" s="65"/>
      <c r="F81" s="65"/>
      <c r="G81" s="65"/>
      <c r="H81" s="65"/>
      <c r="I81" s="65"/>
    </row>
    <row r="82" spans="2:9">
      <c r="B82" s="65"/>
      <c r="C82" s="65"/>
      <c r="D82" s="65"/>
      <c r="E82" s="65"/>
      <c r="F82" s="65"/>
      <c r="G82" s="65"/>
      <c r="H82" s="65"/>
      <c r="I82" s="65"/>
    </row>
    <row r="83" spans="2:9">
      <c r="B83" s="65"/>
      <c r="C83" s="65"/>
      <c r="D83" s="65"/>
      <c r="E83" s="65"/>
      <c r="F83" s="65"/>
      <c r="G83" s="65"/>
      <c r="H83" s="65"/>
      <c r="I83" s="65"/>
    </row>
    <row r="84" spans="2:9">
      <c r="B84" s="65"/>
      <c r="C84" s="65"/>
      <c r="D84" s="65"/>
      <c r="E84" s="65"/>
      <c r="F84" s="65"/>
      <c r="G84" s="65"/>
      <c r="H84" s="65"/>
      <c r="I84" s="65"/>
    </row>
    <row r="85" spans="2:9">
      <c r="B85" s="65"/>
      <c r="C85" s="65"/>
      <c r="D85" s="65"/>
      <c r="E85" s="65"/>
      <c r="F85" s="65"/>
      <c r="G85" s="65"/>
      <c r="H85" s="65"/>
      <c r="I85" s="65"/>
    </row>
    <row r="86" spans="2:9" ht="16.5" customHeight="1">
      <c r="B86" s="65"/>
      <c r="C86" s="65"/>
      <c r="D86" s="65"/>
      <c r="E86" s="65"/>
      <c r="F86" s="65"/>
      <c r="G86" s="65"/>
      <c r="H86" s="65"/>
      <c r="I86" s="65"/>
    </row>
    <row r="87" spans="2:9" ht="16.5" customHeight="1">
      <c r="B87" s="65"/>
      <c r="C87" s="65"/>
      <c r="D87" s="65"/>
      <c r="E87" s="65"/>
      <c r="F87" s="65"/>
      <c r="G87" s="65"/>
      <c r="H87" s="65"/>
      <c r="I87" s="65"/>
    </row>
    <row r="88" spans="2:9" ht="16.5" customHeight="1">
      <c r="B88" s="65"/>
      <c r="C88" s="65"/>
      <c r="D88" s="65"/>
      <c r="E88" s="65"/>
      <c r="F88" s="65"/>
      <c r="G88" s="65"/>
      <c r="H88" s="65"/>
      <c r="I88" s="65"/>
    </row>
    <row r="89" spans="2:9" ht="16.5" customHeight="1">
      <c r="B89" s="65"/>
      <c r="C89" s="65"/>
      <c r="D89" s="65"/>
      <c r="E89" s="65"/>
      <c r="F89" s="65"/>
      <c r="G89" s="65"/>
      <c r="H89" s="65"/>
      <c r="I89" s="65"/>
    </row>
    <row r="90" spans="2:9" ht="16.5" customHeight="1">
      <c r="B90" s="65"/>
      <c r="C90" s="65"/>
      <c r="D90" s="65"/>
      <c r="E90" s="65"/>
      <c r="F90" s="65"/>
      <c r="G90" s="65"/>
      <c r="H90" s="65"/>
      <c r="I90" s="65"/>
    </row>
    <row r="91" spans="2:9" ht="16.5" customHeight="1">
      <c r="B91" s="65"/>
      <c r="C91" s="65"/>
      <c r="D91" s="65"/>
      <c r="E91" s="65"/>
      <c r="F91" s="65"/>
      <c r="G91" s="65"/>
      <c r="H91" s="65"/>
      <c r="I91" s="65"/>
    </row>
    <row r="92" spans="2:9" ht="16.5" customHeight="1">
      <c r="B92" s="65"/>
      <c r="C92" s="65"/>
      <c r="D92" s="65"/>
      <c r="E92" s="65"/>
      <c r="F92" s="65"/>
      <c r="G92" s="65"/>
      <c r="H92" s="65"/>
      <c r="I92" s="65"/>
    </row>
    <row r="93" spans="2:9" ht="16.5" customHeight="1"/>
    <row r="94" spans="2:9" ht="16.5" customHeight="1"/>
    <row r="95" spans="2:9" ht="16.5" customHeight="1"/>
    <row r="96" spans="2:9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</sheetData>
  <mergeCells count="11">
    <mergeCell ref="A35:J35"/>
    <mergeCell ref="A36:J36"/>
    <mergeCell ref="A37:J37"/>
    <mergeCell ref="A38:J38"/>
    <mergeCell ref="A1:K1"/>
    <mergeCell ref="A2:K2"/>
    <mergeCell ref="A3:K3"/>
    <mergeCell ref="A4:K4"/>
    <mergeCell ref="A34:J34"/>
    <mergeCell ref="D6:E6"/>
    <mergeCell ref="H6:J6"/>
  </mergeCells>
  <pageMargins left="0.25" right="0.33" top="0.53" bottom="0.51" header="0.3" footer="0.3"/>
  <pageSetup paperSize="9" scale="75" orientation="portrait" r:id="rId1"/>
  <ignoredErrors>
    <ignoredError sqref="D11:J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2016-01-17T08:13:54Z</cp:lastPrinted>
  <dcterms:created xsi:type="dcterms:W3CDTF">2014-03-04T03:52:57Z</dcterms:created>
  <dcterms:modified xsi:type="dcterms:W3CDTF">2016-01-17T08:13:57Z</dcterms:modified>
</cp:coreProperties>
</file>