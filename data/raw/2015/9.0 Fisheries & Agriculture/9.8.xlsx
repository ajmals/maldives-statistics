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8" sheetId="24" r:id="rId1"/>
  </sheets>
  <definedNames>
    <definedName name="_xlnm.Print_Area" localSheetId="0">'9.8'!$A$1:$L$57</definedName>
  </definedNames>
  <calcPr calcId="144525"/>
</workbook>
</file>

<file path=xl/calcChain.xml><?xml version="1.0" encoding="utf-8"?>
<calcChain xmlns="http://schemas.openxmlformats.org/spreadsheetml/2006/main">
  <c r="F23" i="24" l="1"/>
  <c r="D23" i="24"/>
  <c r="F15" i="24"/>
  <c r="D15" i="24"/>
  <c r="B14" i="24"/>
  <c r="B13" i="24"/>
  <c r="B12" i="24"/>
  <c r="B11" i="24"/>
  <c r="B10" i="24"/>
  <c r="B9" i="24"/>
  <c r="J27" i="24" s="1"/>
  <c r="B8" i="24"/>
  <c r="J26" i="24" s="1"/>
  <c r="B7" i="24"/>
  <c r="J6" i="24"/>
  <c r="I6" i="24"/>
  <c r="I16" i="24" s="1"/>
  <c r="H6" i="24"/>
  <c r="G6" i="24"/>
  <c r="F6" i="24"/>
  <c r="F20" i="24" s="1"/>
  <c r="E6" i="24"/>
  <c r="D6" i="24"/>
  <c r="D22" i="24" s="1"/>
  <c r="C6" i="24"/>
  <c r="C17" i="24" l="1"/>
  <c r="C16" i="24"/>
  <c r="D19" i="24"/>
  <c r="C25" i="24"/>
  <c r="J25" i="24"/>
  <c r="F19" i="24"/>
  <c r="J31" i="24"/>
  <c r="C32" i="24"/>
  <c r="B32" i="24" s="1"/>
  <c r="F31" i="24"/>
  <c r="J17" i="24"/>
  <c r="J18" i="24"/>
  <c r="J19" i="24"/>
  <c r="J20" i="24"/>
  <c r="J21" i="24"/>
  <c r="J16" i="24"/>
  <c r="J22" i="24"/>
  <c r="J15" i="24"/>
  <c r="J23" i="24"/>
  <c r="J30" i="24"/>
  <c r="J29" i="24"/>
  <c r="J28" i="24"/>
  <c r="G28" i="24"/>
  <c r="D17" i="24"/>
  <c r="D21" i="24"/>
  <c r="G25" i="24"/>
  <c r="F17" i="24"/>
  <c r="F21" i="24"/>
  <c r="F28" i="24"/>
  <c r="F18" i="24"/>
  <c r="F22" i="24"/>
  <c r="F26" i="24"/>
  <c r="F30" i="24"/>
  <c r="G26" i="24"/>
  <c r="H26" i="24"/>
  <c r="D16" i="24"/>
  <c r="D20" i="24"/>
  <c r="D25" i="24"/>
  <c r="F27" i="24"/>
  <c r="F16" i="24"/>
  <c r="F25" i="24"/>
  <c r="D28" i="24"/>
  <c r="H25" i="24"/>
  <c r="D18" i="24"/>
  <c r="D26" i="24"/>
  <c r="H28" i="24"/>
  <c r="C15" i="24"/>
  <c r="C18" i="24"/>
  <c r="C19" i="24"/>
  <c r="C20" i="24"/>
  <c r="C21" i="24"/>
  <c r="C22" i="24"/>
  <c r="C23" i="24"/>
  <c r="C26" i="24"/>
  <c r="C27" i="24"/>
  <c r="C28" i="24"/>
  <c r="C29" i="24"/>
  <c r="C30" i="24"/>
  <c r="C31" i="24"/>
  <c r="D27" i="24"/>
  <c r="D29" i="24"/>
  <c r="D30" i="24"/>
  <c r="D31" i="24"/>
  <c r="E15" i="24"/>
  <c r="E16" i="24"/>
  <c r="E17" i="24"/>
  <c r="E18" i="24"/>
  <c r="E19" i="24"/>
  <c r="E20" i="24"/>
  <c r="E21" i="24"/>
  <c r="E22" i="24"/>
  <c r="E23" i="24"/>
  <c r="E25" i="24"/>
  <c r="E26" i="24"/>
  <c r="E27" i="24"/>
  <c r="E28" i="24"/>
  <c r="E29" i="24"/>
  <c r="E30" i="24"/>
  <c r="E31" i="24"/>
  <c r="F29" i="24"/>
  <c r="G15" i="24"/>
  <c r="G16" i="24"/>
  <c r="G17" i="24"/>
  <c r="G18" i="24"/>
  <c r="G19" i="24"/>
  <c r="G20" i="24"/>
  <c r="G21" i="24"/>
  <c r="G22" i="24"/>
  <c r="G23" i="24"/>
  <c r="G27" i="24"/>
  <c r="G29" i="24"/>
  <c r="G30" i="24"/>
  <c r="G31" i="24"/>
  <c r="H15" i="24"/>
  <c r="H16" i="24"/>
  <c r="H17" i="24"/>
  <c r="H18" i="24"/>
  <c r="H19" i="24"/>
  <c r="H20" i="24"/>
  <c r="H21" i="24"/>
  <c r="H22" i="24"/>
  <c r="H23" i="24"/>
  <c r="H27" i="24"/>
  <c r="H29" i="24"/>
  <c r="H30" i="24"/>
  <c r="H31" i="24"/>
  <c r="B6" i="24"/>
  <c r="I15" i="24"/>
  <c r="I17" i="24"/>
  <c r="I18" i="24"/>
  <c r="I19" i="24"/>
  <c r="I20" i="24"/>
  <c r="I21" i="24"/>
  <c r="I22" i="24"/>
  <c r="I23" i="24"/>
  <c r="I25" i="24"/>
  <c r="I26" i="24"/>
  <c r="I27" i="24"/>
  <c r="I28" i="24"/>
  <c r="I29" i="24"/>
  <c r="I30" i="24"/>
  <c r="I31" i="24"/>
  <c r="B31" i="24" l="1"/>
  <c r="J24" i="24"/>
  <c r="B26" i="24"/>
  <c r="B19" i="24"/>
  <c r="B25" i="24"/>
  <c r="B18" i="24"/>
  <c r="E24" i="24"/>
  <c r="B17" i="24"/>
  <c r="G24" i="24"/>
  <c r="B16" i="24"/>
  <c r="B30" i="24"/>
  <c r="B23" i="24"/>
  <c r="C24" i="24"/>
  <c r="B29" i="24"/>
  <c r="B22" i="24"/>
  <c r="B28" i="24"/>
  <c r="B21" i="24"/>
  <c r="F24" i="24"/>
  <c r="D24" i="24"/>
  <c r="B15" i="24"/>
  <c r="B27" i="24"/>
  <c r="B20" i="24"/>
  <c r="I24" i="24"/>
  <c r="H24" i="24"/>
  <c r="B24" i="24" l="1"/>
</calcChain>
</file>

<file path=xl/sharedStrings.xml><?xml version="1.0" encoding="utf-8"?>
<sst xmlns="http://schemas.openxmlformats.org/spreadsheetml/2006/main" count="78" uniqueCount="35">
  <si>
    <t>Total</t>
  </si>
  <si>
    <t>Source: Ministry of Fisheries  and Agriculture</t>
  </si>
  <si>
    <t xml:space="preserve"> rwCclwkircgea cDcnea  czIrwxif cfoa IrcTcsinim :ctWrwf ivcaedutWmUluAwm</t>
  </si>
  <si>
    <t>Type of fish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</si>
  <si>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</si>
  <si>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</si>
  <si>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</si>
  <si>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</si>
  <si>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</si>
  <si>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</si>
  <si>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</si>
  <si>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</si>
  <si>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</si>
  <si>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</si>
  <si>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</si>
  <si>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</si>
  <si>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ctwvWbeguhwm</t>
  </si>
  <si>
    <t xml:space="preserve">        wlcmuj</t>
  </si>
  <si>
    <t xml:space="preserve">       cswmwlibuLwk</t>
  </si>
  <si>
    <t>Little tuna</t>
  </si>
  <si>
    <t>Other tuna</t>
  </si>
  <si>
    <t>Miscellaneous</t>
  </si>
  <si>
    <r>
      <t xml:space="preserve">Fishing methods  </t>
    </r>
    <r>
      <rPr>
        <b/>
        <sz val="10"/>
        <rFont val="Faruma"/>
      </rPr>
      <t xml:space="preserve">   މަސްބޭނިގޮތް</t>
    </r>
  </si>
  <si>
    <t>Pole and Line</t>
  </si>
  <si>
    <t>Trolling</t>
  </si>
  <si>
    <t>Long Line</t>
  </si>
  <si>
    <t>Hand  Line</t>
  </si>
  <si>
    <t>Hand line (Reef )</t>
  </si>
  <si>
    <t>Percentage share ( % )</t>
  </si>
  <si>
    <t xml:space="preserve"> (%) cniawtcaws ctogWviawfiheb</t>
  </si>
  <si>
    <t>Hand line  (Grouper )</t>
  </si>
  <si>
    <t>ތާވަލު 9.8: މަހުގެ ބާވަތުންނާއި މަސްބާނާފައިވާގޮތުން ބޭނުނު އަދަދު، 2014</t>
  </si>
  <si>
    <t>Table 9.8 :  FISH CATCH BY TYPE AND FISHING METHODS, 2014 (In metric tons)</t>
  </si>
  <si>
    <t>Fixed Net</t>
  </si>
  <si>
    <t>cswmuDnwk cnehinehea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</si>
</sst>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sz val="11"/>
      <name val="Courier"/>
      <family val="3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2"/>
      <name val="Faruma"/>
    </font>
    <font>
      <b/>
      <sz val="11"/>
      <name val="Arial"/>
      <family val="2"/>
    </font>
    <font>
      <b/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60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9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65" fontId="9" fillId="2" borderId="0" xfId="4" applyFont="1" applyFill="1" applyAlignment="1" applyProtection="1">
      <alignment horizontal="left" vertical="center"/>
    </xf>
    <xf numFmtId="165" fontId="13" fillId="2" borderId="0" xfId="4" applyFont="1" applyFill="1" applyBorder="1" applyAlignment="1">
      <alignment horizontal="right" vertical="center"/>
    </xf>
    <xf numFmtId="165" fontId="19" fillId="2" borderId="0" xfId="4" applyFont="1" applyFill="1" applyAlignment="1">
      <alignment horizontal="left" vertical="center"/>
    </xf>
    <xf numFmtId="165" fontId="2" fillId="2" borderId="0" xfId="4" applyFont="1" applyFill="1" applyAlignment="1">
      <alignment vertical="center"/>
    </xf>
    <xf numFmtId="165" fontId="20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7" fillId="2" borderId="0" xfId="0" applyNumberFormat="1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8" fillId="2" borderId="0" xfId="4" applyFont="1" applyFill="1" applyAlignment="1">
      <alignment horizontal="right" vertical="center"/>
    </xf>
    <xf numFmtId="165" fontId="9" fillId="2" borderId="2" xfId="4" applyFont="1" applyFill="1" applyBorder="1" applyAlignment="1" applyProtection="1">
      <alignment horizontal="right" vertical="center" wrapText="1"/>
    </xf>
    <xf numFmtId="1" fontId="3" fillId="2" borderId="0" xfId="4" applyNumberFormat="1" applyFont="1" applyFill="1" applyAlignment="1">
      <alignment vertical="center"/>
    </xf>
    <xf numFmtId="165" fontId="16" fillId="2" borderId="0" xfId="0" applyNumberFormat="1" applyFont="1" applyFill="1" applyAlignment="1">
      <alignment horizontal="right"/>
    </xf>
    <xf numFmtId="165" fontId="3" fillId="2" borderId="0" xfId="4" applyFont="1" applyFill="1" applyAlignment="1">
      <alignment horizontal="center" vertical="center"/>
    </xf>
    <xf numFmtId="165" fontId="14" fillId="2" borderId="0" xfId="4" applyFont="1" applyFill="1" applyAlignment="1">
      <alignment horizontal="center" vertical="center"/>
    </xf>
    <xf numFmtId="165" fontId="23" fillId="2" borderId="0" xfId="4" applyFont="1" applyFill="1" applyAlignment="1">
      <alignment horizontal="center" vertical="center"/>
    </xf>
    <xf numFmtId="165" fontId="1" fillId="2" borderId="0" xfId="4" applyFont="1" applyFill="1" applyBorder="1" applyAlignment="1">
      <alignment vertical="center"/>
    </xf>
    <xf numFmtId="165" fontId="2" fillId="2" borderId="0" xfId="4" applyFont="1" applyFill="1" applyBorder="1" applyAlignment="1">
      <alignment vertical="center"/>
    </xf>
    <xf numFmtId="3" fontId="4" fillId="2" borderId="0" xfId="4" applyNumberFormat="1" applyFont="1" applyFill="1" applyAlignment="1" applyProtection="1">
      <alignment horizontal="right" vertical="center"/>
    </xf>
    <xf numFmtId="165" fontId="21" fillId="2" borderId="0" xfId="4" applyFont="1" applyFill="1" applyBorder="1" applyAlignment="1" applyProtection="1">
      <alignment horizontal="left" vertical="center" wrapText="1"/>
    </xf>
    <xf numFmtId="3" fontId="11" fillId="2" borderId="0" xfId="4" applyNumberFormat="1" applyFont="1" applyFill="1" applyAlignment="1">
      <alignment horizontal="right" vertical="center"/>
    </xf>
    <xf numFmtId="165" fontId="21" fillId="2" borderId="0" xfId="4" applyFont="1" applyFill="1" applyBorder="1" applyAlignment="1" applyProtection="1">
      <alignment horizontal="left" vertical="center"/>
    </xf>
    <xf numFmtId="3" fontId="4" fillId="2" borderId="0" xfId="4" applyNumberFormat="1" applyFont="1" applyFill="1" applyBorder="1" applyAlignment="1" applyProtection="1">
      <alignment horizontal="right" vertical="center"/>
    </xf>
    <xf numFmtId="3" fontId="11" fillId="2" borderId="0" xfId="4" applyNumberFormat="1" applyFont="1" applyFill="1" applyBorder="1" applyAlignment="1">
      <alignment horizontal="right" vertical="center"/>
    </xf>
    <xf numFmtId="3" fontId="11" fillId="2" borderId="0" xfId="4" applyNumberFormat="1" applyFont="1" applyFill="1" applyBorder="1" applyAlignment="1" applyProtection="1">
      <alignment horizontal="right" vertical="center"/>
    </xf>
    <xf numFmtId="165" fontId="9" fillId="2" borderId="0" xfId="4" applyFont="1" applyFill="1" applyAlignment="1">
      <alignment horizontal="left" vertical="center"/>
    </xf>
    <xf numFmtId="165" fontId="21" fillId="2" borderId="0" xfId="4" applyFont="1" applyFill="1" applyAlignment="1">
      <alignment horizontal="left" vertical="center"/>
    </xf>
    <xf numFmtId="165" fontId="9" fillId="2" borderId="4" xfId="4" applyFont="1" applyFill="1" applyBorder="1" applyAlignment="1">
      <alignment horizontal="right" vertical="center" wrapText="1"/>
    </xf>
    <xf numFmtId="165" fontId="18" fillId="2" borderId="2" xfId="4" applyFont="1" applyFill="1" applyBorder="1" applyAlignment="1">
      <alignment horizontal="right" vertical="center" wrapText="1"/>
    </xf>
    <xf numFmtId="165" fontId="10" fillId="2" borderId="0" xfId="4" applyFont="1" applyFill="1" applyAlignment="1">
      <alignment horizontal="right" vertical="center" wrapText="1"/>
    </xf>
    <xf numFmtId="165" fontId="20" fillId="2" borderId="0" xfId="4" applyFont="1" applyFill="1" applyAlignment="1">
      <alignment horizontal="right" vertical="center" wrapText="1"/>
    </xf>
    <xf numFmtId="3" fontId="11" fillId="2" borderId="0" xfId="1" applyNumberFormat="1" applyFont="1" applyFill="1" applyBorder="1" applyAlignment="1">
      <alignment horizontal="right" vertical="center"/>
    </xf>
    <xf numFmtId="165" fontId="10" fillId="2" borderId="0" xfId="4" applyFont="1" applyFill="1" applyBorder="1" applyAlignment="1">
      <alignment vertical="center"/>
    </xf>
    <xf numFmtId="165" fontId="20" fillId="2" borderId="0" xfId="4" applyFont="1" applyFill="1" applyBorder="1" applyAlignment="1">
      <alignment vertical="center"/>
    </xf>
    <xf numFmtId="3" fontId="11" fillId="2" borderId="2" xfId="4" applyNumberFormat="1" applyFont="1" applyFill="1" applyBorder="1" applyAlignment="1" applyProtection="1">
      <alignment horizontal="right" vertical="center"/>
    </xf>
    <xf numFmtId="1" fontId="4" fillId="2" borderId="0" xfId="4" applyNumberFormat="1" applyFont="1" applyFill="1" applyAlignment="1">
      <alignment vertical="center"/>
    </xf>
    <xf numFmtId="165" fontId="21" fillId="2" borderId="2" xfId="4" applyFont="1" applyFill="1" applyBorder="1" applyAlignment="1" applyProtection="1">
      <alignment horizontal="left" vertical="center" wrapText="1"/>
    </xf>
    <xf numFmtId="1" fontId="4" fillId="2" borderId="2" xfId="4" applyNumberFormat="1" applyFont="1" applyFill="1" applyBorder="1" applyAlignment="1">
      <alignment vertical="center"/>
    </xf>
    <xf numFmtId="165" fontId="15" fillId="2" borderId="0" xfId="4" applyFont="1" applyFill="1" applyBorder="1" applyAlignment="1" applyProtection="1">
      <alignment horizontal="center" vertical="center"/>
    </xf>
    <xf numFmtId="165" fontId="15" fillId="2" borderId="1" xfId="4" applyFont="1" applyFill="1" applyBorder="1" applyAlignment="1" applyProtection="1">
      <alignment horizontal="center" vertical="center"/>
    </xf>
    <xf numFmtId="165" fontId="21" fillId="2" borderId="5" xfId="4" applyFont="1" applyFill="1" applyBorder="1" applyAlignment="1" applyProtection="1">
      <alignment horizontal="left" vertical="center" wrapText="1"/>
    </xf>
    <xf numFmtId="3" fontId="4" fillId="2" borderId="5" xfId="4" applyNumberFormat="1" applyFont="1" applyFill="1" applyBorder="1" applyAlignment="1" applyProtection="1">
      <alignment horizontal="right" vertical="center"/>
    </xf>
    <xf numFmtId="3" fontId="11" fillId="2" borderId="5" xfId="4" applyNumberFormat="1" applyFont="1" applyFill="1" applyBorder="1" applyAlignment="1">
      <alignment horizontal="right" vertical="center"/>
    </xf>
    <xf numFmtId="3" fontId="11" fillId="2" borderId="5" xfId="1" applyNumberFormat="1" applyFont="1" applyFill="1" applyBorder="1" applyAlignment="1">
      <alignment horizontal="right" vertical="center"/>
    </xf>
    <xf numFmtId="165" fontId="17" fillId="2" borderId="5" xfId="0" applyNumberFormat="1" applyFont="1" applyFill="1" applyBorder="1" applyAlignment="1">
      <alignment horizontal="right" vertical="center"/>
    </xf>
    <xf numFmtId="3" fontId="11" fillId="2" borderId="5" xfId="4" applyNumberFormat="1" applyFont="1" applyFill="1" applyBorder="1" applyAlignment="1" applyProtection="1">
      <alignment horizontal="right" vertical="center"/>
    </xf>
    <xf numFmtId="165" fontId="17" fillId="2" borderId="2" xfId="0" applyNumberFormat="1" applyFont="1" applyFill="1" applyBorder="1" applyAlignment="1">
      <alignment horizontal="right" vertical="center"/>
    </xf>
    <xf numFmtId="165" fontId="15" fillId="2" borderId="2" xfId="4" applyFont="1" applyFill="1" applyBorder="1" applyAlignment="1">
      <alignment horizontal="center" vertical="center"/>
    </xf>
    <xf numFmtId="165" fontId="15" fillId="2" borderId="0" xfId="4" applyFont="1" applyFill="1" applyBorder="1" applyAlignment="1">
      <alignment horizontal="center" vertical="center"/>
    </xf>
    <xf numFmtId="165" fontId="9" fillId="2" borderId="1" xfId="4" applyFont="1" applyFill="1" applyBorder="1" applyAlignment="1" applyProtection="1">
      <alignment horizontal="left" vertical="center"/>
    </xf>
    <xf numFmtId="165" fontId="9" fillId="2" borderId="2" xfId="4" applyFont="1" applyFill="1" applyBorder="1" applyAlignment="1" applyProtection="1">
      <alignment horizontal="left" vertical="center"/>
    </xf>
    <xf numFmtId="165" fontId="15" fillId="2" borderId="3" xfId="4" applyFont="1" applyFill="1" applyBorder="1" applyAlignment="1" applyProtection="1">
      <alignment horizontal="center" vertical="center"/>
    </xf>
    <xf numFmtId="165" fontId="22" fillId="2" borderId="0" xfId="4" applyFont="1" applyFill="1" applyAlignment="1">
      <alignment horizontal="center" vertical="center"/>
    </xf>
    <xf numFmtId="165" fontId="7" fillId="2" borderId="0" xfId="4" applyFont="1" applyFill="1" applyBorder="1" applyAlignment="1" applyProtection="1">
      <alignment horizontal="center" vertical="center"/>
    </xf>
    <xf numFmtId="165" fontId="24" fillId="2" borderId="1" xfId="4" applyFont="1" applyFill="1" applyBorder="1" applyAlignment="1">
      <alignment horizontal="right" vertical="center"/>
    </xf>
    <xf numFmtId="165" fontId="24" fillId="2" borderId="2" xfId="4" applyFont="1" applyFill="1" applyBorder="1" applyAlignment="1">
      <alignment horizontal="right" vertical="center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</c:dPt>
          <c:dLbls>
            <c:dLbl>
              <c:idx val="0"/>
              <c:layout>
                <c:manualLayout>
                  <c:x val="-0.18052267390021223"/>
                  <c:y val="-0.168558944216479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9.4156651471197679E-3"/>
                  <c:y val="0.132289083582862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7.2196477832615425E-3"/>
                  <c:y val="-6.0162803593212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'9.8'!$AA$7:$AA$14</c:f>
              <c:strCache>
                <c:ptCount val="8"/>
                <c:pt idx="0">
                  <c:v>Pole and Line</c:v>
                </c:pt>
                <c:pt idx="1">
                  <c:v>Trolling</c:v>
                </c:pt>
                <c:pt idx="2">
                  <c:v>Long Line</c:v>
                </c:pt>
                <c:pt idx="3">
                  <c:v>Hand  Line</c:v>
                </c:pt>
                <c:pt idx="4">
                  <c:v>Hand line  (Grouper )</c:v>
                </c:pt>
                <c:pt idx="5">
                  <c:v>Hand line (Reef )</c:v>
                </c:pt>
                <c:pt idx="6">
                  <c:v>Miscellaneous</c:v>
                </c:pt>
                <c:pt idx="7">
                  <c:v>Fixed Net</c:v>
                </c:pt>
              </c:strCache>
            </c:strRef>
          </c:cat>
          <c:val>
            <c:numRef>
              <c:f>'9.8'!$AB$7:$AB$14</c:f>
              <c:numCache>
                <c:formatCode>General_)</c:formatCode>
                <c:ptCount val="8"/>
                <c:pt idx="0">
                  <c:v>91001.569994015794</c:v>
                </c:pt>
                <c:pt idx="1">
                  <c:v>588.35662960635898</c:v>
                </c:pt>
                <c:pt idx="2">
                  <c:v>2123.2380000000007</c:v>
                </c:pt>
                <c:pt idx="3">
                  <c:v>32546.252421702324</c:v>
                </c:pt>
                <c:pt idx="4">
                  <c:v>569.2708806367375</c:v>
                </c:pt>
                <c:pt idx="5">
                  <c:v>1462.8043944401447</c:v>
                </c:pt>
                <c:pt idx="6">
                  <c:v>229.93042613497082</c:v>
                </c:pt>
                <c:pt idx="7">
                  <c:v>161.80425346402654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600074</xdr:colOff>
      <xdr:row>34</xdr:row>
      <xdr:rowOff>76199</xdr:rowOff>
    </xdr:from>
    <xdr:to>
      <xdr:col>9</xdr:col>
      <xdr:colOff>409574</xdr:colOff>
      <xdr:row>55</xdr:row>
      <xdr:rowOff>57149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36</xdr:row>
      <xdr:rowOff>85725</xdr:rowOff>
    </xdr:from>
    <xdr:to>
      <xdr:col>9</xdr:col>
      <xdr:colOff>28575</xdr:colOff>
      <xdr:row>36</xdr:row>
      <xdr:rowOff>85725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162175" y="7315200"/>
          <a:ext cx="51530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0.05742</cdr:x>
      <cdr:y>0.02817</cdr:y>
    </cdr:from>
    <cdr:to>
      <cdr:x>0.93939</cdr:x>
      <cdr:y>0.10704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2901" y="95252"/>
          <a:ext cx="52673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9.4: Percentage share of fish catch by fishing method, 2014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P59"/>
  <sheetViews>
    <sheetView tabSelected="1" zoomScaleNormal="100" workbookViewId="0">
      <selection activeCell="V17" sqref="V17"/>
    </sheetView>
  </sheetViews>
  <sheetFormatPr defaultColWidth="8.85546875" defaultRowHeight="12.75" x14ac:dyDescent="0.25"/>
  <cols>
    <col min="1" max="1" width="16.85546875" style="12" customWidth="1"/>
    <col min="2" max="2" width="12.28515625" style="8" customWidth="1"/>
    <col min="3" max="3" width="12.28515625" style="12" customWidth="1"/>
    <col min="4" max="5" width="10.7109375" style="12" customWidth="1"/>
    <col min="6" max="6" width="11" style="12" customWidth="1"/>
    <col min="7" max="7" width="11.85546875" style="12" customWidth="1"/>
    <col min="8" max="8" width="11.28515625" style="12" customWidth="1"/>
    <col min="9" max="10" width="12.28515625" style="12" customWidth="1"/>
    <col min="11" max="11" width="21.5703125" style="12" customWidth="1"/>
    <col min="12" max="26" width="8.85546875" style="12"/>
    <col min="27" max="27" width="25.5703125" style="12" bestFit="1" customWidth="1"/>
    <col min="28" max="16384" width="8.85546875" style="12"/>
  </cols>
  <sheetData>
    <row r="1" spans="1:42" s="17" customFormat="1" ht="21.75" x14ac:dyDescent="0.25">
      <c r="A1" s="56" t="s">
        <v>31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42" s="19" customFormat="1" ht="15" x14ac:dyDescent="0.25">
      <c r="A2" s="57" t="s">
        <v>32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42" s="21" customFormat="1" x14ac:dyDescent="0.25">
      <c r="A3" s="51"/>
      <c r="B3" s="52"/>
      <c r="C3" s="52"/>
      <c r="D3" s="52"/>
      <c r="E3" s="52"/>
      <c r="F3" s="52"/>
      <c r="G3" s="52"/>
      <c r="H3" s="42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spans="1:42" s="9" customFormat="1" ht="18.75" x14ac:dyDescent="0.25">
      <c r="A4" s="53" t="s">
        <v>3</v>
      </c>
      <c r="B4" s="55" t="s">
        <v>22</v>
      </c>
      <c r="C4" s="55"/>
      <c r="D4" s="55"/>
      <c r="E4" s="55"/>
      <c r="F4" s="55"/>
      <c r="G4" s="55"/>
      <c r="H4" s="55"/>
      <c r="I4" s="55"/>
      <c r="J4" s="43"/>
      <c r="K4" s="58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s="34" customFormat="1" ht="24" x14ac:dyDescent="0.25">
      <c r="A5" s="54"/>
      <c r="B5" s="14" t="s">
        <v>0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30</v>
      </c>
      <c r="H5" s="31" t="s">
        <v>27</v>
      </c>
      <c r="I5" s="32" t="s">
        <v>21</v>
      </c>
      <c r="J5" s="32" t="s">
        <v>33</v>
      </c>
      <c r="K5" s="59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</row>
    <row r="6" spans="1:42" s="9" customFormat="1" ht="15.75" x14ac:dyDescent="0.4">
      <c r="A6" s="5" t="s">
        <v>0</v>
      </c>
      <c r="B6" s="22">
        <f>SUM(B7:B14)</f>
        <v>128683.22700000033</v>
      </c>
      <c r="C6" s="22">
        <f>SUM(C7:C13)</f>
        <v>91001.569994015794</v>
      </c>
      <c r="D6" s="22">
        <f t="shared" ref="D6:J6" si="0">SUM(D7:D13)</f>
        <v>588.35662960635864</v>
      </c>
      <c r="E6" s="22">
        <f>SUM(E7:E14)</f>
        <v>2123.2380000000007</v>
      </c>
      <c r="F6" s="22">
        <f t="shared" si="0"/>
        <v>32546.252421702324</v>
      </c>
      <c r="G6" s="22">
        <f t="shared" si="0"/>
        <v>569.2708806367375</v>
      </c>
      <c r="H6" s="22">
        <f t="shared" si="0"/>
        <v>1462.8043944401447</v>
      </c>
      <c r="I6" s="22">
        <f t="shared" si="0"/>
        <v>229.93042613497082</v>
      </c>
      <c r="J6" s="22">
        <f t="shared" si="0"/>
        <v>161.80425346402654</v>
      </c>
      <c r="K6" s="16" t="s">
        <v>17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2" s="9" customFormat="1" ht="15.75" x14ac:dyDescent="0.25">
      <c r="A7" s="23" t="s">
        <v>15</v>
      </c>
      <c r="B7" s="22">
        <f>SUM(C7:J7)</f>
        <v>68521.958485088544</v>
      </c>
      <c r="C7" s="24">
        <v>67301.029102778673</v>
      </c>
      <c r="D7" s="24">
        <v>180.93578482621692</v>
      </c>
      <c r="E7" s="24">
        <v>0.33300000000000007</v>
      </c>
      <c r="F7" s="24">
        <v>1015.227780345951</v>
      </c>
      <c r="G7" s="24">
        <v>0</v>
      </c>
      <c r="H7" s="27">
        <v>0</v>
      </c>
      <c r="I7" s="24">
        <v>24.432817137712032</v>
      </c>
      <c r="J7" s="24">
        <v>0</v>
      </c>
      <c r="K7" s="11" t="s">
        <v>18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 t="s">
        <v>23</v>
      </c>
      <c r="AB7" s="4">
        <v>91001.569994015794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2" s="9" customFormat="1" ht="15.75" x14ac:dyDescent="0.25">
      <c r="A8" s="25" t="s">
        <v>10</v>
      </c>
      <c r="B8" s="22">
        <f t="shared" ref="B8:B14" si="1">SUM(C8:J8)</f>
        <v>49100.552219018966</v>
      </c>
      <c r="C8" s="24">
        <v>18480.764863322693</v>
      </c>
      <c r="D8" s="24">
        <v>181.10826420432261</v>
      </c>
      <c r="E8" s="24">
        <v>192.41699999999997</v>
      </c>
      <c r="F8" s="24">
        <v>30246.262091491946</v>
      </c>
      <c r="G8" s="24">
        <v>0</v>
      </c>
      <c r="H8" s="27">
        <v>0</v>
      </c>
      <c r="I8" s="24">
        <v>0</v>
      </c>
      <c r="J8" s="24">
        <v>0</v>
      </c>
      <c r="K8" s="11" t="s">
        <v>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 t="s">
        <v>24</v>
      </c>
      <c r="AB8" s="4">
        <v>588.35662960635898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2" s="9" customFormat="1" ht="15.75" x14ac:dyDescent="0.25">
      <c r="A9" s="25" t="s">
        <v>11</v>
      </c>
      <c r="B9" s="22">
        <f t="shared" si="1"/>
        <v>2334.0795325544509</v>
      </c>
      <c r="C9" s="24">
        <v>304.06527088229217</v>
      </c>
      <c r="D9" s="24">
        <v>3.1759152699856594</v>
      </c>
      <c r="E9" s="24">
        <v>1501.9940000000006</v>
      </c>
      <c r="F9" s="24">
        <v>524.8443464021725</v>
      </c>
      <c r="G9" s="24">
        <v>0</v>
      </c>
      <c r="H9" s="27">
        <v>0</v>
      </c>
      <c r="I9" s="24">
        <v>0</v>
      </c>
      <c r="J9" s="24">
        <v>0</v>
      </c>
      <c r="K9" s="11" t="s">
        <v>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 t="s">
        <v>25</v>
      </c>
      <c r="AB9" s="4">
        <v>2123.2380000000007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2" s="9" customFormat="1" ht="15.75" x14ac:dyDescent="0.25">
      <c r="A10" s="23" t="s">
        <v>12</v>
      </c>
      <c r="B10" s="22">
        <f t="shared" si="1"/>
        <v>50.730483535157234</v>
      </c>
      <c r="C10" s="24">
        <v>37.368901632760391</v>
      </c>
      <c r="D10" s="24">
        <v>8.3113139991561216</v>
      </c>
      <c r="E10" s="24">
        <v>0</v>
      </c>
      <c r="F10" s="24">
        <v>2.7374565949601508</v>
      </c>
      <c r="G10" s="24">
        <v>0</v>
      </c>
      <c r="H10" s="27">
        <v>2.2429683334977524</v>
      </c>
      <c r="I10" s="24">
        <v>0</v>
      </c>
      <c r="J10" s="24">
        <v>6.9842974782824516E-2</v>
      </c>
      <c r="K10" s="11" t="s">
        <v>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 t="s">
        <v>26</v>
      </c>
      <c r="AB10" s="4">
        <v>32546.252421702324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2" s="9" customFormat="1" ht="15.75" x14ac:dyDescent="0.25">
      <c r="A11" s="23" t="s">
        <v>19</v>
      </c>
      <c r="B11" s="22">
        <f t="shared" si="1"/>
        <v>888.56756791056523</v>
      </c>
      <c r="C11" s="24">
        <v>741.22085231589153</v>
      </c>
      <c r="D11" s="24">
        <v>44.457188082829703</v>
      </c>
      <c r="E11" s="24">
        <v>0</v>
      </c>
      <c r="F11" s="24">
        <v>102.58221841576875</v>
      </c>
      <c r="G11" s="24">
        <v>0</v>
      </c>
      <c r="H11" s="27">
        <v>0.11097272659937674</v>
      </c>
      <c r="I11" s="24">
        <v>0.14511818685830882</v>
      </c>
      <c r="J11" s="24">
        <v>5.1218182617528821E-2</v>
      </c>
      <c r="K11" s="11" t="s">
        <v>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 t="s">
        <v>30</v>
      </c>
      <c r="AB11" s="4">
        <v>569.2708806367375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2" s="9" customFormat="1" ht="15.75" x14ac:dyDescent="0.25">
      <c r="A12" s="23" t="s">
        <v>13</v>
      </c>
      <c r="B12" s="22">
        <f t="shared" si="1"/>
        <v>650.87832976986942</v>
      </c>
      <c r="C12" s="24">
        <v>578.01697410107192</v>
      </c>
      <c r="D12" s="24">
        <v>22.14992366035537</v>
      </c>
      <c r="E12" s="24">
        <v>0</v>
      </c>
      <c r="F12" s="24">
        <v>50.379677867908811</v>
      </c>
      <c r="G12" s="24">
        <v>0</v>
      </c>
      <c r="H12" s="27">
        <v>8.3811569739389413E-2</v>
      </c>
      <c r="I12" s="24">
        <v>0.13968595881668394</v>
      </c>
      <c r="J12" s="24">
        <v>0.10825661197724701</v>
      </c>
      <c r="K12" s="11" t="s">
        <v>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 t="s">
        <v>27</v>
      </c>
      <c r="AB12" s="4">
        <v>1462.8043944401447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2" s="9" customFormat="1" ht="15.75" x14ac:dyDescent="0.25">
      <c r="A13" s="23" t="s">
        <v>14</v>
      </c>
      <c r="B13" s="22">
        <f t="shared" si="1"/>
        <v>7136.4603821227947</v>
      </c>
      <c r="C13" s="27">
        <v>3559.1040289824105</v>
      </c>
      <c r="D13" s="27">
        <v>148.2182395634922</v>
      </c>
      <c r="E13" s="27">
        <v>428.49399999999997</v>
      </c>
      <c r="F13" s="27">
        <v>604.21885058361306</v>
      </c>
      <c r="G13" s="27">
        <v>569.2708806367375</v>
      </c>
      <c r="H13" s="27">
        <v>1460.3666418103082</v>
      </c>
      <c r="I13" s="35">
        <v>205.2128048515838</v>
      </c>
      <c r="J13" s="35">
        <v>161.57493569464896</v>
      </c>
      <c r="K13" s="2" t="s">
        <v>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 t="s">
        <v>21</v>
      </c>
      <c r="AB13" s="4">
        <v>229.93042613497082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2" s="9" customFormat="1" ht="15.75" x14ac:dyDescent="0.25">
      <c r="A14" s="44" t="s">
        <v>20</v>
      </c>
      <c r="B14" s="45">
        <f t="shared" si="1"/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7">
        <v>0</v>
      </c>
      <c r="J14" s="47">
        <v>0</v>
      </c>
      <c r="K14" s="48" t="s">
        <v>34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 t="s">
        <v>33</v>
      </c>
      <c r="AB14" s="4">
        <v>161.80425346402654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2" s="3" customFormat="1" ht="15" x14ac:dyDescent="0.25">
      <c r="A15" s="10" t="s">
        <v>28</v>
      </c>
      <c r="B15" s="26">
        <f>B6/B6*100</f>
        <v>100</v>
      </c>
      <c r="C15" s="26">
        <f>C6/C6*100</f>
        <v>100</v>
      </c>
      <c r="D15" s="26">
        <f t="shared" ref="D15:I15" si="2">D6/D6*100</f>
        <v>100</v>
      </c>
      <c r="E15" s="26">
        <f t="shared" si="2"/>
        <v>100</v>
      </c>
      <c r="F15" s="26">
        <f t="shared" si="2"/>
        <v>100</v>
      </c>
      <c r="G15" s="26">
        <f t="shared" si="2"/>
        <v>100</v>
      </c>
      <c r="H15" s="26">
        <f t="shared" si="2"/>
        <v>100</v>
      </c>
      <c r="I15" s="26">
        <f t="shared" si="2"/>
        <v>100</v>
      </c>
      <c r="J15" s="26">
        <f>J6/J6*100</f>
        <v>100</v>
      </c>
      <c r="K15" s="13" t="s">
        <v>29</v>
      </c>
    </row>
    <row r="16" spans="1:42" s="3" customFormat="1" ht="15.75" x14ac:dyDescent="0.25">
      <c r="A16" s="23" t="s">
        <v>15</v>
      </c>
      <c r="B16" s="26">
        <f>B7/B6*100</f>
        <v>53.248554673786956</v>
      </c>
      <c r="C16" s="28">
        <f>C7/C6*100</f>
        <v>73.955898900650112</v>
      </c>
      <c r="D16" s="28">
        <f t="shared" ref="D16:H16" si="3">D7/D6*100</f>
        <v>30.752740042594983</v>
      </c>
      <c r="E16" s="28">
        <f t="shared" si="3"/>
        <v>1.5683592701336353E-2</v>
      </c>
      <c r="F16" s="28">
        <f t="shared" si="3"/>
        <v>3.1193384946187601</v>
      </c>
      <c r="G16" s="28">
        <f t="shared" si="3"/>
        <v>0</v>
      </c>
      <c r="H16" s="28">
        <f t="shared" si="3"/>
        <v>0</v>
      </c>
      <c r="I16" s="28">
        <f>I7/I6*100</f>
        <v>10.626178339429421</v>
      </c>
      <c r="J16" s="28">
        <f>J7/J6*100</f>
        <v>0</v>
      </c>
      <c r="K16" s="11" t="s">
        <v>18</v>
      </c>
    </row>
    <row r="17" spans="1:42" s="9" customFormat="1" ht="15.75" x14ac:dyDescent="0.25">
      <c r="A17" s="25" t="s">
        <v>10</v>
      </c>
      <c r="B17" s="26">
        <f>B8/B6*100</f>
        <v>38.156139975428836</v>
      </c>
      <c r="C17" s="28">
        <f>C8/C6*100</f>
        <v>20.308182446234692</v>
      </c>
      <c r="D17" s="28">
        <f t="shared" ref="D17:I17" si="4">D8/D6*100</f>
        <v>30.782055489965927</v>
      </c>
      <c r="E17" s="28">
        <f t="shared" si="4"/>
        <v>9.0624320024415486</v>
      </c>
      <c r="F17" s="28">
        <f t="shared" si="4"/>
        <v>92.933163854291536</v>
      </c>
      <c r="G17" s="28">
        <f t="shared" si="4"/>
        <v>0</v>
      </c>
      <c r="H17" s="28">
        <f t="shared" si="4"/>
        <v>0</v>
      </c>
      <c r="I17" s="28">
        <f t="shared" si="4"/>
        <v>0</v>
      </c>
      <c r="J17" s="28">
        <f t="shared" ref="J17" si="5">J8/J6*100</f>
        <v>0</v>
      </c>
      <c r="K17" s="11" t="s">
        <v>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s="9" customFormat="1" ht="15.75" x14ac:dyDescent="0.25">
      <c r="A18" s="25" t="s">
        <v>11</v>
      </c>
      <c r="B18" s="26">
        <f>B9/B6*100</f>
        <v>1.8138179986381946</v>
      </c>
      <c r="C18" s="28">
        <f t="shared" ref="C18:I18" si="6">C9/C6*100</f>
        <v>0.33413189563903933</v>
      </c>
      <c r="D18" s="28">
        <f t="shared" si="6"/>
        <v>0.53979425235855893</v>
      </c>
      <c r="E18" s="28">
        <f t="shared" si="6"/>
        <v>70.740727134687688</v>
      </c>
      <c r="F18" s="28">
        <f t="shared" si="6"/>
        <v>1.6126106920138015</v>
      </c>
      <c r="G18" s="28">
        <f t="shared" si="6"/>
        <v>0</v>
      </c>
      <c r="H18" s="28">
        <f t="shared" si="6"/>
        <v>0</v>
      </c>
      <c r="I18" s="28">
        <f t="shared" si="6"/>
        <v>0</v>
      </c>
      <c r="J18" s="28">
        <f t="shared" ref="J18" si="7">J9/J6*100</f>
        <v>0</v>
      </c>
      <c r="K18" s="11" t="s">
        <v>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s="9" customFormat="1" ht="15.75" x14ac:dyDescent="0.25">
      <c r="A19" s="23" t="s">
        <v>12</v>
      </c>
      <c r="B19" s="26">
        <f>B10/B6*100</f>
        <v>3.942276294886287E-2</v>
      </c>
      <c r="C19" s="28">
        <f t="shared" ref="C19:I19" si="8">C10/C6*100</f>
        <v>4.1064018604533688E-2</v>
      </c>
      <c r="D19" s="28">
        <f t="shared" si="8"/>
        <v>1.4126319957874574</v>
      </c>
      <c r="E19" s="28">
        <f t="shared" si="8"/>
        <v>0</v>
      </c>
      <c r="F19" s="28">
        <f t="shared" si="8"/>
        <v>8.4109732803976361E-3</v>
      </c>
      <c r="G19" s="28">
        <f t="shared" si="8"/>
        <v>0</v>
      </c>
      <c r="H19" s="28">
        <f t="shared" si="8"/>
        <v>0.15333344239481847</v>
      </c>
      <c r="I19" s="28">
        <f t="shared" si="8"/>
        <v>0</v>
      </c>
      <c r="J19" s="28">
        <f t="shared" ref="J19" si="9">J10/J6*100</f>
        <v>4.3165104308183405E-2</v>
      </c>
      <c r="K19" s="11" t="s">
        <v>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s="9" customFormat="1" ht="15.75" x14ac:dyDescent="0.25">
      <c r="A20" s="23" t="s">
        <v>19</v>
      </c>
      <c r="B20" s="26">
        <f>B11/B6*100</f>
        <v>0.69050768202336343</v>
      </c>
      <c r="C20" s="28">
        <f t="shared" ref="C20:I20" si="10">C11/C6*100</f>
        <v>0.81451435658157734</v>
      </c>
      <c r="D20" s="28">
        <f t="shared" si="10"/>
        <v>7.5561633617647654</v>
      </c>
      <c r="E20" s="28">
        <f t="shared" si="10"/>
        <v>0</v>
      </c>
      <c r="F20" s="28">
        <f t="shared" si="10"/>
        <v>0.31518903339963467</v>
      </c>
      <c r="G20" s="28">
        <f t="shared" si="10"/>
        <v>0</v>
      </c>
      <c r="H20" s="28">
        <f t="shared" si="10"/>
        <v>7.5862997828803373E-3</v>
      </c>
      <c r="I20" s="28">
        <f t="shared" si="10"/>
        <v>6.3113955511535216E-2</v>
      </c>
      <c r="J20" s="28">
        <f t="shared" ref="J20" si="11">J11/J6*100</f>
        <v>3.1654410512092009E-2</v>
      </c>
      <c r="K20" s="11" t="s">
        <v>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s="9" customFormat="1" ht="15.75" x14ac:dyDescent="0.25">
      <c r="A21" s="23" t="s">
        <v>13</v>
      </c>
      <c r="B21" s="26">
        <f>B12/B6*100</f>
        <v>0.50579888688202368</v>
      </c>
      <c r="C21" s="28">
        <f t="shared" ref="C21:I21" si="12">C12/C6*100</f>
        <v>0.63517252959381032</v>
      </c>
      <c r="D21" s="28">
        <f t="shared" si="12"/>
        <v>3.7647104741855002</v>
      </c>
      <c r="E21" s="28">
        <f t="shared" si="12"/>
        <v>0</v>
      </c>
      <c r="F21" s="28">
        <f t="shared" si="12"/>
        <v>0.15479409799671712</v>
      </c>
      <c r="G21" s="28">
        <f t="shared" si="12"/>
        <v>0</v>
      </c>
      <c r="H21" s="28">
        <f t="shared" si="12"/>
        <v>5.7295131227348001E-3</v>
      </c>
      <c r="I21" s="28">
        <f t="shared" si="12"/>
        <v>6.0751402571962043E-2</v>
      </c>
      <c r="J21" s="28">
        <f t="shared" ref="J21" si="13">J12/J6*100</f>
        <v>6.6905912335188014E-2</v>
      </c>
      <c r="K21" s="11" t="s">
        <v>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s="37" customFormat="1" ht="15.75" x14ac:dyDescent="0.25">
      <c r="A22" s="23" t="s">
        <v>14</v>
      </c>
      <c r="B22" s="26">
        <f>B13/B6*100</f>
        <v>5.5457580202917791</v>
      </c>
      <c r="C22" s="28">
        <f t="shared" ref="C22:I22" si="14">C13/C6*100</f>
        <v>3.9110358526962283</v>
      </c>
      <c r="D22" s="28">
        <f t="shared" si="14"/>
        <v>25.191904383342795</v>
      </c>
      <c r="E22" s="28">
        <f t="shared" si="14"/>
        <v>20.181157270169422</v>
      </c>
      <c r="F22" s="28">
        <f t="shared" si="14"/>
        <v>1.8564928543991472</v>
      </c>
      <c r="G22" s="28">
        <f>G13/G6*100</f>
        <v>100</v>
      </c>
      <c r="H22" s="28">
        <f t="shared" si="14"/>
        <v>99.833350744699572</v>
      </c>
      <c r="I22" s="28">
        <f t="shared" si="14"/>
        <v>89.249956302487092</v>
      </c>
      <c r="J22" s="28">
        <f t="shared" ref="J22" si="15">J13/J6*100</f>
        <v>99.858274572844536</v>
      </c>
      <c r="K22" s="2" t="s">
        <v>9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s="9" customFormat="1" ht="15.75" x14ac:dyDescent="0.25">
      <c r="A23" s="44" t="s">
        <v>20</v>
      </c>
      <c r="B23" s="45">
        <f>B14/B6*100</f>
        <v>0</v>
      </c>
      <c r="C23" s="49">
        <f t="shared" ref="C23:I23" si="16">C14/C6*100</f>
        <v>0</v>
      </c>
      <c r="D23" s="49">
        <f t="shared" si="16"/>
        <v>0</v>
      </c>
      <c r="E23" s="49">
        <f t="shared" si="16"/>
        <v>0</v>
      </c>
      <c r="F23" s="49">
        <f t="shared" si="16"/>
        <v>0</v>
      </c>
      <c r="G23" s="49">
        <f t="shared" si="16"/>
        <v>0</v>
      </c>
      <c r="H23" s="49">
        <f t="shared" si="16"/>
        <v>0</v>
      </c>
      <c r="I23" s="49">
        <f t="shared" si="16"/>
        <v>0</v>
      </c>
      <c r="J23" s="49">
        <f t="shared" ref="J23" si="17">J14/J6*100</f>
        <v>0</v>
      </c>
      <c r="K23" s="48" t="s">
        <v>34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ht="15" x14ac:dyDescent="0.25">
      <c r="A24" s="10" t="s">
        <v>28</v>
      </c>
      <c r="B24" s="39">
        <f>SUM(C24:I24)</f>
        <v>99.874261582308606</v>
      </c>
      <c r="C24" s="26">
        <f>(C6/$B$6)*100</f>
        <v>70.717506947518146</v>
      </c>
      <c r="D24" s="26">
        <f t="shared" ref="D24:I24" si="18">(D6/$B$6)*100</f>
        <v>0.45721314527367041</v>
      </c>
      <c r="E24" s="26">
        <f t="shared" si="18"/>
        <v>1.6499726106495569</v>
      </c>
      <c r="F24" s="26">
        <f t="shared" si="18"/>
        <v>25.29175960259548</v>
      </c>
      <c r="G24" s="26">
        <f t="shared" si="18"/>
        <v>0.442381570549778</v>
      </c>
      <c r="H24" s="26">
        <f t="shared" si="18"/>
        <v>1.1367482993258637</v>
      </c>
      <c r="I24" s="26">
        <f t="shared" si="18"/>
        <v>0.17867940639611893</v>
      </c>
      <c r="J24" s="26">
        <f>(J6/$B$6)*100</f>
        <v>0.1257384176913951</v>
      </c>
      <c r="K24" s="13" t="s">
        <v>29</v>
      </c>
    </row>
    <row r="25" spans="1:42" ht="15.75" x14ac:dyDescent="0.25">
      <c r="A25" s="23" t="s">
        <v>15</v>
      </c>
      <c r="B25" s="39">
        <f t="shared" ref="B25:B30" si="19">SUM(C25:I25)</f>
        <v>100.00000000000001</v>
      </c>
      <c r="C25" s="28">
        <f>(C7/$B$7)*100</f>
        <v>98.218192519153462</v>
      </c>
      <c r="D25" s="28">
        <f t="shared" ref="D25:I25" si="20">(D7/$B$7)*100</f>
        <v>0.26405518585052029</v>
      </c>
      <c r="E25" s="28">
        <f t="shared" si="20"/>
        <v>4.8597560163500888E-4</v>
      </c>
      <c r="F25" s="28">
        <f t="shared" si="20"/>
        <v>1.4816094034540483</v>
      </c>
      <c r="G25" s="28">
        <f t="shared" si="20"/>
        <v>0</v>
      </c>
      <c r="H25" s="28">
        <f t="shared" si="20"/>
        <v>0</v>
      </c>
      <c r="I25" s="28">
        <f t="shared" si="20"/>
        <v>3.5656915940353626E-2</v>
      </c>
      <c r="J25" s="28">
        <f>(J7/$B$7)*100</f>
        <v>0</v>
      </c>
      <c r="K25" s="11" t="s">
        <v>18</v>
      </c>
    </row>
    <row r="26" spans="1:42" ht="15.75" x14ac:dyDescent="0.25">
      <c r="A26" s="25" t="s">
        <v>10</v>
      </c>
      <c r="B26" s="39">
        <f t="shared" si="19"/>
        <v>100</v>
      </c>
      <c r="C26" s="28">
        <f>(C8/$B$8)*100</f>
        <v>37.638608993412134</v>
      </c>
      <c r="D26" s="28">
        <f t="shared" ref="D26:I26" si="21">(D8/$B$8)*100</f>
        <v>0.36885178683218722</v>
      </c>
      <c r="E26" s="28">
        <f t="shared" si="21"/>
        <v>0.39188357626142495</v>
      </c>
      <c r="F26" s="28">
        <f t="shared" si="21"/>
        <v>61.60065564349425</v>
      </c>
      <c r="G26" s="28">
        <f t="shared" si="21"/>
        <v>0</v>
      </c>
      <c r="H26" s="28">
        <f t="shared" si="21"/>
        <v>0</v>
      </c>
      <c r="I26" s="28">
        <f t="shared" si="21"/>
        <v>0</v>
      </c>
      <c r="J26" s="28">
        <f t="shared" ref="J26" si="22">(J8/$B$8)*100</f>
        <v>0</v>
      </c>
      <c r="K26" s="11" t="s">
        <v>4</v>
      </c>
    </row>
    <row r="27" spans="1:42" ht="15.75" x14ac:dyDescent="0.25">
      <c r="A27" s="25" t="s">
        <v>11</v>
      </c>
      <c r="B27" s="39">
        <f t="shared" si="19"/>
        <v>100</v>
      </c>
      <c r="C27" s="28">
        <f>(C9/$B$9)*100</f>
        <v>13.027202657037085</v>
      </c>
      <c r="D27" s="28">
        <f t="shared" ref="D27:I27" si="23">(D9/$B$9)*100</f>
        <v>0.13606714020194038</v>
      </c>
      <c r="E27" s="28">
        <f t="shared" si="23"/>
        <v>64.350592130688725</v>
      </c>
      <c r="F27" s="28">
        <f t="shared" si="23"/>
        <v>22.486138072072254</v>
      </c>
      <c r="G27" s="28">
        <f t="shared" si="23"/>
        <v>0</v>
      </c>
      <c r="H27" s="28">
        <f t="shared" si="23"/>
        <v>0</v>
      </c>
      <c r="I27" s="28">
        <f t="shared" si="23"/>
        <v>0</v>
      </c>
      <c r="J27" s="28">
        <f t="shared" ref="J27" si="24">(J9/$B$9)*100</f>
        <v>0</v>
      </c>
      <c r="K27" s="11" t="s">
        <v>5</v>
      </c>
    </row>
    <row r="28" spans="1:42" ht="15.75" x14ac:dyDescent="0.25">
      <c r="A28" s="23" t="s">
        <v>12</v>
      </c>
      <c r="B28" s="39">
        <f t="shared" si="19"/>
        <v>99.862325430558116</v>
      </c>
      <c r="C28" s="28">
        <f>(C10/$B$10)*100</f>
        <v>73.661631091812879</v>
      </c>
      <c r="D28" s="28">
        <f t="shared" ref="D28:I28" si="25">(D10/$B$10)*100</f>
        <v>16.383273763586772</v>
      </c>
      <c r="E28" s="28">
        <f t="shared" si="25"/>
        <v>0</v>
      </c>
      <c r="F28" s="28">
        <f t="shared" si="25"/>
        <v>5.3960782634035791</v>
      </c>
      <c r="G28" s="28">
        <f t="shared" si="25"/>
        <v>0</v>
      </c>
      <c r="H28" s="28">
        <f t="shared" si="25"/>
        <v>4.4213423117548851</v>
      </c>
      <c r="I28" s="28">
        <f t="shared" si="25"/>
        <v>0</v>
      </c>
      <c r="J28" s="28">
        <f t="shared" ref="J28" si="26">(J10/$B$10)*100</f>
        <v>0.13767456944190556</v>
      </c>
      <c r="K28" s="11" t="s">
        <v>6</v>
      </c>
    </row>
    <row r="29" spans="1:42" ht="15.75" x14ac:dyDescent="0.25">
      <c r="A29" s="23" t="s">
        <v>19</v>
      </c>
      <c r="B29" s="39">
        <f t="shared" si="19"/>
        <v>99.994235870802939</v>
      </c>
      <c r="C29" s="28">
        <f>(C11/$B$11)*100</f>
        <v>83.417500152390872</v>
      </c>
      <c r="D29" s="28">
        <f t="shared" ref="D29:I29" si="27">(D11/$B$11)*100</f>
        <v>5.0032422618540062</v>
      </c>
      <c r="E29" s="28">
        <f t="shared" si="27"/>
        <v>0</v>
      </c>
      <c r="F29" s="28">
        <f t="shared" si="27"/>
        <v>11.544672810531129</v>
      </c>
      <c r="G29" s="28">
        <f t="shared" si="27"/>
        <v>0</v>
      </c>
      <c r="H29" s="28">
        <f t="shared" si="27"/>
        <v>1.248894632293694E-2</v>
      </c>
      <c r="I29" s="28">
        <f t="shared" si="27"/>
        <v>1.6331699704002143E-2</v>
      </c>
      <c r="J29" s="28">
        <f t="shared" ref="J29" si="28">(J11/$B$11)*100</f>
        <v>5.7641291970588733E-3</v>
      </c>
      <c r="K29" s="11" t="s">
        <v>7</v>
      </c>
    </row>
    <row r="30" spans="1:42" ht="15.75" x14ac:dyDescent="0.25">
      <c r="A30" s="23" t="s">
        <v>13</v>
      </c>
      <c r="B30" s="39">
        <f t="shared" si="19"/>
        <v>99.983367611575659</v>
      </c>
      <c r="C30" s="28">
        <f>(C12/$B$12)*100</f>
        <v>88.80568727882536</v>
      </c>
      <c r="D30" s="28">
        <f t="shared" ref="D30:I30" si="29">(D12/$B$12)*100</f>
        <v>3.4030820580840206</v>
      </c>
      <c r="E30" s="28">
        <f t="shared" si="29"/>
        <v>0</v>
      </c>
      <c r="F30" s="28">
        <f t="shared" si="29"/>
        <v>7.7402604394159997</v>
      </c>
      <c r="G30" s="28">
        <f t="shared" si="29"/>
        <v>0</v>
      </c>
      <c r="H30" s="28">
        <f t="shared" si="29"/>
        <v>1.2876687685857143E-2</v>
      </c>
      <c r="I30" s="28">
        <f t="shared" si="29"/>
        <v>2.1461147564410785E-2</v>
      </c>
      <c r="J30" s="28">
        <f t="shared" ref="J30" si="30">(J12/$B$12)*100</f>
        <v>1.6632388424350098E-2</v>
      </c>
      <c r="K30" s="11" t="s">
        <v>8</v>
      </c>
    </row>
    <row r="31" spans="1:42" ht="15.75" x14ac:dyDescent="0.25">
      <c r="A31" s="23" t="s">
        <v>14</v>
      </c>
      <c r="B31" s="39">
        <f>SUM(C31:J31)</f>
        <v>99.999999999999986</v>
      </c>
      <c r="C31" s="28">
        <f>(C13/$B$13)*100</f>
        <v>49.872119207697864</v>
      </c>
      <c r="D31" s="28">
        <f t="shared" ref="D31:I31" si="31">(D13/$B$13)*100</f>
        <v>2.0769153281476433</v>
      </c>
      <c r="E31" s="28">
        <f t="shared" si="31"/>
        <v>6.0042931237087753</v>
      </c>
      <c r="F31" s="28">
        <f t="shared" si="31"/>
        <v>8.4666461835507807</v>
      </c>
      <c r="G31" s="28">
        <f t="shared" si="31"/>
        <v>7.9769360460935328</v>
      </c>
      <c r="H31" s="28">
        <f t="shared" si="31"/>
        <v>20.463458964455302</v>
      </c>
      <c r="I31" s="28">
        <f t="shared" si="31"/>
        <v>2.8755544606630559</v>
      </c>
      <c r="J31" s="28">
        <f>(J13/$B$13)*100</f>
        <v>2.2640766856830399</v>
      </c>
      <c r="K31" s="2" t="s">
        <v>9</v>
      </c>
    </row>
    <row r="32" spans="1:42" ht="15.75" x14ac:dyDescent="0.25">
      <c r="A32" s="40" t="s">
        <v>20</v>
      </c>
      <c r="B32" s="41">
        <f>SUM(C32:J32)</f>
        <v>0</v>
      </c>
      <c r="C32" s="38">
        <f>(C14/$B$13)*100</f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50" t="s">
        <v>34</v>
      </c>
    </row>
    <row r="33" spans="1:11" s="7" customFormat="1" ht="15" x14ac:dyDescent="0.25">
      <c r="A33" s="1" t="s">
        <v>1</v>
      </c>
      <c r="B33" s="29"/>
      <c r="C33" s="30"/>
      <c r="D33" s="30"/>
      <c r="E33" s="30"/>
      <c r="F33" s="30"/>
      <c r="G33" s="30"/>
      <c r="H33" s="30"/>
      <c r="K33" s="6" t="s">
        <v>2</v>
      </c>
    </row>
    <row r="38" spans="1:11" x14ac:dyDescent="0.25">
      <c r="B38" s="12"/>
    </row>
    <row r="57" spans="2:10" x14ac:dyDescent="0.25">
      <c r="B57" s="12"/>
    </row>
    <row r="58" spans="2:10" x14ac:dyDescent="0.25">
      <c r="B58" s="12"/>
    </row>
    <row r="59" spans="2:10" x14ac:dyDescent="0.25">
      <c r="C59" s="15"/>
      <c r="D59" s="15"/>
      <c r="E59" s="15"/>
      <c r="F59" s="15"/>
      <c r="G59" s="15"/>
      <c r="H59" s="15"/>
      <c r="I59" s="15"/>
      <c r="J59" s="15"/>
    </row>
  </sheetData>
  <mergeCells count="6">
    <mergeCell ref="A3:G3"/>
    <mergeCell ref="A4:A5"/>
    <mergeCell ref="B4:I4"/>
    <mergeCell ref="A1:K1"/>
    <mergeCell ref="A2:K2"/>
    <mergeCell ref="K4:K5"/>
  </mergeCells>
  <pageMargins left="0.7" right="0.7" top="0.75" bottom="0.75" header="0.3" footer="0.3"/>
  <pageSetup paperSize="9" scale="60" orientation="landscape" r:id="rId1"/>
  <ignoredErrors>
    <ignoredError sqref="C6:J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2016-01-17T08:21:19Z</cp:lastPrinted>
  <dcterms:created xsi:type="dcterms:W3CDTF">2014-03-04T03:52:57Z</dcterms:created>
  <dcterms:modified xsi:type="dcterms:W3CDTF">2016-01-17T08:21:20Z</dcterms:modified>
</cp:coreProperties>
</file>