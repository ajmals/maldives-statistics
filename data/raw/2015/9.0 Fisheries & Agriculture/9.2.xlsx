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45" windowWidth="14130" windowHeight="12255" tabRatio="898"/>
  </bookViews>
  <sheets>
    <sheet name="9.2" sheetId="7" r:id="rId1"/>
  </sheets>
  <definedNames>
    <definedName name="_xlnm.Print_Area" localSheetId="0">'9.2'!$A$1:$AB$36</definedName>
  </definedNames>
  <calcPr calcId="144525"/>
</workbook>
</file>

<file path=xl/calcChain.xml><?xml version="1.0" encoding="utf-8"?>
<calcChain xmlns="http://schemas.openxmlformats.org/spreadsheetml/2006/main">
  <c r="Z11" i="7" l="1"/>
  <c r="Y11" i="7"/>
  <c r="Z8" i="7"/>
  <c r="R31" i="7"/>
  <c r="R27" i="7"/>
  <c r="R22" i="7"/>
  <c r="R18" i="7"/>
  <c r="R14" i="7"/>
  <c r="R13" i="7"/>
  <c r="R12" i="7"/>
  <c r="R11" i="7"/>
  <c r="R10" i="7"/>
  <c r="R9" i="7"/>
  <c r="R8" i="7"/>
  <c r="Z31" i="7" l="1"/>
  <c r="Y31" i="7"/>
  <c r="X31" i="7"/>
  <c r="W31" i="7"/>
  <c r="V31" i="7"/>
  <c r="U31" i="7"/>
  <c r="T31" i="7"/>
  <c r="Z30" i="7"/>
  <c r="Y30" i="7"/>
  <c r="X30" i="7"/>
  <c r="W30" i="7"/>
  <c r="V30" i="7"/>
  <c r="U30" i="7"/>
  <c r="T30" i="7"/>
  <c r="Z29" i="7"/>
  <c r="Y29" i="7"/>
  <c r="X29" i="7"/>
  <c r="W29" i="7"/>
  <c r="V29" i="7"/>
  <c r="U29" i="7"/>
  <c r="T29" i="7"/>
  <c r="Z28" i="7"/>
  <c r="Y28" i="7"/>
  <c r="X28" i="7"/>
  <c r="W28" i="7"/>
  <c r="V28" i="7"/>
  <c r="U28" i="7"/>
  <c r="T28" i="7"/>
  <c r="Z27" i="7"/>
  <c r="Y27" i="7"/>
  <c r="X27" i="7"/>
  <c r="W27" i="7"/>
  <c r="V27" i="7"/>
  <c r="U27" i="7"/>
  <c r="T27" i="7"/>
  <c r="Z26" i="7"/>
  <c r="Y26" i="7"/>
  <c r="X26" i="7"/>
  <c r="W26" i="7"/>
  <c r="V26" i="7"/>
  <c r="U26" i="7"/>
  <c r="T26" i="7"/>
  <c r="Z25" i="7"/>
  <c r="Y25" i="7"/>
  <c r="X25" i="7"/>
  <c r="W25" i="7"/>
  <c r="V25" i="7"/>
  <c r="U25" i="7"/>
  <c r="T25" i="7"/>
  <c r="Z24" i="7"/>
  <c r="Y24" i="7"/>
  <c r="X24" i="7"/>
  <c r="W24" i="7"/>
  <c r="V24" i="7"/>
  <c r="U24" i="7"/>
  <c r="T24" i="7"/>
  <c r="Z23" i="7"/>
  <c r="Y23" i="7"/>
  <c r="X23" i="7"/>
  <c r="W23" i="7"/>
  <c r="V23" i="7"/>
  <c r="U23" i="7"/>
  <c r="T23" i="7"/>
  <c r="Z22" i="7"/>
  <c r="Y22" i="7"/>
  <c r="X22" i="7"/>
  <c r="W22" i="7"/>
  <c r="V22" i="7"/>
  <c r="U22" i="7"/>
  <c r="T22" i="7"/>
  <c r="Z21" i="7"/>
  <c r="Y21" i="7"/>
  <c r="X21" i="7"/>
  <c r="W21" i="7"/>
  <c r="V21" i="7"/>
  <c r="U21" i="7"/>
  <c r="T21" i="7"/>
  <c r="Z20" i="7"/>
  <c r="Y20" i="7"/>
  <c r="X20" i="7"/>
  <c r="W20" i="7"/>
  <c r="V20" i="7"/>
  <c r="U20" i="7"/>
  <c r="T20" i="7"/>
  <c r="Z19" i="7"/>
  <c r="Y19" i="7"/>
  <c r="X19" i="7"/>
  <c r="W19" i="7"/>
  <c r="V19" i="7"/>
  <c r="U19" i="7"/>
  <c r="T19" i="7"/>
  <c r="Z18" i="7"/>
  <c r="Y18" i="7"/>
  <c r="X18" i="7"/>
  <c r="W18" i="7"/>
  <c r="V18" i="7"/>
  <c r="U18" i="7"/>
  <c r="T18" i="7"/>
  <c r="Z17" i="7"/>
  <c r="Y17" i="7"/>
  <c r="X17" i="7"/>
  <c r="W17" i="7"/>
  <c r="V17" i="7"/>
  <c r="U17" i="7"/>
  <c r="T17" i="7"/>
  <c r="Z16" i="7"/>
  <c r="Y16" i="7"/>
  <c r="X16" i="7"/>
  <c r="W16" i="7"/>
  <c r="V16" i="7"/>
  <c r="U16" i="7"/>
  <c r="T16" i="7"/>
  <c r="Z15" i="7"/>
  <c r="Y15" i="7"/>
  <c r="X15" i="7"/>
  <c r="W15" i="7"/>
  <c r="V15" i="7"/>
  <c r="U15" i="7"/>
  <c r="T15" i="7"/>
  <c r="Z14" i="7"/>
  <c r="Y14" i="7"/>
  <c r="X14" i="7"/>
  <c r="W14" i="7"/>
  <c r="V14" i="7"/>
  <c r="U14" i="7"/>
  <c r="T14" i="7"/>
  <c r="Z13" i="7"/>
  <c r="Y13" i="7"/>
  <c r="X13" i="7"/>
  <c r="W13" i="7"/>
  <c r="V13" i="7"/>
  <c r="U13" i="7"/>
  <c r="T13" i="7"/>
  <c r="Z12" i="7"/>
  <c r="Y12" i="7"/>
  <c r="X12" i="7"/>
  <c r="W12" i="7"/>
  <c r="V12" i="7"/>
  <c r="U12" i="7"/>
  <c r="T12" i="7"/>
  <c r="V11" i="7"/>
  <c r="U11" i="7"/>
  <c r="T11" i="7"/>
  <c r="J10" i="7"/>
  <c r="I10" i="7"/>
  <c r="H10" i="7"/>
  <c r="G10" i="7"/>
  <c r="X10" i="7" s="1"/>
  <c r="F10" i="7"/>
  <c r="F8" i="7" s="1"/>
  <c r="N28" i="7" s="1"/>
  <c r="E10" i="7"/>
  <c r="E8" i="7" s="1"/>
  <c r="D10" i="7"/>
  <c r="C10" i="7"/>
  <c r="C8" i="7" s="1"/>
  <c r="Z9" i="7"/>
  <c r="Y9" i="7"/>
  <c r="X9" i="7"/>
  <c r="W9" i="7"/>
  <c r="V9" i="7"/>
  <c r="U9" i="7"/>
  <c r="T9" i="7"/>
  <c r="I8" i="7"/>
  <c r="Q31" i="7" s="1"/>
  <c r="H8" i="7"/>
  <c r="P30" i="7" s="1"/>
  <c r="D8" i="7"/>
  <c r="L26" i="7" s="1"/>
  <c r="L9" i="7" l="1"/>
  <c r="Z10" i="7"/>
  <c r="N9" i="7"/>
  <c r="N12" i="7"/>
  <c r="L13" i="7"/>
  <c r="L25" i="7"/>
  <c r="L27" i="7"/>
  <c r="P9" i="7"/>
  <c r="L11" i="7"/>
  <c r="N13" i="7"/>
  <c r="L15" i="7"/>
  <c r="L17" i="7"/>
  <c r="L19" i="7"/>
  <c r="N21" i="7"/>
  <c r="L23" i="7"/>
  <c r="N25" i="7"/>
  <c r="N27" i="7"/>
  <c r="L10" i="7"/>
  <c r="N11" i="7"/>
  <c r="P13" i="7"/>
  <c r="P15" i="7"/>
  <c r="N17" i="7"/>
  <c r="N19" i="7"/>
  <c r="P21" i="7"/>
  <c r="G8" i="7"/>
  <c r="O29" i="7" s="1"/>
  <c r="N10" i="7"/>
  <c r="P10" i="7"/>
  <c r="M27" i="7"/>
  <c r="M19" i="7"/>
  <c r="M20" i="7"/>
  <c r="M12" i="7"/>
  <c r="M28" i="7"/>
  <c r="M29" i="7"/>
  <c r="M21" i="7"/>
  <c r="M13" i="7"/>
  <c r="M8" i="7"/>
  <c r="M16" i="7"/>
  <c r="M30" i="7"/>
  <c r="M22" i="7"/>
  <c r="M14" i="7"/>
  <c r="V8" i="7"/>
  <c r="M18" i="7"/>
  <c r="M31" i="7"/>
  <c r="M23" i="7"/>
  <c r="M15" i="7"/>
  <c r="M9" i="7"/>
  <c r="U8" i="7"/>
  <c r="M24" i="7"/>
  <c r="M25" i="7"/>
  <c r="M17" i="7"/>
  <c r="M11" i="7"/>
  <c r="M26" i="7"/>
  <c r="K25" i="7"/>
  <c r="K17" i="7"/>
  <c r="K11" i="7"/>
  <c r="K26" i="7"/>
  <c r="K18" i="7"/>
  <c r="K27" i="7"/>
  <c r="K19" i="7"/>
  <c r="K12" i="7"/>
  <c r="K8" i="7"/>
  <c r="K28" i="7"/>
  <c r="K20" i="7"/>
  <c r="T8" i="7"/>
  <c r="K29" i="7"/>
  <c r="K21" i="7"/>
  <c r="K13" i="7"/>
  <c r="K14" i="7"/>
  <c r="K30" i="7"/>
  <c r="K22" i="7"/>
  <c r="K16" i="7"/>
  <c r="K31" i="7"/>
  <c r="K23" i="7"/>
  <c r="K15" i="7"/>
  <c r="K9" i="7"/>
  <c r="K24" i="7"/>
  <c r="Q22" i="7"/>
  <c r="P29" i="7"/>
  <c r="Q30" i="7"/>
  <c r="J8" i="7"/>
  <c r="U10" i="7"/>
  <c r="P12" i="7"/>
  <c r="Q13" i="7"/>
  <c r="L16" i="7"/>
  <c r="N18" i="7"/>
  <c r="P20" i="7"/>
  <c r="Q21" i="7"/>
  <c r="L24" i="7"/>
  <c r="N26" i="7"/>
  <c r="P28" i="7"/>
  <c r="Q29" i="7"/>
  <c r="P27" i="7"/>
  <c r="Q28" i="7"/>
  <c r="L31" i="7"/>
  <c r="K10" i="7"/>
  <c r="V10" i="7"/>
  <c r="Q20" i="7"/>
  <c r="L8" i="7"/>
  <c r="W10" i="7"/>
  <c r="L14" i="7"/>
  <c r="N16" i="7"/>
  <c r="P18" i="7"/>
  <c r="Q19" i="7"/>
  <c r="L22" i="7"/>
  <c r="N24" i="7"/>
  <c r="P26" i="7"/>
  <c r="Q27" i="7"/>
  <c r="L30" i="7"/>
  <c r="T10" i="7"/>
  <c r="O20" i="7"/>
  <c r="M10" i="7"/>
  <c r="Q12" i="7"/>
  <c r="O10" i="7"/>
  <c r="P11" i="7"/>
  <c r="N15" i="7"/>
  <c r="P17" i="7"/>
  <c r="Q18" i="7"/>
  <c r="L21" i="7"/>
  <c r="N23" i="7"/>
  <c r="O24" i="7"/>
  <c r="P25" i="7"/>
  <c r="Q26" i="7"/>
  <c r="L29" i="7"/>
  <c r="N31" i="7"/>
  <c r="Q8" i="7"/>
  <c r="Q14" i="7"/>
  <c r="P19" i="7"/>
  <c r="N8" i="7"/>
  <c r="Y10" i="7"/>
  <c r="Q11" i="7"/>
  <c r="L12" i="7"/>
  <c r="N14" i="7"/>
  <c r="O15" i="7"/>
  <c r="P16" i="7"/>
  <c r="Q17" i="7"/>
  <c r="L20" i="7"/>
  <c r="N22" i="7"/>
  <c r="P24" i="7"/>
  <c r="Q25" i="7"/>
  <c r="L28" i="7"/>
  <c r="N30" i="7"/>
  <c r="X8" i="7"/>
  <c r="Q10" i="7"/>
  <c r="Q16" i="7"/>
  <c r="O22" i="7"/>
  <c r="P23" i="7"/>
  <c r="Q24" i="7"/>
  <c r="N29" i="7"/>
  <c r="O30" i="7"/>
  <c r="P31" i="7"/>
  <c r="P8" i="7"/>
  <c r="Y8" i="7"/>
  <c r="Q9" i="7"/>
  <c r="P14" i="7"/>
  <c r="Q15" i="7"/>
  <c r="L18" i="7"/>
  <c r="N20" i="7"/>
  <c r="P22" i="7"/>
  <c r="Q23" i="7"/>
  <c r="O8" i="7" l="1"/>
  <c r="O9" i="7"/>
  <c r="O18" i="7"/>
  <c r="O25" i="7"/>
  <c r="O11" i="7"/>
  <c r="O21" i="7"/>
  <c r="O14" i="7"/>
  <c r="O31" i="7"/>
  <c r="W8" i="7"/>
  <c r="O12" i="7"/>
  <c r="O17" i="7"/>
  <c r="O26" i="7"/>
  <c r="O19" i="7"/>
  <c r="O16" i="7"/>
  <c r="O27" i="7"/>
  <c r="O13" i="7"/>
  <c r="O23" i="7"/>
  <c r="O28" i="7"/>
  <c r="R24" i="7"/>
  <c r="R16" i="7"/>
  <c r="R25" i="7"/>
  <c r="R17" i="7"/>
  <c r="R26" i="7"/>
  <c r="R15" i="7"/>
  <c r="R19" i="7"/>
  <c r="R28" i="7"/>
  <c r="R20" i="7"/>
  <c r="R29" i="7"/>
  <c r="R21" i="7"/>
  <c r="R30" i="7"/>
  <c r="R23" i="7"/>
</calcChain>
</file>

<file path=xl/sharedStrings.xml><?xml version="1.0" encoding="utf-8"?>
<sst xmlns="http://schemas.openxmlformats.org/spreadsheetml/2006/main" count="63" uniqueCount="62">
  <si>
    <t>% change over previous year</t>
  </si>
  <si>
    <t>ah</t>
  </si>
  <si>
    <t>dh</t>
  </si>
  <si>
    <t>S</t>
  </si>
  <si>
    <t>n</t>
  </si>
  <si>
    <t>r</t>
  </si>
  <si>
    <t>b</t>
  </si>
  <si>
    <t>L</t>
  </si>
  <si>
    <t>k</t>
  </si>
  <si>
    <t xml:space="preserve"> aa</t>
  </si>
  <si>
    <t>da</t>
  </si>
  <si>
    <t>v</t>
  </si>
  <si>
    <t>m</t>
  </si>
  <si>
    <t>f</t>
  </si>
  <si>
    <t>d</t>
  </si>
  <si>
    <t>t</t>
  </si>
  <si>
    <t>l</t>
  </si>
  <si>
    <t>ag</t>
  </si>
  <si>
    <t>dg</t>
  </si>
  <si>
    <t>N</t>
  </si>
  <si>
    <t>s</t>
  </si>
  <si>
    <t xml:space="preserve"> HA</t>
  </si>
  <si>
    <t xml:space="preserve"> HDh</t>
  </si>
  <si>
    <t xml:space="preserve"> Sh</t>
  </si>
  <si>
    <t xml:space="preserve"> N</t>
  </si>
  <si>
    <t xml:space="preserve"> R</t>
  </si>
  <si>
    <t>B</t>
  </si>
  <si>
    <t>Lh</t>
  </si>
  <si>
    <t>K</t>
  </si>
  <si>
    <t>ADh</t>
  </si>
  <si>
    <t>V</t>
  </si>
  <si>
    <t>M</t>
  </si>
  <si>
    <t>F</t>
  </si>
  <si>
    <t>Dh</t>
  </si>
  <si>
    <t>Th</t>
  </si>
  <si>
    <t xml:space="preserve"> L</t>
  </si>
  <si>
    <t>GA</t>
  </si>
  <si>
    <t>GDh</t>
  </si>
  <si>
    <t>Gn</t>
  </si>
  <si>
    <t>Source: Ministry of Fisheries  and Agriculture</t>
  </si>
  <si>
    <t>(cnuhWh cnwT ckircTem )</t>
  </si>
  <si>
    <t>(In '000 metric tons)</t>
  </si>
  <si>
    <t>cniawtcaws ctogWviawfiheb</t>
  </si>
  <si>
    <t>Percentage share</t>
  </si>
  <si>
    <t xml:space="preserve"> rwCclwkircgea cDcnea  czIrwxif cfoa IrcTcsinim :ctWrwf ivcaedutWmUluAwm</t>
  </si>
  <si>
    <t xml:space="preserve"> Locality</t>
  </si>
  <si>
    <t>udwdwA ununEb cswm</t>
  </si>
  <si>
    <t>(cnia %) urwvcnim ivurutia eruvcSwrwhwa wyidim</t>
  </si>
  <si>
    <t>cnwt</t>
  </si>
  <si>
    <t>Fish catch</t>
  </si>
  <si>
    <t>Republic</t>
  </si>
  <si>
    <t>ejcaWriLum</t>
  </si>
  <si>
    <t>Male'</t>
  </si>
  <si>
    <t>elWm</t>
  </si>
  <si>
    <t>Atolls</t>
  </si>
  <si>
    <t>cawtuLotwa</t>
  </si>
  <si>
    <t>EEZ</t>
  </si>
  <si>
    <t xml:space="preserve">      cnudcawHwrws IdWBitcqia</t>
  </si>
  <si>
    <t>AA</t>
  </si>
  <si>
    <r>
      <t>Note:</t>
    </r>
    <r>
      <rPr>
        <b/>
        <i/>
        <vertAlign val="superscript"/>
        <sz val="9"/>
        <rFont val="Calibri"/>
        <family val="2"/>
      </rPr>
      <t xml:space="preserve"> </t>
    </r>
    <r>
      <rPr>
        <i/>
        <sz val="9"/>
        <rFont val="Calibri"/>
        <family val="2"/>
      </rPr>
      <t>Fish catch data for 2010 shows a substantial upward revision from 94.3 to 116.7 thousand metric tons, based on the fish collection data by vessel, newly available at the MOFA. Some vessesls had not reported catch data while reporting collection. Hence this ajustment could not be  brought to previous years catch data to make it consistent.</t>
    </r>
  </si>
  <si>
    <t>Table 9.2 :  FISH CATCH BY LOCALITY, 2007 -  2014</t>
  </si>
  <si>
    <r>
      <t>2014 - 2007 ,urwvcnim eguhwm inEb wtwvun ifih cnutogegunwt</t>
    </r>
    <r>
      <rPr>
        <b/>
        <sz val="10"/>
        <rFont val="A_Randhoo"/>
      </rPr>
      <t xml:space="preserve"> : </t>
    </r>
    <r>
      <rPr>
        <b/>
        <sz val="12"/>
        <rFont val="A_Randhoo"/>
      </rPr>
      <t>9.2 ulwvWt</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</si>
</sst>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409]mmmm\ d\,\ yyyy;@"/>
    <numFmt numFmtId="165" formatCode="General_)"/>
    <numFmt numFmtId="166" formatCode="#,##0.0"/>
  </numFmts>
  <fonts count="21" x14ac:knownFonts="1">
    <font>
      <sz val="11"/>
      <color theme="1"/>
      <name val="Calibri"/>
      <family val="2"/>
      <scheme val="minor"/>
    </font>
    <font>
      <sz val="10"/>
      <name val="Courier"/>
      <family val="3"/>
    </font>
    <font>
      <b/>
      <sz val="10"/>
      <name val="Arial"/>
      <family val="2"/>
    </font>
    <font>
      <sz val="10"/>
      <name val="Arial"/>
      <family val="2"/>
    </font>
    <font>
      <sz val="10"/>
      <name val="MS Sans Serif"/>
      <family val="2"/>
    </font>
    <font>
      <sz val="10"/>
      <name val="Calibri"/>
      <family val="2"/>
    </font>
    <font>
      <b/>
      <sz val="9"/>
      <name val="A_Randhoo"/>
    </font>
    <font>
      <b/>
      <sz val="9"/>
      <name val="Calibri"/>
      <family val="2"/>
    </font>
    <font>
      <sz val="9"/>
      <name val="Courier"/>
      <family val="3"/>
    </font>
    <font>
      <i/>
      <sz val="9"/>
      <name val="Calibri"/>
      <family val="2"/>
    </font>
    <font>
      <sz val="9"/>
      <name val="A_Randhoo"/>
    </font>
    <font>
      <i/>
      <sz val="9"/>
      <name val="Calibri"/>
      <family val="2"/>
      <scheme val="minor"/>
    </font>
    <font>
      <b/>
      <sz val="10"/>
      <name val="Calibri"/>
      <family val="2"/>
    </font>
    <font>
      <b/>
      <sz val="10"/>
      <name val="A_Randhoo"/>
    </font>
    <font>
      <sz val="10"/>
      <name val="A_Randhoo"/>
    </font>
    <font>
      <b/>
      <sz val="12"/>
      <name val="A_Randhoo"/>
    </font>
    <font>
      <sz val="9"/>
      <name val="Arial"/>
      <family val="2"/>
    </font>
    <font>
      <b/>
      <sz val="9"/>
      <name val="Arial"/>
      <family val="2"/>
    </font>
    <font>
      <sz val="9"/>
      <name val="Calibri"/>
      <family val="2"/>
    </font>
    <font>
      <i/>
      <sz val="9"/>
      <name val="Arial"/>
      <family val="2"/>
    </font>
    <font>
      <b/>
      <i/>
      <vertAlign val="superscript"/>
      <sz val="9"/>
      <name val="Calibri"/>
      <family val="2"/>
    </font>
  </fonts>
  <fills count="3">
    <fill>
      <patternFill patternType="none"/>
    </fill>
    <fill>
      <patternFill patternType="gray125"/>
    </fill>
    <fill>
      <patternFill patternType="solid">
        <fgColor theme="0"/>
        <bgColor indexed="64"/>
      </patternFill>
    </fill>
  </fills>
  <borders count="11">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style="hair">
        <color indexed="64"/>
      </right>
      <top style="thin">
        <color indexed="64"/>
      </top>
      <bottom/>
      <diagonal/>
    </border>
    <border>
      <left/>
      <right style="hair">
        <color indexed="64"/>
      </right>
      <top/>
      <bottom style="thin">
        <color indexed="64"/>
      </bottom>
      <diagonal/>
    </border>
    <border>
      <left/>
      <right style="hair">
        <color indexed="64"/>
      </right>
      <top style="thin">
        <color indexed="64"/>
      </top>
      <bottom style="thin">
        <color indexed="64"/>
      </bottom>
      <diagonal/>
    </border>
    <border>
      <left/>
      <right style="hair">
        <color indexed="64"/>
      </right>
      <top/>
      <bottom/>
      <diagonal/>
    </border>
    <border>
      <left style="hair">
        <color indexed="64"/>
      </left>
      <right/>
      <top style="thin">
        <color indexed="64"/>
      </top>
      <bottom/>
      <diagonal/>
    </border>
    <border>
      <left style="hair">
        <color indexed="64"/>
      </left>
      <right/>
      <top/>
      <bottom style="thin">
        <color indexed="64"/>
      </bottom>
      <diagonal/>
    </border>
    <border>
      <left style="hair">
        <color indexed="64"/>
      </left>
      <right/>
      <top/>
      <bottom/>
      <diagonal/>
    </border>
  </borders>
  <cellStyleXfs count="6">
    <xf numFmtId="0" fontId="0" fillId="0" borderId="0"/>
    <xf numFmtId="40" fontId="4" fillId="0" borderId="0" applyFont="0" applyFill="0" applyBorder="0" applyAlignment="0" applyProtection="0"/>
    <xf numFmtId="164" fontId="1" fillId="0" borderId="0"/>
    <xf numFmtId="164" fontId="1" fillId="0" borderId="0"/>
    <xf numFmtId="165" fontId="1" fillId="0" borderId="0"/>
    <xf numFmtId="0" fontId="1" fillId="0" borderId="0"/>
  </cellStyleXfs>
  <cellXfs count="81">
    <xf numFmtId="0" fontId="0" fillId="0" borderId="0" xfId="0"/>
    <xf numFmtId="165" fontId="9" fillId="2" borderId="0" xfId="4" applyFont="1" applyFill="1" applyAlignment="1" applyProtection="1">
      <alignment horizontal="left" vertical="center"/>
    </xf>
    <xf numFmtId="165" fontId="1" fillId="2" borderId="0" xfId="4" applyFont="1" applyFill="1" applyAlignment="1">
      <alignment vertical="center"/>
    </xf>
    <xf numFmtId="165" fontId="16" fillId="2" borderId="0" xfId="4" applyFont="1" applyFill="1" applyAlignment="1">
      <alignment vertical="center"/>
    </xf>
    <xf numFmtId="165" fontId="8" fillId="2" borderId="0" xfId="4" applyFont="1" applyFill="1" applyAlignment="1">
      <alignment vertical="center"/>
    </xf>
    <xf numFmtId="165" fontId="19" fillId="2" borderId="0" xfId="4" applyFont="1" applyFill="1" applyAlignment="1" applyProtection="1">
      <alignment horizontal="left" vertical="center"/>
    </xf>
    <xf numFmtId="165" fontId="10" fillId="2" borderId="0" xfId="4" applyFont="1" applyFill="1" applyBorder="1" applyAlignment="1">
      <alignment horizontal="right" vertical="center"/>
    </xf>
    <xf numFmtId="165" fontId="16" fillId="2" borderId="0" xfId="4" applyFont="1" applyFill="1" applyAlignment="1">
      <alignment horizontal="left" vertical="center"/>
    </xf>
    <xf numFmtId="165" fontId="11" fillId="2" borderId="0" xfId="4" applyFont="1" applyFill="1" applyBorder="1" applyAlignment="1">
      <alignment horizontal="left" vertical="top"/>
    </xf>
    <xf numFmtId="165" fontId="16" fillId="2" borderId="0" xfId="4" applyFont="1" applyFill="1" applyBorder="1" applyAlignment="1">
      <alignment vertical="center"/>
    </xf>
    <xf numFmtId="165" fontId="2" fillId="2" borderId="0" xfId="4" applyFont="1" applyFill="1" applyAlignment="1">
      <alignment vertical="center"/>
    </xf>
    <xf numFmtId="165" fontId="17" fillId="2" borderId="0" xfId="4" applyFont="1" applyFill="1" applyAlignment="1">
      <alignment vertical="center"/>
    </xf>
    <xf numFmtId="165" fontId="6" fillId="2" borderId="0" xfId="4" applyFont="1" applyFill="1" applyBorder="1" applyAlignment="1">
      <alignment horizontal="centerContinuous" vertical="center" wrapText="1"/>
    </xf>
    <xf numFmtId="165" fontId="16" fillId="2" borderId="0" xfId="4" applyFont="1" applyFill="1" applyBorder="1" applyAlignment="1">
      <alignment horizontal="centerContinuous" vertical="center"/>
    </xf>
    <xf numFmtId="165" fontId="7" fillId="2" borderId="2" xfId="4" applyFont="1" applyFill="1" applyBorder="1" applyAlignment="1" applyProtection="1">
      <alignment horizontal="centerContinuous" vertical="center"/>
    </xf>
    <xf numFmtId="165" fontId="17" fillId="2" borderId="2" xfId="4" applyFont="1" applyFill="1" applyBorder="1" applyAlignment="1">
      <alignment horizontal="centerContinuous" vertical="center"/>
    </xf>
    <xf numFmtId="165" fontId="7" fillId="2" borderId="2" xfId="4" applyFont="1" applyFill="1" applyBorder="1" applyAlignment="1">
      <alignment horizontal="centerContinuous" vertical="center"/>
    </xf>
    <xf numFmtId="165" fontId="7" fillId="2" borderId="0" xfId="4" applyFont="1" applyFill="1" applyBorder="1" applyAlignment="1">
      <alignment horizontal="center" vertical="center" wrapText="1"/>
    </xf>
    <xf numFmtId="165" fontId="18" fillId="2" borderId="0" xfId="4" applyFont="1" applyFill="1" applyAlignment="1">
      <alignment vertical="center"/>
    </xf>
    <xf numFmtId="165" fontId="7" fillId="2" borderId="0" xfId="4" applyFont="1" applyFill="1" applyAlignment="1">
      <alignment vertical="center"/>
    </xf>
    <xf numFmtId="165" fontId="12" fillId="2" borderId="0" xfId="4" applyFont="1" applyFill="1" applyAlignment="1" applyProtection="1">
      <alignment horizontal="left" vertical="center"/>
    </xf>
    <xf numFmtId="166" fontId="7" fillId="2" borderId="0" xfId="4" applyNumberFormat="1" applyFont="1" applyFill="1" applyAlignment="1" applyProtection="1">
      <alignment horizontal="right"/>
    </xf>
    <xf numFmtId="166" fontId="12" fillId="2" borderId="0" xfId="4" applyNumberFormat="1" applyFont="1" applyFill="1" applyAlignment="1" applyProtection="1">
      <alignment horizontal="right"/>
    </xf>
    <xf numFmtId="166" fontId="12" fillId="2" borderId="10" xfId="4" applyNumberFormat="1" applyFont="1" applyFill="1" applyBorder="1" applyAlignment="1" applyProtection="1">
      <alignment horizontal="right"/>
    </xf>
    <xf numFmtId="166" fontId="12" fillId="2" borderId="0" xfId="4" applyNumberFormat="1" applyFont="1" applyFill="1" applyBorder="1" applyAlignment="1" applyProtection="1">
      <alignment horizontal="right"/>
    </xf>
    <xf numFmtId="166" fontId="12" fillId="2" borderId="0" xfId="4" applyNumberFormat="1" applyFont="1" applyFill="1" applyBorder="1" applyAlignment="1">
      <alignment horizontal="right" vertical="center"/>
    </xf>
    <xf numFmtId="166" fontId="2" fillId="2" borderId="0" xfId="4" applyNumberFormat="1" applyFont="1" applyFill="1" applyBorder="1" applyAlignment="1">
      <alignment horizontal="right" vertical="center"/>
    </xf>
    <xf numFmtId="166" fontId="7" fillId="2" borderId="0" xfId="4" applyNumberFormat="1" applyFont="1" applyFill="1" applyAlignment="1">
      <alignment horizontal="right" vertical="center"/>
    </xf>
    <xf numFmtId="166" fontId="12" fillId="2" borderId="0" xfId="4" applyNumberFormat="1" applyFont="1" applyFill="1" applyAlignment="1">
      <alignment horizontal="right" vertical="center"/>
    </xf>
    <xf numFmtId="166" fontId="18" fillId="2" borderId="0" xfId="4" applyNumberFormat="1" applyFont="1" applyFill="1" applyAlignment="1">
      <alignment horizontal="right" vertical="center"/>
    </xf>
    <xf numFmtId="166" fontId="5" fillId="2" borderId="0" xfId="4" applyNumberFormat="1" applyFont="1" applyFill="1" applyAlignment="1">
      <alignment horizontal="right" vertical="center"/>
    </xf>
    <xf numFmtId="166" fontId="5" fillId="2" borderId="0" xfId="4" applyNumberFormat="1" applyFont="1" applyFill="1" applyBorder="1" applyAlignment="1" applyProtection="1">
      <alignment horizontal="right"/>
    </xf>
    <xf numFmtId="166" fontId="5" fillId="2" borderId="10" xfId="4" applyNumberFormat="1" applyFont="1" applyFill="1" applyBorder="1" applyAlignment="1" applyProtection="1">
      <alignment horizontal="right"/>
    </xf>
    <xf numFmtId="166" fontId="5" fillId="2" borderId="0" xfId="4" applyNumberFormat="1" applyFont="1" applyFill="1" applyBorder="1" applyAlignment="1">
      <alignment horizontal="right" vertical="center"/>
    </xf>
    <xf numFmtId="166" fontId="3" fillId="2" borderId="0" xfId="4" applyNumberFormat="1" applyFont="1" applyFill="1" applyBorder="1" applyAlignment="1">
      <alignment horizontal="right" vertical="center"/>
    </xf>
    <xf numFmtId="166" fontId="18" fillId="2" borderId="2" xfId="4" applyNumberFormat="1" applyFont="1" applyFill="1" applyBorder="1" applyAlignment="1">
      <alignment horizontal="right" vertical="center"/>
    </xf>
    <xf numFmtId="166" fontId="5" fillId="2" borderId="2" xfId="4" applyNumberFormat="1" applyFont="1" applyFill="1" applyBorder="1" applyAlignment="1">
      <alignment horizontal="right" vertical="center"/>
    </xf>
    <xf numFmtId="166" fontId="5" fillId="2" borderId="2" xfId="4" applyNumberFormat="1" applyFont="1" applyFill="1" applyBorder="1" applyAlignment="1" applyProtection="1">
      <alignment horizontal="right"/>
    </xf>
    <xf numFmtId="166" fontId="5" fillId="2" borderId="9" xfId="4" applyNumberFormat="1" applyFont="1" applyFill="1" applyBorder="1" applyAlignment="1" applyProtection="1">
      <alignment horizontal="right"/>
    </xf>
    <xf numFmtId="166" fontId="3" fillId="2" borderId="2" xfId="4" applyNumberFormat="1" applyFont="1" applyFill="1" applyBorder="1" applyAlignment="1">
      <alignment horizontal="right" vertical="center"/>
    </xf>
    <xf numFmtId="165" fontId="19" fillId="2" borderId="0" xfId="4" applyFont="1" applyFill="1" applyBorder="1" applyAlignment="1" applyProtection="1">
      <alignment horizontal="left" vertical="center"/>
    </xf>
    <xf numFmtId="165" fontId="9" fillId="2" borderId="0" xfId="4" applyFont="1" applyFill="1" applyAlignment="1" applyProtection="1">
      <alignment vertical="center" wrapText="1"/>
    </xf>
    <xf numFmtId="165" fontId="16" fillId="2" borderId="0" xfId="4" applyFont="1" applyFill="1" applyBorder="1" applyAlignment="1">
      <alignment horizontal="left" vertical="center"/>
    </xf>
    <xf numFmtId="166" fontId="12" fillId="2" borderId="0" xfId="4" applyNumberFormat="1" applyFont="1" applyFill="1" applyBorder="1" applyAlignment="1">
      <alignment horizontal="left" vertical="center"/>
    </xf>
    <xf numFmtId="165" fontId="3" fillId="2" borderId="0" xfId="4" applyFont="1" applyFill="1" applyAlignment="1">
      <alignment vertical="center"/>
    </xf>
    <xf numFmtId="165" fontId="3" fillId="2" borderId="0" xfId="4" applyFont="1" applyFill="1" applyBorder="1" applyAlignment="1">
      <alignment vertical="center"/>
    </xf>
    <xf numFmtId="165" fontId="2" fillId="2" borderId="0" xfId="4" applyFont="1" applyFill="1" applyAlignment="1">
      <alignment horizontal="right" vertical="center"/>
    </xf>
    <xf numFmtId="1" fontId="12" fillId="2" borderId="2" xfId="4" applyNumberFormat="1" applyFont="1" applyFill="1" applyBorder="1" applyAlignment="1" applyProtection="1">
      <alignment horizontal="right" vertical="center"/>
    </xf>
    <xf numFmtId="1" fontId="12" fillId="2" borderId="3" xfId="4" applyNumberFormat="1" applyFont="1" applyFill="1" applyBorder="1" applyAlignment="1">
      <alignment horizontal="right" vertical="center"/>
    </xf>
    <xf numFmtId="1" fontId="12" fillId="2" borderId="9" xfId="4" applyNumberFormat="1" applyFont="1" applyFill="1" applyBorder="1" applyAlignment="1" applyProtection="1">
      <alignment horizontal="right" vertical="center"/>
    </xf>
    <xf numFmtId="165" fontId="12" fillId="2" borderId="3" xfId="4" applyFont="1" applyFill="1" applyBorder="1" applyAlignment="1">
      <alignment horizontal="right" vertical="center" wrapText="1"/>
    </xf>
    <xf numFmtId="165" fontId="12" fillId="2" borderId="2" xfId="4" applyFont="1" applyFill="1" applyBorder="1" applyAlignment="1">
      <alignment horizontal="right" vertical="center" wrapText="1"/>
    </xf>
    <xf numFmtId="1" fontId="12" fillId="2" borderId="2" xfId="4" applyNumberFormat="1" applyFont="1" applyFill="1" applyBorder="1" applyAlignment="1">
      <alignment horizontal="right" vertical="center"/>
    </xf>
    <xf numFmtId="165" fontId="2" fillId="2" borderId="2" xfId="4" applyFont="1" applyFill="1" applyBorder="1" applyAlignment="1">
      <alignment horizontal="right" vertical="center" wrapText="1"/>
    </xf>
    <xf numFmtId="165" fontId="1" fillId="2" borderId="0" xfId="4" applyFont="1" applyFill="1" applyAlignment="1">
      <alignment horizontal="right" vertical="center"/>
    </xf>
    <xf numFmtId="165" fontId="6" fillId="2" borderId="1" xfId="4" applyFont="1" applyFill="1" applyBorder="1" applyAlignment="1">
      <alignment horizontal="center" vertical="center"/>
    </xf>
    <xf numFmtId="165" fontId="12" fillId="2" borderId="6" xfId="4" applyFont="1" applyFill="1" applyBorder="1" applyAlignment="1">
      <alignment horizontal="right" vertical="center" wrapText="1"/>
    </xf>
    <xf numFmtId="166" fontId="12" fillId="2" borderId="7" xfId="4" applyNumberFormat="1" applyFont="1" applyFill="1" applyBorder="1" applyAlignment="1" applyProtection="1">
      <alignment horizontal="right"/>
    </xf>
    <xf numFmtId="166" fontId="5" fillId="2" borderId="7" xfId="4" applyNumberFormat="1" applyFont="1" applyFill="1" applyBorder="1" applyAlignment="1" applyProtection="1">
      <alignment horizontal="right"/>
    </xf>
    <xf numFmtId="166" fontId="5" fillId="2" borderId="5" xfId="4" applyNumberFormat="1" applyFont="1" applyFill="1" applyBorder="1" applyAlignment="1" applyProtection="1">
      <alignment horizontal="right"/>
    </xf>
    <xf numFmtId="165" fontId="13" fillId="2" borderId="0" xfId="4" applyFont="1" applyFill="1" applyAlignment="1">
      <alignment horizontal="right" vertical="center" indent="1"/>
    </xf>
    <xf numFmtId="165" fontId="14" fillId="2" borderId="0" xfId="0" applyNumberFormat="1" applyFont="1" applyFill="1" applyAlignment="1">
      <alignment horizontal="right" vertical="center" indent="2"/>
    </xf>
    <xf numFmtId="165" fontId="14" fillId="2" borderId="2" xfId="0" applyNumberFormat="1" applyFont="1" applyFill="1" applyBorder="1" applyAlignment="1">
      <alignment horizontal="right" vertical="center" indent="2"/>
    </xf>
    <xf numFmtId="165" fontId="5" fillId="2" borderId="0" xfId="0" applyNumberFormat="1" applyFont="1" applyFill="1" applyAlignment="1" applyProtection="1">
      <alignment horizontal="left" vertical="center" indent="1"/>
    </xf>
    <xf numFmtId="165" fontId="5" fillId="2" borderId="2" xfId="0" applyNumberFormat="1" applyFont="1" applyFill="1" applyBorder="1" applyAlignment="1" applyProtection="1">
      <alignment horizontal="left" vertical="center" indent="1"/>
    </xf>
    <xf numFmtId="165" fontId="9" fillId="2" borderId="0" xfId="4" applyFont="1" applyFill="1" applyAlignment="1" applyProtection="1">
      <alignment horizontal="left" vertical="center" wrapText="1"/>
    </xf>
    <xf numFmtId="165" fontId="15" fillId="2" borderId="0" xfId="4" applyFont="1" applyFill="1" applyAlignment="1">
      <alignment horizontal="center" vertical="center"/>
    </xf>
    <xf numFmtId="165" fontId="12" fillId="2" borderId="0" xfId="4" applyFont="1" applyFill="1" applyBorder="1" applyAlignment="1" applyProtection="1">
      <alignment horizontal="center" vertical="center"/>
    </xf>
    <xf numFmtId="165" fontId="7" fillId="2" borderId="1" xfId="4" applyFont="1" applyFill="1" applyBorder="1" applyAlignment="1" applyProtection="1">
      <alignment horizontal="left" vertical="center"/>
    </xf>
    <xf numFmtId="165" fontId="7" fillId="2" borderId="0" xfId="4" applyFont="1" applyFill="1" applyBorder="1" applyAlignment="1" applyProtection="1">
      <alignment horizontal="left" vertical="center"/>
    </xf>
    <xf numFmtId="165" fontId="7" fillId="2" borderId="2" xfId="4" applyFont="1" applyFill="1" applyBorder="1" applyAlignment="1" applyProtection="1">
      <alignment horizontal="left" vertical="center"/>
    </xf>
    <xf numFmtId="165" fontId="6" fillId="2" borderId="1" xfId="4" applyFont="1" applyFill="1" applyBorder="1" applyAlignment="1">
      <alignment horizontal="center" vertical="center"/>
    </xf>
    <xf numFmtId="165" fontId="6" fillId="2" borderId="1" xfId="4" applyFont="1" applyFill="1" applyBorder="1" applyAlignment="1">
      <alignment horizontal="right" vertical="center"/>
    </xf>
    <xf numFmtId="165" fontId="6" fillId="2" borderId="0" xfId="4" applyFont="1" applyFill="1" applyBorder="1" applyAlignment="1">
      <alignment horizontal="right" vertical="center"/>
    </xf>
    <xf numFmtId="165" fontId="6" fillId="2" borderId="2" xfId="4" applyFont="1" applyFill="1" applyBorder="1" applyAlignment="1">
      <alignment horizontal="right" vertical="center"/>
    </xf>
    <xf numFmtId="165" fontId="7" fillId="2" borderId="2" xfId="4" applyFont="1" applyFill="1" applyBorder="1" applyAlignment="1">
      <alignment horizontal="center" vertical="center" wrapText="1"/>
    </xf>
    <xf numFmtId="165" fontId="6" fillId="2" borderId="4" xfId="4" applyFont="1" applyFill="1" applyBorder="1" applyAlignment="1">
      <alignment horizontal="center" vertical="center"/>
    </xf>
    <xf numFmtId="165" fontId="7" fillId="2" borderId="2" xfId="4" applyFont="1" applyFill="1" applyBorder="1" applyAlignment="1">
      <alignment horizontal="center" vertical="center"/>
    </xf>
    <xf numFmtId="165" fontId="7" fillId="2" borderId="5" xfId="4" applyFont="1" applyFill="1" applyBorder="1" applyAlignment="1">
      <alignment horizontal="center" vertical="center"/>
    </xf>
    <xf numFmtId="165" fontId="6" fillId="2" borderId="8" xfId="4" applyFont="1" applyFill="1" applyBorder="1" applyAlignment="1">
      <alignment horizontal="center" vertical="center"/>
    </xf>
    <xf numFmtId="165" fontId="7" fillId="2" borderId="9" xfId="4" applyFont="1" applyFill="1" applyBorder="1" applyAlignment="1">
      <alignment horizontal="center" vertical="center"/>
    </xf>
  </cellXfs>
  <cellStyles count="6">
    <cellStyle name="Comma 2" xfId="1"/>
    <cellStyle name="Normal" xfId="0" builtinId="0"/>
    <cellStyle name="Normal 2" xfId="5"/>
    <cellStyle name="Normal 3_agri planning 2009 year book(final)" xfId="3"/>
    <cellStyle name="Normal 4_agri planning 2009 year book(final)" xfId="2"/>
    <cellStyle name="Normal_Fish &amp;  Agri - 8" xfId="4"/>
  </cellStyles>
  <dxfs count="0"/>
  <tableStyles count="0" defaultTableStyle="TableStyleMedium9" defaultPivotStyle="PivotStyleLight16"/>
  <colors>
    <mruColors>
      <color rgb="FFFF3399"/>
      <color rgb="FFE8F5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AS67"/>
  <sheetViews>
    <sheetView tabSelected="1" zoomScaleNormal="100" workbookViewId="0">
      <selection activeCell="P4" sqref="P4"/>
    </sheetView>
  </sheetViews>
  <sheetFormatPr defaultColWidth="8.85546875" defaultRowHeight="12.75" x14ac:dyDescent="0.25"/>
  <cols>
    <col min="1" max="1" width="7.85546875" style="44" customWidth="1"/>
    <col min="2" max="2" width="7.7109375" style="45" hidden="1" customWidth="1"/>
    <col min="3" max="4" width="7.7109375" style="45" customWidth="1"/>
    <col min="5" max="10" width="7.7109375" style="44" customWidth="1"/>
    <col min="11" max="12" width="8.28515625" style="44" customWidth="1"/>
    <col min="13" max="17" width="8.28515625" style="45" customWidth="1"/>
    <col min="18" max="18" width="8.5703125" style="45" customWidth="1"/>
    <col min="19" max="19" width="8" style="45" customWidth="1"/>
    <col min="20" max="22" width="8" style="44" customWidth="1"/>
    <col min="23" max="23" width="8.7109375" style="44" customWidth="1"/>
    <col min="24" max="24" width="8" style="44" customWidth="1"/>
    <col min="25" max="25" width="8.5703125" style="44" customWidth="1"/>
    <col min="26" max="26" width="8" style="44" customWidth="1"/>
    <col min="27" max="27" width="8.85546875" style="44"/>
    <col min="28" max="28" width="14.5703125" style="44" customWidth="1"/>
    <col min="29" max="16384" width="8.85546875" style="44"/>
  </cols>
  <sheetData>
    <row r="1" spans="1:45" s="10" customFormat="1" ht="19.5" x14ac:dyDescent="0.25">
      <c r="A1" s="66" t="s">
        <v>61</v>
      </c>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2"/>
      <c r="AD1" s="2"/>
      <c r="AE1" s="2"/>
      <c r="AF1" s="2"/>
      <c r="AG1" s="2"/>
      <c r="AH1" s="2"/>
      <c r="AI1" s="2"/>
      <c r="AJ1" s="2"/>
      <c r="AK1" s="2"/>
      <c r="AL1" s="2"/>
      <c r="AM1" s="2"/>
      <c r="AN1" s="2"/>
      <c r="AO1" s="2"/>
      <c r="AP1" s="2"/>
      <c r="AQ1" s="2"/>
      <c r="AR1" s="2"/>
      <c r="AS1" s="2"/>
    </row>
    <row r="2" spans="1:45" s="11" customFormat="1" x14ac:dyDescent="0.25">
      <c r="A2" s="67" t="s">
        <v>60</v>
      </c>
      <c r="B2" s="67"/>
      <c r="C2" s="67"/>
      <c r="D2" s="67"/>
      <c r="E2" s="67"/>
      <c r="F2" s="67"/>
      <c r="G2" s="67"/>
      <c r="H2" s="67"/>
      <c r="I2" s="67"/>
      <c r="J2" s="67"/>
      <c r="K2" s="67"/>
      <c r="L2" s="67"/>
      <c r="M2" s="67"/>
      <c r="N2" s="67"/>
      <c r="O2" s="67"/>
      <c r="P2" s="67"/>
      <c r="Q2" s="67"/>
      <c r="R2" s="67"/>
      <c r="S2" s="67"/>
      <c r="T2" s="67"/>
      <c r="U2" s="67"/>
      <c r="V2" s="67"/>
      <c r="W2" s="67"/>
      <c r="X2" s="67"/>
      <c r="Y2" s="67"/>
      <c r="Z2" s="67"/>
      <c r="AA2" s="67"/>
      <c r="AB2" s="67"/>
      <c r="AC2" s="4"/>
      <c r="AD2" s="4"/>
      <c r="AE2" s="4"/>
      <c r="AF2" s="4"/>
      <c r="AG2" s="4"/>
      <c r="AH2" s="4"/>
      <c r="AI2" s="4"/>
      <c r="AJ2" s="4"/>
      <c r="AK2" s="4"/>
      <c r="AL2" s="4"/>
      <c r="AM2" s="4"/>
      <c r="AN2" s="4"/>
      <c r="AO2" s="4"/>
      <c r="AP2" s="4"/>
      <c r="AQ2" s="4"/>
      <c r="AR2" s="4"/>
      <c r="AS2" s="4"/>
    </row>
    <row r="3" spans="1:45" s="11" customFormat="1" ht="15" x14ac:dyDescent="0.25">
      <c r="A3" s="12" t="s">
        <v>40</v>
      </c>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4"/>
      <c r="AD3" s="4"/>
      <c r="AE3" s="4"/>
      <c r="AF3" s="4"/>
      <c r="AG3" s="4"/>
      <c r="AH3" s="4"/>
      <c r="AI3" s="4"/>
      <c r="AJ3" s="4"/>
      <c r="AK3" s="4"/>
      <c r="AL3" s="4"/>
      <c r="AM3" s="4"/>
      <c r="AN3" s="4"/>
      <c r="AO3" s="4"/>
      <c r="AP3" s="4"/>
      <c r="AQ3" s="4"/>
      <c r="AR3" s="4"/>
      <c r="AS3" s="4"/>
    </row>
    <row r="4" spans="1:45" s="11" customFormat="1" ht="12" x14ac:dyDescent="0.25">
      <c r="A4" s="14" t="s">
        <v>41</v>
      </c>
      <c r="B4" s="15"/>
      <c r="C4" s="15"/>
      <c r="D4" s="15"/>
      <c r="E4" s="15"/>
      <c r="F4" s="15"/>
      <c r="G4" s="15"/>
      <c r="H4" s="15"/>
      <c r="I4" s="15"/>
      <c r="J4" s="15"/>
      <c r="K4" s="15"/>
      <c r="L4" s="16"/>
      <c r="M4" s="15"/>
      <c r="N4" s="15"/>
      <c r="O4" s="15"/>
      <c r="P4" s="15"/>
      <c r="Q4" s="15"/>
      <c r="R4" s="15"/>
      <c r="S4" s="15"/>
      <c r="T4" s="15"/>
      <c r="U4" s="15"/>
      <c r="V4" s="15"/>
      <c r="W4" s="15"/>
      <c r="X4" s="15"/>
      <c r="Y4" s="15"/>
      <c r="Z4" s="15"/>
      <c r="AA4" s="15"/>
      <c r="AB4" s="15"/>
      <c r="AC4" s="4"/>
      <c r="AD4" s="4"/>
      <c r="AE4" s="4"/>
      <c r="AF4" s="4"/>
      <c r="AG4" s="4"/>
      <c r="AH4" s="4"/>
      <c r="AI4" s="4"/>
      <c r="AJ4" s="4"/>
      <c r="AK4" s="4"/>
      <c r="AL4" s="4"/>
      <c r="AM4" s="4"/>
      <c r="AN4" s="4"/>
      <c r="AO4" s="4"/>
      <c r="AP4" s="4"/>
      <c r="AQ4" s="4"/>
      <c r="AR4" s="4"/>
      <c r="AS4" s="4"/>
    </row>
    <row r="5" spans="1:45" s="11" customFormat="1" ht="15" x14ac:dyDescent="0.25">
      <c r="A5" s="68" t="s">
        <v>45</v>
      </c>
      <c r="B5" s="71" t="s">
        <v>46</v>
      </c>
      <c r="C5" s="71"/>
      <c r="D5" s="71"/>
      <c r="E5" s="71"/>
      <c r="F5" s="71"/>
      <c r="G5" s="71"/>
      <c r="H5" s="71"/>
      <c r="I5" s="71"/>
      <c r="J5" s="76"/>
      <c r="K5" s="79" t="s">
        <v>42</v>
      </c>
      <c r="L5" s="71"/>
      <c r="M5" s="71"/>
      <c r="N5" s="71"/>
      <c r="O5" s="71"/>
      <c r="P5" s="71"/>
      <c r="Q5" s="71"/>
      <c r="R5" s="76"/>
      <c r="S5" s="71" t="s">
        <v>47</v>
      </c>
      <c r="T5" s="71"/>
      <c r="U5" s="71"/>
      <c r="V5" s="71"/>
      <c r="W5" s="71"/>
      <c r="X5" s="71"/>
      <c r="Y5" s="55"/>
      <c r="Z5" s="55"/>
      <c r="AA5" s="55"/>
      <c r="AB5" s="72" t="s">
        <v>48</v>
      </c>
      <c r="AC5" s="4"/>
      <c r="AD5" s="4"/>
      <c r="AE5" s="4"/>
      <c r="AF5" s="4"/>
      <c r="AG5" s="4"/>
      <c r="AH5" s="4"/>
      <c r="AI5" s="4"/>
      <c r="AJ5" s="4"/>
      <c r="AK5" s="4"/>
      <c r="AL5" s="4"/>
      <c r="AM5" s="4"/>
      <c r="AN5" s="4"/>
      <c r="AO5" s="4"/>
      <c r="AP5" s="4"/>
      <c r="AQ5" s="4"/>
      <c r="AR5" s="4"/>
      <c r="AS5" s="4"/>
    </row>
    <row r="6" spans="1:45" s="19" customFormat="1" ht="12" x14ac:dyDescent="0.25">
      <c r="A6" s="69"/>
      <c r="B6" s="77" t="s">
        <v>49</v>
      </c>
      <c r="C6" s="77"/>
      <c r="D6" s="77"/>
      <c r="E6" s="77"/>
      <c r="F6" s="77"/>
      <c r="G6" s="77"/>
      <c r="H6" s="77"/>
      <c r="I6" s="77"/>
      <c r="J6" s="78"/>
      <c r="K6" s="80" t="s">
        <v>43</v>
      </c>
      <c r="L6" s="77"/>
      <c r="M6" s="77"/>
      <c r="N6" s="77"/>
      <c r="O6" s="77"/>
      <c r="P6" s="77"/>
      <c r="Q6" s="77"/>
      <c r="R6" s="78"/>
      <c r="S6" s="75" t="s">
        <v>0</v>
      </c>
      <c r="T6" s="75"/>
      <c r="U6" s="75"/>
      <c r="V6" s="75"/>
      <c r="W6" s="75"/>
      <c r="X6" s="75"/>
      <c r="Y6" s="17"/>
      <c r="Z6" s="17"/>
      <c r="AA6" s="17"/>
      <c r="AB6" s="73"/>
      <c r="AC6" s="18"/>
      <c r="AD6" s="18"/>
      <c r="AE6" s="18"/>
      <c r="AF6" s="18"/>
      <c r="AG6" s="18"/>
      <c r="AH6" s="18"/>
      <c r="AI6" s="18"/>
      <c r="AJ6" s="18"/>
      <c r="AK6" s="18"/>
      <c r="AL6" s="18"/>
      <c r="AM6" s="18"/>
      <c r="AN6" s="18"/>
      <c r="AO6" s="18"/>
      <c r="AP6" s="18"/>
      <c r="AQ6" s="18"/>
      <c r="AR6" s="18"/>
      <c r="AS6" s="18"/>
    </row>
    <row r="7" spans="1:45" s="46" customFormat="1" x14ac:dyDescent="0.25">
      <c r="A7" s="70"/>
      <c r="B7" s="47">
        <v>2005</v>
      </c>
      <c r="C7" s="47">
        <v>2007</v>
      </c>
      <c r="D7" s="47">
        <v>2008</v>
      </c>
      <c r="E7" s="47">
        <v>2009</v>
      </c>
      <c r="F7" s="47">
        <v>2010</v>
      </c>
      <c r="G7" s="48">
        <v>2011</v>
      </c>
      <c r="H7" s="47">
        <v>2012</v>
      </c>
      <c r="I7" s="47">
        <v>2013</v>
      </c>
      <c r="J7" s="47">
        <v>2014</v>
      </c>
      <c r="K7" s="49">
        <v>2007</v>
      </c>
      <c r="L7" s="47">
        <v>2008</v>
      </c>
      <c r="M7" s="47">
        <v>2009</v>
      </c>
      <c r="N7" s="47">
        <v>2010</v>
      </c>
      <c r="O7" s="48">
        <v>2011</v>
      </c>
      <c r="P7" s="50">
        <v>2012</v>
      </c>
      <c r="Q7" s="50">
        <v>2013</v>
      </c>
      <c r="R7" s="56">
        <v>2014</v>
      </c>
      <c r="S7" s="51">
        <v>2007</v>
      </c>
      <c r="T7" s="47">
        <v>2008</v>
      </c>
      <c r="U7" s="47">
        <v>2009</v>
      </c>
      <c r="V7" s="47">
        <v>2010</v>
      </c>
      <c r="W7" s="52">
        <v>2011</v>
      </c>
      <c r="X7" s="51">
        <v>2012</v>
      </c>
      <c r="Y7" s="50">
        <v>2013</v>
      </c>
      <c r="Z7" s="50">
        <v>2014</v>
      </c>
      <c r="AA7" s="53"/>
      <c r="AB7" s="74"/>
      <c r="AC7" s="54"/>
      <c r="AD7" s="54"/>
      <c r="AE7" s="54"/>
      <c r="AF7" s="54"/>
      <c r="AG7" s="54"/>
      <c r="AH7" s="54"/>
      <c r="AI7" s="54"/>
      <c r="AJ7" s="54"/>
      <c r="AK7" s="54"/>
      <c r="AL7" s="54"/>
      <c r="AM7" s="54"/>
      <c r="AN7" s="54"/>
      <c r="AO7" s="54"/>
      <c r="AP7" s="54"/>
      <c r="AQ7" s="54"/>
      <c r="AR7" s="54"/>
      <c r="AS7" s="54"/>
    </row>
    <row r="8" spans="1:45" s="11" customFormat="1" ht="15.75" x14ac:dyDescent="0.2">
      <c r="A8" s="20" t="s">
        <v>50</v>
      </c>
      <c r="B8" s="21">
        <v>185.92318231421899</v>
      </c>
      <c r="C8" s="22">
        <f t="shared" ref="C8:H8" si="0">C9+C10+C11</f>
        <v>144.16855006704401</v>
      </c>
      <c r="D8" s="22">
        <f t="shared" si="0"/>
        <v>132.57440870271301</v>
      </c>
      <c r="E8" s="22">
        <f t="shared" si="0"/>
        <v>116.73586114053799</v>
      </c>
      <c r="F8" s="22">
        <f t="shared" si="0"/>
        <v>122.17513745221166</v>
      </c>
      <c r="G8" s="22">
        <f t="shared" si="0"/>
        <v>120.8360317728901</v>
      </c>
      <c r="H8" s="22">
        <f t="shared" si="0"/>
        <v>120.00092939572015</v>
      </c>
      <c r="I8" s="22">
        <f>I9+I10+I11</f>
        <v>129.84314697257253</v>
      </c>
      <c r="J8" s="22">
        <f>J9+J10+J11</f>
        <v>128.68322700000019</v>
      </c>
      <c r="K8" s="23">
        <f>(C8/$C$8)*100</f>
        <v>100</v>
      </c>
      <c r="L8" s="24">
        <f>(D8/$D$8)*100</f>
        <v>100</v>
      </c>
      <c r="M8" s="24">
        <f>(E8/$E$8)*100</f>
        <v>100</v>
      </c>
      <c r="N8" s="24">
        <f>(F8/$F$8)*100</f>
        <v>100</v>
      </c>
      <c r="O8" s="24">
        <f>(G8/$G$8)*100</f>
        <v>100</v>
      </c>
      <c r="P8" s="24">
        <f>(H8/$H$8)*100</f>
        <v>100</v>
      </c>
      <c r="Q8" s="24">
        <f>(I8/$I$8)*100</f>
        <v>100</v>
      </c>
      <c r="R8" s="57">
        <f t="shared" ref="R8:R14" si="1">(J8/$J$8)*100</f>
        <v>100</v>
      </c>
      <c r="S8" s="25">
        <v>-21.7148448319655</v>
      </c>
      <c r="T8" s="25">
        <f t="shared" ref="T8:Z23" si="2">((D8-C8)/C8)*100</f>
        <v>-8.0420739189922248</v>
      </c>
      <c r="U8" s="25">
        <f t="shared" si="2"/>
        <v>-11.946911713324429</v>
      </c>
      <c r="V8" s="25">
        <f t="shared" si="2"/>
        <v>4.6594733259605077</v>
      </c>
      <c r="W8" s="25">
        <f t="shared" si="2"/>
        <v>-1.0960541622843263</v>
      </c>
      <c r="X8" s="25">
        <f t="shared" si="2"/>
        <v>-0.69110377502259512</v>
      </c>
      <c r="Y8" s="25">
        <f t="shared" si="2"/>
        <v>8.201784458182205</v>
      </c>
      <c r="Z8" s="25">
        <f>((J8-I8)/I8)*100</f>
        <v>-0.89332398329605778</v>
      </c>
      <c r="AA8" s="26"/>
      <c r="AB8" s="60" t="s">
        <v>51</v>
      </c>
      <c r="AC8" s="4"/>
      <c r="AD8" s="4"/>
      <c r="AE8" s="4"/>
      <c r="AF8" s="4"/>
      <c r="AG8" s="4"/>
      <c r="AH8" s="4"/>
      <c r="AI8" s="4"/>
      <c r="AJ8" s="4"/>
      <c r="AK8" s="4"/>
      <c r="AL8" s="4"/>
      <c r="AM8" s="4"/>
      <c r="AN8" s="4"/>
      <c r="AO8" s="4"/>
      <c r="AP8" s="4"/>
      <c r="AQ8" s="4"/>
      <c r="AR8" s="4"/>
      <c r="AS8" s="4"/>
    </row>
    <row r="9" spans="1:45" s="11" customFormat="1" ht="15.75" x14ac:dyDescent="0.2">
      <c r="A9" s="20" t="s">
        <v>52</v>
      </c>
      <c r="B9" s="27">
        <v>10.893163917079999</v>
      </c>
      <c r="C9" s="28">
        <v>13.295934474260001</v>
      </c>
      <c r="D9" s="28">
        <v>13.378821519710002</v>
      </c>
      <c r="E9" s="24">
        <v>14.241852868900001</v>
      </c>
      <c r="F9" s="24">
        <v>20.514003254182864</v>
      </c>
      <c r="G9" s="24">
        <v>21.900434233018</v>
      </c>
      <c r="H9" s="24">
        <v>20.231716260367946</v>
      </c>
      <c r="I9" s="24">
        <v>27.369233978176553</v>
      </c>
      <c r="J9" s="24">
        <v>17.203263173371155</v>
      </c>
      <c r="K9" s="23">
        <f t="shared" ref="K9:K31" si="3">(C9/$C$8)*100</f>
        <v>9.2224930250577355</v>
      </c>
      <c r="L9" s="24">
        <f t="shared" ref="L9:L31" si="4">(D9/$D$8)*100</f>
        <v>10.091556621392057</v>
      </c>
      <c r="M9" s="24">
        <f t="shared" ref="M9:M31" si="5">(E9/$E$8)*100</f>
        <v>12.200066654542661</v>
      </c>
      <c r="N9" s="24">
        <f t="shared" ref="N9:N31" si="6">(F9/$F$8)*100</f>
        <v>16.790652895485252</v>
      </c>
      <c r="O9" s="24">
        <f>(G9/$G$8)*100</f>
        <v>18.124092550622326</v>
      </c>
      <c r="P9" s="24">
        <f>(H9/$H$8)*100</f>
        <v>16.859632973050552</v>
      </c>
      <c r="Q9" s="24">
        <f>(I9/$I$8)*100</f>
        <v>21.078689646946021</v>
      </c>
      <c r="R9" s="57">
        <f t="shared" si="1"/>
        <v>13.368691145250134</v>
      </c>
      <c r="S9" s="25">
        <v>13.1092024850364</v>
      </c>
      <c r="T9" s="25">
        <f t="shared" si="2"/>
        <v>0.62340142853790459</v>
      </c>
      <c r="U9" s="25">
        <f t="shared" si="2"/>
        <v>6.4507277260449314</v>
      </c>
      <c r="V9" s="25">
        <f t="shared" si="2"/>
        <v>44.040269500181303</v>
      </c>
      <c r="W9" s="25">
        <f t="shared" si="2"/>
        <v>6.7584613381224807</v>
      </c>
      <c r="X9" s="25">
        <f>((H9-G9)/G9)*100</f>
        <v>-7.6195656894064028</v>
      </c>
      <c r="Y9" s="25">
        <f>((I9-H9)/H9)*100</f>
        <v>35.278854378708054</v>
      </c>
      <c r="Z9" s="25">
        <f t="shared" si="2"/>
        <v>-37.143790041443808</v>
      </c>
      <c r="AA9" s="26"/>
      <c r="AB9" s="60" t="s">
        <v>53</v>
      </c>
      <c r="AC9" s="4"/>
      <c r="AD9" s="4"/>
      <c r="AE9" s="4"/>
      <c r="AF9" s="4"/>
      <c r="AG9" s="4"/>
      <c r="AH9" s="4"/>
      <c r="AI9" s="4"/>
      <c r="AJ9" s="4"/>
      <c r="AK9" s="4"/>
      <c r="AL9" s="4"/>
      <c r="AM9" s="4"/>
      <c r="AN9" s="4"/>
      <c r="AO9" s="4"/>
      <c r="AP9" s="4"/>
      <c r="AQ9" s="4"/>
      <c r="AR9" s="4"/>
      <c r="AS9" s="4"/>
    </row>
    <row r="10" spans="1:45" s="11" customFormat="1" ht="15.75" x14ac:dyDescent="0.2">
      <c r="A10" s="20" t="s">
        <v>54</v>
      </c>
      <c r="B10" s="27">
        <v>172.018736396245</v>
      </c>
      <c r="C10" s="28">
        <f t="shared" ref="C10:H10" si="7">SUM(C12:C31)</f>
        <v>127.824772992185</v>
      </c>
      <c r="D10" s="28">
        <f t="shared" si="7"/>
        <v>117.84576218159799</v>
      </c>
      <c r="E10" s="28">
        <f t="shared" si="7"/>
        <v>101.156123271136</v>
      </c>
      <c r="F10" s="28">
        <f t="shared" si="7"/>
        <v>101.66113419802879</v>
      </c>
      <c r="G10" s="28">
        <f t="shared" si="7"/>
        <v>98.935597539872091</v>
      </c>
      <c r="H10" s="28">
        <f t="shared" si="7"/>
        <v>99.634469264293202</v>
      </c>
      <c r="I10" s="28">
        <f>SUM(I12:I31)</f>
        <v>100.87349034439596</v>
      </c>
      <c r="J10" s="28">
        <f>SUM(J12:J31)</f>
        <v>109.35672582662903</v>
      </c>
      <c r="K10" s="23">
        <f t="shared" si="3"/>
        <v>88.66342411902005</v>
      </c>
      <c r="L10" s="24">
        <f t="shared" si="4"/>
        <v>88.890279304097987</v>
      </c>
      <c r="M10" s="24">
        <f t="shared" si="5"/>
        <v>86.653854507788665</v>
      </c>
      <c r="N10" s="24">
        <f>(F10/$F$8)*100</f>
        <v>83.209347104514748</v>
      </c>
      <c r="O10" s="24">
        <f>(G10/$G$8)*100</f>
        <v>81.875907449377678</v>
      </c>
      <c r="P10" s="24">
        <f>(H10/$H$8)*100</f>
        <v>83.028081337382275</v>
      </c>
      <c r="Q10" s="24">
        <f>(I10/$I$8)*100</f>
        <v>77.688728821170685</v>
      </c>
      <c r="R10" s="57">
        <f t="shared" si="1"/>
        <v>84.981336244100305</v>
      </c>
      <c r="S10" s="25">
        <v>-24.465157353672101</v>
      </c>
      <c r="T10" s="25">
        <f t="shared" si="2"/>
        <v>-7.8067893859644206</v>
      </c>
      <c r="U10" s="25">
        <f t="shared" si="2"/>
        <v>-14.162273298163738</v>
      </c>
      <c r="V10" s="25">
        <f t="shared" si="2"/>
        <v>0.49923910739360494</v>
      </c>
      <c r="W10" s="25">
        <f t="shared" si="2"/>
        <v>-2.6810016233416634</v>
      </c>
      <c r="X10" s="25">
        <f t="shared" si="2"/>
        <v>0.706390562951275</v>
      </c>
      <c r="Y10" s="25">
        <f>((I10-H10)/H10)*100</f>
        <v>1.2435666986051757</v>
      </c>
      <c r="Z10" s="25">
        <f t="shared" si="2"/>
        <v>8.4097768930867147</v>
      </c>
      <c r="AA10" s="26"/>
      <c r="AB10" s="60" t="s">
        <v>55</v>
      </c>
      <c r="AC10" s="4"/>
      <c r="AD10" s="4"/>
      <c r="AE10" s="4"/>
      <c r="AF10" s="4"/>
      <c r="AG10" s="4"/>
      <c r="AH10" s="4"/>
      <c r="AI10" s="4"/>
      <c r="AJ10" s="4"/>
      <c r="AK10" s="4"/>
      <c r="AL10" s="4"/>
      <c r="AM10" s="4"/>
      <c r="AN10" s="4"/>
      <c r="AO10" s="4"/>
      <c r="AP10" s="4"/>
      <c r="AQ10" s="4"/>
      <c r="AR10" s="4"/>
      <c r="AS10" s="4"/>
    </row>
    <row r="11" spans="1:45" s="11" customFormat="1" ht="15.75" x14ac:dyDescent="0.2">
      <c r="A11" s="20" t="s">
        <v>56</v>
      </c>
      <c r="B11" s="27">
        <v>3.011282000894</v>
      </c>
      <c r="C11" s="28">
        <v>3.047842600599</v>
      </c>
      <c r="D11" s="28">
        <v>1.3498250014049999</v>
      </c>
      <c r="E11" s="24">
        <v>1.337885000502</v>
      </c>
      <c r="F11" s="24">
        <v>0</v>
      </c>
      <c r="G11" s="24">
        <v>0</v>
      </c>
      <c r="H11" s="24">
        <v>0.13474387105900715</v>
      </c>
      <c r="I11" s="24">
        <v>1.6004226500000003</v>
      </c>
      <c r="J11" s="24">
        <v>2.1232380000000006</v>
      </c>
      <c r="K11" s="23">
        <f t="shared" si="3"/>
        <v>2.1140828559222067</v>
      </c>
      <c r="L11" s="24">
        <f t="shared" si="4"/>
        <v>1.0181640745099374</v>
      </c>
      <c r="M11" s="24">
        <f t="shared" si="5"/>
        <v>1.1460788376686781</v>
      </c>
      <c r="N11" s="24">
        <f t="shared" si="6"/>
        <v>0</v>
      </c>
      <c r="O11" s="24">
        <f t="shared" ref="O11:O31" si="8">(G11/$G$8)*100</f>
        <v>0</v>
      </c>
      <c r="P11" s="24">
        <f>(H11/$H$8)*100</f>
        <v>0.1122856895671783</v>
      </c>
      <c r="Q11" s="24">
        <f>(I11/$I$8)*100</f>
        <v>1.2325815318832856</v>
      </c>
      <c r="R11" s="57">
        <f t="shared" si="1"/>
        <v>1.6499726106495587</v>
      </c>
      <c r="S11" s="25">
        <v>-4.0662946512008826</v>
      </c>
      <c r="T11" s="25">
        <f t="shared" si="2"/>
        <v>-55.712115804808434</v>
      </c>
      <c r="U11" s="25">
        <f>((E11-D11)/D11)*100</f>
        <v>-0.88455917549103791</v>
      </c>
      <c r="V11" s="25">
        <f>((F11-E11)/E11)*100</f>
        <v>-100</v>
      </c>
      <c r="W11" s="25">
        <v>0</v>
      </c>
      <c r="X11" s="25">
        <v>1</v>
      </c>
      <c r="Y11" s="25">
        <f>((I11-H11)/H11)*100</f>
        <v>1087.7517228959096</v>
      </c>
      <c r="Z11" s="25">
        <f>((J11-I11)/I11)*100</f>
        <v>32.667330095584454</v>
      </c>
      <c r="AA11" s="26"/>
      <c r="AB11" s="60" t="s">
        <v>57</v>
      </c>
      <c r="AC11" s="4"/>
      <c r="AD11" s="4"/>
      <c r="AE11" s="4"/>
      <c r="AF11" s="4"/>
      <c r="AG11" s="4"/>
      <c r="AH11" s="4"/>
      <c r="AI11" s="4"/>
      <c r="AJ11" s="4"/>
      <c r="AK11" s="4"/>
      <c r="AL11" s="4"/>
      <c r="AM11" s="4"/>
      <c r="AN11" s="4"/>
      <c r="AO11" s="4"/>
      <c r="AP11" s="4"/>
      <c r="AQ11" s="4"/>
      <c r="AR11" s="4"/>
      <c r="AS11" s="4"/>
    </row>
    <row r="12" spans="1:45" s="11" customFormat="1" ht="15.75" x14ac:dyDescent="0.2">
      <c r="A12" s="63" t="s">
        <v>21</v>
      </c>
      <c r="B12" s="29">
        <v>16.082757228679998</v>
      </c>
      <c r="C12" s="30">
        <v>10.747171918700001</v>
      </c>
      <c r="D12" s="30">
        <v>6.9575841840100008</v>
      </c>
      <c r="E12" s="31">
        <v>7.34610807412</v>
      </c>
      <c r="F12" s="31">
        <v>7.4792963201567524</v>
      </c>
      <c r="G12" s="31">
        <v>2.3323511113507149</v>
      </c>
      <c r="H12" s="31">
        <v>3.1428086732716922</v>
      </c>
      <c r="I12" s="31">
        <v>5.7152006351276752</v>
      </c>
      <c r="J12" s="31">
        <v>3.612260380041731</v>
      </c>
      <c r="K12" s="32">
        <f t="shared" si="3"/>
        <v>7.4545883368474923</v>
      </c>
      <c r="L12" s="31">
        <f t="shared" si="4"/>
        <v>5.2480597515707572</v>
      </c>
      <c r="M12" s="31">
        <f t="shared" si="5"/>
        <v>6.292931754087153</v>
      </c>
      <c r="N12" s="31">
        <f t="shared" si="6"/>
        <v>6.1217826115254015</v>
      </c>
      <c r="O12" s="31">
        <f t="shared" si="8"/>
        <v>1.9301785048141447</v>
      </c>
      <c r="P12" s="31">
        <f>(H12/$H$8)*100</f>
        <v>2.6189869437659379</v>
      </c>
      <c r="Q12" s="31">
        <f t="shared" ref="Q12:Q31" si="9">(I12/$I$8)*100</f>
        <v>4.4016190059956939</v>
      </c>
      <c r="R12" s="58">
        <f t="shared" si="1"/>
        <v>2.8070949604346849</v>
      </c>
      <c r="S12" s="33">
        <v>-32.214124670891117</v>
      </c>
      <c r="T12" s="33">
        <f t="shared" si="2"/>
        <v>-35.261255364270717</v>
      </c>
      <c r="U12" s="33">
        <f t="shared" si="2"/>
        <v>5.5841780686306208</v>
      </c>
      <c r="V12" s="33">
        <f t="shared" si="2"/>
        <v>1.8130450123102386</v>
      </c>
      <c r="W12" s="33">
        <f t="shared" si="2"/>
        <v>-68.815901770531369</v>
      </c>
      <c r="X12" s="33">
        <f>((H12-G12)/G12)*100</f>
        <v>34.748522980814144</v>
      </c>
      <c r="Y12" s="33">
        <f>((I12-H12)/H12)*100</f>
        <v>81.850097453692584</v>
      </c>
      <c r="Z12" s="33">
        <f t="shared" si="2"/>
        <v>-36.795563084181474</v>
      </c>
      <c r="AA12" s="34"/>
      <c r="AB12" s="61" t="s">
        <v>1</v>
      </c>
      <c r="AC12" s="4"/>
      <c r="AD12" s="4"/>
      <c r="AE12" s="4"/>
      <c r="AF12" s="4"/>
      <c r="AG12" s="4"/>
      <c r="AH12" s="4"/>
      <c r="AI12" s="4"/>
      <c r="AJ12" s="4"/>
      <c r="AK12" s="4"/>
      <c r="AL12" s="4"/>
      <c r="AM12" s="4"/>
      <c r="AN12" s="4"/>
      <c r="AO12" s="4"/>
      <c r="AP12" s="4"/>
      <c r="AQ12" s="4"/>
      <c r="AR12" s="4"/>
      <c r="AS12" s="4"/>
    </row>
    <row r="13" spans="1:45" s="11" customFormat="1" ht="15.75" x14ac:dyDescent="0.2">
      <c r="A13" s="63" t="s">
        <v>22</v>
      </c>
      <c r="B13" s="29">
        <v>6.4960640707000001</v>
      </c>
      <c r="C13" s="30">
        <v>4.1267677572000006</v>
      </c>
      <c r="D13" s="30">
        <v>4.5597618385000009</v>
      </c>
      <c r="E13" s="31">
        <v>4.9552801943000002</v>
      </c>
      <c r="F13" s="31">
        <v>2.8515262262424557</v>
      </c>
      <c r="G13" s="31">
        <v>9.2377298550063696</v>
      </c>
      <c r="H13" s="31">
        <v>9.0049823578936952</v>
      </c>
      <c r="I13" s="31">
        <v>4.9765748983919904</v>
      </c>
      <c r="J13" s="31">
        <v>2.9861145487854035</v>
      </c>
      <c r="K13" s="32">
        <f t="shared" si="3"/>
        <v>2.8624604709424437</v>
      </c>
      <c r="L13" s="31">
        <f t="shared" si="4"/>
        <v>3.4393982089898545</v>
      </c>
      <c r="M13" s="31">
        <f t="shared" si="5"/>
        <v>4.2448654131521346</v>
      </c>
      <c r="N13" s="31">
        <f t="shared" si="6"/>
        <v>2.3339660471901</v>
      </c>
      <c r="O13" s="31">
        <f t="shared" si="8"/>
        <v>7.6448470869753278</v>
      </c>
      <c r="P13" s="31">
        <f t="shared" ref="P13:P31" si="10">(H13/$H$8)*100</f>
        <v>7.5040938459722124</v>
      </c>
      <c r="Q13" s="31">
        <f>(I13/$I$8)*100</f>
        <v>3.8327589976259735</v>
      </c>
      <c r="R13" s="58">
        <f t="shared" si="1"/>
        <v>2.3205157489448092</v>
      </c>
      <c r="S13" s="33">
        <v>-44.764185822363054</v>
      </c>
      <c r="T13" s="33">
        <f t="shared" si="2"/>
        <v>10.492329754795447</v>
      </c>
      <c r="U13" s="33">
        <f t="shared" si="2"/>
        <v>8.6741011879276275</v>
      </c>
      <c r="V13" s="33">
        <f t="shared" si="2"/>
        <v>-42.454793383378558</v>
      </c>
      <c r="W13" s="33">
        <f t="shared" si="2"/>
        <v>223.95738710000265</v>
      </c>
      <c r="X13" s="33">
        <f t="shared" si="2"/>
        <v>-2.5195313217190192</v>
      </c>
      <c r="Y13" s="33">
        <f>((I13-H13)/H13)*100</f>
        <v>-44.735317620810605</v>
      </c>
      <c r="Z13" s="33">
        <f t="shared" si="2"/>
        <v>-39.996591837686111</v>
      </c>
      <c r="AA13" s="34"/>
      <c r="AB13" s="61" t="s">
        <v>2</v>
      </c>
      <c r="AC13" s="4"/>
      <c r="AD13" s="4"/>
      <c r="AE13" s="4"/>
      <c r="AF13" s="4"/>
      <c r="AG13" s="4"/>
      <c r="AH13" s="4"/>
      <c r="AI13" s="4"/>
      <c r="AJ13" s="4"/>
      <c r="AK13" s="4"/>
      <c r="AL13" s="4"/>
      <c r="AM13" s="4"/>
      <c r="AN13" s="4"/>
      <c r="AO13" s="4"/>
      <c r="AP13" s="4"/>
      <c r="AQ13" s="4"/>
      <c r="AR13" s="4"/>
      <c r="AS13" s="4"/>
    </row>
    <row r="14" spans="1:45" s="11" customFormat="1" ht="15.75" x14ac:dyDescent="0.2">
      <c r="A14" s="63" t="s">
        <v>23</v>
      </c>
      <c r="B14" s="29">
        <v>10.672478786999999</v>
      </c>
      <c r="C14" s="30">
        <v>9.7038226312999996</v>
      </c>
      <c r="D14" s="30">
        <v>7.4616676574000014</v>
      </c>
      <c r="E14" s="31">
        <v>7.5944530101999996</v>
      </c>
      <c r="F14" s="31">
        <v>7.0366402730363058</v>
      </c>
      <c r="G14" s="31">
        <v>2.741984462502483</v>
      </c>
      <c r="H14" s="31">
        <v>2.7512880022950874</v>
      </c>
      <c r="I14" s="31">
        <v>2.1201342336535731</v>
      </c>
      <c r="J14" s="31">
        <v>2.1018988912779415</v>
      </c>
      <c r="K14" s="32">
        <f t="shared" si="3"/>
        <v>6.7308873029432172</v>
      </c>
      <c r="L14" s="31">
        <f t="shared" si="4"/>
        <v>5.6282865829197588</v>
      </c>
      <c r="M14" s="31">
        <f t="shared" si="5"/>
        <v>6.5056726664799749</v>
      </c>
      <c r="N14" s="31">
        <f t="shared" si="6"/>
        <v>5.7594699050685829</v>
      </c>
      <c r="O14" s="31">
        <f t="shared" si="8"/>
        <v>2.2691778456081795</v>
      </c>
      <c r="P14" s="31">
        <f t="shared" si="10"/>
        <v>2.2927222448605575</v>
      </c>
      <c r="Q14" s="31">
        <f t="shared" si="9"/>
        <v>1.6328426128653679</v>
      </c>
      <c r="R14" s="58">
        <f t="shared" si="1"/>
        <v>1.633389945433944</v>
      </c>
      <c r="S14" s="33">
        <v>-9.2248291368253916</v>
      </c>
      <c r="T14" s="33">
        <f t="shared" si="2"/>
        <v>-23.105894028481657</v>
      </c>
      <c r="U14" s="33">
        <f t="shared" si="2"/>
        <v>1.7795666987166108</v>
      </c>
      <c r="V14" s="33">
        <f t="shared" si="2"/>
        <v>-7.3450021537364654</v>
      </c>
      <c r="W14" s="33">
        <f t="shared" si="2"/>
        <v>-61.032760577381083</v>
      </c>
      <c r="X14" s="33">
        <f t="shared" si="2"/>
        <v>0.33929950806918657</v>
      </c>
      <c r="Y14" s="33">
        <f t="shared" si="2"/>
        <v>-22.940301710145008</v>
      </c>
      <c r="Z14" s="33">
        <f t="shared" si="2"/>
        <v>-0.86010319941898805</v>
      </c>
      <c r="AA14" s="34"/>
      <c r="AB14" s="61" t="s">
        <v>3</v>
      </c>
      <c r="AC14" s="4"/>
      <c r="AD14" s="4"/>
      <c r="AE14" s="4"/>
      <c r="AF14" s="4"/>
      <c r="AG14" s="4"/>
      <c r="AH14" s="4"/>
      <c r="AI14" s="4"/>
      <c r="AJ14" s="4"/>
      <c r="AK14" s="4"/>
      <c r="AL14" s="4"/>
      <c r="AM14" s="4"/>
      <c r="AN14" s="4"/>
      <c r="AO14" s="4"/>
      <c r="AP14" s="4"/>
      <c r="AQ14" s="4"/>
      <c r="AR14" s="4"/>
      <c r="AS14" s="4"/>
    </row>
    <row r="15" spans="1:45" s="11" customFormat="1" ht="15.75" x14ac:dyDescent="0.2">
      <c r="A15" s="63" t="s">
        <v>24</v>
      </c>
      <c r="B15" s="29">
        <v>2.9765779992799999</v>
      </c>
      <c r="C15" s="30">
        <v>1.5970856942</v>
      </c>
      <c r="D15" s="30">
        <v>1.4245373387</v>
      </c>
      <c r="E15" s="31">
        <v>1.0602176586599998</v>
      </c>
      <c r="F15" s="31">
        <v>1.4576867688191688</v>
      </c>
      <c r="G15" s="31">
        <v>1.3417394656025601</v>
      </c>
      <c r="H15" s="31">
        <v>1.0400137274619674</v>
      </c>
      <c r="I15" s="31">
        <v>0.97883688999999985</v>
      </c>
      <c r="J15" s="31">
        <v>1.4568490041561279</v>
      </c>
      <c r="K15" s="32">
        <f t="shared" si="3"/>
        <v>1.1077906335725043</v>
      </c>
      <c r="L15" s="31">
        <f t="shared" si="4"/>
        <v>1.0745190965885469</v>
      </c>
      <c r="M15" s="31">
        <f t="shared" si="5"/>
        <v>0.90821933234690122</v>
      </c>
      <c r="N15" s="31">
        <f t="shared" si="6"/>
        <v>1.1931124443296308</v>
      </c>
      <c r="O15" s="31">
        <f t="shared" si="8"/>
        <v>1.1103802780650258</v>
      </c>
      <c r="P15" s="31">
        <f t="shared" si="10"/>
        <v>0.86667139387927083</v>
      </c>
      <c r="Q15" s="31">
        <f t="shared" si="9"/>
        <v>0.75386103373385183</v>
      </c>
      <c r="R15" s="58">
        <f t="shared" ref="R15:R30" si="11">(J15/$J$8)*100</f>
        <v>1.1321203533045732</v>
      </c>
      <c r="S15" s="33">
        <v>-22.054645954663567</v>
      </c>
      <c r="T15" s="33">
        <f t="shared" si="2"/>
        <v>-10.803950979376321</v>
      </c>
      <c r="U15" s="33">
        <f t="shared" si="2"/>
        <v>-25.574596758023198</v>
      </c>
      <c r="V15" s="33">
        <f t="shared" si="2"/>
        <v>37.489387854709648</v>
      </c>
      <c r="W15" s="33">
        <f t="shared" si="2"/>
        <v>-7.954198782399212</v>
      </c>
      <c r="X15" s="33">
        <f>((H15-G15)/G15)*100</f>
        <v>-22.487654710602929</v>
      </c>
      <c r="Y15" s="33">
        <f t="shared" si="2"/>
        <v>-5.882310574040452</v>
      </c>
      <c r="Z15" s="33">
        <f t="shared" si="2"/>
        <v>48.834705663384646</v>
      </c>
      <c r="AA15" s="34"/>
      <c r="AB15" s="61" t="s">
        <v>4</v>
      </c>
      <c r="AC15" s="4"/>
      <c r="AD15" s="4"/>
      <c r="AE15" s="4"/>
      <c r="AF15" s="4"/>
      <c r="AG15" s="4"/>
      <c r="AH15" s="4"/>
      <c r="AI15" s="4"/>
      <c r="AJ15" s="4"/>
      <c r="AK15" s="4"/>
      <c r="AL15" s="4"/>
      <c r="AM15" s="4"/>
      <c r="AN15" s="4"/>
      <c r="AO15" s="4"/>
      <c r="AP15" s="4"/>
      <c r="AQ15" s="4"/>
      <c r="AR15" s="4"/>
      <c r="AS15" s="4"/>
    </row>
    <row r="16" spans="1:45" s="11" customFormat="1" ht="15.75" x14ac:dyDescent="0.2">
      <c r="A16" s="63" t="s">
        <v>25</v>
      </c>
      <c r="B16" s="29">
        <v>10.968681250899998</v>
      </c>
      <c r="C16" s="30">
        <v>7.4408382174999996</v>
      </c>
      <c r="D16" s="30">
        <v>11.685830574000001</v>
      </c>
      <c r="E16" s="31">
        <v>7.8325110090000001</v>
      </c>
      <c r="F16" s="31">
        <v>11.085912294046745</v>
      </c>
      <c r="G16" s="31">
        <v>2.5800405343084325</v>
      </c>
      <c r="H16" s="31">
        <v>5.9588929064596208</v>
      </c>
      <c r="I16" s="31">
        <v>7.3334399256405201</v>
      </c>
      <c r="J16" s="31">
        <v>5.412259509708238</v>
      </c>
      <c r="K16" s="32">
        <f t="shared" si="3"/>
        <v>5.1612076378930904</v>
      </c>
      <c r="L16" s="31">
        <f t="shared" si="4"/>
        <v>8.8145447438536149</v>
      </c>
      <c r="M16" s="31">
        <f t="shared" si="5"/>
        <v>6.7096014305068268</v>
      </c>
      <c r="N16" s="31">
        <f t="shared" si="6"/>
        <v>9.0737874540005805</v>
      </c>
      <c r="O16" s="31">
        <f t="shared" si="8"/>
        <v>2.1351582772575552</v>
      </c>
      <c r="P16" s="31">
        <f t="shared" si="10"/>
        <v>4.9657056295033541</v>
      </c>
      <c r="Q16" s="31">
        <f t="shared" si="9"/>
        <v>5.647922202000851</v>
      </c>
      <c r="R16" s="58">
        <f t="shared" si="11"/>
        <v>4.2058779810582694</v>
      </c>
      <c r="S16" s="33">
        <v>-41.732647806997058</v>
      </c>
      <c r="T16" s="33">
        <f t="shared" si="2"/>
        <v>57.049921425737558</v>
      </c>
      <c r="U16" s="33">
        <f t="shared" si="2"/>
        <v>-32.974289166688038</v>
      </c>
      <c r="V16" s="33">
        <f t="shared" si="2"/>
        <v>41.537142830803582</v>
      </c>
      <c r="W16" s="33">
        <f t="shared" si="2"/>
        <v>-76.726854174248317</v>
      </c>
      <c r="X16" s="33">
        <f t="shared" si="2"/>
        <v>130.96121271043805</v>
      </c>
      <c r="Y16" s="33">
        <f t="shared" si="2"/>
        <v>23.067154264357541</v>
      </c>
      <c r="Z16" s="33">
        <f t="shared" si="2"/>
        <v>-26.197533973314464</v>
      </c>
      <c r="AA16" s="34"/>
      <c r="AB16" s="61" t="s">
        <v>5</v>
      </c>
      <c r="AC16" s="4"/>
      <c r="AD16" s="4"/>
      <c r="AE16" s="4"/>
      <c r="AF16" s="4"/>
      <c r="AG16" s="4"/>
      <c r="AH16" s="4"/>
      <c r="AI16" s="4"/>
      <c r="AJ16" s="4"/>
      <c r="AK16" s="4"/>
      <c r="AL16" s="4"/>
      <c r="AM16" s="4"/>
      <c r="AN16" s="4"/>
      <c r="AO16" s="4"/>
      <c r="AP16" s="4"/>
      <c r="AQ16" s="4"/>
      <c r="AR16" s="4"/>
      <c r="AS16" s="4"/>
    </row>
    <row r="17" spans="1:45" s="3" customFormat="1" ht="15.75" x14ac:dyDescent="0.2">
      <c r="A17" s="63" t="s">
        <v>26</v>
      </c>
      <c r="B17" s="29">
        <v>3.3645999802</v>
      </c>
      <c r="C17" s="30">
        <v>2.8373668654000004</v>
      </c>
      <c r="D17" s="30">
        <v>2.6361964974000007</v>
      </c>
      <c r="E17" s="31">
        <v>2.3480398695</v>
      </c>
      <c r="F17" s="31">
        <v>1.6830638047342039</v>
      </c>
      <c r="G17" s="31">
        <v>1.4787385478497579</v>
      </c>
      <c r="H17" s="31">
        <v>3.4439310957034768</v>
      </c>
      <c r="I17" s="31">
        <v>2.3429787494957006</v>
      </c>
      <c r="J17" s="31">
        <v>3.2542377798601869</v>
      </c>
      <c r="K17" s="32">
        <f t="shared" si="3"/>
        <v>1.9680900335617677</v>
      </c>
      <c r="L17" s="31">
        <f t="shared" si="4"/>
        <v>1.988465589397008</v>
      </c>
      <c r="M17" s="31">
        <f t="shared" si="5"/>
        <v>2.0114126426610248</v>
      </c>
      <c r="N17" s="31">
        <f t="shared" si="6"/>
        <v>1.3775829025709327</v>
      </c>
      <c r="O17" s="31">
        <f t="shared" si="8"/>
        <v>1.2237562969868372</v>
      </c>
      <c r="P17" s="31">
        <f t="shared" si="10"/>
        <v>2.8699203523221253</v>
      </c>
      <c r="Q17" s="31">
        <f t="shared" si="9"/>
        <v>1.8044685484946084</v>
      </c>
      <c r="R17" s="58">
        <f t="shared" si="11"/>
        <v>2.5288748625026183</v>
      </c>
      <c r="S17" s="33">
        <v>9.6264948664320809</v>
      </c>
      <c r="T17" s="33">
        <f t="shared" si="2"/>
        <v>-7.090037261418412</v>
      </c>
      <c r="U17" s="33">
        <f t="shared" si="2"/>
        <v>-10.930771973341164</v>
      </c>
      <c r="V17" s="33">
        <f t="shared" si="2"/>
        <v>-28.320475874517349</v>
      </c>
      <c r="W17" s="33">
        <f t="shared" si="2"/>
        <v>-12.140077893048973</v>
      </c>
      <c r="X17" s="33">
        <f t="shared" si="2"/>
        <v>132.89655231557441</v>
      </c>
      <c r="Y17" s="33">
        <f t="shared" si="2"/>
        <v>-31.967897022715825</v>
      </c>
      <c r="Z17" s="33">
        <f t="shared" si="2"/>
        <v>38.893183754254039</v>
      </c>
      <c r="AA17" s="34"/>
      <c r="AB17" s="61" t="s">
        <v>6</v>
      </c>
      <c r="AC17" s="4"/>
      <c r="AD17" s="4"/>
      <c r="AE17" s="4"/>
      <c r="AF17" s="4"/>
      <c r="AG17" s="4"/>
      <c r="AH17" s="4"/>
      <c r="AI17" s="4"/>
      <c r="AJ17" s="4"/>
      <c r="AK17" s="4"/>
      <c r="AL17" s="4"/>
      <c r="AM17" s="4"/>
      <c r="AN17" s="4"/>
      <c r="AO17" s="4"/>
      <c r="AP17" s="4"/>
      <c r="AQ17" s="4"/>
      <c r="AR17" s="4"/>
      <c r="AS17" s="4"/>
    </row>
    <row r="18" spans="1:45" s="3" customFormat="1" ht="15.75" x14ac:dyDescent="0.2">
      <c r="A18" s="63" t="s">
        <v>27</v>
      </c>
      <c r="B18" s="29">
        <v>13.259499739099999</v>
      </c>
      <c r="C18" s="30">
        <v>7.0387759175999998</v>
      </c>
      <c r="D18" s="30">
        <v>6.0413897470000011</v>
      </c>
      <c r="E18" s="31">
        <v>4.2243457271000002</v>
      </c>
      <c r="F18" s="31">
        <v>1.7173440542476694</v>
      </c>
      <c r="G18" s="31">
        <v>1.7060308995360549</v>
      </c>
      <c r="H18" s="31">
        <v>4.4746328859186049</v>
      </c>
      <c r="I18" s="31">
        <v>3.1741366475837705</v>
      </c>
      <c r="J18" s="31">
        <v>6.5635837207718097</v>
      </c>
      <c r="K18" s="32">
        <f t="shared" si="3"/>
        <v>4.8823241368014685</v>
      </c>
      <c r="L18" s="31">
        <f t="shared" si="4"/>
        <v>4.5569803449376955</v>
      </c>
      <c r="M18" s="31">
        <f t="shared" si="5"/>
        <v>3.6187215186722459</v>
      </c>
      <c r="N18" s="31">
        <f t="shared" si="6"/>
        <v>1.4056411885924025</v>
      </c>
      <c r="O18" s="31">
        <f t="shared" si="8"/>
        <v>1.4118561115466948</v>
      </c>
      <c r="P18" s="31">
        <f t="shared" si="10"/>
        <v>3.7288318585957501</v>
      </c>
      <c r="Q18" s="31">
        <f t="shared" si="9"/>
        <v>2.4445931276251804</v>
      </c>
      <c r="R18" s="58">
        <f>(J18/$J$8)*100</f>
        <v>5.1005743901431693</v>
      </c>
      <c r="S18" s="33">
        <v>-35.43686350753439</v>
      </c>
      <c r="T18" s="33">
        <f t="shared" si="2"/>
        <v>-14.169880988910297</v>
      </c>
      <c r="U18" s="33">
        <f t="shared" si="2"/>
        <v>-30.076589923738954</v>
      </c>
      <c r="V18" s="33">
        <f t="shared" si="2"/>
        <v>-59.346507951975312</v>
      </c>
      <c r="W18" s="33">
        <f t="shared" si="2"/>
        <v>-0.65875877833755225</v>
      </c>
      <c r="X18" s="33">
        <f t="shared" si="2"/>
        <v>162.28322635512964</v>
      </c>
      <c r="Y18" s="33">
        <f>((I18-H18)/H18)*100</f>
        <v>-29.063752747793369</v>
      </c>
      <c r="Z18" s="33">
        <f>((J18-I18)/I18)*100</f>
        <v>106.78327524960743</v>
      </c>
      <c r="AA18" s="34"/>
      <c r="AB18" s="61" t="s">
        <v>7</v>
      </c>
      <c r="AC18" s="4"/>
      <c r="AD18" s="4"/>
      <c r="AE18" s="4"/>
      <c r="AF18" s="4"/>
      <c r="AG18" s="4"/>
      <c r="AH18" s="4"/>
      <c r="AI18" s="4"/>
      <c r="AJ18" s="4"/>
      <c r="AK18" s="4"/>
      <c r="AL18" s="4"/>
      <c r="AM18" s="4"/>
      <c r="AN18" s="4"/>
      <c r="AO18" s="4"/>
      <c r="AP18" s="4"/>
      <c r="AQ18" s="4"/>
      <c r="AR18" s="4"/>
      <c r="AS18" s="4"/>
    </row>
    <row r="19" spans="1:45" s="3" customFormat="1" ht="15.75" x14ac:dyDescent="0.2">
      <c r="A19" s="63" t="s">
        <v>28</v>
      </c>
      <c r="B19" s="29">
        <v>5.4577517523999992</v>
      </c>
      <c r="C19" s="30">
        <v>2.7072931552999999</v>
      </c>
      <c r="D19" s="30">
        <v>3.3034248251</v>
      </c>
      <c r="E19" s="31">
        <v>4.2046583994999995</v>
      </c>
      <c r="F19" s="31">
        <v>4.2501961797510015</v>
      </c>
      <c r="G19" s="31">
        <v>6.0657341060765466</v>
      </c>
      <c r="H19" s="31">
        <v>5.7701871802967002</v>
      </c>
      <c r="I19" s="31">
        <v>7.3967283598061551</v>
      </c>
      <c r="J19" s="31">
        <v>3.2771785756210088</v>
      </c>
      <c r="K19" s="32">
        <f t="shared" si="3"/>
        <v>1.8778666734464644</v>
      </c>
      <c r="L19" s="31">
        <f t="shared" si="4"/>
        <v>2.4917515057582893</v>
      </c>
      <c r="M19" s="31">
        <f t="shared" si="5"/>
        <v>3.6018566689100124</v>
      </c>
      <c r="N19" s="31">
        <f t="shared" si="6"/>
        <v>3.4787733972580543</v>
      </c>
      <c r="O19" s="31">
        <f t="shared" si="8"/>
        <v>5.019805779022124</v>
      </c>
      <c r="P19" s="31">
        <f t="shared" si="10"/>
        <v>4.8084520756240865</v>
      </c>
      <c r="Q19" s="31">
        <f t="shared" si="9"/>
        <v>5.6966644233974133</v>
      </c>
      <c r="R19" s="58">
        <f t="shared" si="11"/>
        <v>2.5467022020057084</v>
      </c>
      <c r="S19" s="33">
        <v>-50.458738128773142</v>
      </c>
      <c r="T19" s="33">
        <f t="shared" si="2"/>
        <v>22.019472425177451</v>
      </c>
      <c r="U19" s="33">
        <f t="shared" si="2"/>
        <v>27.281794565212113</v>
      </c>
      <c r="V19" s="33">
        <f t="shared" si="2"/>
        <v>1.083031626455484</v>
      </c>
      <c r="W19" s="33">
        <f t="shared" si="2"/>
        <v>42.716567648694017</v>
      </c>
      <c r="X19" s="33">
        <f t="shared" si="2"/>
        <v>-4.8724016023678427</v>
      </c>
      <c r="Y19" s="33">
        <f t="shared" si="2"/>
        <v>28.188707379607379</v>
      </c>
      <c r="Z19" s="33">
        <f t="shared" si="2"/>
        <v>-55.694214844643916</v>
      </c>
      <c r="AA19" s="34"/>
      <c r="AB19" s="61" t="s">
        <v>8</v>
      </c>
      <c r="AC19" s="4"/>
      <c r="AD19" s="4"/>
      <c r="AE19" s="4"/>
      <c r="AF19" s="4"/>
      <c r="AG19" s="4"/>
      <c r="AH19" s="4"/>
      <c r="AI19" s="4"/>
      <c r="AJ19" s="4"/>
      <c r="AK19" s="4"/>
      <c r="AL19" s="4"/>
      <c r="AM19" s="4"/>
      <c r="AN19" s="4"/>
      <c r="AO19" s="4"/>
      <c r="AP19" s="4"/>
      <c r="AQ19" s="4"/>
      <c r="AR19" s="4"/>
      <c r="AS19" s="4"/>
    </row>
    <row r="20" spans="1:45" s="3" customFormat="1" ht="15.75" x14ac:dyDescent="0.2">
      <c r="A20" s="63" t="s">
        <v>58</v>
      </c>
      <c r="B20" s="29">
        <v>8.6836225687000006</v>
      </c>
      <c r="C20" s="30">
        <v>5.7718705539000004</v>
      </c>
      <c r="D20" s="30">
        <v>6.2566585951500002</v>
      </c>
      <c r="E20" s="31">
        <v>7.7565121393999998</v>
      </c>
      <c r="F20" s="31">
        <v>5.7986605878494348</v>
      </c>
      <c r="G20" s="31">
        <v>6.0143811905367581</v>
      </c>
      <c r="H20" s="31">
        <v>5.8647873912791937</v>
      </c>
      <c r="I20" s="31">
        <v>3.9265395700280759</v>
      </c>
      <c r="J20" s="31">
        <v>2.6868825685070652</v>
      </c>
      <c r="K20" s="32">
        <f t="shared" si="3"/>
        <v>4.0035573300944307</v>
      </c>
      <c r="L20" s="31">
        <f t="shared" si="4"/>
        <v>4.7193562138979868</v>
      </c>
      <c r="M20" s="31">
        <f t="shared" si="5"/>
        <v>6.6444981547375201</v>
      </c>
      <c r="N20" s="31">
        <f t="shared" si="6"/>
        <v>4.7461870792799878</v>
      </c>
      <c r="O20" s="31">
        <f t="shared" si="8"/>
        <v>4.9773077634994802</v>
      </c>
      <c r="P20" s="31">
        <f t="shared" si="10"/>
        <v>4.8872849742181765</v>
      </c>
      <c r="Q20" s="31">
        <f t="shared" si="9"/>
        <v>3.0240637735447833</v>
      </c>
      <c r="R20" s="58">
        <f t="shared" si="11"/>
        <v>2.0879819624876688</v>
      </c>
      <c r="S20" s="33">
        <v>-29.904996034746429</v>
      </c>
      <c r="T20" s="33">
        <f t="shared" si="2"/>
        <v>8.3991495776431258</v>
      </c>
      <c r="U20" s="33">
        <f t="shared" si="2"/>
        <v>23.972117408046643</v>
      </c>
      <c r="V20" s="33">
        <f t="shared" si="2"/>
        <v>-25.241390928861662</v>
      </c>
      <c r="W20" s="33">
        <f t="shared" si="2"/>
        <v>3.7201798487627675</v>
      </c>
      <c r="X20" s="33">
        <f t="shared" si="2"/>
        <v>-2.4872683409714811</v>
      </c>
      <c r="Y20" s="33">
        <f t="shared" si="2"/>
        <v>-33.048901723756408</v>
      </c>
      <c r="Z20" s="33">
        <f t="shared" si="2"/>
        <v>-31.571234146817645</v>
      </c>
      <c r="AA20" s="34"/>
      <c r="AB20" s="61" t="s">
        <v>9</v>
      </c>
      <c r="AC20" s="4"/>
      <c r="AD20" s="4"/>
      <c r="AE20" s="4"/>
      <c r="AF20" s="4"/>
      <c r="AG20" s="4"/>
      <c r="AH20" s="4"/>
      <c r="AI20" s="4"/>
      <c r="AJ20" s="4"/>
      <c r="AK20" s="4"/>
      <c r="AL20" s="4"/>
      <c r="AM20" s="4"/>
      <c r="AN20" s="4"/>
      <c r="AO20" s="4"/>
      <c r="AP20" s="4"/>
      <c r="AQ20" s="4"/>
      <c r="AR20" s="4"/>
      <c r="AS20" s="4"/>
    </row>
    <row r="21" spans="1:45" s="3" customFormat="1" ht="15.75" x14ac:dyDescent="0.2">
      <c r="A21" s="63" t="s">
        <v>29</v>
      </c>
      <c r="B21" s="29">
        <v>9.7719332856999994</v>
      </c>
      <c r="C21" s="30">
        <v>7.0599634364000003</v>
      </c>
      <c r="D21" s="30">
        <v>6.9791354739100004</v>
      </c>
      <c r="E21" s="31">
        <v>9.9887793546000001</v>
      </c>
      <c r="F21" s="31">
        <v>11.884629475991376</v>
      </c>
      <c r="G21" s="31">
        <v>13.181031367605668</v>
      </c>
      <c r="H21" s="31">
        <v>8.5367438048091007</v>
      </c>
      <c r="I21" s="31">
        <v>5.2962855117830294</v>
      </c>
      <c r="J21" s="31">
        <v>4.8564435251275615</v>
      </c>
      <c r="K21" s="32">
        <f t="shared" si="3"/>
        <v>4.8970204896399672</v>
      </c>
      <c r="L21" s="31">
        <f t="shared" si="4"/>
        <v>5.2643157470610529</v>
      </c>
      <c r="M21" s="31">
        <f t="shared" si="5"/>
        <v>8.5567359138889945</v>
      </c>
      <c r="N21" s="31">
        <f t="shared" si="6"/>
        <v>9.7275351792749198</v>
      </c>
      <c r="O21" s="31">
        <f t="shared" si="8"/>
        <v>10.908196151607545</v>
      </c>
      <c r="P21" s="31">
        <f t="shared" si="10"/>
        <v>7.1138980737873894</v>
      </c>
      <c r="Q21" s="31">
        <f t="shared" si="9"/>
        <v>4.0789873283815217</v>
      </c>
      <c r="R21" s="58">
        <f t="shared" si="11"/>
        <v>3.77395223786823</v>
      </c>
      <c r="S21" s="33">
        <v>-10.057474305508281</v>
      </c>
      <c r="T21" s="33">
        <f t="shared" si="2"/>
        <v>-1.1448779192433822</v>
      </c>
      <c r="U21" s="33">
        <f t="shared" si="2"/>
        <v>43.123448340283794</v>
      </c>
      <c r="V21" s="33">
        <f t="shared" si="2"/>
        <v>18.979797771970063</v>
      </c>
      <c r="W21" s="33">
        <f t="shared" si="2"/>
        <v>10.90822304753552</v>
      </c>
      <c r="X21" s="33">
        <f t="shared" si="2"/>
        <v>-35.234629470730113</v>
      </c>
      <c r="Y21" s="33">
        <f t="shared" si="2"/>
        <v>-37.958949771932801</v>
      </c>
      <c r="Z21" s="33">
        <f t="shared" si="2"/>
        <v>-8.3047257493373348</v>
      </c>
      <c r="AA21" s="34"/>
      <c r="AB21" s="61" t="s">
        <v>10</v>
      </c>
      <c r="AC21" s="4"/>
      <c r="AD21" s="4"/>
      <c r="AE21" s="4"/>
      <c r="AF21" s="4"/>
      <c r="AG21" s="4"/>
      <c r="AH21" s="4"/>
      <c r="AI21" s="4"/>
      <c r="AJ21" s="4"/>
      <c r="AK21" s="4"/>
      <c r="AL21" s="4"/>
      <c r="AM21" s="4"/>
      <c r="AN21" s="4"/>
      <c r="AO21" s="4"/>
      <c r="AP21" s="4"/>
      <c r="AQ21" s="4"/>
      <c r="AR21" s="4"/>
      <c r="AS21" s="4"/>
    </row>
    <row r="22" spans="1:45" s="3" customFormat="1" ht="15.75" x14ac:dyDescent="0.2">
      <c r="A22" s="63" t="s">
        <v>30</v>
      </c>
      <c r="B22" s="29">
        <v>0.81006803504999991</v>
      </c>
      <c r="C22" s="30">
        <v>0.62252844329000001</v>
      </c>
      <c r="D22" s="30">
        <v>0.80951389755000003</v>
      </c>
      <c r="E22" s="31">
        <v>0.70046734777999997</v>
      </c>
      <c r="F22" s="31">
        <v>0.73156882546461344</v>
      </c>
      <c r="G22" s="31">
        <v>0.8466080721255872</v>
      </c>
      <c r="H22" s="31">
        <v>0.44778363665237386</v>
      </c>
      <c r="I22" s="31">
        <v>0.69458426939423545</v>
      </c>
      <c r="J22" s="31">
        <v>0.7782534712837853</v>
      </c>
      <c r="K22" s="32">
        <f t="shared" si="3"/>
        <v>0.43180599582953422</v>
      </c>
      <c r="L22" s="31">
        <f t="shared" si="4"/>
        <v>0.61061098101162725</v>
      </c>
      <c r="M22" s="31">
        <f t="shared" si="5"/>
        <v>0.6000447000058613</v>
      </c>
      <c r="N22" s="31">
        <f t="shared" si="6"/>
        <v>0.59878698786057338</v>
      </c>
      <c r="O22" s="31">
        <f t="shared" si="8"/>
        <v>0.70062551682992791</v>
      </c>
      <c r="P22" s="31">
        <f t="shared" si="10"/>
        <v>0.37315014050911521</v>
      </c>
      <c r="Q22" s="31">
        <f t="shared" si="9"/>
        <v>0.53494103122820658</v>
      </c>
      <c r="R22" s="58">
        <f>(J22/$J$8)*100</f>
        <v>0.60478237096415377</v>
      </c>
      <c r="S22" s="33">
        <v>-19.225203541639573</v>
      </c>
      <c r="T22" s="33">
        <f t="shared" si="2"/>
        <v>30.036451551000749</v>
      </c>
      <c r="U22" s="33">
        <f t="shared" si="2"/>
        <v>-13.47062108507714</v>
      </c>
      <c r="V22" s="33">
        <f t="shared" si="2"/>
        <v>4.4401038511193667</v>
      </c>
      <c r="W22" s="33">
        <f t="shared" si="2"/>
        <v>15.725006678341339</v>
      </c>
      <c r="X22" s="33">
        <f t="shared" si="2"/>
        <v>-47.108508482783648</v>
      </c>
      <c r="Y22" s="33">
        <f t="shared" si="2"/>
        <v>55.116045460468534</v>
      </c>
      <c r="Z22" s="33">
        <f t="shared" si="2"/>
        <v>12.045939647110044</v>
      </c>
      <c r="AA22" s="34"/>
      <c r="AB22" s="61" t="s">
        <v>11</v>
      </c>
      <c r="AC22" s="4"/>
      <c r="AD22" s="4"/>
      <c r="AE22" s="4"/>
      <c r="AF22" s="4"/>
      <c r="AG22" s="4"/>
      <c r="AH22" s="4"/>
      <c r="AI22" s="4"/>
      <c r="AJ22" s="4"/>
      <c r="AK22" s="4"/>
      <c r="AL22" s="4"/>
      <c r="AM22" s="4"/>
      <c r="AN22" s="4"/>
      <c r="AO22" s="4"/>
      <c r="AP22" s="4"/>
      <c r="AQ22" s="4"/>
      <c r="AR22" s="4"/>
      <c r="AS22" s="4"/>
    </row>
    <row r="23" spans="1:45" s="3" customFormat="1" ht="15.75" x14ac:dyDescent="0.2">
      <c r="A23" s="63" t="s">
        <v>31</v>
      </c>
      <c r="B23" s="29">
        <v>5.6759792831600002</v>
      </c>
      <c r="C23" s="30">
        <v>4.194745354378</v>
      </c>
      <c r="D23" s="30">
        <v>5.0415216382000008</v>
      </c>
      <c r="E23" s="31">
        <v>4.9000881385799993</v>
      </c>
      <c r="F23" s="31">
        <v>4.96738592839072</v>
      </c>
      <c r="G23" s="31">
        <v>3.7799880291292838</v>
      </c>
      <c r="H23" s="31">
        <v>2.5567938881875243</v>
      </c>
      <c r="I23" s="31">
        <v>4.1488570930622419</v>
      </c>
      <c r="J23" s="31">
        <v>3.6170414694011317</v>
      </c>
      <c r="K23" s="32">
        <f t="shared" si="3"/>
        <v>2.9096119454813683</v>
      </c>
      <c r="L23" s="31">
        <f t="shared" si="4"/>
        <v>3.802786440862195</v>
      </c>
      <c r="M23" s="31">
        <f t="shared" si="5"/>
        <v>4.197585978040455</v>
      </c>
      <c r="N23" s="31">
        <f t="shared" si="6"/>
        <v>4.0657911519303136</v>
      </c>
      <c r="O23" s="31">
        <f t="shared" si="8"/>
        <v>3.1281960965366085</v>
      </c>
      <c r="P23" s="31">
        <f t="shared" si="10"/>
        <v>2.1306450717195133</v>
      </c>
      <c r="Q23" s="31">
        <f t="shared" si="9"/>
        <v>3.1952838403852204</v>
      </c>
      <c r="R23" s="58">
        <f t="shared" si="11"/>
        <v>2.8108103547955992</v>
      </c>
      <c r="S23" s="33">
        <v>5.2114139182574304</v>
      </c>
      <c r="T23" s="33">
        <f t="shared" si="2"/>
        <v>20.186595663983073</v>
      </c>
      <c r="U23" s="33">
        <f t="shared" si="2"/>
        <v>-2.8053732537484102</v>
      </c>
      <c r="V23" s="33">
        <f t="shared" si="2"/>
        <v>1.3733995778741859</v>
      </c>
      <c r="W23" s="33">
        <f t="shared" si="2"/>
        <v>-23.903878546560133</v>
      </c>
      <c r="X23" s="33">
        <f t="shared" si="2"/>
        <v>-32.359735838198432</v>
      </c>
      <c r="Y23" s="33">
        <f t="shared" si="2"/>
        <v>62.267952541270709</v>
      </c>
      <c r="Z23" s="33">
        <f t="shared" si="2"/>
        <v>-12.818364473204378</v>
      </c>
      <c r="AA23" s="34"/>
      <c r="AB23" s="61" t="s">
        <v>12</v>
      </c>
      <c r="AC23" s="4"/>
      <c r="AD23" s="4"/>
      <c r="AE23" s="4"/>
      <c r="AF23" s="4"/>
      <c r="AG23" s="4"/>
      <c r="AH23" s="4"/>
      <c r="AI23" s="4"/>
      <c r="AJ23" s="4"/>
      <c r="AK23" s="4"/>
      <c r="AL23" s="4"/>
      <c r="AM23" s="4"/>
      <c r="AN23" s="4"/>
      <c r="AO23" s="4"/>
      <c r="AP23" s="4"/>
      <c r="AQ23" s="4"/>
      <c r="AR23" s="4"/>
      <c r="AS23" s="4"/>
    </row>
    <row r="24" spans="1:45" s="3" customFormat="1" ht="15.75" x14ac:dyDescent="0.2">
      <c r="A24" s="63" t="s">
        <v>32</v>
      </c>
      <c r="B24" s="29">
        <v>2.46973478539</v>
      </c>
      <c r="C24" s="30">
        <v>3.4400478251980005</v>
      </c>
      <c r="D24" s="30">
        <v>3.5097391444900001</v>
      </c>
      <c r="E24" s="31">
        <v>3.4896475003000003</v>
      </c>
      <c r="F24" s="31">
        <v>1.8145940874618773</v>
      </c>
      <c r="G24" s="31">
        <v>2.2385708185166902</v>
      </c>
      <c r="H24" s="31">
        <v>2.3926024162149369</v>
      </c>
      <c r="I24" s="31">
        <v>2.3510120797228331</v>
      </c>
      <c r="J24" s="31">
        <v>2.8558977392270024</v>
      </c>
      <c r="K24" s="32">
        <f t="shared" si="3"/>
        <v>2.3861291686697577</v>
      </c>
      <c r="L24" s="31">
        <f t="shared" si="4"/>
        <v>2.6473730328756702</v>
      </c>
      <c r="M24" s="31">
        <f t="shared" si="5"/>
        <v>2.9893534567743694</v>
      </c>
      <c r="N24" s="31">
        <f t="shared" si="6"/>
        <v>1.4852400621784845</v>
      </c>
      <c r="O24" s="31">
        <f t="shared" si="8"/>
        <v>1.8525689611556078</v>
      </c>
      <c r="P24" s="31">
        <f t="shared" si="10"/>
        <v>1.9938199047817284</v>
      </c>
      <c r="Q24" s="31">
        <f t="shared" si="9"/>
        <v>1.8106554982215965</v>
      </c>
      <c r="R24" s="58">
        <f t="shared" si="11"/>
        <v>2.2193239987889006</v>
      </c>
      <c r="S24" s="33">
        <v>85.235087993896258</v>
      </c>
      <c r="T24" s="33">
        <f t="shared" ref="T24:Z31" si="12">((D24-C24)/C24)*100</f>
        <v>2.0258822793543114</v>
      </c>
      <c r="U24" s="33">
        <f t="shared" si="12"/>
        <v>-0.57245405891609025</v>
      </c>
      <c r="V24" s="33">
        <f t="shared" si="12"/>
        <v>-48.000647993647519</v>
      </c>
      <c r="W24" s="33">
        <f t="shared" si="12"/>
        <v>23.36482489303383</v>
      </c>
      <c r="X24" s="33">
        <f t="shared" si="12"/>
        <v>6.8808007512717557</v>
      </c>
      <c r="Y24" s="33">
        <f t="shared" si="12"/>
        <v>-1.7382886605079619</v>
      </c>
      <c r="Z24" s="33">
        <f t="shared" si="12"/>
        <v>21.475247356606165</v>
      </c>
      <c r="AA24" s="34"/>
      <c r="AB24" s="61" t="s">
        <v>13</v>
      </c>
      <c r="AC24" s="4"/>
      <c r="AD24" s="4"/>
      <c r="AE24" s="4"/>
      <c r="AF24" s="4"/>
      <c r="AG24" s="4"/>
      <c r="AH24" s="4"/>
      <c r="AI24" s="4"/>
      <c r="AJ24" s="4"/>
      <c r="AK24" s="4"/>
      <c r="AL24" s="4"/>
      <c r="AM24" s="4"/>
      <c r="AN24" s="4"/>
      <c r="AO24" s="4"/>
      <c r="AP24" s="4"/>
      <c r="AQ24" s="4"/>
      <c r="AR24" s="4"/>
      <c r="AS24" s="4"/>
    </row>
    <row r="25" spans="1:45" s="3" customFormat="1" ht="15.75" x14ac:dyDescent="0.2">
      <c r="A25" s="63" t="s">
        <v>33</v>
      </c>
      <c r="B25" s="29">
        <v>3.0444787082199998</v>
      </c>
      <c r="C25" s="30">
        <v>1.41007625949</v>
      </c>
      <c r="D25" s="30">
        <v>1.5887022592769997</v>
      </c>
      <c r="E25" s="31">
        <v>0.77320062969399994</v>
      </c>
      <c r="F25" s="31">
        <v>2.8363132528658399</v>
      </c>
      <c r="G25" s="31">
        <v>2.1143378283414398</v>
      </c>
      <c r="H25" s="31">
        <v>3.5650055825859033</v>
      </c>
      <c r="I25" s="31">
        <v>4.8873762700000016</v>
      </c>
      <c r="J25" s="31">
        <v>5.5584618312959835</v>
      </c>
      <c r="K25" s="32">
        <f t="shared" si="3"/>
        <v>0.97807480122000223</v>
      </c>
      <c r="L25" s="31">
        <f t="shared" si="4"/>
        <v>1.1983476108420978</v>
      </c>
      <c r="M25" s="31">
        <f t="shared" si="5"/>
        <v>0.66235055975056867</v>
      </c>
      <c r="N25" s="31">
        <f t="shared" si="6"/>
        <v>2.3215142720631299</v>
      </c>
      <c r="O25" s="31">
        <f t="shared" si="8"/>
        <v>1.7497577480161821</v>
      </c>
      <c r="P25" s="31">
        <f t="shared" si="10"/>
        <v>2.9708149766322141</v>
      </c>
      <c r="Q25" s="31">
        <f t="shared" si="9"/>
        <v>3.7640617806593899</v>
      </c>
      <c r="R25" s="58">
        <f t="shared" si="11"/>
        <v>4.3194921054443061</v>
      </c>
      <c r="S25" s="33">
        <v>-34.05011024051705</v>
      </c>
      <c r="T25" s="33">
        <f t="shared" si="12"/>
        <v>12.667825487084336</v>
      </c>
      <c r="U25" s="33">
        <f t="shared" si="12"/>
        <v>-51.331306720374734</v>
      </c>
      <c r="V25" s="33">
        <f t="shared" si="12"/>
        <v>266.82759221087707</v>
      </c>
      <c r="W25" s="33">
        <f t="shared" si="12"/>
        <v>-25.454713924666422</v>
      </c>
      <c r="X25" s="33">
        <f t="shared" si="12"/>
        <v>68.610972891802149</v>
      </c>
      <c r="Y25" s="33">
        <f t="shared" si="12"/>
        <v>37.093088826382903</v>
      </c>
      <c r="Z25" s="33">
        <f t="shared" si="12"/>
        <v>13.73099847898516</v>
      </c>
      <c r="AA25" s="34"/>
      <c r="AB25" s="61" t="s">
        <v>14</v>
      </c>
      <c r="AC25" s="4"/>
      <c r="AD25" s="4"/>
      <c r="AE25" s="4"/>
      <c r="AF25" s="4"/>
      <c r="AG25" s="4"/>
      <c r="AH25" s="4"/>
      <c r="AI25" s="4"/>
      <c r="AJ25" s="4"/>
      <c r="AK25" s="4"/>
      <c r="AL25" s="4"/>
      <c r="AM25" s="4"/>
      <c r="AN25" s="4"/>
      <c r="AO25" s="4"/>
      <c r="AP25" s="4"/>
      <c r="AQ25" s="4"/>
      <c r="AR25" s="4"/>
      <c r="AS25" s="4"/>
    </row>
    <row r="26" spans="1:45" s="3" customFormat="1" ht="15.75" x14ac:dyDescent="0.2">
      <c r="A26" s="63" t="s">
        <v>34</v>
      </c>
      <c r="B26" s="29">
        <v>11.518621623569999</v>
      </c>
      <c r="C26" s="30">
        <v>6.4525180509299993</v>
      </c>
      <c r="D26" s="30">
        <v>7.25102616621</v>
      </c>
      <c r="E26" s="31">
        <v>5.3193023869199996</v>
      </c>
      <c r="F26" s="31">
        <v>3.2973057170663189</v>
      </c>
      <c r="G26" s="31">
        <v>3.6220961214457499</v>
      </c>
      <c r="H26" s="31">
        <v>4.4916609014078981</v>
      </c>
      <c r="I26" s="31">
        <v>6.1023330901973196</v>
      </c>
      <c r="J26" s="31">
        <v>3.8321071489999445</v>
      </c>
      <c r="K26" s="32">
        <f t="shared" si="3"/>
        <v>4.4756765937711984</v>
      </c>
      <c r="L26" s="31">
        <f t="shared" si="4"/>
        <v>5.469401098721713</v>
      </c>
      <c r="M26" s="31">
        <f t="shared" si="5"/>
        <v>4.5566994880143179</v>
      </c>
      <c r="N26" s="31">
        <f t="shared" si="6"/>
        <v>2.6988352833701925</v>
      </c>
      <c r="O26" s="31">
        <f t="shared" si="8"/>
        <v>2.997529849584466</v>
      </c>
      <c r="P26" s="31">
        <f t="shared" si="10"/>
        <v>3.7430217616032011</v>
      </c>
      <c r="Q26" s="31">
        <f t="shared" si="9"/>
        <v>4.6997729433393571</v>
      </c>
      <c r="R26" s="58">
        <f t="shared" si="11"/>
        <v>2.9779383361282501</v>
      </c>
      <c r="S26" s="33">
        <v>-20.565431582788811</v>
      </c>
      <c r="T26" s="33">
        <f t="shared" si="12"/>
        <v>12.375139580817009</v>
      </c>
      <c r="U26" s="33">
        <f t="shared" si="12"/>
        <v>-26.640695192797558</v>
      </c>
      <c r="V26" s="33">
        <f t="shared" si="12"/>
        <v>-38.012440782191817</v>
      </c>
      <c r="W26" s="33">
        <f t="shared" si="12"/>
        <v>9.8501756357734305</v>
      </c>
      <c r="X26" s="33">
        <f t="shared" si="12"/>
        <v>24.007225396742474</v>
      </c>
      <c r="Y26" s="33">
        <f t="shared" si="12"/>
        <v>35.85916711309531</v>
      </c>
      <c r="Z26" s="33">
        <f t="shared" si="12"/>
        <v>-37.202589692198643</v>
      </c>
      <c r="AA26" s="34"/>
      <c r="AB26" s="61" t="s">
        <v>15</v>
      </c>
      <c r="AD26" s="5"/>
      <c r="AE26" s="5"/>
      <c r="AG26" s="4"/>
      <c r="AH26" s="4"/>
      <c r="AI26" s="4"/>
      <c r="AJ26" s="4"/>
      <c r="AK26" s="4"/>
      <c r="AL26" s="4"/>
      <c r="AM26" s="4"/>
      <c r="AN26" s="4"/>
      <c r="AO26" s="4"/>
      <c r="AP26" s="4"/>
      <c r="AQ26" s="4"/>
      <c r="AR26" s="4"/>
      <c r="AS26" s="4"/>
    </row>
    <row r="27" spans="1:45" s="3" customFormat="1" ht="15.75" x14ac:dyDescent="0.2">
      <c r="A27" s="63" t="s">
        <v>35</v>
      </c>
      <c r="B27" s="29">
        <v>13.752270390510001</v>
      </c>
      <c r="C27" s="30">
        <v>17.952567644000002</v>
      </c>
      <c r="D27" s="30">
        <v>13.969786364659999</v>
      </c>
      <c r="E27" s="31">
        <v>10.323599863590001</v>
      </c>
      <c r="F27" s="31">
        <v>8.821061419899916</v>
      </c>
      <c r="G27" s="31">
        <v>4.6273621141007606</v>
      </c>
      <c r="H27" s="31">
        <v>6.4412472748291281</v>
      </c>
      <c r="I27" s="31">
        <v>8.2431673173022482</v>
      </c>
      <c r="J27" s="31">
        <v>14.670648390734787</v>
      </c>
      <c r="K27" s="32">
        <f t="shared" si="3"/>
        <v>12.452485396885352</v>
      </c>
      <c r="L27" s="31">
        <f t="shared" si="4"/>
        <v>10.537317496913053</v>
      </c>
      <c r="M27" s="31">
        <f t="shared" si="5"/>
        <v>8.8435548106005299</v>
      </c>
      <c r="N27" s="31">
        <f t="shared" si="6"/>
        <v>7.2200135018061591</v>
      </c>
      <c r="O27" s="31">
        <f t="shared" si="8"/>
        <v>3.8294555408752857</v>
      </c>
      <c r="P27" s="31">
        <f t="shared" si="10"/>
        <v>5.3676644899875718</v>
      </c>
      <c r="Q27" s="31">
        <f t="shared" si="9"/>
        <v>6.3485578634685265</v>
      </c>
      <c r="R27" s="58">
        <f>(J27/$J$8)*100</f>
        <v>11.400590996008178</v>
      </c>
      <c r="S27" s="33">
        <v>39.49673390670673</v>
      </c>
      <c r="T27" s="33">
        <f t="shared" si="12"/>
        <v>-22.185023102648515</v>
      </c>
      <c r="U27" s="33">
        <f t="shared" si="12"/>
        <v>-26.100517258402185</v>
      </c>
      <c r="V27" s="33">
        <f t="shared" si="12"/>
        <v>-14.554404118173384</v>
      </c>
      <c r="W27" s="33">
        <f t="shared" si="12"/>
        <v>-47.54188987210042</v>
      </c>
      <c r="X27" s="33">
        <f t="shared" si="12"/>
        <v>39.19911854749801</v>
      </c>
      <c r="Y27" s="33">
        <f t="shared" si="12"/>
        <v>27.974706847765301</v>
      </c>
      <c r="Z27" s="33">
        <f t="shared" si="12"/>
        <v>77.973439407706564</v>
      </c>
      <c r="AA27" s="34"/>
      <c r="AB27" s="61" t="s">
        <v>16</v>
      </c>
    </row>
    <row r="28" spans="1:45" s="3" customFormat="1" ht="15.75" x14ac:dyDescent="0.2">
      <c r="A28" s="63" t="s">
        <v>36</v>
      </c>
      <c r="B28" s="29">
        <v>23.260487388102003</v>
      </c>
      <c r="C28" s="30">
        <v>15.195556047967001</v>
      </c>
      <c r="D28" s="30">
        <v>10.337320396613</v>
      </c>
      <c r="E28" s="31">
        <v>5.2756512949680001</v>
      </c>
      <c r="F28" s="31">
        <v>7.8095273806140346</v>
      </c>
      <c r="G28" s="31">
        <v>11.458809981990434</v>
      </c>
      <c r="H28" s="31">
        <v>12.605257593857838</v>
      </c>
      <c r="I28" s="31">
        <v>15.669094098018947</v>
      </c>
      <c r="J28" s="31">
        <v>19.57691873198684</v>
      </c>
      <c r="K28" s="32">
        <f t="shared" si="3"/>
        <v>10.540132394270785</v>
      </c>
      <c r="L28" s="31">
        <f t="shared" si="4"/>
        <v>7.7973724324078066</v>
      </c>
      <c r="M28" s="31">
        <f t="shared" si="5"/>
        <v>4.5193064439869577</v>
      </c>
      <c r="N28" s="31">
        <f t="shared" si="6"/>
        <v>6.3920757884710397</v>
      </c>
      <c r="O28" s="31">
        <f t="shared" si="8"/>
        <v>9.4829413163179126</v>
      </c>
      <c r="P28" s="31">
        <f t="shared" si="10"/>
        <v>10.504299972786216</v>
      </c>
      <c r="Q28" s="31">
        <f t="shared" si="9"/>
        <v>12.067709743147873</v>
      </c>
      <c r="R28" s="58">
        <f t="shared" si="11"/>
        <v>15.213263755024432</v>
      </c>
      <c r="S28" s="33">
        <v>-39.238544058898569</v>
      </c>
      <c r="T28" s="33">
        <f t="shared" si="12"/>
        <v>-31.97142398750179</v>
      </c>
      <c r="U28" s="33">
        <f t="shared" si="12"/>
        <v>-48.965001639142812</v>
      </c>
      <c r="V28" s="33">
        <f t="shared" si="12"/>
        <v>48.029635470086617</v>
      </c>
      <c r="W28" s="33">
        <f t="shared" si="12"/>
        <v>46.728597308400374</v>
      </c>
      <c r="X28" s="33">
        <f t="shared" si="12"/>
        <v>10.004944786319438</v>
      </c>
      <c r="Y28" s="33">
        <f t="shared" si="12"/>
        <v>24.306020573939122</v>
      </c>
      <c r="Z28" s="33">
        <f t="shared" si="12"/>
        <v>24.939697276193918</v>
      </c>
      <c r="AA28" s="34"/>
      <c r="AB28" s="61" t="s">
        <v>17</v>
      </c>
    </row>
    <row r="29" spans="1:45" s="3" customFormat="1" ht="15.75" x14ac:dyDescent="0.2">
      <c r="A29" s="63" t="s">
        <v>37</v>
      </c>
      <c r="B29" s="29">
        <v>14.346407789157999</v>
      </c>
      <c r="C29" s="30">
        <v>11.892275019721</v>
      </c>
      <c r="D29" s="30">
        <v>11.990158037125001</v>
      </c>
      <c r="E29" s="31">
        <v>7.9786564840130003</v>
      </c>
      <c r="F29" s="31">
        <v>10.312039520502237</v>
      </c>
      <c r="G29" s="31">
        <v>13.33071221199801</v>
      </c>
      <c r="H29" s="31">
        <v>6.8380931873861348</v>
      </c>
      <c r="I29" s="31">
        <v>6.5185484876734998</v>
      </c>
      <c r="J29" s="31">
        <v>10.485499486109854</v>
      </c>
      <c r="K29" s="32">
        <f t="shared" si="3"/>
        <v>8.248869128662685</v>
      </c>
      <c r="L29" s="31">
        <f t="shared" si="4"/>
        <v>9.0440969372995088</v>
      </c>
      <c r="M29" s="31">
        <f t="shared" si="5"/>
        <v>6.8347947289372515</v>
      </c>
      <c r="N29" s="31">
        <f t="shared" si="6"/>
        <v>8.4403748058280286</v>
      </c>
      <c r="O29" s="31">
        <f t="shared" si="8"/>
        <v>11.032067187586007</v>
      </c>
      <c r="P29" s="31">
        <f t="shared" si="10"/>
        <v>5.6983668558403817</v>
      </c>
      <c r="Q29" s="31">
        <f t="shared" si="9"/>
        <v>5.0203254000385931</v>
      </c>
      <c r="R29" s="58">
        <f t="shared" si="11"/>
        <v>8.1483031864827566</v>
      </c>
      <c r="S29" s="33">
        <v>-31.632573491907696</v>
      </c>
      <c r="T29" s="33">
        <f t="shared" si="12"/>
        <v>0.82308067414924024</v>
      </c>
      <c r="U29" s="33">
        <f t="shared" si="12"/>
        <v>-33.456619509861589</v>
      </c>
      <c r="V29" s="33">
        <f t="shared" si="12"/>
        <v>29.245312680959319</v>
      </c>
      <c r="W29" s="33">
        <f t="shared" si="12"/>
        <v>29.273284741530471</v>
      </c>
      <c r="X29" s="33">
        <f t="shared" si="12"/>
        <v>-48.704217159292803</v>
      </c>
      <c r="Y29" s="33">
        <f t="shared" si="12"/>
        <v>-4.6730088484620538</v>
      </c>
      <c r="Z29" s="33">
        <f t="shared" si="12"/>
        <v>60.856354845527541</v>
      </c>
      <c r="AA29" s="34"/>
      <c r="AB29" s="61" t="s">
        <v>18</v>
      </c>
    </row>
    <row r="30" spans="1:45" s="3" customFormat="1" ht="15.75" x14ac:dyDescent="0.2">
      <c r="A30" s="63" t="s">
        <v>38</v>
      </c>
      <c r="B30" s="29">
        <v>0.53337409301400007</v>
      </c>
      <c r="C30" s="30">
        <v>0.38126939614000005</v>
      </c>
      <c r="D30" s="30">
        <v>0.76444257529999993</v>
      </c>
      <c r="E30" s="31">
        <v>0.93327936740099993</v>
      </c>
      <c r="F30" s="31">
        <v>1.5026636156209401</v>
      </c>
      <c r="G30" s="31">
        <v>3.0038268644683379</v>
      </c>
      <c r="H30" s="31">
        <v>4.1531727146193713</v>
      </c>
      <c r="I30" s="31">
        <v>4.0198049527051953</v>
      </c>
      <c r="J30" s="31">
        <v>4.1304595743684711</v>
      </c>
      <c r="K30" s="32">
        <f t="shared" si="3"/>
        <v>0.26446086609228914</v>
      </c>
      <c r="L30" s="31">
        <f t="shared" si="4"/>
        <v>0.5766139806168763</v>
      </c>
      <c r="M30" s="31">
        <f t="shared" si="5"/>
        <v>0.79947957575558326</v>
      </c>
      <c r="N30" s="31">
        <f t="shared" si="6"/>
        <v>1.2299258645882034</v>
      </c>
      <c r="O30" s="31">
        <f t="shared" si="8"/>
        <v>2.4858701667015972</v>
      </c>
      <c r="P30" s="31">
        <f t="shared" si="10"/>
        <v>3.4609504572449543</v>
      </c>
      <c r="Q30" s="31">
        <f t="shared" si="9"/>
        <v>3.0958930420519772</v>
      </c>
      <c r="R30" s="58">
        <f t="shared" si="11"/>
        <v>3.2097886186584872</v>
      </c>
      <c r="S30" s="33">
        <v>-53.56351558990611</v>
      </c>
      <c r="T30" s="33">
        <f t="shared" si="12"/>
        <v>100.49932751993049</v>
      </c>
      <c r="U30" s="33">
        <f t="shared" si="12"/>
        <v>22.08626227218457</v>
      </c>
      <c r="V30" s="33">
        <f t="shared" si="12"/>
        <v>61.00898274495917</v>
      </c>
      <c r="W30" s="33">
        <f t="shared" si="12"/>
        <v>99.900152851380369</v>
      </c>
      <c r="X30" s="33">
        <f t="shared" si="12"/>
        <v>38.262719591012839</v>
      </c>
      <c r="Y30" s="33">
        <f t="shared" si="12"/>
        <v>-3.2112259970483512</v>
      </c>
      <c r="Z30" s="33">
        <f t="shared" si="12"/>
        <v>2.7527360895659601</v>
      </c>
      <c r="AA30" s="34"/>
      <c r="AB30" s="61" t="s">
        <v>19</v>
      </c>
    </row>
    <row r="31" spans="1:45" s="3" customFormat="1" ht="15.75" x14ac:dyDescent="0.2">
      <c r="A31" s="64" t="s">
        <v>3</v>
      </c>
      <c r="B31" s="35">
        <v>8.8733476374110012</v>
      </c>
      <c r="C31" s="36">
        <v>7.2522328035710011</v>
      </c>
      <c r="D31" s="36">
        <v>5.2773649710030002</v>
      </c>
      <c r="E31" s="37">
        <v>4.1513248215099994</v>
      </c>
      <c r="F31" s="37">
        <v>4.3237184652671763</v>
      </c>
      <c r="G31" s="37">
        <v>7.2335239573804548</v>
      </c>
      <c r="H31" s="37">
        <v>6.1545840431629619</v>
      </c>
      <c r="I31" s="37">
        <v>4.9778572648089474</v>
      </c>
      <c r="J31" s="37">
        <v>7.643729479364147</v>
      </c>
      <c r="K31" s="38">
        <f t="shared" si="3"/>
        <v>5.0303847823942389</v>
      </c>
      <c r="L31" s="37">
        <f t="shared" si="4"/>
        <v>3.9806815075728892</v>
      </c>
      <c r="M31" s="37">
        <f t="shared" si="5"/>
        <v>3.5561692704799865</v>
      </c>
      <c r="N31" s="37">
        <f t="shared" si="6"/>
        <v>3.5389511773280242</v>
      </c>
      <c r="O31" s="37">
        <f t="shared" si="8"/>
        <v>5.9862309703911647</v>
      </c>
      <c r="P31" s="37">
        <f t="shared" si="10"/>
        <v>5.1287803137485248</v>
      </c>
      <c r="Q31" s="37">
        <f t="shared" si="9"/>
        <v>3.8337466249646948</v>
      </c>
      <c r="R31" s="59">
        <f>(J31/$J$8)*100</f>
        <v>5.9399578776215618</v>
      </c>
      <c r="S31" s="36">
        <v>-41.432881584503299</v>
      </c>
      <c r="T31" s="36">
        <f t="shared" si="12"/>
        <v>-27.231169848761272</v>
      </c>
      <c r="U31" s="36">
        <f t="shared" si="12"/>
        <v>-21.337166477591353</v>
      </c>
      <c r="V31" s="36">
        <f t="shared" si="12"/>
        <v>4.1527380094162476</v>
      </c>
      <c r="W31" s="36">
        <f t="shared" si="12"/>
        <v>67.298680880543245</v>
      </c>
      <c r="X31" s="36">
        <f t="shared" si="12"/>
        <v>-14.915826927159575</v>
      </c>
      <c r="Y31" s="36">
        <f>((I31-H31)/H31)*100</f>
        <v>-19.119517583990476</v>
      </c>
      <c r="Z31" s="36">
        <f>((J31-I31)/I31)*100</f>
        <v>53.554613415728724</v>
      </c>
      <c r="AA31" s="39"/>
      <c r="AB31" s="62" t="s">
        <v>20</v>
      </c>
    </row>
    <row r="32" spans="1:45" s="3" customFormat="1" ht="15" x14ac:dyDescent="0.25">
      <c r="A32" s="1" t="s">
        <v>39</v>
      </c>
      <c r="B32" s="40"/>
      <c r="C32" s="40"/>
      <c r="D32" s="40"/>
      <c r="E32" s="5"/>
      <c r="F32" s="5"/>
      <c r="G32" s="5"/>
      <c r="H32" s="5"/>
      <c r="I32" s="5"/>
      <c r="J32" s="5"/>
      <c r="K32" s="5"/>
      <c r="L32" s="40"/>
      <c r="M32" s="40"/>
      <c r="N32" s="40"/>
      <c r="O32" s="40"/>
      <c r="P32" s="40"/>
      <c r="Q32" s="40"/>
      <c r="R32" s="40"/>
      <c r="S32" s="40"/>
      <c r="T32" s="5"/>
      <c r="U32" s="5"/>
      <c r="V32" s="5"/>
      <c r="W32" s="5"/>
      <c r="X32" s="5"/>
      <c r="Y32" s="5"/>
      <c r="Z32" s="5"/>
      <c r="AA32" s="5"/>
      <c r="AB32" s="6" t="s">
        <v>44</v>
      </c>
    </row>
    <row r="33" spans="1:28" s="7" customFormat="1" ht="27" customHeight="1" x14ac:dyDescent="0.25">
      <c r="A33" s="65" t="s">
        <v>59</v>
      </c>
      <c r="B33" s="65"/>
      <c r="C33" s="65"/>
      <c r="D33" s="65"/>
      <c r="E33" s="65"/>
      <c r="F33" s="65"/>
      <c r="G33" s="65"/>
      <c r="H33" s="65"/>
      <c r="I33" s="65"/>
      <c r="J33" s="65"/>
      <c r="K33" s="65"/>
      <c r="L33" s="65"/>
      <c r="M33" s="65"/>
      <c r="N33" s="65"/>
      <c r="O33" s="65"/>
      <c r="P33" s="65"/>
      <c r="Q33" s="65"/>
      <c r="R33" s="65"/>
      <c r="S33" s="65"/>
      <c r="T33" s="65"/>
      <c r="U33" s="65"/>
      <c r="V33" s="41"/>
      <c r="W33" s="41"/>
      <c r="X33" s="41"/>
      <c r="Y33" s="41"/>
      <c r="Z33" s="41"/>
      <c r="AA33" s="41"/>
      <c r="AB33" s="41"/>
    </row>
    <row r="34" spans="1:28" s="7" customFormat="1" x14ac:dyDescent="0.25">
      <c r="A34" s="8"/>
      <c r="M34" s="42"/>
      <c r="N34" s="42"/>
      <c r="O34" s="42"/>
      <c r="P34" s="42"/>
      <c r="Q34" s="42"/>
      <c r="R34" s="42"/>
      <c r="S34" s="43"/>
      <c r="T34" s="43"/>
      <c r="U34" s="43"/>
      <c r="V34" s="43"/>
      <c r="W34" s="43"/>
      <c r="X34" s="43"/>
      <c r="Y34" s="43"/>
      <c r="Z34" s="43"/>
    </row>
    <row r="35" spans="1:28" s="3" customFormat="1" ht="12" x14ac:dyDescent="0.25">
      <c r="B35" s="9"/>
      <c r="C35" s="9"/>
      <c r="D35" s="9"/>
      <c r="M35" s="9"/>
      <c r="N35" s="9"/>
      <c r="O35" s="9"/>
      <c r="P35" s="9"/>
      <c r="Q35" s="9"/>
      <c r="R35" s="9"/>
      <c r="S35" s="9"/>
    </row>
    <row r="36" spans="1:28" s="3" customFormat="1" ht="12" x14ac:dyDescent="0.25">
      <c r="B36" s="9"/>
      <c r="C36" s="9"/>
      <c r="D36" s="9"/>
      <c r="M36" s="9"/>
      <c r="N36" s="9"/>
      <c r="O36" s="9"/>
      <c r="P36" s="9"/>
      <c r="Q36" s="9"/>
      <c r="R36" s="9"/>
      <c r="S36" s="9"/>
    </row>
    <row r="37" spans="1:28" s="3" customFormat="1" ht="12" x14ac:dyDescent="0.25">
      <c r="B37" s="9"/>
      <c r="C37" s="9"/>
      <c r="D37" s="9"/>
      <c r="M37" s="9"/>
      <c r="N37" s="9"/>
      <c r="O37" s="9"/>
      <c r="P37" s="9"/>
      <c r="Q37" s="9"/>
      <c r="R37" s="9"/>
      <c r="S37" s="9"/>
    </row>
    <row r="38" spans="1:28" s="3" customFormat="1" ht="12" x14ac:dyDescent="0.25">
      <c r="B38" s="9"/>
      <c r="C38" s="9"/>
      <c r="D38" s="9"/>
      <c r="M38" s="9"/>
      <c r="N38" s="9"/>
      <c r="O38" s="9"/>
      <c r="P38" s="9"/>
      <c r="Q38" s="9"/>
      <c r="R38" s="9"/>
      <c r="S38" s="9"/>
    </row>
    <row r="39" spans="1:28" s="3" customFormat="1" ht="12" x14ac:dyDescent="0.25">
      <c r="B39" s="9"/>
      <c r="C39" s="9"/>
      <c r="D39" s="9"/>
      <c r="M39" s="9"/>
      <c r="N39" s="9"/>
      <c r="O39" s="9"/>
      <c r="P39" s="9"/>
      <c r="Q39" s="9"/>
      <c r="R39" s="9"/>
      <c r="S39" s="9"/>
    </row>
    <row r="40" spans="1:28" s="3" customFormat="1" ht="12" x14ac:dyDescent="0.25">
      <c r="B40" s="9"/>
      <c r="C40" s="9"/>
      <c r="D40" s="9"/>
      <c r="M40" s="9"/>
      <c r="N40" s="9"/>
      <c r="O40" s="9"/>
      <c r="P40" s="9"/>
      <c r="Q40" s="9"/>
      <c r="R40" s="9"/>
      <c r="S40" s="9"/>
    </row>
    <row r="41" spans="1:28" s="3" customFormat="1" ht="12" x14ac:dyDescent="0.25">
      <c r="B41" s="9"/>
      <c r="C41" s="9"/>
      <c r="D41" s="9"/>
      <c r="M41" s="9"/>
      <c r="N41" s="9"/>
      <c r="O41" s="9"/>
      <c r="P41" s="9"/>
      <c r="Q41" s="9"/>
      <c r="R41" s="9"/>
      <c r="S41" s="9"/>
    </row>
    <row r="42" spans="1:28" s="3" customFormat="1" ht="12" x14ac:dyDescent="0.25">
      <c r="B42" s="9"/>
      <c r="C42" s="9"/>
      <c r="D42" s="9"/>
      <c r="M42" s="9"/>
      <c r="N42" s="9"/>
      <c r="O42" s="9"/>
      <c r="P42" s="9"/>
      <c r="Q42" s="9"/>
      <c r="R42" s="9"/>
      <c r="S42" s="9"/>
    </row>
    <row r="43" spans="1:28" s="3" customFormat="1" ht="12" x14ac:dyDescent="0.25">
      <c r="B43" s="9"/>
      <c r="C43" s="9"/>
      <c r="D43" s="9"/>
      <c r="M43" s="9"/>
      <c r="N43" s="9"/>
      <c r="O43" s="9"/>
      <c r="P43" s="9"/>
      <c r="Q43" s="9"/>
      <c r="R43" s="9"/>
      <c r="S43" s="9"/>
    </row>
    <row r="44" spans="1:28" s="3" customFormat="1" ht="12" x14ac:dyDescent="0.25">
      <c r="B44" s="9"/>
      <c r="C44" s="9"/>
      <c r="D44" s="9"/>
      <c r="M44" s="9"/>
      <c r="N44" s="9"/>
      <c r="O44" s="9"/>
      <c r="P44" s="9"/>
      <c r="Q44" s="9"/>
      <c r="R44" s="9"/>
      <c r="S44" s="9"/>
    </row>
    <row r="45" spans="1:28" s="3" customFormat="1" ht="12" x14ac:dyDescent="0.25">
      <c r="B45" s="9"/>
      <c r="C45" s="9"/>
      <c r="D45" s="9"/>
      <c r="M45" s="9"/>
      <c r="N45" s="9"/>
      <c r="O45" s="9"/>
      <c r="P45" s="9"/>
      <c r="Q45" s="9"/>
      <c r="R45" s="9"/>
      <c r="S45" s="9"/>
    </row>
    <row r="46" spans="1:28" s="3" customFormat="1" ht="12" x14ac:dyDescent="0.25">
      <c r="B46" s="9"/>
      <c r="C46" s="9"/>
      <c r="D46" s="9"/>
      <c r="M46" s="9"/>
      <c r="N46" s="9"/>
      <c r="O46" s="9"/>
      <c r="P46" s="9"/>
      <c r="Q46" s="9"/>
      <c r="R46" s="9"/>
      <c r="S46" s="9"/>
    </row>
    <row r="47" spans="1:28" s="3" customFormat="1" ht="12" x14ac:dyDescent="0.25">
      <c r="B47" s="9"/>
      <c r="C47" s="9"/>
      <c r="D47" s="9"/>
      <c r="M47" s="9"/>
      <c r="N47" s="9"/>
      <c r="O47" s="9"/>
      <c r="P47" s="9"/>
      <c r="Q47" s="9"/>
      <c r="R47" s="9"/>
      <c r="S47" s="9"/>
    </row>
    <row r="48" spans="1:28" s="3" customFormat="1" ht="12" x14ac:dyDescent="0.25">
      <c r="B48" s="9"/>
      <c r="C48" s="9"/>
      <c r="D48" s="9"/>
      <c r="M48" s="9"/>
      <c r="N48" s="9"/>
      <c r="O48" s="9"/>
      <c r="P48" s="9"/>
      <c r="Q48" s="9"/>
      <c r="R48" s="9"/>
      <c r="S48" s="9"/>
    </row>
    <row r="49" spans="1:28" s="3" customFormat="1" ht="12" x14ac:dyDescent="0.25">
      <c r="B49" s="9"/>
      <c r="C49" s="9"/>
      <c r="D49" s="9"/>
      <c r="M49" s="9"/>
      <c r="N49" s="9"/>
      <c r="O49" s="9"/>
      <c r="P49" s="9"/>
      <c r="Q49" s="9"/>
      <c r="R49" s="9"/>
      <c r="S49" s="9"/>
    </row>
    <row r="50" spans="1:28" s="3" customFormat="1" ht="12" x14ac:dyDescent="0.25">
      <c r="B50" s="9"/>
      <c r="C50" s="9"/>
      <c r="D50" s="9"/>
      <c r="M50" s="9"/>
      <c r="N50" s="9"/>
      <c r="O50" s="9"/>
      <c r="P50" s="9"/>
      <c r="Q50" s="9"/>
      <c r="R50" s="9"/>
      <c r="S50" s="9"/>
    </row>
    <row r="51" spans="1:28" s="3" customFormat="1" ht="12" x14ac:dyDescent="0.25">
      <c r="B51" s="9"/>
      <c r="C51" s="9"/>
      <c r="D51" s="9"/>
      <c r="M51" s="9"/>
      <c r="N51" s="9"/>
      <c r="O51" s="9"/>
      <c r="P51" s="9"/>
      <c r="Q51" s="9"/>
      <c r="R51" s="9"/>
      <c r="S51" s="9"/>
    </row>
    <row r="52" spans="1:28" s="3" customFormat="1" ht="12" x14ac:dyDescent="0.25">
      <c r="B52" s="9"/>
      <c r="C52" s="9"/>
      <c r="D52" s="9"/>
      <c r="M52" s="9"/>
      <c r="N52" s="9"/>
      <c r="O52" s="9"/>
      <c r="P52" s="9"/>
      <c r="Q52" s="9"/>
      <c r="R52" s="9"/>
      <c r="S52" s="9"/>
    </row>
    <row r="53" spans="1:28" s="3" customFormat="1" ht="12" x14ac:dyDescent="0.25">
      <c r="B53" s="9"/>
      <c r="C53" s="9"/>
      <c r="D53" s="9"/>
      <c r="M53" s="9"/>
      <c r="N53" s="9"/>
      <c r="O53" s="9"/>
      <c r="P53" s="9"/>
      <c r="Q53" s="9"/>
      <c r="R53" s="9"/>
      <c r="S53" s="9"/>
    </row>
    <row r="54" spans="1:28" s="3" customFormat="1" ht="12" x14ac:dyDescent="0.25">
      <c r="B54" s="9"/>
      <c r="C54" s="9"/>
      <c r="D54" s="9"/>
      <c r="M54" s="9"/>
      <c r="N54" s="9"/>
      <c r="O54" s="9"/>
      <c r="P54" s="9"/>
      <c r="Q54" s="9"/>
      <c r="R54" s="9"/>
      <c r="S54" s="9"/>
    </row>
    <row r="55" spans="1:28" s="3" customFormat="1" ht="12" x14ac:dyDescent="0.25">
      <c r="B55" s="9"/>
      <c r="C55" s="9"/>
      <c r="D55" s="9"/>
      <c r="M55" s="9"/>
      <c r="N55" s="9"/>
      <c r="O55" s="9"/>
      <c r="P55" s="9"/>
      <c r="Q55" s="9"/>
      <c r="R55" s="9"/>
      <c r="S55" s="9"/>
    </row>
    <row r="56" spans="1:28" s="3" customFormat="1" ht="12" x14ac:dyDescent="0.25">
      <c r="B56" s="9"/>
      <c r="C56" s="9"/>
      <c r="D56" s="9"/>
      <c r="M56" s="9"/>
      <c r="N56" s="9"/>
      <c r="O56" s="9"/>
      <c r="P56" s="9"/>
      <c r="Q56" s="9"/>
      <c r="R56" s="9"/>
      <c r="S56" s="9"/>
    </row>
    <row r="57" spans="1:28" s="3" customFormat="1" ht="12" x14ac:dyDescent="0.25">
      <c r="B57" s="9"/>
      <c r="C57" s="9"/>
      <c r="D57" s="9"/>
      <c r="M57" s="9"/>
      <c r="N57" s="9"/>
      <c r="O57" s="9"/>
      <c r="P57" s="9"/>
      <c r="Q57" s="9"/>
      <c r="R57" s="9"/>
      <c r="S57" s="9"/>
    </row>
    <row r="58" spans="1:28" s="3" customFormat="1" ht="12" x14ac:dyDescent="0.25">
      <c r="B58" s="9"/>
      <c r="C58" s="9"/>
      <c r="D58" s="9"/>
      <c r="M58" s="9"/>
      <c r="N58" s="9"/>
      <c r="O58" s="9"/>
      <c r="P58" s="9"/>
      <c r="Q58" s="9"/>
      <c r="R58" s="9"/>
      <c r="S58" s="9"/>
    </row>
    <row r="59" spans="1:28" s="3" customFormat="1" ht="12" x14ac:dyDescent="0.25">
      <c r="B59" s="9"/>
      <c r="C59" s="9"/>
      <c r="D59" s="9"/>
      <c r="M59" s="9"/>
      <c r="N59" s="9"/>
      <c r="O59" s="9"/>
      <c r="P59" s="9"/>
      <c r="Q59" s="9"/>
      <c r="R59" s="9"/>
      <c r="S59" s="9"/>
    </row>
    <row r="60" spans="1:28" s="3" customFormat="1" ht="12" x14ac:dyDescent="0.25">
      <c r="B60" s="9"/>
      <c r="C60" s="9"/>
      <c r="D60" s="9"/>
      <c r="M60" s="9"/>
      <c r="N60" s="9"/>
      <c r="O60" s="9"/>
      <c r="P60" s="9"/>
      <c r="Q60" s="9"/>
      <c r="R60" s="9"/>
      <c r="S60" s="9"/>
    </row>
    <row r="61" spans="1:28" s="3" customFormat="1" ht="12" x14ac:dyDescent="0.25">
      <c r="B61" s="9"/>
      <c r="C61" s="9"/>
      <c r="D61" s="9"/>
      <c r="M61" s="9"/>
      <c r="N61" s="9"/>
      <c r="O61" s="9"/>
      <c r="P61" s="9"/>
      <c r="Q61" s="9"/>
      <c r="R61" s="9"/>
      <c r="S61" s="9"/>
    </row>
    <row r="62" spans="1:28" x14ac:dyDescent="0.25">
      <c r="A62" s="3"/>
      <c r="B62" s="9"/>
      <c r="C62" s="9"/>
      <c r="D62" s="9"/>
      <c r="E62" s="3"/>
      <c r="F62" s="3"/>
      <c r="G62" s="3"/>
      <c r="H62" s="3"/>
      <c r="I62" s="3"/>
      <c r="J62" s="3"/>
      <c r="K62" s="3"/>
      <c r="L62" s="3"/>
      <c r="M62" s="9"/>
      <c r="N62" s="9"/>
      <c r="O62" s="9"/>
      <c r="P62" s="9"/>
      <c r="Q62" s="9"/>
      <c r="R62" s="9"/>
      <c r="S62" s="9"/>
      <c r="T62" s="3"/>
      <c r="U62" s="3"/>
      <c r="V62" s="3"/>
      <c r="W62" s="3"/>
      <c r="X62" s="3"/>
      <c r="Y62" s="3"/>
      <c r="Z62" s="3"/>
      <c r="AA62" s="3"/>
      <c r="AB62" s="3"/>
    </row>
    <row r="63" spans="1:28" x14ac:dyDescent="0.25">
      <c r="A63" s="3"/>
      <c r="B63" s="9"/>
      <c r="C63" s="9"/>
      <c r="D63" s="9"/>
      <c r="E63" s="3"/>
      <c r="F63" s="3"/>
      <c r="G63" s="3"/>
      <c r="H63" s="3"/>
      <c r="I63" s="3"/>
      <c r="J63" s="3"/>
      <c r="K63" s="3"/>
      <c r="L63" s="3"/>
      <c r="M63" s="9"/>
      <c r="N63" s="9"/>
      <c r="O63" s="9"/>
      <c r="P63" s="9"/>
      <c r="Q63" s="9"/>
      <c r="R63" s="9"/>
      <c r="S63" s="9"/>
      <c r="T63" s="3"/>
      <c r="U63" s="3"/>
      <c r="V63" s="3"/>
      <c r="W63" s="3"/>
      <c r="X63" s="3"/>
      <c r="Y63" s="3"/>
      <c r="Z63" s="3"/>
      <c r="AA63" s="3"/>
      <c r="AB63" s="3"/>
    </row>
    <row r="64" spans="1:28" x14ac:dyDescent="0.25">
      <c r="A64" s="3"/>
      <c r="B64" s="9"/>
      <c r="C64" s="9"/>
      <c r="D64" s="9"/>
      <c r="E64" s="3"/>
      <c r="F64" s="3"/>
      <c r="G64" s="3"/>
      <c r="H64" s="3"/>
      <c r="I64" s="3"/>
      <c r="J64" s="3"/>
      <c r="K64" s="3"/>
      <c r="L64" s="3"/>
      <c r="M64" s="9"/>
      <c r="N64" s="9"/>
      <c r="O64" s="9"/>
      <c r="P64" s="9"/>
      <c r="Q64" s="9"/>
      <c r="R64" s="9"/>
      <c r="S64" s="9"/>
      <c r="T64" s="3"/>
      <c r="U64" s="3"/>
      <c r="V64" s="3"/>
      <c r="W64" s="3"/>
      <c r="X64" s="3"/>
      <c r="Y64" s="3"/>
      <c r="Z64" s="3"/>
      <c r="AA64" s="3"/>
      <c r="AB64" s="3"/>
    </row>
    <row r="65" spans="1:28" x14ac:dyDescent="0.25">
      <c r="A65" s="3"/>
      <c r="B65" s="9"/>
      <c r="C65" s="9"/>
      <c r="D65" s="9"/>
      <c r="E65" s="3"/>
      <c r="F65" s="3"/>
      <c r="G65" s="3"/>
      <c r="H65" s="3"/>
      <c r="I65" s="3"/>
      <c r="J65" s="3"/>
      <c r="K65" s="3"/>
      <c r="L65" s="3"/>
      <c r="M65" s="9"/>
      <c r="N65" s="9"/>
      <c r="O65" s="9"/>
      <c r="P65" s="9"/>
      <c r="Q65" s="9"/>
      <c r="R65" s="9"/>
      <c r="S65" s="9"/>
      <c r="T65" s="3"/>
      <c r="U65" s="3"/>
      <c r="V65" s="3"/>
      <c r="W65" s="3"/>
      <c r="X65" s="3"/>
      <c r="Y65" s="3"/>
      <c r="Z65" s="3"/>
      <c r="AA65" s="3"/>
      <c r="AB65" s="3"/>
    </row>
    <row r="66" spans="1:28" x14ac:dyDescent="0.25">
      <c r="A66" s="3"/>
      <c r="B66" s="9"/>
      <c r="C66" s="9"/>
      <c r="D66" s="9"/>
      <c r="E66" s="3"/>
      <c r="F66" s="3"/>
      <c r="G66" s="3"/>
      <c r="H66" s="3"/>
      <c r="I66" s="3"/>
      <c r="J66" s="3"/>
      <c r="K66" s="3"/>
      <c r="L66" s="3"/>
      <c r="M66" s="9"/>
      <c r="N66" s="9"/>
      <c r="O66" s="9"/>
      <c r="P66" s="9"/>
      <c r="Q66" s="9"/>
      <c r="R66" s="9"/>
      <c r="S66" s="9"/>
      <c r="T66" s="3"/>
      <c r="U66" s="3"/>
      <c r="V66" s="3"/>
      <c r="W66" s="3"/>
      <c r="X66" s="3"/>
      <c r="Y66" s="3"/>
      <c r="Z66" s="3"/>
      <c r="AA66" s="3"/>
      <c r="AB66" s="3"/>
    </row>
    <row r="67" spans="1:28" x14ac:dyDescent="0.25">
      <c r="A67" s="3"/>
      <c r="B67" s="9"/>
      <c r="C67" s="9"/>
      <c r="D67" s="9"/>
      <c r="E67" s="3"/>
      <c r="F67" s="3"/>
      <c r="G67" s="3"/>
      <c r="H67" s="3"/>
      <c r="I67" s="3"/>
      <c r="J67" s="3"/>
      <c r="K67" s="3"/>
      <c r="L67" s="3"/>
      <c r="M67" s="9"/>
      <c r="N67" s="9"/>
      <c r="O67" s="9"/>
      <c r="P67" s="9"/>
      <c r="Q67" s="9"/>
      <c r="R67" s="9"/>
      <c r="S67" s="9"/>
      <c r="T67" s="3"/>
      <c r="U67" s="3"/>
      <c r="V67" s="3"/>
      <c r="W67" s="3"/>
      <c r="X67" s="3"/>
      <c r="Y67" s="3"/>
      <c r="Z67" s="3"/>
      <c r="AA67" s="3"/>
      <c r="AB67" s="3"/>
    </row>
  </sheetData>
  <mergeCells count="11">
    <mergeCell ref="A33:U33"/>
    <mergeCell ref="A1:AB1"/>
    <mergeCell ref="A2:AB2"/>
    <mergeCell ref="A5:A7"/>
    <mergeCell ref="S5:X5"/>
    <mergeCell ref="AB5:AB7"/>
    <mergeCell ref="S6:X6"/>
    <mergeCell ref="B5:J5"/>
    <mergeCell ref="B6:J6"/>
    <mergeCell ref="K5:R5"/>
    <mergeCell ref="K6:R6"/>
  </mergeCells>
  <pageMargins left="0.38" right="0.17" top="0.41" bottom="0.27" header="0.3" footer="0.17"/>
  <pageSetup paperSize="9" scale="63" orientation="landscape" r:id="rId1"/>
  <ignoredErrors>
    <ignoredError sqref="C10:Q10 S10:Z10"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9.2</vt:lpstr>
      <vt:lpstr>'9.2'!Print_Area</vt:lpstr>
    </vt:vector>
  </TitlesOfParts>
  <Company>Department of National Planning</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f.shifaza</dc:creator>
  <cp:lastModifiedBy>Fathmath Shifaza</cp:lastModifiedBy>
  <cp:lastPrinted>2016-01-17T08:13:17Z</cp:lastPrinted>
  <dcterms:created xsi:type="dcterms:W3CDTF">2014-03-04T03:52:57Z</dcterms:created>
  <dcterms:modified xsi:type="dcterms:W3CDTF">2016-01-17T08:13:19Z</dcterms:modified>
</cp:coreProperties>
</file>