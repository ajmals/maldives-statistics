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4130" windowHeight="12255" tabRatio="898"/>
  </bookViews>
  <sheets>
    <sheet name="9.18" sheetId="22" r:id="rId1"/>
  </sheets>
  <definedNames>
    <definedName name="_xlnm.Print_Area" localSheetId="0">'9.18'!$A$1:$M$46</definedName>
  </definedNames>
  <calcPr calcId="144525"/>
</workbook>
</file>

<file path=xl/calcChain.xml><?xml version="1.0" encoding="utf-8"?>
<calcChain xmlns="http://schemas.openxmlformats.org/spreadsheetml/2006/main">
  <c r="F6" i="22" l="1"/>
  <c r="G6" i="22"/>
  <c r="H6" i="22"/>
  <c r="I6" i="22"/>
  <c r="J6" i="22"/>
  <c r="K6" i="22"/>
  <c r="L6" i="22"/>
  <c r="E6" i="22"/>
  <c r="AE32" i="22" l="1"/>
  <c r="AD32" i="22"/>
  <c r="AC32" i="22"/>
  <c r="AB32" i="22"/>
  <c r="AA32" i="22"/>
  <c r="Z32" i="22"/>
  <c r="Y32" i="22"/>
</calcChain>
</file>

<file path=xl/sharedStrings.xml><?xml version="1.0" encoding="utf-8"?>
<sst xmlns="http://schemas.openxmlformats.org/spreadsheetml/2006/main" count="55" uniqueCount="55">
  <si>
    <t>Total</t>
  </si>
  <si>
    <t>ޖުމްލަ</t>
  </si>
  <si>
    <t>-</t>
  </si>
  <si>
    <t>Agricultural crops</t>
  </si>
  <si>
    <t>ކަރާ</t>
  </si>
  <si>
    <t>ފަޅޯ</t>
  </si>
  <si>
    <t>ބަރަބޯ</t>
  </si>
  <si>
    <t>ކިއުކަމްބަރ</t>
  </si>
  <si>
    <t>ފަތްކެޔޮ</t>
  </si>
  <si>
    <t>ޗިޗަންޑާ</t>
  </si>
  <si>
    <t>ގިތެޔޮމިރުސް</t>
  </si>
  <si>
    <t>އަނބު</t>
  </si>
  <si>
    <t>(ރުފިޔާއިން )</t>
  </si>
  <si>
    <t>(Value in MVR)</t>
  </si>
  <si>
    <t>Banana &amp; Plaintain (Fresh)</t>
  </si>
  <si>
    <t>ބީންސް</t>
  </si>
  <si>
    <t>ފާގަ</t>
  </si>
  <si>
    <t>ކަދޫ</t>
  </si>
  <si>
    <t>ބަނބުކެޔޮ</t>
  </si>
  <si>
    <t>ދަނޑިއަލުވި</t>
  </si>
  <si>
    <t>މުރަނގަތޮޅި</t>
  </si>
  <si>
    <t>ފޭރު</t>
  </si>
  <si>
    <t>Lettuce, Fresh Or Chilled, (Excl. Cabbage Lettuce)</t>
  </si>
  <si>
    <t>ލެޓިއުސް</t>
  </si>
  <si>
    <t>Melons, Fresh, (Excl.Watermelons)</t>
  </si>
  <si>
    <t>މެލަން</t>
  </si>
  <si>
    <t>Papaws (Papayas), Fresh</t>
  </si>
  <si>
    <t>Passion Fruit (Fresh Or Dried )</t>
  </si>
  <si>
    <t>ފެޝަންފްރުޓް</t>
  </si>
  <si>
    <t>ސަބްދެލި</t>
  </si>
  <si>
    <t>ކައްޓަލަ</t>
  </si>
  <si>
    <t>Source: Maldives Customs Service</t>
  </si>
  <si>
    <t xml:space="preserve"> cswsivrWs cscmwTcswk cscviDclOM :ctWrwf ivcaedutWmUluAwm</t>
  </si>
  <si>
    <t>Bottle Gourd ( Fresh Or Chilled )</t>
  </si>
  <si>
    <t>ދަނޑުވެރިކަމުގެ ބާވަތްތަށް</t>
  </si>
  <si>
    <t>Beans, Fresh or Chilled</t>
  </si>
  <si>
    <t>Bitter Gourd ( Fresh or Chilled )</t>
  </si>
  <si>
    <t>Bread Fruit ( Fresh or Chilled)</t>
  </si>
  <si>
    <t>Cabbage ( Fresh or Chilled )</t>
  </si>
  <si>
    <t>ބޮނޑި ކޮޕީ</t>
  </si>
  <si>
    <t>Cabbage Lettuce, Fresh or Chilled</t>
  </si>
  <si>
    <t>ކެބެޖް ލެޓިއުސް</t>
  </si>
  <si>
    <t>Cassava &amp; Manioc ( Fresh , Chilled or Frozen )</t>
  </si>
  <si>
    <t>Chillies( Fresh or Chilled )</t>
  </si>
  <si>
    <t>Cucumber ( Fresh or Chilled )</t>
  </si>
  <si>
    <t>Drumstick ( Fresh or Chilled )</t>
  </si>
  <si>
    <t>Guava ( Fresh or Dried )</t>
  </si>
  <si>
    <t>Mango ( Fresh or Dried )</t>
  </si>
  <si>
    <t>Pumpkin ( Fresh or Chilled)</t>
  </si>
  <si>
    <t>Sapodila ( Fresh )</t>
  </si>
  <si>
    <t>Snake Gourd ( Fresh or Chilled )</t>
  </si>
  <si>
    <t>Sweet Potato ( Fresh , Chilled or Frozen )</t>
  </si>
  <si>
    <t>Watermelons, (Fresh)</t>
  </si>
  <si>
    <t>2014 - 2007 ,cawtctwvWb egumwkirevuDnwd Wdcawh cSokumcaWa iawgEjcaWr cniaeret egukwtctwvWb unuveruk cTrOpcmia cSwaejcaWr  : 9.17 ulwvWt</t>
  </si>
  <si>
    <t>Table 9.17:  IMPORTS OF FRESH AGRICULTURAL CROPS MAINLY PRODUCED IN MALDIVES FROM, 2007 - 2014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</si>
</sst>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General_)"/>
    <numFmt numFmtId="166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color indexed="8"/>
      <name val="Faruma"/>
    </font>
    <font>
      <sz val="11"/>
      <color indexed="8"/>
      <name val="Faruma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Faruma"/>
    </font>
    <font>
      <b/>
      <sz val="10"/>
      <color indexed="8"/>
      <name val="Calibri"/>
      <family val="2"/>
    </font>
    <font>
      <sz val="10"/>
      <name val="MS Sans Serif"/>
      <family val="2"/>
    </font>
    <font>
      <sz val="10"/>
      <name val="Calibri"/>
      <family val="2"/>
    </font>
    <font>
      <sz val="10"/>
      <name val="Calibri"/>
      <family val="2"/>
      <scheme val="minor"/>
    </font>
    <font>
      <i/>
      <sz val="9"/>
      <name val="Calibri"/>
      <family val="2"/>
    </font>
    <font>
      <sz val="9"/>
      <name val="A_Randhoo"/>
    </font>
    <font>
      <b/>
      <sz val="11"/>
      <name val="A_Randhoo"/>
    </font>
    <font>
      <sz val="9"/>
      <name val="Arial"/>
      <family val="2"/>
    </font>
    <font>
      <sz val="9"/>
      <name val="Calibri"/>
      <family val="2"/>
    </font>
    <font>
      <i/>
      <sz val="9"/>
      <name val="Arial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</borders>
  <cellStyleXfs count="8">
    <xf numFmtId="0" fontId="0" fillId="0" borderId="0"/>
    <xf numFmtId="40" fontId="9" fillId="0" borderId="0" applyFont="0" applyFill="0" applyBorder="0" applyAlignment="0" applyProtection="0"/>
    <xf numFmtId="164" fontId="1" fillId="0" borderId="0"/>
    <xf numFmtId="0" fontId="5" fillId="0" borderId="0"/>
    <xf numFmtId="164" fontId="1" fillId="0" borderId="0"/>
    <xf numFmtId="165" fontId="1" fillId="0" borderId="0"/>
    <xf numFmtId="0" fontId="1" fillId="0" borderId="0"/>
    <xf numFmtId="0" fontId="4" fillId="0" borderId="0"/>
  </cellStyleXfs>
  <cellXfs count="74">
    <xf numFmtId="0" fontId="0" fillId="0" borderId="0" xfId="0"/>
    <xf numFmtId="165" fontId="0" fillId="2" borderId="0" xfId="0" applyNumberFormat="1" applyFill="1"/>
    <xf numFmtId="165" fontId="5" fillId="2" borderId="2" xfId="3" applyNumberFormat="1" applyFill="1" applyBorder="1"/>
    <xf numFmtId="165" fontId="5" fillId="2" borderId="2" xfId="3" applyNumberFormat="1" applyFont="1" applyFill="1" applyBorder="1"/>
    <xf numFmtId="165" fontId="1" fillId="2" borderId="2" xfId="3" applyNumberFormat="1" applyFont="1" applyFill="1" applyBorder="1"/>
    <xf numFmtId="0" fontId="19" fillId="2" borderId="6" xfId="3" applyNumberFormat="1" applyFont="1" applyFill="1" applyBorder="1" applyAlignment="1">
      <alignment horizontal="left" vertical="center"/>
    </xf>
    <xf numFmtId="165" fontId="17" fillId="2" borderId="9" xfId="5" applyFont="1" applyFill="1" applyBorder="1" applyAlignment="1" applyProtection="1">
      <alignment horizontal="left" vertical="center"/>
    </xf>
    <xf numFmtId="165" fontId="12" fillId="2" borderId="9" xfId="5" applyFont="1" applyFill="1" applyBorder="1" applyAlignment="1" applyProtection="1">
      <alignment horizontal="left" vertical="center"/>
    </xf>
    <xf numFmtId="165" fontId="13" fillId="2" borderId="9" xfId="5" applyFont="1" applyFill="1" applyBorder="1" applyAlignment="1">
      <alignment horizontal="left" vertical="center" indent="1"/>
    </xf>
    <xf numFmtId="165" fontId="5" fillId="2" borderId="3" xfId="3" applyNumberFormat="1" applyFont="1" applyFill="1" applyBorder="1"/>
    <xf numFmtId="2" fontId="6" fillId="2" borderId="12" xfId="3" applyNumberFormat="1" applyFont="1" applyFill="1" applyBorder="1" applyAlignment="1">
      <alignment horizontal="left" vertical="center"/>
    </xf>
    <xf numFmtId="1" fontId="8" fillId="2" borderId="12" xfId="3" applyNumberFormat="1" applyFont="1" applyFill="1" applyBorder="1" applyAlignment="1">
      <alignment horizontal="center" vertical="center"/>
    </xf>
    <xf numFmtId="0" fontId="8" fillId="2" borderId="12" xfId="1" applyNumberFormat="1" applyFont="1" applyFill="1" applyBorder="1" applyAlignment="1">
      <alignment horizontal="right" vertical="center"/>
    </xf>
    <xf numFmtId="166" fontId="16" fillId="2" borderId="9" xfId="1" applyNumberFormat="1" applyFont="1" applyFill="1" applyBorder="1" applyAlignment="1">
      <alignment horizontal="right" vertical="center"/>
    </xf>
    <xf numFmtId="38" fontId="16" fillId="2" borderId="9" xfId="1" applyNumberFormat="1" applyFont="1" applyFill="1" applyBorder="1" applyAlignment="1">
      <alignment horizontal="right" vertical="center"/>
    </xf>
    <xf numFmtId="0" fontId="19" fillId="2" borderId="9" xfId="3" applyNumberFormat="1" applyFont="1" applyFill="1" applyBorder="1" applyAlignment="1">
      <alignment horizontal="left" vertical="center"/>
    </xf>
    <xf numFmtId="0" fontId="19" fillId="2" borderId="2" xfId="3" applyNumberFormat="1" applyFont="1" applyFill="1" applyBorder="1" applyAlignment="1">
      <alignment horizontal="left" vertical="center"/>
    </xf>
    <xf numFmtId="166" fontId="16" fillId="2" borderId="2" xfId="1" applyNumberFormat="1" applyFont="1" applyFill="1" applyBorder="1" applyAlignment="1">
      <alignment horizontal="right" vertical="center"/>
    </xf>
    <xf numFmtId="38" fontId="16" fillId="2" borderId="2" xfId="1" applyNumberFormat="1" applyFont="1" applyFill="1" applyBorder="1" applyAlignment="1">
      <alignment horizontal="right" vertical="center"/>
    </xf>
    <xf numFmtId="0" fontId="19" fillId="2" borderId="13" xfId="3" applyNumberFormat="1" applyFont="1" applyFill="1" applyBorder="1" applyAlignment="1">
      <alignment horizontal="left" vertical="center"/>
    </xf>
    <xf numFmtId="166" fontId="16" fillId="2" borderId="3" xfId="1" applyNumberFormat="1" applyFont="1" applyFill="1" applyBorder="1" applyAlignment="1">
      <alignment horizontal="right" vertical="center"/>
    </xf>
    <xf numFmtId="38" fontId="16" fillId="2" borderId="13" xfId="1" applyNumberFormat="1" applyFont="1" applyFill="1" applyBorder="1" applyAlignment="1">
      <alignment horizontal="right" vertical="center"/>
    </xf>
    <xf numFmtId="38" fontId="16" fillId="2" borderId="3" xfId="1" applyNumberFormat="1" applyFont="1" applyFill="1" applyBorder="1" applyAlignment="1">
      <alignment horizontal="right" vertical="center"/>
    </xf>
    <xf numFmtId="166" fontId="15" fillId="2" borderId="14" xfId="1" applyNumberFormat="1" applyFont="1" applyFill="1" applyBorder="1" applyAlignment="1">
      <alignment horizontal="right" vertical="center"/>
    </xf>
    <xf numFmtId="165" fontId="5" fillId="2" borderId="9" xfId="3" applyNumberFormat="1" applyFill="1" applyBorder="1"/>
    <xf numFmtId="38" fontId="10" fillId="2" borderId="9" xfId="1" applyNumberFormat="1" applyFont="1" applyFill="1" applyBorder="1" applyAlignment="1">
      <alignment horizontal="right" vertical="center"/>
    </xf>
    <xf numFmtId="38" fontId="10" fillId="2" borderId="4" xfId="1" applyNumberFormat="1" applyFont="1" applyFill="1" applyBorder="1" applyAlignment="1">
      <alignment horizontal="right" vertical="center"/>
    </xf>
    <xf numFmtId="38" fontId="10" fillId="2" borderId="0" xfId="1" applyNumberFormat="1" applyFont="1" applyFill="1" applyBorder="1" applyAlignment="1">
      <alignment horizontal="right" vertical="center"/>
    </xf>
    <xf numFmtId="38" fontId="10" fillId="2" borderId="2" xfId="1" applyNumberFormat="1" applyFont="1" applyFill="1" applyBorder="1" applyAlignment="1">
      <alignment horizontal="right" vertical="center"/>
    </xf>
    <xf numFmtId="38" fontId="10" fillId="2" borderId="6" xfId="1" applyNumberFormat="1" applyFont="1" applyFill="1" applyBorder="1" applyAlignment="1">
      <alignment horizontal="right" vertical="center"/>
    </xf>
    <xf numFmtId="38" fontId="10" fillId="2" borderId="3" xfId="1" applyNumberFormat="1" applyFont="1" applyFill="1" applyBorder="1" applyAlignment="1">
      <alignment horizontal="right" vertical="center"/>
    </xf>
    <xf numFmtId="38" fontId="10" fillId="2" borderId="7" xfId="1" applyNumberFormat="1" applyFont="1" applyFill="1" applyBorder="1" applyAlignment="1">
      <alignment horizontal="right" vertical="center"/>
    </xf>
    <xf numFmtId="38" fontId="10" fillId="2" borderId="1" xfId="1" applyNumberFormat="1" applyFont="1" applyFill="1" applyBorder="1" applyAlignment="1">
      <alignment horizontal="right" vertical="center"/>
    </xf>
    <xf numFmtId="0" fontId="19" fillId="0" borderId="2" xfId="3" applyNumberFormat="1" applyFont="1" applyFill="1" applyBorder="1" applyAlignment="1">
      <alignment horizontal="left" vertical="center"/>
    </xf>
    <xf numFmtId="166" fontId="16" fillId="0" borderId="2" xfId="1" applyNumberFormat="1" applyFont="1" applyFill="1" applyBorder="1" applyAlignment="1">
      <alignment horizontal="right" vertical="center"/>
    </xf>
    <xf numFmtId="38" fontId="16" fillId="0" borderId="2" xfId="1" applyNumberFormat="1" applyFont="1" applyFill="1" applyBorder="1" applyAlignment="1">
      <alignment horizontal="right" vertical="center"/>
    </xf>
    <xf numFmtId="38" fontId="10" fillId="0" borderId="2" xfId="1" applyNumberFormat="1" applyFont="1" applyFill="1" applyBorder="1" applyAlignment="1">
      <alignment horizontal="right" vertical="center"/>
    </xf>
    <xf numFmtId="38" fontId="10" fillId="0" borderId="6" xfId="1" applyNumberFormat="1" applyFont="1" applyFill="1" applyBorder="1" applyAlignment="1">
      <alignment horizontal="right" vertical="center"/>
    </xf>
    <xf numFmtId="0" fontId="19" fillId="0" borderId="6" xfId="3" applyNumberFormat="1" applyFont="1" applyFill="1" applyBorder="1" applyAlignment="1">
      <alignment horizontal="left" vertical="center"/>
    </xf>
    <xf numFmtId="38" fontId="10" fillId="3" borderId="0" xfId="1" applyNumberFormat="1" applyFont="1" applyFill="1" applyBorder="1" applyAlignment="1">
      <alignment horizontal="right" vertical="center"/>
    </xf>
    <xf numFmtId="165" fontId="1" fillId="2" borderId="6" xfId="3" applyNumberFormat="1" applyFont="1" applyFill="1" applyBorder="1"/>
    <xf numFmtId="165" fontId="5" fillId="2" borderId="5" xfId="3" applyNumberFormat="1" applyFill="1" applyBorder="1"/>
    <xf numFmtId="165" fontId="5" fillId="2" borderId="0" xfId="3" applyNumberFormat="1" applyFill="1" applyBorder="1"/>
    <xf numFmtId="2" fontId="6" fillId="2" borderId="0" xfId="3" applyNumberFormat="1" applyFont="1" applyFill="1" applyBorder="1" applyAlignment="1">
      <alignment horizontal="left" vertical="center"/>
    </xf>
    <xf numFmtId="1" fontId="8" fillId="2" borderId="15" xfId="3" applyNumberFormat="1" applyFont="1" applyFill="1" applyBorder="1" applyAlignment="1">
      <alignment horizontal="center" vertical="center"/>
    </xf>
    <xf numFmtId="0" fontId="8" fillId="2" borderId="15" xfId="1" applyNumberFormat="1" applyFont="1" applyFill="1" applyBorder="1" applyAlignment="1">
      <alignment horizontal="right" vertical="center"/>
    </xf>
    <xf numFmtId="38" fontId="6" fillId="2" borderId="15" xfId="1" applyNumberFormat="1" applyFont="1" applyFill="1" applyBorder="1" applyAlignment="1">
      <alignment horizontal="right" vertical="center"/>
    </xf>
    <xf numFmtId="1" fontId="11" fillId="2" borderId="0" xfId="0" applyNumberFormat="1" applyFont="1" applyFill="1" applyBorder="1" applyAlignment="1">
      <alignment horizontal="left" vertical="center"/>
    </xf>
    <xf numFmtId="0" fontId="6" fillId="2" borderId="12" xfId="1" applyNumberFormat="1" applyFont="1" applyFill="1" applyBorder="1" applyAlignment="1">
      <alignment horizontal="right" vertical="center"/>
    </xf>
    <xf numFmtId="0" fontId="14" fillId="2" borderId="6" xfId="7" applyFont="1" applyFill="1" applyBorder="1" applyAlignment="1">
      <alignment horizontal="center" vertical="center"/>
    </xf>
    <xf numFmtId="0" fontId="14" fillId="2" borderId="10" xfId="7" applyFont="1" applyFill="1" applyBorder="1" applyAlignment="1">
      <alignment horizontal="center" vertical="center"/>
    </xf>
    <xf numFmtId="0" fontId="14" fillId="2" borderId="5" xfId="7" applyFont="1" applyFill="1" applyBorder="1" applyAlignment="1">
      <alignment horizontal="center" vertical="center"/>
    </xf>
    <xf numFmtId="0" fontId="6" fillId="2" borderId="6" xfId="3" applyNumberFormat="1" applyFont="1" applyFill="1" applyBorder="1" applyAlignment="1">
      <alignment horizontal="center" vertical="center"/>
    </xf>
    <xf numFmtId="0" fontId="6" fillId="2" borderId="10" xfId="3" applyNumberFormat="1" applyFont="1" applyFill="1" applyBorder="1" applyAlignment="1">
      <alignment horizontal="center" vertical="center"/>
    </xf>
    <xf numFmtId="0" fontId="6" fillId="2" borderId="5" xfId="3" applyNumberFormat="1" applyFont="1" applyFill="1" applyBorder="1" applyAlignment="1">
      <alignment horizontal="center" vertical="center"/>
    </xf>
    <xf numFmtId="0" fontId="2" fillId="2" borderId="6" xfId="3" applyNumberFormat="1" applyFont="1" applyFill="1" applyBorder="1" applyAlignment="1">
      <alignment horizontal="center" vertical="center"/>
    </xf>
    <xf numFmtId="0" fontId="2" fillId="2" borderId="10" xfId="3" applyNumberFormat="1" applyFont="1" applyFill="1" applyBorder="1" applyAlignment="1">
      <alignment horizontal="center" vertical="center"/>
    </xf>
    <xf numFmtId="0" fontId="2" fillId="2" borderId="5" xfId="3" applyNumberFormat="1" applyFont="1" applyFill="1" applyBorder="1" applyAlignment="1">
      <alignment horizontal="center" vertical="center"/>
    </xf>
    <xf numFmtId="0" fontId="18" fillId="2" borderId="7" xfId="3" applyNumberFormat="1" applyFont="1" applyFill="1" applyBorder="1" applyAlignment="1">
      <alignment horizontal="center" vertical="center"/>
    </xf>
    <xf numFmtId="0" fontId="18" fillId="2" borderId="11" xfId="3" applyNumberFormat="1" applyFont="1" applyFill="1" applyBorder="1" applyAlignment="1">
      <alignment horizontal="center" vertical="center"/>
    </xf>
    <xf numFmtId="0" fontId="18" fillId="2" borderId="8" xfId="3" applyNumberFormat="1" applyFont="1" applyFill="1" applyBorder="1" applyAlignment="1">
      <alignment horizontal="center" vertical="center"/>
    </xf>
    <xf numFmtId="2" fontId="7" fillId="2" borderId="16" xfId="3" applyNumberFormat="1" applyFont="1" applyFill="1" applyBorder="1" applyAlignment="1">
      <alignment horizontal="right" vertical="center"/>
    </xf>
    <xf numFmtId="2" fontId="7" fillId="2" borderId="0" xfId="3" applyNumberFormat="1" applyFont="1" applyFill="1" applyBorder="1" applyAlignment="1">
      <alignment horizontal="right" vertical="center"/>
    </xf>
    <xf numFmtId="0" fontId="3" fillId="2" borderId="17" xfId="3" applyNumberFormat="1" applyFont="1" applyFill="1" applyBorder="1" applyAlignment="1">
      <alignment horizontal="right" vertical="center"/>
    </xf>
    <xf numFmtId="0" fontId="3" fillId="2" borderId="10" xfId="3" applyNumberFormat="1" applyFont="1" applyFill="1" applyBorder="1" applyAlignment="1">
      <alignment horizontal="right" vertical="center"/>
    </xf>
    <xf numFmtId="0" fontId="3" fillId="0" borderId="10" xfId="3" applyNumberFormat="1" applyFont="1" applyFill="1" applyBorder="1" applyAlignment="1">
      <alignment horizontal="right" vertical="center"/>
    </xf>
    <xf numFmtId="0" fontId="3" fillId="2" borderId="11" xfId="3" applyNumberFormat="1" applyFont="1" applyFill="1" applyBorder="1" applyAlignment="1">
      <alignment horizontal="right" vertical="center"/>
    </xf>
    <xf numFmtId="165" fontId="13" fillId="0" borderId="4" xfId="5" applyFont="1" applyBorder="1" applyAlignment="1">
      <alignment horizontal="right" vertical="center" indent="1"/>
    </xf>
    <xf numFmtId="165" fontId="5" fillId="2" borderId="5" xfId="3" applyNumberFormat="1" applyFont="1" applyFill="1" applyBorder="1"/>
    <xf numFmtId="165" fontId="5" fillId="2" borderId="18" xfId="3" applyNumberFormat="1" applyFont="1" applyFill="1" applyBorder="1"/>
    <xf numFmtId="165" fontId="5" fillId="2" borderId="0" xfId="3" applyNumberFormat="1" applyFont="1" applyFill="1" applyBorder="1"/>
    <xf numFmtId="165" fontId="0" fillId="2" borderId="0" xfId="0" applyNumberFormat="1" applyFill="1" applyBorder="1"/>
    <xf numFmtId="0" fontId="8" fillId="2" borderId="0" xfId="1" applyNumberFormat="1" applyFont="1" applyFill="1" applyBorder="1" applyAlignment="1">
      <alignment horizontal="right" vertical="center"/>
    </xf>
    <xf numFmtId="166" fontId="15" fillId="2" borderId="0" xfId="1" applyNumberFormat="1" applyFont="1" applyFill="1" applyBorder="1" applyAlignment="1">
      <alignment horizontal="right" vertical="center"/>
    </xf>
  </cellXfs>
  <cellStyles count="8">
    <cellStyle name="Comma 2" xfId="1"/>
    <cellStyle name="Normal" xfId="0" builtinId="0"/>
    <cellStyle name="Normal 2" xfId="6"/>
    <cellStyle name="Normal 3_agri planning 2009 year book(final)" xfId="4"/>
    <cellStyle name="Normal 4_agri planning 2009 year book(final)" xfId="2"/>
    <cellStyle name="Normal_agri planning 2009 year book(final)" xfId="3"/>
    <cellStyle name="Normal_Fish &amp;  Agri - 8" xfId="5"/>
    <cellStyle name="Normal_mmifco" xfId="7"/>
  </cellStyles>
  <dxfs count="0"/>
  <tableStyles count="0" defaultTableStyle="TableStyleMedium9" defaultPivotStyle="PivotStyleLight16"/>
  <colors>
    <mruColors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83688815168628"/>
          <c:y val="0.18298716597433196"/>
          <c:w val="0.84649662682275595"/>
          <c:h val="0.71617445457113138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'9.18'!$E$5:$L$5</c:f>
              <c:numCache>
                <c:formatCode>General</c:formatCode>
                <c:ptCount val="8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</c:numCache>
            </c:numRef>
          </c:cat>
          <c:val>
            <c:numRef>
              <c:f>'9.18'!$E$6:$L$6</c:f>
              <c:numCache>
                <c:formatCode>#,##0_);[Red]\(#,##0\)</c:formatCode>
                <c:ptCount val="8"/>
                <c:pt idx="0">
                  <c:v>124157655.14</c:v>
                </c:pt>
                <c:pt idx="1">
                  <c:v>139514468.76000002</c:v>
                </c:pt>
                <c:pt idx="2">
                  <c:v>138967571.32000002</c:v>
                </c:pt>
                <c:pt idx="3">
                  <c:v>152525995.08000001</c:v>
                </c:pt>
                <c:pt idx="4">
                  <c:v>186677281.71999997</c:v>
                </c:pt>
                <c:pt idx="5">
                  <c:v>240437873.07000005</c:v>
                </c:pt>
                <c:pt idx="6">
                  <c:v>276241360.56999999</c:v>
                </c:pt>
                <c:pt idx="7">
                  <c:v>302002607.58999997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axId val="52297728"/>
        <c:axId val="52299264"/>
      </c:barChart>
      <c:catAx>
        <c:axId val="5229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 sz="1050"/>
            </a:pPr>
            <a:endParaRPr lang="en-US"/>
          </a:p>
        </c:txPr>
        <c:crossAx val="52299264"/>
        <c:crosses val="autoZero"/>
        <c:auto val="0"/>
        <c:lblAlgn val="ctr"/>
        <c:lblOffset val="100"/>
        <c:tickLblSkip val="1"/>
        <c:noMultiLvlLbl val="0"/>
      </c:catAx>
      <c:valAx>
        <c:axId val="52299264"/>
        <c:scaling>
          <c:orientation val="minMax"/>
          <c:max val="35000000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 MVR</a:t>
                </a:r>
              </a:p>
            </c:rich>
          </c:tx>
          <c:layout>
            <c:manualLayout>
              <c:xMode val="edge"/>
              <c:yMode val="edge"/>
              <c:x val="0"/>
              <c:y val="0.3796795137449929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52297728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 orientation="landscape" horizontalDpi="1200" verticalDpi="12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1280160</xdr:colOff>
      <xdr:row>29</xdr:row>
      <xdr:rowOff>167640</xdr:rowOff>
    </xdr:from>
    <xdr:to>
      <xdr:col>11</xdr:col>
      <xdr:colOff>114301</xdr:colOff>
      <xdr:row>45</xdr:row>
      <xdr:rowOff>22860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2009775</xdr:colOff>
      <xdr:row>31</xdr:row>
      <xdr:rowOff>114298</xdr:rowOff>
    </xdr:from>
    <xdr:to>
      <xdr:col>10</xdr:col>
      <xdr:colOff>819149</xdr:colOff>
      <xdr:row>31</xdr:row>
      <xdr:rowOff>114299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2009775" y="7905748"/>
          <a:ext cx="6896099" cy="1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0.08562</cdr:x>
      <cdr:y>0.03084</cdr:y>
    </cdr:from>
    <cdr:to>
      <cdr:x>0.98423</cdr:x>
      <cdr:y>0.12927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72465" y="89535"/>
          <a:ext cx="7058025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9.7: Imports of fresh agricultural crops mainly produced in Maldives,  2007 - 2014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R34"/>
  <sheetViews>
    <sheetView tabSelected="1" zoomScaleNormal="100" workbookViewId="0">
      <selection activeCell="Q37" sqref="Q37"/>
    </sheetView>
  </sheetViews>
  <sheetFormatPr defaultColWidth="8.85546875" defaultRowHeight="15" x14ac:dyDescent="0.25"/>
  <cols>
    <col min="1" max="1" width="37.28515625" style="1" customWidth="1"/>
    <col min="2" max="4" width="0" style="1" hidden="1" customWidth="1"/>
    <col min="5" max="12" width="14" style="1" customWidth="1"/>
    <col min="13" max="13" width="20.7109375" style="1" customWidth="1"/>
    <col min="14" max="24" width="8.85546875" style="71"/>
    <col min="25" max="30" width="13.28515625" style="71" customWidth="1"/>
    <col min="31" max="31" width="12.85546875" style="71" customWidth="1"/>
    <col min="32" max="95" width="8.85546875" style="71"/>
    <col min="96" max="16384" width="8.85546875" style="1"/>
  </cols>
  <sheetData>
    <row r="1" spans="1:96" s="2" customFormat="1" ht="18" x14ac:dyDescent="0.25">
      <c r="A1" s="49" t="s">
        <v>53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  <c r="CP1" s="42"/>
      <c r="CQ1" s="42"/>
      <c r="CR1" s="41"/>
    </row>
    <row r="2" spans="1:96" s="3" customFormat="1" x14ac:dyDescent="0.25">
      <c r="A2" s="52" t="s">
        <v>54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4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  <c r="BM2" s="70"/>
      <c r="BN2" s="70"/>
      <c r="BO2" s="70"/>
      <c r="BP2" s="70"/>
      <c r="BQ2" s="70"/>
      <c r="BR2" s="70"/>
      <c r="BS2" s="70"/>
      <c r="BT2" s="70"/>
      <c r="BU2" s="70"/>
      <c r="BV2" s="70"/>
      <c r="BW2" s="70"/>
      <c r="BX2" s="70"/>
      <c r="BY2" s="70"/>
      <c r="BZ2" s="70"/>
      <c r="CA2" s="70"/>
      <c r="CB2" s="70"/>
      <c r="CC2" s="70"/>
      <c r="CD2" s="70"/>
      <c r="CE2" s="70"/>
      <c r="CF2" s="70"/>
      <c r="CG2" s="70"/>
      <c r="CH2" s="70"/>
      <c r="CI2" s="70"/>
      <c r="CJ2" s="70"/>
      <c r="CK2" s="70"/>
      <c r="CL2" s="70"/>
      <c r="CM2" s="70"/>
      <c r="CN2" s="70"/>
      <c r="CO2" s="70"/>
      <c r="CP2" s="70"/>
      <c r="CQ2" s="70"/>
      <c r="CR2" s="68"/>
    </row>
    <row r="3" spans="1:96" s="2" customFormat="1" ht="21" x14ac:dyDescent="0.25">
      <c r="A3" s="55" t="s">
        <v>12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7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2"/>
      <c r="BY3" s="42"/>
      <c r="BZ3" s="42"/>
      <c r="CA3" s="42"/>
      <c r="CB3" s="42"/>
      <c r="CC3" s="42"/>
      <c r="CD3" s="42"/>
      <c r="CE3" s="42"/>
      <c r="CF3" s="42"/>
      <c r="CG3" s="42"/>
      <c r="CH3" s="42"/>
      <c r="CI3" s="42"/>
      <c r="CJ3" s="42"/>
      <c r="CK3" s="42"/>
      <c r="CL3" s="42"/>
      <c r="CM3" s="42"/>
      <c r="CN3" s="42"/>
      <c r="CO3" s="42"/>
      <c r="CP3" s="42"/>
      <c r="CQ3" s="42"/>
      <c r="CR3" s="41"/>
    </row>
    <row r="4" spans="1:96" s="9" customFormat="1" x14ac:dyDescent="0.25">
      <c r="A4" s="58" t="s">
        <v>13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6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0"/>
      <c r="BL4" s="70"/>
      <c r="BM4" s="70"/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  <c r="CQ4" s="70"/>
      <c r="CR4" s="69"/>
    </row>
    <row r="5" spans="1:96" ht="18.75" x14ac:dyDescent="0.25">
      <c r="A5" s="10" t="s">
        <v>3</v>
      </c>
      <c r="B5" s="11">
        <v>2004</v>
      </c>
      <c r="C5" s="12">
        <v>2005</v>
      </c>
      <c r="D5" s="12">
        <v>2006</v>
      </c>
      <c r="E5" s="48">
        <v>2007</v>
      </c>
      <c r="F5" s="48">
        <v>2008</v>
      </c>
      <c r="G5" s="48">
        <v>2009</v>
      </c>
      <c r="H5" s="48">
        <v>2010</v>
      </c>
      <c r="I5" s="48">
        <v>2011</v>
      </c>
      <c r="J5" s="48">
        <v>2012</v>
      </c>
      <c r="K5" s="48">
        <v>2013</v>
      </c>
      <c r="L5" s="48">
        <v>2014</v>
      </c>
      <c r="M5" s="61" t="s">
        <v>34</v>
      </c>
    </row>
    <row r="6" spans="1:96" ht="18.75" x14ac:dyDescent="0.25">
      <c r="A6" s="43" t="s">
        <v>0</v>
      </c>
      <c r="B6" s="44"/>
      <c r="C6" s="45"/>
      <c r="D6" s="45"/>
      <c r="E6" s="46">
        <f>SUM(E7:E28)</f>
        <v>124157655.14</v>
      </c>
      <c r="F6" s="46">
        <f t="shared" ref="F6:L6" si="0">SUM(F7:F28)</f>
        <v>139514468.76000002</v>
      </c>
      <c r="G6" s="46">
        <f t="shared" si="0"/>
        <v>138967571.32000002</v>
      </c>
      <c r="H6" s="46">
        <f t="shared" si="0"/>
        <v>152525995.08000001</v>
      </c>
      <c r="I6" s="46">
        <f t="shared" si="0"/>
        <v>186677281.71999997</v>
      </c>
      <c r="J6" s="46">
        <f t="shared" si="0"/>
        <v>240437873.07000005</v>
      </c>
      <c r="K6" s="46">
        <f t="shared" si="0"/>
        <v>276241360.56999999</v>
      </c>
      <c r="L6" s="46">
        <f t="shared" si="0"/>
        <v>302002607.58999997</v>
      </c>
      <c r="M6" s="62" t="s">
        <v>1</v>
      </c>
    </row>
    <row r="7" spans="1:96" ht="21" x14ac:dyDescent="0.25">
      <c r="A7" s="47" t="s">
        <v>14</v>
      </c>
      <c r="B7" s="13">
        <v>2340187.54</v>
      </c>
      <c r="C7" s="14">
        <v>4353207.47</v>
      </c>
      <c r="D7" s="14">
        <v>5971510.5900000017</v>
      </c>
      <c r="E7" s="25">
        <v>9186127.7300000004</v>
      </c>
      <c r="F7" s="25">
        <v>10222597.130000001</v>
      </c>
      <c r="G7" s="26">
        <v>10914505.520000001</v>
      </c>
      <c r="H7" s="27">
        <v>9565295.6900000013</v>
      </c>
      <c r="I7" s="27">
        <v>8208515.330000001</v>
      </c>
      <c r="J7" s="27">
        <v>9803119.1999999993</v>
      </c>
      <c r="K7" s="27">
        <v>10544188.779999999</v>
      </c>
      <c r="L7" s="27">
        <v>12221744.27</v>
      </c>
      <c r="M7" s="63" t="s">
        <v>8</v>
      </c>
    </row>
    <row r="8" spans="1:96" ht="21" x14ac:dyDescent="0.25">
      <c r="A8" s="15" t="s">
        <v>35</v>
      </c>
      <c r="B8" s="13">
        <v>5253692.6100000013</v>
      </c>
      <c r="C8" s="14">
        <v>5897150.1499999994</v>
      </c>
      <c r="D8" s="14">
        <v>7663956.6500000004</v>
      </c>
      <c r="E8" s="25">
        <v>9351251.4799999986</v>
      </c>
      <c r="F8" s="25">
        <v>10560834.57</v>
      </c>
      <c r="G8" s="26">
        <v>9638860.4800000004</v>
      </c>
      <c r="H8" s="27">
        <v>10420582.950000003</v>
      </c>
      <c r="I8" s="27">
        <v>12881866.720000001</v>
      </c>
      <c r="J8" s="27">
        <v>16114005.610000001</v>
      </c>
      <c r="K8" s="27">
        <v>16944467.640000001</v>
      </c>
      <c r="L8" s="27">
        <v>18913407.449999996</v>
      </c>
      <c r="M8" s="63" t="s">
        <v>15</v>
      </c>
    </row>
    <row r="9" spans="1:96" ht="21" x14ac:dyDescent="0.25">
      <c r="A9" s="16" t="s">
        <v>36</v>
      </c>
      <c r="B9" s="17">
        <v>472839.29</v>
      </c>
      <c r="C9" s="18">
        <v>453832.12999999995</v>
      </c>
      <c r="D9" s="18">
        <v>567003.07000000007</v>
      </c>
      <c r="E9" s="28">
        <v>649414.05999999994</v>
      </c>
      <c r="F9" s="28">
        <v>730351.17000000016</v>
      </c>
      <c r="G9" s="29">
        <v>694977.35000000009</v>
      </c>
      <c r="H9" s="27">
        <v>701910.40999999992</v>
      </c>
      <c r="I9" s="27">
        <v>886022.04999999993</v>
      </c>
      <c r="J9" s="27">
        <v>1265551.76</v>
      </c>
      <c r="K9" s="27">
        <v>1722671.9</v>
      </c>
      <c r="L9" s="27">
        <v>2751398.1399999997</v>
      </c>
      <c r="M9" s="64" t="s">
        <v>16</v>
      </c>
    </row>
    <row r="10" spans="1:96" ht="21" x14ac:dyDescent="0.25">
      <c r="A10" s="38" t="s">
        <v>33</v>
      </c>
      <c r="B10" s="34"/>
      <c r="C10" s="35"/>
      <c r="D10" s="35"/>
      <c r="E10" s="36">
        <v>140772.37</v>
      </c>
      <c r="F10" s="36">
        <v>221507.22</v>
      </c>
      <c r="G10" s="37">
        <v>197557.13</v>
      </c>
      <c r="H10" s="39">
        <v>184438.58</v>
      </c>
      <c r="I10" s="39">
        <v>212049.50000000003</v>
      </c>
      <c r="J10" s="39">
        <v>242183.70999999996</v>
      </c>
      <c r="K10" s="39">
        <v>315563.79000000004</v>
      </c>
      <c r="L10" s="39">
        <v>422854.74999999994</v>
      </c>
      <c r="M10" s="65" t="s">
        <v>17</v>
      </c>
    </row>
    <row r="11" spans="1:96" ht="21" x14ac:dyDescent="0.25">
      <c r="A11" s="16" t="s">
        <v>37</v>
      </c>
      <c r="B11" s="17">
        <v>193843.9</v>
      </c>
      <c r="C11" s="18">
        <v>85321.63</v>
      </c>
      <c r="D11" s="18">
        <v>156191.29999999999</v>
      </c>
      <c r="E11" s="28">
        <v>167917.61</v>
      </c>
      <c r="F11" s="28">
        <v>163957.46</v>
      </c>
      <c r="G11" s="29">
        <v>125606.05999999998</v>
      </c>
      <c r="H11" s="27">
        <v>142053.00999999998</v>
      </c>
      <c r="I11" s="27">
        <v>167172.41999999995</v>
      </c>
      <c r="J11" s="27">
        <v>242183.70999999996</v>
      </c>
      <c r="K11" s="27">
        <v>216019.32</v>
      </c>
      <c r="L11" s="27">
        <v>274316.98999999993</v>
      </c>
      <c r="M11" s="64" t="s">
        <v>18</v>
      </c>
    </row>
    <row r="12" spans="1:96" ht="21" x14ac:dyDescent="0.25">
      <c r="A12" s="16" t="s">
        <v>38</v>
      </c>
      <c r="B12" s="17">
        <v>9370842.9100000001</v>
      </c>
      <c r="C12" s="18">
        <v>9688188.6599999983</v>
      </c>
      <c r="D12" s="18">
        <v>12183299.75</v>
      </c>
      <c r="E12" s="28">
        <v>16012397.759999998</v>
      </c>
      <c r="F12" s="28">
        <v>18771583.300000001</v>
      </c>
      <c r="G12" s="29">
        <v>16539779.93</v>
      </c>
      <c r="H12" s="27">
        <v>21091625.539999995</v>
      </c>
      <c r="I12" s="27">
        <v>24953041.329999994</v>
      </c>
      <c r="J12" s="27">
        <v>205739.85</v>
      </c>
      <c r="K12" s="27">
        <v>34419388.659999996</v>
      </c>
      <c r="L12" s="27">
        <v>39517745.910000004</v>
      </c>
      <c r="M12" s="64" t="s">
        <v>39</v>
      </c>
    </row>
    <row r="13" spans="1:96" ht="21" x14ac:dyDescent="0.25">
      <c r="A13" s="33" t="s">
        <v>40</v>
      </c>
      <c r="B13" s="34">
        <v>7091</v>
      </c>
      <c r="C13" s="35">
        <v>2106.66</v>
      </c>
      <c r="D13" s="35">
        <v>3462.7700000000004</v>
      </c>
      <c r="E13" s="36">
        <v>5091.1799999999994</v>
      </c>
      <c r="F13" s="36" t="s">
        <v>2</v>
      </c>
      <c r="G13" s="37">
        <v>35000.94</v>
      </c>
      <c r="H13" s="39">
        <v>7178.71</v>
      </c>
      <c r="I13" s="39">
        <v>3121.3</v>
      </c>
      <c r="J13" s="39">
        <v>31059084.560000002</v>
      </c>
      <c r="K13" s="39">
        <v>8533.4</v>
      </c>
      <c r="L13" s="39">
        <v>38324.959999999999</v>
      </c>
      <c r="M13" s="65" t="s">
        <v>41</v>
      </c>
    </row>
    <row r="14" spans="1:96" ht="21" x14ac:dyDescent="0.25">
      <c r="A14" s="16" t="s">
        <v>42</v>
      </c>
      <c r="B14" s="17">
        <v>107034.25</v>
      </c>
      <c r="C14" s="18">
        <v>112095.99</v>
      </c>
      <c r="D14" s="18">
        <v>135623.41999999998</v>
      </c>
      <c r="E14" s="28">
        <v>158743.48000000001</v>
      </c>
      <c r="F14" s="28">
        <v>225975.84999999998</v>
      </c>
      <c r="G14" s="29">
        <v>9698651.6900000013</v>
      </c>
      <c r="H14" s="27">
        <v>453088.82999999996</v>
      </c>
      <c r="I14" s="27">
        <v>572177.88</v>
      </c>
      <c r="J14" s="27">
        <v>744433.48</v>
      </c>
      <c r="K14" s="27">
        <v>973391.22</v>
      </c>
      <c r="L14" s="27">
        <v>1082982.1000000001</v>
      </c>
      <c r="M14" s="64" t="s">
        <v>19</v>
      </c>
    </row>
    <row r="15" spans="1:96" ht="21" x14ac:dyDescent="0.25">
      <c r="A15" s="16" t="s">
        <v>43</v>
      </c>
      <c r="B15" s="17">
        <v>9024608.370000001</v>
      </c>
      <c r="C15" s="18">
        <v>6704070.9299999997</v>
      </c>
      <c r="D15" s="18">
        <v>5825255.79</v>
      </c>
      <c r="E15" s="28">
        <v>6565322.6099999994</v>
      </c>
      <c r="F15" s="28">
        <v>6624316.0900000008</v>
      </c>
      <c r="G15" s="29">
        <v>353449.59</v>
      </c>
      <c r="H15" s="27">
        <v>8314822.9299999997</v>
      </c>
      <c r="I15" s="27">
        <v>8237328.3600000003</v>
      </c>
      <c r="J15" s="27">
        <v>11602621.949999999</v>
      </c>
      <c r="K15" s="27">
        <v>14107847.99</v>
      </c>
      <c r="L15" s="27">
        <v>15756571.040000003</v>
      </c>
      <c r="M15" s="64" t="s">
        <v>10</v>
      </c>
    </row>
    <row r="16" spans="1:96" ht="21" x14ac:dyDescent="0.25">
      <c r="A16" s="16" t="s">
        <v>44</v>
      </c>
      <c r="B16" s="17">
        <v>3770461.5500000003</v>
      </c>
      <c r="C16" s="18">
        <v>3196030.07</v>
      </c>
      <c r="D16" s="18">
        <v>5097044.41</v>
      </c>
      <c r="E16" s="28">
        <v>5530400.4299999997</v>
      </c>
      <c r="F16" s="28">
        <v>6677085.1700000009</v>
      </c>
      <c r="G16" s="29">
        <v>6877402.4999999991</v>
      </c>
      <c r="H16" s="27">
        <v>8090937.7400000002</v>
      </c>
      <c r="I16" s="27">
        <v>10057549.610000001</v>
      </c>
      <c r="J16" s="27">
        <v>12031737.810000001</v>
      </c>
      <c r="K16" s="27">
        <v>12840202.800000001</v>
      </c>
      <c r="L16" s="27">
        <v>14509431</v>
      </c>
      <c r="M16" s="64" t="s">
        <v>7</v>
      </c>
    </row>
    <row r="17" spans="1:31" ht="21" x14ac:dyDescent="0.25">
      <c r="A17" s="16" t="s">
        <v>45</v>
      </c>
      <c r="B17" s="17">
        <v>520243.23</v>
      </c>
      <c r="C17" s="18">
        <v>603380.77</v>
      </c>
      <c r="D17" s="18">
        <v>641229.42000000004</v>
      </c>
      <c r="E17" s="28">
        <v>988969.3</v>
      </c>
      <c r="F17" s="28">
        <v>1682540.14</v>
      </c>
      <c r="G17" s="29">
        <v>6945906.3300000019</v>
      </c>
      <c r="H17" s="27">
        <v>1233072.77</v>
      </c>
      <c r="I17" s="27">
        <v>1066722.48</v>
      </c>
      <c r="J17" s="27">
        <v>2348941.8000000003</v>
      </c>
      <c r="K17" s="27">
        <v>2256028.5699999998</v>
      </c>
      <c r="L17" s="27">
        <v>2903471.7900000005</v>
      </c>
      <c r="M17" s="64" t="s">
        <v>20</v>
      </c>
    </row>
    <row r="18" spans="1:31" ht="21" x14ac:dyDescent="0.25">
      <c r="A18" s="16" t="s">
        <v>46</v>
      </c>
      <c r="B18" s="17">
        <v>1644428.39</v>
      </c>
      <c r="C18" s="18">
        <v>1952084.6600000001</v>
      </c>
      <c r="D18" s="18">
        <v>3238641.18</v>
      </c>
      <c r="E18" s="28">
        <v>4379361.7</v>
      </c>
      <c r="F18" s="28">
        <v>5366331</v>
      </c>
      <c r="G18" s="29">
        <v>1203917.1500000001</v>
      </c>
      <c r="H18" s="27">
        <v>7096746.7299999995</v>
      </c>
      <c r="I18" s="27">
        <v>7876798.540000001</v>
      </c>
      <c r="J18" s="27">
        <v>9320034.2699999996</v>
      </c>
      <c r="K18" s="27">
        <v>11549591.65</v>
      </c>
      <c r="L18" s="27">
        <v>13917414.25</v>
      </c>
      <c r="M18" s="64" t="s">
        <v>21</v>
      </c>
    </row>
    <row r="19" spans="1:31" ht="21" x14ac:dyDescent="0.25">
      <c r="A19" s="16" t="s">
        <v>22</v>
      </c>
      <c r="B19" s="17">
        <v>13252507.550000001</v>
      </c>
      <c r="C19" s="18">
        <v>10945615.310000001</v>
      </c>
      <c r="D19" s="18">
        <v>16890414.390000001</v>
      </c>
      <c r="E19" s="28">
        <v>22282333.25</v>
      </c>
      <c r="F19" s="28">
        <v>26689632.060000002</v>
      </c>
      <c r="G19" s="29">
        <v>5128235.8900000006</v>
      </c>
      <c r="H19" s="27">
        <v>30713304.309999999</v>
      </c>
      <c r="I19" s="27">
        <v>38567912.43</v>
      </c>
      <c r="J19" s="27">
        <v>43682263.599999994</v>
      </c>
      <c r="K19" s="27">
        <v>46837434.590000004</v>
      </c>
      <c r="L19" s="27">
        <v>43389494.639999978</v>
      </c>
      <c r="M19" s="64" t="s">
        <v>23</v>
      </c>
    </row>
    <row r="20" spans="1:31" ht="21" x14ac:dyDescent="0.25">
      <c r="A20" s="16" t="s">
        <v>47</v>
      </c>
      <c r="B20" s="17">
        <v>8014517.459999999</v>
      </c>
      <c r="C20" s="18">
        <v>7672237.5300000003</v>
      </c>
      <c r="D20" s="18">
        <v>12128347.68</v>
      </c>
      <c r="E20" s="28">
        <v>17540919.280000001</v>
      </c>
      <c r="F20" s="28">
        <v>18816963.830000002</v>
      </c>
      <c r="G20" s="29">
        <v>25294434.710000001</v>
      </c>
      <c r="H20" s="27">
        <v>23921606.66</v>
      </c>
      <c r="I20" s="27">
        <v>29593257.960000001</v>
      </c>
      <c r="J20" s="27">
        <v>38076891.210000001</v>
      </c>
      <c r="K20" s="27">
        <v>41692653.950000003</v>
      </c>
      <c r="L20" s="27">
        <v>47096171.509999998</v>
      </c>
      <c r="M20" s="64" t="s">
        <v>11</v>
      </c>
    </row>
    <row r="21" spans="1:31" ht="21" x14ac:dyDescent="0.25">
      <c r="A21" s="16" t="s">
        <v>24</v>
      </c>
      <c r="B21" s="17">
        <v>14404350.539999999</v>
      </c>
      <c r="C21" s="18">
        <v>11541996.800000001</v>
      </c>
      <c r="D21" s="18">
        <v>15860763.210000001</v>
      </c>
      <c r="E21" s="28">
        <v>20417482.259999998</v>
      </c>
      <c r="F21" s="28">
        <v>22454537.780000001</v>
      </c>
      <c r="G21" s="29">
        <v>20263318.09</v>
      </c>
      <c r="H21" s="27">
        <v>22666380.100000001</v>
      </c>
      <c r="I21" s="27">
        <v>31428572.249999996</v>
      </c>
      <c r="J21" s="27">
        <v>35933620.75</v>
      </c>
      <c r="K21" s="27">
        <v>49499892.689999998</v>
      </c>
      <c r="L21" s="27">
        <v>45159790.809999995</v>
      </c>
      <c r="M21" s="64" t="s">
        <v>25</v>
      </c>
    </row>
    <row r="22" spans="1:31" ht="21" x14ac:dyDescent="0.25">
      <c r="A22" s="16" t="s">
        <v>26</v>
      </c>
      <c r="B22" s="17">
        <v>2132675.79</v>
      </c>
      <c r="C22" s="18">
        <v>1839575.63</v>
      </c>
      <c r="D22" s="18">
        <v>2908270.83</v>
      </c>
      <c r="E22" s="28">
        <v>3103113.31</v>
      </c>
      <c r="F22" s="28">
        <v>2613278.67</v>
      </c>
      <c r="G22" s="29">
        <v>17419181.41</v>
      </c>
      <c r="H22" s="27">
        <v>1548912.45</v>
      </c>
      <c r="I22" s="27">
        <v>1781634.59</v>
      </c>
      <c r="J22" s="27">
        <v>2707532.08</v>
      </c>
      <c r="K22" s="27">
        <v>3021880.47</v>
      </c>
      <c r="L22" s="27">
        <v>3760516.94</v>
      </c>
      <c r="M22" s="64" t="s">
        <v>5</v>
      </c>
    </row>
    <row r="23" spans="1:31" ht="21" x14ac:dyDescent="0.25">
      <c r="A23" s="5" t="s">
        <v>27</v>
      </c>
      <c r="B23" s="17">
        <v>97248.69</v>
      </c>
      <c r="C23" s="18">
        <v>147982.63999999998</v>
      </c>
      <c r="D23" s="18">
        <v>144277.71</v>
      </c>
      <c r="E23" s="28">
        <v>224579.08</v>
      </c>
      <c r="F23" s="28">
        <v>445062.10000000003</v>
      </c>
      <c r="G23" s="29">
        <v>1700332.1999999997</v>
      </c>
      <c r="H23" s="27">
        <v>500471.81</v>
      </c>
      <c r="I23" s="27">
        <v>584059.04</v>
      </c>
      <c r="J23" s="27">
        <v>9800926.6500000004</v>
      </c>
      <c r="K23" s="27">
        <v>10996014.18</v>
      </c>
      <c r="L23" s="27">
        <v>12534411.449999999</v>
      </c>
      <c r="M23" s="64" t="s">
        <v>28</v>
      </c>
    </row>
    <row r="24" spans="1:31" ht="21" x14ac:dyDescent="0.25">
      <c r="A24" s="16" t="s">
        <v>48</v>
      </c>
      <c r="B24" s="17">
        <v>1117418.3200000003</v>
      </c>
      <c r="C24" s="18">
        <v>969216.53000000014</v>
      </c>
      <c r="D24" s="18">
        <v>1302660.54</v>
      </c>
      <c r="E24" s="28">
        <v>1426940.7800000003</v>
      </c>
      <c r="F24" s="28">
        <v>1714594.3400000003</v>
      </c>
      <c r="G24" s="29">
        <v>1449725.25</v>
      </c>
      <c r="H24" s="27">
        <v>1946672.81</v>
      </c>
      <c r="I24" s="27">
        <v>1819631.04</v>
      </c>
      <c r="J24" s="27">
        <v>2373623.81</v>
      </c>
      <c r="K24" s="27">
        <v>3577389.12</v>
      </c>
      <c r="L24" s="27">
        <v>3163815.42</v>
      </c>
      <c r="M24" s="64" t="s">
        <v>6</v>
      </c>
    </row>
    <row r="25" spans="1:31" ht="21" x14ac:dyDescent="0.25">
      <c r="A25" s="16" t="s">
        <v>49</v>
      </c>
      <c r="B25" s="17">
        <v>42993.89</v>
      </c>
      <c r="C25" s="18">
        <v>77312.12</v>
      </c>
      <c r="D25" s="18">
        <v>154444.5</v>
      </c>
      <c r="E25" s="28">
        <v>274345.99</v>
      </c>
      <c r="F25" s="28">
        <v>261515.10999999996</v>
      </c>
      <c r="G25" s="29">
        <v>150216.1</v>
      </c>
      <c r="H25" s="27">
        <v>244785.31</v>
      </c>
      <c r="I25" s="27">
        <v>479252.67000000004</v>
      </c>
      <c r="J25" s="27">
        <v>393201.31</v>
      </c>
      <c r="K25" s="27">
        <v>545938.93999999994</v>
      </c>
      <c r="L25" s="27">
        <v>480351.89</v>
      </c>
      <c r="M25" s="64" t="s">
        <v>29</v>
      </c>
    </row>
    <row r="26" spans="1:31" ht="21" x14ac:dyDescent="0.25">
      <c r="A26" s="16" t="s">
        <v>50</v>
      </c>
      <c r="B26" s="17">
        <v>674508.08</v>
      </c>
      <c r="C26" s="18">
        <v>562123.29</v>
      </c>
      <c r="D26" s="18">
        <v>692821.38</v>
      </c>
      <c r="E26" s="28">
        <v>846663.09</v>
      </c>
      <c r="F26" s="28">
        <v>854302.95</v>
      </c>
      <c r="G26" s="29">
        <v>625504.54999999993</v>
      </c>
      <c r="H26" s="27">
        <v>652230.76</v>
      </c>
      <c r="I26" s="27">
        <v>682894.51000000013</v>
      </c>
      <c r="J26" s="27">
        <v>886886.56</v>
      </c>
      <c r="K26" s="27">
        <v>906720.42</v>
      </c>
      <c r="L26" s="27">
        <v>1068217.42</v>
      </c>
      <c r="M26" s="64" t="s">
        <v>9</v>
      </c>
    </row>
    <row r="27" spans="1:31" ht="21" x14ac:dyDescent="0.25">
      <c r="A27" s="16" t="s">
        <v>51</v>
      </c>
      <c r="B27" s="17">
        <v>839979.55999999994</v>
      </c>
      <c r="C27" s="18">
        <v>1116296</v>
      </c>
      <c r="D27" s="18">
        <v>1461620.8499999999</v>
      </c>
      <c r="E27" s="28">
        <v>1566034.5299999998</v>
      </c>
      <c r="F27" s="28">
        <v>1816212.78</v>
      </c>
      <c r="G27" s="29">
        <v>1619569.2299999997</v>
      </c>
      <c r="H27" s="27">
        <v>13590.05</v>
      </c>
      <c r="I27" s="27">
        <v>2267009.66</v>
      </c>
      <c r="J27" s="27">
        <v>2053134.65</v>
      </c>
      <c r="K27" s="27">
        <v>2496719.4900000002</v>
      </c>
      <c r="L27" s="27">
        <v>4039323.37</v>
      </c>
      <c r="M27" s="64" t="s">
        <v>30</v>
      </c>
    </row>
    <row r="28" spans="1:31" ht="21" x14ac:dyDescent="0.25">
      <c r="A28" s="19" t="s">
        <v>52</v>
      </c>
      <c r="B28" s="20">
        <v>2301929.9700000002</v>
      </c>
      <c r="C28" s="21">
        <v>1444734.3499999999</v>
      </c>
      <c r="D28" s="22">
        <v>3913484.5</v>
      </c>
      <c r="E28" s="30">
        <v>3339473.86</v>
      </c>
      <c r="F28" s="30">
        <v>2601290.04</v>
      </c>
      <c r="G28" s="31">
        <v>2091439.2199999997</v>
      </c>
      <c r="H28" s="32">
        <v>3016286.9299999997</v>
      </c>
      <c r="I28" s="32">
        <v>4350692.05</v>
      </c>
      <c r="J28" s="32">
        <v>9550154.7400000002</v>
      </c>
      <c r="K28" s="32">
        <v>10768821</v>
      </c>
      <c r="L28" s="32">
        <v>19000851.489999998</v>
      </c>
      <c r="M28" s="66" t="s">
        <v>4</v>
      </c>
    </row>
    <row r="29" spans="1:31" x14ac:dyDescent="0.25">
      <c r="A29" s="7" t="s">
        <v>31</v>
      </c>
      <c r="B29" s="23"/>
      <c r="C29" s="24"/>
      <c r="D29" s="23"/>
      <c r="E29" s="23"/>
      <c r="F29" s="23"/>
      <c r="G29" s="2"/>
      <c r="I29" s="4"/>
      <c r="K29" s="8"/>
      <c r="L29" s="2"/>
      <c r="M29" s="67" t="s">
        <v>32</v>
      </c>
      <c r="Y29" s="42"/>
      <c r="Z29" s="42"/>
      <c r="AA29" s="42"/>
      <c r="AB29" s="42"/>
      <c r="AC29" s="42"/>
      <c r="AD29" s="42"/>
      <c r="AE29" s="42"/>
    </row>
    <row r="30" spans="1:31" x14ac:dyDescent="0.25">
      <c r="A30" s="6"/>
      <c r="B30" s="6"/>
      <c r="C30" s="4"/>
      <c r="D30" s="4"/>
      <c r="E30" s="4"/>
      <c r="F30" s="4"/>
      <c r="G30" s="4"/>
      <c r="H30" s="4"/>
      <c r="I30" s="4"/>
      <c r="J30" s="4"/>
      <c r="K30" s="4"/>
      <c r="L30" s="4"/>
      <c r="M30" s="40"/>
      <c r="Y30" s="42"/>
      <c r="Z30" s="42"/>
      <c r="AA30" s="42"/>
      <c r="AB30" s="42"/>
      <c r="AC30" s="42"/>
      <c r="AD30" s="42"/>
      <c r="AE30" s="42"/>
    </row>
    <row r="31" spans="1:31" x14ac:dyDescent="0.25">
      <c r="Y31" s="72">
        <v>2007</v>
      </c>
      <c r="Z31" s="72">
        <v>2008</v>
      </c>
      <c r="AA31" s="72">
        <v>2009</v>
      </c>
      <c r="AB31" s="72">
        <v>2010</v>
      </c>
      <c r="AC31" s="72">
        <v>2011</v>
      </c>
      <c r="AD31" s="72">
        <v>2012</v>
      </c>
      <c r="AE31" s="42">
        <v>2013</v>
      </c>
    </row>
    <row r="32" spans="1:31" x14ac:dyDescent="0.25">
      <c r="Y32" s="73">
        <f t="shared" ref="Y32:AE32" si="1">SUM(E7:E28)</f>
        <v>124157655.14</v>
      </c>
      <c r="Z32" s="73">
        <f t="shared" si="1"/>
        <v>139514468.76000002</v>
      </c>
      <c r="AA32" s="73">
        <f t="shared" si="1"/>
        <v>138967571.32000002</v>
      </c>
      <c r="AB32" s="73">
        <f t="shared" si="1"/>
        <v>152525995.08000001</v>
      </c>
      <c r="AC32" s="73">
        <f t="shared" si="1"/>
        <v>186677281.71999997</v>
      </c>
      <c r="AD32" s="73">
        <f t="shared" si="1"/>
        <v>240437873.07000005</v>
      </c>
      <c r="AE32" s="73">
        <f t="shared" si="1"/>
        <v>276241360.56999999</v>
      </c>
    </row>
    <row r="33" spans="25:31" x14ac:dyDescent="0.25">
      <c r="Y33" s="42"/>
      <c r="Z33" s="42"/>
      <c r="AA33" s="42"/>
      <c r="AB33" s="42"/>
      <c r="AC33" s="42"/>
      <c r="AD33" s="42"/>
      <c r="AE33" s="42"/>
    </row>
    <row r="34" spans="25:31" x14ac:dyDescent="0.25">
      <c r="Y34" s="42"/>
      <c r="Z34" s="42"/>
      <c r="AA34" s="42"/>
      <c r="AB34" s="42"/>
      <c r="AC34" s="42"/>
      <c r="AD34" s="42"/>
      <c r="AE34" s="42"/>
    </row>
  </sheetData>
  <mergeCells count="4">
    <mergeCell ref="A1:M1"/>
    <mergeCell ref="A2:M2"/>
    <mergeCell ref="A3:M3"/>
    <mergeCell ref="A4:M4"/>
  </mergeCells>
  <pageMargins left="0.25" right="0.25" top="0.75" bottom="0.75" header="0.3" footer="0.3"/>
  <pageSetup paperSize="9" scale="60" orientation="landscape" r:id="rId1"/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9.18</vt:lpstr>
      <vt:lpstr>'9.18'!Print_Area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2016-01-17T07:56:55Z</cp:lastPrinted>
  <dcterms:created xsi:type="dcterms:W3CDTF">2014-03-04T03:52:57Z</dcterms:created>
  <dcterms:modified xsi:type="dcterms:W3CDTF">2016-01-17T07:57:11Z</dcterms:modified>
</cp:coreProperties>
</file>