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4130" windowHeight="12255" tabRatio="898"/>
  </bookViews>
  <sheets>
    <sheet name="9.4" sheetId="9" r:id="rId1"/>
  </sheets>
  <definedNames>
    <definedName name="_xlnm.Print_Area" localSheetId="0">'9.4'!$A$1:$V$44</definedName>
  </definedNames>
  <calcPr calcId="144525"/>
</workbook>
</file>

<file path=xl/calcChain.xml><?xml version="1.0" encoding="utf-8"?>
<calcChain xmlns="http://schemas.openxmlformats.org/spreadsheetml/2006/main">
  <c r="U11" i="9" l="1"/>
  <c r="U14" i="9" l="1"/>
  <c r="AW10" i="9" s="1"/>
  <c r="AW7" i="9"/>
  <c r="U10" i="9"/>
  <c r="U22" i="9" l="1"/>
  <c r="AW18" i="9" s="1"/>
  <c r="U21" i="9"/>
  <c r="AW17" i="9" s="1"/>
  <c r="U20" i="9"/>
  <c r="AW16" i="9" s="1"/>
  <c r="U19" i="9"/>
  <c r="AW15" i="9" s="1"/>
  <c r="U18" i="9"/>
  <c r="AW14" i="9" s="1"/>
  <c r="U17" i="9"/>
  <c r="AW13" i="9" s="1"/>
  <c r="U16" i="9"/>
  <c r="AW12" i="9" s="1"/>
  <c r="U15" i="9"/>
  <c r="AW11" i="9" s="1"/>
  <c r="U13" i="9"/>
  <c r="AW9" i="9" s="1"/>
  <c r="U12" i="9"/>
  <c r="AW8" i="9" s="1"/>
  <c r="K9" i="9"/>
  <c r="U9" i="9" s="1"/>
  <c r="J9" i="9"/>
  <c r="S17" i="9" s="1"/>
  <c r="I9" i="9"/>
  <c r="R18" i="9" s="1"/>
  <c r="H9" i="9"/>
  <c r="Q21" i="9" s="1"/>
  <c r="G9" i="9"/>
  <c r="P16" i="9" s="1"/>
  <c r="F9" i="9"/>
  <c r="O19" i="9" s="1"/>
  <c r="E9" i="9"/>
  <c r="N22" i="9" s="1"/>
  <c r="D9" i="9"/>
  <c r="M17" i="9" s="1"/>
  <c r="C9" i="9"/>
  <c r="L20" i="9" s="1"/>
  <c r="T20" i="9" l="1"/>
  <c r="S15" i="9"/>
  <c r="N19" i="9"/>
  <c r="M12" i="9"/>
  <c r="R10" i="9"/>
  <c r="N16" i="9"/>
  <c r="R15" i="9"/>
  <c r="N11" i="9"/>
  <c r="N17" i="9"/>
  <c r="P18" i="9"/>
  <c r="N9" i="9"/>
  <c r="S10" i="9"/>
  <c r="R12" i="9"/>
  <c r="Q16" i="9"/>
  <c r="Q18" i="9"/>
  <c r="R20" i="9"/>
  <c r="P9" i="9"/>
  <c r="S12" i="9"/>
  <c r="S18" i="9"/>
  <c r="S20" i="9"/>
  <c r="S9" i="9"/>
  <c r="Q15" i="9"/>
  <c r="P11" i="9"/>
  <c r="P13" i="9"/>
  <c r="T15" i="9"/>
  <c r="P21" i="9"/>
  <c r="R13" i="9"/>
  <c r="P19" i="9"/>
  <c r="R21" i="9"/>
  <c r="O9" i="9"/>
  <c r="L10" i="9"/>
  <c r="T10" i="9"/>
  <c r="Q11" i="9"/>
  <c r="N12" i="9"/>
  <c r="S13" i="9"/>
  <c r="P14" i="9"/>
  <c r="M15" i="9"/>
  <c r="R16" i="9"/>
  <c r="O17" i="9"/>
  <c r="L18" i="9"/>
  <c r="T18" i="9"/>
  <c r="Q19" i="9"/>
  <c r="N20" i="9"/>
  <c r="S21" i="9"/>
  <c r="P22" i="9"/>
  <c r="M20" i="9"/>
  <c r="M10" i="9"/>
  <c r="R11" i="9"/>
  <c r="O12" i="9"/>
  <c r="L13" i="9"/>
  <c r="T13" i="9"/>
  <c r="Q14" i="9"/>
  <c r="N15" i="9"/>
  <c r="S16" i="9"/>
  <c r="P17" i="9"/>
  <c r="M18" i="9"/>
  <c r="R19" i="9"/>
  <c r="O20" i="9"/>
  <c r="L21" i="9"/>
  <c r="T21" i="9"/>
  <c r="Q22" i="9"/>
  <c r="O14" i="9"/>
  <c r="Q9" i="9"/>
  <c r="N10" i="9"/>
  <c r="S11" i="9"/>
  <c r="P12" i="9"/>
  <c r="M13" i="9"/>
  <c r="R14" i="9"/>
  <c r="O15" i="9"/>
  <c r="L16" i="9"/>
  <c r="T16" i="9"/>
  <c r="Q17" i="9"/>
  <c r="N18" i="9"/>
  <c r="S19" i="9"/>
  <c r="P20" i="9"/>
  <c r="M21" i="9"/>
  <c r="R22" i="9"/>
  <c r="L15" i="9"/>
  <c r="O22" i="9"/>
  <c r="R9" i="9"/>
  <c r="O10" i="9"/>
  <c r="L11" i="9"/>
  <c r="T11" i="9"/>
  <c r="Q12" i="9"/>
  <c r="N13" i="9"/>
  <c r="S14" i="9"/>
  <c r="P15" i="9"/>
  <c r="M16" i="9"/>
  <c r="R17" i="9"/>
  <c r="O18" i="9"/>
  <c r="L19" i="9"/>
  <c r="T19" i="9"/>
  <c r="Q20" i="9"/>
  <c r="N21" i="9"/>
  <c r="S22" i="9"/>
  <c r="M11" i="9"/>
  <c r="O13" i="9"/>
  <c r="L14" i="9"/>
  <c r="T14" i="9"/>
  <c r="M19" i="9"/>
  <c r="O21" i="9"/>
  <c r="L22" i="9"/>
  <c r="T22" i="9"/>
  <c r="L9" i="9"/>
  <c r="M14" i="9"/>
  <c r="O16" i="9"/>
  <c r="L17" i="9"/>
  <c r="T17" i="9"/>
  <c r="M22" i="9"/>
  <c r="T9" i="9"/>
  <c r="M9" i="9"/>
  <c r="O11" i="9"/>
  <c r="L12" i="9"/>
  <c r="T12" i="9"/>
  <c r="Q13" i="9"/>
  <c r="N14" i="9"/>
</calcChain>
</file>

<file path=xl/sharedStrings.xml><?xml version="1.0" encoding="utf-8"?>
<sst xmlns="http://schemas.openxmlformats.org/spreadsheetml/2006/main" count="46" uniqueCount="32">
  <si>
    <t>Month</t>
  </si>
  <si>
    <t>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</si>
  <si>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</si>
  <si>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</si>
  <si>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</si>
  <si>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</si>
  <si>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</si>
  <si>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</si>
  <si>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</si>
  <si>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</si>
  <si>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</si>
  <si>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</si>
  <si>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</si>
  <si>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</si>
  <si>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Source: Ministry of Fisheries  and Agriculture</t>
  </si>
  <si>
    <t>cniawtcaws ctogWviawfiheb</t>
  </si>
  <si>
    <t>Percentage share</t>
  </si>
  <si>
    <t xml:space="preserve"> rwCclwkircgea cDcnea  czIrwxif cfoa IrcTcsinim :ctWrwf ivcaedutWmUluAwm</t>
  </si>
  <si>
    <t>udwdwA ununEb cswm</t>
  </si>
  <si>
    <t>Fish catch</t>
  </si>
  <si>
    <t>EEZ</t>
  </si>
  <si>
    <t>(cnunwTckircTem)</t>
  </si>
  <si>
    <t>(In metric tons)</t>
  </si>
  <si>
    <t xml:space="preserve"> eruvcSwrwhwa wyidim</t>
  </si>
  <si>
    <t>(cnia % ) urwvcnim ivurutia</t>
  </si>
  <si>
    <t>% change over</t>
  </si>
  <si>
    <t xml:space="preserve"> previous year</t>
  </si>
  <si>
    <t>Fish Catch</t>
  </si>
  <si>
    <t>Growth</t>
  </si>
  <si>
    <t>_</t>
  </si>
  <si>
    <t>2014 - 2008 ,urwvcnim eguhwminEb wtwvun ifih iawguhwmcswmikea : 9.4 ulwvWt</t>
  </si>
  <si>
    <t>Table  9.4 :  FISH CATCH  BY MONTH, 2008 - 2014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</si>
</sst>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409]mmmm\ d\,\ yyyy;@"/>
    <numFmt numFmtId="165" formatCode="General_)"/>
    <numFmt numFmtId="166" formatCode="0.0"/>
    <numFmt numFmtId="167" formatCode="#,##0.0"/>
  </numFmts>
  <fonts count="21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1"/>
      <name val="Calibri"/>
      <family val="2"/>
    </font>
    <font>
      <sz val="10"/>
      <name val="Calibri"/>
      <family val="2"/>
    </font>
    <font>
      <b/>
      <sz val="9"/>
      <name val="A_Randhoo"/>
    </font>
    <font>
      <b/>
      <sz val="9"/>
      <name val="Calibri"/>
      <family val="2"/>
    </font>
    <font>
      <sz val="9"/>
      <name val="Courier"/>
      <family val="3"/>
    </font>
    <font>
      <i/>
      <sz val="9"/>
      <name val="Calibri"/>
      <family val="2"/>
    </font>
    <font>
      <sz val="9"/>
      <name val="A_Randhoo"/>
    </font>
    <font>
      <b/>
      <sz val="11"/>
      <name val="A_Randhoo"/>
    </font>
    <font>
      <b/>
      <sz val="10"/>
      <name val="Calibri"/>
      <family val="2"/>
    </font>
    <font>
      <b/>
      <sz val="10"/>
      <name val="A_Randhoo"/>
    </font>
    <font>
      <b/>
      <sz val="12"/>
      <name val="A_Randhoo"/>
    </font>
    <font>
      <sz val="9"/>
      <name val="Arial"/>
      <family val="2"/>
    </font>
    <font>
      <b/>
      <sz val="9"/>
      <name val="Arial"/>
      <family val="2"/>
    </font>
    <font>
      <sz val="9"/>
      <name val="Calibri"/>
      <family val="2"/>
    </font>
    <font>
      <i/>
      <sz val="9"/>
      <name val="Arial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0" fontId="4" fillId="0" borderId="0" applyFont="0" applyFill="0" applyBorder="0" applyAlignment="0" applyProtection="0"/>
    <xf numFmtId="164" fontId="1" fillId="0" borderId="0"/>
    <xf numFmtId="164" fontId="1" fillId="0" borderId="0"/>
    <xf numFmtId="165" fontId="1" fillId="0" borderId="0"/>
    <xf numFmtId="0" fontId="1" fillId="0" borderId="0"/>
    <xf numFmtId="40" fontId="4" fillId="0" borderId="0" applyFont="0" applyFill="0" applyBorder="0" applyAlignment="0" applyProtection="0"/>
  </cellStyleXfs>
  <cellXfs count="99">
    <xf numFmtId="0" fontId="0" fillId="0" borderId="0" xfId="0"/>
    <xf numFmtId="165" fontId="10" fillId="2" borderId="0" xfId="4" applyFont="1" applyFill="1" applyAlignment="1" applyProtection="1">
      <alignment horizontal="left" vertical="center"/>
    </xf>
    <xf numFmtId="165" fontId="16" fillId="2" borderId="0" xfId="4" applyFont="1" applyFill="1" applyAlignment="1">
      <alignment vertical="center"/>
    </xf>
    <xf numFmtId="1" fontId="8" fillId="2" borderId="2" xfId="4" applyNumberFormat="1" applyFont="1" applyFill="1" applyBorder="1" applyAlignment="1">
      <alignment horizontal="right" vertical="center"/>
    </xf>
    <xf numFmtId="1" fontId="8" fillId="2" borderId="2" xfId="4" applyNumberFormat="1" applyFont="1" applyFill="1" applyBorder="1" applyAlignment="1" applyProtection="1">
      <alignment horizontal="right" vertical="center"/>
    </xf>
    <xf numFmtId="165" fontId="9" fillId="2" borderId="0" xfId="4" applyFont="1" applyFill="1" applyAlignment="1">
      <alignment vertical="center"/>
    </xf>
    <xf numFmtId="165" fontId="19" fillId="2" borderId="0" xfId="4" applyFont="1" applyFill="1" applyAlignment="1" applyProtection="1">
      <alignment horizontal="left" vertical="center"/>
    </xf>
    <xf numFmtId="165" fontId="11" fillId="2" borderId="0" xfId="4" applyFont="1" applyFill="1" applyBorder="1" applyAlignment="1">
      <alignment horizontal="right" vertical="center"/>
    </xf>
    <xf numFmtId="165" fontId="16" fillId="2" borderId="0" xfId="4" applyFont="1" applyFill="1" applyBorder="1" applyAlignment="1">
      <alignment vertical="center"/>
    </xf>
    <xf numFmtId="165" fontId="2" fillId="2" borderId="0" xfId="4" applyFont="1" applyFill="1" applyAlignment="1">
      <alignment vertical="center"/>
    </xf>
    <xf numFmtId="165" fontId="17" fillId="2" borderId="0" xfId="4" applyFont="1" applyFill="1" applyAlignment="1">
      <alignment vertical="center"/>
    </xf>
    <xf numFmtId="165" fontId="8" fillId="2" borderId="0" xfId="4" applyFont="1" applyFill="1" applyAlignment="1">
      <alignment vertical="center"/>
    </xf>
    <xf numFmtId="165" fontId="13" fillId="2" borderId="0" xfId="4" applyFont="1" applyFill="1" applyAlignment="1" applyProtection="1">
      <alignment horizontal="left" vertical="center"/>
    </xf>
    <xf numFmtId="167" fontId="13" fillId="2" borderId="0" xfId="4" applyNumberFormat="1" applyFont="1" applyFill="1" applyBorder="1" applyAlignment="1">
      <alignment horizontal="right" vertical="center"/>
    </xf>
    <xf numFmtId="167" fontId="6" fillId="2" borderId="0" xfId="4" applyNumberFormat="1" applyFont="1" applyFill="1" applyBorder="1" applyAlignment="1">
      <alignment horizontal="right" vertical="center"/>
    </xf>
    <xf numFmtId="167" fontId="6" fillId="2" borderId="2" xfId="4" applyNumberFormat="1" applyFont="1" applyFill="1" applyBorder="1" applyAlignment="1">
      <alignment horizontal="right" vertical="center"/>
    </xf>
    <xf numFmtId="165" fontId="19" fillId="2" borderId="0" xfId="4" applyFont="1" applyFill="1" applyBorder="1" applyAlignment="1" applyProtection="1">
      <alignment horizontal="left" vertical="center"/>
    </xf>
    <xf numFmtId="165" fontId="3" fillId="2" borderId="0" xfId="4" applyFont="1" applyFill="1" applyAlignment="1">
      <alignment vertical="center"/>
    </xf>
    <xf numFmtId="1" fontId="8" fillId="2" borderId="3" xfId="4" applyNumberFormat="1" applyFont="1" applyFill="1" applyBorder="1" applyAlignment="1" applyProtection="1">
      <alignment horizontal="right" vertical="center"/>
    </xf>
    <xf numFmtId="167" fontId="13" fillId="2" borderId="0" xfId="4" applyNumberFormat="1" applyFont="1" applyFill="1" applyBorder="1" applyAlignment="1" applyProtection="1">
      <alignment horizontal="right" vertical="center"/>
    </xf>
    <xf numFmtId="167" fontId="6" fillId="2" borderId="0" xfId="4" applyNumberFormat="1" applyFont="1" applyFill="1" applyBorder="1" applyAlignment="1" applyProtection="1">
      <alignment horizontal="right" vertical="center"/>
    </xf>
    <xf numFmtId="167" fontId="6" fillId="2" borderId="2" xfId="4" applyNumberFormat="1" applyFont="1" applyFill="1" applyBorder="1" applyAlignment="1" applyProtection="1">
      <alignment horizontal="right" vertical="center"/>
    </xf>
    <xf numFmtId="165" fontId="3" fillId="2" borderId="0" xfId="4" applyFont="1" applyFill="1" applyAlignment="1">
      <alignment horizontal="right" vertical="center"/>
    </xf>
    <xf numFmtId="165" fontId="15" fillId="2" borderId="0" xfId="4" applyFont="1" applyFill="1" applyAlignment="1">
      <alignment vertical="center"/>
    </xf>
    <xf numFmtId="165" fontId="8" fillId="2" borderId="0" xfId="4" applyFont="1" applyFill="1" applyBorder="1" applyAlignment="1">
      <alignment vertical="center"/>
    </xf>
    <xf numFmtId="165" fontId="13" fillId="2" borderId="0" xfId="4" applyFont="1" applyFill="1" applyAlignment="1" applyProtection="1">
      <alignment vertical="center"/>
    </xf>
    <xf numFmtId="165" fontId="17" fillId="2" borderId="0" xfId="4" applyFont="1" applyFill="1" applyAlignment="1">
      <alignment horizontal="centerContinuous" vertical="center"/>
    </xf>
    <xf numFmtId="167" fontId="16" fillId="2" borderId="0" xfId="4" applyNumberFormat="1" applyFont="1" applyFill="1" applyBorder="1" applyAlignment="1" applyProtection="1">
      <alignment horizontal="right" vertical="center"/>
    </xf>
    <xf numFmtId="165" fontId="8" fillId="2" borderId="0" xfId="4" applyFont="1" applyFill="1" applyBorder="1" applyAlignment="1">
      <alignment horizontal="centerContinuous" vertical="center"/>
    </xf>
    <xf numFmtId="167" fontId="8" fillId="2" borderId="0" xfId="4" applyNumberFormat="1" applyFont="1" applyFill="1" applyBorder="1" applyAlignment="1">
      <alignment horizontal="left" vertical="center"/>
    </xf>
    <xf numFmtId="167" fontId="18" fillId="2" borderId="0" xfId="4" applyNumberFormat="1" applyFont="1" applyFill="1" applyBorder="1" applyAlignment="1" applyProtection="1">
      <alignment horizontal="right" vertical="center"/>
    </xf>
    <xf numFmtId="165" fontId="7" fillId="2" borderId="0" xfId="4" applyFont="1" applyFill="1" applyBorder="1" applyAlignment="1">
      <alignment horizontal="center"/>
    </xf>
    <xf numFmtId="165" fontId="17" fillId="2" borderId="0" xfId="4" applyFont="1" applyFill="1" applyBorder="1" applyAlignment="1">
      <alignment horizontal="right" vertical="center"/>
    </xf>
    <xf numFmtId="165" fontId="17" fillId="2" borderId="0" xfId="4" applyFont="1" applyFill="1" applyBorder="1" applyAlignment="1">
      <alignment horizontal="center" vertical="center"/>
    </xf>
    <xf numFmtId="1" fontId="8" fillId="2" borderId="2" xfId="4" applyNumberFormat="1" applyFont="1" applyFill="1" applyBorder="1" applyAlignment="1">
      <alignment vertical="center"/>
    </xf>
    <xf numFmtId="1" fontId="8" fillId="2" borderId="5" xfId="4" applyNumberFormat="1" applyFont="1" applyFill="1" applyBorder="1" applyAlignment="1" applyProtection="1">
      <alignment horizontal="right" vertical="center"/>
    </xf>
    <xf numFmtId="165" fontId="17" fillId="2" borderId="0" xfId="4" applyFont="1" applyFill="1" applyBorder="1" applyAlignment="1">
      <alignment horizontal="right" vertical="center" wrapText="1"/>
    </xf>
    <xf numFmtId="167" fontId="17" fillId="2" borderId="0" xfId="4" applyNumberFormat="1" applyFont="1" applyFill="1" applyBorder="1" applyAlignment="1">
      <alignment horizontal="right" vertical="center"/>
    </xf>
    <xf numFmtId="167" fontId="17" fillId="2" borderId="0" xfId="4" applyNumberFormat="1" applyFont="1" applyFill="1" applyBorder="1" applyAlignment="1" applyProtection="1">
      <alignment horizontal="right" vertical="center"/>
    </xf>
    <xf numFmtId="1" fontId="17" fillId="2" borderId="0" xfId="4" applyNumberFormat="1" applyFont="1" applyFill="1" applyAlignment="1">
      <alignment vertical="center"/>
    </xf>
    <xf numFmtId="165" fontId="16" fillId="2" borderId="0" xfId="4" applyFont="1" applyFill="1"/>
    <xf numFmtId="165" fontId="16" fillId="2" borderId="0" xfId="4" applyFont="1" applyFill="1" applyAlignment="1">
      <alignment horizontal="right"/>
    </xf>
    <xf numFmtId="165" fontId="3" fillId="2" borderId="0" xfId="4" applyFont="1" applyFill="1"/>
    <xf numFmtId="165" fontId="3" fillId="2" borderId="0" xfId="4" applyFont="1" applyFill="1" applyAlignment="1">
      <alignment horizontal="right"/>
    </xf>
    <xf numFmtId="3" fontId="16" fillId="2" borderId="0" xfId="4" applyNumberFormat="1" applyFont="1" applyFill="1" applyAlignment="1">
      <alignment horizontal="right"/>
    </xf>
    <xf numFmtId="166" fontId="16" fillId="2" borderId="0" xfId="4" applyNumberFormat="1" applyFont="1" applyFill="1" applyAlignment="1">
      <alignment horizontal="right"/>
    </xf>
    <xf numFmtId="166" fontId="3" fillId="2" borderId="0" xfId="4" applyNumberFormat="1" applyFont="1" applyFill="1" applyAlignment="1">
      <alignment horizontal="right"/>
    </xf>
    <xf numFmtId="165" fontId="6" fillId="2" borderId="0" xfId="4" applyFont="1" applyFill="1" applyAlignment="1" applyProtection="1">
      <alignment horizontal="left" vertical="center"/>
    </xf>
    <xf numFmtId="165" fontId="6" fillId="2" borderId="2" xfId="4" applyFont="1" applyFill="1" applyBorder="1" applyAlignment="1" applyProtection="1">
      <alignment horizontal="left" vertical="center"/>
    </xf>
    <xf numFmtId="3" fontId="13" fillId="2" borderId="0" xfId="4" applyNumberFormat="1" applyFont="1" applyFill="1" applyBorder="1" applyAlignment="1">
      <alignment horizontal="right" vertical="center"/>
    </xf>
    <xf numFmtId="165" fontId="18" fillId="2" borderId="0" xfId="4" applyFont="1" applyFill="1" applyBorder="1" applyAlignment="1" applyProtection="1">
      <alignment horizontal="left" vertical="center"/>
    </xf>
    <xf numFmtId="165" fontId="9" fillId="2" borderId="0" xfId="4" applyFont="1" applyFill="1" applyBorder="1" applyAlignment="1">
      <alignment vertical="center"/>
    </xf>
    <xf numFmtId="165" fontId="17" fillId="2" borderId="0" xfId="4" applyFont="1" applyFill="1" applyBorder="1" applyAlignment="1">
      <alignment vertical="center"/>
    </xf>
    <xf numFmtId="3" fontId="13" fillId="2" borderId="0" xfId="4" applyNumberFormat="1" applyFont="1" applyFill="1" applyBorder="1" applyAlignment="1" applyProtection="1">
      <alignment horizontal="right" vertical="center"/>
    </xf>
    <xf numFmtId="165" fontId="16" fillId="2" borderId="0" xfId="4" applyFont="1" applyFill="1" applyAlignment="1">
      <alignment horizontal="right" vertical="center"/>
    </xf>
    <xf numFmtId="3" fontId="16" fillId="2" borderId="0" xfId="4" applyNumberFormat="1" applyFont="1" applyFill="1" applyAlignment="1">
      <alignment horizontal="right" vertical="center"/>
    </xf>
    <xf numFmtId="165" fontId="15" fillId="2" borderId="0" xfId="4" applyFont="1" applyFill="1" applyAlignment="1">
      <alignment horizontal="center" vertical="center"/>
    </xf>
    <xf numFmtId="165" fontId="7" fillId="2" borderId="1" xfId="4" applyFont="1" applyFill="1" applyBorder="1" applyAlignment="1">
      <alignment horizontal="center" vertical="center"/>
    </xf>
    <xf numFmtId="165" fontId="7" fillId="2" borderId="0" xfId="4" applyFont="1" applyFill="1" applyBorder="1" applyAlignment="1">
      <alignment horizontal="right" vertical="center"/>
    </xf>
    <xf numFmtId="165" fontId="8" fillId="2" borderId="0" xfId="4" applyFont="1" applyFill="1" applyBorder="1" applyAlignment="1" applyProtection="1">
      <alignment horizontal="center" vertical="center"/>
    </xf>
    <xf numFmtId="165" fontId="13" fillId="2" borderId="0" xfId="4" applyFont="1" applyFill="1" applyAlignment="1" applyProtection="1">
      <alignment horizontal="center" vertical="center"/>
    </xf>
    <xf numFmtId="165" fontId="7" fillId="2" borderId="0" xfId="4" applyFont="1" applyFill="1" applyAlignment="1">
      <alignment horizontal="center" vertical="center"/>
    </xf>
    <xf numFmtId="165" fontId="7" fillId="2" borderId="0" xfId="4" applyFont="1" applyFill="1" applyBorder="1" applyAlignment="1">
      <alignment horizontal="center" vertical="center"/>
    </xf>
    <xf numFmtId="165" fontId="7" fillId="2" borderId="0" xfId="4" applyFont="1" applyFill="1" applyBorder="1" applyAlignment="1">
      <alignment horizontal="right" vertical="center"/>
    </xf>
    <xf numFmtId="165" fontId="13" fillId="2" borderId="0" xfId="4" applyFont="1" applyFill="1" applyBorder="1" applyAlignment="1">
      <alignment horizontal="center" vertical="center"/>
    </xf>
    <xf numFmtId="4" fontId="13" fillId="2" borderId="0" xfId="6" applyNumberFormat="1" applyFont="1" applyFill="1" applyBorder="1" applyAlignment="1">
      <alignment horizontal="right" vertical="center"/>
    </xf>
    <xf numFmtId="3" fontId="13" fillId="2" borderId="1" xfId="4" applyNumberFormat="1" applyFont="1" applyFill="1" applyBorder="1" applyAlignment="1">
      <alignment horizontal="right" vertical="center"/>
    </xf>
    <xf numFmtId="3" fontId="13" fillId="2" borderId="6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horizontal="right" vertical="center"/>
    </xf>
    <xf numFmtId="3" fontId="13" fillId="2" borderId="0" xfId="6" applyNumberFormat="1" applyFont="1" applyFill="1" applyBorder="1" applyAlignment="1">
      <alignment horizontal="right" vertical="center"/>
    </xf>
    <xf numFmtId="3" fontId="13" fillId="2" borderId="4" xfId="4" applyNumberFormat="1" applyFont="1" applyFill="1" applyBorder="1" applyAlignment="1" applyProtection="1">
      <alignment horizontal="right" vertical="center"/>
    </xf>
    <xf numFmtId="3" fontId="6" fillId="2" borderId="0" xfId="4" applyNumberFormat="1" applyFont="1" applyFill="1" applyBorder="1" applyAlignment="1" applyProtection="1">
      <alignment horizontal="right" vertical="center"/>
      <protection locked="0"/>
    </xf>
    <xf numFmtId="3" fontId="6" fillId="2" borderId="0" xfId="4" applyNumberFormat="1" applyFont="1" applyFill="1" applyBorder="1" applyAlignment="1" applyProtection="1">
      <alignment horizontal="right" vertical="center"/>
    </xf>
    <xf numFmtId="3" fontId="6" fillId="2" borderId="4" xfId="4" applyNumberFormat="1" applyFont="1" applyFill="1" applyBorder="1" applyAlignment="1" applyProtection="1">
      <alignment horizontal="right" vertical="center"/>
    </xf>
    <xf numFmtId="3" fontId="6" fillId="2" borderId="2" xfId="4" applyNumberFormat="1" applyFont="1" applyFill="1" applyBorder="1" applyAlignment="1" applyProtection="1">
      <alignment horizontal="right" vertical="center"/>
      <protection locked="0"/>
    </xf>
    <xf numFmtId="3" fontId="6" fillId="2" borderId="2" xfId="4" applyNumberFormat="1" applyFont="1" applyFill="1" applyBorder="1" applyAlignment="1" applyProtection="1">
      <alignment horizontal="right" vertical="center"/>
    </xf>
    <xf numFmtId="3" fontId="6" fillId="2" borderId="7" xfId="4" applyNumberFormat="1" applyFont="1" applyFill="1" applyBorder="1" applyAlignment="1" applyProtection="1">
      <alignment horizontal="right" vertical="center"/>
    </xf>
    <xf numFmtId="165" fontId="13" fillId="2" borderId="0" xfId="4" applyFont="1" applyFill="1" applyBorder="1" applyAlignment="1" applyProtection="1">
      <alignment vertical="center"/>
    </xf>
    <xf numFmtId="165" fontId="17" fillId="2" borderId="0" xfId="4" applyFont="1" applyFill="1" applyBorder="1" applyAlignment="1">
      <alignment horizontal="centerContinuous" vertical="center"/>
    </xf>
    <xf numFmtId="3" fontId="18" fillId="2" borderId="0" xfId="4" applyNumberFormat="1" applyFont="1" applyFill="1" applyBorder="1" applyAlignment="1" applyProtection="1">
      <alignment horizontal="center" vertical="center"/>
    </xf>
    <xf numFmtId="165" fontId="16" fillId="2" borderId="0" xfId="4" applyFont="1" applyFill="1" applyBorder="1"/>
    <xf numFmtId="165" fontId="12" fillId="2" borderId="1" xfId="4" applyFont="1" applyFill="1" applyBorder="1" applyAlignment="1">
      <alignment vertical="center"/>
    </xf>
    <xf numFmtId="165" fontId="12" fillId="2" borderId="6" xfId="4" applyFont="1" applyFill="1" applyBorder="1" applyAlignment="1">
      <alignment vertical="center"/>
    </xf>
    <xf numFmtId="167" fontId="13" fillId="2" borderId="1" xfId="4" applyNumberFormat="1" applyFont="1" applyFill="1" applyBorder="1" applyAlignment="1">
      <alignment horizontal="right" vertical="center" indent="4"/>
    </xf>
    <xf numFmtId="167" fontId="13" fillId="2" borderId="0" xfId="4" applyNumberFormat="1" applyFont="1" applyFill="1" applyBorder="1" applyAlignment="1">
      <alignment horizontal="right" vertical="center" indent="4"/>
    </xf>
    <xf numFmtId="167" fontId="6" fillId="2" borderId="0" xfId="4" applyNumberFormat="1" applyFont="1" applyFill="1" applyBorder="1" applyAlignment="1">
      <alignment horizontal="right" vertical="center" indent="4"/>
    </xf>
    <xf numFmtId="167" fontId="6" fillId="2" borderId="2" xfId="4" applyNumberFormat="1" applyFont="1" applyFill="1" applyBorder="1" applyAlignment="1">
      <alignment horizontal="right" vertical="center" indent="4"/>
    </xf>
    <xf numFmtId="165" fontId="13" fillId="2" borderId="2" xfId="4" applyFont="1" applyFill="1" applyBorder="1" applyAlignment="1">
      <alignment horizontal="center" vertical="center" wrapText="1"/>
    </xf>
    <xf numFmtId="165" fontId="15" fillId="2" borderId="0" xfId="4" applyFont="1" applyFill="1" applyAlignment="1">
      <alignment horizontal="center" vertical="center"/>
    </xf>
    <xf numFmtId="165" fontId="20" fillId="2" borderId="0" xfId="4" applyFont="1" applyFill="1" applyAlignment="1" applyProtection="1">
      <alignment horizontal="center" vertical="center"/>
    </xf>
    <xf numFmtId="165" fontId="14" fillId="2" borderId="0" xfId="4" applyFont="1" applyFill="1" applyAlignment="1">
      <alignment horizontal="center" vertical="center"/>
    </xf>
    <xf numFmtId="165" fontId="13" fillId="2" borderId="2" xfId="4" applyFont="1" applyFill="1" applyBorder="1" applyAlignment="1" applyProtection="1">
      <alignment horizontal="center" vertical="center"/>
    </xf>
    <xf numFmtId="165" fontId="8" fillId="2" borderId="1" xfId="4" applyFont="1" applyFill="1" applyBorder="1" applyAlignment="1" applyProtection="1">
      <alignment horizontal="left" vertical="center"/>
    </xf>
    <xf numFmtId="165" fontId="8" fillId="2" borderId="0" xfId="4" applyFont="1" applyFill="1" applyBorder="1" applyAlignment="1" applyProtection="1">
      <alignment horizontal="left" vertical="center"/>
    </xf>
    <xf numFmtId="165" fontId="8" fillId="2" borderId="2" xfId="4" applyFont="1" applyFill="1" applyBorder="1" applyAlignment="1" applyProtection="1">
      <alignment horizontal="left" vertical="center"/>
    </xf>
    <xf numFmtId="165" fontId="5" fillId="2" borderId="2" xfId="4" applyFont="1" applyFill="1" applyBorder="1" applyAlignment="1">
      <alignment horizontal="center" vertical="center"/>
    </xf>
    <xf numFmtId="165" fontId="5" fillId="2" borderId="7" xfId="4" applyFont="1" applyFill="1" applyBorder="1" applyAlignment="1">
      <alignment horizontal="center" vertical="center"/>
    </xf>
    <xf numFmtId="165" fontId="12" fillId="2" borderId="0" xfId="4" applyFont="1" applyFill="1" applyBorder="1" applyAlignment="1">
      <alignment horizontal="center" vertical="center"/>
    </xf>
    <xf numFmtId="165" fontId="12" fillId="2" borderId="4" xfId="4" applyFont="1" applyFill="1" applyBorder="1" applyAlignment="1">
      <alignment horizontal="center" vertical="center"/>
    </xf>
  </cellXfs>
  <cellStyles count="7">
    <cellStyle name="Comma 2" xfId="1"/>
    <cellStyle name="Comma_Fish &amp;  Agri - 8" xfId="6"/>
    <cellStyle name="Normal" xfId="0" builtinId="0"/>
    <cellStyle name="Normal 2" xfId="5"/>
    <cellStyle name="Normal 3_agri planning 2009 year book(final)" xfId="3"/>
    <cellStyle name="Normal 4_agri planning 2009 year book(final)" xfId="2"/>
    <cellStyle name="Normal_Fish &amp;  Agri - 8" xfId="4"/>
  </cellStyles>
  <dxfs count="0"/>
  <tableStyles count="0" defaultTableStyle="TableStyleMedium9" defaultPivotStyle="PivotStyleLight16"/>
  <colors>
    <mruColors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onsolas" pitchFamily="49" charset="0"/>
                <a:cs typeface="Consolas" pitchFamily="49" charset="0"/>
              </a:rPr>
              <a:t>Figure 9.3: Fish Catch and Fish Catch Growth by Month, 2014</a:t>
            </a:r>
          </a:p>
        </c:rich>
      </c:tx>
      <c:layout>
        <c:manualLayout>
          <c:xMode val="edge"/>
          <c:yMode val="edge"/>
          <c:x val="0.20239741855016716"/>
          <c:y val="5.027155259438723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6225340253520943E-2"/>
          <c:y val="0.20680631267245442"/>
          <c:w val="0.87534387148974802"/>
          <c:h val="0.675393027794602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'9.4'!$AV$6</c:f>
              <c:strCache>
                <c:ptCount val="1"/>
                <c:pt idx="0">
                  <c:v>Fish Catch</c:v>
                </c:pt>
              </c:strCache>
            </c:strRef>
          </c:tx>
          <c:invertIfNegative val="0"/>
          <c:cat>
            <c:strRef>
              <c:f>'9.4'!$AU$7:$AU$18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'9.4'!$AV$7:$AV$18</c:f>
              <c:numCache>
                <c:formatCode>General_)</c:formatCode>
                <c:ptCount val="12"/>
                <c:pt idx="0">
                  <c:v>15131.434517689773</c:v>
                </c:pt>
                <c:pt idx="1">
                  <c:v>9148.580069118716</c:v>
                </c:pt>
                <c:pt idx="2">
                  <c:v>8322.4547200830148</c:v>
                </c:pt>
                <c:pt idx="3">
                  <c:v>16024.174764017633</c:v>
                </c:pt>
                <c:pt idx="4">
                  <c:v>12472.820144779125</c:v>
                </c:pt>
                <c:pt idx="5">
                  <c:v>10574.246900258211</c:v>
                </c:pt>
                <c:pt idx="6">
                  <c:v>5943.6414964833157</c:v>
                </c:pt>
                <c:pt idx="7">
                  <c:v>8151.8591659124086</c:v>
                </c:pt>
                <c:pt idx="8">
                  <c:v>10124.88573889277</c:v>
                </c:pt>
                <c:pt idx="9">
                  <c:v>8516.499470765677</c:v>
                </c:pt>
                <c:pt idx="10">
                  <c:v>10254.910819876141</c:v>
                </c:pt>
                <c:pt idx="11">
                  <c:v>11894.48119212342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47012864"/>
        <c:axId val="47264896"/>
      </c:barChart>
      <c:lineChart>
        <c:grouping val="standard"/>
        <c:varyColors val="0"/>
        <c:ser>
          <c:idx val="1"/>
          <c:order val="1"/>
          <c:tx>
            <c:strRef>
              <c:f>'9.4'!$AW$6</c:f>
              <c:strCache>
                <c:ptCount val="1"/>
                <c:pt idx="0">
                  <c:v>Growth</c:v>
                </c:pt>
              </c:strCache>
            </c:strRef>
          </c:tx>
          <c:marker>
            <c:symbol val="none"/>
          </c:marker>
          <c:cat>
            <c:strRef>
              <c:f>'9.4'!$AU$7:$AU$18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'9.4'!$AW$7:$AW$18</c:f>
              <c:numCache>
                <c:formatCode>#,##0</c:formatCode>
                <c:ptCount val="12"/>
                <c:pt idx="0">
                  <c:v>54.920502107156835</c:v>
                </c:pt>
                <c:pt idx="1">
                  <c:v>-1.5590938360594342</c:v>
                </c:pt>
                <c:pt idx="2">
                  <c:v>-15.515581206219874</c:v>
                </c:pt>
                <c:pt idx="3">
                  <c:v>112.90396298721302</c:v>
                </c:pt>
                <c:pt idx="4">
                  <c:v>86.379841960330623</c:v>
                </c:pt>
                <c:pt idx="5">
                  <c:v>-5.8131932347564357</c:v>
                </c:pt>
                <c:pt idx="6">
                  <c:v>-47.046947406359671</c:v>
                </c:pt>
                <c:pt idx="7">
                  <c:v>-28.913190510524682</c:v>
                </c:pt>
                <c:pt idx="8">
                  <c:v>9.2405213561918398</c:v>
                </c:pt>
                <c:pt idx="9">
                  <c:v>-42.378100573508917</c:v>
                </c:pt>
                <c:pt idx="10">
                  <c:v>-34.044650588029747</c:v>
                </c:pt>
                <c:pt idx="11">
                  <c:v>2.5639793110740587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66432"/>
        <c:axId val="52304896"/>
      </c:lineChart>
      <c:catAx>
        <c:axId val="4701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72648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7264896"/>
        <c:scaling>
          <c:orientation val="minMax"/>
          <c:max val="2000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7012864"/>
        <c:crosses val="autoZero"/>
        <c:crossBetween val="between"/>
      </c:valAx>
      <c:catAx>
        <c:axId val="47266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2304896"/>
        <c:crosses val="autoZero"/>
        <c:auto val="0"/>
        <c:lblAlgn val="ctr"/>
        <c:lblOffset val="100"/>
        <c:noMultiLvlLbl val="0"/>
      </c:catAx>
      <c:valAx>
        <c:axId val="52304896"/>
        <c:scaling>
          <c:orientation val="minMax"/>
          <c:max val="120"/>
        </c:scaling>
        <c:delete val="0"/>
        <c:axPos val="r"/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7266432"/>
        <c:crosses val="max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7475262960550986"/>
          <c:y val="0.29009186351706034"/>
          <c:w val="0.27300303336703741"/>
          <c:h val="6.683222289521501E-2"/>
        </c:manualLayout>
      </c:layout>
      <c:overlay val="0"/>
    </c:legend>
    <c:plotVisOnly val="1"/>
    <c:dispBlanksAs val="gap"/>
    <c:showDLblsOverMax val="0"/>
  </c:chart>
  <c:printSettings>
    <c:headerFooter alignWithMargins="0">
      <c:oddHeader>&amp;A</c:oddHeader>
      <c:oddFooter>Page &amp;P</c:oddFooter>
    </c:headerFooter>
    <c:pageMargins b="1" l="0.75000000000000577" r="0.75000000000000577" t="1" header="0.5" footer="0.5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64848</xdr:colOff>
      <xdr:row>26</xdr:row>
      <xdr:rowOff>59055</xdr:rowOff>
    </xdr:from>
    <xdr:to>
      <xdr:col>7</xdr:col>
      <xdr:colOff>171608</xdr:colOff>
      <xdr:row>28</xdr:row>
      <xdr:rowOff>9593</xdr:rowOff>
    </xdr:to>
    <xdr:sp macro="" textlink="">
      <xdr:nvSpPr>
        <xdr:cNvPr id="7" name="TextBox 6"/>
        <xdr:cNvSpPr txBox="1"/>
      </xdr:nvSpPr>
      <xdr:spPr>
        <a:xfrm>
          <a:off x="3017598" y="4583430"/>
          <a:ext cx="697310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000"/>
            </a:lnSpc>
          </a:pPr>
          <a:r>
            <a:rPr lang="en-US" sz="1000"/>
            <a:t>In numbers</a:t>
          </a:r>
        </a:p>
      </xdr:txBody>
    </xdr:sp>
    <xdr:clientData/>
  </xdr:twoCellAnchor>
  <xdr:twoCellAnchor>
    <xdr:from>
      <xdr:col>5</xdr:col>
      <xdr:colOff>571578</xdr:colOff>
      <xdr:row>26</xdr:row>
      <xdr:rowOff>68580</xdr:rowOff>
    </xdr:from>
    <xdr:to>
      <xdr:col>8</xdr:col>
      <xdr:colOff>72534</xdr:colOff>
      <xdr:row>28</xdr:row>
      <xdr:rowOff>19118</xdr:rowOff>
    </xdr:to>
    <xdr:sp macro="" textlink="">
      <xdr:nvSpPr>
        <xdr:cNvPr id="8" name="TextBox 7"/>
        <xdr:cNvSpPr txBox="1"/>
      </xdr:nvSpPr>
      <xdr:spPr>
        <a:xfrm>
          <a:off x="2933778" y="4592955"/>
          <a:ext cx="1272606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/>
            <a:t>In numbers</a:t>
          </a:r>
        </a:p>
      </xdr:txBody>
    </xdr:sp>
    <xdr:clientData/>
  </xdr:twoCellAnchor>
  <xdr:twoCellAnchor>
    <xdr:from>
      <xdr:col>4</xdr:col>
      <xdr:colOff>9525</xdr:colOff>
      <xdr:row>24</xdr:row>
      <xdr:rowOff>114300</xdr:rowOff>
    </xdr:from>
    <xdr:to>
      <xdr:col>20</xdr:col>
      <xdr:colOff>390525</xdr:colOff>
      <xdr:row>43</xdr:row>
      <xdr:rowOff>47625</xdr:rowOff>
    </xdr:to>
    <xdr:graphicFrame macro="">
      <xdr:nvGraphicFramePr>
        <xdr:cNvPr id="9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33766</xdr:colOff>
      <xdr:row>26</xdr:row>
      <xdr:rowOff>116794</xdr:rowOff>
    </xdr:from>
    <xdr:to>
      <xdr:col>6</xdr:col>
      <xdr:colOff>260573</xdr:colOff>
      <xdr:row>27</xdr:row>
      <xdr:rowOff>112747</xdr:rowOff>
    </xdr:to>
    <xdr:sp macro="" textlink="">
      <xdr:nvSpPr>
        <xdr:cNvPr id="10" name="TextBox 9"/>
        <xdr:cNvSpPr txBox="1"/>
      </xdr:nvSpPr>
      <xdr:spPr>
        <a:xfrm>
          <a:off x="1214866" y="5907994"/>
          <a:ext cx="817357" cy="1483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000"/>
            </a:lnSpc>
          </a:pPr>
          <a:r>
            <a:rPr lang="en-US" sz="1000"/>
            <a:t>In </a:t>
          </a:r>
          <a:r>
            <a:rPr lang="en-US" sz="900"/>
            <a:t>numbers</a:t>
          </a:r>
          <a:endParaRPr lang="en-US" sz="1000"/>
        </a:p>
      </xdr:txBody>
    </xdr:sp>
    <xdr:clientData/>
  </xdr:twoCellAnchor>
  <xdr:twoCellAnchor>
    <xdr:from>
      <xdr:col>19</xdr:col>
      <xdr:colOff>190502</xdr:colOff>
      <xdr:row>27</xdr:row>
      <xdr:rowOff>38100</xdr:rowOff>
    </xdr:from>
    <xdr:to>
      <xdr:col>20</xdr:col>
      <xdr:colOff>342901</xdr:colOff>
      <xdr:row>28</xdr:row>
      <xdr:rowOff>9525</xdr:rowOff>
    </xdr:to>
    <xdr:sp macro="" textlink="">
      <xdr:nvSpPr>
        <xdr:cNvPr id="11" name="TextBox 10"/>
        <xdr:cNvSpPr txBox="1"/>
      </xdr:nvSpPr>
      <xdr:spPr>
        <a:xfrm>
          <a:off x="8077202" y="5981700"/>
          <a:ext cx="676274" cy="1238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000"/>
            </a:lnSpc>
          </a:pPr>
          <a:r>
            <a:rPr lang="en-US" sz="1000"/>
            <a:t>In </a:t>
          </a:r>
          <a:r>
            <a:rPr lang="en-US" sz="900"/>
            <a:t>Percent</a:t>
          </a:r>
          <a:endParaRPr lang="en-US" sz="1000"/>
        </a:p>
      </xdr:txBody>
    </xdr:sp>
    <xdr:clientData/>
  </xdr:twoCellAnchor>
  <xdr:twoCellAnchor>
    <xdr:from>
      <xdr:col>7</xdr:col>
      <xdr:colOff>314324</xdr:colOff>
      <xdr:row>27</xdr:row>
      <xdr:rowOff>47624</xdr:rowOff>
    </xdr:from>
    <xdr:to>
      <xdr:col>18</xdr:col>
      <xdr:colOff>466724</xdr:colOff>
      <xdr:row>27</xdr:row>
      <xdr:rowOff>47624</xdr:rowOff>
    </xdr:to>
    <xdr:sp macro="" textlink="">
      <xdr:nvSpPr>
        <xdr:cNvPr id="12" name="Line 4"/>
        <xdr:cNvSpPr>
          <a:spLocks noChangeShapeType="1"/>
        </xdr:cNvSpPr>
      </xdr:nvSpPr>
      <xdr:spPr bwMode="auto">
        <a:xfrm flipV="1">
          <a:off x="2676524" y="5991224"/>
          <a:ext cx="5153025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BC63"/>
  <sheetViews>
    <sheetView tabSelected="1" zoomScaleNormal="100" zoomScaleSheetLayoutView="100" workbookViewId="0">
      <selection activeCell="U35" sqref="U35"/>
    </sheetView>
  </sheetViews>
  <sheetFormatPr defaultColWidth="8.85546875" defaultRowHeight="12.75" x14ac:dyDescent="0.2"/>
  <cols>
    <col min="1" max="1" width="8.85546875" style="42"/>
    <col min="2" max="2" width="7.85546875" style="43" hidden="1" customWidth="1"/>
    <col min="3" max="4" width="0" style="43" hidden="1" customWidth="1"/>
    <col min="5" max="10" width="8.85546875" style="43"/>
    <col min="11" max="11" width="9.140625" style="43" customWidth="1"/>
    <col min="12" max="12" width="9" style="43" hidden="1" customWidth="1"/>
    <col min="13" max="13" width="9.5703125" style="43" hidden="1" customWidth="1"/>
    <col min="14" max="20" width="7.85546875" style="43" customWidth="1"/>
    <col min="21" max="21" width="20.28515625" style="43" customWidth="1"/>
    <col min="22" max="24" width="3.28515625" style="43" customWidth="1"/>
    <col min="25" max="16384" width="8.85546875" style="42"/>
  </cols>
  <sheetData>
    <row r="1" spans="1:55" s="9" customFormat="1" ht="19.5" x14ac:dyDescent="0.25">
      <c r="A1" s="88" t="s">
        <v>30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56"/>
      <c r="W1" s="56"/>
      <c r="X1" s="56"/>
      <c r="Y1" s="23"/>
      <c r="Z1" s="23"/>
      <c r="AA1" s="23"/>
    </row>
    <row r="2" spans="1:55" s="11" customFormat="1" ht="15.75" x14ac:dyDescent="0.25">
      <c r="A2" s="89" t="s">
        <v>31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60"/>
      <c r="W2" s="60"/>
      <c r="X2" s="60"/>
      <c r="Y2" s="25"/>
      <c r="Z2" s="25"/>
      <c r="AA2" s="77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</row>
    <row r="3" spans="1:55" s="10" customFormat="1" ht="15.75" x14ac:dyDescent="0.25">
      <c r="A3" s="90" t="s">
        <v>21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61"/>
      <c r="W3" s="61"/>
      <c r="X3" s="61"/>
      <c r="Y3" s="26"/>
      <c r="Z3" s="26"/>
      <c r="AA3" s="78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27"/>
      <c r="AP3" s="52"/>
      <c r="AQ3" s="52"/>
      <c r="AR3" s="52"/>
      <c r="AS3" s="52"/>
      <c r="AT3" s="52"/>
      <c r="AU3" s="52"/>
      <c r="AV3" s="52"/>
      <c r="AW3" s="52"/>
    </row>
    <row r="4" spans="1:55" s="11" customFormat="1" x14ac:dyDescent="0.25">
      <c r="A4" s="91" t="s">
        <v>22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59"/>
      <c r="W4" s="59"/>
      <c r="X4" s="59"/>
      <c r="Y4" s="28"/>
      <c r="Z4" s="28"/>
      <c r="AA4" s="28"/>
      <c r="AB4" s="50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29"/>
      <c r="AO4" s="24"/>
      <c r="AP4" s="24"/>
      <c r="AQ4" s="30"/>
      <c r="AR4" s="24"/>
      <c r="AS4" s="24"/>
      <c r="AT4" s="24"/>
      <c r="AU4" s="24"/>
      <c r="AV4" s="24"/>
      <c r="AW4" s="24"/>
    </row>
    <row r="5" spans="1:55" s="10" customFormat="1" ht="19.899999999999999" customHeight="1" x14ac:dyDescent="0.4">
      <c r="A5" s="92" t="s">
        <v>0</v>
      </c>
      <c r="D5" s="81"/>
      <c r="E5" s="81"/>
      <c r="F5" s="81"/>
      <c r="G5" s="81"/>
      <c r="H5" s="81"/>
      <c r="I5" s="81"/>
      <c r="J5" s="81"/>
      <c r="K5" s="82"/>
      <c r="U5" s="57" t="s">
        <v>23</v>
      </c>
      <c r="V5" s="58"/>
      <c r="W5" s="58"/>
      <c r="X5" s="58"/>
      <c r="Y5" s="31"/>
      <c r="AA5" s="8"/>
      <c r="AB5" s="50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29"/>
      <c r="AO5" s="52"/>
      <c r="AP5" s="52"/>
      <c r="AQ5" s="27"/>
      <c r="AR5" s="52"/>
      <c r="AS5" s="52"/>
      <c r="AT5" s="43"/>
      <c r="AU5" s="43"/>
      <c r="AV5" s="42"/>
      <c r="AW5" s="42"/>
    </row>
    <row r="6" spans="1:55" s="2" customFormat="1" ht="20.45" customHeight="1" x14ac:dyDescent="0.2">
      <c r="A6" s="93"/>
      <c r="B6" s="97" t="s">
        <v>18</v>
      </c>
      <c r="C6" s="97"/>
      <c r="D6" s="97"/>
      <c r="E6" s="97"/>
      <c r="F6" s="97"/>
      <c r="G6" s="97"/>
      <c r="H6" s="97"/>
      <c r="I6" s="97"/>
      <c r="J6" s="97"/>
      <c r="K6" s="98"/>
      <c r="L6" s="97" t="s">
        <v>15</v>
      </c>
      <c r="M6" s="97"/>
      <c r="N6" s="97"/>
      <c r="O6" s="97"/>
      <c r="P6" s="97"/>
      <c r="Q6" s="97"/>
      <c r="R6" s="97"/>
      <c r="S6" s="97"/>
      <c r="T6" s="97"/>
      <c r="U6" s="62" t="s">
        <v>24</v>
      </c>
      <c r="V6" s="58"/>
      <c r="W6" s="58"/>
      <c r="X6" s="58"/>
      <c r="AA6" s="8"/>
      <c r="AB6" s="50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29"/>
      <c r="AO6" s="8"/>
      <c r="AP6" s="8"/>
      <c r="AQ6" s="27"/>
      <c r="AR6" s="8"/>
      <c r="AS6" s="8"/>
      <c r="AT6" s="43"/>
      <c r="AU6" s="41" t="s">
        <v>0</v>
      </c>
      <c r="AV6" s="24" t="s">
        <v>27</v>
      </c>
      <c r="AW6" s="24" t="s">
        <v>28</v>
      </c>
    </row>
    <row r="7" spans="1:55" s="2" customFormat="1" ht="15" x14ac:dyDescent="0.2">
      <c r="A7" s="93"/>
      <c r="B7" s="95" t="s">
        <v>19</v>
      </c>
      <c r="C7" s="95"/>
      <c r="D7" s="95"/>
      <c r="E7" s="95"/>
      <c r="F7" s="95"/>
      <c r="G7" s="95"/>
      <c r="H7" s="95"/>
      <c r="I7" s="95"/>
      <c r="J7" s="95"/>
      <c r="K7" s="96"/>
      <c r="L7" s="95" t="s">
        <v>16</v>
      </c>
      <c r="M7" s="95"/>
      <c r="N7" s="95"/>
      <c r="O7" s="95"/>
      <c r="P7" s="95"/>
      <c r="Q7" s="95"/>
      <c r="R7" s="95"/>
      <c r="S7" s="95"/>
      <c r="T7" s="95"/>
      <c r="U7" s="64" t="s">
        <v>25</v>
      </c>
      <c r="V7" s="32"/>
      <c r="W7" s="32"/>
      <c r="X7" s="32"/>
      <c r="Y7" s="33"/>
      <c r="AA7" s="63"/>
      <c r="AB7" s="50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29"/>
      <c r="AO7" s="8"/>
      <c r="AP7" s="8"/>
      <c r="AQ7" s="27"/>
      <c r="AR7" s="8"/>
      <c r="AS7" s="8"/>
      <c r="AT7" s="43"/>
      <c r="AU7" s="42" t="s">
        <v>2</v>
      </c>
      <c r="AV7" s="41">
        <v>15131.434517689773</v>
      </c>
      <c r="AW7" s="44">
        <f t="shared" ref="AW7:AW18" si="0">U11</f>
        <v>54.920502107156835</v>
      </c>
    </row>
    <row r="8" spans="1:55" s="2" customFormat="1" ht="18" customHeight="1" x14ac:dyDescent="0.2">
      <c r="A8" s="94"/>
      <c r="B8" s="34">
        <v>2004</v>
      </c>
      <c r="C8" s="3">
        <v>2006</v>
      </c>
      <c r="D8" s="4">
        <v>2007</v>
      </c>
      <c r="E8" s="4">
        <v>2008</v>
      </c>
      <c r="F8" s="4">
        <v>2009</v>
      </c>
      <c r="G8" s="4">
        <v>2010</v>
      </c>
      <c r="H8" s="18">
        <v>2011</v>
      </c>
      <c r="I8" s="18">
        <v>2012</v>
      </c>
      <c r="J8" s="18">
        <v>2013</v>
      </c>
      <c r="K8" s="35">
        <v>2014</v>
      </c>
      <c r="L8" s="3">
        <v>2006</v>
      </c>
      <c r="M8" s="4">
        <v>2007</v>
      </c>
      <c r="N8" s="4">
        <v>2008</v>
      </c>
      <c r="O8" s="4">
        <v>2009</v>
      </c>
      <c r="P8" s="4">
        <v>2010</v>
      </c>
      <c r="Q8" s="18">
        <v>2011</v>
      </c>
      <c r="R8" s="18">
        <v>2012</v>
      </c>
      <c r="S8" s="18">
        <v>2013</v>
      </c>
      <c r="T8" s="18">
        <v>2014</v>
      </c>
      <c r="U8" s="87" t="s">
        <v>26</v>
      </c>
      <c r="V8" s="36"/>
      <c r="W8" s="36"/>
      <c r="X8" s="36"/>
      <c r="Y8" s="10"/>
      <c r="Z8" s="10"/>
      <c r="AA8" s="52"/>
      <c r="AB8" s="50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29"/>
      <c r="AO8" s="8"/>
      <c r="AP8" s="8"/>
      <c r="AQ8" s="27"/>
      <c r="AR8" s="8"/>
      <c r="AS8" s="8"/>
      <c r="AT8" s="43"/>
      <c r="AU8" s="42" t="s">
        <v>3</v>
      </c>
      <c r="AV8" s="41">
        <v>9148.580069118716</v>
      </c>
      <c r="AW8" s="44">
        <f t="shared" si="0"/>
        <v>-1.5590938360594342</v>
      </c>
    </row>
    <row r="9" spans="1:55" s="2" customFormat="1" ht="19.5" customHeight="1" x14ac:dyDescent="0.25">
      <c r="A9" s="12" t="s">
        <v>1</v>
      </c>
      <c r="B9" s="65">
        <v>158164.22039550898</v>
      </c>
      <c r="C9" s="66">
        <f t="shared" ref="C9:H9" si="1">SUM(C10:C22)</f>
        <v>184158.22232353999</v>
      </c>
      <c r="D9" s="66">
        <f t="shared" si="1"/>
        <v>144168.55007429901</v>
      </c>
      <c r="E9" s="66">
        <f t="shared" si="1"/>
        <v>132574.40869617424</v>
      </c>
      <c r="F9" s="49">
        <f t="shared" si="1"/>
        <v>116735.861139502</v>
      </c>
      <c r="G9" s="49">
        <f t="shared" si="1"/>
        <v>122175.13745201197</v>
      </c>
      <c r="H9" s="66">
        <f t="shared" si="1"/>
        <v>120836.031774473</v>
      </c>
      <c r="I9" s="66">
        <f>SUM(I10:I22)</f>
        <v>120000.92939572019</v>
      </c>
      <c r="J9" s="66">
        <f>SUM(J10:J22)</f>
        <v>129843.14697257247</v>
      </c>
      <c r="K9" s="67">
        <f>SUM(K10:K22)</f>
        <v>128683.22700000019</v>
      </c>
      <c r="L9" s="68">
        <f t="shared" ref="L9:Q9" si="2">C9/C9*100</f>
        <v>100</v>
      </c>
      <c r="M9" s="68">
        <f t="shared" si="2"/>
        <v>100</v>
      </c>
      <c r="N9" s="68">
        <f>E9/E9*100</f>
        <v>100</v>
      </c>
      <c r="O9" s="68">
        <f>F9/F9*100</f>
        <v>100</v>
      </c>
      <c r="P9" s="68">
        <f>G9/G9*100</f>
        <v>100</v>
      </c>
      <c r="Q9" s="68">
        <f t="shared" si="2"/>
        <v>100</v>
      </c>
      <c r="R9" s="68">
        <f>I9/I9*100</f>
        <v>100</v>
      </c>
      <c r="S9" s="68">
        <f>J9/J9*100</f>
        <v>100</v>
      </c>
      <c r="T9" s="68">
        <f>K9/K9*100</f>
        <v>100</v>
      </c>
      <c r="U9" s="83">
        <f t="shared" ref="U9:U22" si="3">((K9-J9)/J9)*100</f>
        <v>-0.89332398329601725</v>
      </c>
      <c r="V9" s="37"/>
      <c r="W9" s="37"/>
      <c r="X9" s="37"/>
      <c r="Y9" s="10"/>
      <c r="Z9" s="10"/>
      <c r="AA9" s="52"/>
      <c r="AB9" s="50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29"/>
      <c r="AO9" s="8"/>
      <c r="AP9" s="8"/>
      <c r="AQ9" s="27"/>
      <c r="AR9" s="8"/>
      <c r="AS9" s="8"/>
      <c r="AT9" s="22"/>
      <c r="AU9" s="17" t="s">
        <v>4</v>
      </c>
      <c r="AV9" s="54">
        <v>8322.4547200830148</v>
      </c>
      <c r="AW9" s="55">
        <f t="shared" si="0"/>
        <v>-15.515581206219874</v>
      </c>
    </row>
    <row r="10" spans="1:55" s="2" customFormat="1" ht="19.5" customHeight="1" x14ac:dyDescent="0.25">
      <c r="A10" s="12" t="s">
        <v>20</v>
      </c>
      <c r="B10" s="69">
        <v>2545.5379953090001</v>
      </c>
      <c r="C10" s="53">
        <v>3177.03000204</v>
      </c>
      <c r="D10" s="53">
        <v>3047.842600599</v>
      </c>
      <c r="E10" s="53">
        <v>1349.825001405</v>
      </c>
      <c r="F10" s="53">
        <v>1337.8850005019999</v>
      </c>
      <c r="G10" s="53" t="s">
        <v>29</v>
      </c>
      <c r="H10" s="53" t="s">
        <v>29</v>
      </c>
      <c r="I10" s="53">
        <v>134.74387105900701</v>
      </c>
      <c r="J10" s="53">
        <v>1600.4226499999997</v>
      </c>
      <c r="K10" s="70">
        <v>2123.2380000000007</v>
      </c>
      <c r="L10" s="19">
        <f>SUM(C10/$C$9)*100</f>
        <v>1.7251632655632434</v>
      </c>
      <c r="M10" s="19">
        <f>SUM(D10/$D$9)*100</f>
        <v>2.1140828558158193</v>
      </c>
      <c r="N10" s="19">
        <f>(E10/E9)*100</f>
        <v>1.0181640745601548</v>
      </c>
      <c r="O10" s="19">
        <f>(F10/F9)*100</f>
        <v>1.1460788376788493</v>
      </c>
      <c r="P10" s="19">
        <v>0</v>
      </c>
      <c r="Q10" s="19">
        <v>0</v>
      </c>
      <c r="R10" s="19">
        <f>(I10/I9)*100</f>
        <v>0.11228568956717815</v>
      </c>
      <c r="S10" s="13">
        <f t="shared" ref="S10:S22" si="4">J10/$J$9*100</f>
        <v>1.2325815318832856</v>
      </c>
      <c r="T10" s="13">
        <f>K10/$K$9*100</f>
        <v>1.6499726106495587</v>
      </c>
      <c r="U10" s="84">
        <f t="shared" si="3"/>
        <v>32.667330095584504</v>
      </c>
      <c r="V10" s="38"/>
      <c r="X10" s="38"/>
      <c r="Y10" s="39"/>
      <c r="Z10" s="10"/>
      <c r="AA10" s="52"/>
      <c r="AB10" s="50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29"/>
      <c r="AO10" s="8"/>
      <c r="AP10" s="8"/>
      <c r="AQ10" s="27"/>
      <c r="AR10" s="8"/>
      <c r="AS10" s="8"/>
      <c r="AT10" s="22"/>
      <c r="AU10" s="17" t="s">
        <v>5</v>
      </c>
      <c r="AV10" s="54">
        <v>16024.174764017633</v>
      </c>
      <c r="AW10" s="55">
        <f t="shared" si="0"/>
        <v>112.90396298721302</v>
      </c>
    </row>
    <row r="11" spans="1:55" s="2" customFormat="1" ht="19.5" customHeight="1" x14ac:dyDescent="0.25">
      <c r="A11" s="47" t="s">
        <v>2</v>
      </c>
      <c r="B11" s="71">
        <v>12466.947093400002</v>
      </c>
      <c r="C11" s="71">
        <v>19690.288337000002</v>
      </c>
      <c r="D11" s="71">
        <v>11778.794461500001</v>
      </c>
      <c r="E11" s="71">
        <v>13113.147132180809</v>
      </c>
      <c r="F11" s="72">
        <v>10138.822638600001</v>
      </c>
      <c r="G11" s="72">
        <v>12855.661022048003</v>
      </c>
      <c r="H11" s="72">
        <v>14955.189976228001</v>
      </c>
      <c r="I11" s="72">
        <v>7654.3823507463503</v>
      </c>
      <c r="J11" s="72">
        <v>9767.2253264603569</v>
      </c>
      <c r="K11" s="73">
        <v>15131.434517689773</v>
      </c>
      <c r="L11" s="20">
        <f>SUM(C11/$C$9)*100</f>
        <v>10.692049525981494</v>
      </c>
      <c r="M11" s="20">
        <f>SUM(D11/$D$9)*100</f>
        <v>8.1701553185002265</v>
      </c>
      <c r="N11" s="20">
        <f>(E11/E9)*100</f>
        <v>9.8911601878102307</v>
      </c>
      <c r="O11" s="20">
        <f>(F11/F9)*100</f>
        <v>8.6852682111830894</v>
      </c>
      <c r="P11" s="20">
        <f>(G11/$G$9)*100</f>
        <v>10.52232171794974</v>
      </c>
      <c r="Q11" s="20">
        <f t="shared" ref="Q11:Q22" si="5">(H11/$H$9)*100</f>
        <v>12.376432556259543</v>
      </c>
      <c r="R11" s="20">
        <f t="shared" ref="R11:R22" si="6">(I11/$I$9)*100</f>
        <v>6.3786025569059825</v>
      </c>
      <c r="S11" s="14">
        <f t="shared" si="4"/>
        <v>7.5223264024273417</v>
      </c>
      <c r="T11" s="14">
        <f>K11/$K$9*100</f>
        <v>11.758668841658556</v>
      </c>
      <c r="U11" s="85">
        <f t="shared" si="3"/>
        <v>54.920502107156835</v>
      </c>
      <c r="V11" s="27"/>
      <c r="X11" s="27"/>
      <c r="Y11" s="39"/>
      <c r="Z11" s="10"/>
      <c r="AA11" s="52"/>
      <c r="AB11" s="50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29"/>
      <c r="AO11" s="8"/>
      <c r="AP11" s="8"/>
      <c r="AQ11" s="27"/>
      <c r="AR11" s="8"/>
      <c r="AS11" s="8"/>
      <c r="AT11" s="22"/>
      <c r="AU11" s="17" t="s">
        <v>6</v>
      </c>
      <c r="AV11" s="54">
        <v>12472.820144779125</v>
      </c>
      <c r="AW11" s="55">
        <f t="shared" si="0"/>
        <v>86.379841960330623</v>
      </c>
    </row>
    <row r="12" spans="1:55" s="2" customFormat="1" ht="19.5" customHeight="1" x14ac:dyDescent="0.25">
      <c r="A12" s="47" t="s">
        <v>3</v>
      </c>
      <c r="B12" s="71">
        <v>13710.511713900001</v>
      </c>
      <c r="C12" s="71">
        <v>18710.168704799999</v>
      </c>
      <c r="D12" s="71">
        <v>13943.6417979</v>
      </c>
      <c r="E12" s="71">
        <v>9647.9394705406994</v>
      </c>
      <c r="F12" s="72">
        <v>8548.9532250000011</v>
      </c>
      <c r="G12" s="72">
        <v>10335.278311753002</v>
      </c>
      <c r="H12" s="72">
        <v>12368.042381476002</v>
      </c>
      <c r="I12" s="72">
        <v>7719.8029243069659</v>
      </c>
      <c r="J12" s="72">
        <v>9293.4740501910273</v>
      </c>
      <c r="K12" s="73">
        <v>9148.580069118716</v>
      </c>
      <c r="L12" s="20">
        <f t="shared" ref="L12:L22" si="7">SUM(C12/$C$9)*100</f>
        <v>10.15983346751082</v>
      </c>
      <c r="M12" s="20">
        <f t="shared" ref="M12:M22" si="8">SUM(D12/$D$9)*100</f>
        <v>9.6717639115562815</v>
      </c>
      <c r="N12" s="20">
        <f>(E12/E9)*100</f>
        <v>7.2773769579099117</v>
      </c>
      <c r="O12" s="20">
        <f>(F12/F9)*100</f>
        <v>7.3233307584751604</v>
      </c>
      <c r="P12" s="20">
        <f>(G12/$G$9)*100</f>
        <v>8.4593956899066303</v>
      </c>
      <c r="Q12" s="20">
        <f t="shared" si="5"/>
        <v>10.235392705182155</v>
      </c>
      <c r="R12" s="20">
        <f t="shared" si="6"/>
        <v>6.433119279309758</v>
      </c>
      <c r="S12" s="14">
        <f t="shared" si="4"/>
        <v>7.1574621124626177</v>
      </c>
      <c r="T12" s="14">
        <f t="shared" ref="T12:T22" si="9">K12/$K$9*100</f>
        <v>7.1093803616835798</v>
      </c>
      <c r="U12" s="85">
        <f t="shared" si="3"/>
        <v>-1.5590938360594342</v>
      </c>
      <c r="V12" s="27"/>
      <c r="X12" s="27"/>
      <c r="Y12" s="39"/>
      <c r="Z12" s="10"/>
      <c r="AA12" s="52"/>
      <c r="AB12" s="50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29"/>
      <c r="AO12" s="8"/>
      <c r="AP12" s="8"/>
      <c r="AQ12" s="27"/>
      <c r="AR12" s="8"/>
      <c r="AS12" s="8"/>
      <c r="AT12" s="22"/>
      <c r="AU12" s="17" t="s">
        <v>7</v>
      </c>
      <c r="AV12" s="54">
        <v>10574.246900258211</v>
      </c>
      <c r="AW12" s="55">
        <f t="shared" si="0"/>
        <v>-5.8131932347564357</v>
      </c>
    </row>
    <row r="13" spans="1:55" s="2" customFormat="1" ht="19.5" customHeight="1" x14ac:dyDescent="0.25">
      <c r="A13" s="47" t="s">
        <v>4</v>
      </c>
      <c r="B13" s="71">
        <v>15623.270086900002</v>
      </c>
      <c r="C13" s="71">
        <v>14816.925615800003</v>
      </c>
      <c r="D13" s="71">
        <v>15652.418095600002</v>
      </c>
      <c r="E13" s="71">
        <v>7740.1221805707237</v>
      </c>
      <c r="F13" s="72">
        <v>8921.2875488999998</v>
      </c>
      <c r="G13" s="72">
        <v>8893.0532510739977</v>
      </c>
      <c r="H13" s="72">
        <v>9653.7175542229998</v>
      </c>
      <c r="I13" s="72">
        <v>7106.4788059804832</v>
      </c>
      <c r="J13" s="72">
        <v>9850.8752725132399</v>
      </c>
      <c r="K13" s="73">
        <v>8322.4547200830148</v>
      </c>
      <c r="L13" s="20">
        <f t="shared" si="7"/>
        <v>8.0457583858345227</v>
      </c>
      <c r="M13" s="20">
        <f t="shared" si="8"/>
        <v>10.857026783950687</v>
      </c>
      <c r="N13" s="20">
        <f>(E13/E9)*100</f>
        <v>5.8383229890989385</v>
      </c>
      <c r="O13" s="20">
        <f>(F13/F9)*100</f>
        <v>7.6422852941812449</v>
      </c>
      <c r="P13" s="20">
        <f t="shared" ref="P13:P22" si="10">(G13/$G$9)*100</f>
        <v>7.2789386093934345</v>
      </c>
      <c r="Q13" s="20">
        <f t="shared" si="5"/>
        <v>7.9891050810412159</v>
      </c>
      <c r="R13" s="20">
        <f t="shared" si="6"/>
        <v>5.9220198058182163</v>
      </c>
      <c r="S13" s="14">
        <f t="shared" si="4"/>
        <v>7.5867502461212668</v>
      </c>
      <c r="T13" s="14">
        <f t="shared" si="9"/>
        <v>6.4673966561959171</v>
      </c>
      <c r="U13" s="85">
        <f t="shared" si="3"/>
        <v>-15.515581206219874</v>
      </c>
      <c r="V13" s="27"/>
      <c r="X13" s="27"/>
      <c r="Y13" s="39"/>
      <c r="Z13" s="10"/>
      <c r="AA13" s="52"/>
      <c r="AB13" s="50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29"/>
      <c r="AO13" s="8"/>
      <c r="AP13" s="8"/>
      <c r="AQ13" s="27"/>
      <c r="AR13" s="8"/>
      <c r="AS13" s="8"/>
      <c r="AT13" s="22"/>
      <c r="AU13" s="17" t="s">
        <v>8</v>
      </c>
      <c r="AV13" s="54">
        <v>5943.6414964833157</v>
      </c>
      <c r="AW13" s="55">
        <f t="shared" si="0"/>
        <v>-47.046947406359671</v>
      </c>
    </row>
    <row r="14" spans="1:55" s="2" customFormat="1" ht="19.5" customHeight="1" x14ac:dyDescent="0.25">
      <c r="A14" s="47" t="s">
        <v>5</v>
      </c>
      <c r="B14" s="71">
        <v>11633.922348700002</v>
      </c>
      <c r="C14" s="71">
        <v>19863.581100799998</v>
      </c>
      <c r="D14" s="71">
        <v>12062.433073</v>
      </c>
      <c r="E14" s="71">
        <v>8181.8797916150088</v>
      </c>
      <c r="F14" s="72">
        <v>10034.579629299998</v>
      </c>
      <c r="G14" s="72">
        <v>8289.3330808690025</v>
      </c>
      <c r="H14" s="72">
        <v>10557.514762582001</v>
      </c>
      <c r="I14" s="72">
        <v>11496.477852750637</v>
      </c>
      <c r="J14" s="72">
        <v>7526.4802679976619</v>
      </c>
      <c r="K14" s="73">
        <v>16024.174764017633</v>
      </c>
      <c r="L14" s="20">
        <f t="shared" si="7"/>
        <v>10.786149458970391</v>
      </c>
      <c r="M14" s="20">
        <f t="shared" si="8"/>
        <v>8.366896293805743</v>
      </c>
      <c r="N14" s="20">
        <f>(E14/E9)*100</f>
        <v>6.1715378345497518</v>
      </c>
      <c r="O14" s="20">
        <f>(F14/F9)*100</f>
        <v>8.595970022706604</v>
      </c>
      <c r="P14" s="20">
        <f>(G14/$G$9)*100</f>
        <v>6.7847953796040468</v>
      </c>
      <c r="Q14" s="20">
        <f t="shared" si="5"/>
        <v>8.7370584812702443</v>
      </c>
      <c r="R14" s="20">
        <f t="shared" si="6"/>
        <v>9.5803240113577459</v>
      </c>
      <c r="S14" s="14">
        <f t="shared" si="4"/>
        <v>5.7965941549364359</v>
      </c>
      <c r="T14" s="14">
        <f t="shared" si="9"/>
        <v>12.452419120650129</v>
      </c>
      <c r="U14" s="85">
        <f t="shared" si="3"/>
        <v>112.90396298721302</v>
      </c>
      <c r="V14" s="27"/>
      <c r="X14" s="27"/>
      <c r="Y14" s="39"/>
      <c r="Z14" s="10"/>
      <c r="AA14" s="52"/>
      <c r="AB14" s="50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29"/>
      <c r="AO14" s="8"/>
      <c r="AP14" s="8"/>
      <c r="AQ14" s="27"/>
      <c r="AR14" s="8"/>
      <c r="AS14" s="8"/>
      <c r="AT14" s="22"/>
      <c r="AU14" s="17" t="s">
        <v>9</v>
      </c>
      <c r="AV14" s="54">
        <v>8151.8591659124086</v>
      </c>
      <c r="AW14" s="55">
        <f t="shared" si="0"/>
        <v>-28.913190510524682</v>
      </c>
    </row>
    <row r="15" spans="1:55" s="2" customFormat="1" ht="19.5" customHeight="1" x14ac:dyDescent="0.25">
      <c r="A15" s="47" t="s">
        <v>6</v>
      </c>
      <c r="B15" s="71">
        <v>7982.9282002999989</v>
      </c>
      <c r="C15" s="71">
        <v>16649.074995300001</v>
      </c>
      <c r="D15" s="71">
        <v>10419.721759199998</v>
      </c>
      <c r="E15" s="71">
        <v>9476.4677443160999</v>
      </c>
      <c r="F15" s="72">
        <v>9008.3806908999995</v>
      </c>
      <c r="G15" s="72">
        <v>9278.2452381209951</v>
      </c>
      <c r="H15" s="72">
        <v>7156.1713736889997</v>
      </c>
      <c r="I15" s="72">
        <v>13126.340141529225</v>
      </c>
      <c r="J15" s="72">
        <v>6692.1508321880965</v>
      </c>
      <c r="K15" s="73">
        <v>12472.820144779125</v>
      </c>
      <c r="L15" s="20">
        <f t="shared" si="7"/>
        <v>9.040636244875305</v>
      </c>
      <c r="M15" s="20">
        <f t="shared" si="8"/>
        <v>7.2274582451096778</v>
      </c>
      <c r="N15" s="20">
        <f>(E15/E9)*100</f>
        <v>7.1480369684572205</v>
      </c>
      <c r="O15" s="20">
        <f>(F15/F9)*100</f>
        <v>7.7168923096689035</v>
      </c>
      <c r="P15" s="20">
        <f t="shared" si="10"/>
        <v>7.5942171473024205</v>
      </c>
      <c r="Q15" s="20">
        <f t="shared" si="5"/>
        <v>5.9222164685490482</v>
      </c>
      <c r="R15" s="20">
        <f t="shared" si="6"/>
        <v>10.93853206606696</v>
      </c>
      <c r="S15" s="14">
        <f t="shared" si="4"/>
        <v>5.1540269842671931</v>
      </c>
      <c r="T15" s="14">
        <f t="shared" si="9"/>
        <v>9.692654152027993</v>
      </c>
      <c r="U15" s="85">
        <f t="shared" si="3"/>
        <v>86.379841960330623</v>
      </c>
      <c r="V15" s="27"/>
      <c r="X15" s="27"/>
      <c r="Y15" s="39"/>
      <c r="Z15" s="10"/>
      <c r="AA15" s="52"/>
      <c r="AB15" s="50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29"/>
      <c r="AO15" s="8"/>
      <c r="AP15" s="8"/>
      <c r="AQ15" s="27"/>
      <c r="AR15" s="8"/>
      <c r="AS15" s="8"/>
      <c r="AT15" s="22"/>
      <c r="AU15" s="17" t="s">
        <v>10</v>
      </c>
      <c r="AV15" s="54">
        <v>10124.88573889277</v>
      </c>
      <c r="AW15" s="55">
        <f t="shared" si="0"/>
        <v>9.2405213561918398</v>
      </c>
    </row>
    <row r="16" spans="1:55" s="2" customFormat="1" ht="19.5" customHeight="1" x14ac:dyDescent="0.25">
      <c r="A16" s="47" t="s">
        <v>7</v>
      </c>
      <c r="B16" s="71">
        <v>9373.6505414999992</v>
      </c>
      <c r="C16" s="71">
        <v>14315.4143202</v>
      </c>
      <c r="D16" s="71">
        <v>8433.3081339</v>
      </c>
      <c r="E16" s="71">
        <v>12345.20847997075</v>
      </c>
      <c r="F16" s="72">
        <v>8662.8603586000008</v>
      </c>
      <c r="G16" s="72">
        <v>12686.896192269001</v>
      </c>
      <c r="H16" s="72">
        <v>10604.482355167002</v>
      </c>
      <c r="I16" s="72">
        <v>8892.1734252299484</v>
      </c>
      <c r="J16" s="72">
        <v>11226.887568886428</v>
      </c>
      <c r="K16" s="73">
        <v>10574.246900258211</v>
      </c>
      <c r="L16" s="20">
        <f t="shared" si="7"/>
        <v>7.7734320735621782</v>
      </c>
      <c r="M16" s="20">
        <f t="shared" si="8"/>
        <v>5.849617083305473</v>
      </c>
      <c r="N16" s="20">
        <f>(E16/E9)*100</f>
        <v>9.3119091394650155</v>
      </c>
      <c r="O16" s="20">
        <f>(F16/F9)*100</f>
        <v>7.4209075720507913</v>
      </c>
      <c r="P16" s="20">
        <f t="shared" si="10"/>
        <v>10.384188188249158</v>
      </c>
      <c r="Q16" s="20">
        <f t="shared" si="5"/>
        <v>8.7759273450481121</v>
      </c>
      <c r="R16" s="20">
        <f t="shared" si="6"/>
        <v>7.4100871301644151</v>
      </c>
      <c r="S16" s="14">
        <f t="shared" si="4"/>
        <v>8.6464998967238138</v>
      </c>
      <c r="T16" s="14">
        <f t="shared" si="9"/>
        <v>8.2172689842928754</v>
      </c>
      <c r="U16" s="85">
        <f t="shared" si="3"/>
        <v>-5.8131932347564357</v>
      </c>
      <c r="V16" s="27"/>
      <c r="X16" s="27"/>
      <c r="Y16" s="39"/>
      <c r="Z16" s="10"/>
      <c r="AA16" s="52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8"/>
      <c r="AO16" s="51"/>
      <c r="AP16" s="51"/>
      <c r="AQ16" s="51"/>
      <c r="AR16" s="51"/>
      <c r="AS16" s="51"/>
      <c r="AT16" s="22"/>
      <c r="AU16" s="17" t="s">
        <v>11</v>
      </c>
      <c r="AV16" s="54">
        <v>8516.499470765677</v>
      </c>
      <c r="AW16" s="55">
        <f t="shared" si="0"/>
        <v>-42.378100573508917</v>
      </c>
      <c r="AX16" s="5"/>
      <c r="AY16" s="5"/>
      <c r="AZ16" s="5"/>
      <c r="BA16" s="5"/>
      <c r="BB16" s="5"/>
      <c r="BC16" s="5"/>
    </row>
    <row r="17" spans="1:49" s="2" customFormat="1" ht="19.5" customHeight="1" x14ac:dyDescent="0.25">
      <c r="A17" s="47" t="s">
        <v>8</v>
      </c>
      <c r="B17" s="71">
        <v>11903.1712649</v>
      </c>
      <c r="C17" s="71">
        <v>8751.1891511000013</v>
      </c>
      <c r="D17" s="71">
        <v>7911.7651720000003</v>
      </c>
      <c r="E17" s="71">
        <v>9832.5584535682246</v>
      </c>
      <c r="F17" s="72">
        <v>9703.507051300001</v>
      </c>
      <c r="G17" s="72">
        <v>7118.7020560559959</v>
      </c>
      <c r="H17" s="72">
        <v>8156.2926204970008</v>
      </c>
      <c r="I17" s="72">
        <v>8574.5320683597911</v>
      </c>
      <c r="J17" s="72">
        <v>11224.360457733363</v>
      </c>
      <c r="K17" s="73">
        <v>5943.6414964833157</v>
      </c>
      <c r="L17" s="20">
        <f t="shared" si="7"/>
        <v>4.7519948013645559</v>
      </c>
      <c r="M17" s="20">
        <f t="shared" si="8"/>
        <v>5.487857905155165</v>
      </c>
      <c r="N17" s="20">
        <f>(E17/E9)*100</f>
        <v>7.4166338362495505</v>
      </c>
      <c r="O17" s="20">
        <f>(F17/F9)*100</f>
        <v>8.3123617340725229</v>
      </c>
      <c r="P17" s="20">
        <f>(G17/$G$9)*100</f>
        <v>5.8266372393909398</v>
      </c>
      <c r="Q17" s="20">
        <f t="shared" si="5"/>
        <v>6.749884534208979</v>
      </c>
      <c r="R17" s="20">
        <f t="shared" si="6"/>
        <v>7.1453880495242235</v>
      </c>
      <c r="S17" s="14">
        <f t="shared" si="4"/>
        <v>8.6445536167606516</v>
      </c>
      <c r="T17" s="14">
        <f t="shared" si="9"/>
        <v>4.6188160143693837</v>
      </c>
      <c r="U17" s="85">
        <f t="shared" si="3"/>
        <v>-47.046947406359671</v>
      </c>
      <c r="V17" s="27"/>
      <c r="X17" s="27"/>
      <c r="Y17" s="39"/>
      <c r="Z17" s="10"/>
      <c r="AA17" s="52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22"/>
      <c r="AU17" s="17" t="s">
        <v>12</v>
      </c>
      <c r="AV17" s="54">
        <v>10254.910819876141</v>
      </c>
      <c r="AW17" s="55">
        <f t="shared" si="0"/>
        <v>-34.044650588029747</v>
      </c>
    </row>
    <row r="18" spans="1:49" s="2" customFormat="1" ht="19.5" customHeight="1" x14ac:dyDescent="0.25">
      <c r="A18" s="47" t="s">
        <v>9</v>
      </c>
      <c r="B18" s="71">
        <v>15728.9849574</v>
      </c>
      <c r="C18" s="71">
        <v>12979.6516398</v>
      </c>
      <c r="D18" s="71">
        <v>8643.2039788000002</v>
      </c>
      <c r="E18" s="71">
        <v>12316.505667336427</v>
      </c>
      <c r="F18" s="72">
        <v>9072.8776328000022</v>
      </c>
      <c r="G18" s="72">
        <v>9666.3831596980035</v>
      </c>
      <c r="H18" s="72">
        <v>9236.857506600998</v>
      </c>
      <c r="I18" s="72">
        <v>7636.4221581192196</v>
      </c>
      <c r="J18" s="72">
        <v>11467.470863380531</v>
      </c>
      <c r="K18" s="73">
        <v>8151.8591659124086</v>
      </c>
      <c r="L18" s="20">
        <f t="shared" si="7"/>
        <v>7.0480978128669092</v>
      </c>
      <c r="M18" s="20">
        <f t="shared" si="8"/>
        <v>5.9952076748677987</v>
      </c>
      <c r="N18" s="20">
        <f>(E18/E9)*100</f>
        <v>9.290258797655758</v>
      </c>
      <c r="O18" s="20">
        <f>(F18/F9)*100</f>
        <v>7.7721426340083344</v>
      </c>
      <c r="P18" s="20">
        <f t="shared" si="10"/>
        <v>7.9119069241847768</v>
      </c>
      <c r="Q18" s="20">
        <f t="shared" si="5"/>
        <v>7.6441251594893194</v>
      </c>
      <c r="R18" s="20">
        <f t="shared" si="6"/>
        <v>6.3636358456333513</v>
      </c>
      <c r="S18" s="14">
        <f t="shared" si="4"/>
        <v>8.8317875303830036</v>
      </c>
      <c r="T18" s="14">
        <f t="shared" si="9"/>
        <v>6.3348265006692728</v>
      </c>
      <c r="U18" s="85">
        <f t="shared" si="3"/>
        <v>-28.913190510524682</v>
      </c>
      <c r="V18" s="27"/>
      <c r="X18" s="27"/>
      <c r="Y18" s="39"/>
      <c r="Z18" s="10"/>
      <c r="AA18" s="52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22"/>
      <c r="AU18" s="17" t="s">
        <v>13</v>
      </c>
      <c r="AV18" s="54">
        <v>11894.48119212342</v>
      </c>
      <c r="AW18" s="55">
        <f t="shared" si="0"/>
        <v>2.5639793110740587</v>
      </c>
    </row>
    <row r="19" spans="1:49" s="2" customFormat="1" ht="19.5" customHeight="1" x14ac:dyDescent="0.25">
      <c r="A19" s="47" t="s">
        <v>10</v>
      </c>
      <c r="B19" s="71">
        <v>11568.905916599999</v>
      </c>
      <c r="C19" s="71">
        <v>12044.405309500002</v>
      </c>
      <c r="D19" s="71">
        <v>12069.019487999998</v>
      </c>
      <c r="E19" s="71">
        <v>11953.453356854649</v>
      </c>
      <c r="F19" s="72">
        <v>8743.8147609999996</v>
      </c>
      <c r="G19" s="72">
        <v>11963.435728895</v>
      </c>
      <c r="H19" s="72">
        <v>8492.9045429220023</v>
      </c>
      <c r="I19" s="72">
        <v>8898.5551975141716</v>
      </c>
      <c r="J19" s="72">
        <v>9268.4341059480703</v>
      </c>
      <c r="K19" s="73">
        <v>10124.88573889277</v>
      </c>
      <c r="L19" s="20">
        <f t="shared" si="7"/>
        <v>6.5402484654416799</v>
      </c>
      <c r="M19" s="20">
        <f t="shared" si="8"/>
        <v>8.3714648456824214</v>
      </c>
      <c r="N19" s="20">
        <f>(E19/E9)*100</f>
        <v>9.0164108400806278</v>
      </c>
      <c r="O19" s="20">
        <f>(F19/F9)*100</f>
        <v>7.4902559296246967</v>
      </c>
      <c r="P19" s="20">
        <f>(G19/$G$9)*100</f>
        <v>9.7920378715301268</v>
      </c>
      <c r="Q19" s="20">
        <f t="shared" si="5"/>
        <v>7.0284536972987182</v>
      </c>
      <c r="R19" s="20">
        <f t="shared" si="6"/>
        <v>7.415405232546088</v>
      </c>
      <c r="S19" s="14">
        <f t="shared" si="4"/>
        <v>7.1381773486327278</v>
      </c>
      <c r="T19" s="14">
        <f t="shared" si="9"/>
        <v>7.868069502867499</v>
      </c>
      <c r="U19" s="85">
        <f t="shared" si="3"/>
        <v>9.2405213561918398</v>
      </c>
      <c r="V19" s="27"/>
      <c r="X19" s="27"/>
      <c r="Y19" s="39"/>
      <c r="Z19" s="10"/>
      <c r="AA19" s="52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</row>
    <row r="20" spans="1:49" s="2" customFormat="1" ht="19.5" customHeight="1" x14ac:dyDescent="0.25">
      <c r="A20" s="47" t="s">
        <v>11</v>
      </c>
      <c r="B20" s="71">
        <v>16968.891484100001</v>
      </c>
      <c r="C20" s="71">
        <v>16715.122410299999</v>
      </c>
      <c r="D20" s="71">
        <v>13642.206243600001</v>
      </c>
      <c r="E20" s="71">
        <v>10929.080083659226</v>
      </c>
      <c r="F20" s="72">
        <v>12423.727199099998</v>
      </c>
      <c r="G20" s="72">
        <v>8955.5466069860031</v>
      </c>
      <c r="H20" s="72">
        <v>12514.620116255997</v>
      </c>
      <c r="I20" s="72">
        <v>10731.297585609453</v>
      </c>
      <c r="J20" s="72">
        <v>14779.970038353686</v>
      </c>
      <c r="K20" s="73">
        <v>8516.499470765677</v>
      </c>
      <c r="L20" s="20">
        <f t="shared" si="7"/>
        <v>9.0765007390948256</v>
      </c>
      <c r="M20" s="20">
        <f t="shared" si="8"/>
        <v>9.4626783973129545</v>
      </c>
      <c r="N20" s="20">
        <f>(E20/E9)*100</f>
        <v>8.2437328524736699</v>
      </c>
      <c r="O20" s="20">
        <f>(F20/F9)*100</f>
        <v>10.642596951637135</v>
      </c>
      <c r="P20" s="20">
        <f t="shared" si="10"/>
        <v>7.3300892421779089</v>
      </c>
      <c r="Q20" s="20">
        <f t="shared" si="5"/>
        <v>10.356695707794463</v>
      </c>
      <c r="R20" s="20">
        <f t="shared" si="6"/>
        <v>8.942678727280077</v>
      </c>
      <c r="S20" s="14">
        <f t="shared" si="4"/>
        <v>11.382941944156471</v>
      </c>
      <c r="T20" s="14">
        <f t="shared" si="9"/>
        <v>6.6181892304936252</v>
      </c>
      <c r="U20" s="85">
        <f t="shared" si="3"/>
        <v>-42.378100573508917</v>
      </c>
      <c r="V20" s="27"/>
      <c r="X20" s="27"/>
      <c r="Y20" s="39"/>
      <c r="Z20" s="10"/>
      <c r="AA20" s="52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</row>
    <row r="21" spans="1:49" s="2" customFormat="1" ht="19.5" customHeight="1" x14ac:dyDescent="0.25">
      <c r="A21" s="47" t="s">
        <v>12</v>
      </c>
      <c r="B21" s="71">
        <v>15375.629316300001</v>
      </c>
      <c r="C21" s="71">
        <v>13810.5821636</v>
      </c>
      <c r="D21" s="71">
        <v>15039.034291699998</v>
      </c>
      <c r="E21" s="71">
        <v>13951.230871886104</v>
      </c>
      <c r="F21" s="72">
        <v>10259.292206299999</v>
      </c>
      <c r="G21" s="72">
        <v>10583.017568889996</v>
      </c>
      <c r="H21" s="72">
        <v>8293.5629008889991</v>
      </c>
      <c r="I21" s="72">
        <v>13742.635969865547</v>
      </c>
      <c r="J21" s="72">
        <v>15548.262440127372</v>
      </c>
      <c r="K21" s="73">
        <v>10254.910819876141</v>
      </c>
      <c r="L21" s="20">
        <f t="shared" si="7"/>
        <v>7.4993024961637369</v>
      </c>
      <c r="M21" s="20">
        <f t="shared" si="8"/>
        <v>10.431563807744094</v>
      </c>
      <c r="N21" s="20">
        <f>(E21/E9)*100</f>
        <v>10.523321211907998</v>
      </c>
      <c r="O21" s="20">
        <f>(F21/F9)*100</f>
        <v>8.7884666341218924</v>
      </c>
      <c r="P21" s="20">
        <f>(G21/$G$9)*100</f>
        <v>8.6621695621556398</v>
      </c>
      <c r="Q21" s="20">
        <f t="shared" si="5"/>
        <v>6.8634849879612156</v>
      </c>
      <c r="R21" s="20">
        <f t="shared" si="6"/>
        <v>11.452107945387025</v>
      </c>
      <c r="S21" s="14">
        <f t="shared" si="4"/>
        <v>11.974650031712279</v>
      </c>
      <c r="T21" s="14">
        <f t="shared" si="9"/>
        <v>7.9691122603539668</v>
      </c>
      <c r="U21" s="85">
        <f t="shared" si="3"/>
        <v>-34.044650588029747</v>
      </c>
      <c r="V21" s="27"/>
      <c r="X21" s="27"/>
      <c r="Y21" s="39"/>
      <c r="Z21" s="10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</row>
    <row r="22" spans="1:49" s="2" customFormat="1" ht="19.5" customHeight="1" x14ac:dyDescent="0.25">
      <c r="A22" s="48" t="s">
        <v>13</v>
      </c>
      <c r="B22" s="74">
        <v>13281.869476199998</v>
      </c>
      <c r="C22" s="74">
        <v>12634.7885733</v>
      </c>
      <c r="D22" s="74">
        <v>11525.160978499998</v>
      </c>
      <c r="E22" s="74">
        <v>11736.99046227052</v>
      </c>
      <c r="F22" s="75">
        <v>9879.8731971999987</v>
      </c>
      <c r="G22" s="75">
        <v>11549.585235352994</v>
      </c>
      <c r="H22" s="75">
        <v>8846.6756839430018</v>
      </c>
      <c r="I22" s="75">
        <v>14287.087044649401</v>
      </c>
      <c r="J22" s="75">
        <v>11597.133098792654</v>
      </c>
      <c r="K22" s="76">
        <v>11894.48119212342</v>
      </c>
      <c r="L22" s="21">
        <f t="shared" si="7"/>
        <v>6.8608332627703481</v>
      </c>
      <c r="M22" s="21">
        <f t="shared" si="8"/>
        <v>7.9942268771936513</v>
      </c>
      <c r="N22" s="21">
        <f>(E22/E9)*100</f>
        <v>8.8531343097811757</v>
      </c>
      <c r="O22" s="21">
        <f>(F22/F9)*100</f>
        <v>8.4634431105907773</v>
      </c>
      <c r="P22" s="21">
        <f t="shared" si="10"/>
        <v>9.4533024281551938</v>
      </c>
      <c r="Q22" s="21">
        <f t="shared" si="5"/>
        <v>7.3212232758969913</v>
      </c>
      <c r="R22" s="21">
        <f t="shared" si="6"/>
        <v>11.905813660438989</v>
      </c>
      <c r="S22" s="15">
        <f t="shared" si="4"/>
        <v>8.9316481995329209</v>
      </c>
      <c r="T22" s="15">
        <f t="shared" si="9"/>
        <v>9.2432257640876543</v>
      </c>
      <c r="U22" s="86">
        <f t="shared" si="3"/>
        <v>2.5639793110740587</v>
      </c>
      <c r="V22" s="27"/>
      <c r="X22" s="27"/>
      <c r="Y22" s="39"/>
      <c r="Z22" s="10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</row>
    <row r="23" spans="1:49" s="40" customFormat="1" ht="15" x14ac:dyDescent="0.2">
      <c r="A23" s="1" t="s">
        <v>14</v>
      </c>
      <c r="B23" s="6"/>
      <c r="C23" s="16"/>
      <c r="D23" s="16"/>
      <c r="E23" s="16"/>
      <c r="F23" s="6"/>
      <c r="G23" s="6"/>
      <c r="H23" s="6"/>
      <c r="I23" s="6"/>
      <c r="J23" s="16"/>
      <c r="K23" s="16"/>
      <c r="L23" s="6"/>
      <c r="M23" s="6"/>
      <c r="N23" s="6"/>
      <c r="O23" s="6"/>
      <c r="P23" s="6"/>
      <c r="Q23" s="6"/>
      <c r="R23" s="6"/>
      <c r="S23" s="6"/>
      <c r="T23" s="6"/>
      <c r="U23" s="7" t="s">
        <v>17</v>
      </c>
      <c r="V23" s="7"/>
      <c r="W23" s="7"/>
      <c r="X23" s="7"/>
      <c r="Y23" s="6"/>
      <c r="Z23" s="2"/>
      <c r="AA23" s="8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</row>
    <row r="24" spans="1:49" s="40" customFormat="1" ht="12" x14ac:dyDescent="0.2"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</row>
    <row r="25" spans="1:49" s="40" customFormat="1" ht="12" x14ac:dyDescent="0.2"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</row>
    <row r="26" spans="1:49" s="40" customFormat="1" ht="12" x14ac:dyDescent="0.2"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</row>
    <row r="27" spans="1:49" s="40" customFormat="1" ht="12" x14ac:dyDescent="0.2"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</row>
    <row r="28" spans="1:49" s="40" customFormat="1" ht="12" x14ac:dyDescent="0.2"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</row>
    <row r="29" spans="1:49" x14ac:dyDescent="0.2">
      <c r="A29" s="40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0"/>
      <c r="Z29" s="40"/>
      <c r="AA29" s="40"/>
    </row>
    <row r="30" spans="1:49" x14ac:dyDescent="0.2">
      <c r="A30" s="40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0"/>
      <c r="Z30" s="40"/>
      <c r="AA30" s="40"/>
    </row>
    <row r="31" spans="1:49" x14ac:dyDescent="0.2">
      <c r="A31" s="40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0"/>
      <c r="Z31" s="40"/>
      <c r="AA31" s="40"/>
    </row>
    <row r="32" spans="1:49" x14ac:dyDescent="0.2">
      <c r="A32" s="40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0"/>
      <c r="Z32" s="40"/>
      <c r="AA32" s="40"/>
    </row>
    <row r="33" spans="1:27" x14ac:dyDescent="0.2">
      <c r="A33" s="40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0"/>
      <c r="Z33" s="40"/>
      <c r="AA33" s="40"/>
    </row>
    <row r="34" spans="1:27" x14ac:dyDescent="0.2">
      <c r="A34" s="40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0"/>
      <c r="Z34" s="40"/>
      <c r="AA34" s="40"/>
    </row>
    <row r="35" spans="1:27" x14ac:dyDescent="0.2">
      <c r="A35" s="40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0"/>
      <c r="Z35" s="40"/>
      <c r="AA35" s="40"/>
    </row>
    <row r="36" spans="1:27" x14ac:dyDescent="0.2"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</row>
    <row r="37" spans="1:27" x14ac:dyDescent="0.2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</row>
    <row r="38" spans="1:27" x14ac:dyDescent="0.2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</row>
    <row r="39" spans="1:27" x14ac:dyDescent="0.2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</row>
    <row r="40" spans="1:27" x14ac:dyDescent="0.2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</row>
    <row r="41" spans="1:27" x14ac:dyDescent="0.2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</row>
    <row r="42" spans="1:27" x14ac:dyDescent="0.2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</row>
    <row r="43" spans="1:27" x14ac:dyDescent="0.2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</row>
    <row r="44" spans="1:27" x14ac:dyDescent="0.2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</row>
    <row r="45" spans="1:27" x14ac:dyDescent="0.2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</row>
    <row r="46" spans="1:27" x14ac:dyDescent="0.2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</row>
    <row r="47" spans="1:27" x14ac:dyDescent="0.2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</row>
    <row r="48" spans="1:27" x14ac:dyDescent="0.2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</row>
    <row r="49" spans="2:20" x14ac:dyDescent="0.2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</row>
    <row r="50" spans="2:20" x14ac:dyDescent="0.2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</row>
    <row r="51" spans="2:20" x14ac:dyDescent="0.2">
      <c r="B51" s="41"/>
      <c r="C51" s="41"/>
      <c r="D51" s="41"/>
      <c r="E51" s="41"/>
      <c r="I51" s="24"/>
      <c r="J51" s="24"/>
      <c r="K51" s="24"/>
      <c r="L51" s="24"/>
      <c r="M51" s="24"/>
      <c r="N51" s="24"/>
      <c r="O51" s="24"/>
      <c r="P51" s="24"/>
      <c r="Q51" s="41"/>
      <c r="R51" s="41"/>
      <c r="S51" s="41"/>
      <c r="T51" s="41"/>
    </row>
    <row r="52" spans="2:20" x14ac:dyDescent="0.2">
      <c r="I52" s="45"/>
      <c r="J52" s="45"/>
      <c r="K52" s="45"/>
      <c r="L52" s="42"/>
      <c r="M52" s="42"/>
      <c r="N52" s="41"/>
      <c r="O52" s="41"/>
      <c r="P52" s="41"/>
      <c r="Q52" s="41"/>
      <c r="R52" s="41"/>
      <c r="S52" s="41"/>
      <c r="T52" s="41"/>
    </row>
    <row r="53" spans="2:20" x14ac:dyDescent="0.2">
      <c r="I53" s="45"/>
      <c r="J53" s="45"/>
      <c r="K53" s="45"/>
      <c r="L53" s="42"/>
      <c r="M53" s="42"/>
      <c r="N53" s="41"/>
      <c r="O53" s="41"/>
      <c r="P53" s="41"/>
      <c r="Q53" s="41"/>
      <c r="R53" s="41"/>
      <c r="S53" s="41"/>
      <c r="T53" s="41"/>
    </row>
    <row r="54" spans="2:20" x14ac:dyDescent="0.2">
      <c r="I54" s="45"/>
      <c r="J54" s="45"/>
      <c r="K54" s="45"/>
      <c r="L54" s="42"/>
      <c r="M54" s="42"/>
      <c r="N54" s="41"/>
      <c r="O54" s="41"/>
      <c r="P54" s="41"/>
      <c r="Q54" s="41"/>
      <c r="R54" s="41"/>
      <c r="S54" s="41"/>
      <c r="T54" s="41"/>
    </row>
    <row r="55" spans="2:20" x14ac:dyDescent="0.2">
      <c r="I55" s="45"/>
      <c r="J55" s="45"/>
      <c r="K55" s="45"/>
      <c r="L55" s="42"/>
      <c r="M55" s="42"/>
      <c r="N55" s="41"/>
      <c r="O55" s="41"/>
      <c r="P55" s="41"/>
      <c r="Q55" s="41"/>
      <c r="R55" s="41"/>
      <c r="S55" s="41"/>
      <c r="T55" s="41"/>
    </row>
    <row r="56" spans="2:20" x14ac:dyDescent="0.2">
      <c r="I56" s="45"/>
      <c r="J56" s="45"/>
      <c r="K56" s="45"/>
      <c r="L56" s="42"/>
      <c r="M56" s="42"/>
      <c r="N56" s="41"/>
      <c r="O56" s="41"/>
      <c r="P56" s="41"/>
      <c r="Q56" s="41"/>
      <c r="R56" s="41"/>
      <c r="S56" s="41"/>
      <c r="T56" s="41"/>
    </row>
    <row r="57" spans="2:20" x14ac:dyDescent="0.2">
      <c r="I57" s="45"/>
      <c r="J57" s="45"/>
      <c r="K57" s="45"/>
      <c r="L57" s="42"/>
      <c r="M57" s="42"/>
      <c r="N57" s="41"/>
      <c r="O57" s="41"/>
      <c r="P57" s="41"/>
      <c r="Q57" s="41"/>
      <c r="R57" s="41"/>
      <c r="S57" s="41"/>
      <c r="T57" s="41"/>
    </row>
    <row r="58" spans="2:20" x14ac:dyDescent="0.2">
      <c r="I58" s="45"/>
      <c r="J58" s="45"/>
      <c r="K58" s="45"/>
      <c r="L58" s="42"/>
      <c r="M58" s="42"/>
      <c r="N58" s="41"/>
      <c r="O58" s="41"/>
      <c r="P58" s="41"/>
      <c r="Q58" s="41"/>
      <c r="R58" s="41"/>
      <c r="S58" s="41"/>
      <c r="T58" s="41"/>
    </row>
    <row r="59" spans="2:20" x14ac:dyDescent="0.2">
      <c r="I59" s="46"/>
      <c r="J59" s="46"/>
      <c r="K59" s="46"/>
      <c r="L59" s="42"/>
      <c r="M59" s="42"/>
    </row>
    <row r="60" spans="2:20" x14ac:dyDescent="0.2">
      <c r="I60" s="46"/>
      <c r="J60" s="46"/>
      <c r="K60" s="46"/>
      <c r="L60" s="42"/>
      <c r="M60" s="42"/>
    </row>
    <row r="61" spans="2:20" x14ac:dyDescent="0.2">
      <c r="I61" s="46"/>
      <c r="J61" s="46"/>
      <c r="K61" s="46"/>
      <c r="L61" s="42"/>
      <c r="M61" s="42"/>
    </row>
    <row r="62" spans="2:20" x14ac:dyDescent="0.2">
      <c r="I62" s="46"/>
      <c r="J62" s="46"/>
      <c r="K62" s="46"/>
      <c r="L62" s="42"/>
      <c r="M62" s="42"/>
    </row>
    <row r="63" spans="2:20" x14ac:dyDescent="0.2">
      <c r="I63" s="46"/>
      <c r="J63" s="46"/>
      <c r="K63" s="46"/>
      <c r="L63" s="42"/>
      <c r="M63" s="42"/>
    </row>
  </sheetData>
  <mergeCells count="9">
    <mergeCell ref="A1:U1"/>
    <mergeCell ref="A2:U2"/>
    <mergeCell ref="A3:U3"/>
    <mergeCell ref="A4:U4"/>
    <mergeCell ref="A5:A8"/>
    <mergeCell ref="B7:K7"/>
    <mergeCell ref="B6:K6"/>
    <mergeCell ref="L6:T6"/>
    <mergeCell ref="L7:T7"/>
  </mergeCells>
  <pageMargins left="0.5" right="0.16" top="0.75" bottom="0.75" header="0.3" footer="0.3"/>
  <pageSetup paperSize="9" scale="73" orientation="landscape" r:id="rId1"/>
  <colBreaks count="1" manualBreakCount="1">
    <brk id="2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9.4</vt:lpstr>
      <vt:lpstr>'9.4'!Print_Area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2016-01-17T08:14:44Z</cp:lastPrinted>
  <dcterms:created xsi:type="dcterms:W3CDTF">2014-03-04T03:52:57Z</dcterms:created>
  <dcterms:modified xsi:type="dcterms:W3CDTF">2016-01-17T08:14:46Z</dcterms:modified>
</cp:coreProperties>
</file>