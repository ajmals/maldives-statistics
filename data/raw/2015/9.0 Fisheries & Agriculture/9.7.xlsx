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4130" windowHeight="12255" tabRatio="898"/>
  </bookViews>
  <sheets>
    <sheet name="9.7" sheetId="23" r:id="rId1"/>
  </sheets>
  <definedNames>
    <definedName name="_xlnm.Print_Area" localSheetId="0">'9.7'!$A$1:$K$66</definedName>
  </definedNames>
  <calcPr calcId="144525"/>
</workbook>
</file>

<file path=xl/calcChain.xml><?xml version="1.0" encoding="utf-8"?>
<calcChain xmlns="http://schemas.openxmlformats.org/spreadsheetml/2006/main">
  <c r="B12" i="23" l="1"/>
  <c r="J43" i="23" l="1"/>
  <c r="J40" i="23" s="1"/>
  <c r="H43" i="23"/>
  <c r="H40" i="23" s="1"/>
  <c r="G43" i="23"/>
  <c r="G40" i="23" s="1"/>
  <c r="E43" i="23"/>
  <c r="E40" i="23" s="1"/>
  <c r="C43" i="23"/>
  <c r="C40" i="23" s="1"/>
  <c r="B43" i="23"/>
  <c r="B40" i="23" s="1"/>
  <c r="I40" i="23"/>
  <c r="J12" i="23"/>
  <c r="J9" i="23" s="1"/>
  <c r="H12" i="23"/>
  <c r="H9" i="23" s="1"/>
  <c r="G12" i="23"/>
  <c r="G9" i="23" s="1"/>
  <c r="E12" i="23"/>
  <c r="E9" i="23" s="1"/>
  <c r="C12" i="23"/>
  <c r="C9" i="23" s="1"/>
  <c r="B9" i="23"/>
  <c r="I9" i="23"/>
</calcChain>
</file>

<file path=xl/sharedStrings.xml><?xml version="1.0" encoding="utf-8"?>
<sst xmlns="http://schemas.openxmlformats.org/spreadsheetml/2006/main" count="146" uniqueCount="72">
  <si>
    <t>ah</t>
  </si>
  <si>
    <t>dh</t>
  </si>
  <si>
    <t>S</t>
  </si>
  <si>
    <t>n</t>
  </si>
  <si>
    <t>r</t>
  </si>
  <si>
    <t>b</t>
  </si>
  <si>
    <t>L</t>
  </si>
  <si>
    <t>k</t>
  </si>
  <si>
    <t xml:space="preserve"> aa</t>
  </si>
  <si>
    <t>da</t>
  </si>
  <si>
    <t>v</t>
  </si>
  <si>
    <t>m</t>
  </si>
  <si>
    <t>f</t>
  </si>
  <si>
    <t>d</t>
  </si>
  <si>
    <t>t</t>
  </si>
  <si>
    <t>l</t>
  </si>
  <si>
    <t>ag</t>
  </si>
  <si>
    <t>dg</t>
  </si>
  <si>
    <t>N</t>
  </si>
  <si>
    <t>s</t>
  </si>
  <si>
    <t xml:space="preserve"> HA</t>
  </si>
  <si>
    <t xml:space="preserve"> HDh</t>
  </si>
  <si>
    <t xml:space="preserve"> Sh</t>
  </si>
  <si>
    <t xml:space="preserve"> N</t>
  </si>
  <si>
    <t xml:space="preserve"> R</t>
  </si>
  <si>
    <t>B</t>
  </si>
  <si>
    <t>Lh</t>
  </si>
  <si>
    <t>K</t>
  </si>
  <si>
    <t xml:space="preserve"> AA</t>
  </si>
  <si>
    <t>ADh</t>
  </si>
  <si>
    <t>V</t>
  </si>
  <si>
    <t>M</t>
  </si>
  <si>
    <t>F</t>
  </si>
  <si>
    <t>Dh</t>
  </si>
  <si>
    <t>Th</t>
  </si>
  <si>
    <t xml:space="preserve"> L</t>
  </si>
  <si>
    <t>GA</t>
  </si>
  <si>
    <t>GDh</t>
  </si>
  <si>
    <t>Gn</t>
  </si>
  <si>
    <t>އެހެނިހެން</t>
  </si>
  <si>
    <t>Source: Ministry of Fisheries  and Agriculture</t>
  </si>
  <si>
    <t xml:space="preserve"> rwCclwkircgea cDcnea  czIrwxif cfoa IrcTcsinim :ctWrwf ivcaedutWmUluAwm</t>
  </si>
  <si>
    <t xml:space="preserve"> Locality</t>
  </si>
  <si>
    <t>Republic</t>
  </si>
  <si>
    <t>ejcaWriLum</t>
  </si>
  <si>
    <t>Male'</t>
  </si>
  <si>
    <t>elWm</t>
  </si>
  <si>
    <t>Atolls</t>
  </si>
  <si>
    <t>cawtuLotwa</t>
  </si>
  <si>
    <t>EEZ</t>
  </si>
  <si>
    <t xml:space="preserve">      cnudcawHwrws IdWBitcqia</t>
  </si>
  <si>
    <t xml:space="preserve"> cnudcawHwrws IdWBitcqia</t>
  </si>
  <si>
    <t>Vadhu dhoni</t>
  </si>
  <si>
    <t>Wrukcaob</t>
  </si>
  <si>
    <t>Miscellaneous</t>
  </si>
  <si>
    <r>
      <t xml:space="preserve">                               </t>
    </r>
    <r>
      <rPr>
        <b/>
        <sz val="10"/>
        <rFont val="Calibri"/>
        <family val="2"/>
      </rPr>
      <t xml:space="preserve">  Fishing Trips</t>
    </r>
    <r>
      <rPr>
        <b/>
        <sz val="10"/>
        <rFont val="A_Randhoo"/>
      </rPr>
      <t xml:space="preserve">                            urwhwfirufcSwhwm</t>
    </r>
  </si>
  <si>
    <t>ތަން</t>
  </si>
  <si>
    <t>inOdcswm iLeaunIjcnia</t>
  </si>
  <si>
    <t>inOdigenWyir</t>
  </si>
  <si>
    <t>inOdudwv iLeaunIjcnia</t>
  </si>
  <si>
    <t>inOdudwvigenWyir</t>
  </si>
  <si>
    <t>Mechanised</t>
  </si>
  <si>
    <t>Sailing</t>
  </si>
  <si>
    <t>Rowing</t>
  </si>
  <si>
    <t>Masdhoni</t>
  </si>
  <si>
    <t>vadhu dhoni</t>
  </si>
  <si>
    <t>boats</t>
  </si>
  <si>
    <t>Table 9.7  ( continued )</t>
  </si>
  <si>
    <t>inOdcswmiLeaunIjcnia</t>
  </si>
  <si>
    <t>2014 ,udwdwA irufcSwhwm urwhwfinOd iaWdwdwA egurwhwfudnwLua Wrukcnwkirevcswm irufcSwhwm ukwhwm emcnok cSokcjercvea ,cnutogegunwt : 9.7 ulwvWt</t>
  </si>
  <si>
    <t>Table 9.7 :  NUMBER OF VESSELS ENGAGED PER MONTH IN FISHING AND NUMBER OF FISHING TRIPS BY LOCALITY, 2014</t>
  </si>
  <si>
    <r>
      <rPr>
        <b/>
        <sz val="11"/>
        <rFont val="Calibri"/>
        <family val="2"/>
      </rPr>
      <t xml:space="preserve">                         Average no. of vessels engaged per month  </t>
    </r>
    <r>
      <rPr>
        <b/>
        <sz val="11"/>
        <rFont val="A_Randhoo"/>
      </rPr>
      <t xml:space="preserve">               udwdwA egInOdirufcSwhwm ukwhwm emcnok cSokcjercvea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</si>
</sst>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 d\,\ yyyy;@"/>
    <numFmt numFmtId="165" formatCode="General_)"/>
  </numFmts>
  <fonts count="2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MS Sans Serif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9"/>
      <name val="A_Randhoo"/>
    </font>
    <font>
      <b/>
      <sz val="10"/>
      <name val="Courier"/>
      <family val="3"/>
    </font>
    <font>
      <b/>
      <sz val="9"/>
      <name val="Calibri"/>
      <family val="2"/>
    </font>
    <font>
      <sz val="10"/>
      <name val="Calibri"/>
      <family val="2"/>
      <scheme val="minor"/>
    </font>
    <font>
      <i/>
      <sz val="9"/>
      <name val="Calibri"/>
      <family val="2"/>
    </font>
    <font>
      <sz val="9"/>
      <name val="A_Randhoo"/>
    </font>
    <font>
      <b/>
      <sz val="11"/>
      <name val="A_Randhoo"/>
    </font>
    <font>
      <b/>
      <sz val="10"/>
      <name val="Calibri"/>
      <family val="2"/>
    </font>
    <font>
      <b/>
      <sz val="10"/>
      <name val="A_Randhoo"/>
    </font>
    <font>
      <b/>
      <sz val="9"/>
      <name val="Courier"/>
      <family val="3"/>
    </font>
    <font>
      <sz val="9"/>
      <name val="Calibri"/>
      <family val="2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6">
    <xf numFmtId="0" fontId="0" fillId="0" borderId="0"/>
    <xf numFmtId="40" fontId="5" fillId="0" borderId="0" applyFont="0" applyFill="0" applyBorder="0" applyAlignment="0" applyProtection="0"/>
    <xf numFmtId="164" fontId="1" fillId="0" borderId="0"/>
    <xf numFmtId="164" fontId="1" fillId="0" borderId="0"/>
    <xf numFmtId="165" fontId="1" fillId="0" borderId="0"/>
    <xf numFmtId="0" fontId="1" fillId="0" borderId="0"/>
  </cellStyleXfs>
  <cellXfs count="58">
    <xf numFmtId="0" fontId="0" fillId="0" borderId="0" xfId="0"/>
    <xf numFmtId="165" fontId="12" fillId="2" borderId="0" xfId="4" applyFont="1" applyFill="1" applyAlignment="1" applyProtection="1">
      <alignment horizontal="left" vertical="center"/>
    </xf>
    <xf numFmtId="165" fontId="10" fillId="2" borderId="0" xfId="4" applyFont="1" applyFill="1" applyAlignment="1" applyProtection="1">
      <alignment horizontal="left" vertical="center"/>
    </xf>
    <xf numFmtId="165" fontId="19" fillId="2" borderId="0" xfId="4" applyFont="1" applyFill="1" applyAlignment="1" applyProtection="1">
      <alignment horizontal="left" vertical="center"/>
    </xf>
    <xf numFmtId="165" fontId="13" fillId="2" borderId="0" xfId="4" applyFont="1" applyFill="1" applyBorder="1" applyAlignment="1">
      <alignment horizontal="right" vertical="center"/>
    </xf>
    <xf numFmtId="165" fontId="16" fillId="2" borderId="0" xfId="4" applyFont="1" applyFill="1" applyAlignment="1">
      <alignment horizontal="right" vertical="center"/>
    </xf>
    <xf numFmtId="165" fontId="2" fillId="2" borderId="0" xfId="4" applyFont="1" applyFill="1" applyAlignment="1">
      <alignment vertical="center"/>
    </xf>
    <xf numFmtId="165" fontId="1" fillId="2" borderId="0" xfId="0" applyNumberFormat="1" applyFont="1" applyFill="1"/>
    <xf numFmtId="165" fontId="7" fillId="2" borderId="0" xfId="0" applyNumberFormat="1" applyFont="1" applyFill="1"/>
    <xf numFmtId="165" fontId="15" fillId="2" borderId="0" xfId="0" applyNumberFormat="1" applyFont="1" applyFill="1" applyBorder="1" applyAlignment="1">
      <alignment vertical="center"/>
    </xf>
    <xf numFmtId="165" fontId="8" fillId="2" borderId="4" xfId="0" applyNumberFormat="1" applyFont="1" applyFill="1" applyBorder="1" applyAlignment="1">
      <alignment horizontal="right" vertical="center" wrapText="1"/>
    </xf>
    <xf numFmtId="165" fontId="16" fillId="2" borderId="4" xfId="0" applyNumberFormat="1" applyFont="1" applyFill="1" applyBorder="1" applyAlignment="1">
      <alignment horizontal="right" vertical="center"/>
    </xf>
    <xf numFmtId="165" fontId="4" fillId="2" borderId="4" xfId="0" applyNumberFormat="1" applyFont="1" applyFill="1" applyBorder="1" applyAlignment="1">
      <alignment horizontal="right" vertical="center"/>
    </xf>
    <xf numFmtId="165" fontId="16" fillId="2" borderId="4" xfId="0" applyNumberFormat="1" applyFont="1" applyFill="1" applyBorder="1" applyAlignment="1">
      <alignment horizontal="right" vertical="center" wrapText="1"/>
    </xf>
    <xf numFmtId="165" fontId="17" fillId="2" borderId="0" xfId="0" applyNumberFormat="1" applyFont="1" applyFill="1" applyBorder="1" applyAlignment="1">
      <alignment horizontal="center"/>
    </xf>
    <xf numFmtId="165" fontId="1" fillId="2" borderId="0" xfId="0" applyNumberFormat="1" applyFont="1" applyFill="1" applyBorder="1"/>
    <xf numFmtId="165" fontId="10" fillId="2" borderId="0" xfId="0" applyNumberFormat="1" applyFont="1" applyFill="1" applyBorder="1" applyAlignment="1">
      <alignment horizontal="right"/>
    </xf>
    <xf numFmtId="1" fontId="7" fillId="2" borderId="0" xfId="0" applyNumberFormat="1" applyFont="1" applyFill="1" applyAlignment="1">
      <alignment vertical="center"/>
    </xf>
    <xf numFmtId="165" fontId="10" fillId="2" borderId="2" xfId="0" applyNumberFormat="1" applyFont="1" applyFill="1" applyBorder="1" applyAlignment="1">
      <alignment horizontal="right"/>
    </xf>
    <xf numFmtId="3" fontId="15" fillId="2" borderId="1" xfId="0" applyNumberFormat="1" applyFont="1" applyFill="1" applyBorder="1" applyAlignment="1">
      <alignment horizontal="right" vertical="center"/>
    </xf>
    <xf numFmtId="165" fontId="8" fillId="2" borderId="0" xfId="4" applyFont="1" applyFill="1" applyAlignment="1">
      <alignment horizontal="right" vertical="center"/>
    </xf>
    <xf numFmtId="1" fontId="9" fillId="2" borderId="0" xfId="0" applyNumberFormat="1" applyFont="1" applyFill="1" applyAlignment="1">
      <alignment vertical="center"/>
    </xf>
    <xf numFmtId="3" fontId="15" fillId="2" borderId="0" xfId="0" applyNumberFormat="1" applyFont="1" applyFill="1" applyBorder="1" applyAlignment="1">
      <alignment horizontal="right" vertical="center"/>
    </xf>
    <xf numFmtId="165" fontId="18" fillId="2" borderId="0" xfId="0" applyNumberFormat="1" applyFont="1" applyFill="1" applyAlignment="1" applyProtection="1">
      <alignment horizontal="left" vertical="center"/>
    </xf>
    <xf numFmtId="3" fontId="7" fillId="2" borderId="0" xfId="0" applyNumberFormat="1" applyFont="1" applyFill="1" applyBorder="1" applyAlignment="1">
      <alignment horizontal="right" vertical="center"/>
    </xf>
    <xf numFmtId="165" fontId="13" fillId="2" borderId="0" xfId="0" applyNumberFormat="1" applyFont="1" applyFill="1" applyAlignment="1">
      <alignment horizontal="right" vertical="center"/>
    </xf>
    <xf numFmtId="1" fontId="1" fillId="2" borderId="0" xfId="0" applyNumberFormat="1" applyFont="1" applyFill="1" applyAlignment="1">
      <alignment vertical="center"/>
    </xf>
    <xf numFmtId="165" fontId="1" fillId="2" borderId="0" xfId="0" applyNumberFormat="1" applyFont="1" applyFill="1" applyAlignment="1">
      <alignment vertical="center"/>
    </xf>
    <xf numFmtId="165" fontId="18" fillId="2" borderId="2" xfId="0" applyNumberFormat="1" applyFont="1" applyFill="1" applyBorder="1" applyAlignment="1" applyProtection="1">
      <alignment horizontal="left" vertical="center"/>
    </xf>
    <xf numFmtId="3" fontId="7" fillId="2" borderId="2" xfId="0" applyNumberFormat="1" applyFont="1" applyFill="1" applyBorder="1" applyAlignment="1">
      <alignment horizontal="right" vertical="center"/>
    </xf>
    <xf numFmtId="165" fontId="13" fillId="2" borderId="2" xfId="0" applyNumberFormat="1" applyFont="1" applyFill="1" applyBorder="1" applyAlignment="1">
      <alignment horizontal="right" vertical="center"/>
    </xf>
    <xf numFmtId="165" fontId="1" fillId="2" borderId="0" xfId="0" applyNumberFormat="1" applyFont="1" applyFill="1" applyBorder="1" applyAlignment="1">
      <alignment vertical="center"/>
    </xf>
    <xf numFmtId="165" fontId="18" fillId="2" borderId="0" xfId="0" applyNumberFormat="1" applyFont="1" applyFill="1" applyAlignment="1">
      <alignment vertical="center"/>
    </xf>
    <xf numFmtId="165" fontId="9" fillId="2" borderId="0" xfId="0" applyNumberFormat="1" applyFont="1" applyFill="1"/>
    <xf numFmtId="3" fontId="3" fillId="2" borderId="0" xfId="0" applyNumberFormat="1" applyFont="1" applyFill="1" applyBorder="1" applyAlignment="1">
      <alignment horizontal="right" vertical="center"/>
    </xf>
    <xf numFmtId="3" fontId="11" fillId="2" borderId="0" xfId="0" applyNumberFormat="1" applyFont="1" applyFill="1" applyBorder="1" applyAlignment="1">
      <alignment horizontal="right" vertical="center"/>
    </xf>
    <xf numFmtId="3" fontId="11" fillId="2" borderId="2" xfId="0" applyNumberFormat="1" applyFont="1" applyFill="1" applyBorder="1" applyAlignment="1">
      <alignment horizontal="right" vertical="center"/>
    </xf>
    <xf numFmtId="165" fontId="9" fillId="2" borderId="0" xfId="0" applyNumberFormat="1" applyFont="1" applyFill="1" applyBorder="1" applyAlignment="1">
      <alignment vertical="center"/>
    </xf>
    <xf numFmtId="165" fontId="1" fillId="2" borderId="2" xfId="0" applyNumberFormat="1" applyFont="1" applyFill="1" applyBorder="1"/>
    <xf numFmtId="165" fontId="4" fillId="2" borderId="4" xfId="0" applyNumberFormat="1" applyFont="1" applyFill="1" applyBorder="1" applyAlignment="1">
      <alignment horizontal="right" vertical="center" wrapText="1"/>
    </xf>
    <xf numFmtId="165" fontId="1" fillId="2" borderId="0" xfId="0" applyNumberFormat="1" applyFont="1" applyFill="1" applyAlignment="1">
      <alignment wrapText="1"/>
    </xf>
    <xf numFmtId="165" fontId="10" fillId="2" borderId="0" xfId="4" applyFont="1" applyFill="1" applyAlignment="1" applyProtection="1">
      <alignment horizontal="left" vertical="center" indent="2"/>
    </xf>
    <xf numFmtId="165" fontId="18" fillId="2" borderId="0" xfId="0" applyNumberFormat="1" applyFont="1" applyFill="1" applyAlignment="1" applyProtection="1">
      <alignment horizontal="left" vertical="center" indent="2"/>
    </xf>
    <xf numFmtId="165" fontId="18" fillId="2" borderId="2" xfId="0" applyNumberFormat="1" applyFont="1" applyFill="1" applyBorder="1" applyAlignment="1" applyProtection="1">
      <alignment horizontal="left" vertical="center" indent="2"/>
    </xf>
    <xf numFmtId="165" fontId="10" fillId="2" borderId="5" xfId="0" applyNumberFormat="1" applyFont="1" applyFill="1" applyBorder="1" applyAlignment="1">
      <alignment horizontal="right"/>
    </xf>
    <xf numFmtId="165" fontId="8" fillId="2" borderId="4" xfId="0" applyNumberFormat="1" applyFont="1" applyFill="1" applyBorder="1" applyAlignment="1">
      <alignment horizontal="right" vertical="center"/>
    </xf>
    <xf numFmtId="165" fontId="15" fillId="2" borderId="1" xfId="0" applyNumberFormat="1" applyFont="1" applyFill="1" applyBorder="1" applyAlignment="1">
      <alignment horizontal="left" vertical="center"/>
    </xf>
    <xf numFmtId="165" fontId="15" fillId="2" borderId="0" xfId="0" applyNumberFormat="1" applyFont="1" applyFill="1" applyBorder="1" applyAlignment="1">
      <alignment horizontal="left" vertical="center"/>
    </xf>
    <xf numFmtId="165" fontId="15" fillId="2" borderId="2" xfId="0" applyNumberFormat="1" applyFont="1" applyFill="1" applyBorder="1" applyAlignment="1">
      <alignment horizontal="left" vertical="center"/>
    </xf>
    <xf numFmtId="165" fontId="14" fillId="2" borderId="3" xfId="0" applyNumberFormat="1" applyFont="1" applyFill="1" applyBorder="1" applyAlignment="1">
      <alignment horizontal="left" vertical="center"/>
    </xf>
    <xf numFmtId="165" fontId="4" fillId="2" borderId="1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5" fontId="4" fillId="2" borderId="2" xfId="0" applyNumberFormat="1" applyFont="1" applyFill="1" applyBorder="1" applyAlignment="1">
      <alignment horizontal="right" vertical="center"/>
    </xf>
    <xf numFmtId="165" fontId="16" fillId="2" borderId="0" xfId="0" applyNumberFormat="1" applyFont="1" applyFill="1" applyAlignment="1">
      <alignment horizontal="center" vertical="center"/>
    </xf>
    <xf numFmtId="165" fontId="6" fillId="2" borderId="0" xfId="0" applyNumberFormat="1" applyFont="1" applyFill="1" applyAlignment="1">
      <alignment horizontal="center" vertical="top"/>
    </xf>
    <xf numFmtId="165" fontId="15" fillId="2" borderId="2" xfId="0" applyNumberFormat="1" applyFont="1" applyFill="1" applyBorder="1" applyAlignment="1">
      <alignment horizontal="center" vertical="center"/>
    </xf>
    <xf numFmtId="165" fontId="15" fillId="2" borderId="0" xfId="0" applyNumberFormat="1" applyFont="1" applyFill="1" applyBorder="1" applyAlignment="1">
      <alignment horizontal="center" vertical="center"/>
    </xf>
    <xf numFmtId="165" fontId="16" fillId="2" borderId="3" xfId="0" applyNumberFormat="1" applyFont="1" applyFill="1" applyBorder="1" applyAlignment="1">
      <alignment horizontal="left" vertical="center"/>
    </xf>
  </cellXfs>
  <cellStyles count="6">
    <cellStyle name="Comma 2" xfId="1"/>
    <cellStyle name="Normal" xfId="0" builtinId="0"/>
    <cellStyle name="Normal 2" xfId="5"/>
    <cellStyle name="Normal 3_agri planning 2009 year book(final)" xfId="3"/>
    <cellStyle name="Normal 4_agri planning 2009 year book(final)" xfId="2"/>
    <cellStyle name="Normal_Fish &amp;  Agri - 8" xfId="4"/>
  </cellStyles>
  <dxfs count="0"/>
  <tableStyles count="0" defaultTableStyle="TableStyleMedium9" defaultPivotStyle="PivotStyleLight16"/>
  <colors>
    <mruColors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M64"/>
  <sheetViews>
    <sheetView tabSelected="1" topLeftCell="E1" zoomScaleNormal="100" workbookViewId="0">
      <selection activeCell="Q42" sqref="Q42"/>
    </sheetView>
  </sheetViews>
  <sheetFormatPr defaultColWidth="12.42578125" defaultRowHeight="12" x14ac:dyDescent="0.15"/>
  <cols>
    <col min="1" max="3" width="12.42578125" style="7"/>
    <col min="4" max="4" width="6.5703125" style="7" customWidth="1"/>
    <col min="5" max="5" width="12.42578125" style="7"/>
    <col min="6" max="6" width="6.140625" style="7" customWidth="1"/>
    <col min="7" max="7" width="14.42578125" style="7" customWidth="1"/>
    <col min="8" max="9" width="12.42578125" style="7"/>
    <col min="10" max="10" width="19.7109375" style="7" customWidth="1"/>
    <col min="11" max="11" width="24.7109375" style="7" customWidth="1"/>
    <col min="12" max="16384" width="12.42578125" style="7"/>
  </cols>
  <sheetData>
    <row r="1" spans="1:247" ht="15.75" x14ac:dyDescent="0.15">
      <c r="A1" s="53" t="s">
        <v>69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spans="1:247" s="8" customFormat="1" ht="15" x14ac:dyDescent="0.2">
      <c r="A2" s="54" t="s">
        <v>70</v>
      </c>
      <c r="B2" s="54"/>
      <c r="C2" s="54"/>
      <c r="D2" s="54"/>
      <c r="E2" s="54"/>
      <c r="F2" s="54"/>
      <c r="G2" s="54"/>
      <c r="H2" s="54"/>
      <c r="I2" s="54"/>
      <c r="J2" s="54"/>
      <c r="K2" s="54"/>
    </row>
    <row r="3" spans="1:247" s="8" customFormat="1" ht="12.75" x14ac:dyDescent="0.2">
      <c r="A3" s="55"/>
      <c r="B3" s="56"/>
      <c r="C3" s="56"/>
      <c r="D3" s="56"/>
      <c r="E3" s="56"/>
      <c r="F3" s="56"/>
      <c r="G3" s="56"/>
      <c r="H3" s="56"/>
      <c r="I3" s="9"/>
    </row>
    <row r="4" spans="1:247" ht="15.75" x14ac:dyDescent="0.15">
      <c r="A4" s="46" t="s">
        <v>42</v>
      </c>
      <c r="B4" s="57" t="s">
        <v>55</v>
      </c>
      <c r="C4" s="57"/>
      <c r="D4" s="57"/>
      <c r="E4" s="57"/>
      <c r="F4" s="57"/>
      <c r="G4" s="57"/>
      <c r="H4" s="57"/>
      <c r="I4" s="57"/>
      <c r="J4" s="57"/>
      <c r="K4" s="50" t="s">
        <v>56</v>
      </c>
    </row>
    <row r="5" spans="1:247" s="40" customFormat="1" ht="39" customHeight="1" x14ac:dyDescent="0.15">
      <c r="A5" s="47"/>
      <c r="B5" s="10" t="s">
        <v>57</v>
      </c>
      <c r="C5" s="10" t="s">
        <v>58</v>
      </c>
      <c r="D5" s="10"/>
      <c r="E5" s="13" t="s">
        <v>59</v>
      </c>
      <c r="F5" s="13"/>
      <c r="G5" s="13" t="s">
        <v>60</v>
      </c>
      <c r="H5" s="13" t="s">
        <v>53</v>
      </c>
      <c r="I5" s="39" t="s">
        <v>39</v>
      </c>
      <c r="J5" s="45" t="s">
        <v>51</v>
      </c>
      <c r="K5" s="51"/>
    </row>
    <row r="6" spans="1:247" ht="1.1499999999999999" customHeight="1" x14ac:dyDescent="0.15">
      <c r="A6" s="47"/>
      <c r="B6" s="14"/>
      <c r="C6" s="14"/>
      <c r="D6" s="14"/>
      <c r="E6" s="15"/>
      <c r="F6" s="15"/>
      <c r="G6" s="15"/>
      <c r="H6" s="15"/>
      <c r="I6" s="15"/>
      <c r="J6" s="15"/>
      <c r="K6" s="51"/>
    </row>
    <row r="7" spans="1:247" s="17" customFormat="1" ht="12" customHeight="1" x14ac:dyDescent="0.2">
      <c r="A7" s="47"/>
      <c r="B7" s="16" t="s">
        <v>61</v>
      </c>
      <c r="C7" s="16" t="s">
        <v>62</v>
      </c>
      <c r="D7" s="16"/>
      <c r="E7" s="16" t="s">
        <v>61</v>
      </c>
      <c r="F7" s="16"/>
      <c r="G7" s="16" t="s">
        <v>62</v>
      </c>
      <c r="H7" s="16" t="s">
        <v>63</v>
      </c>
      <c r="I7" s="16" t="s">
        <v>54</v>
      </c>
      <c r="J7" s="16" t="s">
        <v>49</v>
      </c>
      <c r="K7" s="51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</row>
    <row r="8" spans="1:247" s="17" customFormat="1" ht="12.75" x14ac:dyDescent="0.2">
      <c r="A8" s="48"/>
      <c r="B8" s="18" t="s">
        <v>64</v>
      </c>
      <c r="C8" s="18" t="s">
        <v>64</v>
      </c>
      <c r="D8" s="18"/>
      <c r="E8" s="16" t="s">
        <v>65</v>
      </c>
      <c r="F8" s="16"/>
      <c r="G8" s="16" t="s">
        <v>65</v>
      </c>
      <c r="H8" s="16" t="s">
        <v>66</v>
      </c>
      <c r="I8" s="16"/>
      <c r="J8" s="16"/>
      <c r="K8" s="52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</row>
    <row r="9" spans="1:247" s="21" customFormat="1" ht="15" x14ac:dyDescent="0.25">
      <c r="A9" s="41" t="s">
        <v>43</v>
      </c>
      <c r="B9" s="19">
        <f>B10+B12+B11</f>
        <v>67993</v>
      </c>
      <c r="C9" s="19">
        <f>C10+C12+C11</f>
        <v>0</v>
      </c>
      <c r="D9" s="19"/>
      <c r="E9" s="19">
        <f t="shared" ref="E9:J9" si="0">E10+E12+E11</f>
        <v>707</v>
      </c>
      <c r="F9" s="19"/>
      <c r="G9" s="19">
        <f t="shared" si="0"/>
        <v>0</v>
      </c>
      <c r="H9" s="19">
        <f t="shared" si="0"/>
        <v>544</v>
      </c>
      <c r="I9" s="19">
        <f t="shared" si="0"/>
        <v>0</v>
      </c>
      <c r="J9" s="19">
        <f t="shared" si="0"/>
        <v>3174</v>
      </c>
      <c r="K9" s="20" t="s">
        <v>44</v>
      </c>
    </row>
    <row r="10" spans="1:247" s="21" customFormat="1" ht="15" x14ac:dyDescent="0.25">
      <c r="A10" s="41" t="s">
        <v>45</v>
      </c>
      <c r="B10" s="22">
        <v>7123</v>
      </c>
      <c r="C10" s="22">
        <v>0</v>
      </c>
      <c r="D10" s="22"/>
      <c r="E10" s="34">
        <v>10</v>
      </c>
      <c r="F10" s="34"/>
      <c r="G10" s="34">
        <v>0</v>
      </c>
      <c r="H10" s="34">
        <v>62</v>
      </c>
      <c r="I10" s="34">
        <v>0</v>
      </c>
      <c r="J10" s="34">
        <v>0</v>
      </c>
      <c r="K10" s="20" t="s">
        <v>46</v>
      </c>
    </row>
    <row r="11" spans="1:247" s="21" customFormat="1" ht="15" x14ac:dyDescent="0.25">
      <c r="A11" s="41" t="s">
        <v>49</v>
      </c>
      <c r="B11" s="22">
        <v>0</v>
      </c>
      <c r="C11" s="22">
        <v>0</v>
      </c>
      <c r="D11" s="22"/>
      <c r="E11" s="22">
        <v>0</v>
      </c>
      <c r="F11" s="22"/>
      <c r="G11" s="22">
        <v>0</v>
      </c>
      <c r="H11" s="22">
        <v>0</v>
      </c>
      <c r="I11" s="22">
        <v>0</v>
      </c>
      <c r="J11" s="34">
        <v>3174</v>
      </c>
      <c r="K11" s="20" t="s">
        <v>48</v>
      </c>
    </row>
    <row r="12" spans="1:247" s="21" customFormat="1" ht="15.75" x14ac:dyDescent="0.25">
      <c r="A12" s="41" t="s">
        <v>47</v>
      </c>
      <c r="B12" s="22">
        <f>SUM(B13:B32)</f>
        <v>60870</v>
      </c>
      <c r="C12" s="22">
        <f>SUM(C13:C32)</f>
        <v>0</v>
      </c>
      <c r="D12" s="22"/>
      <c r="E12" s="22">
        <f t="shared" ref="E12:J12" si="1">SUM(E13:E32)</f>
        <v>697</v>
      </c>
      <c r="F12" s="22"/>
      <c r="G12" s="22">
        <f t="shared" si="1"/>
        <v>0</v>
      </c>
      <c r="H12" s="22">
        <f t="shared" si="1"/>
        <v>482</v>
      </c>
      <c r="I12" s="22">
        <v>0</v>
      </c>
      <c r="J12" s="22">
        <f t="shared" si="1"/>
        <v>0</v>
      </c>
      <c r="K12" s="5" t="s">
        <v>50</v>
      </c>
    </row>
    <row r="13" spans="1:247" s="26" customFormat="1" ht="15" x14ac:dyDescent="0.25">
      <c r="A13" s="42" t="s">
        <v>20</v>
      </c>
      <c r="B13" s="24">
        <v>4319</v>
      </c>
      <c r="C13" s="24">
        <v>0</v>
      </c>
      <c r="D13" s="24"/>
      <c r="E13" s="34">
        <v>0</v>
      </c>
      <c r="F13" s="34"/>
      <c r="G13" s="35">
        <v>0</v>
      </c>
      <c r="H13" s="35">
        <v>0</v>
      </c>
      <c r="I13" s="35">
        <v>0</v>
      </c>
      <c r="J13" s="35">
        <v>0</v>
      </c>
      <c r="K13" s="25" t="s">
        <v>0</v>
      </c>
    </row>
    <row r="14" spans="1:247" s="26" customFormat="1" ht="15" x14ac:dyDescent="0.25">
      <c r="A14" s="42" t="s">
        <v>21</v>
      </c>
      <c r="B14" s="24">
        <v>2508</v>
      </c>
      <c r="C14" s="24">
        <v>0</v>
      </c>
      <c r="D14" s="24"/>
      <c r="E14" s="35">
        <v>40</v>
      </c>
      <c r="F14" s="35"/>
      <c r="G14" s="35">
        <v>0</v>
      </c>
      <c r="H14" s="35">
        <v>0</v>
      </c>
      <c r="I14" s="35">
        <v>0</v>
      </c>
      <c r="J14" s="35">
        <v>0</v>
      </c>
      <c r="K14" s="25" t="s">
        <v>1</v>
      </c>
    </row>
    <row r="15" spans="1:247" s="26" customFormat="1" ht="15" x14ac:dyDescent="0.25">
      <c r="A15" s="42" t="s">
        <v>22</v>
      </c>
      <c r="B15" s="24">
        <v>1998</v>
      </c>
      <c r="C15" s="24">
        <v>0</v>
      </c>
      <c r="D15" s="24"/>
      <c r="E15" s="35">
        <v>158</v>
      </c>
      <c r="F15" s="35"/>
      <c r="G15" s="35">
        <v>0</v>
      </c>
      <c r="H15" s="35">
        <v>0</v>
      </c>
      <c r="I15" s="35">
        <v>0</v>
      </c>
      <c r="J15" s="35">
        <v>0</v>
      </c>
      <c r="K15" s="25" t="s">
        <v>2</v>
      </c>
    </row>
    <row r="16" spans="1:247" s="26" customFormat="1" ht="15" x14ac:dyDescent="0.25">
      <c r="A16" s="42" t="s">
        <v>23</v>
      </c>
      <c r="B16" s="24">
        <v>659</v>
      </c>
      <c r="C16" s="24">
        <v>0</v>
      </c>
      <c r="D16" s="24"/>
      <c r="E16" s="35">
        <v>0</v>
      </c>
      <c r="F16" s="35"/>
      <c r="G16" s="35">
        <v>0</v>
      </c>
      <c r="H16" s="35">
        <v>8</v>
      </c>
      <c r="I16" s="35">
        <v>0</v>
      </c>
      <c r="J16" s="35">
        <v>0</v>
      </c>
      <c r="K16" s="25" t="s">
        <v>3</v>
      </c>
    </row>
    <row r="17" spans="1:247" s="26" customFormat="1" ht="15" x14ac:dyDescent="0.25">
      <c r="A17" s="42" t="s">
        <v>24</v>
      </c>
      <c r="B17" s="24">
        <v>4012</v>
      </c>
      <c r="C17" s="24">
        <v>0</v>
      </c>
      <c r="D17" s="24"/>
      <c r="E17" s="35">
        <v>127</v>
      </c>
      <c r="F17" s="35"/>
      <c r="G17" s="35">
        <v>0</v>
      </c>
      <c r="H17" s="35">
        <v>0</v>
      </c>
      <c r="I17" s="35">
        <v>0</v>
      </c>
      <c r="J17" s="35">
        <v>0</v>
      </c>
      <c r="K17" s="25" t="s">
        <v>4</v>
      </c>
    </row>
    <row r="18" spans="1:247" s="26" customFormat="1" ht="15" x14ac:dyDescent="0.25">
      <c r="A18" s="42" t="s">
        <v>25</v>
      </c>
      <c r="B18" s="24">
        <v>2556</v>
      </c>
      <c r="C18" s="24">
        <v>0</v>
      </c>
      <c r="D18" s="24"/>
      <c r="E18" s="35">
        <v>98</v>
      </c>
      <c r="F18" s="35"/>
      <c r="G18" s="35">
        <v>0</v>
      </c>
      <c r="H18" s="35">
        <v>19</v>
      </c>
      <c r="I18" s="35">
        <v>0</v>
      </c>
      <c r="J18" s="35">
        <v>0</v>
      </c>
      <c r="K18" s="25" t="s">
        <v>5</v>
      </c>
    </row>
    <row r="19" spans="1:247" s="26" customFormat="1" ht="15" x14ac:dyDescent="0.25">
      <c r="A19" s="42" t="s">
        <v>26</v>
      </c>
      <c r="B19" s="24">
        <v>3276</v>
      </c>
      <c r="C19" s="24">
        <v>0</v>
      </c>
      <c r="D19" s="24"/>
      <c r="E19" s="35">
        <v>0</v>
      </c>
      <c r="F19" s="35"/>
      <c r="G19" s="35">
        <v>0</v>
      </c>
      <c r="H19" s="35">
        <v>0</v>
      </c>
      <c r="I19" s="35">
        <v>0</v>
      </c>
      <c r="J19" s="35">
        <v>0</v>
      </c>
      <c r="K19" s="25" t="s">
        <v>6</v>
      </c>
    </row>
    <row r="20" spans="1:247" s="26" customFormat="1" ht="15" x14ac:dyDescent="0.25">
      <c r="A20" s="42" t="s">
        <v>27</v>
      </c>
      <c r="B20" s="24">
        <v>1810</v>
      </c>
      <c r="C20" s="24">
        <v>0</v>
      </c>
      <c r="D20" s="24"/>
      <c r="E20" s="35">
        <v>17</v>
      </c>
      <c r="F20" s="35"/>
      <c r="G20" s="35">
        <v>0</v>
      </c>
      <c r="H20" s="35">
        <v>0</v>
      </c>
      <c r="I20" s="35">
        <v>0</v>
      </c>
      <c r="J20" s="35">
        <v>0</v>
      </c>
      <c r="K20" s="25" t="s">
        <v>7</v>
      </c>
    </row>
    <row r="21" spans="1:247" s="26" customFormat="1" ht="15" x14ac:dyDescent="0.25">
      <c r="A21" s="42" t="s">
        <v>28</v>
      </c>
      <c r="B21" s="24">
        <v>1595</v>
      </c>
      <c r="C21" s="24">
        <v>0</v>
      </c>
      <c r="D21" s="24"/>
      <c r="E21" s="35">
        <v>0</v>
      </c>
      <c r="F21" s="35"/>
      <c r="G21" s="35">
        <v>0</v>
      </c>
      <c r="H21" s="35">
        <v>0</v>
      </c>
      <c r="I21" s="35">
        <v>0</v>
      </c>
      <c r="J21" s="35">
        <v>0</v>
      </c>
      <c r="K21" s="25" t="s">
        <v>8</v>
      </c>
    </row>
    <row r="22" spans="1:247" s="26" customFormat="1" ht="15" x14ac:dyDescent="0.25">
      <c r="A22" s="42" t="s">
        <v>29</v>
      </c>
      <c r="B22" s="24">
        <v>5583</v>
      </c>
      <c r="C22" s="24">
        <v>0</v>
      </c>
      <c r="D22" s="24"/>
      <c r="E22" s="35">
        <v>33</v>
      </c>
      <c r="F22" s="35"/>
      <c r="G22" s="35">
        <v>0</v>
      </c>
      <c r="H22" s="35">
        <v>0</v>
      </c>
      <c r="I22" s="35">
        <v>0</v>
      </c>
      <c r="J22" s="35">
        <v>0</v>
      </c>
      <c r="K22" s="25" t="s">
        <v>9</v>
      </c>
    </row>
    <row r="23" spans="1:247" s="26" customFormat="1" ht="15" x14ac:dyDescent="0.25">
      <c r="A23" s="42" t="s">
        <v>30</v>
      </c>
      <c r="B23" s="24">
        <v>1128</v>
      </c>
      <c r="C23" s="24">
        <v>0</v>
      </c>
      <c r="D23" s="24"/>
      <c r="E23" s="35">
        <v>96</v>
      </c>
      <c r="F23" s="35"/>
      <c r="G23" s="35">
        <v>0</v>
      </c>
      <c r="H23" s="35">
        <v>0</v>
      </c>
      <c r="I23" s="35">
        <v>0</v>
      </c>
      <c r="J23" s="35">
        <v>0</v>
      </c>
      <c r="K23" s="25" t="s">
        <v>10</v>
      </c>
    </row>
    <row r="24" spans="1:247" s="26" customFormat="1" ht="15" x14ac:dyDescent="0.25">
      <c r="A24" s="42" t="s">
        <v>31</v>
      </c>
      <c r="B24" s="24">
        <v>2603</v>
      </c>
      <c r="C24" s="24">
        <v>0</v>
      </c>
      <c r="D24" s="24"/>
      <c r="E24" s="35">
        <v>0</v>
      </c>
      <c r="F24" s="35"/>
      <c r="G24" s="35">
        <v>0</v>
      </c>
      <c r="H24" s="35">
        <v>0</v>
      </c>
      <c r="I24" s="35">
        <v>0</v>
      </c>
      <c r="J24" s="35">
        <v>0</v>
      </c>
      <c r="K24" s="25" t="s">
        <v>11</v>
      </c>
    </row>
    <row r="25" spans="1:247" s="26" customFormat="1" ht="15" x14ac:dyDescent="0.25">
      <c r="A25" s="42" t="s">
        <v>32</v>
      </c>
      <c r="B25" s="24">
        <v>3507</v>
      </c>
      <c r="C25" s="24">
        <v>0</v>
      </c>
      <c r="D25" s="24"/>
      <c r="E25" s="35">
        <v>0</v>
      </c>
      <c r="F25" s="35"/>
      <c r="G25" s="35">
        <v>0</v>
      </c>
      <c r="H25" s="35">
        <v>0</v>
      </c>
      <c r="I25" s="35">
        <v>0</v>
      </c>
      <c r="J25" s="35">
        <v>0</v>
      </c>
      <c r="K25" s="25" t="s">
        <v>12</v>
      </c>
    </row>
    <row r="26" spans="1:247" ht="15" x14ac:dyDescent="0.15">
      <c r="A26" s="42" t="s">
        <v>33</v>
      </c>
      <c r="B26" s="24">
        <v>3702</v>
      </c>
      <c r="C26" s="24">
        <v>0</v>
      </c>
      <c r="D26" s="24"/>
      <c r="E26" s="35">
        <v>0</v>
      </c>
      <c r="F26" s="35"/>
      <c r="G26" s="35">
        <v>0</v>
      </c>
      <c r="H26" s="35">
        <v>0</v>
      </c>
      <c r="I26" s="35">
        <v>0</v>
      </c>
      <c r="J26" s="35">
        <v>0</v>
      </c>
      <c r="K26" s="25" t="s">
        <v>13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6"/>
      <c r="GT26" s="26"/>
      <c r="GU26" s="26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6"/>
      <c r="IA26" s="26"/>
      <c r="IB26" s="26"/>
      <c r="IC26" s="26"/>
      <c r="ID26" s="26"/>
      <c r="IE26" s="26"/>
      <c r="IF26" s="26"/>
      <c r="IG26" s="26"/>
      <c r="IH26" s="26"/>
      <c r="II26" s="26"/>
      <c r="IJ26" s="26"/>
      <c r="IK26" s="26"/>
      <c r="IL26" s="26"/>
      <c r="IM26" s="26"/>
    </row>
    <row r="27" spans="1:247" ht="15" x14ac:dyDescent="0.15">
      <c r="A27" s="42" t="s">
        <v>34</v>
      </c>
      <c r="B27" s="24">
        <v>1432</v>
      </c>
      <c r="C27" s="24">
        <v>0</v>
      </c>
      <c r="D27" s="24"/>
      <c r="E27" s="35">
        <v>0</v>
      </c>
      <c r="F27" s="35"/>
      <c r="G27" s="35">
        <v>0</v>
      </c>
      <c r="H27" s="35">
        <v>251</v>
      </c>
      <c r="I27" s="35">
        <v>0</v>
      </c>
      <c r="J27" s="35">
        <v>0</v>
      </c>
      <c r="K27" s="25" t="s">
        <v>14</v>
      </c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26"/>
      <c r="GL27" s="26"/>
      <c r="GM27" s="26"/>
      <c r="GN27" s="26"/>
      <c r="GO27" s="26"/>
      <c r="GP27" s="26"/>
      <c r="GQ27" s="26"/>
      <c r="GR27" s="26"/>
      <c r="GS27" s="26"/>
      <c r="GT27" s="26"/>
      <c r="GU27" s="26"/>
      <c r="GV27" s="26"/>
      <c r="GW27" s="26"/>
      <c r="GX27" s="26"/>
      <c r="GY27" s="26"/>
      <c r="GZ27" s="26"/>
      <c r="HA27" s="26"/>
      <c r="HB27" s="26"/>
      <c r="HC27" s="26"/>
      <c r="HD27" s="26"/>
      <c r="HE27" s="26"/>
      <c r="HF27" s="26"/>
      <c r="HG27" s="26"/>
      <c r="HH27" s="26"/>
      <c r="HI27" s="26"/>
      <c r="HJ27" s="26"/>
      <c r="HK27" s="26"/>
      <c r="HL27" s="26"/>
      <c r="HM27" s="26"/>
      <c r="HN27" s="26"/>
      <c r="HO27" s="26"/>
      <c r="HP27" s="26"/>
      <c r="HQ27" s="26"/>
      <c r="HR27" s="26"/>
      <c r="HS27" s="26"/>
      <c r="HT27" s="26"/>
      <c r="HU27" s="26"/>
      <c r="HV27" s="26"/>
      <c r="HW27" s="26"/>
      <c r="HX27" s="26"/>
      <c r="HY27" s="26"/>
      <c r="HZ27" s="26"/>
      <c r="IA27" s="26"/>
      <c r="IB27" s="26"/>
      <c r="IC27" s="26"/>
      <c r="ID27" s="26"/>
      <c r="IE27" s="26"/>
      <c r="IF27" s="26"/>
      <c r="IG27" s="26"/>
      <c r="IH27" s="26"/>
      <c r="II27" s="26"/>
      <c r="IJ27" s="26"/>
      <c r="IK27" s="26"/>
      <c r="IL27" s="26"/>
      <c r="IM27" s="26"/>
    </row>
    <row r="28" spans="1:247" ht="15" x14ac:dyDescent="0.15">
      <c r="A28" s="42" t="s">
        <v>35</v>
      </c>
      <c r="B28" s="24">
        <v>5447</v>
      </c>
      <c r="C28" s="24">
        <v>0</v>
      </c>
      <c r="D28" s="24"/>
      <c r="E28" s="35">
        <v>0</v>
      </c>
      <c r="F28" s="35"/>
      <c r="G28" s="35">
        <v>0</v>
      </c>
      <c r="H28" s="35">
        <v>81</v>
      </c>
      <c r="I28" s="35">
        <v>0</v>
      </c>
      <c r="J28" s="35">
        <v>0</v>
      </c>
      <c r="K28" s="25" t="s">
        <v>15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26"/>
      <c r="GR28" s="26"/>
      <c r="GS28" s="26"/>
      <c r="GT28" s="26"/>
      <c r="GU28" s="26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6"/>
      <c r="HJ28" s="26"/>
      <c r="HK28" s="26"/>
      <c r="HL28" s="26"/>
      <c r="HM28" s="26"/>
      <c r="HN28" s="26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  <c r="HZ28" s="26"/>
      <c r="IA28" s="26"/>
      <c r="IB28" s="26"/>
      <c r="IC28" s="26"/>
      <c r="ID28" s="26"/>
      <c r="IE28" s="26"/>
      <c r="IF28" s="26"/>
      <c r="IG28" s="26"/>
      <c r="IH28" s="26"/>
      <c r="II28" s="26"/>
      <c r="IJ28" s="26"/>
      <c r="IK28" s="26"/>
      <c r="IL28" s="26"/>
      <c r="IM28" s="26"/>
    </row>
    <row r="29" spans="1:247" s="27" customFormat="1" ht="15" x14ac:dyDescent="0.25">
      <c r="A29" s="42" t="s">
        <v>36</v>
      </c>
      <c r="B29" s="24">
        <v>5286</v>
      </c>
      <c r="C29" s="24">
        <v>0</v>
      </c>
      <c r="D29" s="24"/>
      <c r="E29" s="35">
        <v>0</v>
      </c>
      <c r="F29" s="35"/>
      <c r="G29" s="35">
        <v>0</v>
      </c>
      <c r="H29" s="35">
        <v>0</v>
      </c>
      <c r="I29" s="35">
        <v>0</v>
      </c>
      <c r="J29" s="35">
        <v>0</v>
      </c>
      <c r="K29" s="25" t="s">
        <v>16</v>
      </c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  <c r="GI29" s="26"/>
      <c r="GJ29" s="26"/>
      <c r="GK29" s="26"/>
      <c r="GL29" s="26"/>
      <c r="GM29" s="26"/>
      <c r="GN29" s="26"/>
      <c r="GO29" s="26"/>
      <c r="GP29" s="26"/>
      <c r="GQ29" s="26"/>
      <c r="GR29" s="26"/>
      <c r="GS29" s="26"/>
      <c r="GT29" s="26"/>
      <c r="GU29" s="26"/>
      <c r="GV29" s="26"/>
      <c r="GW29" s="26"/>
      <c r="GX29" s="26"/>
      <c r="GY29" s="26"/>
      <c r="GZ29" s="26"/>
      <c r="HA29" s="26"/>
      <c r="HB29" s="26"/>
      <c r="HC29" s="26"/>
      <c r="HD29" s="26"/>
      <c r="HE29" s="26"/>
      <c r="HF29" s="26"/>
      <c r="HG29" s="26"/>
      <c r="HH29" s="26"/>
      <c r="HI29" s="26"/>
      <c r="HJ29" s="26"/>
      <c r="HK29" s="26"/>
      <c r="HL29" s="26"/>
      <c r="HM29" s="26"/>
      <c r="HN29" s="26"/>
      <c r="HO29" s="26"/>
      <c r="HP29" s="26"/>
      <c r="HQ29" s="26"/>
      <c r="HR29" s="26"/>
      <c r="HS29" s="26"/>
      <c r="HT29" s="26"/>
      <c r="HU29" s="26"/>
      <c r="HV29" s="26"/>
      <c r="HW29" s="26"/>
      <c r="HX29" s="26"/>
      <c r="HY29" s="26"/>
      <c r="HZ29" s="26"/>
      <c r="IA29" s="26"/>
      <c r="IB29" s="26"/>
      <c r="IC29" s="26"/>
      <c r="ID29" s="26"/>
      <c r="IE29" s="26"/>
      <c r="IF29" s="26"/>
      <c r="IG29" s="26"/>
      <c r="IH29" s="26"/>
      <c r="II29" s="26"/>
      <c r="IJ29" s="26"/>
      <c r="IK29" s="26"/>
      <c r="IL29" s="26"/>
      <c r="IM29" s="26"/>
    </row>
    <row r="30" spans="1:247" s="27" customFormat="1" ht="15" x14ac:dyDescent="0.25">
      <c r="A30" s="42" t="s">
        <v>37</v>
      </c>
      <c r="B30" s="24">
        <v>2990</v>
      </c>
      <c r="C30" s="24">
        <v>0</v>
      </c>
      <c r="D30" s="24"/>
      <c r="E30" s="35">
        <v>0</v>
      </c>
      <c r="F30" s="35"/>
      <c r="G30" s="35">
        <v>0</v>
      </c>
      <c r="H30" s="35">
        <v>0</v>
      </c>
      <c r="I30" s="35">
        <v>0</v>
      </c>
      <c r="J30" s="35">
        <v>0</v>
      </c>
      <c r="K30" s="25" t="s">
        <v>17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26"/>
      <c r="GR30" s="26"/>
      <c r="GS30" s="26"/>
      <c r="GT30" s="26"/>
      <c r="GU30" s="26"/>
      <c r="GV30" s="26"/>
      <c r="GW30" s="26"/>
      <c r="GX30" s="26"/>
      <c r="GY30" s="26"/>
      <c r="GZ30" s="26"/>
      <c r="HA30" s="26"/>
      <c r="HB30" s="26"/>
      <c r="HC30" s="26"/>
      <c r="HD30" s="26"/>
      <c r="HE30" s="26"/>
      <c r="HF30" s="26"/>
      <c r="HG30" s="26"/>
      <c r="HH30" s="26"/>
      <c r="HI30" s="26"/>
      <c r="HJ30" s="26"/>
      <c r="HK30" s="26"/>
      <c r="HL30" s="26"/>
      <c r="HM30" s="26"/>
      <c r="HN30" s="26"/>
      <c r="HO30" s="26"/>
      <c r="HP30" s="26"/>
      <c r="HQ30" s="26"/>
      <c r="HR30" s="26"/>
      <c r="HS30" s="26"/>
      <c r="HT30" s="26"/>
      <c r="HU30" s="26"/>
      <c r="HV30" s="26"/>
      <c r="HW30" s="26"/>
      <c r="HX30" s="26"/>
      <c r="HY30" s="26"/>
      <c r="HZ30" s="26"/>
      <c r="IA30" s="26"/>
      <c r="IB30" s="26"/>
      <c r="IC30" s="26"/>
      <c r="ID30" s="26"/>
      <c r="IE30" s="26"/>
      <c r="IF30" s="26"/>
      <c r="IG30" s="26"/>
      <c r="IH30" s="26"/>
      <c r="II30" s="26"/>
      <c r="IJ30" s="26"/>
      <c r="IK30" s="26"/>
      <c r="IL30" s="26"/>
      <c r="IM30" s="26"/>
    </row>
    <row r="31" spans="1:247" s="27" customFormat="1" ht="15" x14ac:dyDescent="0.25">
      <c r="A31" s="42" t="s">
        <v>38</v>
      </c>
      <c r="B31" s="24">
        <v>3688</v>
      </c>
      <c r="C31" s="24">
        <v>0</v>
      </c>
      <c r="D31" s="24"/>
      <c r="E31" s="35">
        <v>19</v>
      </c>
      <c r="F31" s="35"/>
      <c r="G31" s="35">
        <v>0</v>
      </c>
      <c r="H31" s="35">
        <v>123</v>
      </c>
      <c r="I31" s="35">
        <v>0</v>
      </c>
      <c r="J31" s="35">
        <v>0</v>
      </c>
      <c r="K31" s="25" t="s">
        <v>18</v>
      </c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  <c r="GI31" s="26"/>
      <c r="GJ31" s="26"/>
      <c r="GK31" s="26"/>
      <c r="GL31" s="26"/>
      <c r="GM31" s="26"/>
      <c r="GN31" s="26"/>
      <c r="GO31" s="26"/>
      <c r="GP31" s="26"/>
      <c r="GQ31" s="26"/>
      <c r="GR31" s="26"/>
      <c r="GS31" s="26"/>
      <c r="GT31" s="26"/>
      <c r="GU31" s="26"/>
      <c r="GV31" s="26"/>
      <c r="GW31" s="26"/>
      <c r="GX31" s="26"/>
      <c r="GY31" s="26"/>
      <c r="GZ31" s="26"/>
      <c r="HA31" s="26"/>
      <c r="HB31" s="26"/>
      <c r="HC31" s="26"/>
      <c r="HD31" s="26"/>
      <c r="HE31" s="26"/>
      <c r="HF31" s="26"/>
      <c r="HG31" s="26"/>
      <c r="HH31" s="26"/>
      <c r="HI31" s="26"/>
      <c r="HJ31" s="26"/>
      <c r="HK31" s="26"/>
      <c r="HL31" s="26"/>
      <c r="HM31" s="26"/>
      <c r="HN31" s="26"/>
      <c r="HO31" s="26"/>
      <c r="HP31" s="26"/>
      <c r="HQ31" s="26"/>
      <c r="HR31" s="26"/>
      <c r="HS31" s="26"/>
      <c r="HT31" s="26"/>
      <c r="HU31" s="26"/>
      <c r="HV31" s="26"/>
      <c r="HW31" s="26"/>
      <c r="HX31" s="26"/>
      <c r="HY31" s="26"/>
      <c r="HZ31" s="26"/>
      <c r="IA31" s="26"/>
      <c r="IB31" s="26"/>
      <c r="IC31" s="26"/>
      <c r="ID31" s="26"/>
      <c r="IE31" s="26"/>
      <c r="IF31" s="26"/>
      <c r="IG31" s="26"/>
      <c r="IH31" s="26"/>
      <c r="II31" s="26"/>
      <c r="IJ31" s="26"/>
      <c r="IK31" s="26"/>
      <c r="IL31" s="26"/>
      <c r="IM31" s="26"/>
    </row>
    <row r="32" spans="1:247" s="27" customFormat="1" ht="15" x14ac:dyDescent="0.25">
      <c r="A32" s="43" t="s">
        <v>2</v>
      </c>
      <c r="B32" s="29">
        <v>2771</v>
      </c>
      <c r="C32" s="29">
        <v>0</v>
      </c>
      <c r="D32" s="29"/>
      <c r="E32" s="36">
        <v>109</v>
      </c>
      <c r="F32" s="36"/>
      <c r="G32" s="36">
        <v>0</v>
      </c>
      <c r="H32" s="36">
        <v>0</v>
      </c>
      <c r="I32" s="36">
        <v>0</v>
      </c>
      <c r="J32" s="36">
        <v>0</v>
      </c>
      <c r="K32" s="30" t="s">
        <v>19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6"/>
      <c r="IA32" s="26"/>
      <c r="IB32" s="26"/>
      <c r="IC32" s="26"/>
      <c r="ID32" s="26"/>
      <c r="IE32" s="26"/>
      <c r="IF32" s="26"/>
      <c r="IG32" s="26"/>
      <c r="IH32" s="26"/>
      <c r="II32" s="26"/>
      <c r="IJ32" s="26"/>
      <c r="IK32" s="26"/>
      <c r="IL32" s="26"/>
      <c r="IM32" s="26"/>
    </row>
    <row r="33" spans="1:247" s="27" customFormat="1" ht="15" x14ac:dyDescent="0.15">
      <c r="B33" s="31"/>
      <c r="C33" s="31"/>
      <c r="D33" s="31"/>
      <c r="K33" s="4" t="s">
        <v>41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</row>
    <row r="34" spans="1:247" x14ac:dyDescent="0.15">
      <c r="A34" s="32" t="s">
        <v>67</v>
      </c>
    </row>
    <row r="36" spans="1:247" ht="18" x14ac:dyDescent="0.15">
      <c r="A36" s="46" t="s">
        <v>42</v>
      </c>
      <c r="B36" s="49" t="s">
        <v>71</v>
      </c>
      <c r="C36" s="49"/>
      <c r="D36" s="49"/>
      <c r="E36" s="49"/>
      <c r="F36" s="49"/>
      <c r="G36" s="49"/>
      <c r="H36" s="49"/>
      <c r="I36" s="49"/>
      <c r="J36" s="49"/>
      <c r="K36" s="50" t="s">
        <v>56</v>
      </c>
    </row>
    <row r="37" spans="1:247" ht="40.15" customHeight="1" x14ac:dyDescent="0.15">
      <c r="A37" s="47"/>
      <c r="B37" s="10" t="s">
        <v>68</v>
      </c>
      <c r="C37" s="10" t="s">
        <v>58</v>
      </c>
      <c r="D37" s="10"/>
      <c r="E37" s="11" t="s">
        <v>59</v>
      </c>
      <c r="F37" s="11"/>
      <c r="G37" s="11" t="s">
        <v>60</v>
      </c>
      <c r="H37" s="11" t="s">
        <v>53</v>
      </c>
      <c r="I37" s="12" t="s">
        <v>39</v>
      </c>
      <c r="J37" s="13" t="s">
        <v>51</v>
      </c>
      <c r="K37" s="51"/>
    </row>
    <row r="38" spans="1:247" ht="12.75" x14ac:dyDescent="0.2">
      <c r="A38" s="47"/>
      <c r="B38" s="16" t="s">
        <v>61</v>
      </c>
      <c r="C38" s="44" t="s">
        <v>62</v>
      </c>
      <c r="D38" s="44"/>
      <c r="E38" s="44" t="s">
        <v>61</v>
      </c>
      <c r="F38" s="44"/>
      <c r="G38" s="44" t="s">
        <v>62</v>
      </c>
      <c r="H38" s="44" t="s">
        <v>63</v>
      </c>
      <c r="I38" s="44" t="s">
        <v>54</v>
      </c>
      <c r="J38" s="44" t="s">
        <v>49</v>
      </c>
      <c r="K38" s="51"/>
    </row>
    <row r="39" spans="1:247" ht="12.75" x14ac:dyDescent="0.2">
      <c r="A39" s="48"/>
      <c r="B39" s="18" t="s">
        <v>64</v>
      </c>
      <c r="C39" s="18" t="s">
        <v>64</v>
      </c>
      <c r="D39" s="18"/>
      <c r="E39" s="18" t="s">
        <v>52</v>
      </c>
      <c r="F39" s="18"/>
      <c r="G39" s="18" t="s">
        <v>52</v>
      </c>
      <c r="H39" s="18" t="s">
        <v>66</v>
      </c>
      <c r="I39" s="18"/>
      <c r="J39" s="18"/>
      <c r="K39" s="52"/>
    </row>
    <row r="40" spans="1:247" ht="15" x14ac:dyDescent="0.15">
      <c r="A40" s="2" t="s">
        <v>43</v>
      </c>
      <c r="B40" s="22">
        <f>B41+B43+B42</f>
        <v>970</v>
      </c>
      <c r="C40" s="22">
        <f>C41+C43+C42</f>
        <v>0</v>
      </c>
      <c r="D40" s="22"/>
      <c r="E40" s="22">
        <f t="shared" ref="E40:J40" si="2">E41+E43+E42</f>
        <v>15</v>
      </c>
      <c r="F40" s="22"/>
      <c r="G40" s="22">
        <f t="shared" si="2"/>
        <v>0</v>
      </c>
      <c r="H40" s="22">
        <f t="shared" si="2"/>
        <v>12</v>
      </c>
      <c r="I40" s="22">
        <f t="shared" si="2"/>
        <v>0</v>
      </c>
      <c r="J40" s="22">
        <f t="shared" si="2"/>
        <v>18</v>
      </c>
      <c r="K40" s="20" t="s">
        <v>44</v>
      </c>
    </row>
    <row r="41" spans="1:247" ht="15" x14ac:dyDescent="0.15">
      <c r="A41" s="2" t="s">
        <v>45</v>
      </c>
      <c r="B41" s="22">
        <v>189</v>
      </c>
      <c r="C41" s="22">
        <v>0</v>
      </c>
      <c r="D41" s="22"/>
      <c r="E41" s="22">
        <v>2</v>
      </c>
      <c r="F41" s="37"/>
      <c r="G41" s="22">
        <v>0</v>
      </c>
      <c r="H41" s="22">
        <v>4</v>
      </c>
      <c r="I41" s="22">
        <v>0</v>
      </c>
      <c r="J41" s="34">
        <v>0</v>
      </c>
      <c r="K41" s="20" t="s">
        <v>46</v>
      </c>
    </row>
    <row r="42" spans="1:247" s="33" customFormat="1" ht="15" x14ac:dyDescent="0.15">
      <c r="A42" s="2" t="s">
        <v>49</v>
      </c>
      <c r="B42" s="22">
        <v>0</v>
      </c>
      <c r="C42" s="22">
        <v>0</v>
      </c>
      <c r="D42" s="22"/>
      <c r="E42" s="22">
        <v>0</v>
      </c>
      <c r="F42" s="22"/>
      <c r="G42" s="22">
        <v>0</v>
      </c>
      <c r="H42" s="22">
        <v>0</v>
      </c>
      <c r="I42" s="22">
        <v>0</v>
      </c>
      <c r="J42" s="22">
        <v>18</v>
      </c>
      <c r="K42" s="20" t="s">
        <v>48</v>
      </c>
    </row>
    <row r="43" spans="1:247" ht="15.75" x14ac:dyDescent="0.15">
      <c r="A43" s="2" t="s">
        <v>47</v>
      </c>
      <c r="B43" s="22">
        <f>SUM(B44:B63)</f>
        <v>781</v>
      </c>
      <c r="C43" s="22">
        <f>SUM(C44:C63)</f>
        <v>0</v>
      </c>
      <c r="D43" s="22"/>
      <c r="E43" s="22">
        <f t="shared" ref="E43:J43" si="3">SUM(E44:E63)</f>
        <v>13</v>
      </c>
      <c r="F43" s="22"/>
      <c r="G43" s="22">
        <f t="shared" si="3"/>
        <v>0</v>
      </c>
      <c r="H43" s="22">
        <f t="shared" si="3"/>
        <v>8</v>
      </c>
      <c r="I43" s="22">
        <v>0</v>
      </c>
      <c r="J43" s="22">
        <f t="shared" si="3"/>
        <v>0</v>
      </c>
      <c r="K43" s="5" t="s">
        <v>50</v>
      </c>
    </row>
    <row r="44" spans="1:247" ht="15" x14ac:dyDescent="0.15">
      <c r="A44" s="23" t="s">
        <v>20</v>
      </c>
      <c r="B44" s="24">
        <v>47</v>
      </c>
      <c r="C44" s="24">
        <v>0</v>
      </c>
      <c r="D44" s="24"/>
      <c r="E44" s="24">
        <v>0</v>
      </c>
      <c r="F44" s="31"/>
      <c r="G44" s="24">
        <v>0</v>
      </c>
      <c r="H44" s="24">
        <v>0</v>
      </c>
      <c r="I44" s="24">
        <v>0</v>
      </c>
      <c r="J44" s="24">
        <v>0</v>
      </c>
      <c r="K44" s="25" t="s">
        <v>0</v>
      </c>
    </row>
    <row r="45" spans="1:247" ht="15" x14ac:dyDescent="0.15">
      <c r="A45" s="23" t="s">
        <v>21</v>
      </c>
      <c r="B45" s="24">
        <v>35</v>
      </c>
      <c r="C45" s="24">
        <v>0</v>
      </c>
      <c r="D45" s="24"/>
      <c r="E45" s="24">
        <v>1</v>
      </c>
      <c r="F45" s="31"/>
      <c r="G45" s="24">
        <v>0</v>
      </c>
      <c r="H45" s="24">
        <v>0</v>
      </c>
      <c r="I45" s="24">
        <v>0</v>
      </c>
      <c r="J45" s="24">
        <v>0</v>
      </c>
      <c r="K45" s="25" t="s">
        <v>1</v>
      </c>
    </row>
    <row r="46" spans="1:247" ht="15" x14ac:dyDescent="0.15">
      <c r="A46" s="23" t="s">
        <v>22</v>
      </c>
      <c r="B46" s="24">
        <v>44</v>
      </c>
      <c r="C46" s="24">
        <v>0</v>
      </c>
      <c r="D46" s="24"/>
      <c r="E46" s="24">
        <v>1</v>
      </c>
      <c r="F46" s="31"/>
      <c r="G46" s="24">
        <v>0</v>
      </c>
      <c r="H46" s="24">
        <v>0</v>
      </c>
      <c r="I46" s="24">
        <v>0</v>
      </c>
      <c r="J46" s="24">
        <v>0</v>
      </c>
      <c r="K46" s="25" t="s">
        <v>2</v>
      </c>
    </row>
    <row r="47" spans="1:247" ht="15" x14ac:dyDescent="0.15">
      <c r="A47" s="23" t="s">
        <v>23</v>
      </c>
      <c r="B47" s="24">
        <v>11</v>
      </c>
      <c r="C47" s="24">
        <v>0</v>
      </c>
      <c r="D47" s="24"/>
      <c r="E47" s="24">
        <v>0</v>
      </c>
      <c r="F47" s="31"/>
      <c r="G47" s="24">
        <v>0</v>
      </c>
      <c r="H47" s="24">
        <v>1</v>
      </c>
      <c r="I47" s="24">
        <v>0</v>
      </c>
      <c r="J47" s="24">
        <v>0</v>
      </c>
      <c r="K47" s="25" t="s">
        <v>3</v>
      </c>
    </row>
    <row r="48" spans="1:247" ht="15" x14ac:dyDescent="0.15">
      <c r="A48" s="23" t="s">
        <v>24</v>
      </c>
      <c r="B48" s="24">
        <v>58</v>
      </c>
      <c r="C48" s="24">
        <v>0</v>
      </c>
      <c r="D48" s="24"/>
      <c r="E48" s="24">
        <v>1</v>
      </c>
      <c r="F48" s="31"/>
      <c r="G48" s="24">
        <v>0</v>
      </c>
      <c r="H48" s="24">
        <v>0</v>
      </c>
      <c r="I48" s="24">
        <v>0</v>
      </c>
      <c r="J48" s="24">
        <v>0</v>
      </c>
      <c r="K48" s="25" t="s">
        <v>4</v>
      </c>
    </row>
    <row r="49" spans="1:11" ht="15" x14ac:dyDescent="0.15">
      <c r="A49" s="23" t="s">
        <v>25</v>
      </c>
      <c r="B49" s="24">
        <v>39</v>
      </c>
      <c r="C49" s="24">
        <v>0</v>
      </c>
      <c r="D49" s="24"/>
      <c r="E49" s="24">
        <v>4</v>
      </c>
      <c r="F49" s="31"/>
      <c r="G49" s="24">
        <v>0</v>
      </c>
      <c r="H49" s="24">
        <v>1</v>
      </c>
      <c r="I49" s="24">
        <v>0</v>
      </c>
      <c r="J49" s="24">
        <v>0</v>
      </c>
      <c r="K49" s="25" t="s">
        <v>5</v>
      </c>
    </row>
    <row r="50" spans="1:11" ht="15" x14ac:dyDescent="0.15">
      <c r="A50" s="23" t="s">
        <v>26</v>
      </c>
      <c r="B50" s="24">
        <v>32</v>
      </c>
      <c r="C50" s="24">
        <v>0</v>
      </c>
      <c r="D50" s="24"/>
      <c r="E50" s="24">
        <v>0</v>
      </c>
      <c r="F50" s="31"/>
      <c r="G50" s="24">
        <v>0</v>
      </c>
      <c r="H50" s="24">
        <v>0</v>
      </c>
      <c r="I50" s="24">
        <v>0</v>
      </c>
      <c r="J50" s="24">
        <v>0</v>
      </c>
      <c r="K50" s="25" t="s">
        <v>6</v>
      </c>
    </row>
    <row r="51" spans="1:11" ht="15" x14ac:dyDescent="0.15">
      <c r="A51" s="23" t="s">
        <v>27</v>
      </c>
      <c r="B51" s="24">
        <v>35</v>
      </c>
      <c r="C51" s="24">
        <v>0</v>
      </c>
      <c r="D51" s="24"/>
      <c r="E51" s="24">
        <v>1</v>
      </c>
      <c r="F51" s="31"/>
      <c r="G51" s="24">
        <v>0</v>
      </c>
      <c r="H51" s="24">
        <v>0</v>
      </c>
      <c r="I51" s="24">
        <v>0</v>
      </c>
      <c r="J51" s="24">
        <v>0</v>
      </c>
      <c r="K51" s="25" t="s">
        <v>7</v>
      </c>
    </row>
    <row r="52" spans="1:11" ht="15" x14ac:dyDescent="0.15">
      <c r="A52" s="23" t="s">
        <v>28</v>
      </c>
      <c r="B52" s="24">
        <v>25</v>
      </c>
      <c r="C52" s="24">
        <v>0</v>
      </c>
      <c r="D52" s="24"/>
      <c r="E52" s="24">
        <v>0</v>
      </c>
      <c r="F52" s="31"/>
      <c r="G52" s="24">
        <v>0</v>
      </c>
      <c r="H52" s="24">
        <v>0</v>
      </c>
      <c r="I52" s="24">
        <v>0</v>
      </c>
      <c r="J52" s="24">
        <v>0</v>
      </c>
      <c r="K52" s="25" t="s">
        <v>8</v>
      </c>
    </row>
    <row r="53" spans="1:11" ht="15" x14ac:dyDescent="0.15">
      <c r="A53" s="23" t="s">
        <v>29</v>
      </c>
      <c r="B53" s="24">
        <v>57</v>
      </c>
      <c r="C53" s="24">
        <v>0</v>
      </c>
      <c r="D53" s="24"/>
      <c r="E53" s="24">
        <v>1</v>
      </c>
      <c r="F53" s="15"/>
      <c r="G53" s="24">
        <v>0</v>
      </c>
      <c r="H53" s="24">
        <v>0</v>
      </c>
      <c r="I53" s="24">
        <v>0</v>
      </c>
      <c r="J53" s="24">
        <v>0</v>
      </c>
      <c r="K53" s="25" t="s">
        <v>9</v>
      </c>
    </row>
    <row r="54" spans="1:11" ht="15" x14ac:dyDescent="0.15">
      <c r="A54" s="23" t="s">
        <v>30</v>
      </c>
      <c r="B54" s="24">
        <v>16</v>
      </c>
      <c r="C54" s="24">
        <v>0</v>
      </c>
      <c r="D54" s="24"/>
      <c r="E54" s="24">
        <v>1</v>
      </c>
      <c r="F54" s="15"/>
      <c r="G54" s="24">
        <v>0</v>
      </c>
      <c r="H54" s="24">
        <v>0</v>
      </c>
      <c r="I54" s="24">
        <v>0</v>
      </c>
      <c r="J54" s="24">
        <v>0</v>
      </c>
      <c r="K54" s="25" t="s">
        <v>10</v>
      </c>
    </row>
    <row r="55" spans="1:11" ht="15" x14ac:dyDescent="0.15">
      <c r="A55" s="23" t="s">
        <v>31</v>
      </c>
      <c r="B55" s="24">
        <v>33</v>
      </c>
      <c r="C55" s="24">
        <v>0</v>
      </c>
      <c r="D55" s="24"/>
      <c r="E55" s="24">
        <v>0</v>
      </c>
      <c r="F55" s="15"/>
      <c r="G55" s="24">
        <v>0</v>
      </c>
      <c r="H55" s="24">
        <v>0</v>
      </c>
      <c r="I55" s="24">
        <v>0</v>
      </c>
      <c r="J55" s="24">
        <v>0</v>
      </c>
      <c r="K55" s="25" t="s">
        <v>11</v>
      </c>
    </row>
    <row r="56" spans="1:11" ht="15" x14ac:dyDescent="0.15">
      <c r="A56" s="23" t="s">
        <v>32</v>
      </c>
      <c r="B56" s="24">
        <v>42</v>
      </c>
      <c r="C56" s="24">
        <v>0</v>
      </c>
      <c r="D56" s="24"/>
      <c r="E56" s="24">
        <v>0</v>
      </c>
      <c r="F56" s="15"/>
      <c r="G56" s="24">
        <v>0</v>
      </c>
      <c r="H56" s="24">
        <v>0</v>
      </c>
      <c r="I56" s="24">
        <v>0</v>
      </c>
      <c r="J56" s="24">
        <v>0</v>
      </c>
      <c r="K56" s="25" t="s">
        <v>12</v>
      </c>
    </row>
    <row r="57" spans="1:11" ht="15" x14ac:dyDescent="0.15">
      <c r="A57" s="23" t="s">
        <v>33</v>
      </c>
      <c r="B57" s="24">
        <v>49</v>
      </c>
      <c r="C57" s="24">
        <v>0</v>
      </c>
      <c r="D57" s="24"/>
      <c r="E57" s="24">
        <v>0</v>
      </c>
      <c r="F57" s="15"/>
      <c r="G57" s="24">
        <v>0</v>
      </c>
      <c r="H57" s="24">
        <v>0</v>
      </c>
      <c r="I57" s="24">
        <v>0</v>
      </c>
      <c r="J57" s="24">
        <v>0</v>
      </c>
      <c r="K57" s="25" t="s">
        <v>13</v>
      </c>
    </row>
    <row r="58" spans="1:11" ht="15" x14ac:dyDescent="0.15">
      <c r="A58" s="23" t="s">
        <v>34</v>
      </c>
      <c r="B58" s="24">
        <v>35</v>
      </c>
      <c r="C58" s="24">
        <v>0</v>
      </c>
      <c r="D58" s="24"/>
      <c r="E58" s="24">
        <v>0</v>
      </c>
      <c r="F58" s="15"/>
      <c r="G58" s="24">
        <v>0</v>
      </c>
      <c r="H58" s="24">
        <v>1</v>
      </c>
      <c r="I58" s="24">
        <v>0</v>
      </c>
      <c r="J58" s="24">
        <v>0</v>
      </c>
      <c r="K58" s="25" t="s">
        <v>14</v>
      </c>
    </row>
    <row r="59" spans="1:11" ht="15" x14ac:dyDescent="0.15">
      <c r="A59" s="23" t="s">
        <v>35</v>
      </c>
      <c r="B59" s="24">
        <v>59</v>
      </c>
      <c r="C59" s="24">
        <v>0</v>
      </c>
      <c r="D59" s="24"/>
      <c r="E59" s="24">
        <v>0</v>
      </c>
      <c r="F59" s="15"/>
      <c r="G59" s="24">
        <v>0</v>
      </c>
      <c r="H59" s="24">
        <v>1</v>
      </c>
      <c r="I59" s="24">
        <v>0</v>
      </c>
      <c r="J59" s="24">
        <v>0</v>
      </c>
      <c r="K59" s="25" t="s">
        <v>15</v>
      </c>
    </row>
    <row r="60" spans="1:11" ht="15" x14ac:dyDescent="0.15">
      <c r="A60" s="23" t="s">
        <v>36</v>
      </c>
      <c r="B60" s="24">
        <v>43</v>
      </c>
      <c r="C60" s="24">
        <v>0</v>
      </c>
      <c r="D60" s="24"/>
      <c r="E60" s="24">
        <v>0</v>
      </c>
      <c r="F60" s="15"/>
      <c r="G60" s="24">
        <v>0</v>
      </c>
      <c r="H60" s="24">
        <v>0</v>
      </c>
      <c r="I60" s="24">
        <v>0</v>
      </c>
      <c r="J60" s="24">
        <v>0</v>
      </c>
      <c r="K60" s="25" t="s">
        <v>16</v>
      </c>
    </row>
    <row r="61" spans="1:11" ht="15" x14ac:dyDescent="0.15">
      <c r="A61" s="23" t="s">
        <v>37</v>
      </c>
      <c r="B61" s="24">
        <v>28</v>
      </c>
      <c r="C61" s="24">
        <v>0</v>
      </c>
      <c r="D61" s="24"/>
      <c r="E61" s="24">
        <v>0</v>
      </c>
      <c r="F61" s="15"/>
      <c r="G61" s="24">
        <v>0</v>
      </c>
      <c r="H61" s="24">
        <v>0</v>
      </c>
      <c r="I61" s="24">
        <v>0</v>
      </c>
      <c r="J61" s="24">
        <v>0</v>
      </c>
      <c r="K61" s="25" t="s">
        <v>17</v>
      </c>
    </row>
    <row r="62" spans="1:11" ht="15" x14ac:dyDescent="0.15">
      <c r="A62" s="23" t="s">
        <v>38</v>
      </c>
      <c r="B62" s="24">
        <v>53</v>
      </c>
      <c r="C62" s="24">
        <v>0</v>
      </c>
      <c r="D62" s="24"/>
      <c r="E62" s="24">
        <v>1</v>
      </c>
      <c r="F62" s="15"/>
      <c r="G62" s="24">
        <v>0</v>
      </c>
      <c r="H62" s="24">
        <v>4</v>
      </c>
      <c r="I62" s="24">
        <v>0</v>
      </c>
      <c r="J62" s="24">
        <v>0</v>
      </c>
      <c r="K62" s="25" t="s">
        <v>18</v>
      </c>
    </row>
    <row r="63" spans="1:11" ht="15" x14ac:dyDescent="0.15">
      <c r="A63" s="28" t="s">
        <v>2</v>
      </c>
      <c r="B63" s="29">
        <v>40</v>
      </c>
      <c r="C63" s="29">
        <v>0</v>
      </c>
      <c r="D63" s="29"/>
      <c r="E63" s="29">
        <v>2</v>
      </c>
      <c r="F63" s="38"/>
      <c r="G63" s="29">
        <v>0</v>
      </c>
      <c r="H63" s="29">
        <v>0</v>
      </c>
      <c r="I63" s="29">
        <v>0</v>
      </c>
      <c r="J63" s="29">
        <v>0</v>
      </c>
      <c r="K63" s="30" t="s">
        <v>19</v>
      </c>
    </row>
    <row r="64" spans="1:11" s="6" customFormat="1" ht="15" x14ac:dyDescent="0.25">
      <c r="A64" s="1" t="s">
        <v>40</v>
      </c>
      <c r="B64" s="1"/>
      <c r="C64" s="1"/>
      <c r="D64" s="1"/>
      <c r="E64" s="1"/>
      <c r="F64" s="3"/>
      <c r="G64" s="3"/>
      <c r="H64" s="3"/>
      <c r="I64" s="3"/>
      <c r="J64" s="4"/>
      <c r="K64" s="4" t="s">
        <v>41</v>
      </c>
    </row>
  </sheetData>
  <mergeCells count="9">
    <mergeCell ref="A36:A39"/>
    <mergeCell ref="B36:J36"/>
    <mergeCell ref="K36:K39"/>
    <mergeCell ref="A1:K1"/>
    <mergeCell ref="A2:K2"/>
    <mergeCell ref="A3:H3"/>
    <mergeCell ref="A4:A8"/>
    <mergeCell ref="B4:J4"/>
    <mergeCell ref="K4:K8"/>
  </mergeCells>
  <pageMargins left="0.7" right="0.7" top="0.75" bottom="0.49" header="0.3" footer="0.3"/>
  <pageSetup paperSize="9" scale="89" orientation="landscape" r:id="rId1"/>
  <rowBreaks count="1" manualBreakCount="1">
    <brk id="33" max="10" man="1"/>
  </rowBreaks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9.7</vt:lpstr>
      <vt:lpstr>'9.7'!Print_Area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2016-01-17T08:18:24Z</cp:lastPrinted>
  <dcterms:created xsi:type="dcterms:W3CDTF">2014-03-04T03:52:57Z</dcterms:created>
  <dcterms:modified xsi:type="dcterms:W3CDTF">2016-01-17T08:18:42Z</dcterms:modified>
</cp:coreProperties>
</file>