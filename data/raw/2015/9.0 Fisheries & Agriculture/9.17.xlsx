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7" sheetId="21" r:id="rId1"/>
  </sheets>
  <definedNames>
    <definedName name="_xlnm.Print_Area" localSheetId="0">'9.17'!$A$1:$K$31</definedName>
  </definedNames>
  <calcPr calcId="144525"/>
</workbook>
</file>

<file path=xl/calcChain.xml><?xml version="1.0" encoding="utf-8"?>
<calcChain xmlns="http://schemas.openxmlformats.org/spreadsheetml/2006/main">
  <c r="C7" i="21" l="1"/>
  <c r="D7" i="21"/>
  <c r="E7" i="21"/>
  <c r="F7" i="21"/>
  <c r="G7" i="21"/>
  <c r="H7" i="21"/>
  <c r="B7" i="21"/>
  <c r="B29" i="21" l="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<sst xmlns="http://schemas.openxmlformats.org/spreadsheetml/2006/main" count="68" uniqueCount="67">
  <si>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</si>
  <si>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</si>
  <si>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ކަރާ</t>
  </si>
  <si>
    <t>ފަޅޯ</t>
  </si>
  <si>
    <t>ބަރަބޯ</t>
  </si>
  <si>
    <t>ކިއުކަމްބަރ</t>
  </si>
  <si>
    <t>ފަތްކެޔޮ</t>
  </si>
  <si>
    <t>ޗިޗަންޑާ</t>
  </si>
  <si>
    <t>ދަނޑުވެރިކަމުގެ ބާވަތްތައް</t>
  </si>
  <si>
    <t>Agricultural Crops</t>
  </si>
  <si>
    <t>ގިތެޔޮމިރުސް</t>
  </si>
  <si>
    <t>އަނބު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</si>
  <si>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</si>
  <si>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</si>
  <si>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</si>
  <si>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</si>
  <si>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</si>
  <si>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</si>
  <si>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India</t>
  </si>
  <si>
    <t>Srilanka</t>
  </si>
  <si>
    <t>U.A.E</t>
  </si>
  <si>
    <t>Australia</t>
  </si>
  <si>
    <t>Thailand</t>
  </si>
  <si>
    <t>Other Countries</t>
  </si>
  <si>
    <t xml:space="preserve"> Total</t>
  </si>
  <si>
    <t>Banana &amp; Plaintain (Fresh)</t>
  </si>
  <si>
    <t>Beans, Fresh Or Chilled</t>
  </si>
  <si>
    <t>ބީންސް</t>
  </si>
  <si>
    <t>ފާގަ</t>
  </si>
  <si>
    <t>ކަދޫ</t>
  </si>
  <si>
    <t>ބަނބުކެޔޮ</t>
  </si>
  <si>
    <t>ބޮނޑިކޮޕީ</t>
  </si>
  <si>
    <t>ދަނޑިއަލުވި</t>
  </si>
  <si>
    <t>މުރަނގަތޮޅި</t>
  </si>
  <si>
    <t>ފޭރު</t>
  </si>
  <si>
    <t>Lettuce, Fresh Or Chilled, (Excl. Cabbage Lettuce)</t>
  </si>
  <si>
    <t>ލެޓިއުސް</t>
  </si>
  <si>
    <t>Melons, Fresh, (Excl.Watermelons)</t>
  </si>
  <si>
    <t>މެލަން</t>
  </si>
  <si>
    <t>Papaws (Papayas), Fresh</t>
  </si>
  <si>
    <t>ފެޝަންފްރުޓް</t>
  </si>
  <si>
    <t>Pumpkin (Fresh Or Chilled)</t>
  </si>
  <si>
    <t>Sapodilla (Fresh)</t>
  </si>
  <si>
    <t>ސަބްދެލި</t>
  </si>
  <si>
    <t>ކައްޓަލަ</t>
  </si>
  <si>
    <t>Watermelons, Fresh</t>
  </si>
  <si>
    <t>Source: Maldives Customs Service</t>
  </si>
  <si>
    <t xml:space="preserve"> cswsivrWs cscmwTcswk cscviDclOM :ctWrwf ivcaedutWmUluAwm</t>
  </si>
  <si>
    <t>(cniaOlik )</t>
  </si>
  <si>
    <t>(In kgs)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</si>
  <si>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</si>
  <si>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</si>
  <si>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</si>
  <si>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</si>
  <si>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</si>
  <si>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</si>
  <si>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</si>
  <si>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</si>
  <si>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</si>
  <si>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</si>
  <si>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</si>
  <si>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</si>
  <si>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</si>
  <si>
    <t>Cabbage Lettuce, Fresh or Chilled</t>
  </si>
  <si>
    <t>ކެބެޖް ލެޓިއުސް</t>
  </si>
  <si>
    <t>2014 ,cawtctwvWb egumwkirevuDnwd Wdcawh cSokumcaWa iawgEjcaWr cniaeret egukwtctwvWb unuveruk cTrOpcmia cSwaejcaWr  : 9.16 ulwvWt</t>
  </si>
  <si>
    <t>Table 9.16: IMPORTS OF FRESH AGRICULTURAL CROPS MAINLY PRODUCED IN MALDIVES,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</si>
</sst>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Faruma"/>
    </font>
    <font>
      <sz val="11"/>
      <color indexed="8"/>
      <name val="Faruma"/>
    </font>
    <font>
      <b/>
      <sz val="12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8">
    <xf numFmtId="0" fontId="0" fillId="0" borderId="0"/>
    <xf numFmtId="40" fontId="10" fillId="0" borderId="0" applyFont="0" applyFill="0" applyBorder="0" applyAlignment="0" applyProtection="0"/>
    <xf numFmtId="164" fontId="1" fillId="0" borderId="0"/>
    <xf numFmtId="0" fontId="6" fillId="0" borderId="0"/>
    <xf numFmtId="164" fontId="1" fillId="0" borderId="0"/>
    <xf numFmtId="165" fontId="1" fillId="0" borderId="0"/>
    <xf numFmtId="0" fontId="1" fillId="0" borderId="0"/>
    <xf numFmtId="0" fontId="5" fillId="0" borderId="0"/>
  </cellStyleXfs>
  <cellXfs count="53">
    <xf numFmtId="0" fontId="0" fillId="0" borderId="0" xfId="0"/>
    <xf numFmtId="38" fontId="11" fillId="2" borderId="2" xfId="1" applyNumberFormat="1" applyFont="1" applyFill="1" applyBorder="1"/>
    <xf numFmtId="165" fontId="6" fillId="2" borderId="4" xfId="3" applyNumberFormat="1" applyFill="1" applyBorder="1"/>
    <xf numFmtId="165" fontId="6" fillId="2" borderId="4" xfId="3" applyNumberFormat="1" applyFont="1" applyFill="1" applyBorder="1"/>
    <xf numFmtId="2" fontId="9" fillId="2" borderId="3" xfId="3" applyNumberFormat="1" applyFont="1" applyFill="1" applyBorder="1" applyAlignment="1">
      <alignment horizontal="right" vertical="center"/>
    </xf>
    <xf numFmtId="165" fontId="1" fillId="2" borderId="4" xfId="3" applyNumberFormat="1" applyFont="1" applyFill="1" applyBorder="1"/>
    <xf numFmtId="0" fontId="17" fillId="2" borderId="11" xfId="3" applyNumberFormat="1" applyFont="1" applyFill="1" applyBorder="1" applyAlignment="1">
      <alignment horizontal="left" vertical="center"/>
    </xf>
    <xf numFmtId="0" fontId="17" fillId="2" borderId="13" xfId="3" applyNumberFormat="1" applyFont="1" applyFill="1" applyBorder="1" applyAlignment="1">
      <alignment horizontal="left" vertical="center"/>
    </xf>
    <xf numFmtId="165" fontId="13" fillId="0" borderId="16" xfId="5" applyFont="1" applyBorder="1" applyAlignment="1">
      <alignment horizontal="right" vertical="center" indent="1"/>
    </xf>
    <xf numFmtId="1" fontId="11" fillId="2" borderId="0" xfId="0" applyNumberFormat="1" applyFont="1" applyFill="1" applyBorder="1"/>
    <xf numFmtId="165" fontId="15" fillId="2" borderId="16" xfId="5" applyFont="1" applyFill="1" applyBorder="1" applyAlignment="1" applyProtection="1">
      <alignment horizontal="left" vertical="center"/>
    </xf>
    <xf numFmtId="38" fontId="11" fillId="2" borderId="0" xfId="1" applyNumberFormat="1" applyFont="1" applyFill="1" applyBorder="1"/>
    <xf numFmtId="165" fontId="12" fillId="2" borderId="16" xfId="5" applyFont="1" applyFill="1" applyBorder="1" applyAlignment="1" applyProtection="1">
      <alignment horizontal="left" vertical="center"/>
    </xf>
    <xf numFmtId="165" fontId="13" fillId="2" borderId="16" xfId="5" applyFont="1" applyFill="1" applyBorder="1" applyAlignment="1">
      <alignment horizontal="left" vertical="center" indent="1"/>
    </xf>
    <xf numFmtId="38" fontId="8" fillId="2" borderId="0" xfId="1" applyNumberFormat="1" applyFont="1" applyFill="1" applyBorder="1"/>
    <xf numFmtId="38" fontId="8" fillId="2" borderId="2" xfId="1" applyNumberFormat="1" applyFont="1" applyFill="1" applyBorder="1"/>
    <xf numFmtId="0" fontId="2" fillId="2" borderId="7" xfId="3" applyNumberFormat="1" applyFont="1" applyFill="1" applyBorder="1" applyAlignment="1">
      <alignment horizontal="right" vertical="center"/>
    </xf>
    <xf numFmtId="165" fontId="6" fillId="2" borderId="0" xfId="3" applyNumberFormat="1" applyFill="1" applyBorder="1"/>
    <xf numFmtId="0" fontId="16" fillId="2" borderId="1" xfId="3" applyNumberFormat="1" applyFont="1" applyFill="1" applyBorder="1" applyAlignment="1">
      <alignment horizontal="left" vertical="center"/>
    </xf>
    <xf numFmtId="0" fontId="7" fillId="2" borderId="2" xfId="3" applyNumberFormat="1" applyFont="1" applyFill="1" applyBorder="1" applyAlignment="1">
      <alignment horizontal="right" vertical="center"/>
    </xf>
    <xf numFmtId="38" fontId="7" fillId="2" borderId="1" xfId="3" applyNumberFormat="1" applyFont="1" applyFill="1" applyBorder="1" applyAlignment="1">
      <alignment horizontal="right" vertical="center"/>
    </xf>
    <xf numFmtId="0" fontId="3" fillId="2" borderId="10" xfId="3" applyNumberFormat="1" applyFont="1" applyFill="1" applyBorder="1" applyAlignment="1">
      <alignment horizontal="right" vertical="center" indent="1"/>
    </xf>
    <xf numFmtId="0" fontId="3" fillId="2" borderId="12" xfId="3" applyNumberFormat="1" applyFont="1" applyFill="1" applyBorder="1" applyAlignment="1">
      <alignment horizontal="right" vertical="center" indent="1"/>
    </xf>
    <xf numFmtId="0" fontId="3" fillId="2" borderId="15" xfId="3" applyNumberFormat="1" applyFont="1" applyFill="1" applyBorder="1" applyAlignment="1">
      <alignment horizontal="right" vertical="center" indent="1"/>
    </xf>
    <xf numFmtId="1" fontId="11" fillId="2" borderId="0" xfId="0" applyNumberFormat="1" applyFont="1" applyFill="1" applyBorder="1" applyAlignment="1">
      <alignment horizontal="left" indent="1"/>
    </xf>
    <xf numFmtId="0" fontId="17" fillId="2" borderId="11" xfId="3" applyNumberFormat="1" applyFont="1" applyFill="1" applyBorder="1" applyAlignment="1">
      <alignment horizontal="left" vertical="center" indent="1"/>
    </xf>
    <xf numFmtId="0" fontId="17" fillId="2" borderId="13" xfId="3" applyNumberFormat="1" applyFont="1" applyFill="1" applyBorder="1" applyAlignment="1">
      <alignment horizontal="left" vertical="center" indent="1"/>
    </xf>
    <xf numFmtId="0" fontId="17" fillId="2" borderId="14" xfId="3" applyNumberFormat="1" applyFont="1" applyFill="1" applyBorder="1" applyAlignment="1">
      <alignment horizontal="left" vertical="center" indent="1"/>
    </xf>
    <xf numFmtId="0" fontId="14" fillId="2" borderId="4" xfId="7" applyFont="1" applyFill="1" applyBorder="1" applyAlignment="1">
      <alignment horizontal="center" vertical="center"/>
    </xf>
    <xf numFmtId="0" fontId="4" fillId="2" borderId="4" xfId="3" applyNumberFormat="1" applyFont="1" applyFill="1" applyBorder="1" applyAlignment="1">
      <alignment horizontal="center" vertical="center"/>
    </xf>
    <xf numFmtId="0" fontId="18" fillId="2" borderId="4" xfId="3" applyNumberFormat="1" applyFont="1" applyFill="1" applyBorder="1" applyAlignment="1">
      <alignment horizontal="center" vertical="center"/>
    </xf>
    <xf numFmtId="0" fontId="9" fillId="2" borderId="4" xfId="3" applyNumberFormat="1" applyFont="1" applyFill="1" applyBorder="1" applyAlignment="1">
      <alignment horizontal="center" vertical="center"/>
    </xf>
    <xf numFmtId="0" fontId="16" fillId="2" borderId="5" xfId="3" applyNumberFormat="1" applyFont="1" applyFill="1" applyBorder="1" applyAlignment="1">
      <alignment horizontal="center" vertical="center"/>
    </xf>
    <xf numFmtId="0" fontId="16" fillId="2" borderId="6" xfId="3" applyNumberFormat="1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left" vertical="center"/>
    </xf>
    <xf numFmtId="0" fontId="2" fillId="2" borderId="7" xfId="3" applyNumberFormat="1" applyFont="1" applyFill="1" applyBorder="1" applyAlignment="1">
      <alignment horizontal="right" vertical="center"/>
    </xf>
    <xf numFmtId="0" fontId="2" fillId="2" borderId="9" xfId="3" applyNumberFormat="1" applyFont="1" applyFill="1" applyBorder="1" applyAlignment="1">
      <alignment horizontal="right" vertical="center"/>
    </xf>
    <xf numFmtId="165" fontId="12" fillId="2" borderId="17" xfId="5" applyFont="1" applyFill="1" applyBorder="1" applyAlignment="1" applyProtection="1">
      <alignment horizontal="left" vertical="center"/>
    </xf>
    <xf numFmtId="165" fontId="15" fillId="2" borderId="17" xfId="5" applyFont="1" applyFill="1" applyBorder="1" applyAlignment="1" applyProtection="1">
      <alignment horizontal="left" vertical="center"/>
    </xf>
    <xf numFmtId="165" fontId="13" fillId="2" borderId="17" xfId="5" applyFont="1" applyFill="1" applyBorder="1" applyAlignment="1">
      <alignment horizontal="left" vertical="center" indent="1"/>
    </xf>
    <xf numFmtId="165" fontId="1" fillId="2" borderId="5" xfId="3" applyNumberFormat="1" applyFont="1" applyFill="1" applyBorder="1"/>
    <xf numFmtId="0" fontId="17" fillId="2" borderId="18" xfId="3" applyNumberFormat="1" applyFont="1" applyFill="1" applyBorder="1" applyAlignment="1">
      <alignment horizontal="left" vertical="center"/>
    </xf>
    <xf numFmtId="165" fontId="6" fillId="2" borderId="16" xfId="3" applyNumberFormat="1" applyFill="1" applyBorder="1"/>
    <xf numFmtId="0" fontId="17" fillId="2" borderId="0" xfId="3" applyNumberFormat="1" applyFont="1" applyFill="1" applyBorder="1" applyAlignment="1">
      <alignment horizontal="left" vertical="center"/>
    </xf>
    <xf numFmtId="0" fontId="3" fillId="2" borderId="0" xfId="3" applyNumberFormat="1" applyFont="1" applyFill="1" applyBorder="1" applyAlignment="1">
      <alignment vertical="center"/>
    </xf>
    <xf numFmtId="165" fontId="6" fillId="2" borderId="13" xfId="3" applyNumberFormat="1" applyFill="1" applyBorder="1"/>
    <xf numFmtId="165" fontId="6" fillId="2" borderId="13" xfId="3" applyNumberFormat="1" applyFont="1" applyFill="1" applyBorder="1"/>
    <xf numFmtId="165" fontId="1" fillId="2" borderId="13" xfId="3" applyNumberFormat="1" applyFont="1" applyFill="1" applyBorder="1"/>
    <xf numFmtId="0" fontId="3" fillId="2" borderId="19" xfId="3" applyNumberFormat="1" applyFont="1" applyFill="1" applyBorder="1" applyAlignment="1">
      <alignment vertical="center"/>
    </xf>
    <xf numFmtId="0" fontId="3" fillId="2" borderId="20" xfId="3" applyNumberFormat="1" applyFont="1" applyFill="1" applyBorder="1" applyAlignment="1">
      <alignment vertical="center"/>
    </xf>
    <xf numFmtId="165" fontId="6" fillId="2" borderId="11" xfId="3" applyNumberFormat="1" applyFill="1" applyBorder="1"/>
    <xf numFmtId="165" fontId="6" fillId="2" borderId="0" xfId="3" applyNumberFormat="1" applyFont="1" applyFill="1" applyBorder="1"/>
    <xf numFmtId="165" fontId="1" fillId="2" borderId="0" xfId="3" applyNumberFormat="1" applyFont="1" applyFill="1" applyBorder="1"/>
  </cellXfs>
  <cellStyles count="8">
    <cellStyle name="Comma 2" xfId="1"/>
    <cellStyle name="Normal" xfId="0" builtinId="0"/>
    <cellStyle name="Normal 2" xfId="6"/>
    <cellStyle name="Normal 3_agri planning 2009 year book(final)" xfId="4"/>
    <cellStyle name="Normal 4_agri planning 2009 year book(final)" xfId="2"/>
    <cellStyle name="Normal_agri planning 2009 year book(final)" xfId="3"/>
    <cellStyle name="Normal_Fish &amp;  Agri - 8" xfId="5"/>
    <cellStyle name="Normal_mmifco" xfId="7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888"/>
  <sheetViews>
    <sheetView tabSelected="1" zoomScaleNormal="100" workbookViewId="0">
      <selection activeCell="L8" sqref="L1:BT1048576"/>
    </sheetView>
  </sheetViews>
  <sheetFormatPr defaultColWidth="8.85546875" defaultRowHeight="15" x14ac:dyDescent="0.25"/>
  <cols>
    <col min="1" max="1" width="40.85546875" style="2" customWidth="1"/>
    <col min="2" max="8" width="15.7109375" style="2" customWidth="1"/>
    <col min="9" max="9" width="24.5703125" style="2" customWidth="1"/>
    <col min="10" max="10" width="8.85546875" style="2"/>
    <col min="11" max="11" width="8.85546875" style="45"/>
    <col min="12" max="72" width="8.85546875" style="17"/>
    <col min="73" max="16384" width="8.85546875" style="2"/>
  </cols>
  <sheetData>
    <row r="1" spans="1:72" ht="18" x14ac:dyDescent="0.25">
      <c r="A1" s="28" t="s">
        <v>65</v>
      </c>
      <c r="B1" s="28"/>
      <c r="C1" s="28"/>
      <c r="D1" s="28"/>
      <c r="E1" s="28"/>
      <c r="F1" s="28"/>
      <c r="G1" s="28"/>
      <c r="H1" s="28"/>
      <c r="I1" s="28"/>
    </row>
    <row r="2" spans="1:72" s="3" customFormat="1" ht="15.75" x14ac:dyDescent="0.25">
      <c r="A2" s="29" t="s">
        <v>66</v>
      </c>
      <c r="B2" s="29"/>
      <c r="C2" s="29"/>
      <c r="D2" s="29"/>
      <c r="E2" s="29"/>
      <c r="F2" s="29"/>
      <c r="G2" s="29"/>
      <c r="H2" s="29"/>
      <c r="I2" s="29"/>
      <c r="K2" s="46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</row>
    <row r="3" spans="1:72" ht="18.75" x14ac:dyDescent="0.25">
      <c r="A3" s="30" t="s">
        <v>48</v>
      </c>
      <c r="B3" s="30"/>
      <c r="C3" s="31"/>
      <c r="D3" s="31"/>
      <c r="E3" s="31"/>
      <c r="F3" s="31"/>
      <c r="G3" s="31"/>
      <c r="H3" s="31"/>
      <c r="I3" s="31"/>
    </row>
    <row r="4" spans="1:72" x14ac:dyDescent="0.25">
      <c r="A4" s="32" t="s">
        <v>49</v>
      </c>
      <c r="B4" s="32"/>
      <c r="C4" s="32"/>
      <c r="D4" s="32"/>
      <c r="E4" s="32"/>
      <c r="F4" s="32"/>
      <c r="G4" s="32"/>
      <c r="H4" s="32"/>
      <c r="I4" s="32"/>
    </row>
    <row r="5" spans="1:72" ht="18.75" x14ac:dyDescent="0.25">
      <c r="A5" s="33" t="s">
        <v>9</v>
      </c>
      <c r="B5" s="4" t="s">
        <v>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35" t="s">
        <v>8</v>
      </c>
    </row>
    <row r="6" spans="1:72" x14ac:dyDescent="0.25">
      <c r="A6" s="34"/>
      <c r="B6" s="19" t="s">
        <v>24</v>
      </c>
      <c r="C6" s="19" t="s">
        <v>18</v>
      </c>
      <c r="D6" s="19" t="s">
        <v>19</v>
      </c>
      <c r="E6" s="19" t="s">
        <v>20</v>
      </c>
      <c r="F6" s="19" t="s">
        <v>21</v>
      </c>
      <c r="G6" s="19" t="s">
        <v>22</v>
      </c>
      <c r="H6" s="19" t="s">
        <v>23</v>
      </c>
      <c r="I6" s="36"/>
    </row>
    <row r="7" spans="1:72" ht="21" x14ac:dyDescent="0.25">
      <c r="A7" s="18" t="s">
        <v>0</v>
      </c>
      <c r="B7" s="20">
        <f>SUM(B8:B29)</f>
        <v>9806118.2599999979</v>
      </c>
      <c r="C7" s="20">
        <f t="shared" ref="C7:H7" si="0">SUM(C8:C29)</f>
        <v>5100057.08</v>
      </c>
      <c r="D7" s="20">
        <f t="shared" si="0"/>
        <v>2133123.91</v>
      </c>
      <c r="E7" s="20">
        <f t="shared" si="0"/>
        <v>998139.79</v>
      </c>
      <c r="F7" s="20">
        <f t="shared" si="0"/>
        <v>262266.56</v>
      </c>
      <c r="G7" s="20">
        <f t="shared" si="0"/>
        <v>766731.34999999986</v>
      </c>
      <c r="H7" s="20">
        <f t="shared" si="0"/>
        <v>545799.57000000007</v>
      </c>
      <c r="I7" s="16" t="s">
        <v>1</v>
      </c>
      <c r="J7" s="5"/>
      <c r="K7" s="47"/>
    </row>
    <row r="8" spans="1:72" ht="21" x14ac:dyDescent="0.25">
      <c r="A8" s="24" t="s">
        <v>25</v>
      </c>
      <c r="B8" s="14">
        <f t="shared" ref="B8:B29" si="1">SUM(C8:H8)</f>
        <v>1035228.0000000002</v>
      </c>
      <c r="C8" s="11">
        <v>820547.6100000001</v>
      </c>
      <c r="D8" s="11">
        <v>140250.57</v>
      </c>
      <c r="E8" s="11">
        <v>37838.43</v>
      </c>
      <c r="F8" s="11">
        <v>3849</v>
      </c>
      <c r="G8" s="11">
        <v>18137.93</v>
      </c>
      <c r="H8" s="11">
        <v>14604.460000000001</v>
      </c>
      <c r="I8" s="21" t="s">
        <v>6</v>
      </c>
      <c r="J8" s="9"/>
      <c r="K8" s="48"/>
    </row>
    <row r="9" spans="1:72" ht="21" x14ac:dyDescent="0.25">
      <c r="A9" s="25" t="s">
        <v>26</v>
      </c>
      <c r="B9" s="14">
        <f t="shared" si="1"/>
        <v>517863.8</v>
      </c>
      <c r="C9" s="11">
        <v>201647.76</v>
      </c>
      <c r="D9" s="11">
        <v>198225.3</v>
      </c>
      <c r="E9" s="11">
        <v>76590.89</v>
      </c>
      <c r="F9" s="11">
        <v>2553.1</v>
      </c>
      <c r="G9" s="11">
        <v>9941.82</v>
      </c>
      <c r="H9" s="11">
        <v>28904.929999999997</v>
      </c>
      <c r="I9" s="22" t="s">
        <v>27</v>
      </c>
      <c r="J9" s="6"/>
      <c r="K9" s="48"/>
    </row>
    <row r="10" spans="1:72" ht="21" x14ac:dyDescent="0.25">
      <c r="A10" s="26" t="s">
        <v>50</v>
      </c>
      <c r="B10" s="14">
        <f t="shared" si="1"/>
        <v>84428.77</v>
      </c>
      <c r="C10" s="11">
        <v>17312</v>
      </c>
      <c r="D10" s="11">
        <v>57553.3</v>
      </c>
      <c r="E10" s="11">
        <v>3102.7</v>
      </c>
      <c r="F10" s="11">
        <v>7</v>
      </c>
      <c r="G10" s="11">
        <v>288.42</v>
      </c>
      <c r="H10" s="11">
        <v>6165.35</v>
      </c>
      <c r="I10" s="22" t="s">
        <v>28</v>
      </c>
      <c r="J10" s="7"/>
      <c r="K10" s="48"/>
    </row>
    <row r="11" spans="1:72" ht="21" x14ac:dyDescent="0.25">
      <c r="A11" s="26" t="s">
        <v>51</v>
      </c>
      <c r="B11" s="14">
        <f t="shared" si="1"/>
        <v>14325.05</v>
      </c>
      <c r="C11" s="11">
        <v>3273.4</v>
      </c>
      <c r="D11" s="11">
        <v>8201.9500000000007</v>
      </c>
      <c r="E11" s="11">
        <v>1382.5</v>
      </c>
      <c r="F11" s="11">
        <v>0</v>
      </c>
      <c r="G11" s="11">
        <v>295.3</v>
      </c>
      <c r="H11" s="11">
        <v>1171.9000000000001</v>
      </c>
      <c r="I11" s="22" t="s">
        <v>29</v>
      </c>
      <c r="J11" s="7"/>
      <c r="K11" s="48"/>
    </row>
    <row r="12" spans="1:72" ht="21" x14ac:dyDescent="0.25">
      <c r="A12" s="26" t="s">
        <v>52</v>
      </c>
      <c r="B12" s="14">
        <f t="shared" si="1"/>
        <v>8490.3799999999992</v>
      </c>
      <c r="C12" s="11">
        <v>83</v>
      </c>
      <c r="D12" s="11">
        <v>7421.5</v>
      </c>
      <c r="E12" s="11">
        <v>293.98</v>
      </c>
      <c r="F12" s="11">
        <v>0</v>
      </c>
      <c r="G12" s="11">
        <v>170</v>
      </c>
      <c r="H12" s="11">
        <v>521.9</v>
      </c>
      <c r="I12" s="22" t="s">
        <v>30</v>
      </c>
      <c r="J12" s="7"/>
      <c r="K12" s="48"/>
    </row>
    <row r="13" spans="1:72" ht="21" x14ac:dyDescent="0.25">
      <c r="A13" s="26" t="s">
        <v>53</v>
      </c>
      <c r="B13" s="14">
        <f t="shared" si="1"/>
        <v>3277026.6900000004</v>
      </c>
      <c r="C13" s="11">
        <v>2741035.6</v>
      </c>
      <c r="D13" s="11">
        <v>347270.71</v>
      </c>
      <c r="E13" s="11">
        <v>89428.54</v>
      </c>
      <c r="F13" s="11">
        <v>23835.919999999998</v>
      </c>
      <c r="G13" s="11">
        <v>18022.240000000002</v>
      </c>
      <c r="H13" s="11">
        <v>57433.68</v>
      </c>
      <c r="I13" s="22" t="s">
        <v>31</v>
      </c>
      <c r="J13" s="7"/>
      <c r="K13" s="48"/>
    </row>
    <row r="14" spans="1:72" ht="21" x14ac:dyDescent="0.25">
      <c r="A14" s="26" t="s">
        <v>63</v>
      </c>
      <c r="B14" s="14">
        <f t="shared" si="1"/>
        <v>1065.2</v>
      </c>
      <c r="C14" s="11">
        <v>193.5</v>
      </c>
      <c r="D14" s="11">
        <v>241.7</v>
      </c>
      <c r="E14" s="11">
        <v>199</v>
      </c>
      <c r="F14" s="11">
        <v>0</v>
      </c>
      <c r="G14" s="11">
        <v>5</v>
      </c>
      <c r="H14" s="11">
        <v>426</v>
      </c>
      <c r="I14" s="22" t="s">
        <v>64</v>
      </c>
      <c r="J14" s="7"/>
      <c r="K14" s="48"/>
    </row>
    <row r="15" spans="1:72" ht="21" x14ac:dyDescent="0.25">
      <c r="A15" s="26" t="s">
        <v>54</v>
      </c>
      <c r="B15" s="14">
        <f t="shared" si="1"/>
        <v>66157.37</v>
      </c>
      <c r="C15" s="11">
        <v>6438.4</v>
      </c>
      <c r="D15" s="11">
        <v>56003.96</v>
      </c>
      <c r="E15" s="11">
        <v>1826.53</v>
      </c>
      <c r="F15" s="11">
        <v>7.4</v>
      </c>
      <c r="G15" s="11">
        <v>34.880000000000003</v>
      </c>
      <c r="H15" s="11">
        <v>1846.2</v>
      </c>
      <c r="I15" s="22" t="s">
        <v>32</v>
      </c>
      <c r="J15" s="7"/>
      <c r="K15" s="48"/>
    </row>
    <row r="16" spans="1:72" ht="21" x14ac:dyDescent="0.25">
      <c r="A16" s="26" t="s">
        <v>55</v>
      </c>
      <c r="B16" s="14">
        <f t="shared" si="1"/>
        <v>284708.23</v>
      </c>
      <c r="C16" s="11">
        <v>146167.82</v>
      </c>
      <c r="D16" s="11">
        <v>89827.95</v>
      </c>
      <c r="E16" s="11">
        <v>14718.44</v>
      </c>
      <c r="F16" s="11">
        <v>129.32</v>
      </c>
      <c r="G16" s="11">
        <v>16119.54</v>
      </c>
      <c r="H16" s="11">
        <v>17745.16</v>
      </c>
      <c r="I16" s="22" t="s">
        <v>10</v>
      </c>
      <c r="J16" s="7"/>
      <c r="K16" s="48"/>
    </row>
    <row r="17" spans="1:72" ht="21" x14ac:dyDescent="0.25">
      <c r="A17" s="26" t="s">
        <v>56</v>
      </c>
      <c r="B17" s="14">
        <f t="shared" si="1"/>
        <v>443751.42</v>
      </c>
      <c r="C17" s="11">
        <v>24760.5</v>
      </c>
      <c r="D17" s="11">
        <v>264836.33</v>
      </c>
      <c r="E17" s="11">
        <v>104997.05</v>
      </c>
      <c r="F17" s="11">
        <v>6006.1</v>
      </c>
      <c r="G17" s="11">
        <v>8842.2000000000007</v>
      </c>
      <c r="H17" s="11">
        <v>34309.239999999991</v>
      </c>
      <c r="I17" s="22" t="s">
        <v>5</v>
      </c>
      <c r="J17" s="7"/>
      <c r="K17" s="48"/>
    </row>
    <row r="18" spans="1:72" ht="21" x14ac:dyDescent="0.25">
      <c r="A18" s="26" t="s">
        <v>57</v>
      </c>
      <c r="B18" s="14">
        <f t="shared" si="1"/>
        <v>67043.149999999994</v>
      </c>
      <c r="C18" s="11">
        <v>18256.3</v>
      </c>
      <c r="D18" s="11">
        <v>35314.5</v>
      </c>
      <c r="E18" s="11">
        <v>3178</v>
      </c>
      <c r="F18" s="11">
        <v>0</v>
      </c>
      <c r="G18" s="11">
        <v>138.35</v>
      </c>
      <c r="H18" s="11">
        <v>10156</v>
      </c>
      <c r="I18" s="22" t="s">
        <v>33</v>
      </c>
      <c r="J18" s="7"/>
      <c r="K18" s="48"/>
    </row>
    <row r="19" spans="1:72" ht="21" x14ac:dyDescent="0.25">
      <c r="A19" s="26" t="s">
        <v>58</v>
      </c>
      <c r="B19" s="14">
        <f t="shared" si="1"/>
        <v>296911.95999999996</v>
      </c>
      <c r="C19" s="11">
        <v>38053.5</v>
      </c>
      <c r="D19" s="11">
        <v>123066.54</v>
      </c>
      <c r="E19" s="11">
        <v>28905.7</v>
      </c>
      <c r="F19" s="11">
        <v>0</v>
      </c>
      <c r="G19" s="11">
        <v>77689.55</v>
      </c>
      <c r="H19" s="11">
        <v>29196.670000000002</v>
      </c>
      <c r="I19" s="22" t="s">
        <v>34</v>
      </c>
      <c r="J19" s="7"/>
      <c r="K19" s="48"/>
    </row>
    <row r="20" spans="1:72" ht="21" x14ac:dyDescent="0.25">
      <c r="A20" s="26" t="s">
        <v>35</v>
      </c>
      <c r="B20" s="14">
        <f t="shared" si="1"/>
        <v>478381.83</v>
      </c>
      <c r="C20" s="11">
        <v>33212.910000000003</v>
      </c>
      <c r="D20" s="11">
        <v>56611.03</v>
      </c>
      <c r="E20" s="11">
        <v>206255.33</v>
      </c>
      <c r="F20" s="11">
        <v>72885.84</v>
      </c>
      <c r="G20" s="11">
        <v>42712.46</v>
      </c>
      <c r="H20" s="11">
        <v>66704.259999999995</v>
      </c>
      <c r="I20" s="22" t="s">
        <v>36</v>
      </c>
      <c r="J20" s="7"/>
      <c r="K20" s="48"/>
    </row>
    <row r="21" spans="1:72" ht="21" x14ac:dyDescent="0.25">
      <c r="A21" s="26" t="s">
        <v>59</v>
      </c>
      <c r="B21" s="14">
        <f t="shared" si="1"/>
        <v>652895.60000000009</v>
      </c>
      <c r="C21" s="11">
        <v>82618.11</v>
      </c>
      <c r="D21" s="11">
        <v>205989.19</v>
      </c>
      <c r="E21" s="11">
        <v>59767.16</v>
      </c>
      <c r="F21" s="11">
        <v>1874.14</v>
      </c>
      <c r="G21" s="11">
        <v>191358.93</v>
      </c>
      <c r="H21" s="11">
        <v>111288.07</v>
      </c>
      <c r="I21" s="22" t="s">
        <v>11</v>
      </c>
      <c r="J21" s="7"/>
      <c r="K21" s="48"/>
    </row>
    <row r="22" spans="1:72" ht="21" x14ac:dyDescent="0.25">
      <c r="A22" s="26" t="s">
        <v>37</v>
      </c>
      <c r="B22" s="14">
        <f t="shared" si="1"/>
        <v>753024.54999999993</v>
      </c>
      <c r="C22" s="11">
        <v>92023.52</v>
      </c>
      <c r="D22" s="11">
        <v>62323.360000000001</v>
      </c>
      <c r="E22" s="11">
        <v>285086.65999999997</v>
      </c>
      <c r="F22" s="11">
        <v>94020.85</v>
      </c>
      <c r="G22" s="11">
        <v>152767.32999999999</v>
      </c>
      <c r="H22" s="11">
        <v>66802.83</v>
      </c>
      <c r="I22" s="22" t="s">
        <v>38</v>
      </c>
      <c r="J22" s="7"/>
      <c r="K22" s="48"/>
    </row>
    <row r="23" spans="1:72" ht="21" x14ac:dyDescent="0.25">
      <c r="A23" s="26" t="s">
        <v>39</v>
      </c>
      <c r="B23" s="14">
        <f t="shared" si="1"/>
        <v>145702.22</v>
      </c>
      <c r="C23" s="11">
        <v>1465</v>
      </c>
      <c r="D23" s="11">
        <v>112361.18</v>
      </c>
      <c r="E23" s="11">
        <v>2211.31</v>
      </c>
      <c r="F23" s="11">
        <v>51</v>
      </c>
      <c r="G23" s="11">
        <v>24148.73</v>
      </c>
      <c r="H23" s="11">
        <v>5465</v>
      </c>
      <c r="I23" s="22" t="s">
        <v>3</v>
      </c>
      <c r="J23" s="7"/>
      <c r="K23" s="48"/>
    </row>
    <row r="24" spans="1:72" ht="21" x14ac:dyDescent="0.25">
      <c r="A24" s="26" t="s">
        <v>60</v>
      </c>
      <c r="B24" s="14">
        <f t="shared" si="1"/>
        <v>189481.08000000002</v>
      </c>
      <c r="C24" s="11">
        <v>3252.5</v>
      </c>
      <c r="D24" s="11">
        <v>121899.39</v>
      </c>
      <c r="E24" s="11">
        <v>21974</v>
      </c>
      <c r="F24" s="11">
        <v>1745</v>
      </c>
      <c r="G24" s="11">
        <v>21201.26</v>
      </c>
      <c r="H24" s="11">
        <v>19408.93</v>
      </c>
      <c r="I24" s="22" t="s">
        <v>40</v>
      </c>
      <c r="J24" s="7"/>
      <c r="K24" s="48"/>
    </row>
    <row r="25" spans="1:72" ht="21" x14ac:dyDescent="0.25">
      <c r="A25" s="26" t="s">
        <v>41</v>
      </c>
      <c r="B25" s="14">
        <f t="shared" si="1"/>
        <v>194532.16999999998</v>
      </c>
      <c r="C25" s="11">
        <v>91319.75</v>
      </c>
      <c r="D25" s="11">
        <v>49124.61</v>
      </c>
      <c r="E25" s="11">
        <v>14418.12</v>
      </c>
      <c r="F25" s="11">
        <v>4377.6000000000004</v>
      </c>
      <c r="G25" s="11">
        <v>729.9</v>
      </c>
      <c r="H25" s="11">
        <v>34562.19</v>
      </c>
      <c r="I25" s="22" t="s">
        <v>4</v>
      </c>
      <c r="J25" s="7"/>
      <c r="K25" s="48"/>
    </row>
    <row r="26" spans="1:72" ht="21" x14ac:dyDescent="0.25">
      <c r="A26" s="26" t="s">
        <v>42</v>
      </c>
      <c r="B26" s="14">
        <f t="shared" si="1"/>
        <v>5866.69</v>
      </c>
      <c r="C26" s="11">
        <v>727</v>
      </c>
      <c r="D26" s="11">
        <v>635.20000000000005</v>
      </c>
      <c r="E26" s="11">
        <v>383.4</v>
      </c>
      <c r="F26" s="11">
        <v>3.09</v>
      </c>
      <c r="G26" s="11">
        <v>3821.6</v>
      </c>
      <c r="H26" s="11">
        <v>296.39999999999998</v>
      </c>
      <c r="I26" s="22" t="s">
        <v>43</v>
      </c>
      <c r="J26" s="7"/>
      <c r="K26" s="48"/>
    </row>
    <row r="27" spans="1:72" ht="21" x14ac:dyDescent="0.25">
      <c r="A27" s="26" t="s">
        <v>61</v>
      </c>
      <c r="B27" s="14">
        <f t="shared" si="1"/>
        <v>38413.19</v>
      </c>
      <c r="C27" s="11">
        <v>6315.5</v>
      </c>
      <c r="D27" s="11">
        <v>30296.99</v>
      </c>
      <c r="E27" s="11">
        <v>307.5</v>
      </c>
      <c r="F27" s="11">
        <v>0</v>
      </c>
      <c r="G27" s="11">
        <v>115.2</v>
      </c>
      <c r="H27" s="11">
        <v>1378</v>
      </c>
      <c r="I27" s="22" t="s">
        <v>7</v>
      </c>
      <c r="J27" s="7"/>
      <c r="K27" s="48"/>
    </row>
    <row r="28" spans="1:72" ht="21" x14ac:dyDescent="0.25">
      <c r="A28" s="26" t="s">
        <v>62</v>
      </c>
      <c r="B28" s="14">
        <f t="shared" si="1"/>
        <v>173664.61000000002</v>
      </c>
      <c r="C28" s="11">
        <v>73112.899999999994</v>
      </c>
      <c r="D28" s="11">
        <v>71539.05</v>
      </c>
      <c r="E28" s="11">
        <v>6702.15</v>
      </c>
      <c r="F28" s="11">
        <v>6373.5</v>
      </c>
      <c r="G28" s="11">
        <v>2865</v>
      </c>
      <c r="H28" s="11">
        <v>13072.01</v>
      </c>
      <c r="I28" s="22" t="s">
        <v>44</v>
      </c>
      <c r="J28" s="7"/>
      <c r="K28" s="48"/>
    </row>
    <row r="29" spans="1:72" ht="21" x14ac:dyDescent="0.25">
      <c r="A29" s="27" t="s">
        <v>45</v>
      </c>
      <c r="B29" s="15">
        <f t="shared" si="1"/>
        <v>1077156.2999999998</v>
      </c>
      <c r="C29" s="1">
        <v>698240.5</v>
      </c>
      <c r="D29" s="1">
        <v>94129.600000000006</v>
      </c>
      <c r="E29" s="1">
        <v>38572.400000000001</v>
      </c>
      <c r="F29" s="1">
        <v>44547.7</v>
      </c>
      <c r="G29" s="1">
        <v>177325.71</v>
      </c>
      <c r="H29" s="1">
        <v>24340.39</v>
      </c>
      <c r="I29" s="23" t="s">
        <v>2</v>
      </c>
      <c r="J29" s="7"/>
      <c r="K29" s="48"/>
    </row>
    <row r="30" spans="1:72" s="5" customFormat="1" ht="21" x14ac:dyDescent="0.15">
      <c r="A30" s="12" t="s">
        <v>46</v>
      </c>
      <c r="B30" s="12"/>
      <c r="C30" s="10"/>
      <c r="D30" s="10"/>
      <c r="E30" s="10"/>
      <c r="F30" s="10"/>
      <c r="G30" s="10"/>
      <c r="H30" s="13"/>
      <c r="I30" s="8" t="s">
        <v>47</v>
      </c>
      <c r="J30" s="7"/>
      <c r="K30" s="48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</row>
    <row r="31" spans="1:72" s="40" customFormat="1" ht="21" x14ac:dyDescent="0.15">
      <c r="A31" s="37"/>
      <c r="B31" s="37"/>
      <c r="C31" s="38"/>
      <c r="D31" s="38"/>
      <c r="E31" s="38"/>
      <c r="F31" s="38"/>
      <c r="G31" s="38"/>
      <c r="H31" s="39"/>
      <c r="J31" s="41"/>
      <c r="K31" s="49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</row>
    <row r="32" spans="1:72" s="17" customFormat="1" ht="21" x14ac:dyDescent="0.25">
      <c r="J32" s="43"/>
      <c r="K32" s="44"/>
    </row>
    <row r="33" spans="10:11" s="17" customFormat="1" ht="21" x14ac:dyDescent="0.25">
      <c r="J33" s="43"/>
      <c r="K33" s="44"/>
    </row>
    <row r="34" spans="10:11" s="17" customFormat="1" ht="21" x14ac:dyDescent="0.25">
      <c r="J34" s="43"/>
      <c r="K34" s="44"/>
    </row>
    <row r="35" spans="10:11" s="17" customFormat="1" ht="21" x14ac:dyDescent="0.25">
      <c r="J35" s="43"/>
      <c r="K35" s="44"/>
    </row>
    <row r="36" spans="10:11" s="17" customFormat="1" ht="21" x14ac:dyDescent="0.25">
      <c r="K36" s="44"/>
    </row>
    <row r="37" spans="10:11" s="17" customFormat="1" x14ac:dyDescent="0.25"/>
    <row r="38" spans="10:11" s="17" customFormat="1" x14ac:dyDescent="0.25"/>
    <row r="39" spans="10:11" s="17" customFormat="1" x14ac:dyDescent="0.25"/>
    <row r="40" spans="10:11" s="17" customFormat="1" x14ac:dyDescent="0.25"/>
    <row r="41" spans="10:11" s="17" customFormat="1" x14ac:dyDescent="0.25"/>
    <row r="42" spans="10:11" s="17" customFormat="1" x14ac:dyDescent="0.25"/>
    <row r="43" spans="10:11" s="17" customFormat="1" x14ac:dyDescent="0.25"/>
    <row r="44" spans="10:11" s="17" customFormat="1" x14ac:dyDescent="0.25"/>
    <row r="45" spans="10:11" s="17" customFormat="1" x14ac:dyDescent="0.25"/>
    <row r="46" spans="10:11" s="17" customFormat="1" x14ac:dyDescent="0.25"/>
    <row r="47" spans="10:11" s="17" customFormat="1" x14ac:dyDescent="0.25"/>
    <row r="48" spans="10:11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  <row r="74" s="17" customFormat="1" x14ac:dyDescent="0.25"/>
    <row r="75" s="17" customFormat="1" x14ac:dyDescent="0.25"/>
    <row r="76" s="17" customFormat="1" x14ac:dyDescent="0.25"/>
    <row r="77" s="17" customFormat="1" x14ac:dyDescent="0.25"/>
    <row r="78" s="17" customFormat="1" x14ac:dyDescent="0.25"/>
    <row r="79" s="17" customFormat="1" x14ac:dyDescent="0.25"/>
    <row r="80" s="17" customFormat="1" x14ac:dyDescent="0.25"/>
    <row r="81" s="17" customFormat="1" x14ac:dyDescent="0.25"/>
    <row r="82" s="17" customFormat="1" x14ac:dyDescent="0.25"/>
    <row r="83" s="17" customFormat="1" x14ac:dyDescent="0.25"/>
    <row r="84" s="17" customFormat="1" x14ac:dyDescent="0.25"/>
    <row r="85" s="17" customFormat="1" x14ac:dyDescent="0.25"/>
    <row r="86" s="17" customFormat="1" x14ac:dyDescent="0.25"/>
    <row r="87" s="17" customFormat="1" x14ac:dyDescent="0.25"/>
    <row r="88" s="17" customFormat="1" x14ac:dyDescent="0.25"/>
    <row r="89" s="17" customFormat="1" x14ac:dyDescent="0.25"/>
    <row r="90" s="17" customFormat="1" x14ac:dyDescent="0.25"/>
    <row r="91" s="17" customFormat="1" x14ac:dyDescent="0.25"/>
    <row r="92" s="17" customFormat="1" x14ac:dyDescent="0.25"/>
    <row r="93" s="17" customFormat="1" x14ac:dyDescent="0.25"/>
    <row r="94" s="17" customFormat="1" x14ac:dyDescent="0.25"/>
    <row r="95" s="17" customFormat="1" x14ac:dyDescent="0.25"/>
    <row r="96" s="17" customFormat="1" x14ac:dyDescent="0.25"/>
    <row r="97" s="17" customFormat="1" x14ac:dyDescent="0.25"/>
    <row r="98" s="17" customFormat="1" x14ac:dyDescent="0.25"/>
    <row r="99" s="17" customFormat="1" x14ac:dyDescent="0.25"/>
    <row r="100" s="17" customFormat="1" x14ac:dyDescent="0.25"/>
    <row r="101" s="17" customFormat="1" x14ac:dyDescent="0.25"/>
    <row r="102" s="17" customFormat="1" x14ac:dyDescent="0.25"/>
    <row r="103" s="17" customFormat="1" x14ac:dyDescent="0.25"/>
    <row r="104" s="17" customFormat="1" x14ac:dyDescent="0.25"/>
    <row r="105" s="17" customFormat="1" x14ac:dyDescent="0.25"/>
    <row r="106" s="17" customFormat="1" x14ac:dyDescent="0.25"/>
    <row r="107" s="17" customFormat="1" x14ac:dyDescent="0.25"/>
    <row r="108" s="17" customFormat="1" x14ac:dyDescent="0.25"/>
    <row r="109" s="17" customFormat="1" x14ac:dyDescent="0.25"/>
    <row r="110" s="17" customFormat="1" x14ac:dyDescent="0.25"/>
    <row r="111" s="17" customFormat="1" x14ac:dyDescent="0.25"/>
    <row r="112" s="17" customFormat="1" x14ac:dyDescent="0.25"/>
    <row r="113" s="17" customFormat="1" x14ac:dyDescent="0.25"/>
    <row r="114" s="17" customFormat="1" x14ac:dyDescent="0.25"/>
    <row r="115" s="17" customFormat="1" x14ac:dyDescent="0.25"/>
    <row r="116" s="17" customFormat="1" x14ac:dyDescent="0.25"/>
    <row r="117" s="17" customFormat="1" x14ac:dyDescent="0.25"/>
    <row r="118" s="17" customFormat="1" x14ac:dyDescent="0.25"/>
    <row r="119" s="17" customFormat="1" x14ac:dyDescent="0.25"/>
    <row r="120" s="17" customFormat="1" x14ac:dyDescent="0.25"/>
    <row r="121" s="17" customFormat="1" x14ac:dyDescent="0.25"/>
    <row r="122" s="17" customFormat="1" x14ac:dyDescent="0.25"/>
    <row r="123" s="17" customFormat="1" x14ac:dyDescent="0.25"/>
    <row r="124" s="17" customFormat="1" x14ac:dyDescent="0.25"/>
    <row r="125" s="17" customFormat="1" x14ac:dyDescent="0.25"/>
    <row r="126" s="17" customFormat="1" x14ac:dyDescent="0.25"/>
    <row r="127" s="17" customFormat="1" x14ac:dyDescent="0.25"/>
    <row r="128" s="17" customFormat="1" x14ac:dyDescent="0.25"/>
    <row r="129" s="17" customFormat="1" x14ac:dyDescent="0.25"/>
    <row r="130" s="17" customFormat="1" x14ac:dyDescent="0.25"/>
    <row r="131" s="17" customFormat="1" x14ac:dyDescent="0.25"/>
    <row r="132" s="17" customFormat="1" x14ac:dyDescent="0.25"/>
    <row r="133" s="17" customFormat="1" x14ac:dyDescent="0.25"/>
    <row r="134" s="17" customFormat="1" x14ac:dyDescent="0.25"/>
    <row r="135" s="17" customFormat="1" x14ac:dyDescent="0.25"/>
    <row r="136" s="17" customFormat="1" x14ac:dyDescent="0.25"/>
    <row r="137" s="17" customFormat="1" x14ac:dyDescent="0.25"/>
    <row r="138" s="17" customFormat="1" x14ac:dyDescent="0.25"/>
    <row r="139" s="17" customFormat="1" x14ac:dyDescent="0.25"/>
    <row r="140" s="17" customFormat="1" x14ac:dyDescent="0.25"/>
    <row r="141" s="17" customFormat="1" x14ac:dyDescent="0.25"/>
    <row r="142" s="17" customFormat="1" x14ac:dyDescent="0.25"/>
    <row r="143" s="17" customFormat="1" x14ac:dyDescent="0.25"/>
    <row r="144" s="17" customFormat="1" x14ac:dyDescent="0.25"/>
    <row r="145" s="17" customFormat="1" x14ac:dyDescent="0.25"/>
    <row r="146" s="17" customFormat="1" x14ac:dyDescent="0.25"/>
    <row r="147" s="17" customFormat="1" x14ac:dyDescent="0.25"/>
    <row r="148" s="17" customFormat="1" x14ac:dyDescent="0.25"/>
    <row r="149" s="17" customFormat="1" x14ac:dyDescent="0.25"/>
    <row r="150" s="17" customFormat="1" x14ac:dyDescent="0.25"/>
    <row r="151" s="17" customFormat="1" x14ac:dyDescent="0.25"/>
    <row r="152" s="17" customFormat="1" x14ac:dyDescent="0.25"/>
    <row r="153" s="17" customFormat="1" x14ac:dyDescent="0.25"/>
    <row r="154" s="17" customFormat="1" x14ac:dyDescent="0.25"/>
    <row r="155" s="17" customFormat="1" x14ac:dyDescent="0.25"/>
    <row r="156" s="17" customFormat="1" x14ac:dyDescent="0.25"/>
    <row r="157" s="17" customFormat="1" x14ac:dyDescent="0.25"/>
    <row r="158" s="17" customFormat="1" x14ac:dyDescent="0.25"/>
    <row r="159" s="17" customFormat="1" x14ac:dyDescent="0.25"/>
    <row r="160" s="17" customFormat="1" x14ac:dyDescent="0.25"/>
    <row r="161" s="17" customFormat="1" x14ac:dyDescent="0.25"/>
    <row r="162" s="17" customFormat="1" x14ac:dyDescent="0.25"/>
    <row r="163" s="17" customFormat="1" x14ac:dyDescent="0.25"/>
    <row r="164" s="17" customFormat="1" x14ac:dyDescent="0.25"/>
    <row r="165" s="17" customFormat="1" x14ac:dyDescent="0.25"/>
    <row r="166" s="17" customFormat="1" x14ac:dyDescent="0.25"/>
    <row r="167" s="17" customFormat="1" x14ac:dyDescent="0.25"/>
    <row r="168" s="17" customFormat="1" x14ac:dyDescent="0.25"/>
    <row r="169" s="17" customFormat="1" x14ac:dyDescent="0.25"/>
    <row r="170" s="17" customFormat="1" x14ac:dyDescent="0.25"/>
    <row r="171" s="17" customFormat="1" x14ac:dyDescent="0.25"/>
    <row r="172" s="17" customFormat="1" x14ac:dyDescent="0.25"/>
    <row r="173" s="17" customFormat="1" x14ac:dyDescent="0.25"/>
    <row r="174" s="17" customFormat="1" x14ac:dyDescent="0.25"/>
    <row r="175" s="17" customFormat="1" x14ac:dyDescent="0.25"/>
    <row r="176" s="17" customFormat="1" x14ac:dyDescent="0.25"/>
    <row r="177" s="17" customFormat="1" x14ac:dyDescent="0.25"/>
    <row r="178" s="17" customFormat="1" x14ac:dyDescent="0.25"/>
    <row r="179" s="17" customFormat="1" x14ac:dyDescent="0.25"/>
    <row r="180" s="17" customFormat="1" x14ac:dyDescent="0.25"/>
    <row r="181" s="17" customFormat="1" x14ac:dyDescent="0.25"/>
    <row r="182" s="17" customFormat="1" x14ac:dyDescent="0.25"/>
    <row r="183" s="17" customFormat="1" x14ac:dyDescent="0.25"/>
    <row r="184" s="17" customFormat="1" x14ac:dyDescent="0.25"/>
    <row r="185" s="17" customFormat="1" x14ac:dyDescent="0.25"/>
    <row r="186" s="17" customFormat="1" x14ac:dyDescent="0.25"/>
    <row r="187" s="17" customFormat="1" x14ac:dyDescent="0.25"/>
    <row r="188" s="17" customFormat="1" x14ac:dyDescent="0.25"/>
    <row r="189" s="17" customFormat="1" x14ac:dyDescent="0.25"/>
    <row r="190" s="17" customFormat="1" x14ac:dyDescent="0.25"/>
    <row r="191" s="17" customFormat="1" x14ac:dyDescent="0.25"/>
    <row r="192" s="17" customFormat="1" x14ac:dyDescent="0.25"/>
    <row r="193" s="17" customFormat="1" x14ac:dyDescent="0.25"/>
    <row r="194" s="17" customFormat="1" x14ac:dyDescent="0.25"/>
    <row r="195" s="17" customFormat="1" x14ac:dyDescent="0.25"/>
    <row r="196" s="17" customFormat="1" x14ac:dyDescent="0.25"/>
    <row r="197" s="17" customFormat="1" x14ac:dyDescent="0.25"/>
    <row r="198" s="17" customFormat="1" x14ac:dyDescent="0.25"/>
    <row r="199" s="17" customFormat="1" x14ac:dyDescent="0.25"/>
    <row r="200" s="17" customFormat="1" x14ac:dyDescent="0.25"/>
    <row r="201" s="17" customFormat="1" x14ac:dyDescent="0.25"/>
    <row r="202" s="17" customFormat="1" x14ac:dyDescent="0.25"/>
    <row r="203" s="17" customFormat="1" x14ac:dyDescent="0.25"/>
    <row r="204" s="17" customFormat="1" x14ac:dyDescent="0.25"/>
    <row r="205" s="17" customFormat="1" x14ac:dyDescent="0.25"/>
    <row r="206" s="17" customFormat="1" x14ac:dyDescent="0.25"/>
    <row r="207" s="17" customFormat="1" x14ac:dyDescent="0.25"/>
    <row r="20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  <row r="246" s="17" customFormat="1" x14ac:dyDescent="0.25"/>
    <row r="247" s="17" customFormat="1" x14ac:dyDescent="0.25"/>
    <row r="248" s="17" customFormat="1" x14ac:dyDescent="0.25"/>
    <row r="249" s="17" customFormat="1" x14ac:dyDescent="0.25"/>
    <row r="250" s="17" customFormat="1" x14ac:dyDescent="0.25"/>
    <row r="251" s="17" customFormat="1" x14ac:dyDescent="0.25"/>
    <row r="252" s="17" customFormat="1" x14ac:dyDescent="0.25"/>
    <row r="253" s="17" customFormat="1" x14ac:dyDescent="0.25"/>
    <row r="254" s="17" customFormat="1" x14ac:dyDescent="0.25"/>
    <row r="255" s="17" customFormat="1" x14ac:dyDescent="0.25"/>
    <row r="256" s="17" customFormat="1" x14ac:dyDescent="0.25"/>
    <row r="257" s="17" customFormat="1" x14ac:dyDescent="0.25"/>
    <row r="258" s="17" customFormat="1" x14ac:dyDescent="0.25"/>
    <row r="259" s="17" customFormat="1" x14ac:dyDescent="0.25"/>
    <row r="260" s="17" customFormat="1" x14ac:dyDescent="0.25"/>
    <row r="261" s="17" customFormat="1" x14ac:dyDescent="0.25"/>
    <row r="262" s="17" customFormat="1" x14ac:dyDescent="0.25"/>
    <row r="263" s="17" customFormat="1" x14ac:dyDescent="0.25"/>
    <row r="264" s="17" customFormat="1" x14ac:dyDescent="0.25"/>
    <row r="265" s="17" customFormat="1" x14ac:dyDescent="0.25"/>
    <row r="266" s="17" customFormat="1" x14ac:dyDescent="0.25"/>
    <row r="267" s="17" customFormat="1" x14ac:dyDescent="0.25"/>
    <row r="268" s="17" customFormat="1" x14ac:dyDescent="0.25"/>
    <row r="269" s="17" customFormat="1" x14ac:dyDescent="0.25"/>
    <row r="270" s="17" customFormat="1" x14ac:dyDescent="0.25"/>
    <row r="271" s="17" customFormat="1" x14ac:dyDescent="0.25"/>
    <row r="272" s="17" customFormat="1" x14ac:dyDescent="0.25"/>
    <row r="273" s="17" customFormat="1" x14ac:dyDescent="0.25"/>
    <row r="274" s="17" customFormat="1" x14ac:dyDescent="0.25"/>
    <row r="275" s="17" customFormat="1" x14ac:dyDescent="0.25"/>
    <row r="276" s="17" customFormat="1" x14ac:dyDescent="0.25"/>
    <row r="277" s="17" customFormat="1" x14ac:dyDescent="0.25"/>
    <row r="278" s="17" customFormat="1" x14ac:dyDescent="0.25"/>
    <row r="279" s="17" customFormat="1" x14ac:dyDescent="0.25"/>
    <row r="280" s="17" customFormat="1" x14ac:dyDescent="0.25"/>
    <row r="281" s="17" customFormat="1" x14ac:dyDescent="0.25"/>
    <row r="282" s="17" customFormat="1" x14ac:dyDescent="0.25"/>
    <row r="283" s="17" customFormat="1" x14ac:dyDescent="0.25"/>
    <row r="284" s="17" customFormat="1" x14ac:dyDescent="0.25"/>
    <row r="285" s="17" customFormat="1" x14ac:dyDescent="0.25"/>
    <row r="286" s="17" customFormat="1" x14ac:dyDescent="0.25"/>
    <row r="287" s="17" customFormat="1" x14ac:dyDescent="0.25"/>
    <row r="288" s="17" customFormat="1" x14ac:dyDescent="0.25"/>
    <row r="289" s="17" customFormat="1" x14ac:dyDescent="0.25"/>
    <row r="290" s="17" customFormat="1" x14ac:dyDescent="0.25"/>
    <row r="291" s="17" customFormat="1" x14ac:dyDescent="0.25"/>
    <row r="292" s="17" customFormat="1" x14ac:dyDescent="0.25"/>
    <row r="293" s="17" customFormat="1" x14ac:dyDescent="0.25"/>
    <row r="294" s="17" customFormat="1" x14ac:dyDescent="0.25"/>
    <row r="295" s="17" customFormat="1" x14ac:dyDescent="0.25"/>
    <row r="296" s="17" customFormat="1" x14ac:dyDescent="0.25"/>
    <row r="297" s="17" customFormat="1" x14ac:dyDescent="0.25"/>
    <row r="298" s="17" customFormat="1" x14ac:dyDescent="0.25"/>
    <row r="299" s="17" customFormat="1" x14ac:dyDescent="0.25"/>
    <row r="300" s="17" customFormat="1" x14ac:dyDescent="0.25"/>
    <row r="301" s="17" customFormat="1" x14ac:dyDescent="0.25"/>
    <row r="302" s="17" customFormat="1" x14ac:dyDescent="0.25"/>
    <row r="303" s="17" customFormat="1" x14ac:dyDescent="0.25"/>
    <row r="304" s="17" customFormat="1" x14ac:dyDescent="0.25"/>
    <row r="305" s="17" customFormat="1" x14ac:dyDescent="0.25"/>
    <row r="306" s="17" customFormat="1" x14ac:dyDescent="0.25"/>
    <row r="307" s="17" customFormat="1" x14ac:dyDescent="0.25"/>
    <row r="308" s="17" customFormat="1" x14ac:dyDescent="0.25"/>
    <row r="309" s="17" customFormat="1" x14ac:dyDescent="0.25"/>
    <row r="310" s="17" customFormat="1" x14ac:dyDescent="0.25"/>
    <row r="311" s="17" customFormat="1" x14ac:dyDescent="0.25"/>
    <row r="312" s="17" customFormat="1" x14ac:dyDescent="0.25"/>
    <row r="313" s="17" customFormat="1" x14ac:dyDescent="0.25"/>
    <row r="314" s="17" customFormat="1" x14ac:dyDescent="0.25"/>
    <row r="315" s="17" customFormat="1" x14ac:dyDescent="0.25"/>
    <row r="316" s="17" customFormat="1" x14ac:dyDescent="0.25"/>
    <row r="317" s="17" customFormat="1" x14ac:dyDescent="0.25"/>
    <row r="318" s="17" customFormat="1" x14ac:dyDescent="0.25"/>
    <row r="319" s="17" customFormat="1" x14ac:dyDescent="0.25"/>
    <row r="320" s="17" customFormat="1" x14ac:dyDescent="0.25"/>
    <row r="321" s="17" customFormat="1" x14ac:dyDescent="0.25"/>
    <row r="322" s="17" customFormat="1" x14ac:dyDescent="0.25"/>
    <row r="323" s="17" customFormat="1" x14ac:dyDescent="0.25"/>
    <row r="324" s="17" customFormat="1" x14ac:dyDescent="0.25"/>
    <row r="325" s="17" customFormat="1" x14ac:dyDescent="0.25"/>
    <row r="326" s="17" customFormat="1" x14ac:dyDescent="0.25"/>
    <row r="327" s="17" customFormat="1" x14ac:dyDescent="0.25"/>
    <row r="328" s="17" customFormat="1" x14ac:dyDescent="0.25"/>
    <row r="329" s="17" customFormat="1" x14ac:dyDescent="0.25"/>
    <row r="330" s="17" customFormat="1" x14ac:dyDescent="0.25"/>
    <row r="331" s="17" customFormat="1" x14ac:dyDescent="0.25"/>
    <row r="332" s="17" customFormat="1" x14ac:dyDescent="0.25"/>
    <row r="333" s="17" customFormat="1" x14ac:dyDescent="0.25"/>
    <row r="334" s="17" customFormat="1" x14ac:dyDescent="0.25"/>
    <row r="335" s="17" customFormat="1" x14ac:dyDescent="0.25"/>
    <row r="336" s="17" customFormat="1" x14ac:dyDescent="0.25"/>
    <row r="337" s="17" customFormat="1" x14ac:dyDescent="0.25"/>
    <row r="338" s="17" customFormat="1" x14ac:dyDescent="0.25"/>
    <row r="339" s="17" customFormat="1" x14ac:dyDescent="0.25"/>
    <row r="340" s="17" customFormat="1" x14ac:dyDescent="0.25"/>
    <row r="341" s="17" customFormat="1" x14ac:dyDescent="0.25"/>
    <row r="342" s="17" customFormat="1" x14ac:dyDescent="0.25"/>
    <row r="343" s="17" customFormat="1" x14ac:dyDescent="0.25"/>
    <row r="344" s="17" customFormat="1" x14ac:dyDescent="0.25"/>
    <row r="345" s="17" customFormat="1" x14ac:dyDescent="0.25"/>
    <row r="346" s="17" customFormat="1" x14ac:dyDescent="0.25"/>
    <row r="347" s="17" customFormat="1" x14ac:dyDescent="0.25"/>
    <row r="348" s="17" customFormat="1" x14ac:dyDescent="0.25"/>
    <row r="349" s="17" customFormat="1" x14ac:dyDescent="0.25"/>
    <row r="350" s="17" customFormat="1" x14ac:dyDescent="0.25"/>
    <row r="351" s="17" customFormat="1" x14ac:dyDescent="0.25"/>
    <row r="352" s="17" customFormat="1" x14ac:dyDescent="0.25"/>
    <row r="353" s="17" customFormat="1" x14ac:dyDescent="0.25"/>
    <row r="354" s="17" customFormat="1" x14ac:dyDescent="0.25"/>
    <row r="355" s="17" customFormat="1" x14ac:dyDescent="0.25"/>
    <row r="356" s="17" customFormat="1" x14ac:dyDescent="0.25"/>
    <row r="357" s="17" customFormat="1" x14ac:dyDescent="0.25"/>
    <row r="358" s="17" customFormat="1" x14ac:dyDescent="0.25"/>
    <row r="359" s="17" customFormat="1" x14ac:dyDescent="0.25"/>
    <row r="360" s="17" customFormat="1" x14ac:dyDescent="0.25"/>
    <row r="361" s="17" customFormat="1" x14ac:dyDescent="0.25"/>
    <row r="362" s="17" customFormat="1" x14ac:dyDescent="0.25"/>
    <row r="363" s="17" customFormat="1" x14ac:dyDescent="0.25"/>
    <row r="364" s="17" customFormat="1" x14ac:dyDescent="0.25"/>
    <row r="365" s="17" customFormat="1" x14ac:dyDescent="0.25"/>
    <row r="366" s="17" customFormat="1" x14ac:dyDescent="0.25"/>
    <row r="367" s="17" customFormat="1" x14ac:dyDescent="0.25"/>
    <row r="368" s="17" customFormat="1" x14ac:dyDescent="0.25"/>
    <row r="369" s="17" customFormat="1" x14ac:dyDescent="0.25"/>
    <row r="370" s="17" customFormat="1" x14ac:dyDescent="0.25"/>
    <row r="371" s="17" customFormat="1" x14ac:dyDescent="0.25"/>
    <row r="372" s="17" customFormat="1" x14ac:dyDescent="0.25"/>
    <row r="373" s="17" customFormat="1" x14ac:dyDescent="0.25"/>
    <row r="374" s="17" customFormat="1" x14ac:dyDescent="0.25"/>
    <row r="375" s="17" customFormat="1" x14ac:dyDescent="0.25"/>
    <row r="376" s="17" customFormat="1" x14ac:dyDescent="0.25"/>
    <row r="377" s="17" customFormat="1" x14ac:dyDescent="0.25"/>
    <row r="378" s="17" customFormat="1" x14ac:dyDescent="0.25"/>
    <row r="379" s="17" customFormat="1" x14ac:dyDescent="0.25"/>
    <row r="380" s="17" customFormat="1" x14ac:dyDescent="0.25"/>
    <row r="381" s="17" customFormat="1" x14ac:dyDescent="0.25"/>
    <row r="382" s="17" customFormat="1" x14ac:dyDescent="0.25"/>
    <row r="383" s="17" customFormat="1" x14ac:dyDescent="0.25"/>
    <row r="384" s="17" customFormat="1" x14ac:dyDescent="0.25"/>
    <row r="385" s="17" customFormat="1" x14ac:dyDescent="0.25"/>
    <row r="386" s="17" customFormat="1" x14ac:dyDescent="0.25"/>
    <row r="387" s="17" customFormat="1" x14ac:dyDescent="0.25"/>
    <row r="388" s="17" customFormat="1" x14ac:dyDescent="0.25"/>
    <row r="389" s="17" customFormat="1" x14ac:dyDescent="0.25"/>
    <row r="390" s="17" customFormat="1" x14ac:dyDescent="0.25"/>
    <row r="391" s="17" customFormat="1" x14ac:dyDescent="0.25"/>
    <row r="392" s="17" customFormat="1" x14ac:dyDescent="0.25"/>
    <row r="393" s="17" customFormat="1" x14ac:dyDescent="0.25"/>
    <row r="394" s="17" customFormat="1" x14ac:dyDescent="0.25"/>
    <row r="395" s="17" customFormat="1" x14ac:dyDescent="0.25"/>
    <row r="396" s="17" customFormat="1" x14ac:dyDescent="0.25"/>
    <row r="397" s="17" customFormat="1" x14ac:dyDescent="0.25"/>
    <row r="398" s="17" customFormat="1" x14ac:dyDescent="0.25"/>
    <row r="399" s="17" customFormat="1" x14ac:dyDescent="0.25"/>
    <row r="400" s="17" customFormat="1" x14ac:dyDescent="0.25"/>
    <row r="401" s="17" customFormat="1" x14ac:dyDescent="0.25"/>
    <row r="402" s="17" customFormat="1" x14ac:dyDescent="0.25"/>
    <row r="403" s="17" customFormat="1" x14ac:dyDescent="0.25"/>
    <row r="404" s="17" customFormat="1" x14ac:dyDescent="0.25"/>
    <row r="405" s="17" customFormat="1" x14ac:dyDescent="0.25"/>
    <row r="406" s="17" customFormat="1" x14ac:dyDescent="0.25"/>
    <row r="407" s="17" customFormat="1" x14ac:dyDescent="0.25"/>
    <row r="408" s="17" customFormat="1" x14ac:dyDescent="0.25"/>
    <row r="409" s="17" customFormat="1" x14ac:dyDescent="0.25"/>
    <row r="410" s="17" customFormat="1" x14ac:dyDescent="0.25"/>
    <row r="411" s="17" customFormat="1" x14ac:dyDescent="0.25"/>
    <row r="412" s="17" customFormat="1" x14ac:dyDescent="0.25"/>
    <row r="413" s="17" customFormat="1" x14ac:dyDescent="0.25"/>
    <row r="414" s="17" customFormat="1" x14ac:dyDescent="0.25"/>
    <row r="415" s="17" customFormat="1" x14ac:dyDescent="0.25"/>
    <row r="416" s="17" customFormat="1" x14ac:dyDescent="0.25"/>
    <row r="417" s="17" customFormat="1" x14ac:dyDescent="0.25"/>
    <row r="418" s="17" customFormat="1" x14ac:dyDescent="0.25"/>
    <row r="419" s="17" customFormat="1" x14ac:dyDescent="0.25"/>
    <row r="420" s="17" customFormat="1" x14ac:dyDescent="0.25"/>
    <row r="421" s="17" customFormat="1" x14ac:dyDescent="0.25"/>
    <row r="422" s="17" customFormat="1" x14ac:dyDescent="0.25"/>
    <row r="423" s="17" customFormat="1" x14ac:dyDescent="0.25"/>
    <row r="424" s="17" customFormat="1" x14ac:dyDescent="0.25"/>
    <row r="425" s="17" customFormat="1" x14ac:dyDescent="0.25"/>
    <row r="426" s="17" customFormat="1" x14ac:dyDescent="0.25"/>
    <row r="427" s="17" customFormat="1" x14ac:dyDescent="0.25"/>
    <row r="428" s="17" customFormat="1" x14ac:dyDescent="0.25"/>
    <row r="429" s="17" customFormat="1" x14ac:dyDescent="0.25"/>
    <row r="430" s="17" customFormat="1" x14ac:dyDescent="0.25"/>
    <row r="431" s="17" customFormat="1" x14ac:dyDescent="0.25"/>
    <row r="432" s="17" customFormat="1" x14ac:dyDescent="0.25"/>
    <row r="433" s="17" customFormat="1" x14ac:dyDescent="0.25"/>
    <row r="434" s="17" customFormat="1" x14ac:dyDescent="0.25"/>
    <row r="435" s="17" customFormat="1" x14ac:dyDescent="0.25"/>
    <row r="436" s="17" customFormat="1" x14ac:dyDescent="0.25"/>
    <row r="437" s="17" customFormat="1" x14ac:dyDescent="0.25"/>
    <row r="438" s="17" customFormat="1" x14ac:dyDescent="0.25"/>
    <row r="439" s="17" customFormat="1" x14ac:dyDescent="0.25"/>
    <row r="440" s="17" customFormat="1" x14ac:dyDescent="0.25"/>
    <row r="441" s="17" customFormat="1" x14ac:dyDescent="0.25"/>
    <row r="442" s="17" customFormat="1" x14ac:dyDescent="0.25"/>
    <row r="443" s="17" customFormat="1" x14ac:dyDescent="0.25"/>
    <row r="444" s="17" customFormat="1" x14ac:dyDescent="0.25"/>
    <row r="445" s="17" customFormat="1" x14ac:dyDescent="0.25"/>
    <row r="446" s="17" customFormat="1" x14ac:dyDescent="0.25"/>
    <row r="447" s="17" customFormat="1" x14ac:dyDescent="0.25"/>
    <row r="448" s="17" customFormat="1" x14ac:dyDescent="0.25"/>
    <row r="449" s="17" customFormat="1" x14ac:dyDescent="0.25"/>
    <row r="450" s="17" customFormat="1" x14ac:dyDescent="0.25"/>
    <row r="451" s="17" customFormat="1" x14ac:dyDescent="0.25"/>
    <row r="452" s="17" customFormat="1" x14ac:dyDescent="0.25"/>
    <row r="453" s="17" customFormat="1" x14ac:dyDescent="0.25"/>
    <row r="454" s="17" customFormat="1" x14ac:dyDescent="0.25"/>
    <row r="455" s="17" customFormat="1" x14ac:dyDescent="0.25"/>
    <row r="456" s="17" customFormat="1" x14ac:dyDescent="0.25"/>
    <row r="457" s="17" customFormat="1" x14ac:dyDescent="0.25"/>
    <row r="458" s="17" customFormat="1" x14ac:dyDescent="0.25"/>
    <row r="459" s="17" customFormat="1" x14ac:dyDescent="0.25"/>
    <row r="460" s="17" customFormat="1" x14ac:dyDescent="0.25"/>
    <row r="461" s="17" customFormat="1" x14ac:dyDescent="0.25"/>
    <row r="462" s="17" customFormat="1" x14ac:dyDescent="0.25"/>
    <row r="463" s="17" customFormat="1" x14ac:dyDescent="0.25"/>
    <row r="464" s="17" customFormat="1" x14ac:dyDescent="0.25"/>
    <row r="465" s="17" customFormat="1" x14ac:dyDescent="0.25"/>
    <row r="466" s="17" customFormat="1" x14ac:dyDescent="0.25"/>
    <row r="467" s="17" customFormat="1" x14ac:dyDescent="0.25"/>
    <row r="468" s="17" customFormat="1" x14ac:dyDescent="0.25"/>
    <row r="469" s="17" customFormat="1" x14ac:dyDescent="0.25"/>
    <row r="470" s="17" customFormat="1" x14ac:dyDescent="0.25"/>
    <row r="471" s="17" customFormat="1" x14ac:dyDescent="0.25"/>
    <row r="472" s="17" customFormat="1" x14ac:dyDescent="0.25"/>
    <row r="473" s="17" customFormat="1" x14ac:dyDescent="0.25"/>
    <row r="474" s="17" customFormat="1" x14ac:dyDescent="0.25"/>
    <row r="475" s="17" customFormat="1" x14ac:dyDescent="0.25"/>
    <row r="476" s="17" customFormat="1" x14ac:dyDescent="0.25"/>
    <row r="477" s="17" customFormat="1" x14ac:dyDescent="0.25"/>
    <row r="478" s="17" customFormat="1" x14ac:dyDescent="0.25"/>
    <row r="479" s="17" customFormat="1" x14ac:dyDescent="0.25"/>
    <row r="480" s="17" customFormat="1" x14ac:dyDescent="0.25"/>
    <row r="481" s="17" customFormat="1" x14ac:dyDescent="0.25"/>
    <row r="482" s="17" customFormat="1" x14ac:dyDescent="0.25"/>
    <row r="483" s="17" customFormat="1" x14ac:dyDescent="0.25"/>
    <row r="484" s="17" customFormat="1" x14ac:dyDescent="0.25"/>
    <row r="485" s="17" customFormat="1" x14ac:dyDescent="0.25"/>
    <row r="486" s="17" customFormat="1" x14ac:dyDescent="0.25"/>
    <row r="487" s="17" customFormat="1" x14ac:dyDescent="0.25"/>
    <row r="488" s="17" customFormat="1" x14ac:dyDescent="0.25"/>
    <row r="489" s="17" customFormat="1" x14ac:dyDescent="0.25"/>
    <row r="490" s="17" customFormat="1" x14ac:dyDescent="0.25"/>
    <row r="491" s="17" customFormat="1" x14ac:dyDescent="0.25"/>
    <row r="492" s="17" customFormat="1" x14ac:dyDescent="0.25"/>
    <row r="493" s="17" customFormat="1" x14ac:dyDescent="0.25"/>
    <row r="494" s="17" customFormat="1" x14ac:dyDescent="0.25"/>
    <row r="495" s="17" customFormat="1" x14ac:dyDescent="0.25"/>
    <row r="496" s="17" customFormat="1" x14ac:dyDescent="0.25"/>
    <row r="497" s="17" customFormat="1" x14ac:dyDescent="0.25"/>
    <row r="498" s="17" customFormat="1" x14ac:dyDescent="0.25"/>
    <row r="499" s="17" customFormat="1" x14ac:dyDescent="0.25"/>
    <row r="500" s="17" customFormat="1" x14ac:dyDescent="0.25"/>
    <row r="501" s="17" customFormat="1" x14ac:dyDescent="0.25"/>
    <row r="502" s="17" customFormat="1" x14ac:dyDescent="0.25"/>
    <row r="503" s="17" customFormat="1" x14ac:dyDescent="0.25"/>
    <row r="504" s="17" customFormat="1" x14ac:dyDescent="0.25"/>
    <row r="505" s="17" customFormat="1" x14ac:dyDescent="0.25"/>
    <row r="506" s="17" customFormat="1" x14ac:dyDescent="0.25"/>
    <row r="507" s="17" customFormat="1" x14ac:dyDescent="0.25"/>
    <row r="508" s="17" customFormat="1" x14ac:dyDescent="0.25"/>
    <row r="509" s="17" customFormat="1" x14ac:dyDescent="0.25"/>
    <row r="510" s="17" customFormat="1" x14ac:dyDescent="0.25"/>
    <row r="511" s="17" customFormat="1" x14ac:dyDescent="0.25"/>
    <row r="512" s="17" customFormat="1" x14ac:dyDescent="0.25"/>
    <row r="513" s="17" customFormat="1" x14ac:dyDescent="0.25"/>
    <row r="514" s="17" customFormat="1" x14ac:dyDescent="0.25"/>
    <row r="515" s="17" customFormat="1" x14ac:dyDescent="0.25"/>
    <row r="516" s="17" customFormat="1" x14ac:dyDescent="0.25"/>
    <row r="517" s="17" customFormat="1" x14ac:dyDescent="0.25"/>
    <row r="518" s="17" customFormat="1" x14ac:dyDescent="0.25"/>
    <row r="519" s="17" customFormat="1" x14ac:dyDescent="0.25"/>
    <row r="520" s="17" customFormat="1" x14ac:dyDescent="0.25"/>
    <row r="521" s="17" customFormat="1" x14ac:dyDescent="0.25"/>
    <row r="522" s="17" customFormat="1" x14ac:dyDescent="0.25"/>
    <row r="523" s="17" customFormat="1" x14ac:dyDescent="0.25"/>
    <row r="524" s="17" customFormat="1" x14ac:dyDescent="0.25"/>
    <row r="525" s="17" customFormat="1" x14ac:dyDescent="0.25"/>
    <row r="526" s="17" customFormat="1" x14ac:dyDescent="0.25"/>
    <row r="527" s="17" customFormat="1" x14ac:dyDescent="0.25"/>
    <row r="528" s="17" customFormat="1" x14ac:dyDescent="0.25"/>
    <row r="529" s="17" customFormat="1" x14ac:dyDescent="0.25"/>
    <row r="530" s="17" customFormat="1" x14ac:dyDescent="0.25"/>
    <row r="531" s="17" customFormat="1" x14ac:dyDescent="0.25"/>
    <row r="532" s="17" customFormat="1" x14ac:dyDescent="0.25"/>
    <row r="533" s="17" customFormat="1" x14ac:dyDescent="0.25"/>
    <row r="534" s="17" customFormat="1" x14ac:dyDescent="0.25"/>
    <row r="535" s="17" customFormat="1" x14ac:dyDescent="0.25"/>
    <row r="536" s="17" customFormat="1" x14ac:dyDescent="0.25"/>
    <row r="537" s="17" customFormat="1" x14ac:dyDescent="0.25"/>
    <row r="538" s="17" customFormat="1" x14ac:dyDescent="0.25"/>
    <row r="539" s="17" customFormat="1" x14ac:dyDescent="0.25"/>
    <row r="540" s="17" customFormat="1" x14ac:dyDescent="0.25"/>
    <row r="541" s="17" customFormat="1" x14ac:dyDescent="0.25"/>
    <row r="542" s="17" customFormat="1" x14ac:dyDescent="0.25"/>
    <row r="543" s="17" customFormat="1" x14ac:dyDescent="0.25"/>
    <row r="544" s="17" customFormat="1" x14ac:dyDescent="0.25"/>
    <row r="545" s="17" customFormat="1" x14ac:dyDescent="0.25"/>
    <row r="546" s="17" customFormat="1" x14ac:dyDescent="0.25"/>
    <row r="547" s="17" customFormat="1" x14ac:dyDescent="0.25"/>
    <row r="548" s="17" customFormat="1" x14ac:dyDescent="0.25"/>
    <row r="549" s="17" customFormat="1" x14ac:dyDescent="0.25"/>
    <row r="550" s="17" customFormat="1" x14ac:dyDescent="0.25"/>
    <row r="551" s="17" customFormat="1" x14ac:dyDescent="0.25"/>
    <row r="552" s="17" customFormat="1" x14ac:dyDescent="0.25"/>
    <row r="553" s="17" customFormat="1" x14ac:dyDescent="0.25"/>
    <row r="554" s="17" customFormat="1" x14ac:dyDescent="0.25"/>
    <row r="555" s="17" customFormat="1" x14ac:dyDescent="0.25"/>
    <row r="556" s="17" customFormat="1" x14ac:dyDescent="0.25"/>
    <row r="557" s="17" customFormat="1" x14ac:dyDescent="0.25"/>
    <row r="558" s="17" customFormat="1" x14ac:dyDescent="0.25"/>
    <row r="559" s="17" customFormat="1" x14ac:dyDescent="0.25"/>
    <row r="560" s="17" customFormat="1" x14ac:dyDescent="0.25"/>
    <row r="561" s="17" customFormat="1" x14ac:dyDescent="0.25"/>
    <row r="562" s="17" customFormat="1" x14ac:dyDescent="0.25"/>
    <row r="563" s="17" customFormat="1" x14ac:dyDescent="0.25"/>
    <row r="564" s="17" customFormat="1" x14ac:dyDescent="0.25"/>
    <row r="565" s="17" customFormat="1" x14ac:dyDescent="0.25"/>
    <row r="566" s="17" customFormat="1" x14ac:dyDescent="0.25"/>
    <row r="567" s="17" customFormat="1" x14ac:dyDescent="0.25"/>
    <row r="568" s="17" customFormat="1" x14ac:dyDescent="0.25"/>
    <row r="569" s="17" customFormat="1" x14ac:dyDescent="0.25"/>
    <row r="570" s="17" customFormat="1" x14ac:dyDescent="0.25"/>
    <row r="571" s="17" customFormat="1" x14ac:dyDescent="0.25"/>
    <row r="572" s="17" customFormat="1" x14ac:dyDescent="0.25"/>
    <row r="573" s="17" customFormat="1" x14ac:dyDescent="0.25"/>
    <row r="574" s="17" customFormat="1" x14ac:dyDescent="0.25"/>
    <row r="575" s="17" customFormat="1" x14ac:dyDescent="0.25"/>
    <row r="576" s="17" customFormat="1" x14ac:dyDescent="0.25"/>
    <row r="577" s="17" customFormat="1" x14ac:dyDescent="0.25"/>
    <row r="578" s="17" customFormat="1" x14ac:dyDescent="0.25"/>
    <row r="579" s="17" customFormat="1" x14ac:dyDescent="0.25"/>
    <row r="580" s="17" customFormat="1" x14ac:dyDescent="0.25"/>
    <row r="581" s="17" customFormat="1" x14ac:dyDescent="0.25"/>
    <row r="582" s="17" customFormat="1" x14ac:dyDescent="0.25"/>
    <row r="583" s="17" customFormat="1" x14ac:dyDescent="0.25"/>
    <row r="584" s="17" customFormat="1" x14ac:dyDescent="0.25"/>
    <row r="585" s="17" customFormat="1" x14ac:dyDescent="0.25"/>
    <row r="586" s="17" customFormat="1" x14ac:dyDescent="0.25"/>
    <row r="587" s="17" customFormat="1" x14ac:dyDescent="0.25"/>
    <row r="588" s="17" customFormat="1" x14ac:dyDescent="0.25"/>
    <row r="589" s="17" customFormat="1" x14ac:dyDescent="0.25"/>
    <row r="590" s="17" customFormat="1" x14ac:dyDescent="0.25"/>
    <row r="591" s="17" customFormat="1" x14ac:dyDescent="0.25"/>
    <row r="592" s="17" customFormat="1" x14ac:dyDescent="0.25"/>
    <row r="593" s="17" customFormat="1" x14ac:dyDescent="0.25"/>
    <row r="594" s="17" customFormat="1" x14ac:dyDescent="0.25"/>
    <row r="595" s="17" customFormat="1" x14ac:dyDescent="0.25"/>
    <row r="596" s="17" customFormat="1" x14ac:dyDescent="0.25"/>
    <row r="597" s="17" customFormat="1" x14ac:dyDescent="0.25"/>
    <row r="598" s="17" customFormat="1" x14ac:dyDescent="0.25"/>
    <row r="599" s="17" customFormat="1" x14ac:dyDescent="0.25"/>
    <row r="600" s="17" customFormat="1" x14ac:dyDescent="0.25"/>
    <row r="601" s="17" customFormat="1" x14ac:dyDescent="0.25"/>
    <row r="602" s="17" customFormat="1" x14ac:dyDescent="0.25"/>
    <row r="603" s="17" customFormat="1" x14ac:dyDescent="0.25"/>
    <row r="604" s="17" customFormat="1" x14ac:dyDescent="0.25"/>
    <row r="605" s="17" customFormat="1" x14ac:dyDescent="0.25"/>
    <row r="606" s="17" customFormat="1" x14ac:dyDescent="0.25"/>
    <row r="607" s="17" customFormat="1" x14ac:dyDescent="0.25"/>
    <row r="608" s="17" customFormat="1" x14ac:dyDescent="0.25"/>
    <row r="609" s="17" customFormat="1" x14ac:dyDescent="0.25"/>
    <row r="610" s="17" customFormat="1" x14ac:dyDescent="0.25"/>
    <row r="611" s="17" customFormat="1" x14ac:dyDescent="0.25"/>
    <row r="612" s="17" customFormat="1" x14ac:dyDescent="0.25"/>
    <row r="613" s="17" customFormat="1" x14ac:dyDescent="0.25"/>
    <row r="614" s="17" customFormat="1" x14ac:dyDescent="0.25"/>
    <row r="615" s="17" customFormat="1" x14ac:dyDescent="0.25"/>
    <row r="616" s="17" customFormat="1" x14ac:dyDescent="0.25"/>
    <row r="617" s="17" customFormat="1" x14ac:dyDescent="0.25"/>
    <row r="618" s="17" customFormat="1" x14ac:dyDescent="0.25"/>
    <row r="619" s="17" customFormat="1" x14ac:dyDescent="0.25"/>
    <row r="620" s="17" customFormat="1" x14ac:dyDescent="0.25"/>
    <row r="621" s="17" customFormat="1" x14ac:dyDescent="0.25"/>
    <row r="622" s="17" customFormat="1" x14ac:dyDescent="0.25"/>
    <row r="623" s="17" customFormat="1" x14ac:dyDescent="0.25"/>
    <row r="624" s="17" customFormat="1" x14ac:dyDescent="0.25"/>
    <row r="625" s="17" customFormat="1" x14ac:dyDescent="0.25"/>
    <row r="626" s="17" customFormat="1" x14ac:dyDescent="0.25"/>
    <row r="627" s="17" customFormat="1" x14ac:dyDescent="0.25"/>
    <row r="628" s="17" customFormat="1" x14ac:dyDescent="0.25"/>
    <row r="629" s="17" customFormat="1" x14ac:dyDescent="0.25"/>
    <row r="630" s="17" customFormat="1" x14ac:dyDescent="0.25"/>
    <row r="631" s="17" customFormat="1" x14ac:dyDescent="0.25"/>
    <row r="632" s="17" customFormat="1" x14ac:dyDescent="0.25"/>
    <row r="633" s="17" customFormat="1" x14ac:dyDescent="0.25"/>
    <row r="634" s="17" customFormat="1" x14ac:dyDescent="0.25"/>
    <row r="635" s="17" customFormat="1" x14ac:dyDescent="0.25"/>
    <row r="636" s="17" customFormat="1" x14ac:dyDescent="0.25"/>
    <row r="637" s="17" customFormat="1" x14ac:dyDescent="0.25"/>
    <row r="638" s="17" customFormat="1" x14ac:dyDescent="0.25"/>
    <row r="639" s="17" customFormat="1" x14ac:dyDescent="0.25"/>
    <row r="640" s="17" customFormat="1" x14ac:dyDescent="0.25"/>
    <row r="641" s="17" customFormat="1" x14ac:dyDescent="0.25"/>
    <row r="642" s="17" customFormat="1" x14ac:dyDescent="0.25"/>
    <row r="643" s="17" customFormat="1" x14ac:dyDescent="0.25"/>
    <row r="644" s="17" customFormat="1" x14ac:dyDescent="0.25"/>
    <row r="645" s="17" customFormat="1" x14ac:dyDescent="0.25"/>
    <row r="646" s="17" customFormat="1" x14ac:dyDescent="0.25"/>
    <row r="647" s="17" customFormat="1" x14ac:dyDescent="0.25"/>
    <row r="648" s="17" customFormat="1" x14ac:dyDescent="0.25"/>
    <row r="649" s="17" customFormat="1" x14ac:dyDescent="0.25"/>
    <row r="650" s="17" customFormat="1" x14ac:dyDescent="0.25"/>
    <row r="651" s="17" customFormat="1" x14ac:dyDescent="0.25"/>
    <row r="652" s="17" customFormat="1" x14ac:dyDescent="0.25"/>
    <row r="653" s="17" customFormat="1" x14ac:dyDescent="0.25"/>
    <row r="654" s="17" customFormat="1" x14ac:dyDescent="0.25"/>
    <row r="655" s="17" customFormat="1" x14ac:dyDescent="0.25"/>
    <row r="656" s="17" customFormat="1" x14ac:dyDescent="0.25"/>
    <row r="657" s="17" customFormat="1" x14ac:dyDescent="0.25"/>
    <row r="658" s="17" customFormat="1" x14ac:dyDescent="0.25"/>
    <row r="659" s="17" customFormat="1" x14ac:dyDescent="0.25"/>
    <row r="660" s="17" customFormat="1" x14ac:dyDescent="0.25"/>
    <row r="661" s="17" customFormat="1" x14ac:dyDescent="0.25"/>
    <row r="662" s="17" customFormat="1" x14ac:dyDescent="0.25"/>
    <row r="663" s="17" customFormat="1" x14ac:dyDescent="0.25"/>
    <row r="664" s="17" customFormat="1" x14ac:dyDescent="0.25"/>
    <row r="665" s="17" customFormat="1" x14ac:dyDescent="0.25"/>
    <row r="666" s="17" customFormat="1" x14ac:dyDescent="0.25"/>
    <row r="667" s="17" customFormat="1" x14ac:dyDescent="0.25"/>
    <row r="668" s="17" customFormat="1" x14ac:dyDescent="0.25"/>
    <row r="669" s="17" customFormat="1" x14ac:dyDescent="0.25"/>
    <row r="670" s="17" customFormat="1" x14ac:dyDescent="0.25"/>
    <row r="671" s="17" customFormat="1" x14ac:dyDescent="0.25"/>
    <row r="672" s="17" customFormat="1" x14ac:dyDescent="0.25"/>
    <row r="673" s="17" customFormat="1" x14ac:dyDescent="0.25"/>
    <row r="674" s="17" customFormat="1" x14ac:dyDescent="0.25"/>
    <row r="675" s="17" customFormat="1" x14ac:dyDescent="0.25"/>
    <row r="676" s="17" customFormat="1" x14ac:dyDescent="0.25"/>
    <row r="677" s="17" customFormat="1" x14ac:dyDescent="0.25"/>
    <row r="678" s="17" customFormat="1" x14ac:dyDescent="0.25"/>
    <row r="679" s="17" customFormat="1" x14ac:dyDescent="0.25"/>
    <row r="680" s="17" customFormat="1" x14ac:dyDescent="0.25"/>
    <row r="681" s="17" customFormat="1" x14ac:dyDescent="0.25"/>
    <row r="682" s="17" customFormat="1" x14ac:dyDescent="0.25"/>
    <row r="683" s="17" customFormat="1" x14ac:dyDescent="0.25"/>
    <row r="684" s="17" customFormat="1" x14ac:dyDescent="0.25"/>
    <row r="685" s="17" customFormat="1" x14ac:dyDescent="0.25"/>
    <row r="686" s="17" customFormat="1" x14ac:dyDescent="0.25"/>
    <row r="687" s="17" customFormat="1" x14ac:dyDescent="0.25"/>
    <row r="688" s="17" customFormat="1" x14ac:dyDescent="0.25"/>
    <row r="689" s="17" customFormat="1" x14ac:dyDescent="0.25"/>
    <row r="690" s="17" customFormat="1" x14ac:dyDescent="0.25"/>
    <row r="691" s="17" customFormat="1" x14ac:dyDescent="0.25"/>
    <row r="692" s="17" customFormat="1" x14ac:dyDescent="0.25"/>
    <row r="693" s="17" customFormat="1" x14ac:dyDescent="0.25"/>
    <row r="694" s="17" customFormat="1" x14ac:dyDescent="0.25"/>
    <row r="695" s="17" customFormat="1" x14ac:dyDescent="0.25"/>
    <row r="696" s="17" customFormat="1" x14ac:dyDescent="0.25"/>
    <row r="697" s="17" customFormat="1" x14ac:dyDescent="0.25"/>
    <row r="698" s="17" customFormat="1" x14ac:dyDescent="0.25"/>
    <row r="699" s="17" customFormat="1" x14ac:dyDescent="0.25"/>
    <row r="700" s="17" customFormat="1" x14ac:dyDescent="0.25"/>
    <row r="701" s="17" customFormat="1" x14ac:dyDescent="0.25"/>
    <row r="702" s="17" customFormat="1" x14ac:dyDescent="0.25"/>
    <row r="703" s="17" customFormat="1" x14ac:dyDescent="0.25"/>
    <row r="704" s="17" customFormat="1" x14ac:dyDescent="0.25"/>
    <row r="705" s="17" customFormat="1" x14ac:dyDescent="0.25"/>
    <row r="706" s="17" customFormat="1" x14ac:dyDescent="0.25"/>
    <row r="707" s="17" customFormat="1" x14ac:dyDescent="0.25"/>
    <row r="708" s="17" customFormat="1" x14ac:dyDescent="0.25"/>
    <row r="709" s="17" customFormat="1" x14ac:dyDescent="0.25"/>
    <row r="710" s="17" customFormat="1" x14ac:dyDescent="0.25"/>
    <row r="711" s="17" customFormat="1" x14ac:dyDescent="0.25"/>
    <row r="712" s="17" customFormat="1" x14ac:dyDescent="0.25"/>
    <row r="713" s="17" customFormat="1" x14ac:dyDescent="0.25"/>
    <row r="714" s="17" customFormat="1" x14ac:dyDescent="0.25"/>
    <row r="715" s="17" customFormat="1" x14ac:dyDescent="0.25"/>
    <row r="716" s="17" customFormat="1" x14ac:dyDescent="0.25"/>
    <row r="717" s="17" customFormat="1" x14ac:dyDescent="0.25"/>
    <row r="718" s="17" customFormat="1" x14ac:dyDescent="0.25"/>
    <row r="719" s="17" customFormat="1" x14ac:dyDescent="0.25"/>
    <row r="720" s="17" customFormat="1" x14ac:dyDescent="0.25"/>
    <row r="721" s="17" customFormat="1" x14ac:dyDescent="0.25"/>
    <row r="722" s="17" customFormat="1" x14ac:dyDescent="0.25"/>
    <row r="723" s="17" customFormat="1" x14ac:dyDescent="0.25"/>
    <row r="724" s="17" customFormat="1" x14ac:dyDescent="0.25"/>
    <row r="725" s="17" customFormat="1" x14ac:dyDescent="0.25"/>
    <row r="726" s="17" customFormat="1" x14ac:dyDescent="0.25"/>
    <row r="727" s="17" customFormat="1" x14ac:dyDescent="0.25"/>
    <row r="728" s="17" customFormat="1" x14ac:dyDescent="0.25"/>
    <row r="729" s="17" customFormat="1" x14ac:dyDescent="0.25"/>
    <row r="730" s="17" customFormat="1" x14ac:dyDescent="0.25"/>
    <row r="731" s="17" customFormat="1" x14ac:dyDescent="0.25"/>
    <row r="732" s="17" customFormat="1" x14ac:dyDescent="0.25"/>
    <row r="733" s="17" customFormat="1" x14ac:dyDescent="0.25"/>
    <row r="734" s="17" customFormat="1" x14ac:dyDescent="0.25"/>
    <row r="735" s="17" customFormat="1" x14ac:dyDescent="0.25"/>
    <row r="736" s="17" customFormat="1" x14ac:dyDescent="0.25"/>
    <row r="737" s="17" customFormat="1" x14ac:dyDescent="0.25"/>
    <row r="738" s="17" customFormat="1" x14ac:dyDescent="0.25"/>
    <row r="739" s="17" customFormat="1" x14ac:dyDescent="0.25"/>
    <row r="740" s="17" customFormat="1" x14ac:dyDescent="0.25"/>
    <row r="741" s="17" customFormat="1" x14ac:dyDescent="0.25"/>
    <row r="742" s="17" customFormat="1" x14ac:dyDescent="0.25"/>
    <row r="743" s="17" customFormat="1" x14ac:dyDescent="0.25"/>
    <row r="744" s="17" customFormat="1" x14ac:dyDescent="0.25"/>
    <row r="745" s="17" customFormat="1" x14ac:dyDescent="0.25"/>
    <row r="746" s="17" customFormat="1" x14ac:dyDescent="0.25"/>
    <row r="747" s="17" customFormat="1" x14ac:dyDescent="0.25"/>
    <row r="748" s="17" customFormat="1" x14ac:dyDescent="0.25"/>
    <row r="749" s="17" customFormat="1" x14ac:dyDescent="0.25"/>
    <row r="750" s="17" customFormat="1" x14ac:dyDescent="0.25"/>
    <row r="751" s="17" customFormat="1" x14ac:dyDescent="0.25"/>
    <row r="752" s="17" customFormat="1" x14ac:dyDescent="0.25"/>
    <row r="753" s="17" customFormat="1" x14ac:dyDescent="0.25"/>
    <row r="754" s="17" customFormat="1" x14ac:dyDescent="0.25"/>
    <row r="755" s="17" customFormat="1" x14ac:dyDescent="0.25"/>
    <row r="756" s="17" customFormat="1" x14ac:dyDescent="0.25"/>
    <row r="757" s="17" customFormat="1" x14ac:dyDescent="0.25"/>
    <row r="758" s="17" customFormat="1" x14ac:dyDescent="0.25"/>
    <row r="759" s="17" customFormat="1" x14ac:dyDescent="0.25"/>
    <row r="760" s="17" customFormat="1" x14ac:dyDescent="0.25"/>
    <row r="761" s="17" customFormat="1" x14ac:dyDescent="0.25"/>
    <row r="762" s="17" customFormat="1" x14ac:dyDescent="0.25"/>
    <row r="763" s="17" customFormat="1" x14ac:dyDescent="0.25"/>
    <row r="764" s="17" customFormat="1" x14ac:dyDescent="0.25"/>
    <row r="765" s="17" customFormat="1" x14ac:dyDescent="0.25"/>
    <row r="766" s="17" customFormat="1" x14ac:dyDescent="0.25"/>
    <row r="767" s="17" customFormat="1" x14ac:dyDescent="0.25"/>
    <row r="768" s="17" customFormat="1" x14ac:dyDescent="0.25"/>
    <row r="769" s="17" customFormat="1" x14ac:dyDescent="0.25"/>
    <row r="770" s="17" customFormat="1" x14ac:dyDescent="0.25"/>
    <row r="771" s="17" customFormat="1" x14ac:dyDescent="0.25"/>
    <row r="772" s="17" customFormat="1" x14ac:dyDescent="0.25"/>
    <row r="773" s="17" customFormat="1" x14ac:dyDescent="0.25"/>
    <row r="774" s="17" customFormat="1" x14ac:dyDescent="0.25"/>
    <row r="775" s="17" customFormat="1" x14ac:dyDescent="0.25"/>
    <row r="776" s="17" customFormat="1" x14ac:dyDescent="0.25"/>
    <row r="777" s="17" customFormat="1" x14ac:dyDescent="0.25"/>
    <row r="778" s="17" customFormat="1" x14ac:dyDescent="0.25"/>
    <row r="779" s="17" customFormat="1" x14ac:dyDescent="0.25"/>
    <row r="780" s="17" customFormat="1" x14ac:dyDescent="0.25"/>
    <row r="781" s="17" customFormat="1" x14ac:dyDescent="0.25"/>
    <row r="782" s="17" customFormat="1" x14ac:dyDescent="0.25"/>
    <row r="783" s="17" customFormat="1" x14ac:dyDescent="0.25"/>
    <row r="784" s="17" customFormat="1" x14ac:dyDescent="0.25"/>
    <row r="785" s="17" customFormat="1" x14ac:dyDescent="0.25"/>
    <row r="786" s="17" customFormat="1" x14ac:dyDescent="0.25"/>
    <row r="787" s="17" customFormat="1" x14ac:dyDescent="0.25"/>
    <row r="788" s="17" customFormat="1" x14ac:dyDescent="0.25"/>
    <row r="789" s="17" customFormat="1" x14ac:dyDescent="0.25"/>
    <row r="790" s="17" customFormat="1" x14ac:dyDescent="0.25"/>
    <row r="791" s="17" customFormat="1" x14ac:dyDescent="0.25"/>
    <row r="792" s="17" customFormat="1" x14ac:dyDescent="0.25"/>
    <row r="793" s="17" customFormat="1" x14ac:dyDescent="0.25"/>
    <row r="794" s="17" customFormat="1" x14ac:dyDescent="0.25"/>
    <row r="795" s="17" customFormat="1" x14ac:dyDescent="0.25"/>
    <row r="796" s="17" customFormat="1" x14ac:dyDescent="0.25"/>
    <row r="797" s="17" customFormat="1" x14ac:dyDescent="0.25"/>
    <row r="798" s="17" customFormat="1" x14ac:dyDescent="0.25"/>
    <row r="799" s="17" customFormat="1" x14ac:dyDescent="0.25"/>
    <row r="800" s="17" customFormat="1" x14ac:dyDescent="0.25"/>
    <row r="801" s="17" customFormat="1" x14ac:dyDescent="0.25"/>
    <row r="802" s="17" customFormat="1" x14ac:dyDescent="0.25"/>
    <row r="803" s="17" customFormat="1" x14ac:dyDescent="0.25"/>
    <row r="804" s="17" customFormat="1" x14ac:dyDescent="0.25"/>
    <row r="805" s="17" customFormat="1" x14ac:dyDescent="0.25"/>
    <row r="806" s="17" customFormat="1" x14ac:dyDescent="0.25"/>
    <row r="807" s="17" customFormat="1" x14ac:dyDescent="0.25"/>
    <row r="808" s="17" customFormat="1" x14ac:dyDescent="0.25"/>
    <row r="809" s="17" customFormat="1" x14ac:dyDescent="0.25"/>
    <row r="810" s="17" customFormat="1" x14ac:dyDescent="0.25"/>
    <row r="811" s="17" customFormat="1" x14ac:dyDescent="0.25"/>
    <row r="812" s="17" customFormat="1" x14ac:dyDescent="0.25"/>
    <row r="813" s="17" customFormat="1" x14ac:dyDescent="0.25"/>
    <row r="814" s="17" customFormat="1" x14ac:dyDescent="0.25"/>
    <row r="815" s="17" customFormat="1" x14ac:dyDescent="0.25"/>
    <row r="816" s="17" customFormat="1" x14ac:dyDescent="0.25"/>
    <row r="817" s="17" customFormat="1" x14ac:dyDescent="0.25"/>
    <row r="818" s="17" customFormat="1" x14ac:dyDescent="0.25"/>
    <row r="819" s="17" customFormat="1" x14ac:dyDescent="0.25"/>
    <row r="820" s="17" customFormat="1" x14ac:dyDescent="0.25"/>
    <row r="821" s="17" customFormat="1" x14ac:dyDescent="0.25"/>
    <row r="822" s="17" customFormat="1" x14ac:dyDescent="0.25"/>
    <row r="823" s="17" customFormat="1" x14ac:dyDescent="0.25"/>
    <row r="824" s="17" customFormat="1" x14ac:dyDescent="0.25"/>
    <row r="825" s="17" customFormat="1" x14ac:dyDescent="0.25"/>
    <row r="826" s="17" customFormat="1" x14ac:dyDescent="0.25"/>
    <row r="827" s="17" customFormat="1" x14ac:dyDescent="0.25"/>
    <row r="828" s="17" customFormat="1" x14ac:dyDescent="0.25"/>
    <row r="829" s="17" customFormat="1" x14ac:dyDescent="0.25"/>
    <row r="830" s="17" customFormat="1" x14ac:dyDescent="0.25"/>
    <row r="831" s="17" customFormat="1" x14ac:dyDescent="0.25"/>
    <row r="832" s="17" customFormat="1" x14ac:dyDescent="0.25"/>
    <row r="833" s="17" customFormat="1" x14ac:dyDescent="0.25"/>
    <row r="834" s="17" customFormat="1" x14ac:dyDescent="0.25"/>
    <row r="835" s="17" customFormat="1" x14ac:dyDescent="0.25"/>
    <row r="836" s="17" customFormat="1" x14ac:dyDescent="0.25"/>
    <row r="837" s="17" customFormat="1" x14ac:dyDescent="0.25"/>
    <row r="838" s="17" customFormat="1" x14ac:dyDescent="0.25"/>
    <row r="839" s="17" customFormat="1" x14ac:dyDescent="0.25"/>
    <row r="840" s="17" customFormat="1" x14ac:dyDescent="0.25"/>
    <row r="841" s="17" customFormat="1" x14ac:dyDescent="0.25"/>
    <row r="842" s="17" customFormat="1" x14ac:dyDescent="0.25"/>
    <row r="843" s="17" customFormat="1" x14ac:dyDescent="0.25"/>
    <row r="844" s="17" customFormat="1" x14ac:dyDescent="0.25"/>
    <row r="845" s="17" customFormat="1" x14ac:dyDescent="0.25"/>
    <row r="846" s="17" customFormat="1" x14ac:dyDescent="0.25"/>
    <row r="847" s="17" customFormat="1" x14ac:dyDescent="0.25"/>
    <row r="848" s="17" customFormat="1" x14ac:dyDescent="0.25"/>
    <row r="849" s="17" customFormat="1" x14ac:dyDescent="0.25"/>
    <row r="850" s="17" customFormat="1" x14ac:dyDescent="0.25"/>
    <row r="851" s="17" customFormat="1" x14ac:dyDescent="0.25"/>
    <row r="852" s="17" customFormat="1" x14ac:dyDescent="0.25"/>
    <row r="853" s="17" customFormat="1" x14ac:dyDescent="0.25"/>
    <row r="854" s="17" customFormat="1" x14ac:dyDescent="0.25"/>
    <row r="855" s="17" customFormat="1" x14ac:dyDescent="0.25"/>
    <row r="856" s="17" customFormat="1" x14ac:dyDescent="0.25"/>
    <row r="857" s="17" customFormat="1" x14ac:dyDescent="0.25"/>
    <row r="858" s="17" customFormat="1" x14ac:dyDescent="0.25"/>
    <row r="859" s="17" customFormat="1" x14ac:dyDescent="0.25"/>
    <row r="860" s="17" customFormat="1" x14ac:dyDescent="0.25"/>
    <row r="861" s="17" customFormat="1" x14ac:dyDescent="0.25"/>
    <row r="862" s="17" customFormat="1" x14ac:dyDescent="0.25"/>
    <row r="863" s="17" customFormat="1" x14ac:dyDescent="0.25"/>
    <row r="864" s="17" customFormat="1" x14ac:dyDescent="0.25"/>
    <row r="865" s="17" customFormat="1" x14ac:dyDescent="0.25"/>
    <row r="866" s="17" customFormat="1" x14ac:dyDescent="0.25"/>
    <row r="867" s="17" customFormat="1" x14ac:dyDescent="0.25"/>
    <row r="868" s="17" customFormat="1" x14ac:dyDescent="0.25"/>
    <row r="869" s="17" customFormat="1" x14ac:dyDescent="0.25"/>
    <row r="870" s="17" customFormat="1" x14ac:dyDescent="0.25"/>
    <row r="871" s="17" customFormat="1" x14ac:dyDescent="0.25"/>
    <row r="872" s="17" customFormat="1" x14ac:dyDescent="0.25"/>
    <row r="873" s="17" customFormat="1" x14ac:dyDescent="0.25"/>
    <row r="874" s="17" customFormat="1" x14ac:dyDescent="0.25"/>
    <row r="875" s="17" customFormat="1" x14ac:dyDescent="0.25"/>
    <row r="876" s="17" customFormat="1" x14ac:dyDescent="0.25"/>
    <row r="877" s="17" customFormat="1" x14ac:dyDescent="0.25"/>
    <row r="878" s="17" customFormat="1" x14ac:dyDescent="0.25"/>
    <row r="879" s="17" customFormat="1" x14ac:dyDescent="0.25"/>
    <row r="880" s="17" customFormat="1" x14ac:dyDescent="0.25"/>
    <row r="881" spans="11:72" s="17" customFormat="1" x14ac:dyDescent="0.25"/>
    <row r="882" spans="11:72" s="17" customFormat="1" x14ac:dyDescent="0.25"/>
    <row r="883" spans="11:72" s="17" customFormat="1" x14ac:dyDescent="0.25"/>
    <row r="884" spans="11:72" s="17" customFormat="1" x14ac:dyDescent="0.25"/>
    <row r="885" spans="11:72" s="17" customFormat="1" x14ac:dyDescent="0.25"/>
    <row r="886" spans="11:72" s="17" customFormat="1" x14ac:dyDescent="0.25"/>
    <row r="887" spans="11:72" s="17" customFormat="1" x14ac:dyDescent="0.25"/>
    <row r="888" spans="11:72" s="42" customFormat="1" x14ac:dyDescent="0.25">
      <c r="K888" s="50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</row>
  </sheetData>
  <mergeCells count="6">
    <mergeCell ref="A1:I1"/>
    <mergeCell ref="A2:I2"/>
    <mergeCell ref="A3:I3"/>
    <mergeCell ref="A4:I4"/>
    <mergeCell ref="A5:A6"/>
    <mergeCell ref="I5:I6"/>
  </mergeCells>
  <pageMargins left="0.21" right="0.16" top="0.75" bottom="0.75" header="0.3" footer="0.3"/>
  <pageSetup paperSize="9" scale="74" orientation="landscape" r:id="rId1"/>
  <colBreaks count="1" manualBreakCount="1">
    <brk id="9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9.17</vt:lpstr>
      <vt:lpstr>'9.17'!Print_Area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2016-01-17T08:24:40Z</cp:lastPrinted>
  <dcterms:created xsi:type="dcterms:W3CDTF">2014-03-04T03:52:57Z</dcterms:created>
  <dcterms:modified xsi:type="dcterms:W3CDTF">2016-01-17T08:24:44Z</dcterms:modified>
</cp:coreProperties>
</file>