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787"/>
  </bookViews>
  <sheets>
    <sheet name="1.2" sheetId="2" r:id="rId1"/>
  </sheets>
  <definedNames>
    <definedName name="_xlnm.Print_Area" localSheetId="0">'1.2'!$A$1:$O$40</definedName>
  </definedNames>
  <calcPr calcId="144525"/>
</workbook>
</file>

<file path=xl/calcChain.xml><?xml version="1.0" encoding="utf-8"?>
<calcChain xmlns="http://schemas.openxmlformats.org/spreadsheetml/2006/main">
  <c r="AF38" i="2" l="1"/>
  <c r="AF34" i="2"/>
  <c r="B19" i="2"/>
  <c r="AG38" i="2" s="1"/>
  <c r="B18" i="2"/>
  <c r="AG37" i="2" s="1"/>
  <c r="B17" i="2"/>
  <c r="AG36" i="2" s="1"/>
  <c r="B16" i="2"/>
  <c r="AG35" i="2" s="1"/>
  <c r="B15" i="2"/>
  <c r="AG34" i="2" s="1"/>
  <c r="B13" i="2"/>
  <c r="B12" i="2"/>
  <c r="AF37" i="2" s="1"/>
  <c r="B11" i="2"/>
  <c r="AF36" i="2" s="1"/>
  <c r="B10" i="2"/>
  <c r="AF35" i="2" s="1"/>
  <c r="B9" i="2"/>
</calcChain>
</file>

<file path=xl/sharedStrings.xml><?xml version="1.0" encoding="utf-8"?>
<sst xmlns="http://schemas.openxmlformats.org/spreadsheetml/2006/main" count="63" uniqueCount="48">
  <si>
    <t>Locality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</si>
  <si>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</si>
  <si>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</si>
  <si>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</si>
  <si>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</si>
  <si>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</si>
  <si>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</si>
  <si>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</si>
  <si>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</si>
  <si>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</si>
  <si>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</si>
  <si>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</si>
  <si>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</si>
  <si>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</si>
  <si>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</si>
  <si>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</si>
  <si>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</si>
  <si>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</si>
  <si>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</si>
  <si>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</si>
  <si>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</si>
  <si>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</si>
  <si>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</si>
  <si>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</si>
  <si>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</si>
  <si>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</si>
  <si>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Male'</t>
  </si>
  <si>
    <t>elWm</t>
  </si>
  <si>
    <t>S.Gan</t>
  </si>
  <si>
    <t>HDh.Hanimaadhoo</t>
  </si>
  <si>
    <t>UdWminwh .dh</t>
  </si>
  <si>
    <t>L.Kadhdhoo</t>
  </si>
  <si>
    <t>GDh.Kaadedhdhoo</t>
  </si>
  <si>
    <t>Source: Maldives Meteorological Service</t>
  </si>
  <si>
    <t xml:space="preserve"> csivrws clwkijoloroaiTIm cscviDclOm :ctWrwf ivcaed utWmUluAwm</t>
  </si>
  <si>
    <r>
      <t xml:space="preserve"> cjercvea eg</t>
    </r>
    <r>
      <rPr>
        <b/>
        <sz val="10"/>
        <rFont val="Faruma"/>
      </rPr>
      <t>އަހަރު</t>
    </r>
  </si>
  <si>
    <t>Yearly average</t>
  </si>
  <si>
    <r>
      <t>AVERAGE OF DAILY MAXIMUM TEMPERATURE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</si>
  <si>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>(cniacswaiscles IrcgiD) cjercvea egurwvcnim Wviawfcsog cSwCcawm cnimunUh</t>
  </si>
  <si>
    <t>Udcawk   .l</t>
  </si>
  <si>
    <t xml:space="preserve"> UdcaeDWk  .dg</t>
  </si>
  <si>
    <t>cnwg   .s</t>
  </si>
  <si>
    <r>
      <t>AVERAGE OF DAILY MINIMUM TEMPERATURE 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</si>
  <si>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 xml:space="preserve">  (cnia cswaiscles IrcgiD) cjercvea egurwvcnim Wviawfcsog cSwSwd cnimunUh</t>
  </si>
  <si>
    <t>Maximum</t>
  </si>
  <si>
    <t>Minimum</t>
  </si>
  <si>
    <t>2014 ,urwvcnim Wviawfcsog cSwSwd idwa cSwCcawm emcnea cnimunUh uhwmcswmikea : 1.2 clwvWt</t>
  </si>
  <si>
    <t>Table 1.2 : AVERAGE OF DAILY MAXIMUM AND MINIMUM TEMPERATURE , BY MONTH,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</si>
</sst>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andhoo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_Randhoo"/>
    </font>
    <font>
      <i/>
      <sz val="10"/>
      <name val="Calibri"/>
      <family val="2"/>
      <scheme val="minor"/>
    </font>
    <font>
      <b/>
      <sz val="11"/>
      <name val="A_Faseyha"/>
    </font>
    <font>
      <b/>
      <vertAlign val="superscript"/>
      <sz val="11"/>
      <name val="Calibri"/>
      <family val="2"/>
    </font>
    <font>
      <b/>
      <sz val="11"/>
      <name val="Calibri"/>
      <family val="2"/>
    </font>
    <font>
      <sz val="11"/>
      <name val="A_Randhoo"/>
    </font>
    <font>
      <i/>
      <sz val="10"/>
      <name val="Arial"/>
      <family val="2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Border="1" applyAlignment="1" applyProtection="1">
      <alignment vertical="center"/>
      <protection hidden="1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  <protection hidden="1"/>
    </xf>
    <xf numFmtId="164" fontId="3" fillId="2" borderId="0" xfId="0" applyNumberFormat="1" applyFont="1" applyFill="1" applyBorder="1" applyAlignment="1" applyProtection="1">
      <alignment horizontal="right" vertical="center"/>
      <protection hidden="1"/>
    </xf>
    <xf numFmtId="0" fontId="7" fillId="2" borderId="0" xfId="0" applyFont="1" applyFill="1" applyBorder="1" applyAlignment="1" applyProtection="1">
      <alignment vertical="center"/>
      <protection hidden="1"/>
    </xf>
    <xf numFmtId="0" fontId="8" fillId="2" borderId="0" xfId="0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Border="1" applyAlignment="1" applyProtection="1">
      <alignment horizontal="left" vertical="center"/>
      <protection hidden="1"/>
    </xf>
    <xf numFmtId="0" fontId="8" fillId="2" borderId="1" xfId="0" applyFont="1" applyFill="1" applyBorder="1" applyAlignment="1" applyProtection="1">
      <alignment horizontal="left" vertical="center"/>
      <protection hidden="1"/>
    </xf>
    <xf numFmtId="0" fontId="10" fillId="2" borderId="0" xfId="0" applyFont="1" applyFill="1" applyBorder="1" applyAlignment="1" applyProtection="1">
      <alignment horizontal="left" vertical="center"/>
      <protection hidden="1"/>
    </xf>
    <xf numFmtId="0" fontId="1" fillId="2" borderId="0" xfId="0" applyFont="1" applyFill="1" applyBorder="1" applyAlignment="1" applyProtection="1">
      <alignment horizontal="left" vertical="center"/>
      <protection hidden="1"/>
    </xf>
    <xf numFmtId="0" fontId="8" fillId="2" borderId="0" xfId="0" applyFont="1" applyFill="1" applyBorder="1" applyAlignment="1" applyProtection="1">
      <alignment vertical="top"/>
      <protection hidden="1"/>
    </xf>
    <xf numFmtId="0" fontId="4" fillId="2" borderId="1" xfId="0" applyFont="1" applyFill="1" applyBorder="1" applyAlignment="1" applyProtection="1">
      <alignment horizontal="center" vertical="top"/>
      <protection hidden="1"/>
    </xf>
    <xf numFmtId="0" fontId="5" fillId="2" borderId="0" xfId="0" applyFont="1" applyFill="1" applyBorder="1" applyAlignment="1" applyProtection="1">
      <alignment horizontal="right" vertical="center"/>
      <protection hidden="1"/>
    </xf>
    <xf numFmtId="164" fontId="3" fillId="2" borderId="1" xfId="0" applyNumberFormat="1" applyFont="1" applyFill="1" applyBorder="1" applyAlignment="1" applyProtection="1">
      <alignment horizontal="right" vertical="center" wrapText="1"/>
      <protection hidden="1"/>
    </xf>
    <xf numFmtId="164" fontId="3" fillId="2" borderId="1" xfId="0" applyNumberFormat="1" applyFont="1" applyFill="1" applyBorder="1" applyAlignment="1" applyProtection="1">
      <alignment horizontal="right" vertical="center"/>
      <protection hidden="1"/>
    </xf>
    <xf numFmtId="164" fontId="3" fillId="2" borderId="0" xfId="0" applyNumberFormat="1" applyFont="1" applyFill="1" applyBorder="1" applyAlignment="1" applyProtection="1">
      <alignment horizontal="right" vertical="center" wrapText="1"/>
      <protection hidden="1"/>
    </xf>
    <xf numFmtId="164" fontId="3" fillId="2" borderId="2" xfId="0" applyNumberFormat="1" applyFont="1" applyFill="1" applyBorder="1" applyAlignment="1" applyProtection="1">
      <alignment horizontal="right" vertical="center"/>
      <protection hidden="1"/>
    </xf>
    <xf numFmtId="0" fontId="3" fillId="2" borderId="0" xfId="0" applyFont="1" applyFill="1" applyBorder="1" applyAlignment="1" applyProtection="1">
      <alignment horizontal="right" vertical="center"/>
      <protection hidden="1"/>
    </xf>
    <xf numFmtId="0" fontId="14" fillId="2" borderId="0" xfId="0" applyFont="1" applyFill="1" applyAlignment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  <protection hidden="1"/>
    </xf>
    <xf numFmtId="0" fontId="8" fillId="2" borderId="0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>
      <alignment horizontal="right" vertical="center"/>
    </xf>
    <xf numFmtId="0" fontId="14" fillId="2" borderId="1" xfId="0" applyFont="1" applyFill="1" applyBorder="1" applyAlignment="1">
      <alignment horizontal="right" vertical="center"/>
    </xf>
    <xf numFmtId="0" fontId="15" fillId="2" borderId="0" xfId="0" applyFont="1" applyFill="1" applyBorder="1" applyAlignment="1" applyProtection="1">
      <alignment vertical="center"/>
      <protection hidden="1"/>
    </xf>
    <xf numFmtId="0" fontId="9" fillId="2" borderId="0" xfId="0" applyFont="1" applyFill="1" applyAlignment="1">
      <alignment horizontal="right" vertical="center"/>
    </xf>
    <xf numFmtId="0" fontId="15" fillId="2" borderId="0" xfId="0" applyFont="1" applyFill="1" applyBorder="1" applyAlignment="1" applyProtection="1">
      <alignment horizontal="left" vertical="center"/>
      <protection hidden="1"/>
    </xf>
    <xf numFmtId="0" fontId="7" fillId="2" borderId="0" xfId="0" applyFont="1" applyFill="1" applyBorder="1" applyAlignment="1" applyProtection="1">
      <alignment horizontal="left" vertical="center"/>
      <protection hidden="1"/>
    </xf>
    <xf numFmtId="164" fontId="7" fillId="2" borderId="0" xfId="0" applyNumberFormat="1" applyFont="1" applyFill="1" applyBorder="1" applyAlignment="1" applyProtection="1">
      <alignment vertical="center"/>
      <protection hidden="1"/>
    </xf>
    <xf numFmtId="165" fontId="1" fillId="2" borderId="0" xfId="0" applyNumberFormat="1" applyFont="1" applyFill="1" applyBorder="1" applyAlignment="1" applyProtection="1">
      <alignment horizontal="right" vertical="center"/>
      <protection hidden="1"/>
    </xf>
    <xf numFmtId="165" fontId="7" fillId="2" borderId="0" xfId="0" applyNumberFormat="1" applyFont="1" applyFill="1" applyBorder="1" applyAlignment="1" applyProtection="1">
      <alignment horizontal="right" vertical="center"/>
      <protection hidden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4" fillId="2" borderId="1" xfId="0" applyNumberFormat="1" applyFont="1" applyFill="1" applyBorder="1" applyAlignment="1" applyProtection="1">
      <alignment horizontal="right" vertical="center"/>
      <protection hidden="1"/>
    </xf>
    <xf numFmtId="165" fontId="8" fillId="2" borderId="0" xfId="0" applyNumberFormat="1" applyFont="1" applyFill="1" applyAlignment="1" applyProtection="1">
      <alignment horizontal="right" vertical="center"/>
      <protection locked="0"/>
    </xf>
    <xf numFmtId="165" fontId="8" fillId="2" borderId="1" xfId="0" applyNumberFormat="1" applyFont="1" applyFill="1" applyBorder="1" applyAlignment="1" applyProtection="1">
      <alignment horizontal="right" vertical="center"/>
      <protection locked="0"/>
    </xf>
    <xf numFmtId="0" fontId="0" fillId="2" borderId="0" xfId="0" applyFill="1"/>
    <xf numFmtId="165" fontId="8" fillId="2" borderId="0" xfId="0" applyNumberFormat="1" applyFont="1" applyFill="1" applyBorder="1" applyAlignment="1" applyProtection="1">
      <alignment horizontal="right" vertical="center"/>
      <protection locked="0"/>
    </xf>
    <xf numFmtId="0" fontId="5" fillId="2" borderId="2" xfId="0" applyFont="1" applyFill="1" applyBorder="1" applyAlignment="1" applyProtection="1">
      <alignment horizontal="right" vertical="center"/>
      <protection hidden="1"/>
    </xf>
    <xf numFmtId="0" fontId="11" fillId="2" borderId="0" xfId="0" applyFont="1" applyFill="1" applyBorder="1" applyAlignment="1" applyProtection="1">
      <alignment horizontal="center" vertical="center"/>
      <protection hidden="1"/>
    </xf>
    <xf numFmtId="0" fontId="16" fillId="2" borderId="0" xfId="0" applyFont="1" applyFill="1" applyBorder="1" applyAlignment="1" applyProtection="1">
      <alignment horizontal="center" vertical="top"/>
      <protection hidden="1"/>
    </xf>
    <xf numFmtId="0" fontId="3" fillId="2" borderId="2" xfId="0" applyFont="1" applyFill="1" applyBorder="1" applyAlignment="1" applyProtection="1">
      <alignment horizontal="left" vertical="center"/>
      <protection hidden="1"/>
    </xf>
    <xf numFmtId="0" fontId="3" fillId="2" borderId="1" xfId="0" applyFont="1" applyFill="1" applyBorder="1" applyAlignment="1" applyProtection="1">
      <alignment horizontal="left" vertical="center"/>
      <protection hidden="1"/>
    </xf>
    <xf numFmtId="0" fontId="5" fillId="2" borderId="2" xfId="0" applyFont="1" applyFill="1" applyBorder="1" applyAlignment="1" applyProtection="1">
      <alignment horizontal="right" vertical="center"/>
      <protection hidden="1"/>
    </xf>
    <xf numFmtId="0" fontId="5" fillId="2" borderId="1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A00DA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9"/>
    </mc:Choice>
    <mc:Fallback>
      <c:style val="9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85411772161963E-2"/>
          <c:y val="0.18935069638067326"/>
          <c:w val="0.93375134410346861"/>
          <c:h val="0.64164051441877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'[1]1.2'!$T$32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bg1">
                  <a:lumMod val="95000"/>
                </a:schemeClr>
              </a:solidFill>
            </a:ln>
          </c:spPr>
          <c:invertIfNegative val="0"/>
          <c:dLbls>
            <c:dLbl>
              <c:idx val="0"/>
              <c:layout>
                <c:manualLayout>
                  <c:x val="1.336948975908371E-3"/>
                  <c:y val="0.1064151664503599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1.018995179951028E-3"/>
                  <c:y val="9.60936700906285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 val="-1.4777507268946106E-3"/>
                  <c:y val="9.84112906831529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 val="7.9510704271367762E-4"/>
                  <c:y val="9.5892470734221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 val="2.9503085546485211E-3"/>
                  <c:y val="9.42914505891742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050" b="1" i="0" u="none" strike="noStrike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'[1]1.2'!$R$33:$S$37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'[1]1.2'!$T$33:$T$37</c:f>
              <c:numCache>
                <c:formatCode>#,##0.0</c:formatCode>
                <c:ptCount val="5"/>
                <c:pt idx="0">
                  <c:v>31.066666666666666</c:v>
                </c:pt>
                <c:pt idx="1">
                  <c:v>31.608333333333331</c:v>
                </c:pt>
                <c:pt idx="2">
                  <c:v>31.583333333333332</c:v>
                </c:pt>
                <c:pt idx="3">
                  <c:v>30.991666666666664</c:v>
                </c:pt>
                <c:pt idx="4">
                  <c:v>31.171031105990782</c:v>
                </c:pt>
              </c:numCache>
            </c:numRef>
          </c:val>
        </c:ser>
        <c:ser>
          <c:idx val="1"/>
          <c:order val="1"/>
          <c:tx>
            <c:strRef>
              <c:f>'[1]1.2'!$U$32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dLbls>
            <c:txPr>
              <a:bodyPr/>
              <a:lstStyle/>
              <a:p>
                <a:pPr>
                  <a:defRPr sz="105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'[1]1.2'!$R$33:$S$37</c:f>
              <c:strCache>
                <c:ptCount val="5"/>
                <c:pt idx="0">
                  <c:v>Male'</c:v>
                </c:pt>
                <c:pt idx="1">
                  <c:v>HDh.Hanimaadhoo</c:v>
                </c:pt>
                <c:pt idx="2">
                  <c:v>L.Kadhdhoo</c:v>
                </c:pt>
                <c:pt idx="3">
                  <c:v>GDh.Kaadedhdhoo</c:v>
                </c:pt>
                <c:pt idx="4">
                  <c:v>S.Gan</c:v>
                </c:pt>
              </c:strCache>
            </c:strRef>
          </c:cat>
          <c:val>
            <c:numRef>
              <c:f>'[1]1.2'!$U$33:$U$37</c:f>
              <c:numCache>
                <c:formatCode>#,##0.0</c:formatCode>
                <c:ptCount val="5"/>
                <c:pt idx="0">
                  <c:v>26.041666666666668</c:v>
                </c:pt>
                <c:pt idx="1">
                  <c:v>25.974999999999998</c:v>
                </c:pt>
                <c:pt idx="2">
                  <c:v>26.074999999999999</c:v>
                </c:pt>
                <c:pt idx="3">
                  <c:v>25.233333333333331</c:v>
                </c:pt>
                <c:pt idx="4">
                  <c:v>25.480059523809519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092992"/>
        <c:axId val="125094528"/>
      </c:barChart>
      <c:catAx>
        <c:axId val="125092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945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5094528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Degrees Celsius</a:t>
                </a:r>
              </a:p>
            </c:rich>
          </c:tx>
          <c:layout>
            <c:manualLayout>
              <c:xMode val="edge"/>
              <c:yMode val="edge"/>
              <c:x val="8.9118466010185138E-3"/>
              <c:y val="0.11912942941479721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92992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5036265899455127"/>
          <c:y val="0.923447452780079"/>
          <c:w val="0.33621466787805659"/>
          <c:h val="5.7115968000115494E-2"/>
        </c:manualLayout>
      </c:layout>
      <c:overlay val="0"/>
      <c:spPr>
        <a:ln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322" r="0.75000000000000322" t="1" header="0.5" footer="0.5"/>
    <c:pageSetup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22</xdr:row>
      <xdr:rowOff>21938</xdr:rowOff>
    </xdr:from>
    <xdr:to>
      <xdr:col>12</xdr:col>
      <xdr:colOff>199090</xdr:colOff>
      <xdr:row>22</xdr:row>
      <xdr:rowOff>21938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2682240" y="5134958"/>
          <a:ext cx="546451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2</xdr:col>
      <xdr:colOff>351790</xdr:colOff>
      <xdr:row>20</xdr:row>
      <xdr:rowOff>119743</xdr:rowOff>
    </xdr:from>
    <xdr:to>
      <xdr:col>14</xdr:col>
      <xdr:colOff>22225</xdr:colOff>
      <xdr:row>39</xdr:row>
      <xdr:rowOff>44813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266699</xdr:colOff>
      <xdr:row>22</xdr:row>
      <xdr:rowOff>47625</xdr:rowOff>
    </xdr:from>
    <xdr:to>
      <xdr:col>12</xdr:col>
      <xdr:colOff>447674</xdr:colOff>
      <xdr:row>22</xdr:row>
      <xdr:rowOff>47625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3248024" y="5457825"/>
          <a:ext cx="4905375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0.14118</cdr:x>
      <cdr:y>0.03186</cdr:y>
    </cdr:from>
    <cdr:to>
      <cdr:x>0.90921</cdr:x>
      <cdr:y>0.09551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89066" y="105926"/>
          <a:ext cx="5380611" cy="2116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algn="ctr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1">
            <a:defRPr sz="1000"/>
          </a:pPr>
          <a:r>
            <a:rPr lang="en-US" sz="1100" b="1" i="0" strike="noStrike">
              <a:solidFill>
                <a:srgbClr val="000000"/>
              </a:solidFill>
              <a:latin typeface="Candara" pitchFamily="34" charset="0"/>
              <a:cs typeface="Arial"/>
            </a:rPr>
            <a:t>Figure 1.2: Yearly </a:t>
          </a:r>
          <a:r>
            <a:rPr lang="en-US" sz="1100" b="1" i="0" strike="noStrike">
              <a:solidFill>
                <a:srgbClr val="000000"/>
              </a:solidFill>
              <a:latin typeface="Consolas" pitchFamily="49" charset="0"/>
              <a:cs typeface="Consolas" pitchFamily="49" charset="0"/>
            </a:rPr>
            <a:t>Average</a:t>
          </a:r>
          <a:r>
            <a:rPr lang="en-US" sz="1100" b="1" i="0" strike="noStrike">
              <a:solidFill>
                <a:srgbClr val="000000"/>
              </a:solidFill>
              <a:latin typeface="Candara" pitchFamily="34" charset="0"/>
              <a:cs typeface="Arial"/>
            </a:rPr>
            <a:t> of daily maximum and minimum temperature,  </a:t>
          </a:r>
          <a:r>
            <a:rPr lang="en-US" sz="1100" b="1" i="0" strike="noStrike">
              <a:solidFill>
                <a:schemeClr val="tx1"/>
              </a:solidFill>
              <a:latin typeface="Candara" pitchFamily="34" charset="0"/>
              <a:cs typeface="Arial"/>
            </a:rPr>
            <a:t>2014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G47"/>
  <sheetViews>
    <sheetView tabSelected="1" zoomScaleNormal="100" workbookViewId="0">
      <selection activeCell="S14" sqref="S13:S14"/>
    </sheetView>
  </sheetViews>
  <sheetFormatPr defaultColWidth="8.85546875" defaultRowHeight="15" x14ac:dyDescent="0.25"/>
  <cols>
    <col min="1" max="1" width="18.140625" style="37" customWidth="1"/>
    <col min="2" max="14" width="8.85546875" style="37"/>
    <col min="15" max="15" width="14.85546875" style="37" customWidth="1"/>
    <col min="16" max="16384" width="8.85546875" style="37"/>
  </cols>
  <sheetData>
    <row r="2" spans="1:15" s="1" customFormat="1" ht="16.899999999999999" customHeight="1" x14ac:dyDescent="0.25">
      <c r="A2" s="40" t="s">
        <v>46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s="12" customFormat="1" ht="15.6" customHeight="1" x14ac:dyDescent="0.25">
      <c r="A3" s="41" t="s">
        <v>47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5" s="12" customFormat="1" ht="14.4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s="1" customFormat="1" ht="15.75" customHeight="1" x14ac:dyDescent="0.25">
      <c r="A5" s="42" t="s">
        <v>0</v>
      </c>
      <c r="B5" s="14" t="s">
        <v>35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3" t="s">
        <v>9</v>
      </c>
      <c r="L5" s="2" t="s">
        <v>10</v>
      </c>
      <c r="M5" s="2" t="s">
        <v>11</v>
      </c>
      <c r="N5" s="2" t="s">
        <v>12</v>
      </c>
      <c r="O5" s="44" t="s">
        <v>13</v>
      </c>
    </row>
    <row r="6" spans="1:15" s="6" customFormat="1" ht="24.75" customHeight="1" x14ac:dyDescent="0.25">
      <c r="A6" s="43"/>
      <c r="B6" s="15" t="s">
        <v>36</v>
      </c>
      <c r="C6" s="16" t="s">
        <v>14</v>
      </c>
      <c r="D6" s="16" t="s">
        <v>15</v>
      </c>
      <c r="E6" s="16" t="s">
        <v>16</v>
      </c>
      <c r="F6" s="16" t="s">
        <v>17</v>
      </c>
      <c r="G6" s="16" t="s">
        <v>18</v>
      </c>
      <c r="H6" s="16" t="s">
        <v>19</v>
      </c>
      <c r="I6" s="16" t="s">
        <v>20</v>
      </c>
      <c r="J6" s="16" t="s">
        <v>21</v>
      </c>
      <c r="K6" s="16" t="s">
        <v>22</v>
      </c>
      <c r="L6" s="16" t="s">
        <v>23</v>
      </c>
      <c r="M6" s="16" t="s">
        <v>24</v>
      </c>
      <c r="N6" s="16" t="s">
        <v>25</v>
      </c>
      <c r="O6" s="45"/>
    </row>
    <row r="7" spans="1:15" s="6" customFormat="1" ht="16.149999999999999" customHeight="1" x14ac:dyDescent="0.25">
      <c r="A7" s="4"/>
      <c r="B7" s="17"/>
      <c r="C7" s="5"/>
      <c r="D7" s="5"/>
      <c r="E7" s="5"/>
      <c r="F7" s="5"/>
      <c r="G7" s="5"/>
      <c r="H7" s="5"/>
      <c r="I7" s="5"/>
      <c r="J7" s="18"/>
      <c r="K7" s="18"/>
      <c r="L7" s="18"/>
      <c r="M7" s="18"/>
      <c r="N7" s="18"/>
      <c r="O7" s="39"/>
    </row>
    <row r="8" spans="1:15" s="6" customFormat="1" ht="19.5" customHeight="1" x14ac:dyDescent="0.25">
      <c r="A8" s="8" t="s">
        <v>37</v>
      </c>
      <c r="B8" s="19"/>
      <c r="C8" s="19"/>
      <c r="D8" s="19"/>
      <c r="E8" s="19"/>
      <c r="F8" s="19"/>
      <c r="G8" s="19"/>
      <c r="H8" s="19"/>
      <c r="I8" s="19"/>
      <c r="J8" s="46" t="s">
        <v>38</v>
      </c>
      <c r="K8" s="46"/>
      <c r="L8" s="46"/>
      <c r="M8" s="46"/>
      <c r="N8" s="46"/>
      <c r="O8" s="46"/>
    </row>
    <row r="9" spans="1:15" s="1" customFormat="1" ht="22.9" customHeight="1" x14ac:dyDescent="0.25">
      <c r="A9" s="7" t="s">
        <v>26</v>
      </c>
      <c r="B9" s="21">
        <f>AVERAGE(C9:N9)</f>
        <v>31.066666666666666</v>
      </c>
      <c r="C9" s="35">
        <v>30.9</v>
      </c>
      <c r="D9" s="35">
        <v>31.3</v>
      </c>
      <c r="E9" s="35">
        <v>31.9</v>
      </c>
      <c r="F9" s="35">
        <v>32.1</v>
      </c>
      <c r="G9" s="35">
        <v>31.8</v>
      </c>
      <c r="H9" s="35">
        <v>31.4</v>
      </c>
      <c r="I9" s="35">
        <v>31.1</v>
      </c>
      <c r="J9" s="35">
        <v>30.7</v>
      </c>
      <c r="K9" s="35">
        <v>30.5</v>
      </c>
      <c r="L9" s="35">
        <v>30.6</v>
      </c>
      <c r="M9" s="35">
        <v>30.2</v>
      </c>
      <c r="N9" s="35">
        <v>30.3</v>
      </c>
      <c r="O9" s="20" t="s">
        <v>27</v>
      </c>
    </row>
    <row r="10" spans="1:15" s="1" customFormat="1" ht="22.9" customHeight="1" x14ac:dyDescent="0.25">
      <c r="A10" s="7" t="s">
        <v>29</v>
      </c>
      <c r="B10" s="21">
        <f>AVERAGE(C10:N10)</f>
        <v>31.608333333333331</v>
      </c>
      <c r="C10" s="35">
        <v>30.9</v>
      </c>
      <c r="D10" s="35">
        <v>31.3</v>
      </c>
      <c r="E10" s="35">
        <v>31.9</v>
      </c>
      <c r="F10" s="35">
        <v>32.799999999999997</v>
      </c>
      <c r="G10" s="35">
        <v>32.700000000000003</v>
      </c>
      <c r="H10" s="35">
        <v>32</v>
      </c>
      <c r="I10" s="35">
        <v>31.6</v>
      </c>
      <c r="J10" s="35">
        <v>30.8</v>
      </c>
      <c r="K10" s="35">
        <v>31</v>
      </c>
      <c r="L10" s="35">
        <v>31.4</v>
      </c>
      <c r="M10" s="35">
        <v>31.5</v>
      </c>
      <c r="N10" s="35">
        <v>31.4</v>
      </c>
      <c r="O10" s="20" t="s">
        <v>30</v>
      </c>
    </row>
    <row r="11" spans="1:15" s="1" customFormat="1" ht="22.9" customHeight="1" x14ac:dyDescent="0.25">
      <c r="A11" s="7" t="s">
        <v>31</v>
      </c>
      <c r="B11" s="21">
        <f>AVERAGE(C11:N11)</f>
        <v>31.583333333333332</v>
      </c>
      <c r="C11" s="35">
        <v>30.6</v>
      </c>
      <c r="D11" s="35">
        <v>30.9</v>
      </c>
      <c r="E11" s="35">
        <v>31.3</v>
      </c>
      <c r="F11" s="35">
        <v>33</v>
      </c>
      <c r="G11" s="35">
        <v>32</v>
      </c>
      <c r="H11" s="35">
        <v>32.700000000000003</v>
      </c>
      <c r="I11" s="35">
        <v>32</v>
      </c>
      <c r="J11" s="35">
        <v>31.4</v>
      </c>
      <c r="K11" s="35">
        <v>31.2</v>
      </c>
      <c r="L11" s="35">
        <v>31.4</v>
      </c>
      <c r="M11" s="35">
        <v>31.1</v>
      </c>
      <c r="N11" s="35">
        <v>31.4</v>
      </c>
      <c r="O11" s="20" t="s">
        <v>39</v>
      </c>
    </row>
    <row r="12" spans="1:15" s="1" customFormat="1" ht="22.9" customHeight="1" x14ac:dyDescent="0.25">
      <c r="A12" s="7" t="s">
        <v>32</v>
      </c>
      <c r="B12" s="21">
        <f>AVERAGE(C12:N12)</f>
        <v>30.991666666666664</v>
      </c>
      <c r="C12" s="35">
        <v>30.6</v>
      </c>
      <c r="D12" s="35">
        <v>31</v>
      </c>
      <c r="E12" s="35">
        <v>31.1</v>
      </c>
      <c r="F12" s="35">
        <v>31.9</v>
      </c>
      <c r="G12" s="35">
        <v>31.3</v>
      </c>
      <c r="H12" s="35">
        <v>31.7</v>
      </c>
      <c r="I12" s="35">
        <v>31.2</v>
      </c>
      <c r="J12" s="35">
        <v>31.1</v>
      </c>
      <c r="K12" s="35">
        <v>30.3</v>
      </c>
      <c r="L12" s="35">
        <v>30.8</v>
      </c>
      <c r="M12" s="35">
        <v>30.4</v>
      </c>
      <c r="N12" s="35">
        <v>30.5</v>
      </c>
      <c r="O12" s="20" t="s">
        <v>40</v>
      </c>
    </row>
    <row r="13" spans="1:15" s="1" customFormat="1" ht="22.9" customHeight="1" x14ac:dyDescent="0.25">
      <c r="A13" s="7" t="s">
        <v>28</v>
      </c>
      <c r="B13" s="21">
        <f>AVERAGE(C13:N13)</f>
        <v>31.171031105990782</v>
      </c>
      <c r="C13" s="38">
        <v>31.364516129032257</v>
      </c>
      <c r="D13" s="35">
        <v>31.417857142857141</v>
      </c>
      <c r="E13" s="35">
        <v>31.164516129032272</v>
      </c>
      <c r="F13" s="35">
        <v>31.636666666666663</v>
      </c>
      <c r="G13" s="35">
        <v>31.474193548387095</v>
      </c>
      <c r="H13" s="35">
        <v>31.643333333333327</v>
      </c>
      <c r="I13" s="35">
        <v>31.070967741935483</v>
      </c>
      <c r="J13" s="35">
        <v>31.138709677419353</v>
      </c>
      <c r="K13" s="35">
        <v>30.446666666666665</v>
      </c>
      <c r="L13" s="35">
        <v>30.841935483870976</v>
      </c>
      <c r="M13" s="35">
        <v>30.843333333333337</v>
      </c>
      <c r="N13" s="35">
        <v>31.009677419354841</v>
      </c>
      <c r="O13" s="20" t="s">
        <v>41</v>
      </c>
    </row>
    <row r="14" spans="1:15" s="1" customFormat="1" ht="19.5" customHeight="1" x14ac:dyDescent="0.25">
      <c r="A14" s="8" t="s">
        <v>42</v>
      </c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3" t="s">
        <v>43</v>
      </c>
    </row>
    <row r="15" spans="1:15" s="1" customFormat="1" ht="22.9" customHeight="1" x14ac:dyDescent="0.25">
      <c r="A15" s="7" t="s">
        <v>26</v>
      </c>
      <c r="B15" s="21">
        <f>AVERAGE(C15:N15)</f>
        <v>26.041666666666668</v>
      </c>
      <c r="C15" s="35">
        <v>26</v>
      </c>
      <c r="D15" s="35">
        <v>26.3</v>
      </c>
      <c r="E15" s="35">
        <v>26.5</v>
      </c>
      <c r="F15" s="35">
        <v>27</v>
      </c>
      <c r="G15" s="35">
        <v>26.5</v>
      </c>
      <c r="H15" s="35">
        <v>27.1</v>
      </c>
      <c r="I15" s="35">
        <v>26.1</v>
      </c>
      <c r="J15" s="35">
        <v>25.1</v>
      </c>
      <c r="K15" s="35">
        <v>25.8</v>
      </c>
      <c r="L15" s="35">
        <v>25.8</v>
      </c>
      <c r="M15" s="35">
        <v>25.6</v>
      </c>
      <c r="N15" s="35">
        <v>24.7</v>
      </c>
      <c r="O15" s="20" t="s">
        <v>27</v>
      </c>
    </row>
    <row r="16" spans="1:15" s="1" customFormat="1" ht="22.9" customHeight="1" x14ac:dyDescent="0.25">
      <c r="A16" s="7" t="s">
        <v>29</v>
      </c>
      <c r="B16" s="21">
        <f>AVERAGE(C16:N16)</f>
        <v>25.974999999999998</v>
      </c>
      <c r="C16" s="35">
        <v>24.9</v>
      </c>
      <c r="D16" s="35">
        <v>24.8</v>
      </c>
      <c r="E16" s="35">
        <v>25.8</v>
      </c>
      <c r="F16" s="35">
        <v>27.4</v>
      </c>
      <c r="G16" s="35">
        <v>26.9</v>
      </c>
      <c r="H16" s="35">
        <v>26.9</v>
      </c>
      <c r="I16" s="35">
        <v>26.8</v>
      </c>
      <c r="J16" s="35">
        <v>25.5</v>
      </c>
      <c r="K16" s="35">
        <v>26</v>
      </c>
      <c r="L16" s="35">
        <v>25.6</v>
      </c>
      <c r="M16" s="35">
        <v>25.7</v>
      </c>
      <c r="N16" s="35">
        <v>25.4</v>
      </c>
      <c r="O16" s="20" t="s">
        <v>30</v>
      </c>
    </row>
    <row r="17" spans="1:15" s="1" customFormat="1" ht="22.9" customHeight="1" x14ac:dyDescent="0.25">
      <c r="A17" s="7" t="s">
        <v>31</v>
      </c>
      <c r="B17" s="21">
        <f>AVERAGE(C17:N17)</f>
        <v>26.074999999999999</v>
      </c>
      <c r="C17" s="35">
        <v>25.8</v>
      </c>
      <c r="D17" s="35">
        <v>25.9</v>
      </c>
      <c r="E17" s="35">
        <v>26.3</v>
      </c>
      <c r="F17" s="35">
        <v>27.4</v>
      </c>
      <c r="G17" s="35">
        <v>25.8</v>
      </c>
      <c r="H17" s="35">
        <v>26.9</v>
      </c>
      <c r="I17" s="35">
        <v>26.7</v>
      </c>
      <c r="J17" s="35">
        <v>25.7</v>
      </c>
      <c r="K17" s="35">
        <v>25.5</v>
      </c>
      <c r="L17" s="35">
        <v>26.2</v>
      </c>
      <c r="M17" s="35">
        <v>25.2</v>
      </c>
      <c r="N17" s="35">
        <v>25.5</v>
      </c>
      <c r="O17" s="20" t="s">
        <v>39</v>
      </c>
    </row>
    <row r="18" spans="1:15" s="1" customFormat="1" ht="22.9" customHeight="1" x14ac:dyDescent="0.25">
      <c r="A18" s="7" t="s">
        <v>32</v>
      </c>
      <c r="B18" s="21">
        <f>AVERAGE(C18:N18)</f>
        <v>25.233333333333331</v>
      </c>
      <c r="C18" s="35">
        <v>25.6</v>
      </c>
      <c r="D18" s="35">
        <v>25.6</v>
      </c>
      <c r="E18" s="35">
        <v>25.3</v>
      </c>
      <c r="F18" s="35">
        <v>25.8</v>
      </c>
      <c r="G18" s="35">
        <v>25.1</v>
      </c>
      <c r="H18" s="35">
        <v>26.1</v>
      </c>
      <c r="I18" s="35">
        <v>25.7</v>
      </c>
      <c r="J18" s="35">
        <v>25.1</v>
      </c>
      <c r="K18" s="35">
        <v>24.1</v>
      </c>
      <c r="L18" s="35">
        <v>25</v>
      </c>
      <c r="M18" s="35">
        <v>24.2</v>
      </c>
      <c r="N18" s="35">
        <v>25.2</v>
      </c>
      <c r="O18" s="20" t="s">
        <v>40</v>
      </c>
    </row>
    <row r="19" spans="1:15" s="1" customFormat="1" ht="22.9" customHeight="1" x14ac:dyDescent="0.25">
      <c r="A19" s="9" t="s">
        <v>28</v>
      </c>
      <c r="B19" s="34">
        <f>AVERAGE(C19:N19)</f>
        <v>25.480059523809519</v>
      </c>
      <c r="C19" s="36">
        <v>25.7</v>
      </c>
      <c r="D19" s="36">
        <v>26.06071428571429</v>
      </c>
      <c r="E19" s="36">
        <v>25.3</v>
      </c>
      <c r="F19" s="36">
        <v>26.1</v>
      </c>
      <c r="G19" s="36">
        <v>25.5</v>
      </c>
      <c r="H19" s="36">
        <v>26.3</v>
      </c>
      <c r="I19" s="36">
        <v>25.6</v>
      </c>
      <c r="J19" s="36">
        <v>25.2</v>
      </c>
      <c r="K19" s="36">
        <v>24.6</v>
      </c>
      <c r="L19" s="36">
        <v>25.1</v>
      </c>
      <c r="M19" s="36">
        <v>24.8</v>
      </c>
      <c r="N19" s="36">
        <v>25.5</v>
      </c>
      <c r="O19" s="24" t="s">
        <v>41</v>
      </c>
    </row>
    <row r="20" spans="1:15" s="1" customFormat="1" ht="14.25" customHeight="1" x14ac:dyDescent="0.25">
      <c r="A20" s="10" t="s">
        <v>33</v>
      </c>
      <c r="B20" s="25"/>
      <c r="O20" s="26" t="s">
        <v>34</v>
      </c>
    </row>
    <row r="21" spans="1:15" s="1" customFormat="1" ht="15.75" x14ac:dyDescent="0.25">
      <c r="A21" s="10"/>
      <c r="B21" s="25"/>
      <c r="O21" s="26"/>
    </row>
    <row r="25" spans="1:15" s="1" customFormat="1" ht="15.75" x14ac:dyDescent="0.25">
      <c r="A25" s="10"/>
      <c r="B25" s="25"/>
      <c r="O25" s="26"/>
    </row>
    <row r="26" spans="1:15" s="1" customFormat="1" ht="12.75" x14ac:dyDescent="0.25"/>
    <row r="27" spans="1:15" s="1" customFormat="1" ht="12.75" x14ac:dyDescent="0.25">
      <c r="A27" s="27"/>
    </row>
    <row r="28" spans="1:15" s="1" customFormat="1" ht="12.75" x14ac:dyDescent="0.25">
      <c r="A28" s="27"/>
      <c r="B28" s="28"/>
    </row>
    <row r="29" spans="1:15" s="1" customFormat="1" ht="12.75" x14ac:dyDescent="0.25">
      <c r="A29" s="11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spans="1:15" s="1" customFormat="1" ht="12.75" x14ac:dyDescent="0.25">
      <c r="A30" s="11"/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1:15" s="1" customFormat="1" ht="12.75" x14ac:dyDescent="0.25">
      <c r="A31" s="11"/>
      <c r="B31" s="28"/>
      <c r="C31" s="31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spans="1:15" s="1" customFormat="1" ht="12.75" x14ac:dyDescent="0.25">
      <c r="A32" s="11"/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spans="1:33" s="1" customFormat="1" ht="12.75" x14ac:dyDescent="0.2">
      <c r="A33" s="11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2"/>
      <c r="AF33" s="33" t="s">
        <v>44</v>
      </c>
      <c r="AG33" s="33" t="s">
        <v>45</v>
      </c>
    </row>
    <row r="34" spans="1:33" s="1" customFormat="1" x14ac:dyDescent="0.25">
      <c r="A34" s="11"/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AD34" s="11" t="s">
        <v>26</v>
      </c>
      <c r="AF34" s="21">
        <f>B9</f>
        <v>31.066666666666666</v>
      </c>
      <c r="AG34" s="21">
        <f>B15</f>
        <v>26.041666666666668</v>
      </c>
    </row>
    <row r="35" spans="1:33" s="1" customFormat="1" x14ac:dyDescent="0.25">
      <c r="A35" s="11"/>
      <c r="AD35" s="11" t="s">
        <v>29</v>
      </c>
      <c r="AF35" s="21">
        <f>B10</f>
        <v>31.608333333333331</v>
      </c>
      <c r="AG35" s="21">
        <f>B16</f>
        <v>25.974999999999998</v>
      </c>
    </row>
    <row r="36" spans="1:33" s="1" customFormat="1" x14ac:dyDescent="0.25">
      <c r="A36" s="11"/>
      <c r="B36" s="28"/>
      <c r="AD36" s="11" t="s">
        <v>31</v>
      </c>
      <c r="AF36" s="21">
        <f>B11</f>
        <v>31.583333333333332</v>
      </c>
      <c r="AG36" s="21">
        <f>B17</f>
        <v>26.074999999999999</v>
      </c>
    </row>
    <row r="37" spans="1:33" s="1" customFormat="1" x14ac:dyDescent="0.25">
      <c r="A37" s="11"/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AD37" s="11" t="s">
        <v>32</v>
      </c>
      <c r="AF37" s="21">
        <f>B12</f>
        <v>30.991666666666664</v>
      </c>
      <c r="AG37" s="21">
        <f>B18</f>
        <v>25.233333333333331</v>
      </c>
    </row>
    <row r="38" spans="1:33" s="1" customFormat="1" x14ac:dyDescent="0.25">
      <c r="A38" s="11"/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AD38" s="11" t="s">
        <v>28</v>
      </c>
      <c r="AF38" s="21">
        <f>B13</f>
        <v>31.171031105990782</v>
      </c>
      <c r="AG38" s="21">
        <f>B19</f>
        <v>25.480059523809519</v>
      </c>
    </row>
    <row r="39" spans="1:33" s="1" customFormat="1" ht="12.75" x14ac:dyDescent="0.2">
      <c r="A39" s="11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AD39" s="32"/>
    </row>
    <row r="40" spans="1:33" s="1" customFormat="1" ht="12.75" x14ac:dyDescent="0.25">
      <c r="A40" s="11"/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spans="1:33" s="1" customFormat="1" ht="12.75" x14ac:dyDescent="0.25">
      <c r="A41" s="11"/>
      <c r="B41" s="29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</row>
    <row r="42" spans="1:33" s="1" customFormat="1" ht="12.75" x14ac:dyDescent="0.25"/>
    <row r="43" spans="1:33" s="1" customFormat="1" ht="12.75" x14ac:dyDescent="0.25"/>
    <row r="44" spans="1:33" s="1" customFormat="1" ht="12.75" x14ac:dyDescent="0.25"/>
    <row r="45" spans="1:33" s="1" customFormat="1" ht="12.75" x14ac:dyDescent="0.25"/>
    <row r="46" spans="1:33" s="1" customFormat="1" ht="12.75" x14ac:dyDescent="0.25"/>
    <row r="47" spans="1:33" s="1" customFormat="1" ht="12.75" x14ac:dyDescent="0.25"/>
  </sheetData>
  <protectedRanges>
    <protectedRange sqref="C14:N14 M8:N8 C8:I8 K8" name="Range1_1_2"/>
    <protectedRange sqref="C9:N13" name="Range1_1_1_1_1_2"/>
    <protectedRange sqref="C15:N18" name="Range1_1_2_1_1_2"/>
  </protectedRanges>
  <mergeCells count="5">
    <mergeCell ref="A2:O2"/>
    <mergeCell ref="A3:O3"/>
    <mergeCell ref="A5:A6"/>
    <mergeCell ref="O5:O6"/>
    <mergeCell ref="J8:O8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WVW9:WWH19 C9:N19 JK9:JV19 TG9:TR19 ADC9:ADN19 AMY9:ANJ19 AWU9:AXF19 BGQ9:BHB19 BQM9:BQX19 CAI9:CAT19 CKE9:CKP19 CUA9:CUL19 DDW9:DEH19 DNS9:DOD19 DXO9:DXZ19 EHK9:EHV19 ERG9:ERR19 FBC9:FBN19 FKY9:FLJ19 FUU9:FVF19 GEQ9:GFB19 GOM9:GOX19 GYI9:GYT19 HIE9:HIP19 HSA9:HSL19 IBW9:ICH19 ILS9:IMD19 IVO9:IVZ19 JFK9:JFV19 JPG9:JPR19 JZC9:JZN19 KIY9:KJJ19 KSU9:KTF19 LCQ9:LDB19 LMM9:LMX19 LWI9:LWT19 MGE9:MGP19 MQA9:MQL19 MZW9:NAH19 NJS9:NKD19 NTO9:NTZ19 ODK9:ODV19 ONG9:ONR19 OXC9:OXN19 PGY9:PHJ19 PQU9:PRF19 QAQ9:QBB19 QKM9:QKX19 QUI9:QUT19 REE9:REP19 ROA9:ROL19 RXW9:RYH19 SHS9:SID19 SRO9:SRZ19 TBK9:TBV19 TLG9:TLR19 TVC9:TVN19 UEY9:UFJ19 UOU9:UPF19 UYQ9:UZB19 VIM9:VIX19 VSI9:VST19 WCE9:WCP19 WMA9:WML19">
      <formula1>0</formula1>
      <formula2>1000</formula2>
    </dataValidation>
  </dataValidations>
  <pageMargins left="0.31" right="0.16" top="0.21" bottom="0.24" header="0.17" footer="0.3"/>
  <pageSetup paperSize="9" scale="85" orientation="landscape" r:id="rId1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1.2</vt:lpstr>
      <vt:lpstr>'1.2'!Print_Area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2015-11-16T07:38:17Z</cp:lastPrinted>
  <dcterms:created xsi:type="dcterms:W3CDTF">2014-04-06T04:34:47Z</dcterms:created>
  <dcterms:modified xsi:type="dcterms:W3CDTF">2015-11-16T07:38:21Z</dcterms:modified>
</cp:coreProperties>
</file>