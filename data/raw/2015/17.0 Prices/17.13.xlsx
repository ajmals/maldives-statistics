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360" windowWidth="12075" windowHeight="7365" tabRatio="803"/>
  </bookViews>
  <sheets>
    <sheet name="7.13" sheetId="43" r:id="rId1"/>
  </sheets>
  <definedNames>
    <definedName name="bec">#REF!</definedName>
    <definedName name="ctry">'[1]CTRY monthly'!$B$100:$N$115</definedName>
    <definedName name="moomina">#REF!</definedName>
    <definedName name="_xlnm.Print_Area" localSheetId="0">'7.13'!$A$1:$BB$28</definedName>
    <definedName name="Print_Area_MI">#REF!</definedName>
    <definedName name="total">'[2]4'!#REF!</definedName>
  </definedNames>
  <calcPr calcId="144525"/>
</workbook>
</file>

<file path=xl/calcChain.xml><?xml version="1.0" encoding="utf-8"?>
<calcChain xmlns="http://schemas.openxmlformats.org/spreadsheetml/2006/main">
  <c r="O22" i="43" l="1"/>
  <c r="N22" i="43"/>
  <c r="M22" i="43"/>
  <c r="L22" i="43"/>
  <c r="J22" i="43"/>
  <c r="I22" i="43"/>
  <c r="H22" i="43"/>
  <c r="G22" i="43"/>
  <c r="O21" i="43"/>
  <c r="N21" i="43"/>
  <c r="M21" i="43"/>
  <c r="L21" i="43"/>
  <c r="J21" i="43"/>
  <c r="I21" i="43"/>
  <c r="H21" i="43"/>
  <c r="G21" i="43"/>
  <c r="O20" i="43"/>
  <c r="N20" i="43"/>
  <c r="M20" i="43"/>
  <c r="L20" i="43"/>
  <c r="J20" i="43"/>
  <c r="I20" i="43"/>
  <c r="H20" i="43"/>
  <c r="G20" i="43"/>
  <c r="O19" i="43"/>
  <c r="N19" i="43"/>
  <c r="M19" i="43"/>
  <c r="L19" i="43"/>
  <c r="J19" i="43"/>
  <c r="I19" i="43"/>
  <c r="H19" i="43"/>
  <c r="G19" i="43"/>
  <c r="O18" i="43"/>
  <c r="N18" i="43"/>
  <c r="M18" i="43"/>
  <c r="L18" i="43"/>
  <c r="J18" i="43"/>
  <c r="I18" i="43"/>
  <c r="H18" i="43"/>
  <c r="G18" i="43"/>
  <c r="O17" i="43"/>
  <c r="N17" i="43"/>
  <c r="M17" i="43"/>
  <c r="L17" i="43"/>
  <c r="J17" i="43"/>
  <c r="I17" i="43"/>
  <c r="H17" i="43"/>
  <c r="G17" i="43"/>
  <c r="O16" i="43"/>
  <c r="N16" i="43"/>
  <c r="M16" i="43"/>
  <c r="L16" i="43"/>
  <c r="J16" i="43"/>
  <c r="I16" i="43"/>
  <c r="H16" i="43"/>
  <c r="G16" i="43"/>
</calcChain>
</file>

<file path=xl/sharedStrings.xml><?xml version="1.0" encoding="utf-8"?>
<sst xmlns="http://schemas.openxmlformats.org/spreadsheetml/2006/main" count="122" uniqueCount="36">
  <si>
    <t>cCrWm</t>
  </si>
  <si>
    <t>cnUj</t>
  </si>
  <si>
    <t>Mar</t>
  </si>
  <si>
    <t>Jun</t>
  </si>
  <si>
    <t>Sep</t>
  </si>
  <si>
    <t>Dec</t>
  </si>
  <si>
    <t xml:space="preserve"> (cTErcDim cSwlwyinegutwdcaum WviawfiLeawDnwk ;cniaWyifur ugwa egWsiawf urEb)</t>
  </si>
  <si>
    <t>(In Rufiyaa per foreign currency unit; end of period mid)</t>
  </si>
  <si>
    <t>Type of Currency</t>
  </si>
  <si>
    <t>cTcpes</t>
  </si>
  <si>
    <t>cmesiD</t>
  </si>
  <si>
    <t>ctwvWb egWsiawf</t>
  </si>
  <si>
    <t>U.S dollar</t>
  </si>
  <si>
    <t>rwloD csea .Uy</t>
  </si>
  <si>
    <t>Japanese yen</t>
  </si>
  <si>
    <t>cney csInwpwj</t>
  </si>
  <si>
    <t>Singapore dollar</t>
  </si>
  <si>
    <t>rwloD urUpwgcnis</t>
  </si>
  <si>
    <t>Indian rupee</t>
  </si>
  <si>
    <t>Ipur cnwaiDcnia</t>
  </si>
  <si>
    <t>Sri Lankan rupee</t>
  </si>
  <si>
    <t>Ipur cnwkcnwlIrcs</t>
  </si>
  <si>
    <t xml:space="preserve">Great Britain Pound </t>
  </si>
  <si>
    <t>cDcnuawp cxiTircb</t>
  </si>
  <si>
    <t>Euro</t>
  </si>
  <si>
    <t>OrUy</t>
  </si>
  <si>
    <t>Annual percentage change</t>
  </si>
  <si>
    <t>cniawtcaws urwvcnim ivurutia cSwrwhwa cnurwhwa</t>
  </si>
  <si>
    <t>MVR / SDR  (end of period; mid rate)</t>
  </si>
  <si>
    <t>(cTEr cDim ;cSwlwyinegutwdcaum WviawfiLeawDnwk) rWa.ID.csea / Wyifur</t>
  </si>
  <si>
    <t xml:space="preserve">USD / SDR  (end of period; mid rate) </t>
  </si>
  <si>
    <t>(cTEr cDim ;cSwlwyinegutwdcaum WviawfiLeawDnwk) rWa.ID.csea / rwloD.csea.Uy</t>
  </si>
  <si>
    <t>In April 2011, the exchange rate regime was changed from a fixed rate regime to a band of 20 percent around a central parity of MVR 12.8 per US dollar</t>
  </si>
  <si>
    <t>Source: Maldives Monetary Authority.</t>
  </si>
  <si>
    <t>2014 - 2010 ,ugwa egWsiaWf urEb  : 17.13 clwvWt</t>
  </si>
  <si>
    <t>Table 17.13 :  EXCHANGE RATES, 2010 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</si>
</sst>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0.0"/>
    <numFmt numFmtId="167" formatCode="General_)"/>
    <numFmt numFmtId="169" formatCode="0.00_)"/>
    <numFmt numFmtId="170" formatCode="_(* #,##0.0_);_(* \(#,##0.0\);_(* &quot;-&quot;??_);_(@_)"/>
    <numFmt numFmtId="172" formatCode="#,##0.0"/>
  </numFmts>
  <fonts count="21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i/>
      <sz val="16"/>
      <name val="Helv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9"/>
      <name val="Faruma"/>
    </font>
    <font>
      <b/>
      <sz val="11"/>
      <name val="A_Randhoo"/>
    </font>
    <font>
      <b/>
      <i/>
      <sz val="10"/>
      <name val="Calibri"/>
      <family val="2"/>
      <scheme val="minor"/>
    </font>
    <font>
      <b/>
      <i/>
      <sz val="9"/>
      <name val="A_Reethi"/>
    </font>
    <font>
      <sz val="9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</borders>
  <cellStyleXfs count="9">
    <xf numFmtId="0" fontId="0" fillId="0" borderId="0"/>
    <xf numFmtId="0" fontId="1" fillId="0" borderId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9" fillId="0" borderId="0"/>
    <xf numFmtId="9" fontId="8" fillId="0" borderId="0" applyFont="0" applyFill="0" applyBorder="0" applyAlignment="0" applyProtection="0"/>
    <xf numFmtId="0" fontId="1" fillId="0" borderId="0"/>
    <xf numFmtId="0" fontId="2" fillId="0" borderId="0"/>
    <xf numFmtId="164" fontId="2" fillId="0" borderId="0"/>
  </cellStyleXfs>
  <cellXfs count="62">
    <xf numFmtId="0" fontId="0" fillId="0" borderId="0" xfId="0"/>
    <xf numFmtId="0" fontId="1" fillId="2" borderId="0" xfId="6" applyFill="1"/>
    <xf numFmtId="0" fontId="4" fillId="2" borderId="0" xfId="6" applyFont="1" applyFill="1" applyBorder="1" applyAlignment="1">
      <alignment vertical="center"/>
    </xf>
    <xf numFmtId="0" fontId="6" fillId="2" borderId="0" xfId="6" applyFont="1" applyFill="1" applyBorder="1" applyAlignment="1">
      <alignment horizontal="center" vertical="center"/>
    </xf>
    <xf numFmtId="0" fontId="4" fillId="2" borderId="1" xfId="6" applyFont="1" applyFill="1" applyBorder="1" applyAlignment="1">
      <alignment vertical="center"/>
    </xf>
    <xf numFmtId="0" fontId="4" fillId="2" borderId="0" xfId="6" applyFont="1" applyFill="1" applyAlignment="1">
      <alignment vertical="center"/>
    </xf>
    <xf numFmtId="0" fontId="4" fillId="2" borderId="0" xfId="6" applyFont="1" applyFill="1"/>
    <xf numFmtId="0" fontId="6" fillId="2" borderId="0" xfId="6" applyFont="1" applyFill="1" applyBorder="1" applyAlignment="1">
      <alignment vertical="center"/>
    </xf>
    <xf numFmtId="0" fontId="5" fillId="2" borderId="0" xfId="6" applyFont="1" applyFill="1" applyBorder="1" applyAlignment="1">
      <alignment horizontal="right" vertical="center"/>
    </xf>
    <xf numFmtId="0" fontId="11" fillId="2" borderId="2" xfId="6" applyFont="1" applyFill="1" applyBorder="1" applyAlignment="1">
      <alignment vertical="center"/>
    </xf>
    <xf numFmtId="0" fontId="10" fillId="2" borderId="2" xfId="6" applyFont="1" applyFill="1" applyBorder="1" applyAlignment="1">
      <alignment horizontal="right" vertical="center"/>
    </xf>
    <xf numFmtId="0" fontId="6" fillId="2" borderId="2" xfId="6" applyFont="1" applyFill="1" applyBorder="1" applyAlignment="1">
      <alignment horizontal="right" vertical="center"/>
    </xf>
    <xf numFmtId="0" fontId="6" fillId="2" borderId="2" xfId="6" applyFont="1" applyFill="1" applyBorder="1" applyAlignment="1">
      <alignment vertical="center"/>
    </xf>
    <xf numFmtId="0" fontId="6" fillId="2" borderId="0" xfId="6" applyFont="1" applyFill="1" applyAlignment="1">
      <alignment vertical="center"/>
    </xf>
    <xf numFmtId="0" fontId="6" fillId="2" borderId="0" xfId="6" applyFont="1" applyFill="1"/>
    <xf numFmtId="0" fontId="13" fillId="2" borderId="0" xfId="6" applyFont="1" applyFill="1" applyBorder="1" applyAlignment="1">
      <alignment vertical="center"/>
    </xf>
    <xf numFmtId="4" fontId="13" fillId="2" borderId="0" xfId="6" applyNumberFormat="1" applyFont="1" applyFill="1" applyBorder="1" applyAlignment="1">
      <alignment horizontal="right" vertical="center"/>
    </xf>
    <xf numFmtId="172" fontId="13" fillId="2" borderId="0" xfId="6" applyNumberFormat="1" applyFont="1" applyFill="1" applyBorder="1" applyAlignment="1">
      <alignment horizontal="right" vertical="center"/>
    </xf>
    <xf numFmtId="4" fontId="4" fillId="2" borderId="0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right" vertical="center"/>
    </xf>
    <xf numFmtId="170" fontId="17" fillId="2" borderId="0" xfId="3" applyNumberFormat="1" applyFont="1" applyFill="1" applyBorder="1" applyAlignment="1" applyProtection="1">
      <alignment vertical="center"/>
    </xf>
    <xf numFmtId="0" fontId="13" fillId="2" borderId="0" xfId="6" applyFont="1" applyFill="1" applyBorder="1" applyAlignment="1">
      <alignment horizontal="center" vertical="center"/>
    </xf>
    <xf numFmtId="0" fontId="4" fillId="2" borderId="0" xfId="6" applyFont="1" applyFill="1" applyBorder="1" applyAlignment="1">
      <alignment horizontal="center" vertical="center"/>
    </xf>
    <xf numFmtId="167" fontId="5" fillId="2" borderId="0" xfId="7" applyNumberFormat="1" applyFont="1" applyFill="1" applyAlignment="1">
      <alignment horizontal="right" vertical="center"/>
    </xf>
    <xf numFmtId="172" fontId="4" fillId="2" borderId="0" xfId="6" applyNumberFormat="1" applyFont="1" applyFill="1" applyBorder="1" applyAlignment="1">
      <alignment horizontal="right" vertical="center"/>
    </xf>
    <xf numFmtId="0" fontId="7" fillId="2" borderId="0" xfId="6" applyFont="1" applyFill="1" applyBorder="1" applyAlignment="1">
      <alignment horizontal="right" vertical="center"/>
    </xf>
    <xf numFmtId="0" fontId="13" fillId="2" borderId="2" xfId="6" applyFont="1" applyFill="1" applyBorder="1" applyAlignment="1">
      <alignment vertical="center"/>
    </xf>
    <xf numFmtId="4" fontId="13" fillId="2" borderId="2" xfId="6" applyNumberFormat="1" applyFont="1" applyFill="1" applyBorder="1" applyAlignment="1">
      <alignment horizontal="right" vertical="center"/>
    </xf>
    <xf numFmtId="172" fontId="13" fillId="2" borderId="2" xfId="6" applyNumberFormat="1" applyFont="1" applyFill="1" applyBorder="1" applyAlignment="1">
      <alignment horizontal="right" vertical="center"/>
    </xf>
    <xf numFmtId="0" fontId="4" fillId="2" borderId="2" xfId="6" applyFont="1" applyFill="1" applyBorder="1"/>
    <xf numFmtId="0" fontId="12" fillId="2" borderId="0" xfId="6" applyFont="1" applyFill="1" applyBorder="1"/>
    <xf numFmtId="0" fontId="12" fillId="2" borderId="0" xfId="6" applyFont="1" applyFill="1" applyAlignment="1">
      <alignment horizontal="right"/>
    </xf>
    <xf numFmtId="0" fontId="12" fillId="2" borderId="0" xfId="6" applyFont="1" applyFill="1"/>
    <xf numFmtId="0" fontId="11" fillId="2" borderId="0" xfId="6" applyFont="1" applyFill="1" applyAlignment="1">
      <alignment horizontal="right"/>
    </xf>
    <xf numFmtId="2" fontId="11" fillId="2" borderId="0" xfId="6" applyNumberFormat="1" applyFont="1" applyFill="1"/>
    <xf numFmtId="167" fontId="18" fillId="2" borderId="0" xfId="8" applyNumberFormat="1" applyFont="1" applyFill="1" applyAlignment="1">
      <alignment horizontal="right" vertical="center"/>
    </xf>
    <xf numFmtId="167" fontId="11" fillId="2" borderId="0" xfId="8" applyNumberFormat="1" applyFont="1" applyFill="1" applyAlignment="1">
      <alignment vertical="center"/>
    </xf>
    <xf numFmtId="167" fontId="11" fillId="2" borderId="0" xfId="8" applyNumberFormat="1" applyFont="1" applyFill="1" applyBorder="1" applyAlignment="1">
      <alignment vertical="center"/>
    </xf>
    <xf numFmtId="0" fontId="12" fillId="2" borderId="0" xfId="6" applyFont="1" applyFill="1" applyBorder="1" applyAlignment="1">
      <alignment horizontal="left" vertical="center"/>
    </xf>
    <xf numFmtId="167" fontId="15" fillId="2" borderId="0" xfId="8" applyNumberFormat="1" applyFont="1" applyFill="1" applyBorder="1" applyAlignment="1">
      <alignment vertical="center"/>
    </xf>
    <xf numFmtId="0" fontId="12" fillId="2" borderId="0" xfId="6" applyFont="1" applyFill="1" applyBorder="1" applyAlignment="1">
      <alignment vertical="center"/>
    </xf>
    <xf numFmtId="0" fontId="12" fillId="2" borderId="0" xfId="6" applyFont="1" applyFill="1" applyBorder="1" applyAlignment="1">
      <alignment vertical="top"/>
    </xf>
    <xf numFmtId="0" fontId="12" fillId="2" borderId="0" xfId="6" applyFont="1" applyFill="1" applyAlignment="1">
      <alignment horizontal="right" vertical="top"/>
    </xf>
    <xf numFmtId="0" fontId="12" fillId="2" borderId="0" xfId="6" applyFont="1" applyFill="1" applyAlignment="1">
      <alignment vertical="top"/>
    </xf>
    <xf numFmtId="166" fontId="12" fillId="2" borderId="0" xfId="6" applyNumberFormat="1" applyFont="1" applyFill="1" applyAlignment="1">
      <alignment vertical="top"/>
    </xf>
    <xf numFmtId="167" fontId="15" fillId="2" borderId="0" xfId="8" applyNumberFormat="1" applyFont="1" applyFill="1" applyBorder="1" applyAlignment="1">
      <alignment vertical="top"/>
    </xf>
    <xf numFmtId="0" fontId="14" fillId="2" borderId="0" xfId="6" applyFont="1" applyFill="1"/>
    <xf numFmtId="167" fontId="12" fillId="2" borderId="0" xfId="7" applyNumberFormat="1" applyFont="1" applyFill="1" applyAlignment="1">
      <alignment horizontal="right" vertical="center"/>
    </xf>
    <xf numFmtId="0" fontId="19" fillId="2" borderId="0" xfId="6" applyFont="1" applyFill="1" applyBorder="1"/>
    <xf numFmtId="0" fontId="4" fillId="2" borderId="0" xfId="6" applyFont="1" applyFill="1" applyBorder="1"/>
    <xf numFmtId="0" fontId="19" fillId="2" borderId="0" xfId="6" applyFont="1" applyFill="1"/>
    <xf numFmtId="0" fontId="1" fillId="2" borderId="0" xfId="6" applyFont="1" applyFill="1"/>
    <xf numFmtId="0" fontId="20" fillId="2" borderId="0" xfId="6" applyFont="1" applyFill="1"/>
    <xf numFmtId="172" fontId="13" fillId="2" borderId="0" xfId="6" applyNumberFormat="1" applyFont="1" applyFill="1" applyAlignment="1">
      <alignment horizontal="right" vertical="center"/>
    </xf>
    <xf numFmtId="172" fontId="13" fillId="2" borderId="0" xfId="6" applyNumberFormat="1" applyFont="1" applyFill="1" applyAlignment="1">
      <alignment horizontal="right" vertical="top"/>
    </xf>
    <xf numFmtId="0" fontId="16" fillId="2" borderId="0" xfId="6" applyFont="1" applyFill="1" applyAlignment="1">
      <alignment horizontal="center" wrapText="1"/>
    </xf>
    <xf numFmtId="0" fontId="3" fillId="2" borderId="0" xfId="6" applyFont="1" applyFill="1" applyBorder="1" applyAlignment="1">
      <alignment horizontal="center" vertical="center" wrapText="1"/>
    </xf>
    <xf numFmtId="0" fontId="5" fillId="2" borderId="0" xfId="6" applyFont="1" applyFill="1" applyBorder="1" applyAlignment="1">
      <alignment horizontal="center" vertical="center" wrapText="1"/>
    </xf>
    <xf numFmtId="0" fontId="6" fillId="2" borderId="2" xfId="6" applyFont="1" applyFill="1" applyBorder="1" applyAlignment="1">
      <alignment horizontal="center" vertical="top"/>
    </xf>
    <xf numFmtId="0" fontId="6" fillId="2" borderId="3" xfId="6" applyFont="1" applyFill="1" applyBorder="1" applyAlignment="1">
      <alignment horizontal="center" vertical="center"/>
    </xf>
    <xf numFmtId="0" fontId="7" fillId="2" borderId="0" xfId="6" applyFont="1" applyFill="1" applyBorder="1" applyAlignment="1">
      <alignment horizontal="right" vertical="center" wrapText="1"/>
    </xf>
    <xf numFmtId="0" fontId="7" fillId="2" borderId="2" xfId="6" applyFont="1" applyFill="1" applyBorder="1" applyAlignment="1">
      <alignment horizontal="right" vertical="center" wrapText="1"/>
    </xf>
  </cellXfs>
  <cellStyles count="9">
    <cellStyle name="1" xfId="1"/>
    <cellStyle name="Comma 2" xfId="2"/>
    <cellStyle name="Comma 3" xfId="3"/>
    <cellStyle name="Normal" xfId="0" builtinId="0"/>
    <cellStyle name="Normal - Style1" xfId="4"/>
    <cellStyle name="Normal_17 Prices_done_14 - Money and Banking" xfId="6"/>
    <cellStyle name="Normal_Finance - XI" xfId="8"/>
    <cellStyle name="Normal_Finance - XI 2" xfId="7"/>
    <cellStyle name="Percent 2" xfId="5"/>
  </cellStyles>
  <dxfs count="0"/>
  <tableStyles count="0" defaultTableStyle="TableStyleMedium9" defaultPivotStyle="PivotStyleLight16"/>
  <colors>
    <mruColors>
      <color rgb="FFCC00FF"/>
      <color rgb="FFEFD5DD"/>
      <color rgb="FFFF61FF"/>
      <color rgb="FF7030A0"/>
      <color rgb="FFFF97FF"/>
      <color rgb="FFE3B7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F47"/>
  <sheetViews>
    <sheetView tabSelected="1" workbookViewId="0">
      <selection activeCell="AG21" sqref="AG21"/>
    </sheetView>
  </sheetViews>
  <sheetFormatPr defaultColWidth="9.140625" defaultRowHeight="12.75" x14ac:dyDescent="0.2"/>
  <cols>
    <col min="1" max="1" width="29.140625" style="52" customWidth="1"/>
    <col min="2" max="20" width="9.140625" style="51" hidden="1" customWidth="1"/>
    <col min="21" max="21" width="1" style="51" hidden="1" customWidth="1"/>
    <col min="22" max="25" width="5.7109375" style="51" hidden="1" customWidth="1"/>
    <col min="26" max="26" width="1.28515625" style="51" hidden="1" customWidth="1"/>
    <col min="27" max="30" width="5.7109375" style="51" customWidth="1"/>
    <col min="31" max="31" width="2.140625" style="51" customWidth="1"/>
    <col min="32" max="32" width="5.7109375" style="51" customWidth="1"/>
    <col min="33" max="33" width="6.7109375" style="51" customWidth="1"/>
    <col min="34" max="35" width="5.7109375" style="51" customWidth="1"/>
    <col min="36" max="36" width="2.28515625" style="51" customWidth="1"/>
    <col min="37" max="40" width="5.7109375" style="51" customWidth="1"/>
    <col min="41" max="41" width="0.140625" style="51" customWidth="1"/>
    <col min="42" max="42" width="1.7109375" style="51" customWidth="1"/>
    <col min="43" max="46" width="5.7109375" style="51" customWidth="1"/>
    <col min="47" max="47" width="1.7109375" style="51" customWidth="1"/>
    <col min="48" max="51" width="5.7109375" style="51" customWidth="1"/>
    <col min="52" max="52" width="6.28515625" style="51" customWidth="1"/>
    <col min="53" max="53" width="23.5703125" style="51" customWidth="1"/>
    <col min="54" max="54" width="1.28515625" style="1" customWidth="1"/>
    <col min="55" max="16384" width="9.140625" style="1"/>
  </cols>
  <sheetData>
    <row r="1" spans="1:58" ht="18" x14ac:dyDescent="0.45">
      <c r="A1" s="55" t="s">
        <v>34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</row>
    <row r="2" spans="1:58" x14ac:dyDescent="0.2">
      <c r="A2" s="56" t="s">
        <v>35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</row>
    <row r="3" spans="1:58" ht="15" x14ac:dyDescent="0.2">
      <c r="A3" s="57" t="s">
        <v>6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</row>
    <row r="4" spans="1:58" x14ac:dyDescent="0.2">
      <c r="A4" s="58" t="s">
        <v>7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</row>
    <row r="5" spans="1:58" s="6" customFormat="1" ht="12" x14ac:dyDescent="0.2">
      <c r="A5" s="2"/>
      <c r="B5" s="59">
        <v>2004</v>
      </c>
      <c r="C5" s="59"/>
      <c r="D5" s="59"/>
      <c r="E5" s="59"/>
      <c r="F5" s="3"/>
      <c r="G5" s="59">
        <v>2005</v>
      </c>
      <c r="H5" s="59"/>
      <c r="I5" s="59"/>
      <c r="J5" s="59"/>
      <c r="K5" s="3"/>
      <c r="L5" s="59">
        <v>2006</v>
      </c>
      <c r="M5" s="59"/>
      <c r="N5" s="59"/>
      <c r="O5" s="59"/>
      <c r="P5" s="3"/>
      <c r="Q5" s="59">
        <v>2008</v>
      </c>
      <c r="R5" s="59"/>
      <c r="S5" s="59"/>
      <c r="T5" s="59"/>
      <c r="U5" s="3"/>
      <c r="V5" s="59">
        <v>2009</v>
      </c>
      <c r="W5" s="59"/>
      <c r="X5" s="59"/>
      <c r="Y5" s="59"/>
      <c r="Z5" s="3"/>
      <c r="AA5" s="59">
        <v>2010</v>
      </c>
      <c r="AB5" s="59"/>
      <c r="AC5" s="59"/>
      <c r="AD5" s="59"/>
      <c r="AE5" s="3"/>
      <c r="AF5" s="59">
        <v>2011</v>
      </c>
      <c r="AG5" s="59"/>
      <c r="AH5" s="59"/>
      <c r="AI5" s="59"/>
      <c r="AJ5" s="3"/>
      <c r="AK5" s="59">
        <v>2012</v>
      </c>
      <c r="AL5" s="59"/>
      <c r="AM5" s="59"/>
      <c r="AN5" s="59"/>
      <c r="AO5" s="3"/>
      <c r="AP5" s="3"/>
      <c r="AQ5" s="59">
        <v>2013</v>
      </c>
      <c r="AR5" s="59"/>
      <c r="AS5" s="59"/>
      <c r="AT5" s="59"/>
      <c r="AU5" s="3"/>
      <c r="AV5" s="59">
        <v>2014</v>
      </c>
      <c r="AW5" s="59"/>
      <c r="AX5" s="59"/>
      <c r="AY5" s="59"/>
      <c r="AZ5" s="3"/>
      <c r="BA5" s="2"/>
      <c r="BB5" s="4"/>
      <c r="BC5" s="5"/>
      <c r="BD5" s="5"/>
      <c r="BE5" s="5"/>
    </row>
    <row r="6" spans="1:58" s="6" customFormat="1" ht="15" x14ac:dyDescent="0.2">
      <c r="A6" s="7" t="s">
        <v>8</v>
      </c>
      <c r="B6" s="8" t="s">
        <v>0</v>
      </c>
      <c r="C6" s="8" t="s">
        <v>1</v>
      </c>
      <c r="D6" s="8" t="s">
        <v>9</v>
      </c>
      <c r="E6" s="8" t="s">
        <v>10</v>
      </c>
      <c r="F6" s="8"/>
      <c r="G6" s="8" t="s">
        <v>0</v>
      </c>
      <c r="H6" s="8" t="s">
        <v>1</v>
      </c>
      <c r="I6" s="8" t="s">
        <v>9</v>
      </c>
      <c r="J6" s="8" t="s">
        <v>10</v>
      </c>
      <c r="K6" s="8"/>
      <c r="L6" s="8" t="s">
        <v>0</v>
      </c>
      <c r="M6" s="8" t="s">
        <v>1</v>
      </c>
      <c r="N6" s="8" t="s">
        <v>9</v>
      </c>
      <c r="O6" s="8" t="s">
        <v>10</v>
      </c>
      <c r="P6" s="8"/>
      <c r="Q6" s="8" t="s">
        <v>0</v>
      </c>
      <c r="R6" s="8" t="s">
        <v>1</v>
      </c>
      <c r="S6" s="8" t="s">
        <v>9</v>
      </c>
      <c r="T6" s="8" t="s">
        <v>10</v>
      </c>
      <c r="U6" s="8"/>
      <c r="V6" s="8" t="s">
        <v>0</v>
      </c>
      <c r="W6" s="8" t="s">
        <v>1</v>
      </c>
      <c r="X6" s="8" t="s">
        <v>9</v>
      </c>
      <c r="Y6" s="8" t="s">
        <v>10</v>
      </c>
      <c r="Z6" s="8"/>
      <c r="AA6" s="8" t="s">
        <v>0</v>
      </c>
      <c r="AB6" s="8" t="s">
        <v>1</v>
      </c>
      <c r="AC6" s="8" t="s">
        <v>9</v>
      </c>
      <c r="AD6" s="8" t="s">
        <v>10</v>
      </c>
      <c r="AE6" s="8"/>
      <c r="AF6" s="8" t="s">
        <v>0</v>
      </c>
      <c r="AG6" s="8" t="s">
        <v>1</v>
      </c>
      <c r="AH6" s="8" t="s">
        <v>9</v>
      </c>
      <c r="AI6" s="8" t="s">
        <v>10</v>
      </c>
      <c r="AJ6" s="8"/>
      <c r="AK6" s="8" t="s">
        <v>0</v>
      </c>
      <c r="AL6" s="8" t="s">
        <v>1</v>
      </c>
      <c r="AM6" s="8" t="s">
        <v>9</v>
      </c>
      <c r="AN6" s="8" t="s">
        <v>10</v>
      </c>
      <c r="AO6" s="8"/>
      <c r="AP6" s="8"/>
      <c r="AQ6" s="8" t="s">
        <v>0</v>
      </c>
      <c r="AR6" s="8" t="s">
        <v>1</v>
      </c>
      <c r="AS6" s="8" t="s">
        <v>9</v>
      </c>
      <c r="AT6" s="8" t="s">
        <v>10</v>
      </c>
      <c r="AU6" s="8"/>
      <c r="AV6" s="8" t="s">
        <v>0</v>
      </c>
      <c r="AW6" s="8" t="s">
        <v>1</v>
      </c>
      <c r="AX6" s="8" t="s">
        <v>9</v>
      </c>
      <c r="AY6" s="8" t="s">
        <v>10</v>
      </c>
      <c r="AZ6" s="8"/>
      <c r="BA6" s="8" t="s">
        <v>11</v>
      </c>
      <c r="BB6" s="2"/>
      <c r="BC6" s="5"/>
      <c r="BD6" s="5"/>
      <c r="BE6" s="5"/>
    </row>
    <row r="7" spans="1:58" s="6" customFormat="1" ht="12" x14ac:dyDescent="0.2">
      <c r="A7" s="9"/>
      <c r="B7" s="10" t="s">
        <v>2</v>
      </c>
      <c r="C7" s="10" t="s">
        <v>3</v>
      </c>
      <c r="D7" s="10" t="s">
        <v>4</v>
      </c>
      <c r="E7" s="10" t="s">
        <v>5</v>
      </c>
      <c r="F7" s="10"/>
      <c r="G7" s="10" t="s">
        <v>2</v>
      </c>
      <c r="H7" s="10" t="s">
        <v>3</v>
      </c>
      <c r="I7" s="10" t="s">
        <v>4</v>
      </c>
      <c r="J7" s="10" t="s">
        <v>5</v>
      </c>
      <c r="K7" s="10"/>
      <c r="L7" s="10" t="s">
        <v>2</v>
      </c>
      <c r="M7" s="10" t="s">
        <v>3</v>
      </c>
      <c r="N7" s="10" t="s">
        <v>4</v>
      </c>
      <c r="O7" s="10" t="s">
        <v>5</v>
      </c>
      <c r="P7" s="10"/>
      <c r="Q7" s="10" t="s">
        <v>2</v>
      </c>
      <c r="R7" s="10" t="s">
        <v>3</v>
      </c>
      <c r="S7" s="10" t="s">
        <v>4</v>
      </c>
      <c r="T7" s="10" t="s">
        <v>5</v>
      </c>
      <c r="U7" s="10"/>
      <c r="V7" s="10" t="s">
        <v>2</v>
      </c>
      <c r="W7" s="10" t="s">
        <v>3</v>
      </c>
      <c r="X7" s="10" t="s">
        <v>4</v>
      </c>
      <c r="Y7" s="10" t="s">
        <v>5</v>
      </c>
      <c r="Z7" s="10"/>
      <c r="AA7" s="10" t="s">
        <v>2</v>
      </c>
      <c r="AB7" s="10" t="s">
        <v>3</v>
      </c>
      <c r="AC7" s="10" t="s">
        <v>4</v>
      </c>
      <c r="AD7" s="10" t="s">
        <v>5</v>
      </c>
      <c r="AE7" s="10"/>
      <c r="AF7" s="10" t="s">
        <v>2</v>
      </c>
      <c r="AG7" s="10" t="s">
        <v>3</v>
      </c>
      <c r="AH7" s="10" t="s">
        <v>4</v>
      </c>
      <c r="AI7" s="10" t="s">
        <v>5</v>
      </c>
      <c r="AJ7" s="10"/>
      <c r="AK7" s="10" t="s">
        <v>2</v>
      </c>
      <c r="AL7" s="10" t="s">
        <v>3</v>
      </c>
      <c r="AM7" s="10" t="s">
        <v>4</v>
      </c>
      <c r="AN7" s="10" t="s">
        <v>5</v>
      </c>
      <c r="AO7" s="10"/>
      <c r="AP7" s="10"/>
      <c r="AQ7" s="10" t="s">
        <v>2</v>
      </c>
      <c r="AR7" s="10" t="s">
        <v>3</v>
      </c>
      <c r="AS7" s="10" t="s">
        <v>4</v>
      </c>
      <c r="AT7" s="10" t="s">
        <v>5</v>
      </c>
      <c r="AU7" s="10"/>
      <c r="AV7" s="10" t="s">
        <v>2</v>
      </c>
      <c r="AW7" s="10" t="s">
        <v>3</v>
      </c>
      <c r="AX7" s="10" t="s">
        <v>4</v>
      </c>
      <c r="AY7" s="10" t="s">
        <v>5</v>
      </c>
      <c r="AZ7" s="11"/>
      <c r="BA7" s="12"/>
      <c r="BB7" s="12"/>
      <c r="BC7" s="13"/>
      <c r="BD7" s="13"/>
      <c r="BE7" s="13"/>
      <c r="BF7" s="14"/>
    </row>
    <row r="8" spans="1:58" s="6" customFormat="1" ht="18.600000000000001" customHeight="1" x14ac:dyDescent="0.2">
      <c r="A8" s="15" t="s">
        <v>12</v>
      </c>
      <c r="B8" s="16">
        <v>12.8</v>
      </c>
      <c r="C8" s="16">
        <v>12.8</v>
      </c>
      <c r="D8" s="16">
        <v>12.8</v>
      </c>
      <c r="E8" s="16">
        <v>12.8</v>
      </c>
      <c r="F8" s="16"/>
      <c r="G8" s="16">
        <v>12.8</v>
      </c>
      <c r="H8" s="16">
        <v>12.8</v>
      </c>
      <c r="I8" s="16">
        <v>12.8</v>
      </c>
      <c r="J8" s="16">
        <v>12.8</v>
      </c>
      <c r="K8" s="16"/>
      <c r="L8" s="16">
        <v>12.8</v>
      </c>
      <c r="M8" s="16">
        <v>12.8</v>
      </c>
      <c r="N8" s="16">
        <v>12.8</v>
      </c>
      <c r="O8" s="16">
        <v>12.8</v>
      </c>
      <c r="P8" s="16"/>
      <c r="Q8" s="16">
        <v>12.8</v>
      </c>
      <c r="R8" s="16">
        <v>12.8</v>
      </c>
      <c r="S8" s="16">
        <v>12.8</v>
      </c>
      <c r="T8" s="16">
        <v>12.8</v>
      </c>
      <c r="U8" s="16"/>
      <c r="V8" s="17">
        <v>12.8</v>
      </c>
      <c r="W8" s="17">
        <v>12.8</v>
      </c>
      <c r="X8" s="17">
        <v>12.8</v>
      </c>
      <c r="Y8" s="17">
        <v>12.8</v>
      </c>
      <c r="Z8" s="17"/>
      <c r="AA8" s="17">
        <v>12.8</v>
      </c>
      <c r="AB8" s="17">
        <v>12.8</v>
      </c>
      <c r="AC8" s="17">
        <v>12.8</v>
      </c>
      <c r="AD8" s="17">
        <v>12.8</v>
      </c>
      <c r="AE8" s="17"/>
      <c r="AF8" s="17">
        <v>12.8</v>
      </c>
      <c r="AG8" s="53">
        <v>15.38</v>
      </c>
      <c r="AH8" s="17">
        <v>15.39</v>
      </c>
      <c r="AI8" s="17">
        <v>15.41</v>
      </c>
      <c r="AJ8" s="17"/>
      <c r="AK8" s="53">
        <v>15.41</v>
      </c>
      <c r="AL8" s="53">
        <v>15.41</v>
      </c>
      <c r="AM8" s="53">
        <v>15.41</v>
      </c>
      <c r="AN8" s="53">
        <v>15.37</v>
      </c>
      <c r="AO8" s="53"/>
      <c r="AP8" s="17"/>
      <c r="AQ8" s="17">
        <v>15.41</v>
      </c>
      <c r="AR8" s="17">
        <v>15.39</v>
      </c>
      <c r="AS8" s="17">
        <v>15.36</v>
      </c>
      <c r="AT8" s="17">
        <v>15.41</v>
      </c>
      <c r="AU8" s="17"/>
      <c r="AV8" s="17">
        <v>15.4</v>
      </c>
      <c r="AW8" s="17">
        <v>15.41</v>
      </c>
      <c r="AX8" s="17">
        <v>15.39</v>
      </c>
      <c r="AY8" s="17">
        <v>15.4</v>
      </c>
      <c r="AZ8" s="18"/>
      <c r="BA8" s="19" t="s">
        <v>13</v>
      </c>
    </row>
    <row r="9" spans="1:58" s="6" customFormat="1" ht="18.600000000000001" customHeight="1" x14ac:dyDescent="0.2">
      <c r="A9" s="15" t="s">
        <v>14</v>
      </c>
      <c r="B9" s="16">
        <v>0.11749999999999999</v>
      </c>
      <c r="C9" s="16">
        <v>0.1129</v>
      </c>
      <c r="D9" s="16">
        <v>0.1135</v>
      </c>
      <c r="E9" s="16">
        <v>0.1207</v>
      </c>
      <c r="F9" s="16"/>
      <c r="G9" s="16">
        <v>0.11700000000000001</v>
      </c>
      <c r="H9" s="16">
        <v>0.1143</v>
      </c>
      <c r="I9" s="16">
        <v>0.11269999999999999</v>
      </c>
      <c r="J9" s="16">
        <v>0.1134</v>
      </c>
      <c r="K9" s="16"/>
      <c r="L9" s="16">
        <v>0.11219999999999999</v>
      </c>
      <c r="M9" s="16">
        <v>0.1132</v>
      </c>
      <c r="N9" s="16">
        <v>0.1119</v>
      </c>
      <c r="O9" s="16">
        <v>0.1116</v>
      </c>
      <c r="P9" s="16"/>
      <c r="Q9" s="16">
        <v>0.13239999999999999</v>
      </c>
      <c r="R9" s="16">
        <v>0.1221</v>
      </c>
      <c r="S9" s="16">
        <v>0.1227</v>
      </c>
      <c r="T9" s="16">
        <v>0.14760000000000001</v>
      </c>
      <c r="U9" s="16"/>
      <c r="V9" s="17">
        <v>0.13595000000000002</v>
      </c>
      <c r="W9" s="17">
        <v>0.13539999999999999</v>
      </c>
      <c r="X9" s="17">
        <v>0.17315</v>
      </c>
      <c r="Y9" s="17">
        <v>0.17130000000000001</v>
      </c>
      <c r="Z9" s="17"/>
      <c r="AA9" s="17">
        <v>0.1406</v>
      </c>
      <c r="AB9" s="17">
        <v>0.14100000000000001</v>
      </c>
      <c r="AC9" s="17">
        <v>0.15054999999999999</v>
      </c>
      <c r="AD9" s="17">
        <v>0.15679999999999999</v>
      </c>
      <c r="AE9" s="17"/>
      <c r="AF9" s="17">
        <v>0.15925</v>
      </c>
      <c r="AG9" s="17">
        <v>0.1895</v>
      </c>
      <c r="AH9" s="17">
        <v>0.19989999999999999</v>
      </c>
      <c r="AI9" s="17">
        <v>0.19850000000000001</v>
      </c>
      <c r="AJ9" s="17"/>
      <c r="AK9" s="17">
        <v>0.1855</v>
      </c>
      <c r="AL9" s="17">
        <v>0.19490000000000002</v>
      </c>
      <c r="AM9" s="17">
        <v>0.19954677079277922</v>
      </c>
      <c r="AN9" s="17">
        <v>0.17854518491511623</v>
      </c>
      <c r="AO9" s="17"/>
      <c r="AP9" s="17"/>
      <c r="AQ9" s="17">
        <v>0.1643425325229349</v>
      </c>
      <c r="AR9" s="17">
        <v>0.15595000000000001</v>
      </c>
      <c r="AS9" s="17">
        <v>0.15765000000000001</v>
      </c>
      <c r="AT9" s="17">
        <v>0.14615</v>
      </c>
      <c r="AU9" s="17"/>
      <c r="AV9" s="17">
        <v>0.14979999999999999</v>
      </c>
      <c r="AW9" s="17">
        <v>0.15215000000000001</v>
      </c>
      <c r="AX9" s="17">
        <v>0.1409</v>
      </c>
      <c r="AY9" s="17">
        <v>0.12775</v>
      </c>
      <c r="AZ9" s="18"/>
      <c r="BA9" s="19" t="s">
        <v>15</v>
      </c>
    </row>
    <row r="10" spans="1:58" s="6" customFormat="1" ht="18.600000000000001" customHeight="1" x14ac:dyDescent="0.2">
      <c r="A10" s="15" t="s">
        <v>16</v>
      </c>
      <c r="B10" s="16">
        <v>7.4286000000000003</v>
      </c>
      <c r="C10" s="16">
        <v>7.3369999999999997</v>
      </c>
      <c r="D10" s="16">
        <v>7.4142000000000001</v>
      </c>
      <c r="E10" s="16">
        <v>7.6357999999999997</v>
      </c>
      <c r="F10" s="16"/>
      <c r="G10" s="16">
        <v>7.6060999999999996</v>
      </c>
      <c r="H10" s="16">
        <v>7.4733999999999998</v>
      </c>
      <c r="I10" s="16">
        <v>7.4729999999999999</v>
      </c>
      <c r="J10" s="16">
        <v>7.6634000000000002</v>
      </c>
      <c r="K10" s="16"/>
      <c r="L10" s="16">
        <v>7.8882000000000003</v>
      </c>
      <c r="M10" s="16">
        <v>8.0366</v>
      </c>
      <c r="N10" s="16">
        <v>8.0728000000000009</v>
      </c>
      <c r="O10" s="16">
        <v>8.3019999999999996</v>
      </c>
      <c r="P10" s="16"/>
      <c r="Q10" s="16">
        <v>9.2388999999999992</v>
      </c>
      <c r="R10" s="16">
        <v>9.3590999999999998</v>
      </c>
      <c r="S10" s="16">
        <v>8.9823000000000004</v>
      </c>
      <c r="T10" s="16">
        <v>8.7766999999999999</v>
      </c>
      <c r="U10" s="16"/>
      <c r="V10" s="17">
        <v>8.3184000000000005</v>
      </c>
      <c r="W10" s="17">
        <v>8.8378000000000014</v>
      </c>
      <c r="X10" s="17">
        <v>9.02895</v>
      </c>
      <c r="Y10" s="17">
        <v>9.1806999999999999</v>
      </c>
      <c r="Z10" s="17"/>
      <c r="AA10" s="17">
        <v>9.0982000000000003</v>
      </c>
      <c r="AB10" s="17">
        <v>9.1118000000000006</v>
      </c>
      <c r="AC10" s="17">
        <v>9.695450000000001</v>
      </c>
      <c r="AD10" s="17">
        <v>9.80565</v>
      </c>
      <c r="AE10" s="17"/>
      <c r="AF10" s="17">
        <v>10.078250000000001</v>
      </c>
      <c r="AG10" s="17">
        <v>12.313600000000001</v>
      </c>
      <c r="AH10" s="17">
        <v>12.076550000000001</v>
      </c>
      <c r="AI10" s="17">
        <v>11.8028</v>
      </c>
      <c r="AJ10" s="17"/>
      <c r="AK10" s="17">
        <v>12.1731</v>
      </c>
      <c r="AL10" s="17">
        <v>11.97265</v>
      </c>
      <c r="AM10" s="17">
        <v>12.461789467316482</v>
      </c>
      <c r="AN10" s="17">
        <v>12.475809600538149</v>
      </c>
      <c r="AO10" s="17"/>
      <c r="AP10" s="17"/>
      <c r="AQ10" s="17">
        <v>12.3065</v>
      </c>
      <c r="AR10" s="17">
        <v>12.072149999999999</v>
      </c>
      <c r="AS10" s="17">
        <v>12.168150000000001</v>
      </c>
      <c r="AT10" s="17">
        <v>12.04655</v>
      </c>
      <c r="AU10" s="17"/>
      <c r="AV10" s="17">
        <v>12.132750000000001</v>
      </c>
      <c r="AW10" s="17">
        <v>12.243599999999999</v>
      </c>
      <c r="AX10" s="17">
        <v>12.01465</v>
      </c>
      <c r="AY10" s="17">
        <v>11.566050000000001</v>
      </c>
      <c r="AZ10" s="18"/>
      <c r="BA10" s="19" t="s">
        <v>17</v>
      </c>
    </row>
    <row r="11" spans="1:58" s="6" customFormat="1" ht="18.600000000000001" customHeight="1" x14ac:dyDescent="0.2">
      <c r="A11" s="15" t="s">
        <v>18</v>
      </c>
      <c r="B11" s="16">
        <v>0.2792</v>
      </c>
      <c r="C11" s="16">
        <v>0.27760000000000001</v>
      </c>
      <c r="D11" s="16">
        <v>0.27310000000000001</v>
      </c>
      <c r="E11" s="16">
        <v>0.28610000000000002</v>
      </c>
      <c r="F11" s="16"/>
      <c r="G11" s="16">
        <v>0.28649999999999998</v>
      </c>
      <c r="H11" s="16">
        <v>0.28799999999999998</v>
      </c>
      <c r="I11" s="16">
        <v>0.28570000000000001</v>
      </c>
      <c r="J11" s="16">
        <v>0.28799999999999998</v>
      </c>
      <c r="K11" s="16"/>
      <c r="L11" s="16">
        <v>0.29420000000000002</v>
      </c>
      <c r="M11" s="16">
        <v>0.2823</v>
      </c>
      <c r="N11" s="16">
        <v>0.28410000000000002</v>
      </c>
      <c r="O11" s="16">
        <v>0.29399999999999998</v>
      </c>
      <c r="P11" s="16"/>
      <c r="Q11" s="16">
        <v>0.32840000000000003</v>
      </c>
      <c r="R11" s="16">
        <v>0.3054</v>
      </c>
      <c r="S11" s="16">
        <v>0.28639999999999999</v>
      </c>
      <c r="T11" s="16">
        <v>0.2782</v>
      </c>
      <c r="U11" s="16"/>
      <c r="V11" s="17">
        <v>0.25890000000000002</v>
      </c>
      <c r="W11" s="17">
        <v>0.25849999999999995</v>
      </c>
      <c r="X11" s="17">
        <v>0.29139999999999999</v>
      </c>
      <c r="Y11" s="17">
        <v>0.30044999999999999</v>
      </c>
      <c r="Z11" s="17"/>
      <c r="AA11" s="17">
        <v>0.30480000000000002</v>
      </c>
      <c r="AB11" s="17">
        <v>0.29659999999999997</v>
      </c>
      <c r="AC11" s="17">
        <v>0.30249999999999999</v>
      </c>
      <c r="AD11" s="17">
        <v>0.28605000000000003</v>
      </c>
      <c r="AE11" s="17"/>
      <c r="AF11" s="17">
        <v>0.28685000000000005</v>
      </c>
      <c r="AG11" s="17">
        <v>0.34315000000000001</v>
      </c>
      <c r="AH11" s="17">
        <v>0.32135000000000002</v>
      </c>
      <c r="AI11" s="17">
        <v>0.29100000000000004</v>
      </c>
      <c r="AJ11" s="17"/>
      <c r="AK11" s="17">
        <v>0.30320000000000003</v>
      </c>
      <c r="AL11" s="17">
        <v>0.27195000000000003</v>
      </c>
      <c r="AM11" s="17">
        <v>0.29261057533048895</v>
      </c>
      <c r="AN11" s="17">
        <v>0.2824861612433216</v>
      </c>
      <c r="AO11" s="17"/>
      <c r="AP11" s="17"/>
      <c r="AQ11" s="17">
        <v>0.28516893556263861</v>
      </c>
      <c r="AR11" s="17">
        <v>0.25929999999999997</v>
      </c>
      <c r="AS11" s="17">
        <v>0.24744999999999998</v>
      </c>
      <c r="AT11" s="17">
        <v>0.24907688598811728</v>
      </c>
      <c r="AU11" s="17"/>
      <c r="AV11" s="17">
        <v>0.25764999999999999</v>
      </c>
      <c r="AW11" s="17">
        <v>0.25685000000000002</v>
      </c>
      <c r="AX11" s="17">
        <v>0.25064999999999998</v>
      </c>
      <c r="AY11" s="17">
        <v>0.24245</v>
      </c>
      <c r="AZ11" s="18"/>
      <c r="BA11" s="19" t="s">
        <v>19</v>
      </c>
    </row>
    <row r="12" spans="1:58" s="6" customFormat="1" ht="18.600000000000001" customHeight="1" x14ac:dyDescent="0.2">
      <c r="A12" s="15" t="s">
        <v>20</v>
      </c>
      <c r="B12" s="16">
        <v>0.1285</v>
      </c>
      <c r="C12" s="16">
        <v>0.12609999999999999</v>
      </c>
      <c r="D12" s="16">
        <v>0.1211</v>
      </c>
      <c r="E12" s="16">
        <v>0.1201</v>
      </c>
      <c r="F12" s="16"/>
      <c r="G12" s="16">
        <v>0.12620000000000001</v>
      </c>
      <c r="H12" s="16">
        <v>0.12570000000000001</v>
      </c>
      <c r="I12" s="16">
        <v>0.1237</v>
      </c>
      <c r="J12" s="16">
        <v>0.1295</v>
      </c>
      <c r="K12" s="16"/>
      <c r="L12" s="16">
        <v>0.12870000000000001</v>
      </c>
      <c r="M12" s="16">
        <v>0.1273</v>
      </c>
      <c r="N12" s="16">
        <v>0.129</v>
      </c>
      <c r="O12" s="16">
        <v>0.1227</v>
      </c>
      <c r="P12" s="16"/>
      <c r="Q12" s="16">
        <v>0.12280000000000001</v>
      </c>
      <c r="R12" s="16">
        <v>0.12280000000000001</v>
      </c>
      <c r="S12" s="16">
        <v>0.1225</v>
      </c>
      <c r="T12" s="16">
        <v>0.1181</v>
      </c>
      <c r="U12" s="16"/>
      <c r="V12" s="17">
        <v>0.11585000000000001</v>
      </c>
      <c r="W12" s="17">
        <v>0.11405000000000001</v>
      </c>
      <c r="X12" s="17">
        <v>0.12025</v>
      </c>
      <c r="Y12" s="17">
        <v>0.12129999999999999</v>
      </c>
      <c r="Z12" s="17"/>
      <c r="AA12" s="17">
        <v>0.1221</v>
      </c>
      <c r="AB12" s="17">
        <v>0.12204999999999999</v>
      </c>
      <c r="AC12" s="17">
        <v>0.12385</v>
      </c>
      <c r="AD12" s="17">
        <v>0.12385</v>
      </c>
      <c r="AE12" s="17"/>
      <c r="AF12" s="17">
        <v>0.12385</v>
      </c>
      <c r="AG12" s="17">
        <v>0.14015</v>
      </c>
      <c r="AH12" s="17">
        <v>0.13919999999999999</v>
      </c>
      <c r="AI12" s="17">
        <v>0.13519999999999999</v>
      </c>
      <c r="AJ12" s="17"/>
      <c r="AK12" s="17">
        <v>0.11879999999999999</v>
      </c>
      <c r="AL12" s="17">
        <v>0.11515</v>
      </c>
      <c r="AM12" s="17">
        <v>0.11902992876435314</v>
      </c>
      <c r="AN12" s="17">
        <v>0.12092951331132261</v>
      </c>
      <c r="AO12" s="17"/>
      <c r="AP12" s="17"/>
      <c r="AQ12" s="17">
        <v>0.12198377166043653</v>
      </c>
      <c r="AR12" s="17">
        <v>0.11840000000000001</v>
      </c>
      <c r="AS12" s="17">
        <v>0.11646011174189372</v>
      </c>
      <c r="AT12" s="17">
        <v>0.11764319381693271</v>
      </c>
      <c r="AU12" s="17"/>
      <c r="AV12" s="17">
        <v>0.11760000000000001</v>
      </c>
      <c r="AW12" s="17">
        <v>0.11789999999999998</v>
      </c>
      <c r="AX12" s="17">
        <v>0.11785000000000001</v>
      </c>
      <c r="AY12" s="17">
        <v>0.1172</v>
      </c>
      <c r="AZ12" s="18"/>
      <c r="BA12" s="19" t="s">
        <v>21</v>
      </c>
    </row>
    <row r="13" spans="1:58" s="6" customFormat="1" ht="18.600000000000001" customHeight="1" x14ac:dyDescent="0.2">
      <c r="A13" s="15" t="s">
        <v>22</v>
      </c>
      <c r="B13" s="16">
        <v>23.123699999999999</v>
      </c>
      <c r="C13" s="16">
        <v>23.049700000000001</v>
      </c>
      <c r="D13" s="16">
        <v>22.6006</v>
      </c>
      <c r="E13" s="16">
        <v>24.2576</v>
      </c>
      <c r="F13" s="16"/>
      <c r="G13" s="16">
        <v>23.511299999999999</v>
      </c>
      <c r="H13" s="16">
        <v>22.853999999999999</v>
      </c>
      <c r="I13" s="16">
        <v>22.6434</v>
      </c>
      <c r="J13" s="16">
        <v>22.4039</v>
      </c>
      <c r="K13" s="16"/>
      <c r="L13" s="16">
        <v>22.0321</v>
      </c>
      <c r="M13" s="16">
        <v>23.469799999999999</v>
      </c>
      <c r="N13" s="16">
        <v>23.860099999999999</v>
      </c>
      <c r="O13" s="16">
        <v>25.0656</v>
      </c>
      <c r="P13" s="16"/>
      <c r="Q13" s="16">
        <v>25.137899999999998</v>
      </c>
      <c r="R13" s="16">
        <v>24.833600000000001</v>
      </c>
      <c r="S13" s="16">
        <v>23.2408</v>
      </c>
      <c r="T13" s="16">
        <v>18.9404</v>
      </c>
      <c r="U13" s="16"/>
      <c r="V13" s="17">
        <v>18.519449999999999</v>
      </c>
      <c r="W13" s="17">
        <v>20.496650000000002</v>
      </c>
      <c r="X13" s="17">
        <v>20.664999999999999</v>
      </c>
      <c r="Y13" s="17">
        <v>20.847850000000001</v>
      </c>
      <c r="Z13" s="17"/>
      <c r="AA13" s="17">
        <v>18.750399999999999</v>
      </c>
      <c r="AB13" s="17">
        <v>18.183950000000003</v>
      </c>
      <c r="AC13" s="17">
        <v>20.002499999999998</v>
      </c>
      <c r="AD13" s="17">
        <v>19.4329</v>
      </c>
      <c r="AE13" s="17"/>
      <c r="AF13" s="17">
        <v>20.2316</v>
      </c>
      <c r="AG13" s="17">
        <v>24.2029</v>
      </c>
      <c r="AH13" s="17">
        <v>23.719650000000001</v>
      </c>
      <c r="AI13" s="17">
        <v>23.794</v>
      </c>
      <c r="AJ13" s="17"/>
      <c r="AK13" s="17">
        <v>24.229149999999997</v>
      </c>
      <c r="AL13" s="17">
        <v>23.870699999999999</v>
      </c>
      <c r="AM13" s="17">
        <v>24.698341115212855</v>
      </c>
      <c r="AN13" s="17">
        <v>24.659482909939854</v>
      </c>
      <c r="AO13" s="17"/>
      <c r="AP13" s="17"/>
      <c r="AQ13" s="17">
        <v>23.182100000000002</v>
      </c>
      <c r="AR13" s="17">
        <v>23.370450000000002</v>
      </c>
      <c r="AS13" s="17">
        <v>24.735150000000001</v>
      </c>
      <c r="AT13" s="17">
        <v>25.229800000000001</v>
      </c>
      <c r="AU13" s="17"/>
      <c r="AV13" s="17">
        <v>25.436700000000002</v>
      </c>
      <c r="AW13" s="17">
        <v>26.058100000000003</v>
      </c>
      <c r="AX13" s="17">
        <v>24.885899999999999</v>
      </c>
      <c r="AY13" s="17">
        <v>23.8169</v>
      </c>
      <c r="AZ13" s="18"/>
      <c r="BA13" s="19" t="s">
        <v>23</v>
      </c>
    </row>
    <row r="14" spans="1:58" s="6" customFormat="1" ht="18.600000000000001" customHeight="1" x14ac:dyDescent="0.2">
      <c r="A14" s="15" t="s">
        <v>24</v>
      </c>
      <c r="B14" s="16">
        <v>15.399100000000001</v>
      </c>
      <c r="C14" s="16">
        <v>15.307499999999999</v>
      </c>
      <c r="D14" s="16">
        <v>15.4405</v>
      </c>
      <c r="E14" s="16">
        <v>16.968399999999999</v>
      </c>
      <c r="F14" s="16"/>
      <c r="G14" s="16">
        <v>16.214400000000001</v>
      </c>
      <c r="H14" s="16">
        <v>15.172000000000001</v>
      </c>
      <c r="I14" s="16">
        <v>15.2461</v>
      </c>
      <c r="J14" s="16">
        <v>15.1736</v>
      </c>
      <c r="K14" s="16"/>
      <c r="L14" s="16">
        <v>15.1936</v>
      </c>
      <c r="M14" s="16">
        <v>16.070799999999998</v>
      </c>
      <c r="N14" s="16">
        <v>16.0762</v>
      </c>
      <c r="O14" s="16">
        <v>16.746400000000001</v>
      </c>
      <c r="P14" s="16"/>
      <c r="Q14" s="16">
        <v>19.4178</v>
      </c>
      <c r="R14" s="16">
        <v>19.4345</v>
      </c>
      <c r="S14" s="16">
        <v>18.388500000000001</v>
      </c>
      <c r="T14" s="16">
        <v>17.682099999999998</v>
      </c>
      <c r="U14" s="16"/>
      <c r="V14" s="17">
        <v>17.00065</v>
      </c>
      <c r="W14" s="17">
        <v>17.271799999999999</v>
      </c>
      <c r="X14" s="17">
        <v>18.703400000000002</v>
      </c>
      <c r="Y14" s="17">
        <v>18.950600000000001</v>
      </c>
      <c r="Z14" s="17"/>
      <c r="AA14" s="17">
        <v>16.7437</v>
      </c>
      <c r="AB14" s="17">
        <v>14.9497</v>
      </c>
      <c r="AC14" s="17">
        <v>17.122050000000002</v>
      </c>
      <c r="AD14" s="17">
        <v>16.477550000000001</v>
      </c>
      <c r="AE14" s="17"/>
      <c r="AF14" s="17">
        <v>17.654150000000001</v>
      </c>
      <c r="AG14" s="17">
        <v>21.608249999999998</v>
      </c>
      <c r="AH14" s="17">
        <v>20.523050000000001</v>
      </c>
      <c r="AI14" s="17">
        <v>19.732100000000003</v>
      </c>
      <c r="AJ14" s="17"/>
      <c r="AK14" s="17">
        <v>20.124549999999999</v>
      </c>
      <c r="AL14" s="17">
        <v>19.039749999999998</v>
      </c>
      <c r="AM14" s="17">
        <v>19.696127526045473</v>
      </c>
      <c r="AN14" s="17">
        <v>20.15503804563162</v>
      </c>
      <c r="AO14" s="17"/>
      <c r="AP14" s="17"/>
      <c r="AQ14" s="17">
        <v>19.514899999999997</v>
      </c>
      <c r="AR14" s="17">
        <v>19.910550000000001</v>
      </c>
      <c r="AS14" s="17">
        <v>20.639850000000003</v>
      </c>
      <c r="AT14" s="17">
        <v>21.015999999999998</v>
      </c>
      <c r="AU14" s="17"/>
      <c r="AV14" s="17">
        <v>21.0154</v>
      </c>
      <c r="AW14" s="17">
        <v>20.863</v>
      </c>
      <c r="AX14" s="17">
        <v>19.414949999999997</v>
      </c>
      <c r="AY14" s="17">
        <v>18.630749999999999</v>
      </c>
      <c r="AZ14" s="18"/>
      <c r="BA14" s="19" t="s">
        <v>25</v>
      </c>
    </row>
    <row r="15" spans="1:58" s="6" customFormat="1" ht="18.600000000000001" customHeight="1" x14ac:dyDescent="0.2">
      <c r="A15" s="20" t="s">
        <v>26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22"/>
      <c r="BA15" s="23" t="s">
        <v>27</v>
      </c>
    </row>
    <row r="16" spans="1:58" s="6" customFormat="1" ht="18.600000000000001" customHeight="1" x14ac:dyDescent="0.2">
      <c r="A16" s="15" t="s">
        <v>12</v>
      </c>
      <c r="B16" s="17">
        <v>0</v>
      </c>
      <c r="C16" s="17">
        <v>0</v>
      </c>
      <c r="D16" s="17">
        <v>0</v>
      </c>
      <c r="E16" s="17">
        <v>0</v>
      </c>
      <c r="F16" s="17"/>
      <c r="G16" s="17">
        <f>SUM(L8-B8)/B8*100</f>
        <v>0</v>
      </c>
      <c r="H16" s="17">
        <f>SUM(M8-C8)/C8*100</f>
        <v>0</v>
      </c>
      <c r="I16" s="17">
        <f>SUM(N8-D8)/D8*100</f>
        <v>0</v>
      </c>
      <c r="J16" s="17">
        <f>SUM(O8-E8)/E8*100</f>
        <v>0</v>
      </c>
      <c r="K16" s="17"/>
      <c r="L16" s="17">
        <f t="shared" ref="L16:O22" si="0">SUM(L8-G8)/G8*100</f>
        <v>0</v>
      </c>
      <c r="M16" s="17">
        <f t="shared" si="0"/>
        <v>0</v>
      </c>
      <c r="N16" s="17">
        <f t="shared" si="0"/>
        <v>0</v>
      </c>
      <c r="O16" s="17">
        <f t="shared" si="0"/>
        <v>0</v>
      </c>
      <c r="P16" s="17"/>
      <c r="Q16" s="17">
        <v>0</v>
      </c>
      <c r="R16" s="17">
        <v>0</v>
      </c>
      <c r="S16" s="17">
        <v>0</v>
      </c>
      <c r="T16" s="17">
        <v>0</v>
      </c>
      <c r="U16" s="17"/>
      <c r="V16" s="17">
        <v>0</v>
      </c>
      <c r="W16" s="17">
        <v>0</v>
      </c>
      <c r="X16" s="17">
        <v>0</v>
      </c>
      <c r="Y16" s="17">
        <v>0</v>
      </c>
      <c r="Z16" s="17"/>
      <c r="AA16" s="17">
        <v>0</v>
      </c>
      <c r="AB16" s="17">
        <v>0</v>
      </c>
      <c r="AC16" s="17">
        <v>0</v>
      </c>
      <c r="AD16" s="17">
        <v>0</v>
      </c>
      <c r="AE16" s="17"/>
      <c r="AF16" s="17">
        <v>0</v>
      </c>
      <c r="AG16" s="53">
        <v>20.156250000000007</v>
      </c>
      <c r="AH16" s="17">
        <v>20.234375000000004</v>
      </c>
      <c r="AI16" s="17">
        <v>20.390624999999996</v>
      </c>
      <c r="AJ16" s="17"/>
      <c r="AK16" s="53">
        <v>20.390624999999996</v>
      </c>
      <c r="AL16" s="53">
        <v>0.19505851755525772</v>
      </c>
      <c r="AM16" s="53">
        <v>0.12995451591941709</v>
      </c>
      <c r="AN16" s="17">
        <v>-0.25957170668398089</v>
      </c>
      <c r="AO16" s="54"/>
      <c r="AP16" s="17"/>
      <c r="AQ16" s="17">
        <v>0</v>
      </c>
      <c r="AR16" s="17">
        <v>-0.12978585334197934</v>
      </c>
      <c r="AS16" s="17">
        <v>-0.32446463335497056</v>
      </c>
      <c r="AT16" s="17">
        <v>0.26024723487314549</v>
      </c>
      <c r="AU16" s="17"/>
      <c r="AV16" s="17">
        <v>-6.489292667098967E-2</v>
      </c>
      <c r="AW16" s="17">
        <v>0.12995451591941709</v>
      </c>
      <c r="AX16" s="17">
        <v>0.1953125</v>
      </c>
      <c r="AY16" s="17">
        <v>-6.489292667098967E-2</v>
      </c>
      <c r="AZ16" s="24"/>
      <c r="BA16" s="19" t="s">
        <v>13</v>
      </c>
    </row>
    <row r="17" spans="1:56" s="6" customFormat="1" ht="18.600000000000001" customHeight="1" x14ac:dyDescent="0.2">
      <c r="A17" s="15" t="s">
        <v>14</v>
      </c>
      <c r="B17" s="17">
        <v>13.198458574181107</v>
      </c>
      <c r="C17" s="17">
        <v>6.3088512241054593</v>
      </c>
      <c r="D17" s="17">
        <v>7.9923882017126591</v>
      </c>
      <c r="E17" s="17">
        <v>3.6941580756013734</v>
      </c>
      <c r="F17" s="17"/>
      <c r="G17" s="17">
        <f t="shared" ref="G17:J22" si="1">SUM(G9-B9)/B9*100</f>
        <v>-0.42553191489360559</v>
      </c>
      <c r="H17" s="17">
        <f t="shared" si="1"/>
        <v>1.2400354295837011</v>
      </c>
      <c r="I17" s="17">
        <f t="shared" si="1"/>
        <v>-0.70484581497798149</v>
      </c>
      <c r="J17" s="17">
        <f t="shared" si="1"/>
        <v>-6.0480530240265127</v>
      </c>
      <c r="K17" s="17"/>
      <c r="L17" s="17">
        <f t="shared" si="0"/>
        <v>-4.1025641025641129</v>
      </c>
      <c r="M17" s="17">
        <f t="shared" si="0"/>
        <v>-0.96237970253718608</v>
      </c>
      <c r="N17" s="17">
        <f t="shared" si="0"/>
        <v>-0.70984915705412177</v>
      </c>
      <c r="O17" s="17">
        <f t="shared" si="0"/>
        <v>-1.5873015873015837</v>
      </c>
      <c r="P17" s="17"/>
      <c r="Q17" s="17">
        <v>18.425760286225398</v>
      </c>
      <c r="R17" s="17">
        <v>14.218896164639855</v>
      </c>
      <c r="S17" s="17">
        <v>7.4430823117338081</v>
      </c>
      <c r="T17" s="17">
        <v>26.80412371134021</v>
      </c>
      <c r="U17" s="17"/>
      <c r="V17" s="17">
        <v>2.6812688821752459</v>
      </c>
      <c r="W17" s="17">
        <v>10.892710892710888</v>
      </c>
      <c r="X17" s="17">
        <v>41.116544417277908</v>
      </c>
      <c r="Y17" s="17">
        <v>16.0569105691057</v>
      </c>
      <c r="Z17" s="17"/>
      <c r="AA17" s="17">
        <v>3.4203751379183522</v>
      </c>
      <c r="AB17" s="17">
        <v>4.1358936484490627</v>
      </c>
      <c r="AC17" s="17">
        <v>-13.052266820675717</v>
      </c>
      <c r="AD17" s="17">
        <v>-8.4646818447168819</v>
      </c>
      <c r="AE17" s="17"/>
      <c r="AF17" s="17">
        <v>13.264580369843525</v>
      </c>
      <c r="AG17" s="17">
        <v>34.397163120567356</v>
      </c>
      <c r="AH17" s="17">
        <v>32.779807372965799</v>
      </c>
      <c r="AI17" s="17">
        <v>26.594387755102055</v>
      </c>
      <c r="AJ17" s="17"/>
      <c r="AK17" s="17">
        <v>16.483516483516468</v>
      </c>
      <c r="AL17" s="17">
        <v>2.849604221635893</v>
      </c>
      <c r="AM17" s="17">
        <v>-0.17670295508793732</v>
      </c>
      <c r="AN17" s="17">
        <v>-10.052803569210978</v>
      </c>
      <c r="AO17" s="17"/>
      <c r="AP17" s="17"/>
      <c r="AQ17" s="17">
        <v>-11.405642844779029</v>
      </c>
      <c r="AR17" s="17">
        <v>-19.984607491021045</v>
      </c>
      <c r="AS17" s="17">
        <v>-20.995965319973632</v>
      </c>
      <c r="AT17" s="17">
        <v>-18.143970071507397</v>
      </c>
      <c r="AU17" s="17"/>
      <c r="AV17" s="17">
        <v>-8.8489159195021099</v>
      </c>
      <c r="AW17" s="17">
        <v>-2.4366784225713367</v>
      </c>
      <c r="AX17" s="17">
        <v>-10.624801776086279</v>
      </c>
      <c r="AY17" s="17">
        <v>-12.589804994868281</v>
      </c>
      <c r="AZ17" s="24"/>
      <c r="BA17" s="19" t="s">
        <v>15</v>
      </c>
    </row>
    <row r="18" spans="1:56" s="6" customFormat="1" ht="18.600000000000001" customHeight="1" x14ac:dyDescent="0.2">
      <c r="A18" s="15" t="s">
        <v>16</v>
      </c>
      <c r="B18" s="17">
        <v>4.7078059369097698</v>
      </c>
      <c r="C18" s="17">
        <v>1.1414077362079866</v>
      </c>
      <c r="D18" s="17">
        <v>3.4693535782069844</v>
      </c>
      <c r="E18" s="17">
        <v>3.9563252191907572</v>
      </c>
      <c r="F18" s="17"/>
      <c r="G18" s="17">
        <f t="shared" si="1"/>
        <v>2.3894138868696571</v>
      </c>
      <c r="H18" s="17">
        <f t="shared" si="1"/>
        <v>1.8590704647676173</v>
      </c>
      <c r="I18" s="17">
        <f t="shared" si="1"/>
        <v>0.79307275228615004</v>
      </c>
      <c r="J18" s="17">
        <f t="shared" si="1"/>
        <v>0.36145525026847891</v>
      </c>
      <c r="K18" s="17"/>
      <c r="L18" s="17">
        <f t="shared" si="0"/>
        <v>3.7088652528891375</v>
      </c>
      <c r="M18" s="17">
        <f t="shared" si="0"/>
        <v>7.5360612304974994</v>
      </c>
      <c r="N18" s="17">
        <f t="shared" si="0"/>
        <v>8.0262277532450277</v>
      </c>
      <c r="O18" s="17">
        <f t="shared" si="0"/>
        <v>8.333115849361894</v>
      </c>
      <c r="P18" s="17"/>
      <c r="Q18" s="17">
        <v>9.4228559923252568</v>
      </c>
      <c r="R18" s="17">
        <v>12.78605945939432</v>
      </c>
      <c r="S18" s="17">
        <v>5.140990975172941</v>
      </c>
      <c r="T18" s="17">
        <v>-0.55519675493161447</v>
      </c>
      <c r="U18" s="17"/>
      <c r="V18" s="17">
        <v>-9.9633073201355025</v>
      </c>
      <c r="W18" s="17">
        <v>-5.5699800194462963</v>
      </c>
      <c r="X18" s="17">
        <v>0.51935473097090545</v>
      </c>
      <c r="Y18" s="17">
        <v>4.6030968359406144</v>
      </c>
      <c r="Z18" s="17"/>
      <c r="AA18" s="17">
        <v>9.3743989228697764</v>
      </c>
      <c r="AB18" s="17">
        <v>3.1003190839349104</v>
      </c>
      <c r="AC18" s="17">
        <v>7.3818107310373859</v>
      </c>
      <c r="AD18" s="17">
        <v>6.8072151361007416</v>
      </c>
      <c r="AE18" s="17"/>
      <c r="AF18" s="17">
        <v>10.77191092743619</v>
      </c>
      <c r="AG18" s="17">
        <v>35.139050462038249</v>
      </c>
      <c r="AH18" s="17">
        <v>24.558942596785084</v>
      </c>
      <c r="AI18" s="17">
        <v>20.367339238092331</v>
      </c>
      <c r="AJ18" s="17"/>
      <c r="AK18" s="17">
        <v>20.785850718130618</v>
      </c>
      <c r="AL18" s="17">
        <v>-2.7688896829521914</v>
      </c>
      <c r="AM18" s="17">
        <v>3.189979483515426</v>
      </c>
      <c r="AN18" s="17">
        <v>5.7021181460174652</v>
      </c>
      <c r="AO18" s="17"/>
      <c r="AP18" s="17"/>
      <c r="AQ18" s="17">
        <v>1.0958589020052312</v>
      </c>
      <c r="AR18" s="17">
        <v>0.83106079272341482</v>
      </c>
      <c r="AS18" s="17">
        <v>-2.3563186337452469</v>
      </c>
      <c r="AT18" s="17">
        <v>-3.440735425455943</v>
      </c>
      <c r="AU18" s="17"/>
      <c r="AV18" s="17">
        <v>-1.4118555235038244</v>
      </c>
      <c r="AW18" s="17">
        <v>1.4202109814738906</v>
      </c>
      <c r="AX18" s="17">
        <v>-1.2614900375159777</v>
      </c>
      <c r="AY18" s="17">
        <v>-3.9886938584075882</v>
      </c>
      <c r="AZ18" s="24"/>
      <c r="BA18" s="19" t="s">
        <v>17</v>
      </c>
    </row>
    <row r="19" spans="1:56" s="6" customFormat="1" ht="18.600000000000001" customHeight="1" x14ac:dyDescent="0.2">
      <c r="A19" s="15" t="s">
        <v>18</v>
      </c>
      <c r="B19" s="17">
        <v>6.079027355623106</v>
      </c>
      <c r="C19" s="17">
        <v>3.6207540126912972</v>
      </c>
      <c r="D19" s="17">
        <v>-0.18274853801169608</v>
      </c>
      <c r="E19" s="17">
        <v>3.9229930984380794</v>
      </c>
      <c r="F19" s="17"/>
      <c r="G19" s="17">
        <f t="shared" si="1"/>
        <v>2.6146131805157498</v>
      </c>
      <c r="H19" s="17">
        <f t="shared" si="1"/>
        <v>3.7463976945244828</v>
      </c>
      <c r="I19" s="17">
        <f t="shared" si="1"/>
        <v>4.6136946173562796</v>
      </c>
      <c r="J19" s="17">
        <f t="shared" si="1"/>
        <v>0.6641034603285414</v>
      </c>
      <c r="K19" s="17"/>
      <c r="L19" s="17">
        <f t="shared" si="0"/>
        <v>2.6876090750436443</v>
      </c>
      <c r="M19" s="17">
        <f t="shared" si="0"/>
        <v>-1.979166666666661</v>
      </c>
      <c r="N19" s="17">
        <f t="shared" si="0"/>
        <v>-0.56002800140006659</v>
      </c>
      <c r="O19" s="17">
        <f t="shared" si="0"/>
        <v>2.0833333333333353</v>
      </c>
      <c r="P19" s="17"/>
      <c r="Q19" s="17">
        <v>7.9198159710811735</v>
      </c>
      <c r="R19" s="17">
        <v>-5.8569667077681924</v>
      </c>
      <c r="S19" s="17">
        <v>-12.842361533779675</v>
      </c>
      <c r="T19" s="17">
        <v>-16.506602641056421</v>
      </c>
      <c r="U19" s="17"/>
      <c r="V19" s="17">
        <v>-21.163215590742997</v>
      </c>
      <c r="W19" s="17">
        <v>-15.356908971840227</v>
      </c>
      <c r="X19" s="17">
        <v>1.7458100558659235</v>
      </c>
      <c r="Y19" s="17">
        <v>7.9978432782171067</v>
      </c>
      <c r="Z19" s="17"/>
      <c r="AA19" s="17">
        <v>17.72885283893395</v>
      </c>
      <c r="AB19" s="17">
        <v>14.738878143133483</v>
      </c>
      <c r="AC19" s="17">
        <v>3.8091969800960968</v>
      </c>
      <c r="AD19" s="17">
        <v>-4.7928107838242529</v>
      </c>
      <c r="AE19" s="17"/>
      <c r="AF19" s="17">
        <v>-5.8891076115485497</v>
      </c>
      <c r="AG19" s="17">
        <v>15.694538098449096</v>
      </c>
      <c r="AH19" s="17">
        <v>6.2314049586776887</v>
      </c>
      <c r="AI19" s="17">
        <v>1.7304667016255992</v>
      </c>
      <c r="AJ19" s="17"/>
      <c r="AK19" s="17">
        <v>5.6998431235837366</v>
      </c>
      <c r="AL19" s="17">
        <v>-20.748943610665883</v>
      </c>
      <c r="AM19" s="17">
        <v>-8.9433404915235997</v>
      </c>
      <c r="AN19" s="17">
        <v>-2.9257177858001526</v>
      </c>
      <c r="AO19" s="17"/>
      <c r="AP19" s="17"/>
      <c r="AQ19" s="17">
        <v>-5.9469209885756662</v>
      </c>
      <c r="AR19" s="17">
        <v>-4.6515903658761015</v>
      </c>
      <c r="AS19" s="17">
        <v>-15.433678457958111</v>
      </c>
      <c r="AT19" s="17">
        <v>-11.826871485724567</v>
      </c>
      <c r="AU19" s="17"/>
      <c r="AV19" s="17">
        <v>-9.6500467375044696</v>
      </c>
      <c r="AW19" s="17">
        <v>-0.94485152333202427</v>
      </c>
      <c r="AX19" s="17">
        <v>1.2931905435441537</v>
      </c>
      <c r="AY19" s="17">
        <v>-2.6605784642872998</v>
      </c>
      <c r="AZ19" s="24"/>
      <c r="BA19" s="19" t="s">
        <v>19</v>
      </c>
    </row>
    <row r="20" spans="1:56" s="6" customFormat="1" ht="18.600000000000001" customHeight="1" x14ac:dyDescent="0.2">
      <c r="A20" s="15" t="s">
        <v>20</v>
      </c>
      <c r="B20" s="17">
        <v>-0.69551777434310991</v>
      </c>
      <c r="C20" s="17">
        <v>-2.2480620155038862</v>
      </c>
      <c r="D20" s="17">
        <v>-6.3418406805877794</v>
      </c>
      <c r="E20" s="17">
        <v>-7.4730354391371341</v>
      </c>
      <c r="F20" s="17"/>
      <c r="G20" s="17">
        <f t="shared" si="1"/>
        <v>-1.7898832684824875</v>
      </c>
      <c r="H20" s="17">
        <f t="shared" si="1"/>
        <v>-0.31720856463123215</v>
      </c>
      <c r="I20" s="17">
        <f t="shared" si="1"/>
        <v>2.1469859620148681</v>
      </c>
      <c r="J20" s="17">
        <f t="shared" si="1"/>
        <v>7.8268109908409711</v>
      </c>
      <c r="K20" s="17"/>
      <c r="L20" s="17">
        <f t="shared" si="0"/>
        <v>1.9809825673534089</v>
      </c>
      <c r="M20" s="17">
        <f t="shared" si="0"/>
        <v>1.2728719172633176</v>
      </c>
      <c r="N20" s="17">
        <f t="shared" si="0"/>
        <v>4.2845594179466442</v>
      </c>
      <c r="O20" s="17">
        <f t="shared" si="0"/>
        <v>-5.2509652509652511</v>
      </c>
      <c r="P20" s="17"/>
      <c r="Q20" s="17">
        <v>1.236603462489696</v>
      </c>
      <c r="R20" s="17">
        <v>3.0201342281879247</v>
      </c>
      <c r="S20" s="17">
        <v>5.1502145922746703</v>
      </c>
      <c r="T20" s="17">
        <v>-2.6380873866446892</v>
      </c>
      <c r="U20" s="17"/>
      <c r="V20" s="17">
        <v>-5.6596091205211705</v>
      </c>
      <c r="W20" s="17">
        <v>-7.1254071661237735</v>
      </c>
      <c r="X20" s="17">
        <v>-1.8367346938775526</v>
      </c>
      <c r="Y20" s="17">
        <v>2.7095681625740853</v>
      </c>
      <c r="Z20" s="17"/>
      <c r="AA20" s="17">
        <v>5.3949072075960114</v>
      </c>
      <c r="AB20" s="17">
        <v>7.0144673388864431</v>
      </c>
      <c r="AC20" s="17">
        <v>2.9937629937629939</v>
      </c>
      <c r="AD20" s="17">
        <v>2.1022258862325005</v>
      </c>
      <c r="AE20" s="17"/>
      <c r="AF20" s="17">
        <v>1.4332514332514368</v>
      </c>
      <c r="AG20" s="17">
        <v>14.829987709954938</v>
      </c>
      <c r="AH20" s="17">
        <v>12.394025030278556</v>
      </c>
      <c r="AI20" s="17">
        <v>9.1643116673395077</v>
      </c>
      <c r="AJ20" s="17"/>
      <c r="AK20" s="17">
        <v>-4.0775131207105524</v>
      </c>
      <c r="AL20" s="17">
        <v>-17.838030681412764</v>
      </c>
      <c r="AM20" s="17">
        <v>-14.489993703769288</v>
      </c>
      <c r="AN20" s="17">
        <v>-10.555093704643037</v>
      </c>
      <c r="AO20" s="17"/>
      <c r="AP20" s="17"/>
      <c r="AQ20" s="17">
        <v>2.6799424751149381</v>
      </c>
      <c r="AR20" s="17">
        <v>2.8224055579678664</v>
      </c>
      <c r="AS20" s="17">
        <v>-2.1589671178808834</v>
      </c>
      <c r="AT20" s="17">
        <v>-2.7175495909998015</v>
      </c>
      <c r="AU20" s="17"/>
      <c r="AV20" s="17">
        <v>-3.5937334948451416</v>
      </c>
      <c r="AW20" s="17">
        <v>-0.4222972972973249</v>
      </c>
      <c r="AX20" s="17">
        <v>1.1934457535011322</v>
      </c>
      <c r="AY20" s="17">
        <v>-0.37672712084166893</v>
      </c>
      <c r="AZ20" s="24"/>
      <c r="BA20" s="19" t="s">
        <v>21</v>
      </c>
    </row>
    <row r="21" spans="1:56" s="6" customFormat="1" ht="18.600000000000001" customHeight="1" x14ac:dyDescent="0.2">
      <c r="A21" s="15" t="s">
        <v>22</v>
      </c>
      <c r="B21" s="17">
        <v>17.190018143301675</v>
      </c>
      <c r="C21" s="17">
        <v>11.262520213356511</v>
      </c>
      <c r="D21" s="17">
        <v>13.571424982035094</v>
      </c>
      <c r="E21" s="17">
        <v>10.755182175143819</v>
      </c>
      <c r="F21" s="17"/>
      <c r="G21" s="17">
        <f t="shared" si="1"/>
        <v>1.6762023378611515</v>
      </c>
      <c r="H21" s="17">
        <f t="shared" si="1"/>
        <v>-0.84903491151729604</v>
      </c>
      <c r="I21" s="17">
        <f t="shared" si="1"/>
        <v>0.18937550330522077</v>
      </c>
      <c r="J21" s="17">
        <f t="shared" si="1"/>
        <v>-7.6417287777851062</v>
      </c>
      <c r="K21" s="17"/>
      <c r="L21" s="17">
        <f t="shared" si="0"/>
        <v>-6.2914428381246417</v>
      </c>
      <c r="M21" s="17">
        <f t="shared" si="0"/>
        <v>2.6944954931303058</v>
      </c>
      <c r="N21" s="17">
        <f t="shared" si="0"/>
        <v>5.3733096619765561</v>
      </c>
      <c r="O21" s="17">
        <f t="shared" si="0"/>
        <v>11.880520802181762</v>
      </c>
      <c r="P21" s="17"/>
      <c r="Q21" s="17">
        <v>0.34008310481503723</v>
      </c>
      <c r="R21" s="17">
        <v>-1.3533643437950538</v>
      </c>
      <c r="S21" s="17">
        <v>-8.3355025991748857</v>
      </c>
      <c r="T21" s="17">
        <v>-26.626558765306797</v>
      </c>
      <c r="U21" s="17"/>
      <c r="V21" s="17">
        <v>-26.328571599059586</v>
      </c>
      <c r="W21" s="17">
        <v>-17.464040654596992</v>
      </c>
      <c r="X21" s="17">
        <v>-11.083095246291009</v>
      </c>
      <c r="Y21" s="17">
        <v>10.07080103904881</v>
      </c>
      <c r="Z21" s="17"/>
      <c r="AA21" s="17">
        <v>1.2470672725162002</v>
      </c>
      <c r="AB21" s="17">
        <v>-11.28330727216399</v>
      </c>
      <c r="AC21" s="17">
        <v>-3.20590370191145</v>
      </c>
      <c r="AD21" s="17">
        <v>-6.7870307969406962</v>
      </c>
      <c r="AE21" s="17"/>
      <c r="AF21" s="17">
        <v>7.8995648092840653</v>
      </c>
      <c r="AG21" s="17">
        <v>33.100343984667767</v>
      </c>
      <c r="AH21" s="17">
        <v>18.583427071616065</v>
      </c>
      <c r="AI21" s="17">
        <v>22.441838325725971</v>
      </c>
      <c r="AJ21" s="17"/>
      <c r="AK21" s="17">
        <v>19.758941457917302</v>
      </c>
      <c r="AL21" s="17">
        <v>-1.3725627920621042</v>
      </c>
      <c r="AM21" s="17">
        <v>4.1260773882112689</v>
      </c>
      <c r="AN21" s="17">
        <v>3.637399806421171</v>
      </c>
      <c r="AO21" s="17"/>
      <c r="AP21" s="17"/>
      <c r="AQ21" s="17">
        <v>-4.3214475126036049</v>
      </c>
      <c r="AR21" s="17">
        <v>-2.0956653973280948</v>
      </c>
      <c r="AS21" s="17">
        <v>0.14903383435931339</v>
      </c>
      <c r="AT21" s="17">
        <v>2.3127698668420127</v>
      </c>
      <c r="AU21" s="17"/>
      <c r="AV21" s="17">
        <v>9.7256072573235421</v>
      </c>
      <c r="AW21" s="17">
        <v>11.500206457299722</v>
      </c>
      <c r="AX21" s="17">
        <v>0.60945658304072392</v>
      </c>
      <c r="AY21" s="17">
        <v>-5.6001236632870715</v>
      </c>
      <c r="AZ21" s="24"/>
      <c r="BA21" s="19" t="s">
        <v>23</v>
      </c>
    </row>
    <row r="22" spans="1:56" s="6" customFormat="1" ht="18.600000000000001" customHeight="1" x14ac:dyDescent="0.2">
      <c r="A22" s="15" t="s">
        <v>24</v>
      </c>
      <c r="B22" s="17">
        <v>15.441589888524893</v>
      </c>
      <c r="C22" s="17">
        <v>4.3079187478279772</v>
      </c>
      <c r="D22" s="17">
        <v>11.242795389048986</v>
      </c>
      <c r="E22" s="17">
        <v>9.6277344910906955</v>
      </c>
      <c r="F22" s="17"/>
      <c r="G22" s="17">
        <f t="shared" si="1"/>
        <v>5.2944652609568124</v>
      </c>
      <c r="H22" s="17">
        <f t="shared" si="1"/>
        <v>-0.88518699983667248</v>
      </c>
      <c r="I22" s="17">
        <f t="shared" si="1"/>
        <v>-1.259026585926621</v>
      </c>
      <c r="J22" s="17">
        <f t="shared" si="1"/>
        <v>-10.57730840857122</v>
      </c>
      <c r="K22" s="17"/>
      <c r="L22" s="17">
        <f t="shared" si="0"/>
        <v>-6.2956384448391622</v>
      </c>
      <c r="M22" s="17">
        <f t="shared" si="0"/>
        <v>5.924070656472435</v>
      </c>
      <c r="N22" s="17">
        <f t="shared" si="0"/>
        <v>5.4446710962147682</v>
      </c>
      <c r="O22" s="17">
        <f t="shared" si="0"/>
        <v>10.365371434596938</v>
      </c>
      <c r="P22" s="17"/>
      <c r="Q22" s="17">
        <v>14.90638388524628</v>
      </c>
      <c r="R22" s="17">
        <v>14.874689679631167</v>
      </c>
      <c r="S22" s="17">
        <v>3.907441939311755</v>
      </c>
      <c r="T22" s="17">
        <v>-4.1760826328938405</v>
      </c>
      <c r="U22" s="17"/>
      <c r="V22" s="17">
        <v>-12.448114616485901</v>
      </c>
      <c r="W22" s="17">
        <v>-11.128148395893906</v>
      </c>
      <c r="X22" s="17">
        <v>1.7124833455692496</v>
      </c>
      <c r="Y22" s="17">
        <v>7.1739216495778395</v>
      </c>
      <c r="Z22" s="17"/>
      <c r="AA22" s="17">
        <v>-1.5114127989223958</v>
      </c>
      <c r="AB22" s="17">
        <v>-13.444458597251007</v>
      </c>
      <c r="AC22" s="17">
        <v>-8.4548798614155771</v>
      </c>
      <c r="AD22" s="17">
        <v>-13.049982586303344</v>
      </c>
      <c r="AE22" s="17"/>
      <c r="AF22" s="17">
        <v>5.4375675627250875</v>
      </c>
      <c r="AG22" s="17">
        <v>44.539689759660718</v>
      </c>
      <c r="AH22" s="17">
        <v>19.863275717568875</v>
      </c>
      <c r="AI22" s="17">
        <v>19.751419355426037</v>
      </c>
      <c r="AJ22" s="17"/>
      <c r="AK22" s="17">
        <v>13.993310354789079</v>
      </c>
      <c r="AL22" s="17">
        <v>-11.886663658556341</v>
      </c>
      <c r="AM22" s="17">
        <v>-4.0292377300378268</v>
      </c>
      <c r="AN22" s="17">
        <v>2.1434010857010577</v>
      </c>
      <c r="AO22" s="17"/>
      <c r="AP22" s="17"/>
      <c r="AQ22" s="17">
        <v>-3.0293845079765847</v>
      </c>
      <c r="AR22" s="17">
        <v>4.5735894641473873</v>
      </c>
      <c r="AS22" s="17">
        <v>4.7914112695837563</v>
      </c>
      <c r="AT22" s="17">
        <v>4.2716960018588601</v>
      </c>
      <c r="AU22" s="17"/>
      <c r="AV22" s="17">
        <v>7.6889966128445675</v>
      </c>
      <c r="AW22" s="17">
        <v>4.7836448515987673</v>
      </c>
      <c r="AX22" s="17">
        <v>-5.9346361528790474</v>
      </c>
      <c r="AY22" s="17">
        <v>-11.349685953559185</v>
      </c>
      <c r="AZ22" s="24"/>
      <c r="BA22" s="25" t="s">
        <v>25</v>
      </c>
    </row>
    <row r="23" spans="1:56" s="6" customFormat="1" ht="15" x14ac:dyDescent="0.2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24"/>
      <c r="BA23" s="25"/>
    </row>
    <row r="24" spans="1:56" s="6" customFormat="1" ht="31.9" customHeight="1" x14ac:dyDescent="0.2">
      <c r="A24" s="15" t="s">
        <v>28</v>
      </c>
      <c r="B24" s="16">
        <v>18.950528000000002</v>
      </c>
      <c r="C24" s="16">
        <v>18.767616</v>
      </c>
      <c r="D24" s="16">
        <v>18.803072</v>
      </c>
      <c r="E24" s="16">
        <v>19.878528000000003</v>
      </c>
      <c r="F24" s="16"/>
      <c r="G24" s="16">
        <v>19.338623999999999</v>
      </c>
      <c r="H24" s="16">
        <v>18.644608000000002</v>
      </c>
      <c r="I24" s="16">
        <v>18.567423999999999</v>
      </c>
      <c r="J24" s="16">
        <v>18.294656</v>
      </c>
      <c r="K24" s="16"/>
      <c r="L24" s="16">
        <v>18.404223999999999</v>
      </c>
      <c r="M24" s="16">
        <v>18.780799999999999</v>
      </c>
      <c r="N24" s="16">
        <v>18.939648000000002</v>
      </c>
      <c r="O24" s="16">
        <v>19.256320000000002</v>
      </c>
      <c r="P24" s="16"/>
      <c r="Q24" s="16">
        <v>21.049600000000002</v>
      </c>
      <c r="R24" s="16">
        <v>20.910336000000001</v>
      </c>
      <c r="S24" s="16">
        <v>19.932416000000003</v>
      </c>
      <c r="T24" s="16">
        <v>19.715456000000003</v>
      </c>
      <c r="U24" s="16"/>
      <c r="V24" s="17">
        <v>19.136896</v>
      </c>
      <c r="W24" s="17">
        <v>19.868544</v>
      </c>
      <c r="X24" s="17">
        <v>20.279936000000003</v>
      </c>
      <c r="Y24" s="17">
        <v>20.066432000000002</v>
      </c>
      <c r="Z24" s="17"/>
      <c r="AA24" s="17">
        <v>19.433472000000002</v>
      </c>
      <c r="AB24" s="17">
        <v>18.929920000000003</v>
      </c>
      <c r="AC24" s="17">
        <v>19.919232000000001</v>
      </c>
      <c r="AD24" s="17">
        <v>19.712384</v>
      </c>
      <c r="AE24" s="17"/>
      <c r="AF24" s="17">
        <v>20.2944</v>
      </c>
      <c r="AG24" s="53">
        <v>24.614920999999999</v>
      </c>
      <c r="AH24" s="53">
        <v>24.033331800000003</v>
      </c>
      <c r="AI24" s="53">
        <v>23.658510699999997</v>
      </c>
      <c r="AJ24" s="17"/>
      <c r="AK24" s="53">
        <v>23.871476900000001</v>
      </c>
      <c r="AL24" s="53">
        <v>23.385445499999999</v>
      </c>
      <c r="AM24" s="53">
        <v>23.765147899999999</v>
      </c>
      <c r="AN24" s="53">
        <v>23.622460400000001</v>
      </c>
      <c r="AO24" s="53"/>
      <c r="AP24" s="53"/>
      <c r="AQ24" s="17">
        <v>23.102672000000002</v>
      </c>
      <c r="AR24" s="17">
        <v>23.145944400000001</v>
      </c>
      <c r="AS24" s="17">
        <v>23.563468800000003</v>
      </c>
      <c r="AT24" s="17">
        <v>23.731400000000001</v>
      </c>
      <c r="AU24" s="53"/>
      <c r="AV24" s="17">
        <v>23.802702</v>
      </c>
      <c r="AW24" s="17">
        <v>23.822164900000001</v>
      </c>
      <c r="AX24" s="17">
        <v>22.816906200000002</v>
      </c>
      <c r="AY24" s="17">
        <v>22.311674</v>
      </c>
      <c r="AZ24" s="60" t="s">
        <v>29</v>
      </c>
      <c r="BA24" s="60"/>
    </row>
    <row r="25" spans="1:56" s="6" customFormat="1" ht="34.9" customHeight="1" x14ac:dyDescent="0.2">
      <c r="A25" s="26" t="s">
        <v>30</v>
      </c>
      <c r="B25" s="27">
        <v>1.48051</v>
      </c>
      <c r="C25" s="27">
        <v>1.4662200000000001</v>
      </c>
      <c r="D25" s="27">
        <v>1.46899</v>
      </c>
      <c r="E25" s="27">
        <v>1.55301</v>
      </c>
      <c r="F25" s="27"/>
      <c r="G25" s="27">
        <v>1.5108299999999999</v>
      </c>
      <c r="H25" s="27">
        <v>1.45661</v>
      </c>
      <c r="I25" s="27">
        <v>1.45058</v>
      </c>
      <c r="J25" s="27">
        <v>1.42927</v>
      </c>
      <c r="K25" s="27"/>
      <c r="L25" s="27">
        <v>1.4378299999999999</v>
      </c>
      <c r="M25" s="27">
        <v>1.4672499999999999</v>
      </c>
      <c r="N25" s="27">
        <v>1.47966</v>
      </c>
      <c r="O25" s="27">
        <v>1.5044</v>
      </c>
      <c r="P25" s="27"/>
      <c r="Q25" s="27">
        <v>1.6445000000000001</v>
      </c>
      <c r="R25" s="27">
        <v>1.6336200000000001</v>
      </c>
      <c r="S25" s="27">
        <v>1.55722</v>
      </c>
      <c r="T25" s="27">
        <v>1.54027</v>
      </c>
      <c r="U25" s="27"/>
      <c r="V25" s="28">
        <v>1.4950699999999999</v>
      </c>
      <c r="W25" s="28">
        <v>1.55223</v>
      </c>
      <c r="X25" s="28">
        <v>1.5843700000000001</v>
      </c>
      <c r="Y25" s="28">
        <v>1.56769</v>
      </c>
      <c r="Z25" s="28"/>
      <c r="AA25" s="28">
        <v>1.51824</v>
      </c>
      <c r="AB25" s="28">
        <v>1.4789000000000001</v>
      </c>
      <c r="AC25" s="28">
        <v>1.55619</v>
      </c>
      <c r="AD25" s="28">
        <v>1.54003</v>
      </c>
      <c r="AE25" s="28"/>
      <c r="AF25" s="28">
        <v>1.5854999999999999</v>
      </c>
      <c r="AG25" s="28">
        <v>1.6004499999999999</v>
      </c>
      <c r="AH25" s="28">
        <v>1.56162</v>
      </c>
      <c r="AI25" s="28">
        <v>1.5352699999999999</v>
      </c>
      <c r="AJ25" s="28"/>
      <c r="AK25" s="28">
        <v>1.5490900000000001</v>
      </c>
      <c r="AL25" s="28">
        <v>1.51755</v>
      </c>
      <c r="AM25" s="28">
        <v>1.5421899999999999</v>
      </c>
      <c r="AN25" s="28">
        <v>1.5369200000000001</v>
      </c>
      <c r="AO25" s="28"/>
      <c r="AP25" s="28"/>
      <c r="AQ25" s="28">
        <v>1.4992000000000001</v>
      </c>
      <c r="AR25" s="28">
        <v>1.50396</v>
      </c>
      <c r="AS25" s="28">
        <v>1.5340800000000001</v>
      </c>
      <c r="AT25" s="28">
        <v>1.54</v>
      </c>
      <c r="AU25" s="28"/>
      <c r="AV25" s="28">
        <v>1.5456300000000001</v>
      </c>
      <c r="AW25" s="28">
        <v>1.54589</v>
      </c>
      <c r="AX25" s="28">
        <v>1.48258</v>
      </c>
      <c r="AY25" s="28">
        <v>1.4488099999999999</v>
      </c>
      <c r="AZ25" s="61" t="s">
        <v>31</v>
      </c>
      <c r="BA25" s="61"/>
      <c r="BB25" s="29"/>
    </row>
    <row r="26" spans="1:56" s="32" customFormat="1" ht="17.25" x14ac:dyDescent="0.2">
      <c r="A26" s="38" t="s">
        <v>32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1"/>
      <c r="AF26" s="30"/>
      <c r="AG26" s="33"/>
      <c r="AH26" s="33"/>
      <c r="AI26" s="33"/>
      <c r="AK26" s="34"/>
      <c r="BA26" s="35"/>
      <c r="BB26" s="36"/>
      <c r="BD26" s="37"/>
    </row>
    <row r="27" spans="1:56" s="32" customFormat="1" ht="17.25" x14ac:dyDescent="0.2">
      <c r="A27" s="40" t="s">
        <v>33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1"/>
      <c r="AF27" s="30"/>
      <c r="AG27" s="31"/>
      <c r="BA27" s="39"/>
      <c r="BB27" s="37"/>
      <c r="BD27" s="36"/>
    </row>
    <row r="28" spans="1:56" s="43" customFormat="1" ht="17.25" x14ac:dyDescent="0.2"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2"/>
      <c r="AF28" s="41"/>
      <c r="AG28" s="42"/>
      <c r="AN28" s="44"/>
      <c r="AO28" s="44"/>
      <c r="BA28" s="45"/>
    </row>
    <row r="29" spans="1:56" s="46" customFormat="1" x14ac:dyDescent="0.2"/>
    <row r="30" spans="1:56" s="32" customFormat="1" ht="12" x14ac:dyDescent="0.2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1"/>
      <c r="AF30" s="30"/>
      <c r="AG30" s="31"/>
      <c r="AK30" s="30"/>
      <c r="AL30" s="31"/>
      <c r="AQ30" s="30"/>
      <c r="AR30" s="31"/>
      <c r="AV30" s="30"/>
      <c r="AW30" s="31"/>
    </row>
    <row r="31" spans="1:56" s="32" customFormat="1" ht="12" x14ac:dyDescent="0.2"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F31" s="30"/>
      <c r="BA31" s="47"/>
    </row>
    <row r="32" spans="1:56" s="32" customFormat="1" ht="12" x14ac:dyDescent="0.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F32" s="30"/>
      <c r="AK32" s="30"/>
      <c r="AQ32" s="30"/>
      <c r="AV32" s="30"/>
    </row>
    <row r="33" spans="1:53" s="32" customFormat="1" ht="12" x14ac:dyDescent="0.2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F33" s="30"/>
      <c r="AK33" s="30"/>
      <c r="AQ33" s="30"/>
      <c r="AV33" s="30"/>
    </row>
    <row r="34" spans="1:53" s="6" customFormat="1" ht="12" x14ac:dyDescent="0.2">
      <c r="A34" s="48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F34" s="49"/>
      <c r="AK34" s="49"/>
      <c r="AQ34" s="49"/>
      <c r="AV34" s="49"/>
    </row>
    <row r="35" spans="1:53" s="6" customFormat="1" ht="12" x14ac:dyDescent="0.2">
      <c r="A35" s="48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F35" s="49"/>
      <c r="AK35" s="49"/>
      <c r="AQ35" s="49"/>
      <c r="AV35" s="49"/>
    </row>
    <row r="36" spans="1:53" s="6" customFormat="1" ht="12" x14ac:dyDescent="0.2">
      <c r="A36" s="48"/>
    </row>
    <row r="37" spans="1:53" s="6" customFormat="1" ht="12" x14ac:dyDescent="0.2">
      <c r="A37" s="50"/>
    </row>
    <row r="38" spans="1:53" s="6" customFormat="1" ht="12" x14ac:dyDescent="0.2">
      <c r="A38" s="50"/>
    </row>
    <row r="39" spans="1:53" s="6" customFormat="1" ht="12" x14ac:dyDescent="0.2">
      <c r="A39" s="50"/>
    </row>
    <row r="40" spans="1:53" s="6" customFormat="1" ht="12" x14ac:dyDescent="0.2">
      <c r="A40" s="50"/>
    </row>
    <row r="41" spans="1:53" s="6" customFormat="1" ht="12" x14ac:dyDescent="0.2">
      <c r="A41" s="50"/>
    </row>
    <row r="42" spans="1:53" s="6" customFormat="1" ht="12" x14ac:dyDescent="0.2">
      <c r="A42" s="50"/>
    </row>
    <row r="43" spans="1:53" s="6" customFormat="1" ht="12" x14ac:dyDescent="0.2">
      <c r="A43" s="50"/>
    </row>
    <row r="44" spans="1:53" s="6" customFormat="1" ht="12" x14ac:dyDescent="0.2">
      <c r="A44" s="50"/>
    </row>
    <row r="45" spans="1:53" s="6" customFormat="1" ht="12" x14ac:dyDescent="0.2">
      <c r="A45" s="50"/>
    </row>
    <row r="46" spans="1:53" s="6" customFormat="1" ht="12" x14ac:dyDescent="0.2">
      <c r="A46" s="50"/>
    </row>
    <row r="47" spans="1:53" x14ac:dyDescent="0.2">
      <c r="A47" s="50"/>
      <c r="AB47" s="6"/>
      <c r="AC47" s="1"/>
      <c r="AD47" s="1"/>
      <c r="AE47" s="1"/>
      <c r="AG47" s="6"/>
      <c r="AH47" s="1"/>
      <c r="AI47" s="1"/>
      <c r="AJ47" s="1"/>
      <c r="AL47" s="6"/>
      <c r="AM47" s="1"/>
      <c r="AN47" s="1"/>
      <c r="AO47" s="1"/>
      <c r="AP47" s="1"/>
      <c r="AR47" s="6"/>
      <c r="AS47" s="1"/>
      <c r="AT47" s="1"/>
      <c r="AU47" s="1"/>
      <c r="AW47" s="6"/>
      <c r="AX47" s="1"/>
      <c r="AY47" s="1"/>
      <c r="AZ47" s="1"/>
      <c r="BA47" s="1"/>
    </row>
  </sheetData>
  <mergeCells count="16">
    <mergeCell ref="AZ24:BA24"/>
    <mergeCell ref="AZ25:BA25"/>
    <mergeCell ref="AF5:AI5"/>
    <mergeCell ref="AK5:AN5"/>
    <mergeCell ref="AQ5:AT5"/>
    <mergeCell ref="A1:BA1"/>
    <mergeCell ref="A2:BA2"/>
    <mergeCell ref="A3:BA3"/>
    <mergeCell ref="A4:BA4"/>
    <mergeCell ref="AV5:AY5"/>
    <mergeCell ref="B5:E5"/>
    <mergeCell ref="G5:J5"/>
    <mergeCell ref="L5:O5"/>
    <mergeCell ref="Q5:T5"/>
    <mergeCell ref="V5:Y5"/>
    <mergeCell ref="AA5:AD5"/>
  </mergeCells>
  <pageMargins left="0.17" right="0.16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7.13</vt:lpstr>
      <vt:lpstr>'7.13'!Print_Area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2016-03-16T08:29:17Z</cp:lastPrinted>
  <dcterms:created xsi:type="dcterms:W3CDTF">2007-02-08T08:33:33Z</dcterms:created>
  <dcterms:modified xsi:type="dcterms:W3CDTF">2016-03-16T08:30:24Z</dcterms:modified>
</cp:coreProperties>
</file>