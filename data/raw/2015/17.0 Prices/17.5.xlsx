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0" windowWidth="12075" windowHeight="7365" tabRatio="803"/>
  </bookViews>
  <sheets>
    <sheet name="17.5" sheetId="10" r:id="rId1"/>
  </sheets>
  <definedNames>
    <definedName name="bec">#REF!</definedName>
    <definedName name="ctry">'[1]CTRY monthly'!$B$100:$N$115</definedName>
    <definedName name="moomina">#REF!</definedName>
    <definedName name="_xlnm.Print_Area" localSheetId="0">'17.5'!$A$1:$T$63</definedName>
    <definedName name="Print_Area_MI">#REF!</definedName>
    <definedName name="total">'[2]4'!#REF!</definedName>
  </definedNames>
  <calcPr calcId="144525"/>
</workbook>
</file>

<file path=xl/calcChain.xml><?xml version="1.0" encoding="utf-8"?>
<calcChain xmlns="http://schemas.openxmlformats.org/spreadsheetml/2006/main">
  <c r="BP11" i="10" l="1"/>
  <c r="BQ11" i="10"/>
  <c r="BP10" i="10"/>
  <c r="BQ10" i="10"/>
  <c r="BL24" i="10"/>
  <c r="BM24" i="10"/>
  <c r="C74" i="10" l="1"/>
  <c r="C75" i="10" s="1"/>
  <c r="BM23" i="10" l="1"/>
  <c r="BL23" i="10"/>
  <c r="BL12" i="10" l="1"/>
  <c r="B44" i="10"/>
  <c r="B45" i="10" s="1"/>
  <c r="B30" i="10"/>
  <c r="B23" i="10" l="1"/>
  <c r="B24" i="10" s="1"/>
  <c r="B9" i="10"/>
  <c r="BL17" i="10" l="1"/>
  <c r="BM22" i="10"/>
  <c r="BL22" i="10"/>
  <c r="BO12" i="10"/>
  <c r="BO10" i="10"/>
  <c r="BO11" i="10"/>
  <c r="BN11" i="10"/>
  <c r="BN12" i="10"/>
  <c r="BM11" i="10"/>
  <c r="BL10" i="10"/>
  <c r="BM21" i="10" l="1"/>
  <c r="BM20" i="10"/>
  <c r="BM19" i="10"/>
  <c r="BM18" i="10"/>
  <c r="BM17" i="10"/>
  <c r="BL21" i="10"/>
  <c r="BL20" i="10"/>
  <c r="BL19" i="10"/>
  <c r="BL18" i="10"/>
  <c r="BM12" i="10"/>
  <c r="BL11" i="10"/>
  <c r="BN10" i="10"/>
  <c r="BM10" i="10"/>
</calcChain>
</file>

<file path=xl/sharedStrings.xml><?xml version="1.0" encoding="utf-8"?>
<sst xmlns="http://schemas.openxmlformats.org/spreadsheetml/2006/main" count="94" uniqueCount="56">
  <si>
    <t xml:space="preserve">  % urwvcnim ivurutia eruvcSwrwhwaIruk</t>
  </si>
  <si>
    <t>Base weights</t>
  </si>
  <si>
    <t>Fish Index</t>
  </si>
  <si>
    <t>uDnwgcnim eguhwm</t>
  </si>
  <si>
    <t>Clothing and footwear</t>
  </si>
  <si>
    <t>Education</t>
  </si>
  <si>
    <t>cmIluAwt</t>
  </si>
  <si>
    <t>wlcmuj</t>
  </si>
  <si>
    <t>cSwa ejcaWr - cawtiawb uDnwgiawm</t>
  </si>
  <si>
    <t>cawtctwvWb egutwfcnud</t>
  </si>
  <si>
    <t>cnWviawf iaWTUb idwa unuawncnwa</t>
  </si>
  <si>
    <t>cawtctwvWb egulet idwa csEg ,uTcnwrwk ,cnef ,ilukegEg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</si>
  <si>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</si>
  <si>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</si>
  <si>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</si>
  <si>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</si>
  <si>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</si>
  <si>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</si>
  <si>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</si>
  <si>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</si>
  <si>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Hotels, cafés and restaurants</t>
  </si>
  <si>
    <t xml:space="preserve">  cTcnwrOTcser idwa Efek ,WToh</t>
  </si>
  <si>
    <t>Miscellaneous goods and services</t>
  </si>
  <si>
    <t>Major Groups - Male'</t>
  </si>
  <si>
    <t xml:space="preserve"> cSwa elWm - cawtiawb uDnwgiawm</t>
  </si>
  <si>
    <t>Male'</t>
  </si>
  <si>
    <t>Atolls</t>
  </si>
  <si>
    <t>Percentage change over previous year</t>
  </si>
  <si>
    <t xml:space="preserve">Furnishing,  household equipment &amp; routine maintenance </t>
  </si>
  <si>
    <t xml:space="preserve">Tobacco </t>
  </si>
  <si>
    <t xml:space="preserve"> cSwCcaekwt   WviawfWLwawDnwk  cnwdurwb</t>
  </si>
  <si>
    <t>cnurukctWmWrwm  iaWCcaekwt  ELugcneg Wfih ,cnixem,rwCInrwf</t>
  </si>
  <si>
    <t xml:space="preserve"> Wnwmihuncswm uDnwgcnim wlcmuj</t>
  </si>
  <si>
    <t>Food and beverages including fish</t>
  </si>
  <si>
    <t>Food and beverages excluding fish</t>
  </si>
  <si>
    <t xml:space="preserve"> cniaubIrWycawt iaWaWnWk</t>
  </si>
  <si>
    <t>(Wnwmihuncswm) cniaubIrWycawt iaWaWnWk</t>
  </si>
  <si>
    <t>Including fish</t>
  </si>
  <si>
    <t>Excluding fish</t>
  </si>
  <si>
    <t>(Index - base: June 2012=100)</t>
  </si>
  <si>
    <t>(cnegiawlwbcSwa 100 IkwDnwgcnim eg 2012 cnUj)</t>
  </si>
  <si>
    <t>Housing, water, electricity, gas and other fuel</t>
  </si>
  <si>
    <t xml:space="preserve">  Actual rentals for housing</t>
  </si>
  <si>
    <t>All groups CPI (Total)</t>
  </si>
  <si>
    <t>Total excluding fish</t>
  </si>
  <si>
    <t xml:space="preserve">                                    ilukegEg</t>
  </si>
  <si>
    <t>ctwmcdiK iaWlwdum cnehinehea</t>
  </si>
  <si>
    <t>Republic</t>
  </si>
  <si>
    <t>Major Groups - Republic</t>
  </si>
  <si>
    <t>Total inflation rates 2009-2012</t>
  </si>
  <si>
    <t>Total national inflation rates 2007-2012</t>
  </si>
  <si>
    <t>Note: The series for the Republic prior to June 2012 is linked to previously published series for Male'. Hence, CPI for Male' and Republic prior to June 2012 is the same.</t>
  </si>
  <si>
    <t xml:space="preserve">Source:  National  Bureau of Statistics   </t>
  </si>
  <si>
    <t>މަޢުލޫމާތު ދެއްވި ފަރާތް: ނޭޝަނަލް ބިއުރޯ އޮފް ސްޓެޓިސްޓިކްސް</t>
  </si>
  <si>
    <t>Table 17.5 :  CONSUMER PRICE INDEX, 2006 - 2014</t>
  </si>
  <si>
    <t>2014 - 2006 ,uDnwgcnim egugwa egurWzWb : 17.5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</si>
</sst>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5" formatCode="_-* #,##0.00\ _ރ_._-;_-* #,##0.00\ _ރ_.\-;_-* &quot;-&quot;??\ _ރ_._-;_-@_-"/>
    <numFmt numFmtId="166" formatCode="0.0"/>
    <numFmt numFmtId="167" formatCode="General_)"/>
    <numFmt numFmtId="168" formatCode="0.00_);[Red]\(0.00\)"/>
    <numFmt numFmtId="169" formatCode="0.00_)"/>
    <numFmt numFmtId="170" formatCode="_(* #,##0.0_);_(* \(#,##0.0\);_(* &quot;-&quot;??_);_(@_)"/>
  </numFmts>
  <fonts count="27" x14ac:knownFonts="1">
    <font>
      <sz val="10"/>
      <name val="Arial"/>
    </font>
    <font>
      <sz val="10"/>
      <name val="Arial"/>
      <family val="2"/>
    </font>
    <font>
      <u/>
      <sz val="10"/>
      <color indexed="12"/>
      <name val="Courier"/>
      <family val="3"/>
    </font>
    <font>
      <sz val="10"/>
      <name val="Courier"/>
      <family val="3"/>
    </font>
    <font>
      <sz val="8"/>
      <name val="Arial"/>
      <family val="2"/>
    </font>
    <font>
      <b/>
      <sz val="12"/>
      <name val="A_Randhoo"/>
    </font>
    <font>
      <b/>
      <sz val="10"/>
      <name val="Arial"/>
      <family val="2"/>
    </font>
    <font>
      <sz val="9"/>
      <name val="Arial"/>
      <family val="2"/>
    </font>
    <font>
      <b/>
      <sz val="9"/>
      <name val="A_Randhoo"/>
    </font>
    <font>
      <b/>
      <sz val="9"/>
      <name val="Arial"/>
      <family val="2"/>
    </font>
    <font>
      <sz val="9"/>
      <name val="A_Randhoo"/>
    </font>
    <font>
      <sz val="10"/>
      <name val="Arial"/>
      <family val="2"/>
    </font>
    <font>
      <b/>
      <sz val="10"/>
      <name val="A_Randhoo"/>
    </font>
    <font>
      <b/>
      <i/>
      <sz val="16"/>
      <name val="Helv"/>
    </font>
    <font>
      <b/>
      <sz val="9"/>
      <name val="Times New Roman"/>
      <family val="1"/>
    </font>
    <font>
      <u/>
      <sz val="10"/>
      <name val="Courier"/>
      <family val="3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i/>
      <sz val="16"/>
      <color rgb="FFFF0000"/>
      <name val="Calibri"/>
      <family val="2"/>
      <scheme val="minor"/>
    </font>
    <font>
      <i/>
      <sz val="10"/>
      <name val="Calibri"/>
      <family val="2"/>
      <scheme val="minor"/>
    </font>
    <font>
      <sz val="9"/>
      <name val="Faruma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169" fontId="13" fillId="0" borderId="0"/>
    <xf numFmtId="0" fontId="1" fillId="0" borderId="0"/>
    <xf numFmtId="0" fontId="1" fillId="0" borderId="0"/>
    <xf numFmtId="167" fontId="3" fillId="0" borderId="0"/>
    <xf numFmtId="0" fontId="1" fillId="0" borderId="0"/>
    <xf numFmtId="167" fontId="3" fillId="0" borderId="0"/>
    <xf numFmtId="167" fontId="3" fillId="0" borderId="0"/>
    <xf numFmtId="9" fontId="11" fillId="0" borderId="0" applyFont="0" applyFill="0" applyBorder="0" applyAlignment="0" applyProtection="0"/>
  </cellStyleXfs>
  <cellXfs count="115">
    <xf numFmtId="0" fontId="0" fillId="0" borderId="0" xfId="0"/>
    <xf numFmtId="167" fontId="10" fillId="2" borderId="0" xfId="10" applyFont="1" applyFill="1" applyAlignment="1">
      <alignment horizontal="right" vertical="center"/>
    </xf>
    <xf numFmtId="167" fontId="5" fillId="2" borderId="0" xfId="11" applyFont="1" applyFill="1" applyAlignment="1">
      <alignment vertical="center"/>
    </xf>
    <xf numFmtId="0" fontId="11" fillId="2" borderId="0" xfId="6" applyFont="1" applyFill="1"/>
    <xf numFmtId="0" fontId="17" fillId="2" borderId="1" xfId="6" applyFont="1" applyFill="1" applyBorder="1" applyAlignment="1">
      <alignment horizontal="left"/>
    </xf>
    <xf numFmtId="0" fontId="7" fillId="2" borderId="1" xfId="6" applyFont="1" applyFill="1" applyBorder="1" applyAlignment="1">
      <alignment horizontal="right"/>
    </xf>
    <xf numFmtId="167" fontId="19" fillId="2" borderId="0" xfId="8" applyFont="1" applyFill="1" applyAlignment="1">
      <alignment vertical="center" wrapText="1"/>
    </xf>
    <xf numFmtId="166" fontId="19" fillId="2" borderId="0" xfId="7" applyNumberFormat="1" applyFont="1" applyFill="1" applyBorder="1" applyAlignment="1">
      <alignment horizontal="right" vertical="center"/>
    </xf>
    <xf numFmtId="166" fontId="19" fillId="2" borderId="0" xfId="6" applyNumberFormat="1" applyFont="1" applyFill="1" applyBorder="1" applyAlignment="1">
      <alignment horizontal="right" vertical="center"/>
    </xf>
    <xf numFmtId="166" fontId="19" fillId="2" borderId="0" xfId="6" applyNumberFormat="1" applyFont="1" applyFill="1" applyAlignment="1">
      <alignment horizontal="right" vertical="center"/>
    </xf>
    <xf numFmtId="166" fontId="19" fillId="2" borderId="0" xfId="8" applyNumberFormat="1" applyFont="1" applyFill="1" applyBorder="1" applyAlignment="1">
      <alignment horizontal="right" vertical="center"/>
    </xf>
    <xf numFmtId="0" fontId="11" fillId="2" borderId="0" xfId="6" applyFont="1" applyFill="1" applyAlignment="1">
      <alignment vertical="center"/>
    </xf>
    <xf numFmtId="167" fontId="19" fillId="2" borderId="0" xfId="8" applyFont="1" applyFill="1" applyAlignment="1">
      <alignment vertical="center"/>
    </xf>
    <xf numFmtId="0" fontId="19" fillId="2" borderId="0" xfId="7" applyFont="1" applyFill="1" applyAlignment="1">
      <alignment vertical="center"/>
    </xf>
    <xf numFmtId="167" fontId="19" fillId="2" borderId="0" xfId="8" applyFont="1" applyFill="1" applyBorder="1" applyAlignment="1">
      <alignment vertical="center" wrapText="1"/>
    </xf>
    <xf numFmtId="167" fontId="10" fillId="2" borderId="0" xfId="11" applyFont="1" applyFill="1" applyAlignment="1">
      <alignment horizontal="right" vertical="center"/>
    </xf>
    <xf numFmtId="167" fontId="20" fillId="2" borderId="0" xfId="8" applyFont="1" applyFill="1" applyBorder="1" applyAlignment="1">
      <alignment vertical="center"/>
    </xf>
    <xf numFmtId="166" fontId="20" fillId="2" borderId="0" xfId="7" applyNumberFormat="1" applyFont="1" applyFill="1" applyBorder="1" applyAlignment="1">
      <alignment horizontal="right" vertical="center"/>
    </xf>
    <xf numFmtId="166" fontId="20" fillId="2" borderId="0" xfId="6" applyNumberFormat="1" applyFont="1" applyFill="1" applyBorder="1" applyAlignment="1">
      <alignment horizontal="right" vertical="center"/>
    </xf>
    <xf numFmtId="166" fontId="20" fillId="2" borderId="0" xfId="8" applyNumberFormat="1" applyFont="1" applyFill="1" applyBorder="1" applyAlignment="1">
      <alignment horizontal="right" vertical="center"/>
    </xf>
    <xf numFmtId="167" fontId="8" fillId="2" borderId="0" xfId="10" applyFont="1" applyFill="1" applyBorder="1" applyAlignment="1">
      <alignment horizontal="right" vertical="center"/>
    </xf>
    <xf numFmtId="0" fontId="6" fillId="2" borderId="0" xfId="6" applyFont="1" applyFill="1" applyAlignment="1">
      <alignment vertical="center"/>
    </xf>
    <xf numFmtId="167" fontId="20" fillId="2" borderId="2" xfId="8" applyFont="1" applyFill="1" applyBorder="1" applyAlignment="1">
      <alignment vertical="center"/>
    </xf>
    <xf numFmtId="166" fontId="20" fillId="2" borderId="2" xfId="8" applyNumberFormat="1" applyFont="1" applyFill="1" applyBorder="1" applyAlignment="1">
      <alignment horizontal="right" vertical="center"/>
    </xf>
    <xf numFmtId="167" fontId="8" fillId="2" borderId="2" xfId="11" applyFont="1" applyFill="1" applyBorder="1" applyAlignment="1">
      <alignment horizontal="right" vertical="center"/>
    </xf>
    <xf numFmtId="0" fontId="11" fillId="2" borderId="0" xfId="6" applyFont="1" applyFill="1" applyBorder="1" applyAlignment="1">
      <alignment vertical="center"/>
    </xf>
    <xf numFmtId="0" fontId="16" fillId="2" borderId="2" xfId="6" applyFont="1" applyFill="1" applyBorder="1" applyAlignment="1">
      <alignment horizontal="right" vertical="center"/>
    </xf>
    <xf numFmtId="0" fontId="14" fillId="2" borderId="2" xfId="6" applyFont="1" applyFill="1" applyBorder="1" applyAlignment="1">
      <alignment horizontal="right" vertical="center"/>
    </xf>
    <xf numFmtId="0" fontId="9" fillId="2" borderId="0" xfId="6" applyFont="1" applyFill="1" applyAlignment="1">
      <alignment vertical="center"/>
    </xf>
    <xf numFmtId="0" fontId="7" fillId="2" borderId="0" xfId="6" applyFont="1" applyFill="1" applyAlignment="1">
      <alignment vertical="center"/>
    </xf>
    <xf numFmtId="0" fontId="16" fillId="2" borderId="0" xfId="6" applyFont="1" applyFill="1" applyBorder="1" applyAlignment="1">
      <alignment horizontal="left" vertical="center"/>
    </xf>
    <xf numFmtId="0" fontId="7" fillId="2" borderId="0" xfId="6" applyFont="1" applyFill="1" applyBorder="1" applyAlignment="1">
      <alignment vertical="center"/>
    </xf>
    <xf numFmtId="167" fontId="10" fillId="2" borderId="0" xfId="10" applyFont="1" applyFill="1" applyAlignment="1">
      <alignment horizontal="center" vertical="center"/>
    </xf>
    <xf numFmtId="166" fontId="20" fillId="2" borderId="2" xfId="6" applyNumberFormat="1" applyFont="1" applyFill="1" applyBorder="1" applyAlignment="1">
      <alignment horizontal="right" vertical="center"/>
    </xf>
    <xf numFmtId="167" fontId="8" fillId="2" borderId="0" xfId="11" applyFont="1" applyFill="1" applyBorder="1" applyAlignment="1">
      <alignment horizontal="right" vertical="center"/>
    </xf>
    <xf numFmtId="166" fontId="11" fillId="2" borderId="0" xfId="6" applyNumberFormat="1" applyFont="1" applyFill="1" applyAlignment="1">
      <alignment vertical="center"/>
    </xf>
    <xf numFmtId="0" fontId="20" fillId="2" borderId="0" xfId="6" applyFont="1" applyFill="1" applyBorder="1" applyAlignment="1">
      <alignment horizontal="left" vertical="center"/>
    </xf>
    <xf numFmtId="0" fontId="12" fillId="2" borderId="0" xfId="6" applyFont="1" applyFill="1" applyBorder="1" applyAlignment="1">
      <alignment horizontal="right" vertical="center"/>
    </xf>
    <xf numFmtId="167" fontId="6" fillId="2" borderId="0" xfId="11" applyFont="1" applyFill="1" applyAlignment="1" applyProtection="1">
      <alignment vertical="center"/>
    </xf>
    <xf numFmtId="0" fontId="21" fillId="2" borderId="5" xfId="6" applyFont="1" applyFill="1" applyBorder="1" applyAlignment="1">
      <alignment horizontal="right" vertical="center"/>
    </xf>
    <xf numFmtId="0" fontId="21" fillId="2" borderId="2" xfId="6" applyFont="1" applyFill="1" applyBorder="1" applyAlignment="1">
      <alignment horizontal="right" vertical="center"/>
    </xf>
    <xf numFmtId="166" fontId="19" fillId="2" borderId="0" xfId="7" applyNumberFormat="1" applyFont="1" applyFill="1" applyAlignment="1">
      <alignment horizontal="center" vertical="center"/>
    </xf>
    <xf numFmtId="166" fontId="19" fillId="2" borderId="3" xfId="8" applyNumberFormat="1" applyFont="1" applyFill="1" applyBorder="1" applyAlignment="1">
      <alignment horizontal="right" vertical="center"/>
    </xf>
    <xf numFmtId="0" fontId="1" fillId="2" borderId="0" xfId="6" applyFont="1" applyFill="1" applyAlignment="1">
      <alignment vertical="center"/>
    </xf>
    <xf numFmtId="166" fontId="19" fillId="2" borderId="4" xfId="8" applyNumberFormat="1" applyFont="1" applyFill="1" applyBorder="1" applyAlignment="1">
      <alignment horizontal="right" vertical="center"/>
    </xf>
    <xf numFmtId="170" fontId="11" fillId="2" borderId="0" xfId="6" applyNumberFormat="1" applyFont="1" applyFill="1" applyAlignment="1">
      <alignment vertical="center"/>
    </xf>
    <xf numFmtId="167" fontId="10" fillId="2" borderId="0" xfId="10" applyFont="1" applyFill="1" applyAlignment="1">
      <alignment horizontal="right" vertical="center" wrapText="1"/>
    </xf>
    <xf numFmtId="166" fontId="20" fillId="2" borderId="0" xfId="8" applyNumberFormat="1" applyFont="1" applyFill="1" applyBorder="1" applyAlignment="1">
      <alignment horizontal="center" vertical="center"/>
    </xf>
    <xf numFmtId="166" fontId="20" fillId="2" borderId="4" xfId="8" applyNumberFormat="1" applyFont="1" applyFill="1" applyBorder="1" applyAlignment="1">
      <alignment horizontal="right" vertical="center"/>
    </xf>
    <xf numFmtId="166" fontId="6" fillId="2" borderId="0" xfId="6" applyNumberFormat="1" applyFont="1" applyFill="1" applyAlignment="1">
      <alignment vertical="center"/>
    </xf>
    <xf numFmtId="166" fontId="20" fillId="2" borderId="2" xfId="8" applyNumberFormat="1" applyFont="1" applyFill="1" applyBorder="1" applyAlignment="1">
      <alignment horizontal="center" vertical="center"/>
    </xf>
    <xf numFmtId="166" fontId="20" fillId="2" borderId="5" xfId="8" applyNumberFormat="1" applyFont="1" applyFill="1" applyBorder="1" applyAlignment="1">
      <alignment horizontal="right" vertical="center"/>
    </xf>
    <xf numFmtId="3" fontId="19" fillId="2" borderId="0" xfId="9" applyNumberFormat="1" applyFont="1" applyFill="1" applyAlignment="1" applyProtection="1">
      <alignment horizontal="left" vertical="center"/>
    </xf>
    <xf numFmtId="3" fontId="9" fillId="2" borderId="0" xfId="9" applyNumberFormat="1" applyFont="1" applyFill="1" applyAlignment="1" applyProtection="1">
      <alignment horizontal="center" vertical="center"/>
    </xf>
    <xf numFmtId="3" fontId="10" fillId="2" borderId="0" xfId="9" applyNumberFormat="1" applyFont="1" applyFill="1" applyAlignment="1" applyProtection="1">
      <alignment horizontal="right" vertical="center"/>
    </xf>
    <xf numFmtId="3" fontId="9" fillId="2" borderId="0" xfId="9" applyNumberFormat="1" applyFont="1" applyFill="1" applyBorder="1" applyAlignment="1" applyProtection="1">
      <alignment horizontal="center" vertical="center"/>
    </xf>
    <xf numFmtId="3" fontId="7" fillId="2" borderId="0" xfId="9" applyNumberFormat="1" applyFont="1" applyFill="1"/>
    <xf numFmtId="3" fontId="15" fillId="2" borderId="0" xfId="4" applyNumberFormat="1" applyFont="1" applyFill="1" applyAlignment="1" applyProtection="1"/>
    <xf numFmtId="0" fontId="7" fillId="2" borderId="1" xfId="6" applyFont="1" applyFill="1" applyBorder="1"/>
    <xf numFmtId="0" fontId="9" fillId="2" borderId="0" xfId="6" applyFont="1" applyFill="1" applyBorder="1"/>
    <xf numFmtId="0" fontId="20" fillId="2" borderId="2" xfId="6" applyFont="1" applyFill="1" applyBorder="1" applyAlignment="1">
      <alignment horizontal="left" vertical="top"/>
    </xf>
    <xf numFmtId="0" fontId="20" fillId="2" borderId="2" xfId="6" applyFont="1" applyFill="1" applyBorder="1" applyAlignment="1">
      <alignment horizontal="center" vertical="top"/>
    </xf>
    <xf numFmtId="0" fontId="20" fillId="2" borderId="2" xfId="6" applyFont="1" applyFill="1" applyBorder="1" applyAlignment="1">
      <alignment horizontal="right" vertical="top"/>
    </xf>
    <xf numFmtId="0" fontId="20" fillId="2" borderId="5" xfId="6" applyFont="1" applyFill="1" applyBorder="1" applyAlignment="1">
      <alignment horizontal="right" vertical="center"/>
    </xf>
    <xf numFmtId="0" fontId="20" fillId="2" borderId="2" xfId="6" applyFont="1" applyFill="1" applyBorder="1" applyAlignment="1">
      <alignment horizontal="right" vertical="center"/>
    </xf>
    <xf numFmtId="2" fontId="7" fillId="2" borderId="0" xfId="6" applyNumberFormat="1" applyFont="1" applyFill="1" applyAlignment="1">
      <alignment vertical="center"/>
    </xf>
    <xf numFmtId="2" fontId="7" fillId="2" borderId="1" xfId="6" applyNumberFormat="1" applyFont="1" applyFill="1" applyBorder="1" applyAlignment="1">
      <alignment vertical="center"/>
    </xf>
    <xf numFmtId="168" fontId="9" fillId="2" borderId="0" xfId="8" applyNumberFormat="1" applyFont="1" applyFill="1" applyAlignment="1">
      <alignment vertical="center"/>
    </xf>
    <xf numFmtId="168" fontId="7" fillId="2" borderId="0" xfId="6" applyNumberFormat="1" applyFont="1" applyFill="1" applyBorder="1" applyAlignment="1">
      <alignment vertical="center"/>
    </xf>
    <xf numFmtId="2" fontId="7" fillId="2" borderId="0" xfId="6" applyNumberFormat="1" applyFont="1" applyFill="1" applyBorder="1" applyAlignment="1">
      <alignment vertical="center"/>
    </xf>
    <xf numFmtId="0" fontId="7" fillId="2" borderId="0" xfId="6" applyFont="1" applyFill="1"/>
    <xf numFmtId="166" fontId="19" fillId="2" borderId="0" xfId="7" applyNumberFormat="1" applyFont="1" applyFill="1" applyBorder="1" applyAlignment="1">
      <alignment horizontal="center" vertical="center"/>
    </xf>
    <xf numFmtId="168" fontId="7" fillId="2" borderId="0" xfId="6" applyNumberFormat="1" applyFont="1" applyFill="1" applyAlignment="1">
      <alignment vertical="center"/>
    </xf>
    <xf numFmtId="166" fontId="20" fillId="2" borderId="0" xfId="7" applyNumberFormat="1" applyFont="1" applyFill="1" applyBorder="1" applyAlignment="1">
      <alignment horizontal="center" vertical="center"/>
    </xf>
    <xf numFmtId="2" fontId="9" fillId="2" borderId="0" xfId="6" applyNumberFormat="1" applyFont="1" applyFill="1" applyAlignment="1">
      <alignment vertical="center"/>
    </xf>
    <xf numFmtId="2" fontId="9" fillId="2" borderId="0" xfId="6" applyNumberFormat="1" applyFont="1" applyFill="1" applyBorder="1" applyAlignment="1">
      <alignment vertical="center"/>
    </xf>
    <xf numFmtId="168" fontId="9" fillId="2" borderId="0" xfId="6" applyNumberFormat="1" applyFont="1" applyFill="1" applyAlignment="1">
      <alignment vertical="center"/>
    </xf>
    <xf numFmtId="168" fontId="9" fillId="2" borderId="0" xfId="8" applyNumberFormat="1" applyFont="1" applyFill="1" applyBorder="1" applyAlignment="1">
      <alignment vertical="center"/>
    </xf>
    <xf numFmtId="0" fontId="9" fillId="2" borderId="0" xfId="6" applyFont="1" applyFill="1" applyBorder="1" applyAlignment="1">
      <alignment vertical="center"/>
    </xf>
    <xf numFmtId="168" fontId="9" fillId="2" borderId="0" xfId="6" applyNumberFormat="1" applyFont="1" applyFill="1" applyBorder="1" applyAlignment="1">
      <alignment vertical="center"/>
    </xf>
    <xf numFmtId="167" fontId="24" fillId="2" borderId="0" xfId="8" applyFont="1" applyFill="1" applyBorder="1" applyAlignment="1">
      <alignment horizontal="left" vertical="center" indent="1"/>
    </xf>
    <xf numFmtId="0" fontId="11" fillId="2" borderId="0" xfId="6" applyFont="1" applyFill="1" applyAlignment="1">
      <alignment horizontal="center"/>
    </xf>
    <xf numFmtId="167" fontId="23" fillId="2" borderId="0" xfId="11" applyFont="1" applyFill="1" applyBorder="1" applyAlignment="1" applyProtection="1">
      <alignment horizontal="left" vertical="center"/>
    </xf>
    <xf numFmtId="0" fontId="19" fillId="2" borderId="0" xfId="6" applyFont="1" applyFill="1"/>
    <xf numFmtId="166" fontId="11" fillId="2" borderId="0" xfId="6" applyNumberFormat="1" applyFont="1" applyFill="1"/>
    <xf numFmtId="0" fontId="22" fillId="2" borderId="0" xfId="6" applyFont="1" applyFill="1"/>
    <xf numFmtId="167" fontId="25" fillId="2" borderId="0" xfId="11" applyFont="1" applyFill="1" applyAlignment="1">
      <alignment horizontal="right" vertical="center"/>
    </xf>
    <xf numFmtId="0" fontId="8" fillId="2" borderId="1" xfId="6" applyFont="1" applyFill="1" applyBorder="1" applyAlignment="1">
      <alignment horizontal="center" wrapText="1"/>
    </xf>
    <xf numFmtId="0" fontId="8" fillId="2" borderId="0" xfId="6" applyFont="1" applyFill="1" applyBorder="1" applyAlignment="1">
      <alignment horizontal="center" wrapText="1"/>
    </xf>
    <xf numFmtId="0" fontId="16" fillId="2" borderId="0" xfId="6" applyFont="1" applyFill="1" applyBorder="1" applyAlignment="1">
      <alignment horizontal="center" vertical="center" wrapText="1"/>
    </xf>
    <xf numFmtId="0" fontId="16" fillId="2" borderId="0" xfId="6" applyFont="1" applyFill="1" applyBorder="1" applyAlignment="1">
      <alignment horizontal="center" vertical="top" wrapText="1"/>
    </xf>
    <xf numFmtId="0" fontId="12" fillId="2" borderId="1" xfId="6" applyFont="1" applyFill="1" applyBorder="1" applyAlignment="1">
      <alignment horizontal="center"/>
    </xf>
    <xf numFmtId="0" fontId="12" fillId="2" borderId="1" xfId="6" applyFont="1" applyFill="1" applyBorder="1" applyAlignment="1">
      <alignment horizontal="center" vertical="center"/>
    </xf>
    <xf numFmtId="2" fontId="11" fillId="2" borderId="0" xfId="6" applyNumberFormat="1" applyFont="1" applyFill="1"/>
    <xf numFmtId="167" fontId="18" fillId="2" borderId="0" xfId="11" applyFont="1" applyFill="1" applyBorder="1" applyAlignment="1" applyProtection="1">
      <alignment horizontal="left" vertical="center"/>
    </xf>
    <xf numFmtId="166" fontId="20" fillId="2" borderId="6" xfId="6" applyNumberFormat="1" applyFont="1" applyFill="1" applyBorder="1" applyAlignment="1">
      <alignment horizontal="right" vertical="center"/>
    </xf>
    <xf numFmtId="0" fontId="6" fillId="2" borderId="0" xfId="6" applyFont="1" applyFill="1"/>
    <xf numFmtId="166" fontId="6" fillId="2" borderId="0" xfId="6" applyNumberFormat="1" applyFont="1" applyFill="1"/>
    <xf numFmtId="0" fontId="6" fillId="2" borderId="0" xfId="6" applyFont="1" applyFill="1" applyBorder="1"/>
    <xf numFmtId="167" fontId="5" fillId="2" borderId="0" xfId="11" applyFont="1" applyFill="1" applyAlignment="1">
      <alignment horizontal="center" vertical="center"/>
    </xf>
    <xf numFmtId="167" fontId="8" fillId="2" borderId="0" xfId="11" applyFont="1" applyFill="1" applyAlignment="1">
      <alignment horizontal="center" vertical="center" wrapText="1"/>
    </xf>
    <xf numFmtId="167" fontId="16" fillId="2" borderId="2" xfId="11" applyFont="1" applyFill="1" applyBorder="1" applyAlignment="1" applyProtection="1">
      <alignment horizontal="center" vertical="center"/>
    </xf>
    <xf numFmtId="167" fontId="26" fillId="2" borderId="0" xfId="11" applyFont="1" applyFill="1" applyAlignment="1" applyProtection="1">
      <alignment horizontal="center" vertical="center"/>
    </xf>
    <xf numFmtId="0" fontId="12" fillId="2" borderId="3" xfId="6" applyFont="1" applyFill="1" applyBorder="1" applyAlignment="1">
      <alignment horizontal="center" vertical="center"/>
    </xf>
    <xf numFmtId="0" fontId="12" fillId="2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2" borderId="0" xfId="6" applyFont="1" applyFill="1" applyBorder="1" applyAlignment="1">
      <alignment horizontal="center" vertical="center" wrapText="1"/>
    </xf>
    <xf numFmtId="0" fontId="8" fillId="2" borderId="0" xfId="6" applyFont="1" applyFill="1" applyBorder="1" applyAlignment="1">
      <alignment horizontal="center" wrapText="1"/>
    </xf>
    <xf numFmtId="0" fontId="16" fillId="2" borderId="4" xfId="6" applyFont="1" applyFill="1" applyBorder="1" applyAlignment="1">
      <alignment horizontal="center" vertical="center" wrapText="1"/>
    </xf>
    <xf numFmtId="0" fontId="16" fillId="2" borderId="0" xfId="6" applyFont="1" applyFill="1" applyBorder="1" applyAlignment="1">
      <alignment horizontal="center" vertical="center" wrapText="1"/>
    </xf>
    <xf numFmtId="0" fontId="16" fillId="2" borderId="0" xfId="6" applyFont="1" applyFill="1" applyBorder="1" applyAlignment="1">
      <alignment horizontal="center" vertical="top" wrapText="1"/>
    </xf>
    <xf numFmtId="0" fontId="12" fillId="2" borderId="3" xfId="6" applyFont="1" applyFill="1" applyBorder="1" applyAlignment="1">
      <alignment horizontal="center"/>
    </xf>
    <xf numFmtId="0" fontId="12" fillId="2" borderId="1" xfId="6" applyFont="1" applyFill="1" applyBorder="1" applyAlignment="1">
      <alignment horizontal="center"/>
    </xf>
    <xf numFmtId="0" fontId="16" fillId="2" borderId="4" xfId="6" applyFont="1" applyFill="1" applyBorder="1" applyAlignment="1">
      <alignment horizontal="center" vertical="top" wrapText="1"/>
    </xf>
  </cellXfs>
  <cellStyles count="13">
    <cellStyle name="1" xfId="1"/>
    <cellStyle name="Comma 2" xfId="2"/>
    <cellStyle name="Comma 3" xfId="3"/>
    <cellStyle name="Hyperlink" xfId="4" builtinId="8"/>
    <cellStyle name="Normal" xfId="0" builtinId="0"/>
    <cellStyle name="Normal - Style1" xfId="5"/>
    <cellStyle name="Normal_17 Prices_done" xfId="6"/>
    <cellStyle name="Normal_CPI new tables" xfId="7"/>
    <cellStyle name="Normal_Dec97" xfId="8"/>
    <cellStyle name="Normal_II-15(Population)" xfId="9"/>
    <cellStyle name="Normal_XII-11(Commerce)" xfId="10"/>
    <cellStyle name="Normal_XII-12 (Commerce)" xfId="11"/>
    <cellStyle name="Percent 2" xfId="12"/>
  </cellStyles>
  <dxfs count="0"/>
  <tableStyles count="0" defaultTableStyle="TableStyleMedium9" defaultPivotStyle="PivotStyleLight16"/>
  <colors>
    <mruColors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697487862083047E-2"/>
          <c:y val="0.16191904298815241"/>
          <c:w val="0.89786554764173832"/>
          <c:h val="0.692100260375819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'17.5'!$BN$9</c:f>
              <c:strCache>
                <c:ptCount val="1"/>
                <c:pt idx="0">
                  <c:v>2011</c:v>
                </c:pt>
              </c:strCache>
            </c:strRef>
          </c:tx>
          <c:invertIfNegative val="0"/>
          <c:cat>
            <c:strRef>
              <c:f>'17.5'!$BK$10:$BK$11</c:f>
              <c:strCache>
                <c:ptCount val="2"/>
                <c:pt idx="0">
                  <c:v>Republic</c:v>
                </c:pt>
                <c:pt idx="1">
                  <c:v>Male'</c:v>
                </c:pt>
              </c:strCache>
            </c:strRef>
          </c:cat>
          <c:val>
            <c:numRef>
              <c:f>'17.5'!$BN$10:$BN$11</c:f>
              <c:numCache>
                <c:formatCode>_(* #,##0.0_);_(* \(#,##0.0\);_(* "-"??_);_(@_)</c:formatCode>
                <c:ptCount val="2"/>
                <c:pt idx="0">
                  <c:v>89.651368722070842</c:v>
                </c:pt>
                <c:pt idx="1">
                  <c:v>89.651368722070842</c:v>
                </c:pt>
              </c:numCache>
            </c:numRef>
          </c:val>
        </c:ser>
        <c:ser>
          <c:idx val="1"/>
          <c:order val="1"/>
          <c:tx>
            <c:strRef>
              <c:f>'17.5'!$BO$9</c:f>
              <c:strCache>
                <c:ptCount val="1"/>
                <c:pt idx="0">
                  <c:v>2012</c:v>
                </c:pt>
              </c:strCache>
            </c:strRef>
          </c:tx>
          <c:invertIfNegative val="0"/>
          <c:cat>
            <c:strRef>
              <c:f>'17.5'!$BK$10:$BK$11</c:f>
              <c:strCache>
                <c:ptCount val="2"/>
                <c:pt idx="0">
                  <c:v>Republic</c:v>
                </c:pt>
                <c:pt idx="1">
                  <c:v>Male'</c:v>
                </c:pt>
              </c:strCache>
            </c:strRef>
          </c:cat>
          <c:val>
            <c:numRef>
              <c:f>'17.5'!$BO$10:$BO$11</c:f>
              <c:numCache>
                <c:formatCode>_(* #,##0.0_);_(* \(#,##0.0\);_(* "-"??_);_(@_)</c:formatCode>
                <c:ptCount val="2"/>
                <c:pt idx="0">
                  <c:v>99.409647361204449</c:v>
                </c:pt>
                <c:pt idx="1">
                  <c:v>99.415139330518244</c:v>
                </c:pt>
              </c:numCache>
            </c:numRef>
          </c:val>
        </c:ser>
        <c:ser>
          <c:idx val="2"/>
          <c:order val="2"/>
          <c:tx>
            <c:strRef>
              <c:f>'17.5'!$BP$9</c:f>
              <c:strCache>
                <c:ptCount val="1"/>
                <c:pt idx="0">
                  <c:v>2013</c:v>
                </c:pt>
              </c:strCache>
            </c:strRef>
          </c:tx>
          <c:invertIfNegative val="0"/>
          <c:cat>
            <c:strRef>
              <c:f>'17.5'!$BK$10:$BK$11</c:f>
              <c:strCache>
                <c:ptCount val="2"/>
                <c:pt idx="0">
                  <c:v>Republic</c:v>
                </c:pt>
                <c:pt idx="1">
                  <c:v>Male'</c:v>
                </c:pt>
              </c:strCache>
            </c:strRef>
          </c:cat>
          <c:val>
            <c:numRef>
              <c:f>'17.5'!$BP$10:$BP$11</c:f>
              <c:numCache>
                <c:formatCode>_(* #,##0.0_);_(* \(#,##0.0\);_(* "-"??_);_(@_)</c:formatCode>
                <c:ptCount val="2"/>
                <c:pt idx="0">
                  <c:v>103.19281073321666</c:v>
                </c:pt>
                <c:pt idx="1">
                  <c:v>103.38895723436703</c:v>
                </c:pt>
              </c:numCache>
            </c:numRef>
          </c:val>
        </c:ser>
        <c:ser>
          <c:idx val="3"/>
          <c:order val="3"/>
          <c:tx>
            <c:strRef>
              <c:f>'17.5'!$BQ$9</c:f>
              <c:strCache>
                <c:ptCount val="1"/>
                <c:pt idx="0">
                  <c:v>2014</c:v>
                </c:pt>
              </c:strCache>
            </c:strRef>
          </c:tx>
          <c:invertIfNegative val="0"/>
          <c:cat>
            <c:strRef>
              <c:f>'17.5'!$BK$10:$BK$11</c:f>
              <c:strCache>
                <c:ptCount val="2"/>
                <c:pt idx="0">
                  <c:v>Republic</c:v>
                </c:pt>
                <c:pt idx="1">
                  <c:v>Male'</c:v>
                </c:pt>
              </c:strCache>
            </c:strRef>
          </c:cat>
          <c:val>
            <c:numRef>
              <c:f>'17.5'!$BQ$10:$BQ$11</c:f>
              <c:numCache>
                <c:formatCode>_(* #,##0.0_);_(* \(#,##0.0\);_(* "-"??_);_(@_)</c:formatCode>
                <c:ptCount val="2"/>
                <c:pt idx="0">
                  <c:v>105.38050013404563</c:v>
                </c:pt>
                <c:pt idx="1">
                  <c:v>105.92043432963987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1077248"/>
        <c:axId val="111078784"/>
      </c:barChart>
      <c:catAx>
        <c:axId val="11107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11078784"/>
        <c:crosses val="autoZero"/>
        <c:auto val="1"/>
        <c:lblAlgn val="ctr"/>
        <c:lblOffset val="100"/>
        <c:noMultiLvlLbl val="0"/>
      </c:catAx>
      <c:valAx>
        <c:axId val="111078784"/>
        <c:scaling>
          <c:orientation val="minMax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1107724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22284494634651603"/>
          <c:y val="0.16427518427518428"/>
          <c:w val="0.55430991341258651"/>
          <c:h val="8.8859525237478157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>
        <c:manualLayout>
          <c:layoutTarget val="inner"/>
          <c:xMode val="edge"/>
          <c:yMode val="edge"/>
          <c:x val="7.0256281093353731E-2"/>
          <c:y val="0.18225362817125693"/>
          <c:w val="0.90067274875771441"/>
          <c:h val="0.65526220549382963"/>
        </c:manualLayout>
      </c:layout>
      <c:lineChart>
        <c:grouping val="standard"/>
        <c:varyColors val="0"/>
        <c:ser>
          <c:idx val="0"/>
          <c:order val="0"/>
          <c:tx>
            <c:strRef>
              <c:f>'17.5'!$BL$16</c:f>
              <c:strCache>
                <c:ptCount val="1"/>
                <c:pt idx="0">
                  <c:v>Including fish</c:v>
                </c:pt>
              </c:strCache>
            </c:strRef>
          </c:tx>
          <c:spPr>
            <a:ln>
              <a:solidFill>
                <a:srgbClr val="7030A0"/>
              </a:solidFill>
            </a:ln>
          </c:spPr>
          <c:marker>
            <c:symbol val="diamond"/>
            <c:size val="5"/>
            <c:spPr>
              <a:solidFill>
                <a:srgbClr val="FF61FF"/>
              </a:solidFill>
              <a:ln>
                <a:solidFill>
                  <a:srgbClr val="7030A0"/>
                </a:solidFill>
              </a:ln>
            </c:spPr>
          </c:marker>
          <c:cat>
            <c:numRef>
              <c:f>'17.5'!$BK$19:$BK$24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'17.5'!$BL$19:$BL$24</c:f>
              <c:numCache>
                <c:formatCode>0.0</c:formatCode>
                <c:ptCount val="6"/>
                <c:pt idx="0">
                  <c:v>75.900734670117231</c:v>
                </c:pt>
                <c:pt idx="1">
                  <c:v>80.568542845421106</c:v>
                </c:pt>
                <c:pt idx="2">
                  <c:v>89.651368722070842</c:v>
                </c:pt>
                <c:pt idx="3">
                  <c:v>99.409647361204449</c:v>
                </c:pt>
                <c:pt idx="4">
                  <c:v>103.19281073321666</c:v>
                </c:pt>
                <c:pt idx="5">
                  <c:v>105.38050013404563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'17.5'!$BM$16</c:f>
              <c:strCache>
                <c:ptCount val="1"/>
                <c:pt idx="0">
                  <c:v>Excluding fish</c:v>
                </c:pt>
              </c:strCache>
            </c:strRef>
          </c:tx>
          <c:spPr>
            <a:ln>
              <a:solidFill>
                <a:srgbClr val="CC00FF"/>
              </a:solidFill>
            </a:ln>
          </c:spPr>
          <c:marker>
            <c:symbol val="square"/>
            <c:size val="5"/>
            <c:spPr>
              <a:solidFill>
                <a:srgbClr val="FF97FF"/>
              </a:solidFill>
              <a:ln>
                <a:solidFill>
                  <a:srgbClr val="CC00FF"/>
                </a:solidFill>
              </a:ln>
            </c:spPr>
          </c:marker>
          <c:cat>
            <c:numRef>
              <c:f>'17.5'!$BK$19:$BK$24</c:f>
              <c:numCache>
                <c:formatCode>General</c:formatCode>
                <c:ptCount val="6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</c:numCache>
            </c:numRef>
          </c:cat>
          <c:val>
            <c:numRef>
              <c:f>'17.5'!$BM$19:$BM$24</c:f>
              <c:numCache>
                <c:formatCode>_(* #,##0.0_);_(* \(#,##0.0\);_(* "-"??_);_(@_)</c:formatCode>
                <c:ptCount val="6"/>
                <c:pt idx="0" formatCode="0.0">
                  <c:v>79.51493809042644</c:v>
                </c:pt>
                <c:pt idx="1">
                  <c:v>84.338371332150743</c:v>
                </c:pt>
                <c:pt idx="2">
                  <c:v>91.679051572020867</c:v>
                </c:pt>
                <c:pt idx="3">
                  <c:v>100.14126599840249</c:v>
                </c:pt>
                <c:pt idx="4" formatCode="0.0">
                  <c:v>103.07423491391059</c:v>
                </c:pt>
                <c:pt idx="5" formatCode="0.0">
                  <c:v>105.29983112357628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737408"/>
        <c:axId val="127865984"/>
      </c:lineChart>
      <c:catAx>
        <c:axId val="12673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127865984"/>
        <c:crosses val="autoZero"/>
        <c:auto val="1"/>
        <c:lblAlgn val="ctr"/>
        <c:lblOffset val="100"/>
        <c:noMultiLvlLbl val="0"/>
      </c:catAx>
      <c:valAx>
        <c:axId val="127865984"/>
        <c:scaling>
          <c:orientation val="minMax"/>
          <c:max val="110"/>
          <c:min val="6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126737408"/>
        <c:crosses val="autoZero"/>
        <c:crossBetween val="between"/>
      </c:valAx>
      <c:spPr>
        <a:solidFill>
          <a:schemeClr val="accent4">
            <a:lumMod val="20000"/>
            <a:lumOff val="80000"/>
          </a:schemeClr>
        </a:solidFill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2171042715676726"/>
          <c:y val="0.58025468566125371"/>
          <c:w val="0.49414443284706638"/>
          <c:h val="5.7346522182892136E-2"/>
        </c:manualLayout>
      </c:layout>
      <c:overlay val="0"/>
      <c:txPr>
        <a:bodyPr/>
        <a:lstStyle/>
        <a:p>
          <a:pPr>
            <a:defRPr lang="en-AU" sz="1050"/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</c:spPr>
  <c:printSettings>
    <c:headerFooter/>
    <c:pageMargins b="0.75000000000000455" l="0.70000000000000062" r="0.70000000000000062" t="0.75000000000000455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26</xdr:row>
      <xdr:rowOff>0</xdr:rowOff>
    </xdr:from>
    <xdr:to>
      <xdr:col>2</xdr:col>
      <xdr:colOff>0</xdr:colOff>
      <xdr:row>26</xdr:row>
      <xdr:rowOff>0</xdr:rowOff>
    </xdr:to>
    <xdr:sp macro="" textlink="">
      <xdr:nvSpPr>
        <xdr:cNvPr id="31745" name="Text 10"/>
        <xdr:cNvSpPr txBox="1">
          <a:spLocks noChangeArrowheads="1"/>
        </xdr:cNvSpPr>
      </xdr:nvSpPr>
      <xdr:spPr bwMode="auto">
        <a:xfrm>
          <a:off x="3752850" y="5410200"/>
          <a:ext cx="0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0" i="0" strike="noStrike">
              <a:solidFill>
                <a:srgbClr val="000000"/>
              </a:solidFill>
              <a:latin typeface="Akuru-Bodu Bold"/>
            </a:rPr>
            <a:t>(ELugAwiruk)</a:t>
          </a:r>
          <a:endParaRPr lang="en-US" sz="1000" b="0" i="0" strike="noStrike">
            <a:solidFill>
              <a:srgbClr val="000000"/>
            </a:solidFill>
            <a:latin typeface="Courier"/>
          </a:endParaRP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(Continued)</a:t>
          </a:r>
        </a:p>
      </xdr:txBody>
    </xdr:sp>
    <xdr:clientData/>
  </xdr:twoCellAnchor>
  <xdr:twoCellAnchor>
    <xdr:from>
      <xdr:col>0</xdr:col>
      <xdr:colOff>271803</xdr:colOff>
      <xdr:row>48</xdr:row>
      <xdr:rowOff>95249</xdr:rowOff>
    </xdr:from>
    <xdr:to>
      <xdr:col>6</xdr:col>
      <xdr:colOff>323850</xdr:colOff>
      <xdr:row>62</xdr:row>
      <xdr:rowOff>114299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89876</xdr:colOff>
      <xdr:row>48</xdr:row>
      <xdr:rowOff>85725</xdr:rowOff>
    </xdr:from>
    <xdr:to>
      <xdr:col>18</xdr:col>
      <xdr:colOff>101600</xdr:colOff>
      <xdr:row>62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372533</xdr:colOff>
      <xdr:row>48</xdr:row>
      <xdr:rowOff>127000</xdr:rowOff>
    </xdr:from>
    <xdr:to>
      <xdr:col>6</xdr:col>
      <xdr:colOff>160867</xdr:colOff>
      <xdr:row>49</xdr:row>
      <xdr:rowOff>143934</xdr:rowOff>
    </xdr:to>
    <xdr:sp macro="" textlink="">
      <xdr:nvSpPr>
        <xdr:cNvPr id="7" name="TextBox 6"/>
        <xdr:cNvSpPr txBox="1"/>
      </xdr:nvSpPr>
      <xdr:spPr>
        <a:xfrm>
          <a:off x="372533" y="9829800"/>
          <a:ext cx="4893734" cy="2878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        Figure 17.2</a:t>
          </a:r>
          <a:r>
            <a:rPr lang="en-US" sz="1200" b="1" i="0" baseline="0">
              <a:solidFill>
                <a:schemeClr val="dk1"/>
              </a:solidFill>
              <a:latin typeface="Consolas" pitchFamily="49" charset="0"/>
              <a:ea typeface="+mn-ea"/>
              <a:cs typeface="Consolas" pitchFamily="49" charset="0"/>
            </a:rPr>
            <a:t>: </a:t>
          </a:r>
          <a:r>
            <a:rPr lang="en-US" sz="1200" b="1">
              <a:latin typeface="Consolas" pitchFamily="49" charset="0"/>
              <a:cs typeface="Consolas" pitchFamily="49" charset="0"/>
            </a:rPr>
            <a:t>Consumer Price Index, 2011 - 2014</a:t>
          </a:r>
          <a:endParaRPr lang="en-US" sz="1100" b="1"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0</xdr:col>
      <xdr:colOff>406400</xdr:colOff>
      <xdr:row>49</xdr:row>
      <xdr:rowOff>101599</xdr:rowOff>
    </xdr:from>
    <xdr:to>
      <xdr:col>6</xdr:col>
      <xdr:colOff>237067</xdr:colOff>
      <xdr:row>49</xdr:row>
      <xdr:rowOff>101599</xdr:rowOff>
    </xdr:to>
    <xdr:sp macro="" textlink="">
      <xdr:nvSpPr>
        <xdr:cNvPr id="8" name="Line 4"/>
        <xdr:cNvSpPr>
          <a:spLocks noChangeShapeType="1"/>
        </xdr:cNvSpPr>
      </xdr:nvSpPr>
      <xdr:spPr bwMode="auto">
        <a:xfrm>
          <a:off x="406400" y="10075332"/>
          <a:ext cx="4936067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7</xdr:col>
      <xdr:colOff>194733</xdr:colOff>
      <xdr:row>49</xdr:row>
      <xdr:rowOff>93132</xdr:rowOff>
    </xdr:from>
    <xdr:to>
      <xdr:col>17</xdr:col>
      <xdr:colOff>457200</xdr:colOff>
      <xdr:row>49</xdr:row>
      <xdr:rowOff>93132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5808133" y="10066865"/>
          <a:ext cx="5342467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0.01663</cdr:x>
      <cdr:y>0.01296</cdr:y>
    </cdr:from>
    <cdr:to>
      <cdr:x>0.89056</cdr:x>
      <cdr:y>0.12313</cdr:y>
    </cdr:to>
    <cdr:sp macro="" textlink="">
      <cdr:nvSpPr>
        <cdr:cNvPr id="2" name="TextBox 6"/>
        <cdr:cNvSpPr txBox="1"/>
      </cdr:nvSpPr>
      <cdr:spPr>
        <a:xfrm xmlns:a="http://schemas.openxmlformats.org/drawingml/2006/main">
          <a:off x="93134" y="33867"/>
          <a:ext cx="4893734" cy="28786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ysClr val="windowText" lastClr="000000"/>
              </a:solidFill>
              <a:latin typeface="Consolas" pitchFamily="49" charset="0"/>
              <a:cs typeface="Consolas" pitchFamily="49" charset="0"/>
            </a:rPr>
            <a:t>         Figure 17.3: </a:t>
          </a:r>
          <a:r>
            <a:rPr lang="en-US" sz="1100" b="1">
              <a:latin typeface="Consolas" pitchFamily="49" charset="0"/>
              <a:cs typeface="Consolas" pitchFamily="49" charset="0"/>
            </a:rPr>
            <a:t>Consumer Price Index, 2011 - 2014</a:t>
          </a: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A214"/>
  <sheetViews>
    <sheetView showGridLines="0" tabSelected="1" zoomScaleNormal="100" zoomScaleSheetLayoutView="90" workbookViewId="0">
      <selection activeCell="J71" sqref="J71"/>
    </sheetView>
  </sheetViews>
  <sheetFormatPr defaultColWidth="9.140625" defaultRowHeight="12.75" x14ac:dyDescent="0.2"/>
  <cols>
    <col min="1" max="1" width="35.28515625" style="83" customWidth="1"/>
    <col min="2" max="2" width="11.140625" style="81" customWidth="1"/>
    <col min="3" max="19" width="7.42578125" style="3" customWidth="1"/>
    <col min="20" max="20" width="36.5703125" style="3" customWidth="1"/>
    <col min="21" max="61" width="9.140625" style="3" customWidth="1"/>
    <col min="62" max="72" width="9.140625" style="3"/>
    <col min="73" max="73" width="36" style="3" customWidth="1"/>
    <col min="74" max="16384" width="9.140625" style="3"/>
  </cols>
  <sheetData>
    <row r="1" spans="1:69" ht="19.5" x14ac:dyDescent="0.2">
      <c r="A1" s="99" t="s">
        <v>55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</row>
    <row r="2" spans="1:69" ht="15" x14ac:dyDescent="0.2">
      <c r="A2" s="102" t="s">
        <v>54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</row>
    <row r="3" spans="1:69" ht="15" customHeight="1" x14ac:dyDescent="0.2">
      <c r="A3" s="100" t="s">
        <v>40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</row>
    <row r="4" spans="1:69" x14ac:dyDescent="0.2">
      <c r="A4" s="101" t="s">
        <v>39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</row>
    <row r="5" spans="1:69" ht="16.5" customHeight="1" x14ac:dyDescent="0.4">
      <c r="A5" s="4"/>
      <c r="B5" s="106" t="s">
        <v>30</v>
      </c>
      <c r="C5" s="105"/>
      <c r="D5" s="105"/>
      <c r="E5" s="105"/>
      <c r="F5" s="105"/>
      <c r="G5" s="105"/>
      <c r="H5" s="105"/>
      <c r="I5" s="105"/>
      <c r="J5" s="87"/>
      <c r="K5" s="87"/>
      <c r="L5" s="103" t="s">
        <v>0</v>
      </c>
      <c r="M5" s="104"/>
      <c r="N5" s="104"/>
      <c r="O5" s="104"/>
      <c r="P5" s="104"/>
      <c r="Q5" s="104"/>
      <c r="R5" s="92"/>
      <c r="S5" s="92"/>
      <c r="T5" s="5"/>
    </row>
    <row r="6" spans="1:69" ht="27.75" customHeight="1" x14ac:dyDescent="0.4">
      <c r="A6" s="36" t="s">
        <v>48</v>
      </c>
      <c r="B6" s="107"/>
      <c r="C6" s="108"/>
      <c r="D6" s="108"/>
      <c r="E6" s="108"/>
      <c r="F6" s="108"/>
      <c r="G6" s="108"/>
      <c r="H6" s="108"/>
      <c r="I6" s="108"/>
      <c r="J6" s="88"/>
      <c r="K6" s="88"/>
      <c r="L6" s="109" t="s">
        <v>27</v>
      </c>
      <c r="M6" s="110"/>
      <c r="N6" s="110"/>
      <c r="O6" s="110"/>
      <c r="P6" s="110"/>
      <c r="Q6" s="110"/>
      <c r="R6" s="89"/>
      <c r="S6" s="89"/>
      <c r="T6" s="37" t="s">
        <v>8</v>
      </c>
    </row>
    <row r="7" spans="1:69" x14ac:dyDescent="0.2">
      <c r="A7" s="26"/>
      <c r="B7" s="26" t="s">
        <v>1</v>
      </c>
      <c r="C7" s="26">
        <v>2006</v>
      </c>
      <c r="D7" s="26">
        <v>2007</v>
      </c>
      <c r="E7" s="26">
        <v>2008</v>
      </c>
      <c r="F7" s="26">
        <v>2009</v>
      </c>
      <c r="G7" s="26">
        <v>2010</v>
      </c>
      <c r="H7" s="26">
        <v>2011</v>
      </c>
      <c r="I7" s="26">
        <v>2012</v>
      </c>
      <c r="J7" s="26">
        <v>2013</v>
      </c>
      <c r="K7" s="26">
        <v>2014</v>
      </c>
      <c r="L7" s="39">
        <v>2007</v>
      </c>
      <c r="M7" s="40">
        <v>2008</v>
      </c>
      <c r="N7" s="40">
        <v>2009</v>
      </c>
      <c r="O7" s="40">
        <v>2010</v>
      </c>
      <c r="P7" s="40">
        <v>2011</v>
      </c>
      <c r="Q7" s="40">
        <v>2012</v>
      </c>
      <c r="R7" s="40">
        <v>2013</v>
      </c>
      <c r="S7" s="40">
        <v>2014</v>
      </c>
      <c r="T7" s="27"/>
      <c r="BJ7" s="11"/>
    </row>
    <row r="8" spans="1:69" s="11" customFormat="1" ht="15" x14ac:dyDescent="0.2">
      <c r="A8" s="6" t="s">
        <v>33</v>
      </c>
      <c r="B8" s="41">
        <v>28.43529313839241</v>
      </c>
      <c r="C8" s="7">
        <v>46.54226956659236</v>
      </c>
      <c r="D8" s="7">
        <v>54.070703301292049</v>
      </c>
      <c r="E8" s="8">
        <v>64.381973226397193</v>
      </c>
      <c r="F8" s="9">
        <v>64.715472651196961</v>
      </c>
      <c r="G8" s="9">
        <v>69.554480633976965</v>
      </c>
      <c r="H8" s="9">
        <v>83.416709968576413</v>
      </c>
      <c r="I8" s="9">
        <v>98.126990664931839</v>
      </c>
      <c r="J8" s="9">
        <v>105.15731822206406</v>
      </c>
      <c r="K8" s="9">
        <v>105.91516633353841</v>
      </c>
      <c r="L8" s="42">
        <v>16.175476195736561</v>
      </c>
      <c r="M8" s="10">
        <v>19.06997559778134</v>
      </c>
      <c r="N8" s="10">
        <v>0.51800124800001068</v>
      </c>
      <c r="O8" s="10">
        <v>7.4773586354862198</v>
      </c>
      <c r="P8" s="10">
        <v>19.930030687092536</v>
      </c>
      <c r="Q8" s="10">
        <v>17.634692979256638</v>
      </c>
      <c r="R8" s="10">
        <v>7.1645196795428578</v>
      </c>
      <c r="S8" s="10">
        <v>0.72068033332113313</v>
      </c>
      <c r="T8" s="1" t="s">
        <v>35</v>
      </c>
      <c r="BK8" s="43" t="s">
        <v>49</v>
      </c>
    </row>
    <row r="9" spans="1:69" s="11" customFormat="1" ht="15" x14ac:dyDescent="0.2">
      <c r="A9" s="6" t="s">
        <v>34</v>
      </c>
      <c r="B9" s="41">
        <f>B8-B10</f>
        <v>19.788959216936362</v>
      </c>
      <c r="C9" s="7">
        <v>56.866771691184077</v>
      </c>
      <c r="D9" s="7">
        <v>62.767090501684173</v>
      </c>
      <c r="E9" s="8">
        <v>76.153290746199403</v>
      </c>
      <c r="F9" s="9">
        <v>78.381813378991197</v>
      </c>
      <c r="G9" s="9">
        <v>84.204150454829019</v>
      </c>
      <c r="H9" s="9">
        <v>94.794400673064558</v>
      </c>
      <c r="I9" s="9">
        <v>100.0268178957039</v>
      </c>
      <c r="J9" s="9">
        <v>105.46827201556327</v>
      </c>
      <c r="K9" s="9">
        <v>105.77637644985344</v>
      </c>
      <c r="L9" s="44">
        <v>10.375688007298667</v>
      </c>
      <c r="M9" s="10">
        <v>21.326781498906744</v>
      </c>
      <c r="N9" s="10">
        <v>2.9263641937929075</v>
      </c>
      <c r="O9" s="10">
        <v>7.4281734816285638</v>
      </c>
      <c r="P9" s="10">
        <v>12.576874371432133</v>
      </c>
      <c r="Q9" s="10">
        <v>5.5197534722386976</v>
      </c>
      <c r="R9" s="10">
        <v>5.4399952276129371</v>
      </c>
      <c r="S9" s="10">
        <v>0.29212997274166153</v>
      </c>
      <c r="T9" s="1" t="s">
        <v>36</v>
      </c>
      <c r="BK9" s="43"/>
      <c r="BL9" s="11">
        <v>2009</v>
      </c>
      <c r="BM9" s="11">
        <v>2010</v>
      </c>
      <c r="BN9" s="11">
        <v>2011</v>
      </c>
      <c r="BO9" s="11">
        <v>2012</v>
      </c>
      <c r="BP9" s="11">
        <v>2013</v>
      </c>
      <c r="BQ9" s="11">
        <v>2014</v>
      </c>
    </row>
    <row r="10" spans="1:69" s="11" customFormat="1" ht="15" x14ac:dyDescent="0.2">
      <c r="A10" s="12" t="s">
        <v>2</v>
      </c>
      <c r="B10" s="41">
        <v>8.646333921456046</v>
      </c>
      <c r="C10" s="7">
        <v>22.898483196595674</v>
      </c>
      <c r="D10" s="7">
        <v>34.155406788630842</v>
      </c>
      <c r="E10" s="8">
        <v>37.424884799955599</v>
      </c>
      <c r="F10" s="9">
        <v>33.418656908585071</v>
      </c>
      <c r="G10" s="9">
        <v>36.005776836416281</v>
      </c>
      <c r="H10" s="9">
        <v>57.361052741283949</v>
      </c>
      <c r="I10" s="9">
        <v>93.7760772522998</v>
      </c>
      <c r="J10" s="9">
        <v>104.44563486657425</v>
      </c>
      <c r="K10" s="9">
        <v>106.23281626157906</v>
      </c>
      <c r="L10" s="44">
        <v>49.160127749023744</v>
      </c>
      <c r="M10" s="10">
        <v>9.5723585772459643</v>
      </c>
      <c r="N10" s="10">
        <v>-10.704716695281002</v>
      </c>
      <c r="O10" s="10">
        <v>7.7415436979054508</v>
      </c>
      <c r="P10" s="10">
        <v>59.310693397590896</v>
      </c>
      <c r="Q10" s="10">
        <v>63.483884571050076</v>
      </c>
      <c r="R10" s="10">
        <v>11.377696665183112</v>
      </c>
      <c r="S10" s="10">
        <v>1.7111116202107146</v>
      </c>
      <c r="T10" s="1" t="s">
        <v>3</v>
      </c>
      <c r="BK10" s="43" t="s">
        <v>47</v>
      </c>
      <c r="BL10" s="35">
        <f>F23</f>
        <v>75.900734670117231</v>
      </c>
      <c r="BM10" s="45">
        <f>G23</f>
        <v>80.568542845421106</v>
      </c>
      <c r="BN10" s="45">
        <f>H23</f>
        <v>89.651368722070842</v>
      </c>
      <c r="BO10" s="45">
        <f>I23</f>
        <v>99.409647361204449</v>
      </c>
      <c r="BP10" s="45">
        <f>J23</f>
        <v>103.19281073321666</v>
      </c>
      <c r="BQ10" s="45">
        <f t="shared" ref="BQ10" si="0">K23</f>
        <v>105.38050013404563</v>
      </c>
    </row>
    <row r="11" spans="1:69" s="11" customFormat="1" ht="15" x14ac:dyDescent="0.2">
      <c r="A11" s="12" t="s">
        <v>29</v>
      </c>
      <c r="B11" s="41">
        <v>2.254164063270403</v>
      </c>
      <c r="C11" s="7">
        <v>49.327553362016907</v>
      </c>
      <c r="D11" s="7">
        <v>49.926435555846972</v>
      </c>
      <c r="E11" s="8">
        <v>51.632567552779186</v>
      </c>
      <c r="F11" s="9">
        <v>50.700704461040182</v>
      </c>
      <c r="G11" s="9">
        <v>50.532891620339313</v>
      </c>
      <c r="H11" s="9">
        <v>64.296766109008189</v>
      </c>
      <c r="I11" s="9">
        <v>101.2436810917912</v>
      </c>
      <c r="J11" s="9">
        <v>98.00579870542515</v>
      </c>
      <c r="K11" s="9">
        <v>100.18505236961772</v>
      </c>
      <c r="L11" s="44">
        <v>1.2140926379113903</v>
      </c>
      <c r="M11" s="10">
        <v>3.4172918173254407</v>
      </c>
      <c r="N11" s="10">
        <v>-1.8047971191563317</v>
      </c>
      <c r="O11" s="10">
        <v>-0.33098719728800186</v>
      </c>
      <c r="P11" s="10">
        <v>27.237456728340014</v>
      </c>
      <c r="Q11" s="10">
        <v>57.463099963913479</v>
      </c>
      <c r="R11" s="10">
        <v>-3.1981081203778738</v>
      </c>
      <c r="S11" s="10">
        <v>2.2235966575230304</v>
      </c>
      <c r="T11" s="1" t="s">
        <v>9</v>
      </c>
      <c r="BK11" s="43" t="s">
        <v>25</v>
      </c>
      <c r="BL11" s="35">
        <f>F44</f>
        <v>75.900734670117231</v>
      </c>
      <c r="BM11" s="45">
        <f>G44</f>
        <v>80.568542845421106</v>
      </c>
      <c r="BN11" s="45">
        <f>H44</f>
        <v>89.651368722070842</v>
      </c>
      <c r="BO11" s="45">
        <f>I44</f>
        <v>99.415139330518244</v>
      </c>
      <c r="BP11" s="45">
        <f t="shared" ref="BP11:BQ11" si="1">J44</f>
        <v>103.38895723436703</v>
      </c>
      <c r="BQ11" s="45">
        <f t="shared" si="1"/>
        <v>105.92043432963987</v>
      </c>
    </row>
    <row r="12" spans="1:69" s="11" customFormat="1" ht="15" x14ac:dyDescent="0.2">
      <c r="A12" s="12" t="s">
        <v>4</v>
      </c>
      <c r="B12" s="41">
        <v>3.890313123952799</v>
      </c>
      <c r="C12" s="7">
        <v>67.493428550865232</v>
      </c>
      <c r="D12" s="7">
        <v>66.522696340505789</v>
      </c>
      <c r="E12" s="8">
        <v>68.251967675022911</v>
      </c>
      <c r="F12" s="9">
        <v>70.445891756658199</v>
      </c>
      <c r="G12" s="9">
        <v>72.534285938334179</v>
      </c>
      <c r="H12" s="9">
        <v>81.881292827210913</v>
      </c>
      <c r="I12" s="9">
        <v>98.359038463336105</v>
      </c>
      <c r="J12" s="9">
        <v>101.52586212230904</v>
      </c>
      <c r="K12" s="9">
        <v>102.46527730468375</v>
      </c>
      <c r="L12" s="44">
        <v>-1.4382618148192972</v>
      </c>
      <c r="M12" s="10">
        <v>2.5995208096581068</v>
      </c>
      <c r="N12" s="10">
        <v>3.2144481051176621</v>
      </c>
      <c r="O12" s="10">
        <v>2.964536511071425</v>
      </c>
      <c r="P12" s="10">
        <v>12.886329227564453</v>
      </c>
      <c r="Q12" s="10">
        <v>20.123944147898555</v>
      </c>
      <c r="R12" s="10">
        <v>3.2196569918212292</v>
      </c>
      <c r="S12" s="10">
        <v>0.92529643456067401</v>
      </c>
      <c r="T12" s="1" t="s">
        <v>10</v>
      </c>
      <c r="BK12" s="43" t="s">
        <v>26</v>
      </c>
      <c r="BL12" s="35" t="e">
        <f>#REF!</f>
        <v>#REF!</v>
      </c>
      <c r="BM12" s="35" t="e">
        <f>#REF!</f>
        <v>#REF!</v>
      </c>
      <c r="BN12" s="35" t="e">
        <f>#REF!</f>
        <v>#REF!</v>
      </c>
      <c r="BO12" s="35" t="e">
        <f>#REF!</f>
        <v>#REF!</v>
      </c>
    </row>
    <row r="13" spans="1:69" s="11" customFormat="1" ht="15" x14ac:dyDescent="0.2">
      <c r="A13" s="12" t="s">
        <v>41</v>
      </c>
      <c r="B13" s="41">
        <v>23.290469082093963</v>
      </c>
      <c r="C13" s="7">
        <v>70.128284933346336</v>
      </c>
      <c r="D13" s="7">
        <v>72.790167958905229</v>
      </c>
      <c r="E13" s="8">
        <v>80.824789456236729</v>
      </c>
      <c r="F13" s="9">
        <v>87.147430127106858</v>
      </c>
      <c r="G13" s="9">
        <v>93.758762276598645</v>
      </c>
      <c r="H13" s="9">
        <v>96.487654366096692</v>
      </c>
      <c r="I13" s="9">
        <v>99.951850044063292</v>
      </c>
      <c r="J13" s="9">
        <v>103.51724004351574</v>
      </c>
      <c r="K13" s="9">
        <v>106.69055604936631</v>
      </c>
      <c r="L13" s="44">
        <v>3.7957338156620946</v>
      </c>
      <c r="M13" s="10">
        <v>11.038058741487667</v>
      </c>
      <c r="N13" s="10">
        <v>7.8226503445376405</v>
      </c>
      <c r="O13" s="10">
        <v>7.5863764884965379</v>
      </c>
      <c r="P13" s="10">
        <v>2.9105461966824064</v>
      </c>
      <c r="Q13" s="10">
        <v>3.5902994022661616</v>
      </c>
      <c r="R13" s="10">
        <v>3.5671075601708901</v>
      </c>
      <c r="S13" s="10">
        <v>3.0654951817847831</v>
      </c>
      <c r="T13" s="1" t="s">
        <v>11</v>
      </c>
    </row>
    <row r="14" spans="1:69" s="11" customFormat="1" ht="15" x14ac:dyDescent="0.2">
      <c r="A14" s="12" t="s">
        <v>42</v>
      </c>
      <c r="B14" s="41">
        <v>11.680398408355288</v>
      </c>
      <c r="C14" s="7">
        <v>64.647461828276832</v>
      </c>
      <c r="D14" s="7">
        <v>67.343842950624648</v>
      </c>
      <c r="E14" s="8">
        <v>74.851279000594886</v>
      </c>
      <c r="F14" s="9">
        <v>85.550267697798958</v>
      </c>
      <c r="G14" s="9">
        <v>91.040551259171139</v>
      </c>
      <c r="H14" s="9">
        <v>95.103608962918898</v>
      </c>
      <c r="I14" s="9">
        <v>100.07057660044312</v>
      </c>
      <c r="J14" s="9">
        <v>104.08964183574052</v>
      </c>
      <c r="K14" s="9">
        <v>108.54742074440985</v>
      </c>
      <c r="L14" s="44">
        <v>4.1709002118446969</v>
      </c>
      <c r="M14" s="10">
        <v>11.147917494810278</v>
      </c>
      <c r="N14" s="10">
        <v>14.293661831909432</v>
      </c>
      <c r="O14" s="10">
        <v>6.4176111999628915</v>
      </c>
      <c r="P14" s="10">
        <v>4.4629098215598351</v>
      </c>
      <c r="Q14" s="10">
        <v>5.2226910121369263</v>
      </c>
      <c r="R14" s="10">
        <v>4.0162307161919708</v>
      </c>
      <c r="S14" s="10">
        <v>4.2826344966235608</v>
      </c>
      <c r="T14" s="32" t="s">
        <v>45</v>
      </c>
    </row>
    <row r="15" spans="1:69" s="11" customFormat="1" ht="25.5" x14ac:dyDescent="0.2">
      <c r="A15" s="6" t="s">
        <v>28</v>
      </c>
      <c r="B15" s="41">
        <v>8.7141649537725758</v>
      </c>
      <c r="C15" s="7">
        <v>62.787235480784801</v>
      </c>
      <c r="D15" s="7">
        <v>65.996050857083574</v>
      </c>
      <c r="E15" s="8">
        <v>68.380911967950468</v>
      </c>
      <c r="F15" s="9">
        <v>75.858602553560274</v>
      </c>
      <c r="G15" s="9">
        <v>80.397772506783596</v>
      </c>
      <c r="H15" s="9">
        <v>83.774232067142066</v>
      </c>
      <c r="I15" s="9">
        <v>98.65523637265558</v>
      </c>
      <c r="J15" s="9">
        <v>97.029807398560521</v>
      </c>
      <c r="K15" s="9">
        <v>96.030794344264748</v>
      </c>
      <c r="L15" s="44">
        <v>5.1106173917798703</v>
      </c>
      <c r="M15" s="10">
        <v>3.6136421496361759</v>
      </c>
      <c r="N15" s="10">
        <v>10.935347848409126</v>
      </c>
      <c r="O15" s="10">
        <v>5.9837247199728161</v>
      </c>
      <c r="P15" s="10">
        <v>4.1996929206882916</v>
      </c>
      <c r="Q15" s="10">
        <v>17.763223772182023</v>
      </c>
      <c r="R15" s="10">
        <v>-1.6475850992391683</v>
      </c>
      <c r="S15" s="10">
        <v>-1.0295939784691344</v>
      </c>
      <c r="T15" s="1" t="s">
        <v>31</v>
      </c>
      <c r="BK15" s="43" t="s">
        <v>50</v>
      </c>
    </row>
    <row r="16" spans="1:69" s="11" customFormat="1" ht="18.75" customHeight="1" x14ac:dyDescent="0.2">
      <c r="A16" s="13" t="s">
        <v>12</v>
      </c>
      <c r="B16" s="41">
        <v>5.4197286759786749</v>
      </c>
      <c r="C16" s="7">
        <v>87.683380878679159</v>
      </c>
      <c r="D16" s="7">
        <v>95.725018168451655</v>
      </c>
      <c r="E16" s="8">
        <v>115.02993652927483</v>
      </c>
      <c r="F16" s="9">
        <v>117.62003560285746</v>
      </c>
      <c r="G16" s="9">
        <v>123.09882000085349</v>
      </c>
      <c r="H16" s="9">
        <v>136.10400273752558</v>
      </c>
      <c r="I16" s="9">
        <v>103.11447443846129</v>
      </c>
      <c r="J16" s="9">
        <v>110.75985912203326</v>
      </c>
      <c r="K16" s="9">
        <v>120.99690521142638</v>
      </c>
      <c r="L16" s="44">
        <v>9.171221740296609</v>
      </c>
      <c r="M16" s="10">
        <v>20.167056356000312</v>
      </c>
      <c r="N16" s="10">
        <v>2.2516739135324482</v>
      </c>
      <c r="O16" s="10">
        <v>4.6580366770973214</v>
      </c>
      <c r="P16" s="10">
        <v>10.564831357913839</v>
      </c>
      <c r="Q16" s="10">
        <v>-24.238470313532279</v>
      </c>
      <c r="R16" s="10">
        <v>7.4144631248009185</v>
      </c>
      <c r="S16" s="10">
        <v>9.2425596877241603</v>
      </c>
      <c r="T16" s="1" t="s">
        <v>13</v>
      </c>
      <c r="BL16" s="43" t="s">
        <v>37</v>
      </c>
      <c r="BM16" s="43" t="s">
        <v>38</v>
      </c>
    </row>
    <row r="17" spans="1:79" s="11" customFormat="1" ht="15" x14ac:dyDescent="0.2">
      <c r="A17" s="13" t="s">
        <v>14</v>
      </c>
      <c r="B17" s="41">
        <v>5.4378723050111919</v>
      </c>
      <c r="C17" s="7">
        <v>60.859975065826738</v>
      </c>
      <c r="D17" s="7">
        <v>63.749393784738366</v>
      </c>
      <c r="E17" s="8">
        <v>77.220453300900303</v>
      </c>
      <c r="F17" s="9">
        <v>77.979582923899997</v>
      </c>
      <c r="G17" s="9">
        <v>80.571924425587255</v>
      </c>
      <c r="H17" s="9">
        <v>91.644770975471246</v>
      </c>
      <c r="I17" s="9">
        <v>99.95473548796538</v>
      </c>
      <c r="J17" s="9">
        <v>102.17949400970934</v>
      </c>
      <c r="K17" s="9">
        <v>105.37961599773739</v>
      </c>
      <c r="L17" s="44">
        <v>4.7476501851773767</v>
      </c>
      <c r="M17" s="10">
        <v>21.13127469360645</v>
      </c>
      <c r="N17" s="10">
        <v>0.9830680740005926</v>
      </c>
      <c r="O17" s="10">
        <v>3.3243849280613746</v>
      </c>
      <c r="P17" s="10">
        <v>13.742810077858314</v>
      </c>
      <c r="Q17" s="10">
        <v>9.0675817332974695</v>
      </c>
      <c r="R17" s="10">
        <v>2.2257660038646376</v>
      </c>
      <c r="S17" s="10">
        <v>3.1318632168250593</v>
      </c>
      <c r="T17" s="1" t="s">
        <v>15</v>
      </c>
      <c r="BK17" s="11">
        <v>2007</v>
      </c>
      <c r="BL17" s="35">
        <f>D23</f>
        <v>64.807540880908348</v>
      </c>
      <c r="BM17" s="35">
        <f>D24</f>
        <v>67.18924401230818</v>
      </c>
      <c r="BN17" s="35"/>
    </row>
    <row r="18" spans="1:79" s="11" customFormat="1" ht="15" x14ac:dyDescent="0.2">
      <c r="A18" s="13" t="s">
        <v>16</v>
      </c>
      <c r="B18" s="41">
        <v>4.7510307288693099</v>
      </c>
      <c r="C18" s="7">
        <v>115.34450273124089</v>
      </c>
      <c r="D18" s="7">
        <v>104.72754551977413</v>
      </c>
      <c r="E18" s="8">
        <v>100.9097966458598</v>
      </c>
      <c r="F18" s="9">
        <v>100.15439105359373</v>
      </c>
      <c r="G18" s="9">
        <v>100.38298344923554</v>
      </c>
      <c r="H18" s="9">
        <v>100.6195512642537</v>
      </c>
      <c r="I18" s="9">
        <v>100.00528180711392</v>
      </c>
      <c r="J18" s="9">
        <v>99.050815085253589</v>
      </c>
      <c r="K18" s="9">
        <v>100.28780520090577</v>
      </c>
      <c r="L18" s="44">
        <v>-9.204562818398788</v>
      </c>
      <c r="M18" s="10">
        <v>-3.6454104361621664</v>
      </c>
      <c r="N18" s="10">
        <v>-0.74859490096600423</v>
      </c>
      <c r="O18" s="10">
        <v>0.22824001348027423</v>
      </c>
      <c r="P18" s="10">
        <v>0.23566525609173272</v>
      </c>
      <c r="Q18" s="10">
        <v>-0.61048717612200987</v>
      </c>
      <c r="R18" s="10">
        <v>-0.95441631143169392</v>
      </c>
      <c r="S18" s="10">
        <v>1.2488439540729646</v>
      </c>
      <c r="T18" s="1" t="s">
        <v>17</v>
      </c>
      <c r="BK18" s="11">
        <v>2008</v>
      </c>
      <c r="BL18" s="35">
        <f>E23</f>
        <v>72.611313924073201</v>
      </c>
      <c r="BM18" s="35">
        <f>E24</f>
        <v>75.385471686170362</v>
      </c>
      <c r="BN18" s="35"/>
    </row>
    <row r="19" spans="1:79" s="11" customFormat="1" ht="15" x14ac:dyDescent="0.2">
      <c r="A19" s="14" t="s">
        <v>18</v>
      </c>
      <c r="B19" s="41">
        <v>5.1031994041341724</v>
      </c>
      <c r="C19" s="7">
        <v>94.874945972791352</v>
      </c>
      <c r="D19" s="7">
        <v>96.624178349214034</v>
      </c>
      <c r="E19" s="8">
        <v>90.077187080296483</v>
      </c>
      <c r="F19" s="9">
        <v>94.587232125872092</v>
      </c>
      <c r="G19" s="9">
        <v>100.01905005623114</v>
      </c>
      <c r="H19" s="9">
        <v>97.89290317146407</v>
      </c>
      <c r="I19" s="9">
        <v>99.531777140452178</v>
      </c>
      <c r="J19" s="9">
        <v>98.82807875047888</v>
      </c>
      <c r="K19" s="9">
        <v>102.2003441480955</v>
      </c>
      <c r="L19" s="44">
        <v>1.8437242398265274</v>
      </c>
      <c r="M19" s="10">
        <v>-6.7757277534156728</v>
      </c>
      <c r="N19" s="10">
        <v>5.0068671011621158</v>
      </c>
      <c r="O19" s="10">
        <v>5.7426544875852192</v>
      </c>
      <c r="P19" s="10">
        <v>-2.1257419297341262</v>
      </c>
      <c r="Q19" s="10">
        <v>1.6741499290480188</v>
      </c>
      <c r="R19" s="10">
        <v>-0.70700876663770673</v>
      </c>
      <c r="S19" s="10">
        <v>3.4122543312117948</v>
      </c>
      <c r="T19" s="15" t="s">
        <v>19</v>
      </c>
      <c r="BK19" s="11">
        <v>2009</v>
      </c>
      <c r="BL19" s="35">
        <f>F23</f>
        <v>75.900734670117231</v>
      </c>
      <c r="BM19" s="35">
        <f>F24</f>
        <v>79.51493809042644</v>
      </c>
      <c r="BN19" s="35"/>
    </row>
    <row r="20" spans="1:79" s="11" customFormat="1" ht="15" x14ac:dyDescent="0.2">
      <c r="A20" s="12" t="s">
        <v>5</v>
      </c>
      <c r="B20" s="41">
        <v>2.4983461177360984</v>
      </c>
      <c r="C20" s="7">
        <v>47.049388033467601</v>
      </c>
      <c r="D20" s="7">
        <v>48.13102192510862</v>
      </c>
      <c r="E20" s="8">
        <v>49.012472981378899</v>
      </c>
      <c r="F20" s="9">
        <v>66.212440093936394</v>
      </c>
      <c r="G20" s="9">
        <v>72.465176121953334</v>
      </c>
      <c r="H20" s="9">
        <v>85.752154766717368</v>
      </c>
      <c r="I20" s="9">
        <v>100.26897294373833</v>
      </c>
      <c r="J20" s="9">
        <v>105.75107702222947</v>
      </c>
      <c r="K20" s="9">
        <v>110.56855328746506</v>
      </c>
      <c r="L20" s="44">
        <v>2.2989329656564639</v>
      </c>
      <c r="M20" s="10">
        <v>1.8313574510049113</v>
      </c>
      <c r="N20" s="10">
        <v>35.093040743102691</v>
      </c>
      <c r="O20" s="10">
        <v>9.4434460037209114</v>
      </c>
      <c r="P20" s="10">
        <v>18.335674258768186</v>
      </c>
      <c r="Q20" s="10">
        <v>16.928808630538718</v>
      </c>
      <c r="R20" s="10">
        <v>5.4673982564548584</v>
      </c>
      <c r="S20" s="10">
        <v>4.5554867154903089</v>
      </c>
      <c r="T20" s="15" t="s">
        <v>6</v>
      </c>
      <c r="BK20" s="11">
        <v>2010</v>
      </c>
      <c r="BL20" s="35">
        <f>G23</f>
        <v>80.568542845421106</v>
      </c>
      <c r="BM20" s="45">
        <f>G24</f>
        <v>84.338371332150743</v>
      </c>
      <c r="BN20" s="35"/>
    </row>
    <row r="21" spans="1:79" s="11" customFormat="1" ht="15" x14ac:dyDescent="0.2">
      <c r="A21" s="12" t="s">
        <v>20</v>
      </c>
      <c r="B21" s="41">
        <v>3.0243474234302665</v>
      </c>
      <c r="C21" s="7">
        <v>49.094342913656533</v>
      </c>
      <c r="D21" s="7">
        <v>57.310377045571919</v>
      </c>
      <c r="E21" s="8">
        <v>66.268774405103429</v>
      </c>
      <c r="F21" s="9">
        <v>67.972496509520113</v>
      </c>
      <c r="G21" s="9">
        <v>70.167294544238487</v>
      </c>
      <c r="H21" s="9">
        <v>81.124231104476152</v>
      </c>
      <c r="I21" s="9">
        <v>103.56604942649903</v>
      </c>
      <c r="J21" s="9">
        <v>115.92908544747458</v>
      </c>
      <c r="K21" s="9">
        <v>121.3287709962447</v>
      </c>
      <c r="L21" s="44">
        <v>16.735195226800649</v>
      </c>
      <c r="M21" s="10">
        <v>15.631370480092976</v>
      </c>
      <c r="N21" s="10">
        <v>2.5709274386180203</v>
      </c>
      <c r="O21" s="10">
        <v>3.2289501598796955</v>
      </c>
      <c r="P21" s="10">
        <v>15.615446813799583</v>
      </c>
      <c r="Q21" s="10">
        <v>27.663520524615027</v>
      </c>
      <c r="R21" s="10">
        <v>11.937344418790063</v>
      </c>
      <c r="S21" s="10">
        <v>4.6577487676434881</v>
      </c>
      <c r="T21" s="15" t="s">
        <v>21</v>
      </c>
      <c r="BK21" s="11">
        <v>2011</v>
      </c>
      <c r="BL21" s="35">
        <f>H23</f>
        <v>89.651368722070842</v>
      </c>
      <c r="BM21" s="45">
        <f>H24</f>
        <v>91.679051572020867</v>
      </c>
      <c r="BN21" s="35"/>
    </row>
    <row r="22" spans="1:79" s="11" customFormat="1" ht="15" x14ac:dyDescent="0.2">
      <c r="A22" s="14" t="s">
        <v>22</v>
      </c>
      <c r="B22" s="41">
        <v>7.1810709833581452</v>
      </c>
      <c r="C22" s="7">
        <v>66.045812015945941</v>
      </c>
      <c r="D22" s="7">
        <v>67.578746700557247</v>
      </c>
      <c r="E22" s="8">
        <v>71.846737489273423</v>
      </c>
      <c r="F22" s="9">
        <v>76.948539555294857</v>
      </c>
      <c r="G22" s="9">
        <v>80.738363693637908</v>
      </c>
      <c r="H22" s="9">
        <v>86.725904563278689</v>
      </c>
      <c r="I22" s="9">
        <v>100.59989156921542</v>
      </c>
      <c r="J22" s="9">
        <v>99.01609787482279</v>
      </c>
      <c r="K22" s="9">
        <v>98.892634758290214</v>
      </c>
      <c r="L22" s="44">
        <v>2.3210172421548769</v>
      </c>
      <c r="M22" s="10">
        <v>6.3155814469713745</v>
      </c>
      <c r="N22" s="10">
        <v>7.1009516149332708</v>
      </c>
      <c r="O22" s="10">
        <v>4.9251410881160362</v>
      </c>
      <c r="P22" s="10">
        <v>7.4159799576327012</v>
      </c>
      <c r="Q22" s="10">
        <v>15.997512018815229</v>
      </c>
      <c r="R22" s="10">
        <v>-1.5743493056381008</v>
      </c>
      <c r="S22" s="10">
        <v>-0.12468994353691532</v>
      </c>
      <c r="T22" s="46" t="s">
        <v>46</v>
      </c>
      <c r="BK22" s="11">
        <v>2012</v>
      </c>
      <c r="BL22" s="35">
        <f>I23</f>
        <v>99.409647361204449</v>
      </c>
      <c r="BM22" s="45">
        <f>I24</f>
        <v>100.14126599840249</v>
      </c>
    </row>
    <row r="23" spans="1:79" s="21" customFormat="1" ht="15" x14ac:dyDescent="0.2">
      <c r="A23" s="16" t="s">
        <v>43</v>
      </c>
      <c r="B23" s="47">
        <f>SUM(B8,B12:B13,B11,B15:B22)</f>
        <v>100.00000000000003</v>
      </c>
      <c r="C23" s="17">
        <v>60.684187749186492</v>
      </c>
      <c r="D23" s="17">
        <v>64.807540880908348</v>
      </c>
      <c r="E23" s="18">
        <v>72.611313924073201</v>
      </c>
      <c r="F23" s="18">
        <v>75.900734670117231</v>
      </c>
      <c r="G23" s="18">
        <v>80.568542845421106</v>
      </c>
      <c r="H23" s="18">
        <v>89.651368722070842</v>
      </c>
      <c r="I23" s="18">
        <v>99.409647361204449</v>
      </c>
      <c r="J23" s="18">
        <v>103.19281073321666</v>
      </c>
      <c r="K23" s="18">
        <v>105.38050013404563</v>
      </c>
      <c r="L23" s="48">
        <v>6.7947735393016462</v>
      </c>
      <c r="M23" s="19">
        <v>12.041458350510826</v>
      </c>
      <c r="N23" s="19">
        <v>4.5301765913279723</v>
      </c>
      <c r="O23" s="19">
        <v>6.1498853675017617</v>
      </c>
      <c r="P23" s="19">
        <v>11.273414605593723</v>
      </c>
      <c r="Q23" s="19">
        <v>10.884695658563071</v>
      </c>
      <c r="R23" s="19">
        <v>3.8056300091942941</v>
      </c>
      <c r="S23" s="19">
        <v>2.1200017571813001</v>
      </c>
      <c r="T23" s="20" t="s">
        <v>7</v>
      </c>
      <c r="BK23" s="21">
        <v>2013</v>
      </c>
      <c r="BL23" s="49">
        <f>J23</f>
        <v>103.19281073321666</v>
      </c>
      <c r="BM23" s="49">
        <f>J24</f>
        <v>103.07423491391059</v>
      </c>
    </row>
    <row r="24" spans="1:79" s="25" customFormat="1" ht="15" x14ac:dyDescent="0.2">
      <c r="A24" s="22" t="s">
        <v>44</v>
      </c>
      <c r="B24" s="50">
        <f>B23-B10</f>
        <v>91.353666078543981</v>
      </c>
      <c r="C24" s="23">
        <v>64.052485645287277</v>
      </c>
      <c r="D24" s="23">
        <v>67.18924401230818</v>
      </c>
      <c r="E24" s="23">
        <v>75.385471686170362</v>
      </c>
      <c r="F24" s="23">
        <v>79.51493809042644</v>
      </c>
      <c r="G24" s="23">
        <v>84.338371332150743</v>
      </c>
      <c r="H24" s="23">
        <v>91.679051572020867</v>
      </c>
      <c r="I24" s="23">
        <v>100.14126599840249</v>
      </c>
      <c r="J24" s="23">
        <v>103.07423491391059</v>
      </c>
      <c r="K24" s="23">
        <v>105.29983112357628</v>
      </c>
      <c r="L24" s="51">
        <v>4.8971688380553768</v>
      </c>
      <c r="M24" s="23">
        <v>12.198719890881261</v>
      </c>
      <c r="N24" s="23">
        <v>5.4778013745765852</v>
      </c>
      <c r="O24" s="23">
        <v>6.0660718068332953</v>
      </c>
      <c r="P24" s="23">
        <v>8.7038439608470028</v>
      </c>
      <c r="Q24" s="23">
        <v>9.2302595645133998</v>
      </c>
      <c r="R24" s="23">
        <v>2.9288314724869702</v>
      </c>
      <c r="S24" s="23">
        <v>2.159216812546938</v>
      </c>
      <c r="T24" s="24" t="s">
        <v>32</v>
      </c>
      <c r="BK24" s="21">
        <v>2014</v>
      </c>
      <c r="BL24" s="49">
        <f>K23</f>
        <v>105.38050013404563</v>
      </c>
      <c r="BM24" s="49">
        <f>K24</f>
        <v>105.29983112357628</v>
      </c>
    </row>
    <row r="25" spans="1:79" s="56" customFormat="1" ht="15.75" customHeight="1" x14ac:dyDescent="0.2">
      <c r="A25" s="52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4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3"/>
      <c r="BM25" s="57"/>
    </row>
    <row r="26" spans="1:79" ht="21" customHeight="1" x14ac:dyDescent="0.4">
      <c r="A26" s="4"/>
      <c r="B26" s="105" t="s">
        <v>30</v>
      </c>
      <c r="C26" s="58"/>
      <c r="D26" s="58"/>
      <c r="E26" s="58"/>
      <c r="F26" s="58"/>
      <c r="G26" s="58"/>
      <c r="H26" s="58"/>
      <c r="I26" s="58"/>
      <c r="J26" s="58"/>
      <c r="K26" s="58"/>
      <c r="L26" s="112" t="s">
        <v>0</v>
      </c>
      <c r="M26" s="113"/>
      <c r="N26" s="113"/>
      <c r="O26" s="113"/>
      <c r="P26" s="113"/>
      <c r="Q26" s="113"/>
      <c r="R26" s="91"/>
      <c r="S26" s="91"/>
      <c r="T26" s="5"/>
    </row>
    <row r="27" spans="1:79" ht="28.5" customHeight="1" x14ac:dyDescent="0.2">
      <c r="A27" s="30" t="s">
        <v>23</v>
      </c>
      <c r="B27" s="108"/>
      <c r="C27" s="59"/>
      <c r="D27" s="59"/>
      <c r="E27" s="59"/>
      <c r="F27" s="59"/>
      <c r="G27" s="59"/>
      <c r="H27" s="59"/>
      <c r="I27" s="59"/>
      <c r="J27" s="59"/>
      <c r="K27" s="59"/>
      <c r="L27" s="114" t="s">
        <v>27</v>
      </c>
      <c r="M27" s="111"/>
      <c r="N27" s="111"/>
      <c r="O27" s="111"/>
      <c r="P27" s="111"/>
      <c r="Q27" s="111"/>
      <c r="R27" s="90"/>
      <c r="S27" s="90"/>
      <c r="T27" s="37" t="s">
        <v>24</v>
      </c>
    </row>
    <row r="28" spans="1:79" x14ac:dyDescent="0.2">
      <c r="A28" s="60"/>
      <c r="B28" s="61" t="s">
        <v>1</v>
      </c>
      <c r="C28" s="62">
        <v>2006</v>
      </c>
      <c r="D28" s="62">
        <v>2007</v>
      </c>
      <c r="E28" s="62">
        <v>2008</v>
      </c>
      <c r="F28" s="62">
        <v>2009</v>
      </c>
      <c r="G28" s="62">
        <v>2010</v>
      </c>
      <c r="H28" s="62">
        <v>2011</v>
      </c>
      <c r="I28" s="62">
        <v>2012</v>
      </c>
      <c r="J28" s="62">
        <v>2013</v>
      </c>
      <c r="K28" s="62">
        <v>2014</v>
      </c>
      <c r="L28" s="63">
        <v>2007</v>
      </c>
      <c r="M28" s="64">
        <v>2008</v>
      </c>
      <c r="N28" s="64">
        <v>2009</v>
      </c>
      <c r="O28" s="64">
        <v>2010</v>
      </c>
      <c r="P28" s="64">
        <v>2011</v>
      </c>
      <c r="Q28" s="64">
        <v>2012</v>
      </c>
      <c r="R28" s="64">
        <v>2013</v>
      </c>
      <c r="S28" s="40">
        <v>2014</v>
      </c>
      <c r="T28" s="27"/>
      <c r="BL28" s="84"/>
    </row>
    <row r="29" spans="1:79" s="29" customFormat="1" ht="18" customHeight="1" x14ac:dyDescent="0.2">
      <c r="A29" s="6" t="s">
        <v>33</v>
      </c>
      <c r="B29" s="41">
        <v>23.78411261195577</v>
      </c>
      <c r="C29" s="7">
        <v>46.54226956659236</v>
      </c>
      <c r="D29" s="7">
        <v>54.070703301292049</v>
      </c>
      <c r="E29" s="8">
        <v>64.381973226397193</v>
      </c>
      <c r="F29" s="9">
        <v>64.715472651196961</v>
      </c>
      <c r="G29" s="9">
        <v>69.554480633976965</v>
      </c>
      <c r="H29" s="9">
        <v>83.416709968576413</v>
      </c>
      <c r="I29" s="9">
        <v>98.167408450774488</v>
      </c>
      <c r="J29" s="9">
        <v>105.5418979724201</v>
      </c>
      <c r="K29" s="9">
        <v>106.60711823254361</v>
      </c>
      <c r="L29" s="44">
        <v>16.175476195736561</v>
      </c>
      <c r="M29" s="10">
        <v>19.06997559778134</v>
      </c>
      <c r="N29" s="10">
        <v>0.51800124800001068</v>
      </c>
      <c r="O29" s="10">
        <v>7.4773586354862198</v>
      </c>
      <c r="P29" s="10">
        <v>19.930030687092536</v>
      </c>
      <c r="Q29" s="10">
        <v>17.683145844225635</v>
      </c>
      <c r="R29" s="10">
        <v>7.5121566699435816</v>
      </c>
      <c r="S29" s="9">
        <v>1.0092866251105947</v>
      </c>
      <c r="T29" s="1" t="s">
        <v>35</v>
      </c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K29" s="3"/>
      <c r="BL29" s="3"/>
      <c r="BM29" s="3"/>
      <c r="BN29" s="66"/>
      <c r="BO29" s="66"/>
      <c r="BP29" s="66"/>
      <c r="BQ29" s="66"/>
      <c r="BR29" s="66"/>
      <c r="BS29" s="66"/>
      <c r="BT29" s="67"/>
      <c r="BW29" s="31"/>
      <c r="BX29" s="31"/>
      <c r="BY29" s="31"/>
      <c r="BZ29" s="68"/>
      <c r="CA29" s="31"/>
    </row>
    <row r="30" spans="1:79" s="29" customFormat="1" ht="18" customHeight="1" x14ac:dyDescent="0.2">
      <c r="A30" s="6" t="s">
        <v>34</v>
      </c>
      <c r="B30" s="41">
        <f>B29-B31</f>
        <v>16.141190180918223</v>
      </c>
      <c r="C30" s="7">
        <v>56.866771691184077</v>
      </c>
      <c r="D30" s="7">
        <v>62.767090501684173</v>
      </c>
      <c r="E30" s="8">
        <v>76.153290746199403</v>
      </c>
      <c r="F30" s="9">
        <v>78.381813378991197</v>
      </c>
      <c r="G30" s="9">
        <v>84.204150454829019</v>
      </c>
      <c r="H30" s="9">
        <v>94.794400673064558</v>
      </c>
      <c r="I30" s="9">
        <v>99.776621425288184</v>
      </c>
      <c r="J30" s="9">
        <v>106.34377466951754</v>
      </c>
      <c r="K30" s="9">
        <v>106.61664175076959</v>
      </c>
      <c r="L30" s="44">
        <v>10.375688007298667</v>
      </c>
      <c r="M30" s="10">
        <v>21.326781498906744</v>
      </c>
      <c r="N30" s="10">
        <v>2.9263641937929075</v>
      </c>
      <c r="O30" s="10">
        <v>7.4281734816285638</v>
      </c>
      <c r="P30" s="10">
        <v>12.576874371432133</v>
      </c>
      <c r="Q30" s="10">
        <v>5.2558175555186493</v>
      </c>
      <c r="R30" s="10">
        <v>6.5818556996809052</v>
      </c>
      <c r="S30" s="9">
        <v>0.25658961429573246</v>
      </c>
      <c r="T30" s="1" t="s">
        <v>36</v>
      </c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K30" s="3"/>
      <c r="BL30" s="84"/>
      <c r="BM30" s="3"/>
      <c r="BN30" s="69"/>
      <c r="BO30" s="69"/>
      <c r="BP30" s="69"/>
      <c r="BQ30" s="69"/>
      <c r="BR30" s="69"/>
      <c r="BS30" s="69"/>
      <c r="BT30" s="67"/>
      <c r="BW30" s="31"/>
      <c r="BX30" s="31"/>
      <c r="BY30" s="31"/>
      <c r="BZ30" s="68"/>
      <c r="CA30" s="31"/>
    </row>
    <row r="31" spans="1:79" s="29" customFormat="1" ht="15" x14ac:dyDescent="0.2">
      <c r="A31" s="12" t="s">
        <v>2</v>
      </c>
      <c r="B31" s="41">
        <v>7.6429224310375492</v>
      </c>
      <c r="C31" s="7">
        <v>22.898483196595674</v>
      </c>
      <c r="D31" s="7">
        <v>34.155406788630842</v>
      </c>
      <c r="E31" s="8">
        <v>37.424884799955599</v>
      </c>
      <c r="F31" s="9">
        <v>33.418656908585071</v>
      </c>
      <c r="G31" s="9">
        <v>36.005776836416281</v>
      </c>
      <c r="H31" s="9">
        <v>57.361052741283949</v>
      </c>
      <c r="I31" s="9">
        <v>94.406157167404913</v>
      </c>
      <c r="J31" s="9">
        <v>103.84840384287946</v>
      </c>
      <c r="K31" s="9">
        <v>106.58700538693205</v>
      </c>
      <c r="L31" s="44">
        <v>49.160127749023744</v>
      </c>
      <c r="M31" s="10">
        <v>9.5723585772459643</v>
      </c>
      <c r="N31" s="10">
        <v>-10.704716695281002</v>
      </c>
      <c r="O31" s="10">
        <v>7.7415436979054508</v>
      </c>
      <c r="P31" s="10">
        <v>59.310693397590896</v>
      </c>
      <c r="Q31" s="10">
        <v>64.582330092869483</v>
      </c>
      <c r="R31" s="10">
        <v>10.001727597842125</v>
      </c>
      <c r="S31" s="9">
        <v>2.6371147198333666</v>
      </c>
      <c r="T31" s="1" t="s">
        <v>3</v>
      </c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9"/>
      <c r="BK31" s="3"/>
      <c r="BL31" s="84"/>
      <c r="BM31" s="3"/>
      <c r="BN31" s="69"/>
      <c r="BO31" s="69"/>
      <c r="BP31" s="69"/>
      <c r="BQ31" s="69"/>
      <c r="BR31" s="69"/>
      <c r="BS31" s="69"/>
      <c r="BT31" s="67"/>
      <c r="BW31" s="31"/>
      <c r="BX31" s="31"/>
      <c r="BY31" s="31"/>
      <c r="BZ31" s="68"/>
      <c r="CA31" s="31"/>
    </row>
    <row r="32" spans="1:79" s="29" customFormat="1" ht="15" x14ac:dyDescent="0.2">
      <c r="A32" s="12" t="s">
        <v>29</v>
      </c>
      <c r="B32" s="41">
        <v>1.2551264274393874</v>
      </c>
      <c r="C32" s="7">
        <v>49.327553362016907</v>
      </c>
      <c r="D32" s="7">
        <v>49.926435555846972</v>
      </c>
      <c r="E32" s="8">
        <v>51.632567552779186</v>
      </c>
      <c r="F32" s="9">
        <v>50.700704461040182</v>
      </c>
      <c r="G32" s="9">
        <v>50.532891620339313</v>
      </c>
      <c r="H32" s="9">
        <v>64.296766109008189</v>
      </c>
      <c r="I32" s="9">
        <v>101.10997281948137</v>
      </c>
      <c r="J32" s="9">
        <v>98.191752361218789</v>
      </c>
      <c r="K32" s="9">
        <v>101.20504904236994</v>
      </c>
      <c r="L32" s="44">
        <v>1.2140926379113903</v>
      </c>
      <c r="M32" s="10">
        <v>3.4172918173254407</v>
      </c>
      <c r="N32" s="10">
        <v>-1.8047971191563317</v>
      </c>
      <c r="O32" s="10">
        <v>-0.33098719728800186</v>
      </c>
      <c r="P32" s="10">
        <v>27.237456728340014</v>
      </c>
      <c r="Q32" s="10">
        <v>57.255145069132077</v>
      </c>
      <c r="R32" s="10">
        <v>-2.8861845937518726</v>
      </c>
      <c r="S32" s="9">
        <v>3.068787967105524</v>
      </c>
      <c r="T32" s="1" t="s">
        <v>9</v>
      </c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9"/>
      <c r="BK32" s="3"/>
      <c r="BL32" s="84"/>
      <c r="BM32" s="3"/>
      <c r="BN32" s="69"/>
      <c r="BO32" s="69"/>
      <c r="BP32" s="69"/>
      <c r="BQ32" s="69"/>
      <c r="BR32" s="69"/>
      <c r="BS32" s="69"/>
      <c r="BT32" s="67"/>
      <c r="BW32" s="31"/>
      <c r="BX32" s="31"/>
      <c r="BY32" s="31"/>
      <c r="BZ32" s="68"/>
      <c r="CA32" s="31"/>
    </row>
    <row r="33" spans="1:79" s="29" customFormat="1" ht="15" x14ac:dyDescent="0.2">
      <c r="A33" s="12" t="s">
        <v>4</v>
      </c>
      <c r="B33" s="41">
        <v>3.325234690971965</v>
      </c>
      <c r="C33" s="7">
        <v>67.493428550865232</v>
      </c>
      <c r="D33" s="7">
        <v>66.522696340505789</v>
      </c>
      <c r="E33" s="8">
        <v>68.251967675022911</v>
      </c>
      <c r="F33" s="9">
        <v>70.445891756658199</v>
      </c>
      <c r="G33" s="9">
        <v>72.534285938334179</v>
      </c>
      <c r="H33" s="9">
        <v>81.881292827210913</v>
      </c>
      <c r="I33" s="9">
        <v>98.218343825881036</v>
      </c>
      <c r="J33" s="9">
        <v>99.664487530793849</v>
      </c>
      <c r="K33" s="9">
        <v>99.988590307242035</v>
      </c>
      <c r="L33" s="44">
        <v>-1.4382618148192972</v>
      </c>
      <c r="M33" s="10">
        <v>2.5995208096581068</v>
      </c>
      <c r="N33" s="10">
        <v>3.2144481051176621</v>
      </c>
      <c r="O33" s="10">
        <v>2.964536511071425</v>
      </c>
      <c r="P33" s="10">
        <v>12.886329227564453</v>
      </c>
      <c r="Q33" s="10">
        <v>19.95211657581568</v>
      </c>
      <c r="R33" s="10">
        <v>1.4723763897673825</v>
      </c>
      <c r="S33" s="9">
        <v>0.32519384233831161</v>
      </c>
      <c r="T33" s="1" t="s">
        <v>10</v>
      </c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9"/>
      <c r="BK33" s="3"/>
      <c r="BL33" s="84"/>
      <c r="BM33" s="3"/>
      <c r="BN33" s="69"/>
      <c r="BO33" s="69"/>
      <c r="BP33" s="69"/>
      <c r="BQ33" s="69"/>
      <c r="BR33" s="69"/>
      <c r="BS33" s="69"/>
      <c r="BT33" s="67"/>
      <c r="BW33" s="31"/>
      <c r="BX33" s="31"/>
      <c r="BY33" s="31"/>
      <c r="BZ33" s="68"/>
      <c r="CA33" s="31"/>
    </row>
    <row r="34" spans="1:79" s="29" customFormat="1" ht="15" x14ac:dyDescent="0.2">
      <c r="A34" s="12" t="s">
        <v>41</v>
      </c>
      <c r="B34" s="41">
        <v>33.253292498580983</v>
      </c>
      <c r="C34" s="7">
        <v>70.128284933346336</v>
      </c>
      <c r="D34" s="7">
        <v>72.790167958905229</v>
      </c>
      <c r="E34" s="8">
        <v>80.824789456236729</v>
      </c>
      <c r="F34" s="9">
        <v>87.147430127106858</v>
      </c>
      <c r="G34" s="9">
        <v>93.758762276598645</v>
      </c>
      <c r="H34" s="9">
        <v>96.487654366096692</v>
      </c>
      <c r="I34" s="9">
        <v>100.00377000426182</v>
      </c>
      <c r="J34" s="9">
        <v>103.95006675159617</v>
      </c>
      <c r="K34" s="9">
        <v>107.01057323330696</v>
      </c>
      <c r="L34" s="44">
        <v>3.7957338156620946</v>
      </c>
      <c r="M34" s="10">
        <v>11.038058741487667</v>
      </c>
      <c r="N34" s="10">
        <v>7.8226503445376405</v>
      </c>
      <c r="O34" s="10">
        <v>7.5863764884965379</v>
      </c>
      <c r="P34" s="10">
        <v>2.9105461966824064</v>
      </c>
      <c r="Q34" s="10">
        <v>3.6441093539533842</v>
      </c>
      <c r="R34" s="10">
        <v>3.9461479773874153</v>
      </c>
      <c r="S34" s="9">
        <v>2.9442082889896692</v>
      </c>
      <c r="T34" s="1" t="s">
        <v>11</v>
      </c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9"/>
      <c r="BK34" s="3"/>
      <c r="BL34" s="84"/>
      <c r="BM34" s="3"/>
      <c r="BN34" s="69"/>
      <c r="BO34" s="69"/>
      <c r="BP34" s="69"/>
      <c r="BQ34" s="69"/>
      <c r="BR34" s="69"/>
      <c r="BS34" s="69"/>
      <c r="BT34" s="67"/>
      <c r="BW34" s="31"/>
      <c r="BX34" s="31"/>
      <c r="BY34" s="31"/>
      <c r="BZ34" s="68"/>
      <c r="CA34" s="31"/>
    </row>
    <row r="35" spans="1:79" s="29" customFormat="1" ht="15" x14ac:dyDescent="0.2">
      <c r="A35" s="12" t="s">
        <v>42</v>
      </c>
      <c r="B35" s="41">
        <v>24.01513195689877</v>
      </c>
      <c r="C35" s="7">
        <v>64.647461828276832</v>
      </c>
      <c r="D35" s="7">
        <v>67.343842950624648</v>
      </c>
      <c r="E35" s="8">
        <v>74.851279000594886</v>
      </c>
      <c r="F35" s="9">
        <v>85.550267697798958</v>
      </c>
      <c r="G35" s="9">
        <v>91.040551259171139</v>
      </c>
      <c r="H35" s="9">
        <v>95.103608962918898</v>
      </c>
      <c r="I35" s="9">
        <v>100.09393014432733</v>
      </c>
      <c r="J35" s="9">
        <v>104.20681505043228</v>
      </c>
      <c r="K35" s="9">
        <v>108.38813271909099</v>
      </c>
      <c r="L35" s="44">
        <v>4.1709002118446969</v>
      </c>
      <c r="M35" s="10">
        <v>11.147917494810278</v>
      </c>
      <c r="N35" s="10">
        <v>14.293661831909432</v>
      </c>
      <c r="O35" s="10">
        <v>6.4176111999628915</v>
      </c>
      <c r="P35" s="10">
        <v>4.4629098215598351</v>
      </c>
      <c r="Q35" s="10">
        <v>5.2472469087415652</v>
      </c>
      <c r="R35" s="10">
        <v>4.1090252927170612</v>
      </c>
      <c r="S35" s="9">
        <v>4.012518439062851</v>
      </c>
      <c r="T35" s="32" t="s">
        <v>45</v>
      </c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9"/>
      <c r="BK35" s="3"/>
      <c r="BL35" s="84"/>
      <c r="BM35" s="3"/>
      <c r="BN35" s="69"/>
      <c r="BO35" s="69"/>
      <c r="BP35" s="69"/>
      <c r="BQ35" s="69"/>
      <c r="BR35" s="69"/>
      <c r="BS35" s="69"/>
      <c r="BT35" s="67"/>
      <c r="BW35" s="31"/>
      <c r="BX35" s="31"/>
      <c r="BY35" s="31"/>
      <c r="BZ35" s="68"/>
      <c r="CA35" s="31"/>
    </row>
    <row r="36" spans="1:79" s="29" customFormat="1" ht="25.5" x14ac:dyDescent="0.2">
      <c r="A36" s="6" t="s">
        <v>28</v>
      </c>
      <c r="B36" s="41">
        <v>7.3787368723932971</v>
      </c>
      <c r="C36" s="7">
        <v>62.787235480784801</v>
      </c>
      <c r="D36" s="7">
        <v>65.996050857083574</v>
      </c>
      <c r="E36" s="8">
        <v>68.380911967950468</v>
      </c>
      <c r="F36" s="9">
        <v>75.858602553560274</v>
      </c>
      <c r="G36" s="9">
        <v>80.397772506783596</v>
      </c>
      <c r="H36" s="9">
        <v>83.774232067142066</v>
      </c>
      <c r="I36" s="9">
        <v>98.524372725422779</v>
      </c>
      <c r="J36" s="9">
        <v>96.547282672985318</v>
      </c>
      <c r="K36" s="9">
        <v>93.814065718362556</v>
      </c>
      <c r="L36" s="44">
        <v>5.1106173917798703</v>
      </c>
      <c r="M36" s="10">
        <v>3.6136421496361759</v>
      </c>
      <c r="N36" s="10">
        <v>10.935347848409126</v>
      </c>
      <c r="O36" s="10">
        <v>5.9837247199728161</v>
      </c>
      <c r="P36" s="10">
        <v>4.1996929206882916</v>
      </c>
      <c r="Q36" s="10">
        <v>17.60701386848762</v>
      </c>
      <c r="R36" s="10">
        <v>-2.0067014868974664</v>
      </c>
      <c r="S36" s="9">
        <v>-2.8309620726255202</v>
      </c>
      <c r="T36" s="1" t="s">
        <v>31</v>
      </c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9"/>
      <c r="BK36" s="3"/>
      <c r="BL36" s="84"/>
      <c r="BM36" s="3"/>
      <c r="BN36" s="69"/>
      <c r="BO36" s="69"/>
      <c r="BP36" s="69"/>
      <c r="BQ36" s="69"/>
      <c r="BR36" s="69"/>
      <c r="BS36" s="69"/>
      <c r="BT36" s="67"/>
      <c r="BW36" s="31"/>
      <c r="BX36" s="31"/>
      <c r="BY36" s="31"/>
      <c r="BZ36" s="68"/>
      <c r="CA36" s="31"/>
    </row>
    <row r="37" spans="1:79" s="29" customFormat="1" ht="15" x14ac:dyDescent="0.2">
      <c r="A37" s="13" t="s">
        <v>12</v>
      </c>
      <c r="B37" s="41">
        <v>3.3443838651865483</v>
      </c>
      <c r="C37" s="7">
        <v>87.683380878679159</v>
      </c>
      <c r="D37" s="7">
        <v>95.725018168451655</v>
      </c>
      <c r="E37" s="8">
        <v>115.02993652927483</v>
      </c>
      <c r="F37" s="9">
        <v>117.62003560285746</v>
      </c>
      <c r="G37" s="9">
        <v>123.09882000085349</v>
      </c>
      <c r="H37" s="9">
        <v>136.10400273752558</v>
      </c>
      <c r="I37" s="9">
        <v>102.76543099265899</v>
      </c>
      <c r="J37" s="9">
        <v>110.56654167287611</v>
      </c>
      <c r="K37" s="9">
        <v>124.65316422633758</v>
      </c>
      <c r="L37" s="44">
        <v>9.171221740296609</v>
      </c>
      <c r="M37" s="10">
        <v>20.167056356000312</v>
      </c>
      <c r="N37" s="10">
        <v>2.2516739135324482</v>
      </c>
      <c r="O37" s="10">
        <v>4.6580366770973214</v>
      </c>
      <c r="P37" s="10">
        <v>10.564831357913839</v>
      </c>
      <c r="Q37" s="10">
        <v>-24.49492378939031</v>
      </c>
      <c r="R37" s="10">
        <v>7.591181786387291</v>
      </c>
      <c r="S37" s="9">
        <v>12.740402603111489</v>
      </c>
      <c r="T37" s="1" t="s">
        <v>13</v>
      </c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9"/>
      <c r="BK37" s="3"/>
      <c r="BL37" s="84"/>
      <c r="BM37" s="3"/>
      <c r="BN37" s="69"/>
      <c r="BO37" s="69"/>
      <c r="BP37" s="69"/>
      <c r="BQ37" s="69"/>
      <c r="BR37" s="69"/>
      <c r="BS37" s="69"/>
      <c r="BT37" s="67"/>
      <c r="BW37" s="31"/>
      <c r="BX37" s="31"/>
      <c r="BY37" s="31"/>
      <c r="BZ37" s="68"/>
      <c r="CA37" s="31"/>
    </row>
    <row r="38" spans="1:79" s="29" customFormat="1" ht="15" x14ac:dyDescent="0.2">
      <c r="A38" s="13" t="s">
        <v>14</v>
      </c>
      <c r="B38" s="41">
        <v>5.0247567425570834</v>
      </c>
      <c r="C38" s="7">
        <v>60.859975065826738</v>
      </c>
      <c r="D38" s="7">
        <v>63.749393784738366</v>
      </c>
      <c r="E38" s="8">
        <v>77.220453300900303</v>
      </c>
      <c r="F38" s="9">
        <v>77.979582923899997</v>
      </c>
      <c r="G38" s="9">
        <v>80.571924425587255</v>
      </c>
      <c r="H38" s="9">
        <v>91.644770975471246</v>
      </c>
      <c r="I38" s="9">
        <v>99.919914617161496</v>
      </c>
      <c r="J38" s="9">
        <v>102.42725062633708</v>
      </c>
      <c r="K38" s="9">
        <v>107.6673987994979</v>
      </c>
      <c r="L38" s="44">
        <v>4.7476501851773767</v>
      </c>
      <c r="M38" s="10">
        <v>21.13127469360645</v>
      </c>
      <c r="N38" s="10">
        <v>0.9830680740005926</v>
      </c>
      <c r="O38" s="10">
        <v>3.3243849280613746</v>
      </c>
      <c r="P38" s="10">
        <v>13.742810077858314</v>
      </c>
      <c r="Q38" s="10">
        <v>9.0295862531045046</v>
      </c>
      <c r="R38" s="10">
        <v>2.5093456282286875</v>
      </c>
      <c r="S38" s="9">
        <v>5.1159707412994138</v>
      </c>
      <c r="T38" s="1" t="s">
        <v>15</v>
      </c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9"/>
      <c r="BK38" s="3"/>
      <c r="BL38" s="84"/>
      <c r="BM38" s="3"/>
      <c r="BN38" s="69"/>
      <c r="BO38" s="69"/>
      <c r="BP38" s="69"/>
      <c r="BQ38" s="69"/>
      <c r="BR38" s="69"/>
      <c r="BS38" s="69"/>
      <c r="BT38" s="67"/>
      <c r="BW38" s="31"/>
      <c r="BX38" s="31"/>
      <c r="BY38" s="31"/>
      <c r="BZ38" s="68"/>
      <c r="CA38" s="31"/>
    </row>
    <row r="39" spans="1:79" s="29" customFormat="1" ht="15" x14ac:dyDescent="0.2">
      <c r="A39" s="13" t="s">
        <v>16</v>
      </c>
      <c r="B39" s="41">
        <v>4.9499335195000258</v>
      </c>
      <c r="C39" s="7">
        <v>115.34450273124089</v>
      </c>
      <c r="D39" s="7">
        <v>104.72754551977413</v>
      </c>
      <c r="E39" s="8">
        <v>100.9097966458598</v>
      </c>
      <c r="F39" s="9">
        <v>100.15439105359373</v>
      </c>
      <c r="G39" s="9">
        <v>100.38298344923554</v>
      </c>
      <c r="H39" s="9">
        <v>100.6195512642537</v>
      </c>
      <c r="I39" s="9">
        <v>99.902385256204028</v>
      </c>
      <c r="J39" s="9">
        <v>98.048576495455336</v>
      </c>
      <c r="K39" s="9">
        <v>97.118601810845405</v>
      </c>
      <c r="L39" s="44">
        <v>-9.204562818398788</v>
      </c>
      <c r="M39" s="10">
        <v>-3.6454104361621664</v>
      </c>
      <c r="N39" s="10">
        <v>-0.74859490096600423</v>
      </c>
      <c r="O39" s="10">
        <v>0.22824001348027423</v>
      </c>
      <c r="P39" s="10">
        <v>0.23566525609173272</v>
      </c>
      <c r="Q39" s="10">
        <v>-0.71275015545061438</v>
      </c>
      <c r="R39" s="10">
        <v>-1.8556201195742417</v>
      </c>
      <c r="S39" s="9">
        <v>-0.94848361684581883</v>
      </c>
      <c r="T39" s="1" t="s">
        <v>17</v>
      </c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9"/>
      <c r="BK39" s="3"/>
      <c r="BL39" s="84"/>
      <c r="BM39" s="3"/>
      <c r="BN39" s="69"/>
      <c r="BO39" s="69"/>
      <c r="BP39" s="69"/>
      <c r="BQ39" s="69"/>
      <c r="BR39" s="69"/>
      <c r="BS39" s="69"/>
      <c r="BT39" s="67"/>
      <c r="BW39" s="31"/>
      <c r="BX39" s="31"/>
      <c r="BY39" s="31"/>
      <c r="BZ39" s="68"/>
      <c r="CA39" s="31"/>
    </row>
    <row r="40" spans="1:79" s="29" customFormat="1" ht="15" x14ac:dyDescent="0.2">
      <c r="A40" s="14" t="s">
        <v>18</v>
      </c>
      <c r="B40" s="41">
        <v>3.8759977554993457</v>
      </c>
      <c r="C40" s="7">
        <v>94.874945972791352</v>
      </c>
      <c r="D40" s="7">
        <v>96.624178349214034</v>
      </c>
      <c r="E40" s="8">
        <v>90.077187080296483</v>
      </c>
      <c r="F40" s="9">
        <v>94.587232125872092</v>
      </c>
      <c r="G40" s="9">
        <v>100.01905005623114</v>
      </c>
      <c r="H40" s="9">
        <v>97.89290317146407</v>
      </c>
      <c r="I40" s="9">
        <v>99.123228888029075</v>
      </c>
      <c r="J40" s="9">
        <v>99.19328729416749</v>
      </c>
      <c r="K40" s="9">
        <v>101.98521882257955</v>
      </c>
      <c r="L40" s="44">
        <v>1.8437242398265274</v>
      </c>
      <c r="M40" s="10">
        <v>-6.7757277534156728</v>
      </c>
      <c r="N40" s="10">
        <v>5.0068671011621158</v>
      </c>
      <c r="O40" s="10">
        <v>5.7426544875852192</v>
      </c>
      <c r="P40" s="10">
        <v>-2.1257419297341262</v>
      </c>
      <c r="Q40" s="10">
        <v>1.256807875449395</v>
      </c>
      <c r="R40" s="10">
        <v>7.0678091224762873E-2</v>
      </c>
      <c r="S40" s="9">
        <v>2.8146375672905233</v>
      </c>
      <c r="T40" s="15" t="s">
        <v>19</v>
      </c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9"/>
      <c r="BK40" s="3"/>
      <c r="BL40" s="84"/>
      <c r="BM40" s="3"/>
      <c r="BN40" s="69"/>
      <c r="BO40" s="69"/>
      <c r="BP40" s="69"/>
      <c r="BQ40" s="69"/>
      <c r="BR40" s="69"/>
      <c r="BS40" s="69"/>
      <c r="BT40" s="67"/>
      <c r="BW40" s="31"/>
      <c r="BX40" s="31"/>
      <c r="BY40" s="31"/>
      <c r="BZ40" s="68"/>
      <c r="CA40" s="31"/>
    </row>
    <row r="41" spans="1:79" s="29" customFormat="1" ht="15" x14ac:dyDescent="0.2">
      <c r="A41" s="12" t="s">
        <v>5</v>
      </c>
      <c r="B41" s="41">
        <v>3.1475471737470042</v>
      </c>
      <c r="C41" s="7">
        <v>47.049388033467601</v>
      </c>
      <c r="D41" s="7">
        <v>48.13102192510862</v>
      </c>
      <c r="E41" s="8">
        <v>49.012472981378899</v>
      </c>
      <c r="F41" s="9">
        <v>66.212440093936394</v>
      </c>
      <c r="G41" s="9">
        <v>72.465176121953334</v>
      </c>
      <c r="H41" s="9">
        <v>85.752154766717368</v>
      </c>
      <c r="I41" s="9">
        <v>99.974205552764317</v>
      </c>
      <c r="J41" s="9">
        <v>102.13692109662372</v>
      </c>
      <c r="K41" s="9">
        <v>111.56417616429451</v>
      </c>
      <c r="L41" s="44">
        <v>2.2989329656564639</v>
      </c>
      <c r="M41" s="10">
        <v>1.8313574510049113</v>
      </c>
      <c r="N41" s="10">
        <v>35.093040743102691</v>
      </c>
      <c r="O41" s="10">
        <v>9.4434460037209114</v>
      </c>
      <c r="P41" s="10">
        <v>18.335674258768186</v>
      </c>
      <c r="Q41" s="10">
        <v>16.585065208841733</v>
      </c>
      <c r="R41" s="10">
        <v>2.1632735483133825</v>
      </c>
      <c r="S41" s="9">
        <v>9.2300168895363512</v>
      </c>
      <c r="T41" s="15" t="s">
        <v>6</v>
      </c>
      <c r="BJ41" s="31"/>
      <c r="BK41" s="3"/>
      <c r="BL41" s="84"/>
      <c r="BM41" s="3"/>
      <c r="BN41" s="31"/>
      <c r="BO41" s="31"/>
      <c r="BP41" s="31"/>
      <c r="BQ41" s="31"/>
      <c r="BR41" s="31"/>
      <c r="BS41" s="31"/>
      <c r="BT41" s="67"/>
      <c r="BW41" s="31"/>
      <c r="BX41" s="31"/>
      <c r="BY41" s="31"/>
      <c r="BZ41" s="68"/>
      <c r="CA41" s="31"/>
    </row>
    <row r="42" spans="1:79" s="29" customFormat="1" ht="15" x14ac:dyDescent="0.2">
      <c r="A42" s="12" t="s">
        <v>20</v>
      </c>
      <c r="B42" s="41">
        <v>4.0917964761770804</v>
      </c>
      <c r="C42" s="7">
        <v>49.094342913656533</v>
      </c>
      <c r="D42" s="7">
        <v>57.310377045571919</v>
      </c>
      <c r="E42" s="8">
        <v>66.268774405103429</v>
      </c>
      <c r="F42" s="9">
        <v>67.972496509520113</v>
      </c>
      <c r="G42" s="9">
        <v>70.167294544238487</v>
      </c>
      <c r="H42" s="9">
        <v>81.124231104476152</v>
      </c>
      <c r="I42" s="9">
        <v>103.92316833381101</v>
      </c>
      <c r="J42" s="9">
        <v>117.33190209291605</v>
      </c>
      <c r="K42" s="9">
        <v>125.48306357044619</v>
      </c>
      <c r="L42" s="44">
        <v>16.735195226800649</v>
      </c>
      <c r="M42" s="10">
        <v>15.631370480092976</v>
      </c>
      <c r="N42" s="10">
        <v>2.5709274386180203</v>
      </c>
      <c r="O42" s="10">
        <v>3.2289501598796955</v>
      </c>
      <c r="P42" s="10">
        <v>15.615446813799583</v>
      </c>
      <c r="Q42" s="10">
        <v>28.103732903148448</v>
      </c>
      <c r="R42" s="10">
        <v>12.902545191881497</v>
      </c>
      <c r="S42" s="9">
        <v>6.9470973640870293</v>
      </c>
      <c r="T42" s="15" t="s">
        <v>21</v>
      </c>
      <c r="BJ42" s="31"/>
      <c r="BK42" s="3"/>
      <c r="BL42" s="84"/>
      <c r="BM42" s="70"/>
      <c r="BN42" s="31"/>
      <c r="BO42" s="31"/>
      <c r="BP42" s="31"/>
      <c r="BQ42" s="31"/>
      <c r="BR42" s="31"/>
      <c r="BS42" s="31"/>
      <c r="BT42" s="67"/>
      <c r="BW42" s="31"/>
      <c r="BX42" s="31"/>
      <c r="BY42" s="31"/>
      <c r="BZ42" s="68"/>
      <c r="CA42" s="31"/>
    </row>
    <row r="43" spans="1:79" s="29" customFormat="1" ht="15" x14ac:dyDescent="0.2">
      <c r="A43" s="14" t="s">
        <v>22</v>
      </c>
      <c r="B43" s="71">
        <v>6.5690813659915177</v>
      </c>
      <c r="C43" s="7">
        <v>66.045812015945941</v>
      </c>
      <c r="D43" s="7">
        <v>67.578746700557247</v>
      </c>
      <c r="E43" s="8">
        <v>71.846737489273423</v>
      </c>
      <c r="F43" s="9">
        <v>76.948539555294857</v>
      </c>
      <c r="G43" s="9">
        <v>80.738363693637908</v>
      </c>
      <c r="H43" s="9">
        <v>86.725904563278689</v>
      </c>
      <c r="I43" s="9">
        <v>100.69814215631898</v>
      </c>
      <c r="J43" s="9">
        <v>98.812991503112301</v>
      </c>
      <c r="K43" s="9">
        <v>98.609462577367751</v>
      </c>
      <c r="L43" s="44">
        <v>2.3210172421548769</v>
      </c>
      <c r="M43" s="10">
        <v>6.3155814469713745</v>
      </c>
      <c r="N43" s="10">
        <v>7.1009516149332708</v>
      </c>
      <c r="O43" s="10">
        <v>4.9251410881160362</v>
      </c>
      <c r="P43" s="10">
        <v>7.4159799576327012</v>
      </c>
      <c r="Q43" s="10">
        <v>16.110800646473034</v>
      </c>
      <c r="R43" s="10">
        <v>-1.8720808674704825</v>
      </c>
      <c r="S43" s="9">
        <v>-0.20597385287959291</v>
      </c>
      <c r="T43" s="46" t="s">
        <v>46</v>
      </c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9"/>
      <c r="BK43" s="3"/>
      <c r="BL43" s="84"/>
      <c r="BM43" s="3"/>
      <c r="BN43" s="69"/>
      <c r="BO43" s="69"/>
      <c r="BP43" s="69"/>
      <c r="BQ43" s="69"/>
      <c r="BR43" s="69"/>
      <c r="BS43" s="69"/>
      <c r="BT43" s="67"/>
      <c r="BZ43" s="72"/>
    </row>
    <row r="44" spans="1:79" s="28" customFormat="1" ht="15" x14ac:dyDescent="0.2">
      <c r="A44" s="16" t="s">
        <v>43</v>
      </c>
      <c r="B44" s="73">
        <f>SUM(B36:B43,B32:B34,B29)</f>
        <v>100</v>
      </c>
      <c r="C44" s="17">
        <v>60.684187749186492</v>
      </c>
      <c r="D44" s="17">
        <v>64.807540880908348</v>
      </c>
      <c r="E44" s="18">
        <v>72.611313924073201</v>
      </c>
      <c r="F44" s="18">
        <v>75.900734670117231</v>
      </c>
      <c r="G44" s="18">
        <v>80.568542845421106</v>
      </c>
      <c r="H44" s="18">
        <v>89.651368722070842</v>
      </c>
      <c r="I44" s="18">
        <v>99.415139330518244</v>
      </c>
      <c r="J44" s="18">
        <v>103.38895723436703</v>
      </c>
      <c r="K44" s="18">
        <v>105.92043432963987</v>
      </c>
      <c r="L44" s="48">
        <v>6.7947735393016462</v>
      </c>
      <c r="M44" s="19">
        <v>12.041458350510826</v>
      </c>
      <c r="N44" s="19">
        <v>4.5301765913279723</v>
      </c>
      <c r="O44" s="19">
        <v>6.1498853675017617</v>
      </c>
      <c r="P44" s="19">
        <v>11.273414605593723</v>
      </c>
      <c r="Q44" s="19">
        <v>10.890821576540755</v>
      </c>
      <c r="R44" s="19">
        <v>3.9971959307297356</v>
      </c>
      <c r="S44" s="18">
        <v>2.4484985272985815</v>
      </c>
      <c r="T44" s="20" t="s">
        <v>7</v>
      </c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5"/>
      <c r="BK44" s="96"/>
      <c r="BL44" s="97"/>
      <c r="BM44" s="96"/>
      <c r="BN44" s="75"/>
      <c r="BO44" s="75"/>
      <c r="BP44" s="75"/>
      <c r="BQ44" s="75"/>
      <c r="BR44" s="75"/>
      <c r="BS44" s="75"/>
      <c r="BT44" s="67"/>
      <c r="BZ44" s="76"/>
    </row>
    <row r="45" spans="1:79" s="78" customFormat="1" ht="15" x14ac:dyDescent="0.2">
      <c r="A45" s="22" t="s">
        <v>44</v>
      </c>
      <c r="B45" s="50">
        <f>B44-B31</f>
        <v>92.357077568962453</v>
      </c>
      <c r="C45" s="23">
        <v>64.052485645287277</v>
      </c>
      <c r="D45" s="23">
        <v>67.18924401230818</v>
      </c>
      <c r="E45" s="23">
        <v>75.385471686170362</v>
      </c>
      <c r="F45" s="23">
        <v>79.51493809042644</v>
      </c>
      <c r="G45" s="23">
        <v>84.338371332150743</v>
      </c>
      <c r="H45" s="23">
        <v>91.679051572020867</v>
      </c>
      <c r="I45" s="23">
        <v>100.09850402946053</v>
      </c>
      <c r="J45" s="23">
        <v>103.35093616567913</v>
      </c>
      <c r="K45" s="95">
        <v>105.86527287347694</v>
      </c>
      <c r="L45" s="51">
        <v>4.8971688380553768</v>
      </c>
      <c r="M45" s="23">
        <v>12.198719890881261</v>
      </c>
      <c r="N45" s="23">
        <v>5.4778013745765852</v>
      </c>
      <c r="O45" s="23">
        <v>6.0660718068332953</v>
      </c>
      <c r="P45" s="23">
        <v>8.7038439608470028</v>
      </c>
      <c r="Q45" s="23">
        <v>9.1836164457106619</v>
      </c>
      <c r="R45" s="23">
        <v>3.2492315122525373</v>
      </c>
      <c r="S45" s="33">
        <v>2.4328146421113583</v>
      </c>
      <c r="T45" s="24" t="s">
        <v>32</v>
      </c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96"/>
      <c r="BL45" s="97"/>
      <c r="BM45" s="98"/>
      <c r="BN45" s="75"/>
      <c r="BO45" s="75"/>
      <c r="BP45" s="75"/>
      <c r="BQ45" s="75"/>
      <c r="BR45" s="75"/>
      <c r="BS45" s="75"/>
      <c r="BT45" s="77"/>
      <c r="BZ45" s="79"/>
    </row>
    <row r="46" spans="1:79" s="25" customFormat="1" ht="15" x14ac:dyDescent="0.2">
      <c r="A46" s="80" t="s">
        <v>51</v>
      </c>
      <c r="B46" s="47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34"/>
    </row>
    <row r="47" spans="1:79" ht="17.25" x14ac:dyDescent="0.2">
      <c r="A47" s="94" t="s">
        <v>52</v>
      </c>
      <c r="T47" s="86" t="s">
        <v>53</v>
      </c>
    </row>
    <row r="48" spans="1:79" ht="21" x14ac:dyDescent="0.2">
      <c r="A48" s="82"/>
    </row>
    <row r="49" spans="1:64" ht="21" x14ac:dyDescent="0.2">
      <c r="A49" s="82"/>
    </row>
    <row r="50" spans="1:64" x14ac:dyDescent="0.2">
      <c r="B50" s="3"/>
    </row>
    <row r="51" spans="1:64" x14ac:dyDescent="0.2">
      <c r="B51" s="3"/>
      <c r="BK51" s="84"/>
    </row>
    <row r="52" spans="1:64" x14ac:dyDescent="0.2">
      <c r="B52" s="3"/>
      <c r="BJ52" s="93"/>
      <c r="BK52" s="84"/>
      <c r="BL52" s="84"/>
    </row>
    <row r="53" spans="1:64" x14ac:dyDescent="0.2">
      <c r="B53" s="3"/>
      <c r="BJ53" s="93"/>
      <c r="BK53" s="84"/>
      <c r="BL53" s="84"/>
    </row>
    <row r="54" spans="1:64" x14ac:dyDescent="0.2">
      <c r="BJ54" s="93"/>
      <c r="BK54" s="84"/>
      <c r="BL54" s="84"/>
    </row>
    <row r="55" spans="1:64" x14ac:dyDescent="0.2">
      <c r="BJ55" s="93"/>
      <c r="BK55" s="84"/>
      <c r="BL55" s="84"/>
    </row>
    <row r="56" spans="1:64" x14ac:dyDescent="0.2">
      <c r="BJ56" s="93"/>
      <c r="BK56" s="84"/>
      <c r="BL56" s="84"/>
    </row>
    <row r="57" spans="1:64" x14ac:dyDescent="0.2">
      <c r="BJ57" s="93"/>
      <c r="BK57" s="84"/>
      <c r="BL57" s="84"/>
    </row>
    <row r="58" spans="1:64" x14ac:dyDescent="0.2">
      <c r="BJ58" s="93"/>
      <c r="BK58" s="84"/>
      <c r="BL58" s="84"/>
    </row>
    <row r="59" spans="1:64" x14ac:dyDescent="0.2">
      <c r="A59" s="3"/>
      <c r="BJ59" s="93"/>
      <c r="BK59" s="84"/>
      <c r="BL59" s="84"/>
    </row>
    <row r="60" spans="1:64" x14ac:dyDescent="0.2"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93"/>
      <c r="BK60" s="84"/>
      <c r="BL60" s="84"/>
    </row>
    <row r="61" spans="1:64" x14ac:dyDescent="0.2">
      <c r="A61" s="3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93"/>
      <c r="BK61" s="84"/>
      <c r="BL61" s="84"/>
    </row>
    <row r="62" spans="1:64" x14ac:dyDescent="0.2"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93"/>
      <c r="BK62" s="84"/>
      <c r="BL62" s="84"/>
    </row>
    <row r="63" spans="1:64" ht="23.25" x14ac:dyDescent="0.35">
      <c r="A63" s="85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93"/>
      <c r="BK63" s="84"/>
      <c r="BL63" s="84"/>
    </row>
    <row r="64" spans="1:64" x14ac:dyDescent="0.2"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93"/>
      <c r="BK64" s="84"/>
      <c r="BL64" s="84"/>
    </row>
    <row r="65" spans="3:64" x14ac:dyDescent="0.2"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93"/>
      <c r="BK65" s="84"/>
      <c r="BL65" s="84"/>
    </row>
    <row r="66" spans="3:64" x14ac:dyDescent="0.2"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93"/>
      <c r="BK66" s="84"/>
    </row>
    <row r="67" spans="3:64" x14ac:dyDescent="0.2"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93"/>
      <c r="BK67" s="84"/>
    </row>
    <row r="68" spans="3:64" x14ac:dyDescent="0.2"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93"/>
    </row>
    <row r="69" spans="3:64" x14ac:dyDescent="0.2"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93"/>
    </row>
    <row r="70" spans="3:64" x14ac:dyDescent="0.2"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93"/>
    </row>
    <row r="71" spans="3:64" x14ac:dyDescent="0.2"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93"/>
    </row>
    <row r="72" spans="3:64" x14ac:dyDescent="0.2"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93"/>
    </row>
    <row r="73" spans="3:64" x14ac:dyDescent="0.2"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93"/>
    </row>
    <row r="74" spans="3:64" x14ac:dyDescent="0.2">
      <c r="C74" s="3">
        <f>80*2</f>
        <v>160</v>
      </c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</row>
    <row r="75" spans="3:64" x14ac:dyDescent="0.2">
      <c r="C75" s="3">
        <f>200-C74</f>
        <v>40</v>
      </c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</row>
    <row r="76" spans="3:64" x14ac:dyDescent="0.2"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</row>
    <row r="77" spans="3:64" x14ac:dyDescent="0.2"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</row>
    <row r="78" spans="3:64" x14ac:dyDescent="0.2"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</row>
    <row r="79" spans="3:64" x14ac:dyDescent="0.2"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</row>
    <row r="80" spans="3:64" x14ac:dyDescent="0.2"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</row>
    <row r="81" spans="8:61" x14ac:dyDescent="0.2"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</row>
    <row r="82" spans="8:61" x14ac:dyDescent="0.2"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</row>
    <row r="83" spans="8:61" x14ac:dyDescent="0.2"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</row>
    <row r="84" spans="8:61" x14ac:dyDescent="0.2"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</row>
    <row r="85" spans="8:61" x14ac:dyDescent="0.2"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</row>
    <row r="86" spans="8:61" x14ac:dyDescent="0.2"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</row>
    <row r="87" spans="8:61" x14ac:dyDescent="0.2"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</row>
    <row r="88" spans="8:61" x14ac:dyDescent="0.2"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</row>
    <row r="89" spans="8:61" x14ac:dyDescent="0.2"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</row>
    <row r="90" spans="8:61" x14ac:dyDescent="0.2"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</row>
    <row r="91" spans="8:61" x14ac:dyDescent="0.2"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</row>
    <row r="92" spans="8:61" x14ac:dyDescent="0.2"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</row>
    <row r="93" spans="8:61" x14ac:dyDescent="0.2"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</row>
    <row r="94" spans="8:61" x14ac:dyDescent="0.2"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</row>
    <row r="95" spans="8:61" x14ac:dyDescent="0.2"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</row>
    <row r="96" spans="8:61" x14ac:dyDescent="0.2"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</row>
    <row r="97" spans="8:61" x14ac:dyDescent="0.2"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</row>
    <row r="98" spans="8:61" x14ac:dyDescent="0.2"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</row>
    <row r="99" spans="8:61" x14ac:dyDescent="0.2"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</row>
    <row r="100" spans="8:61" x14ac:dyDescent="0.2"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</row>
    <row r="101" spans="8:61" x14ac:dyDescent="0.2"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</row>
    <row r="102" spans="8:61" x14ac:dyDescent="0.2"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</row>
    <row r="103" spans="8:61" x14ac:dyDescent="0.2"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</row>
    <row r="104" spans="8:61" x14ac:dyDescent="0.2"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</row>
    <row r="105" spans="8:61" x14ac:dyDescent="0.2"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</row>
    <row r="106" spans="8:61" x14ac:dyDescent="0.2"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</row>
    <row r="107" spans="8:61" x14ac:dyDescent="0.2"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</row>
    <row r="108" spans="8:61" x14ac:dyDescent="0.2"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</row>
    <row r="109" spans="8:61" x14ac:dyDescent="0.2"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</row>
    <row r="110" spans="8:61" x14ac:dyDescent="0.2"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</row>
    <row r="111" spans="8:61" x14ac:dyDescent="0.2"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</row>
    <row r="112" spans="8:61" x14ac:dyDescent="0.2"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</row>
    <row r="113" spans="8:61" x14ac:dyDescent="0.2"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</row>
    <row r="114" spans="8:61" x14ac:dyDescent="0.2"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</row>
    <row r="115" spans="8:61" x14ac:dyDescent="0.2"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</row>
    <row r="116" spans="8:61" x14ac:dyDescent="0.2"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</row>
    <row r="117" spans="8:61" x14ac:dyDescent="0.2"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</row>
    <row r="118" spans="8:61" x14ac:dyDescent="0.2"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</row>
    <row r="119" spans="8:61" x14ac:dyDescent="0.2"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</row>
    <row r="120" spans="8:61" x14ac:dyDescent="0.2"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</row>
    <row r="121" spans="8:61" x14ac:dyDescent="0.2"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</row>
    <row r="122" spans="8:61" x14ac:dyDescent="0.2">
      <c r="H122" s="84"/>
      <c r="I122" s="84"/>
      <c r="J122" s="84"/>
      <c r="K122" s="84"/>
    </row>
    <row r="123" spans="8:61" x14ac:dyDescent="0.2">
      <c r="H123" s="84"/>
      <c r="I123" s="84"/>
      <c r="J123" s="84"/>
      <c r="K123" s="84"/>
    </row>
    <row r="124" spans="8:61" x14ac:dyDescent="0.2">
      <c r="H124" s="84"/>
      <c r="I124" s="84"/>
      <c r="J124" s="84"/>
      <c r="K124" s="84"/>
    </row>
    <row r="125" spans="8:61" x14ac:dyDescent="0.2">
      <c r="H125" s="84"/>
      <c r="I125" s="84"/>
      <c r="J125" s="84"/>
      <c r="K125" s="84"/>
    </row>
    <row r="126" spans="8:61" x14ac:dyDescent="0.2">
      <c r="H126" s="84"/>
      <c r="I126" s="84"/>
      <c r="J126" s="84"/>
      <c r="K126" s="84"/>
    </row>
    <row r="127" spans="8:61" x14ac:dyDescent="0.2">
      <c r="H127" s="84"/>
      <c r="I127" s="84"/>
      <c r="J127" s="84"/>
      <c r="K127" s="84"/>
    </row>
    <row r="128" spans="8:61" x14ac:dyDescent="0.2">
      <c r="H128" s="84"/>
      <c r="I128" s="84"/>
      <c r="J128" s="84"/>
      <c r="K128" s="84"/>
    </row>
    <row r="129" spans="8:11" x14ac:dyDescent="0.2">
      <c r="H129" s="84"/>
      <c r="I129" s="84"/>
      <c r="J129" s="84"/>
      <c r="K129" s="84"/>
    </row>
    <row r="130" spans="8:11" x14ac:dyDescent="0.2">
      <c r="H130" s="84"/>
      <c r="I130" s="84"/>
      <c r="J130" s="84"/>
      <c r="K130" s="84"/>
    </row>
    <row r="131" spans="8:11" x14ac:dyDescent="0.2">
      <c r="H131" s="84"/>
      <c r="I131" s="84"/>
      <c r="J131" s="84"/>
      <c r="K131" s="84"/>
    </row>
    <row r="132" spans="8:11" x14ac:dyDescent="0.2">
      <c r="H132" s="84"/>
      <c r="I132" s="84"/>
      <c r="J132" s="84"/>
      <c r="K132" s="84"/>
    </row>
    <row r="133" spans="8:11" x14ac:dyDescent="0.2">
      <c r="H133" s="84"/>
      <c r="I133" s="84"/>
      <c r="J133" s="84"/>
      <c r="K133" s="84"/>
    </row>
    <row r="134" spans="8:11" x14ac:dyDescent="0.2">
      <c r="H134" s="84"/>
      <c r="I134" s="84"/>
      <c r="J134" s="84"/>
      <c r="K134" s="84"/>
    </row>
    <row r="135" spans="8:11" x14ac:dyDescent="0.2">
      <c r="H135" s="84"/>
      <c r="I135" s="84"/>
      <c r="J135" s="84"/>
      <c r="K135" s="84"/>
    </row>
    <row r="136" spans="8:11" x14ac:dyDescent="0.2">
      <c r="H136" s="84"/>
      <c r="I136" s="84"/>
      <c r="J136" s="84"/>
      <c r="K136" s="84"/>
    </row>
    <row r="137" spans="8:11" x14ac:dyDescent="0.2">
      <c r="H137" s="84"/>
      <c r="I137" s="84"/>
      <c r="J137" s="84"/>
      <c r="K137" s="84"/>
    </row>
    <row r="138" spans="8:11" x14ac:dyDescent="0.2">
      <c r="H138" s="84"/>
      <c r="I138" s="84"/>
      <c r="J138" s="84"/>
      <c r="K138" s="84"/>
    </row>
    <row r="139" spans="8:11" x14ac:dyDescent="0.2">
      <c r="H139" s="84"/>
      <c r="I139" s="84"/>
      <c r="J139" s="84"/>
      <c r="K139" s="84"/>
    </row>
    <row r="140" spans="8:11" x14ac:dyDescent="0.2">
      <c r="H140" s="84"/>
      <c r="I140" s="84"/>
      <c r="J140" s="84"/>
      <c r="K140" s="84"/>
    </row>
    <row r="141" spans="8:11" x14ac:dyDescent="0.2">
      <c r="H141" s="84"/>
      <c r="I141" s="84"/>
      <c r="J141" s="84"/>
      <c r="K141" s="84"/>
    </row>
    <row r="142" spans="8:11" x14ac:dyDescent="0.2">
      <c r="H142" s="84"/>
      <c r="I142" s="84"/>
      <c r="J142" s="84"/>
      <c r="K142" s="84"/>
    </row>
    <row r="143" spans="8:11" x14ac:dyDescent="0.2">
      <c r="H143" s="84"/>
      <c r="I143" s="84"/>
      <c r="J143" s="84"/>
      <c r="K143" s="84"/>
    </row>
    <row r="144" spans="8:11" x14ac:dyDescent="0.2">
      <c r="H144" s="84"/>
      <c r="I144" s="84"/>
      <c r="J144" s="84"/>
      <c r="K144" s="84"/>
    </row>
    <row r="145" spans="8:11" x14ac:dyDescent="0.2">
      <c r="H145" s="84"/>
      <c r="I145" s="84"/>
      <c r="J145" s="84"/>
      <c r="K145" s="84"/>
    </row>
    <row r="146" spans="8:11" x14ac:dyDescent="0.2">
      <c r="H146" s="84"/>
      <c r="I146" s="84"/>
      <c r="J146" s="84"/>
      <c r="K146" s="84"/>
    </row>
    <row r="147" spans="8:11" x14ac:dyDescent="0.2">
      <c r="H147" s="84"/>
      <c r="I147" s="84"/>
      <c r="J147" s="84"/>
      <c r="K147" s="84"/>
    </row>
    <row r="148" spans="8:11" x14ac:dyDescent="0.2">
      <c r="H148" s="84"/>
      <c r="I148" s="84"/>
      <c r="J148" s="84"/>
      <c r="K148" s="84"/>
    </row>
    <row r="149" spans="8:11" x14ac:dyDescent="0.2">
      <c r="H149" s="84"/>
      <c r="I149" s="84"/>
      <c r="J149" s="84"/>
      <c r="K149" s="84"/>
    </row>
    <row r="150" spans="8:11" x14ac:dyDescent="0.2">
      <c r="H150" s="84"/>
      <c r="I150" s="84"/>
      <c r="J150" s="84"/>
      <c r="K150" s="84"/>
    </row>
    <row r="151" spans="8:11" x14ac:dyDescent="0.2">
      <c r="H151" s="84"/>
      <c r="I151" s="84"/>
      <c r="J151" s="84"/>
      <c r="K151" s="84"/>
    </row>
    <row r="152" spans="8:11" x14ac:dyDescent="0.2">
      <c r="H152" s="84"/>
      <c r="I152" s="84"/>
      <c r="J152" s="84"/>
      <c r="K152" s="84"/>
    </row>
    <row r="153" spans="8:11" x14ac:dyDescent="0.2">
      <c r="H153" s="84"/>
      <c r="I153" s="84"/>
      <c r="J153" s="84"/>
      <c r="K153" s="84"/>
    </row>
    <row r="154" spans="8:11" x14ac:dyDescent="0.2">
      <c r="H154" s="84"/>
      <c r="I154" s="84"/>
      <c r="J154" s="84"/>
      <c r="K154" s="84"/>
    </row>
    <row r="155" spans="8:11" x14ac:dyDescent="0.2">
      <c r="H155" s="84"/>
      <c r="I155" s="84"/>
      <c r="J155" s="84"/>
      <c r="K155" s="84"/>
    </row>
    <row r="156" spans="8:11" x14ac:dyDescent="0.2">
      <c r="H156" s="84"/>
      <c r="I156" s="84"/>
      <c r="J156" s="84"/>
      <c r="K156" s="84"/>
    </row>
    <row r="157" spans="8:11" x14ac:dyDescent="0.2">
      <c r="H157" s="84"/>
      <c r="I157" s="84"/>
      <c r="J157" s="84"/>
      <c r="K157" s="84"/>
    </row>
    <row r="158" spans="8:11" x14ac:dyDescent="0.2">
      <c r="H158" s="84"/>
      <c r="I158" s="84"/>
      <c r="J158" s="84"/>
      <c r="K158" s="84"/>
    </row>
    <row r="159" spans="8:11" x14ac:dyDescent="0.2">
      <c r="H159" s="84"/>
      <c r="I159" s="84"/>
      <c r="J159" s="84"/>
      <c r="K159" s="84"/>
    </row>
    <row r="160" spans="8:11" x14ac:dyDescent="0.2">
      <c r="H160" s="84"/>
      <c r="I160" s="84"/>
      <c r="J160" s="84"/>
      <c r="K160" s="84"/>
    </row>
    <row r="161" spans="8:11" x14ac:dyDescent="0.2">
      <c r="H161" s="84"/>
      <c r="I161" s="84"/>
      <c r="J161" s="84"/>
      <c r="K161" s="84"/>
    </row>
    <row r="162" spans="8:11" x14ac:dyDescent="0.2">
      <c r="H162" s="84"/>
      <c r="I162" s="84"/>
      <c r="J162" s="84"/>
      <c r="K162" s="84"/>
    </row>
    <row r="163" spans="8:11" x14ac:dyDescent="0.2">
      <c r="H163" s="84"/>
      <c r="I163" s="84"/>
      <c r="J163" s="84"/>
      <c r="K163" s="84"/>
    </row>
    <row r="164" spans="8:11" x14ac:dyDescent="0.2">
      <c r="H164" s="84"/>
      <c r="I164" s="84"/>
      <c r="J164" s="84"/>
      <c r="K164" s="84"/>
    </row>
    <row r="165" spans="8:11" x14ac:dyDescent="0.2">
      <c r="H165" s="84"/>
      <c r="I165" s="84"/>
      <c r="J165" s="84"/>
      <c r="K165" s="84"/>
    </row>
    <row r="166" spans="8:11" x14ac:dyDescent="0.2">
      <c r="H166" s="84"/>
      <c r="I166" s="84"/>
      <c r="J166" s="84"/>
      <c r="K166" s="84"/>
    </row>
    <row r="167" spans="8:11" x14ac:dyDescent="0.2">
      <c r="H167" s="84"/>
      <c r="I167" s="84"/>
      <c r="J167" s="84"/>
      <c r="K167" s="84"/>
    </row>
    <row r="168" spans="8:11" x14ac:dyDescent="0.2">
      <c r="H168" s="84"/>
      <c r="I168" s="84"/>
      <c r="J168" s="84"/>
      <c r="K168" s="84"/>
    </row>
    <row r="169" spans="8:11" x14ac:dyDescent="0.2">
      <c r="H169" s="84"/>
      <c r="I169" s="84"/>
      <c r="J169" s="84"/>
      <c r="K169" s="84"/>
    </row>
    <row r="170" spans="8:11" x14ac:dyDescent="0.2">
      <c r="H170" s="84"/>
      <c r="I170" s="84"/>
      <c r="J170" s="84"/>
      <c r="K170" s="84"/>
    </row>
    <row r="171" spans="8:11" x14ac:dyDescent="0.2">
      <c r="H171" s="84"/>
      <c r="I171" s="84"/>
      <c r="J171" s="84"/>
      <c r="K171" s="84"/>
    </row>
    <row r="172" spans="8:11" x14ac:dyDescent="0.2">
      <c r="H172" s="84"/>
      <c r="I172" s="84"/>
      <c r="J172" s="84"/>
      <c r="K172" s="84"/>
    </row>
    <row r="173" spans="8:11" x14ac:dyDescent="0.2">
      <c r="H173" s="84"/>
      <c r="I173" s="84"/>
      <c r="J173" s="84"/>
      <c r="K173" s="84"/>
    </row>
    <row r="174" spans="8:11" x14ac:dyDescent="0.2">
      <c r="H174" s="84"/>
      <c r="I174" s="84"/>
      <c r="J174" s="84"/>
      <c r="K174" s="84"/>
    </row>
    <row r="175" spans="8:11" x14ac:dyDescent="0.2">
      <c r="H175" s="84"/>
      <c r="I175" s="84"/>
      <c r="J175" s="84"/>
      <c r="K175" s="84"/>
    </row>
    <row r="176" spans="8:11" x14ac:dyDescent="0.2">
      <c r="H176" s="84"/>
      <c r="I176" s="84"/>
      <c r="J176" s="84"/>
      <c r="K176" s="84"/>
    </row>
    <row r="177" spans="8:11" x14ac:dyDescent="0.2">
      <c r="H177" s="84"/>
      <c r="I177" s="84"/>
      <c r="J177" s="84"/>
      <c r="K177" s="84"/>
    </row>
    <row r="178" spans="8:11" x14ac:dyDescent="0.2">
      <c r="H178" s="84"/>
      <c r="I178" s="84"/>
      <c r="J178" s="84"/>
      <c r="K178" s="84"/>
    </row>
    <row r="179" spans="8:11" x14ac:dyDescent="0.2">
      <c r="H179" s="84"/>
      <c r="I179" s="84"/>
      <c r="J179" s="84"/>
      <c r="K179" s="84"/>
    </row>
    <row r="180" spans="8:11" x14ac:dyDescent="0.2">
      <c r="H180" s="84"/>
      <c r="I180" s="84"/>
      <c r="J180" s="84"/>
      <c r="K180" s="84"/>
    </row>
    <row r="181" spans="8:11" x14ac:dyDescent="0.2">
      <c r="H181" s="84"/>
      <c r="I181" s="84"/>
      <c r="J181" s="84"/>
      <c r="K181" s="84"/>
    </row>
    <row r="182" spans="8:11" x14ac:dyDescent="0.2">
      <c r="H182" s="84"/>
      <c r="I182" s="84"/>
      <c r="J182" s="84"/>
      <c r="K182" s="84"/>
    </row>
    <row r="183" spans="8:11" x14ac:dyDescent="0.2">
      <c r="H183" s="84"/>
      <c r="I183" s="84"/>
      <c r="J183" s="84"/>
      <c r="K183" s="84"/>
    </row>
    <row r="184" spans="8:11" x14ac:dyDescent="0.2">
      <c r="H184" s="84"/>
      <c r="I184" s="84"/>
      <c r="J184" s="84"/>
      <c r="K184" s="84"/>
    </row>
    <row r="185" spans="8:11" x14ac:dyDescent="0.2">
      <c r="H185" s="84"/>
      <c r="I185" s="84"/>
      <c r="J185" s="84"/>
      <c r="K185" s="84"/>
    </row>
    <row r="186" spans="8:11" x14ac:dyDescent="0.2">
      <c r="H186" s="84"/>
      <c r="I186" s="84"/>
      <c r="J186" s="84"/>
      <c r="K186" s="84"/>
    </row>
    <row r="187" spans="8:11" x14ac:dyDescent="0.2">
      <c r="H187" s="84"/>
      <c r="I187" s="84"/>
      <c r="J187" s="84"/>
      <c r="K187" s="84"/>
    </row>
    <row r="188" spans="8:11" x14ac:dyDescent="0.2">
      <c r="H188" s="84"/>
      <c r="I188" s="84"/>
      <c r="J188" s="84"/>
      <c r="K188" s="84"/>
    </row>
    <row r="189" spans="8:11" x14ac:dyDescent="0.2">
      <c r="H189" s="84"/>
      <c r="I189" s="84"/>
      <c r="J189" s="84"/>
      <c r="K189" s="84"/>
    </row>
    <row r="190" spans="8:11" x14ac:dyDescent="0.2">
      <c r="H190" s="84"/>
      <c r="I190" s="84"/>
      <c r="J190" s="84"/>
      <c r="K190" s="84"/>
    </row>
    <row r="191" spans="8:11" x14ac:dyDescent="0.2">
      <c r="H191" s="84"/>
      <c r="I191" s="84"/>
      <c r="J191" s="84"/>
      <c r="K191" s="84"/>
    </row>
    <row r="192" spans="8:11" x14ac:dyDescent="0.2">
      <c r="H192" s="84"/>
      <c r="I192" s="84"/>
      <c r="J192" s="84"/>
      <c r="K192" s="84"/>
    </row>
    <row r="193" spans="8:11" x14ac:dyDescent="0.2">
      <c r="H193" s="84"/>
      <c r="I193" s="84"/>
      <c r="J193" s="84"/>
      <c r="K193" s="84"/>
    </row>
    <row r="194" spans="8:11" x14ac:dyDescent="0.2">
      <c r="H194" s="84"/>
      <c r="I194" s="84"/>
      <c r="J194" s="84"/>
      <c r="K194" s="84"/>
    </row>
    <row r="195" spans="8:11" x14ac:dyDescent="0.2">
      <c r="H195" s="84"/>
      <c r="I195" s="84"/>
      <c r="J195" s="84"/>
      <c r="K195" s="84"/>
    </row>
    <row r="196" spans="8:11" x14ac:dyDescent="0.2">
      <c r="H196" s="84"/>
      <c r="I196" s="84"/>
      <c r="J196" s="84"/>
      <c r="K196" s="84"/>
    </row>
    <row r="197" spans="8:11" x14ac:dyDescent="0.2">
      <c r="H197" s="84"/>
      <c r="I197" s="84"/>
      <c r="J197" s="84"/>
      <c r="K197" s="84"/>
    </row>
    <row r="198" spans="8:11" x14ac:dyDescent="0.2">
      <c r="H198" s="84"/>
      <c r="I198" s="84"/>
      <c r="J198" s="84"/>
      <c r="K198" s="84"/>
    </row>
    <row r="199" spans="8:11" x14ac:dyDescent="0.2">
      <c r="H199" s="84"/>
      <c r="I199" s="84"/>
      <c r="J199" s="84"/>
      <c r="K199" s="84"/>
    </row>
    <row r="200" spans="8:11" x14ac:dyDescent="0.2">
      <c r="H200" s="84"/>
      <c r="I200" s="84"/>
      <c r="J200" s="84"/>
      <c r="K200" s="84"/>
    </row>
    <row r="201" spans="8:11" x14ac:dyDescent="0.2">
      <c r="H201" s="84"/>
      <c r="I201" s="84"/>
      <c r="J201" s="84"/>
      <c r="K201" s="84"/>
    </row>
    <row r="202" spans="8:11" x14ac:dyDescent="0.2">
      <c r="H202" s="84"/>
      <c r="I202" s="84"/>
      <c r="J202" s="84"/>
      <c r="K202" s="84"/>
    </row>
    <row r="203" spans="8:11" x14ac:dyDescent="0.2">
      <c r="H203" s="84"/>
      <c r="I203" s="84"/>
      <c r="J203" s="84"/>
      <c r="K203" s="84"/>
    </row>
    <row r="204" spans="8:11" x14ac:dyDescent="0.2">
      <c r="H204" s="84"/>
      <c r="I204" s="84"/>
      <c r="J204" s="84"/>
      <c r="K204" s="84"/>
    </row>
    <row r="205" spans="8:11" x14ac:dyDescent="0.2">
      <c r="H205" s="84"/>
      <c r="I205" s="84"/>
      <c r="J205" s="84"/>
      <c r="K205" s="84"/>
    </row>
    <row r="206" spans="8:11" x14ac:dyDescent="0.2">
      <c r="H206" s="84"/>
      <c r="I206" s="84"/>
      <c r="J206" s="84"/>
      <c r="K206" s="84"/>
    </row>
    <row r="207" spans="8:11" x14ac:dyDescent="0.2">
      <c r="H207" s="84"/>
      <c r="I207" s="84"/>
      <c r="J207" s="84"/>
      <c r="K207" s="84"/>
    </row>
    <row r="208" spans="8:11" x14ac:dyDescent="0.2">
      <c r="H208" s="84"/>
      <c r="I208" s="84"/>
      <c r="J208" s="84"/>
      <c r="K208" s="84"/>
    </row>
    <row r="209" spans="8:11" x14ac:dyDescent="0.2">
      <c r="H209" s="84"/>
      <c r="I209" s="84"/>
      <c r="J209" s="84"/>
      <c r="K209" s="84"/>
    </row>
    <row r="210" spans="8:11" x14ac:dyDescent="0.2">
      <c r="H210" s="84"/>
      <c r="I210" s="84"/>
      <c r="J210" s="84"/>
      <c r="K210" s="84"/>
    </row>
    <row r="211" spans="8:11" x14ac:dyDescent="0.2">
      <c r="H211" s="84"/>
      <c r="I211" s="84"/>
      <c r="J211" s="84"/>
      <c r="K211" s="84"/>
    </row>
    <row r="212" spans="8:11" x14ac:dyDescent="0.2">
      <c r="H212" s="84"/>
      <c r="I212" s="84"/>
      <c r="J212" s="84"/>
      <c r="K212" s="84"/>
    </row>
    <row r="213" spans="8:11" x14ac:dyDescent="0.2">
      <c r="H213" s="84"/>
      <c r="I213" s="84"/>
      <c r="J213" s="84"/>
      <c r="K213" s="84"/>
    </row>
    <row r="214" spans="8:11" x14ac:dyDescent="0.2">
      <c r="H214" s="84"/>
      <c r="I214" s="84"/>
      <c r="J214" s="84"/>
      <c r="K214" s="84"/>
    </row>
  </sheetData>
  <mergeCells count="12">
    <mergeCell ref="B26:B27"/>
    <mergeCell ref="L6:Q6"/>
    <mergeCell ref="C6:I6"/>
    <mergeCell ref="L26:Q26"/>
    <mergeCell ref="L27:Q27"/>
    <mergeCell ref="A2:T2"/>
    <mergeCell ref="A1:T1"/>
    <mergeCell ref="L5:Q5"/>
    <mergeCell ref="C5:I5"/>
    <mergeCell ref="B5:B6"/>
    <mergeCell ref="A4:T4"/>
    <mergeCell ref="A3:T3"/>
  </mergeCells>
  <phoneticPr fontId="4" type="noConversion"/>
  <pageMargins left="0.25" right="0.25" top="0.75" bottom="0.75" header="0.3" footer="0.3"/>
  <pageSetup paperSize="9" scale="65" orientation="landscape" r:id="rId1"/>
  <headerFooter alignWithMargins="0"/>
  <rowBreaks count="1" manualBreakCount="1">
    <brk id="47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17.5</vt:lpstr>
      <vt:lpstr>'17.5'!Print_Area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2016-03-16T07:58:09Z</cp:lastPrinted>
  <dcterms:created xsi:type="dcterms:W3CDTF">2007-02-08T08:33:33Z</dcterms:created>
  <dcterms:modified xsi:type="dcterms:W3CDTF">2016-03-16T07:58:13Z</dcterms:modified>
</cp:coreProperties>
</file>