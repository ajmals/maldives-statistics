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7.10" sheetId="45" r:id="rId1"/>
  </sheets>
  <definedNames>
    <definedName name="bec">#REF!</definedName>
    <definedName name="ctry">'[1]CTRY monthly'!$B$100:$N$115</definedName>
    <definedName name="moomina">#REF!</definedName>
    <definedName name="_xlnm.Print_Area" localSheetId="0">'7.10'!$A$1:$D$79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O67" i="45" l="1"/>
  <c r="O66" i="45"/>
  <c r="O65" i="45"/>
  <c r="O61" i="45"/>
  <c r="O52" i="45"/>
  <c r="O51" i="45"/>
  <c r="O50" i="45"/>
  <c r="O42" i="45"/>
  <c r="O41" i="45"/>
  <c r="O39" i="45"/>
  <c r="O36" i="45"/>
  <c r="O35" i="45"/>
  <c r="O34" i="45"/>
  <c r="O25" i="45"/>
  <c r="O23" i="45"/>
  <c r="O13" i="45"/>
</calcChain>
</file>

<file path=xl/sharedStrings.xml><?xml version="1.0" encoding="utf-8"?>
<sst xmlns="http://schemas.openxmlformats.org/spreadsheetml/2006/main" count="49" uniqueCount="49">
  <si>
    <t>Jun</t>
  </si>
  <si>
    <t>Dec</t>
  </si>
  <si>
    <t>Oct</t>
  </si>
  <si>
    <t>Nov</t>
  </si>
  <si>
    <t>Source:  State Trading Organization</t>
  </si>
  <si>
    <t>cnwxEziawnwgoa gcniDErcT cTETcs :ctWrwfivcaed utWmUluAwm</t>
  </si>
  <si>
    <t>ތާވަލު 17.10: ތެލުގެ އަގަށް އައިސްފައިވާ ބަދަލުތައް، 2007 - 2014</t>
  </si>
  <si>
    <t>Table 17.10 :  PRICE CHANGES IN FUEL OIL, 2007 - 2014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</si>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</sst>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5" formatCode="_-* #,##0.00\ _ރ_._-;_-* #,##0.00\ _ރ_.\-;_-* &quot;-&quot;??\ _ރ_._-;_-@_-"/>
    <numFmt numFmtId="167" formatCode="General_)"/>
    <numFmt numFmtId="169" formatCode="0.00_)"/>
    <numFmt numFmtId="174" formatCode="mmm"/>
    <numFmt numFmtId="175" formatCode="[$-409]d/mmm/yyyy;@"/>
    <numFmt numFmtId="176" formatCode="[$-409]d\-mmm\-yy;@"/>
    <numFmt numFmtId="177" formatCode="dd\.mm\.yyyy;@"/>
  </numFmts>
  <fonts count="12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i/>
      <sz val="8"/>
      <name val="Calibri"/>
      <family val="2"/>
      <scheme val="minor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4" fillId="0" borderId="0"/>
    <xf numFmtId="167" fontId="2" fillId="0" borderId="0"/>
    <xf numFmtId="9" fontId="3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167" fontId="7" fillId="2" borderId="0" xfId="7" applyNumberFormat="1" applyFont="1" applyFill="1" applyAlignment="1">
      <alignment vertical="center"/>
    </xf>
    <xf numFmtId="0" fontId="7" fillId="2" borderId="0" xfId="7" applyNumberFormat="1" applyFont="1" applyFill="1" applyAlignment="1">
      <alignment vertical="center"/>
    </xf>
    <xf numFmtId="167" fontId="8" fillId="2" borderId="0" xfId="7" applyNumberFormat="1" applyFont="1" applyFill="1" applyBorder="1" applyAlignment="1" applyProtection="1">
      <alignment horizontal="center" vertical="center" wrapText="1"/>
    </xf>
    <xf numFmtId="167" fontId="8" fillId="2" borderId="0" xfId="7" applyNumberFormat="1" applyFont="1" applyFill="1" applyBorder="1" applyAlignment="1" applyProtection="1">
      <alignment vertical="center"/>
    </xf>
    <xf numFmtId="0" fontId="8" fillId="2" borderId="0" xfId="7" applyNumberFormat="1" applyFont="1" applyFill="1" applyBorder="1" applyAlignment="1" applyProtection="1">
      <alignment vertical="center"/>
    </xf>
    <xf numFmtId="0" fontId="8" fillId="2" borderId="0" xfId="7" applyNumberFormat="1" applyFont="1" applyFill="1" applyAlignment="1">
      <alignment vertical="center"/>
    </xf>
    <xf numFmtId="167" fontId="8" fillId="2" borderId="0" xfId="7" applyNumberFormat="1" applyFont="1" applyFill="1" applyAlignment="1">
      <alignment vertical="center"/>
    </xf>
    <xf numFmtId="167" fontId="8" fillId="2" borderId="0" xfId="7" applyNumberFormat="1" applyFont="1" applyFill="1" applyBorder="1" applyAlignment="1">
      <alignment horizontal="left" vertical="center"/>
    </xf>
    <xf numFmtId="167" fontId="5" fillId="2" borderId="0" xfId="7" applyNumberFormat="1" applyFont="1" applyFill="1" applyBorder="1" applyAlignment="1" applyProtection="1">
      <alignment horizontal="center" vertical="center"/>
    </xf>
    <xf numFmtId="167" fontId="8" fillId="2" borderId="0" xfId="7" applyNumberFormat="1" applyFont="1" applyFill="1" applyBorder="1" applyAlignment="1" applyProtection="1">
      <alignment horizontal="left" vertical="center"/>
    </xf>
    <xf numFmtId="167" fontId="8" fillId="2" borderId="0" xfId="7" applyNumberFormat="1" applyFont="1" applyFill="1" applyBorder="1" applyAlignment="1" applyProtection="1">
      <alignment horizontal="right" vertical="center"/>
    </xf>
    <xf numFmtId="167" fontId="5" fillId="2" borderId="0" xfId="7" applyNumberFormat="1" applyFont="1" applyFill="1" applyBorder="1" applyAlignment="1" applyProtection="1">
      <alignment horizontal="right" vertical="center"/>
    </xf>
    <xf numFmtId="167" fontId="8" fillId="2" borderId="2" xfId="7" applyNumberFormat="1" applyFont="1" applyFill="1" applyBorder="1" applyAlignment="1">
      <alignment horizontal="left" vertical="center"/>
    </xf>
    <xf numFmtId="167" fontId="8" fillId="2" borderId="2" xfId="7" applyNumberFormat="1" applyFont="1" applyFill="1" applyBorder="1" applyAlignment="1" applyProtection="1">
      <alignment horizontal="right" vertical="center"/>
    </xf>
    <xf numFmtId="37" fontId="7" fillId="2" borderId="0" xfId="7" applyNumberFormat="1" applyFont="1" applyFill="1" applyBorder="1" applyAlignment="1" applyProtection="1">
      <alignment horizontal="right" vertical="center"/>
      <protection locked="0"/>
    </xf>
    <xf numFmtId="169" fontId="7" fillId="2" borderId="0" xfId="7" applyNumberFormat="1" applyFont="1" applyFill="1" applyBorder="1" applyAlignment="1" applyProtection="1">
      <alignment horizontal="right" vertical="center"/>
      <protection locked="0"/>
    </xf>
    <xf numFmtId="169" fontId="6" fillId="2" borderId="0" xfId="7" applyNumberFormat="1" applyFont="1" applyFill="1" applyBorder="1" applyAlignment="1" applyProtection="1">
      <alignment horizontal="right" vertical="center"/>
      <protection locked="0"/>
    </xf>
    <xf numFmtId="167" fontId="7" fillId="2" borderId="0" xfId="7" applyNumberFormat="1" applyFont="1" applyFill="1" applyBorder="1" applyAlignment="1">
      <alignment vertical="center"/>
    </xf>
    <xf numFmtId="174" fontId="7" fillId="2" borderId="0" xfId="7" applyNumberFormat="1" applyFont="1" applyFill="1" applyAlignment="1">
      <alignment vertical="center"/>
    </xf>
    <xf numFmtId="0" fontId="7" fillId="2" borderId="0" xfId="7" applyNumberFormat="1" applyFont="1" applyFill="1" applyBorder="1" applyAlignment="1">
      <alignment vertical="center"/>
    </xf>
    <xf numFmtId="169" fontId="6" fillId="2" borderId="2" xfId="7" applyNumberFormat="1" applyFont="1" applyFill="1" applyBorder="1" applyAlignment="1" applyProtection="1">
      <alignment horizontal="right" vertical="center"/>
      <protection locked="0"/>
    </xf>
    <xf numFmtId="167" fontId="8" fillId="2" borderId="2" xfId="7" applyNumberFormat="1" applyFont="1" applyFill="1" applyBorder="1" applyAlignment="1" applyProtection="1">
      <alignment horizontal="left" vertical="center"/>
    </xf>
    <xf numFmtId="37" fontId="7" fillId="2" borderId="2" xfId="7" applyNumberFormat="1" applyFont="1" applyFill="1" applyBorder="1" applyAlignment="1" applyProtection="1">
      <alignment horizontal="right" vertical="center"/>
      <protection locked="0"/>
    </xf>
    <xf numFmtId="169" fontId="7" fillId="2" borderId="2" xfId="7" applyNumberFormat="1" applyFont="1" applyFill="1" applyBorder="1" applyAlignment="1" applyProtection="1">
      <alignment horizontal="right" vertical="center"/>
      <protection locked="0"/>
    </xf>
    <xf numFmtId="175" fontId="7" fillId="2" borderId="0" xfId="7" applyNumberFormat="1" applyFont="1" applyFill="1" applyBorder="1" applyAlignment="1" applyProtection="1">
      <alignment horizontal="right" vertical="center"/>
      <protection locked="0"/>
    </xf>
    <xf numFmtId="176" fontId="7" fillId="2" borderId="0" xfId="7" applyNumberFormat="1" applyFont="1" applyFill="1" applyBorder="1" applyAlignment="1" applyProtection="1">
      <alignment horizontal="right" vertical="center"/>
      <protection locked="0"/>
    </xf>
    <xf numFmtId="176" fontId="7" fillId="2" borderId="2" xfId="7" applyNumberFormat="1" applyFont="1" applyFill="1" applyBorder="1" applyAlignment="1" applyProtection="1">
      <alignment horizontal="right" vertical="center"/>
      <protection locked="0"/>
    </xf>
    <xf numFmtId="177" fontId="7" fillId="2" borderId="0" xfId="7" applyNumberFormat="1" applyFont="1" applyFill="1" applyBorder="1" applyAlignment="1" applyProtection="1">
      <alignment horizontal="right" vertical="center"/>
      <protection locked="0"/>
    </xf>
    <xf numFmtId="169" fontId="6" fillId="2" borderId="1" xfId="7" applyNumberFormat="1" applyFont="1" applyFill="1" applyBorder="1" applyAlignment="1" applyProtection="1">
      <alignment horizontal="right" vertical="center"/>
      <protection locked="0"/>
    </xf>
    <xf numFmtId="177" fontId="7" fillId="2" borderId="2" xfId="7" applyNumberFormat="1" applyFont="1" applyFill="1" applyBorder="1" applyAlignment="1" applyProtection="1">
      <alignment horizontal="right" vertical="center"/>
      <protection locked="0"/>
    </xf>
    <xf numFmtId="167" fontId="8" fillId="2" borderId="1" xfId="7" applyNumberFormat="1" applyFont="1" applyFill="1" applyBorder="1" applyAlignment="1">
      <alignment horizontal="left" vertical="center"/>
    </xf>
    <xf numFmtId="2" fontId="7" fillId="2" borderId="1" xfId="7" applyNumberFormat="1" applyFont="1" applyFill="1" applyBorder="1" applyAlignment="1">
      <alignment horizontal="right" vertical="center"/>
    </xf>
    <xf numFmtId="2" fontId="6" fillId="2" borderId="0" xfId="7" applyNumberFormat="1" applyFont="1" applyFill="1" applyBorder="1" applyAlignment="1">
      <alignment horizontal="right" vertical="center"/>
    </xf>
    <xf numFmtId="167" fontId="7" fillId="2" borderId="0" xfId="7" applyNumberFormat="1" applyFont="1" applyFill="1" applyBorder="1" applyAlignment="1">
      <alignment horizontal="left" vertical="center"/>
    </xf>
    <xf numFmtId="2" fontId="7" fillId="2" borderId="0" xfId="7" applyNumberFormat="1" applyFont="1" applyFill="1" applyBorder="1" applyAlignment="1">
      <alignment horizontal="right" vertical="center"/>
    </xf>
    <xf numFmtId="2" fontId="7" fillId="2" borderId="0" xfId="7" applyNumberFormat="1" applyFont="1" applyFill="1" applyBorder="1" applyAlignment="1">
      <alignment vertical="center"/>
    </xf>
    <xf numFmtId="2" fontId="6" fillId="2" borderId="0" xfId="7" applyNumberFormat="1" applyFont="1" applyFill="1" applyBorder="1" applyAlignment="1">
      <alignment vertical="center"/>
    </xf>
    <xf numFmtId="167" fontId="7" fillId="2" borderId="2" xfId="7" applyNumberFormat="1" applyFont="1" applyFill="1" applyBorder="1" applyAlignment="1">
      <alignment horizontal="left" vertical="center"/>
    </xf>
    <xf numFmtId="2" fontId="7" fillId="2" borderId="2" xfId="7" applyNumberFormat="1" applyFont="1" applyFill="1" applyBorder="1" applyAlignment="1">
      <alignment vertical="center"/>
    </xf>
    <xf numFmtId="167" fontId="10" fillId="2" borderId="0" xfId="7" applyNumberFormat="1" applyFont="1" applyFill="1" applyBorder="1" applyAlignment="1" applyProtection="1">
      <alignment horizontal="left" vertical="center"/>
    </xf>
    <xf numFmtId="167" fontId="6" fillId="2" borderId="0" xfId="7" applyNumberFormat="1" applyFont="1" applyFill="1" applyAlignment="1">
      <alignment vertical="center"/>
    </xf>
    <xf numFmtId="167" fontId="11" fillId="2" borderId="0" xfId="5" applyFont="1" applyFill="1" applyAlignment="1">
      <alignment horizontal="right" vertical="center"/>
    </xf>
    <xf numFmtId="167" fontId="6" fillId="2" borderId="0" xfId="7" applyNumberFormat="1" applyFont="1" applyFill="1" applyAlignment="1">
      <alignment horizontal="left" vertical="center"/>
    </xf>
    <xf numFmtId="167" fontId="7" fillId="2" borderId="0" xfId="7" applyNumberFormat="1" applyFont="1" applyFill="1" applyAlignment="1">
      <alignment horizontal="left" vertical="center"/>
    </xf>
    <xf numFmtId="2" fontId="6" fillId="2" borderId="1" xfId="7" applyNumberFormat="1" applyFont="1" applyFill="1" applyBorder="1" applyAlignment="1">
      <alignment horizontal="right" vertical="center"/>
    </xf>
    <xf numFmtId="2" fontId="6" fillId="2" borderId="2" xfId="7" applyNumberFormat="1" applyFont="1" applyFill="1" applyBorder="1" applyAlignment="1">
      <alignment vertical="center"/>
    </xf>
    <xf numFmtId="174" fontId="7" fillId="2" borderId="0" xfId="7" applyNumberFormat="1" applyFont="1" applyFill="1" applyAlignment="1">
      <alignment horizontal="right" vertical="center"/>
    </xf>
    <xf numFmtId="0" fontId="7" fillId="2" borderId="0" xfId="7" applyNumberFormat="1" applyFont="1" applyFill="1" applyAlignment="1">
      <alignment horizontal="right" vertical="center"/>
    </xf>
    <xf numFmtId="2" fontId="7" fillId="2" borderId="2" xfId="7" applyNumberFormat="1" applyFont="1" applyFill="1" applyBorder="1" applyAlignment="1">
      <alignment horizontal="right" vertical="center"/>
    </xf>
    <xf numFmtId="167" fontId="9" fillId="2" borderId="0" xfId="7" applyNumberFormat="1" applyFont="1" applyFill="1" applyAlignment="1">
      <alignment horizontal="center" vertical="center"/>
    </xf>
    <xf numFmtId="167" fontId="8" fillId="2" borderId="2" xfId="7" applyNumberFormat="1" applyFont="1" applyFill="1" applyBorder="1" applyAlignment="1" applyProtection="1">
      <alignment horizontal="center" vertical="center" wrapText="1"/>
    </xf>
    <xf numFmtId="167" fontId="8" fillId="2" borderId="3" xfId="7" applyNumberFormat="1" applyFont="1" applyFill="1" applyBorder="1" applyAlignment="1" applyProtection="1">
      <alignment horizontal="center" vertical="center"/>
    </xf>
  </cellXfs>
  <cellStyles count="8">
    <cellStyle name="1" xfId="1"/>
    <cellStyle name="Comma 2" xfId="2"/>
    <cellStyle name="Comma 3" xfId="3"/>
    <cellStyle name="Normal" xfId="0" builtinId="0"/>
    <cellStyle name="Normal - Style1" xfId="4"/>
    <cellStyle name="Normal_Fish &amp; Agri - 8" xfId="7"/>
    <cellStyle name="Normal_XII-12 (Commerce)" xfId="5"/>
    <cellStyle name="Percent 2" xfId="6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</a:defRPr>
            </a:pPr>
            <a:r>
              <a:rPr lang="en-US" sz="1100" b="1" i="0" u="none" strike="noStrike" baseline="0"/>
              <a:t>Figure 17.8: </a:t>
            </a:r>
            <a:r>
              <a:rPr lang="en-US" sz="1100">
                <a:solidFill>
                  <a:schemeClr val="tx1"/>
                </a:solidFill>
              </a:rPr>
              <a:t>Price Change in</a:t>
            </a:r>
            <a:r>
              <a:rPr lang="en-US" sz="1100" baseline="0">
                <a:solidFill>
                  <a:schemeClr val="tx1"/>
                </a:solidFill>
              </a:rPr>
              <a:t> Fuel Oil, 2010 - 2014</a:t>
            </a:r>
            <a:endParaRPr lang="en-US" sz="1100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54737296271681501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multiLvlStrRef>
              <c:f>'7.10'!$M$61:$N$79</c:f>
              <c:multiLvlStrCache>
                <c:ptCount val="19"/>
                <c:lvl>
                  <c:pt idx="0">
                    <c:v>Mar</c:v>
                  </c:pt>
                  <c:pt idx="1">
                    <c:v>Apr</c:v>
                  </c:pt>
                  <c:pt idx="2">
                    <c:v>Aug</c:v>
                  </c:pt>
                  <c:pt idx="3">
                    <c:v>Nov</c:v>
                  </c:pt>
                  <c:pt idx="4">
                    <c:v>Dec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Jan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Jun</c:v>
                  </c:pt>
                  <c:pt idx="13">
                    <c:v>Sept</c:v>
                  </c:pt>
                  <c:pt idx="14">
                    <c:v>Nov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Oct</c:v>
                  </c:pt>
                  <c:pt idx="18">
                    <c:v>Dec</c:v>
                  </c:pt>
                </c:lvl>
                <c:lvl>
                  <c:pt idx="0">
                    <c:v>2010 </c:v>
                  </c:pt>
                  <c:pt idx="5">
                    <c:v>2011 </c:v>
                  </c:pt>
                  <c:pt idx="9">
                    <c:v>2012 </c:v>
                  </c:pt>
                  <c:pt idx="15">
                    <c:v>2013 </c:v>
                  </c:pt>
                  <c:pt idx="17">
                    <c:v>2014 </c:v>
                  </c:pt>
                </c:lvl>
              </c:multiLvlStrCache>
            </c:multiLvlStrRef>
          </c:cat>
          <c:val>
            <c:numRef>
              <c:f>'7.10'!$O$61:$O$79</c:f>
              <c:numCache>
                <c:formatCode>0.00_)</c:formatCode>
                <c:ptCount val="19"/>
                <c:pt idx="0">
                  <c:v>8.9699999999999989</c:v>
                </c:pt>
                <c:pt idx="1">
                  <c:v>10.1</c:v>
                </c:pt>
                <c:pt idx="2">
                  <c:v>9.8000000000000007</c:v>
                </c:pt>
                <c:pt idx="3">
                  <c:v>10.1</c:v>
                </c:pt>
                <c:pt idx="4">
                  <c:v>9.3249999999999993</c:v>
                </c:pt>
                <c:pt idx="5" formatCode="0.00">
                  <c:v>11.324999999999999</c:v>
                </c:pt>
                <c:pt idx="6" formatCode="0.00">
                  <c:v>13.055</c:v>
                </c:pt>
                <c:pt idx="7" formatCode="0.00">
                  <c:v>15.09</c:v>
                </c:pt>
                <c:pt idx="8" formatCode="0.00">
                  <c:v>15.65</c:v>
                </c:pt>
                <c:pt idx="9" formatCode="0.00">
                  <c:v>15.03</c:v>
                </c:pt>
                <c:pt idx="10" formatCode="0.00">
                  <c:v>15.68</c:v>
                </c:pt>
                <c:pt idx="11" formatCode="0.00">
                  <c:v>16.5</c:v>
                </c:pt>
                <c:pt idx="12" formatCode="0.00">
                  <c:v>15.96</c:v>
                </c:pt>
                <c:pt idx="13" formatCode="0.00">
                  <c:v>16.45</c:v>
                </c:pt>
                <c:pt idx="14" formatCode="0.00">
                  <c:v>16.23</c:v>
                </c:pt>
                <c:pt idx="15" formatCode="0.00">
                  <c:v>16.489999999999998</c:v>
                </c:pt>
                <c:pt idx="16" formatCode="0.00">
                  <c:v>16.079999999999998</c:v>
                </c:pt>
                <c:pt idx="17" formatCode="0.00">
                  <c:v>14.83</c:v>
                </c:pt>
                <c:pt idx="18" formatCode="0.00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11232"/>
        <c:axId val="130513152"/>
      </c:lineChart>
      <c:catAx>
        <c:axId val="130511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130513152"/>
        <c:crosses val="autoZero"/>
        <c:auto val="1"/>
        <c:lblAlgn val="ctr"/>
        <c:lblOffset val="100"/>
        <c:noMultiLvlLbl val="0"/>
      </c:catAx>
      <c:valAx>
        <c:axId val="130513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305112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69447</xdr:colOff>
      <xdr:row>60</xdr:row>
      <xdr:rowOff>121921</xdr:rowOff>
    </xdr:from>
    <xdr:to>
      <xdr:col>3</xdr:col>
      <xdr:colOff>1371600</xdr:colOff>
      <xdr:row>76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79"/>
  <sheetViews>
    <sheetView tabSelected="1" zoomScaleNormal="100" workbookViewId="0">
      <selection activeCell="AH70" sqref="AH69:AH70"/>
    </sheetView>
  </sheetViews>
  <sheetFormatPr defaultColWidth="9.140625" defaultRowHeight="12.75" x14ac:dyDescent="0.2"/>
  <cols>
    <col min="1" max="1" width="18" style="44" customWidth="1"/>
    <col min="2" max="2" width="20.42578125" style="1" customWidth="1"/>
    <col min="3" max="11" width="21.85546875" style="1" customWidth="1"/>
    <col min="12" max="12" width="35.42578125" style="1" customWidth="1"/>
    <col min="13" max="13" width="9.140625" style="1"/>
    <col min="14" max="14" width="9.85546875" style="2" bestFit="1" customWidth="1"/>
    <col min="15" max="17" width="9.140625" style="2"/>
    <col min="18" max="16384" width="9.140625" style="1"/>
  </cols>
  <sheetData>
    <row r="1" spans="1:31" ht="18.75" x14ac:dyDescent="0.2">
      <c r="A1" s="50" t="s">
        <v>6</v>
      </c>
      <c r="B1" s="50"/>
      <c r="C1" s="50"/>
    </row>
    <row r="2" spans="1:31" s="7" customFormat="1" x14ac:dyDescent="0.2">
      <c r="A2" s="51" t="s">
        <v>7</v>
      </c>
      <c r="B2" s="51"/>
      <c r="C2" s="51"/>
      <c r="D2" s="3"/>
      <c r="E2" s="3"/>
      <c r="F2" s="3"/>
      <c r="G2" s="3"/>
      <c r="H2" s="3"/>
      <c r="I2" s="3"/>
      <c r="J2" s="3"/>
      <c r="K2" s="3"/>
      <c r="L2" s="4"/>
      <c r="M2" s="4"/>
      <c r="N2" s="5"/>
      <c r="O2" s="6"/>
      <c r="P2" s="6"/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7" customFormat="1" x14ac:dyDescent="0.2">
      <c r="A3" s="8"/>
      <c r="B3" s="52" t="s">
        <v>8</v>
      </c>
      <c r="C3" s="52"/>
      <c r="D3" s="9"/>
      <c r="E3" s="9"/>
      <c r="F3" s="9"/>
      <c r="G3" s="9"/>
      <c r="H3" s="9"/>
      <c r="I3" s="9"/>
      <c r="J3" s="9"/>
      <c r="K3" s="9"/>
      <c r="N3" s="6"/>
      <c r="O3" s="6"/>
      <c r="P3" s="6"/>
      <c r="Q3" s="6"/>
    </row>
    <row r="4" spans="1:31" s="7" customFormat="1" x14ac:dyDescent="0.2">
      <c r="A4" s="10" t="s">
        <v>9</v>
      </c>
      <c r="B4" s="11" t="s">
        <v>10</v>
      </c>
      <c r="C4" s="11" t="s">
        <v>11</v>
      </c>
      <c r="D4" s="12"/>
      <c r="E4" s="12"/>
      <c r="F4" s="12"/>
      <c r="G4" s="12"/>
      <c r="H4" s="12"/>
      <c r="I4" s="12"/>
      <c r="J4" s="12"/>
      <c r="K4" s="12"/>
      <c r="N4" s="6"/>
      <c r="O4" s="6"/>
      <c r="P4" s="6"/>
      <c r="Q4" s="6"/>
    </row>
    <row r="5" spans="1:31" s="7" customFormat="1" x14ac:dyDescent="0.2">
      <c r="A5" s="13"/>
      <c r="B5" s="14" t="s">
        <v>12</v>
      </c>
      <c r="C5" s="14" t="s">
        <v>13</v>
      </c>
      <c r="D5" s="12"/>
      <c r="E5" s="12"/>
      <c r="F5" s="12"/>
      <c r="G5" s="12"/>
      <c r="H5" s="12"/>
      <c r="I5" s="12"/>
      <c r="J5" s="12"/>
      <c r="K5" s="12"/>
      <c r="P5" s="6"/>
      <c r="Q5" s="6"/>
    </row>
    <row r="6" spans="1:31" s="18" customFormat="1" x14ac:dyDescent="0.2">
      <c r="A6" s="10">
        <v>2007</v>
      </c>
      <c r="B6" s="15" t="s">
        <v>14</v>
      </c>
      <c r="C6" s="16">
        <v>8.35</v>
      </c>
      <c r="D6" s="17"/>
      <c r="E6" s="17"/>
      <c r="F6" s="17"/>
      <c r="G6" s="17"/>
      <c r="H6" s="17"/>
      <c r="I6" s="17"/>
      <c r="J6" s="17"/>
      <c r="K6" s="17"/>
      <c r="M6" s="1">
        <v>2002</v>
      </c>
      <c r="N6" s="19">
        <v>37257</v>
      </c>
      <c r="O6" s="17">
        <v>3.95</v>
      </c>
      <c r="P6" s="20"/>
      <c r="Q6" s="20"/>
    </row>
    <row r="7" spans="1:31" s="18" customFormat="1" x14ac:dyDescent="0.2">
      <c r="A7" s="10"/>
      <c r="B7" s="15" t="s">
        <v>15</v>
      </c>
      <c r="C7" s="16">
        <v>8.3000000000000007</v>
      </c>
      <c r="D7" s="17"/>
      <c r="E7" s="17"/>
      <c r="F7" s="17"/>
      <c r="G7" s="17"/>
      <c r="H7" s="17"/>
      <c r="I7" s="17"/>
      <c r="J7" s="17"/>
      <c r="K7" s="17"/>
      <c r="M7" s="1"/>
      <c r="N7" s="19">
        <v>37347</v>
      </c>
      <c r="O7" s="17">
        <v>4.1500000000000004</v>
      </c>
      <c r="P7" s="20"/>
      <c r="Q7" s="20"/>
    </row>
    <row r="8" spans="1:31" s="18" customFormat="1" x14ac:dyDescent="0.2">
      <c r="A8" s="10"/>
      <c r="B8" s="15" t="s">
        <v>16</v>
      </c>
      <c r="C8" s="16">
        <v>8.1999999999999993</v>
      </c>
      <c r="D8" s="17"/>
      <c r="E8" s="17"/>
      <c r="F8" s="17"/>
      <c r="G8" s="17"/>
      <c r="H8" s="17"/>
      <c r="I8" s="17"/>
      <c r="J8" s="17"/>
      <c r="K8" s="17"/>
      <c r="M8" s="1"/>
      <c r="N8" s="19">
        <v>37408</v>
      </c>
      <c r="O8" s="17">
        <v>4.0999999999999996</v>
      </c>
      <c r="P8" s="20"/>
      <c r="Q8" s="20"/>
    </row>
    <row r="9" spans="1:31" s="18" customFormat="1" x14ac:dyDescent="0.2">
      <c r="A9" s="10"/>
      <c r="B9" s="15" t="s">
        <v>17</v>
      </c>
      <c r="C9" s="16">
        <v>8.0500000000000007</v>
      </c>
      <c r="D9" s="17"/>
      <c r="E9" s="17"/>
      <c r="F9" s="17"/>
      <c r="G9" s="17"/>
      <c r="H9" s="17"/>
      <c r="I9" s="17"/>
      <c r="J9" s="17"/>
      <c r="K9" s="17"/>
      <c r="M9" s="1"/>
      <c r="N9" s="19">
        <v>37500</v>
      </c>
      <c r="O9" s="17">
        <v>4.2</v>
      </c>
      <c r="P9" s="20"/>
      <c r="Q9" s="20"/>
    </row>
    <row r="10" spans="1:31" s="18" customFormat="1" x14ac:dyDescent="0.2">
      <c r="A10" s="10"/>
      <c r="B10" s="15" t="s">
        <v>18</v>
      </c>
      <c r="C10" s="16">
        <v>8.15</v>
      </c>
      <c r="D10" s="17"/>
      <c r="E10" s="17"/>
      <c r="F10" s="17"/>
      <c r="G10" s="17"/>
      <c r="H10" s="17"/>
      <c r="I10" s="17"/>
      <c r="J10" s="17"/>
      <c r="K10" s="17"/>
      <c r="M10" s="1"/>
      <c r="N10" s="19">
        <v>37561</v>
      </c>
      <c r="O10" s="21">
        <v>4.0999999999999996</v>
      </c>
      <c r="P10" s="20"/>
      <c r="Q10" s="20"/>
    </row>
    <row r="11" spans="1:31" s="18" customFormat="1" x14ac:dyDescent="0.2">
      <c r="A11" s="10"/>
      <c r="B11" s="15" t="s">
        <v>19</v>
      </c>
      <c r="C11" s="16">
        <v>8.3000000000000007</v>
      </c>
      <c r="D11" s="17"/>
      <c r="E11" s="17"/>
      <c r="F11" s="17"/>
      <c r="G11" s="17"/>
      <c r="H11" s="17"/>
      <c r="I11" s="17"/>
      <c r="J11" s="17"/>
      <c r="K11" s="17"/>
      <c r="M11" s="1">
        <v>2003</v>
      </c>
      <c r="N11" s="19">
        <v>37622</v>
      </c>
      <c r="O11" s="17">
        <v>4.2</v>
      </c>
      <c r="P11" s="20"/>
      <c r="Q11" s="20"/>
    </row>
    <row r="12" spans="1:31" s="18" customFormat="1" x14ac:dyDescent="0.2">
      <c r="A12" s="10"/>
      <c r="B12" s="15" t="s">
        <v>20</v>
      </c>
      <c r="C12" s="16">
        <v>8.65</v>
      </c>
      <c r="D12" s="17"/>
      <c r="E12" s="17"/>
      <c r="F12" s="17"/>
      <c r="G12" s="17"/>
      <c r="H12" s="17"/>
      <c r="I12" s="17"/>
      <c r="J12" s="17"/>
      <c r="K12" s="17"/>
      <c r="M12" s="1"/>
      <c r="N12" s="19">
        <v>37653</v>
      </c>
      <c r="O12" s="17">
        <v>4.4000000000000004</v>
      </c>
      <c r="P12" s="20"/>
      <c r="Q12" s="20"/>
    </row>
    <row r="13" spans="1:31" s="18" customFormat="1" x14ac:dyDescent="0.2">
      <c r="A13" s="10"/>
      <c r="B13" s="15" t="s">
        <v>21</v>
      </c>
      <c r="C13" s="16">
        <v>9.1</v>
      </c>
      <c r="D13" s="17"/>
      <c r="E13" s="17"/>
      <c r="F13" s="17"/>
      <c r="G13" s="17"/>
      <c r="H13" s="17"/>
      <c r="I13" s="17"/>
      <c r="J13" s="17"/>
      <c r="K13" s="17"/>
      <c r="M13" s="1"/>
      <c r="N13" s="19">
        <v>37681</v>
      </c>
      <c r="O13" s="17" t="e">
        <f>(#REF!+#REF!)/2</f>
        <v>#REF!</v>
      </c>
      <c r="P13" s="20"/>
      <c r="Q13" s="20"/>
    </row>
    <row r="14" spans="1:31" s="18" customFormat="1" x14ac:dyDescent="0.2">
      <c r="A14" s="10"/>
      <c r="B14" s="15" t="s">
        <v>22</v>
      </c>
      <c r="C14" s="16">
        <v>10</v>
      </c>
      <c r="D14" s="17"/>
      <c r="E14" s="17"/>
      <c r="F14" s="17"/>
      <c r="G14" s="17"/>
      <c r="H14" s="17"/>
      <c r="I14" s="17"/>
      <c r="J14" s="17"/>
      <c r="K14" s="17"/>
      <c r="M14" s="1"/>
      <c r="N14" s="19">
        <v>37712</v>
      </c>
      <c r="O14" s="17">
        <v>4.4000000000000004</v>
      </c>
      <c r="P14" s="20"/>
      <c r="Q14" s="20"/>
    </row>
    <row r="15" spans="1:31" s="18" customFormat="1" x14ac:dyDescent="0.2">
      <c r="A15" s="22"/>
      <c r="B15" s="23" t="s">
        <v>23</v>
      </c>
      <c r="C15" s="24">
        <v>10.3</v>
      </c>
      <c r="D15" s="17"/>
      <c r="E15" s="17"/>
      <c r="F15" s="17"/>
      <c r="G15" s="17"/>
      <c r="H15" s="17"/>
      <c r="I15" s="17"/>
      <c r="J15" s="17"/>
      <c r="K15" s="17"/>
      <c r="M15" s="1"/>
      <c r="N15" s="19">
        <v>37742</v>
      </c>
      <c r="O15" s="17">
        <v>4.25</v>
      </c>
      <c r="P15" s="20"/>
      <c r="Q15" s="20"/>
    </row>
    <row r="16" spans="1:31" s="18" customFormat="1" x14ac:dyDescent="0.2">
      <c r="A16" s="10">
        <v>2008</v>
      </c>
      <c r="B16" s="25" t="s">
        <v>24</v>
      </c>
      <c r="C16" s="16">
        <v>11.3</v>
      </c>
      <c r="D16" s="17"/>
      <c r="E16" s="17"/>
      <c r="F16" s="17"/>
      <c r="G16" s="17"/>
      <c r="H16" s="17"/>
      <c r="I16" s="17"/>
      <c r="J16" s="17"/>
      <c r="K16" s="17"/>
      <c r="M16" s="1"/>
      <c r="N16" s="19">
        <v>37773</v>
      </c>
      <c r="O16" s="17">
        <v>4.0999999999999996</v>
      </c>
      <c r="P16" s="20"/>
      <c r="Q16" s="20"/>
    </row>
    <row r="17" spans="1:17" s="18" customFormat="1" x14ac:dyDescent="0.2">
      <c r="A17" s="10"/>
      <c r="B17" s="26" t="s">
        <v>25</v>
      </c>
      <c r="C17" s="16">
        <v>12.55</v>
      </c>
      <c r="D17" s="17"/>
      <c r="E17" s="17"/>
      <c r="F17" s="17"/>
      <c r="G17" s="17"/>
      <c r="H17" s="17"/>
      <c r="I17" s="17"/>
      <c r="J17" s="17"/>
      <c r="K17" s="17"/>
      <c r="M17" s="1"/>
      <c r="N17" s="19">
        <v>37834</v>
      </c>
      <c r="O17" s="17">
        <v>4.2</v>
      </c>
      <c r="P17" s="20"/>
      <c r="Q17" s="20"/>
    </row>
    <row r="18" spans="1:17" s="18" customFormat="1" x14ac:dyDescent="0.2">
      <c r="A18" s="10"/>
      <c r="B18" s="26" t="s">
        <v>26</v>
      </c>
      <c r="C18" s="16">
        <v>15.5</v>
      </c>
      <c r="D18" s="17"/>
      <c r="E18" s="17"/>
      <c r="F18" s="17"/>
      <c r="G18" s="17"/>
      <c r="H18" s="17"/>
      <c r="I18" s="17"/>
      <c r="J18" s="17"/>
      <c r="K18" s="17"/>
      <c r="M18" s="1"/>
      <c r="N18" s="19">
        <v>37865</v>
      </c>
      <c r="O18" s="17">
        <v>4.3</v>
      </c>
      <c r="P18" s="20"/>
      <c r="Q18" s="20"/>
    </row>
    <row r="19" spans="1:17" s="18" customFormat="1" x14ac:dyDescent="0.2">
      <c r="A19" s="10"/>
      <c r="B19" s="26" t="s">
        <v>27</v>
      </c>
      <c r="C19" s="16">
        <v>17.5</v>
      </c>
      <c r="D19" s="17"/>
      <c r="E19" s="17"/>
      <c r="F19" s="17"/>
      <c r="G19" s="17"/>
      <c r="H19" s="17"/>
      <c r="I19" s="17"/>
      <c r="J19" s="17"/>
      <c r="K19" s="17"/>
      <c r="M19" s="1"/>
      <c r="N19" s="19">
        <v>37926</v>
      </c>
      <c r="O19" s="21">
        <v>4.4000000000000004</v>
      </c>
      <c r="P19" s="20"/>
      <c r="Q19" s="20"/>
    </row>
    <row r="20" spans="1:17" s="18" customFormat="1" x14ac:dyDescent="0.2">
      <c r="A20" s="10"/>
      <c r="B20" s="26" t="s">
        <v>28</v>
      </c>
      <c r="C20" s="16">
        <v>17.25</v>
      </c>
      <c r="D20" s="17"/>
      <c r="E20" s="17"/>
      <c r="F20" s="17"/>
      <c r="G20" s="17"/>
      <c r="H20" s="17"/>
      <c r="I20" s="17"/>
      <c r="J20" s="17"/>
      <c r="K20" s="17"/>
      <c r="M20" s="1">
        <v>2004</v>
      </c>
      <c r="N20" s="19">
        <v>37987</v>
      </c>
      <c r="O20" s="17">
        <v>4.5999999999999996</v>
      </c>
      <c r="P20" s="20"/>
      <c r="Q20" s="20"/>
    </row>
    <row r="21" spans="1:17" s="18" customFormat="1" x14ac:dyDescent="0.2">
      <c r="A21" s="10"/>
      <c r="B21" s="26" t="s">
        <v>29</v>
      </c>
      <c r="C21" s="16">
        <v>16.5</v>
      </c>
      <c r="D21" s="17"/>
      <c r="E21" s="17"/>
      <c r="F21" s="17"/>
      <c r="G21" s="17"/>
      <c r="H21" s="17"/>
      <c r="I21" s="17"/>
      <c r="J21" s="17"/>
      <c r="K21" s="17"/>
      <c r="M21" s="1"/>
      <c r="N21" s="19">
        <v>38018</v>
      </c>
      <c r="O21" s="17">
        <v>4.55</v>
      </c>
      <c r="P21" s="20"/>
      <c r="Q21" s="20"/>
    </row>
    <row r="22" spans="1:17" s="18" customFormat="1" x14ac:dyDescent="0.2">
      <c r="A22" s="10"/>
      <c r="B22" s="26" t="s">
        <v>30</v>
      </c>
      <c r="C22" s="16">
        <v>15.75</v>
      </c>
      <c r="D22" s="17"/>
      <c r="E22" s="17"/>
      <c r="F22" s="17"/>
      <c r="G22" s="17"/>
      <c r="H22" s="17"/>
      <c r="I22" s="17"/>
      <c r="J22" s="17"/>
      <c r="K22" s="17"/>
      <c r="M22" s="1"/>
      <c r="N22" s="19">
        <v>38047</v>
      </c>
      <c r="O22" s="17">
        <v>4.75</v>
      </c>
      <c r="P22" s="20"/>
      <c r="Q22" s="20"/>
    </row>
    <row r="23" spans="1:17" s="18" customFormat="1" x14ac:dyDescent="0.2">
      <c r="A23" s="10"/>
      <c r="B23" s="26" t="s">
        <v>31</v>
      </c>
      <c r="C23" s="16">
        <v>14.75</v>
      </c>
      <c r="D23" s="17"/>
      <c r="E23" s="17"/>
      <c r="F23" s="17"/>
      <c r="G23" s="17"/>
      <c r="H23" s="17"/>
      <c r="I23" s="17"/>
      <c r="J23" s="17"/>
      <c r="K23" s="17"/>
      <c r="M23" s="1"/>
      <c r="N23" s="19">
        <v>38200</v>
      </c>
      <c r="O23" s="17" t="e">
        <f>(#REF!+#REF!)/2</f>
        <v>#REF!</v>
      </c>
      <c r="P23" s="20"/>
      <c r="Q23" s="20"/>
    </row>
    <row r="24" spans="1:17" s="18" customFormat="1" x14ac:dyDescent="0.2">
      <c r="A24" s="10"/>
      <c r="B24" s="26" t="s">
        <v>32</v>
      </c>
      <c r="C24" s="16">
        <v>14.25</v>
      </c>
      <c r="D24" s="17"/>
      <c r="E24" s="17"/>
      <c r="F24" s="17"/>
      <c r="G24" s="17"/>
      <c r="H24" s="17"/>
      <c r="I24" s="17"/>
      <c r="J24" s="17"/>
      <c r="K24" s="17"/>
      <c r="M24" s="1"/>
      <c r="N24" s="19">
        <v>38231</v>
      </c>
      <c r="O24" s="17">
        <v>5.3</v>
      </c>
      <c r="P24" s="20"/>
      <c r="Q24" s="20"/>
    </row>
    <row r="25" spans="1:17" s="18" customFormat="1" x14ac:dyDescent="0.2">
      <c r="A25" s="10"/>
      <c r="B25" s="26" t="s">
        <v>33</v>
      </c>
      <c r="C25" s="16">
        <v>13.5</v>
      </c>
      <c r="D25" s="17"/>
      <c r="E25" s="17"/>
      <c r="F25" s="17"/>
      <c r="G25" s="17"/>
      <c r="H25" s="17"/>
      <c r="I25" s="17"/>
      <c r="J25" s="17"/>
      <c r="K25" s="17"/>
      <c r="M25" s="1"/>
      <c r="N25" s="19">
        <v>38261</v>
      </c>
      <c r="O25" s="17" t="e">
        <f>(#REF!+#REF!)/2</f>
        <v>#REF!</v>
      </c>
      <c r="P25" s="20"/>
      <c r="Q25" s="20"/>
    </row>
    <row r="26" spans="1:17" s="18" customFormat="1" x14ac:dyDescent="0.2">
      <c r="A26" s="10"/>
      <c r="B26" s="26" t="s">
        <v>34</v>
      </c>
      <c r="C26" s="16">
        <v>12.5</v>
      </c>
      <c r="D26" s="17"/>
      <c r="E26" s="17"/>
      <c r="F26" s="17"/>
      <c r="G26" s="17"/>
      <c r="H26" s="17"/>
      <c r="I26" s="17"/>
      <c r="J26" s="17"/>
      <c r="K26" s="17"/>
      <c r="M26" s="1"/>
      <c r="N26" s="19">
        <v>38322</v>
      </c>
      <c r="O26" s="21">
        <v>5.75</v>
      </c>
      <c r="P26" s="20"/>
      <c r="Q26" s="20"/>
    </row>
    <row r="27" spans="1:17" s="18" customFormat="1" x14ac:dyDescent="0.2">
      <c r="A27" s="10"/>
      <c r="B27" s="26" t="s">
        <v>35</v>
      </c>
      <c r="C27" s="16">
        <v>10.75</v>
      </c>
      <c r="D27" s="17"/>
      <c r="E27" s="17"/>
      <c r="F27" s="17"/>
      <c r="G27" s="17"/>
      <c r="H27" s="17"/>
      <c r="I27" s="17"/>
      <c r="J27" s="17"/>
      <c r="K27" s="17"/>
      <c r="M27" s="18">
        <v>2005</v>
      </c>
      <c r="N27" s="19">
        <v>38412</v>
      </c>
      <c r="O27" s="17">
        <v>6.2</v>
      </c>
      <c r="P27" s="20"/>
      <c r="Q27" s="20"/>
    </row>
    <row r="28" spans="1:17" s="18" customFormat="1" x14ac:dyDescent="0.2">
      <c r="A28" s="10"/>
      <c r="B28" s="26" t="s">
        <v>36</v>
      </c>
      <c r="C28" s="16">
        <v>8.75</v>
      </c>
      <c r="D28" s="17"/>
      <c r="E28" s="17"/>
      <c r="F28" s="17"/>
      <c r="G28" s="17"/>
      <c r="H28" s="17"/>
      <c r="I28" s="17"/>
      <c r="J28" s="17"/>
      <c r="K28" s="17"/>
      <c r="N28" s="19">
        <v>38443</v>
      </c>
      <c r="O28" s="17">
        <v>6.4</v>
      </c>
      <c r="P28" s="20"/>
      <c r="Q28" s="20"/>
    </row>
    <row r="29" spans="1:17" s="18" customFormat="1" x14ac:dyDescent="0.2">
      <c r="A29" s="22"/>
      <c r="B29" s="27" t="s">
        <v>37</v>
      </c>
      <c r="C29" s="24">
        <v>7</v>
      </c>
      <c r="D29" s="17"/>
      <c r="E29" s="17"/>
      <c r="F29" s="17"/>
      <c r="G29" s="17"/>
      <c r="H29" s="17"/>
      <c r="I29" s="17"/>
      <c r="J29" s="17"/>
      <c r="K29" s="17"/>
      <c r="N29" s="19">
        <v>38534</v>
      </c>
      <c r="O29" s="17">
        <v>6.75</v>
      </c>
      <c r="P29" s="20"/>
      <c r="Q29" s="20"/>
    </row>
    <row r="30" spans="1:17" s="18" customFormat="1" x14ac:dyDescent="0.2">
      <c r="A30" s="10">
        <v>2009</v>
      </c>
      <c r="B30" s="28">
        <v>39820</v>
      </c>
      <c r="C30" s="16">
        <v>7.4</v>
      </c>
      <c r="D30" s="17"/>
      <c r="E30" s="17"/>
      <c r="F30" s="17"/>
      <c r="G30" s="17"/>
      <c r="H30" s="17"/>
      <c r="I30" s="17"/>
      <c r="J30" s="17"/>
      <c r="K30" s="17"/>
      <c r="N30" s="19">
        <v>38565</v>
      </c>
      <c r="O30" s="17">
        <v>6.95</v>
      </c>
      <c r="P30" s="20"/>
      <c r="Q30" s="20"/>
    </row>
    <row r="31" spans="1:17" s="18" customFormat="1" x14ac:dyDescent="0.2">
      <c r="A31" s="10"/>
      <c r="B31" s="28">
        <v>39864</v>
      </c>
      <c r="C31" s="16">
        <v>6.7</v>
      </c>
      <c r="E31" s="17"/>
      <c r="F31" s="17"/>
      <c r="G31" s="17"/>
      <c r="H31" s="17"/>
      <c r="I31" s="17"/>
      <c r="J31" s="17"/>
      <c r="K31" s="17"/>
      <c r="N31" s="19">
        <v>38596</v>
      </c>
      <c r="O31" s="17">
        <v>7.2</v>
      </c>
      <c r="P31" s="20"/>
      <c r="Q31" s="20"/>
    </row>
    <row r="32" spans="1:17" s="18" customFormat="1" x14ac:dyDescent="0.2">
      <c r="A32" s="10"/>
      <c r="B32" s="28">
        <v>39927</v>
      </c>
      <c r="C32" s="16">
        <v>7.3</v>
      </c>
      <c r="D32" s="17"/>
      <c r="E32" s="17"/>
      <c r="F32" s="17"/>
      <c r="G32" s="17"/>
      <c r="H32" s="17"/>
      <c r="I32" s="17"/>
      <c r="J32" s="17"/>
      <c r="K32" s="17"/>
      <c r="N32" s="19">
        <v>38626</v>
      </c>
      <c r="O32" s="17">
        <v>7.55</v>
      </c>
      <c r="P32" s="20"/>
      <c r="Q32" s="20"/>
    </row>
    <row r="33" spans="1:34" s="18" customFormat="1" x14ac:dyDescent="0.2">
      <c r="A33" s="10"/>
      <c r="B33" s="28">
        <v>39982</v>
      </c>
      <c r="C33" s="16">
        <v>7.6</v>
      </c>
      <c r="D33" s="17"/>
      <c r="E33" s="17"/>
      <c r="F33" s="17"/>
      <c r="G33" s="17"/>
      <c r="H33" s="17"/>
      <c r="I33" s="17"/>
      <c r="J33" s="17"/>
      <c r="K33" s="17"/>
      <c r="M33" s="18">
        <v>2006</v>
      </c>
      <c r="N33" s="19">
        <v>38808</v>
      </c>
      <c r="O33" s="29">
        <v>7.95</v>
      </c>
      <c r="P33" s="20"/>
      <c r="Q33" s="20"/>
    </row>
    <row r="34" spans="1:34" s="18" customFormat="1" x14ac:dyDescent="0.2">
      <c r="A34" s="10"/>
      <c r="B34" s="28">
        <v>40025</v>
      </c>
      <c r="C34" s="16">
        <v>8.0500000000000007</v>
      </c>
      <c r="D34" s="17"/>
      <c r="E34" s="17"/>
      <c r="F34" s="17"/>
      <c r="G34" s="17"/>
      <c r="H34" s="17"/>
      <c r="I34" s="17"/>
      <c r="J34" s="17"/>
      <c r="K34" s="17"/>
      <c r="N34" s="19">
        <v>38838</v>
      </c>
      <c r="O34" s="17" t="e">
        <f>(#REF!+#REF!)/2</f>
        <v>#REF!</v>
      </c>
      <c r="P34" s="20"/>
      <c r="Q34" s="20"/>
    </row>
    <row r="35" spans="1:34" s="18" customFormat="1" x14ac:dyDescent="0.2">
      <c r="A35" s="22"/>
      <c r="B35" s="30">
        <v>40052</v>
      </c>
      <c r="C35" s="24">
        <v>7.65</v>
      </c>
      <c r="D35" s="17"/>
      <c r="E35" s="17"/>
      <c r="F35" s="17"/>
      <c r="G35" s="17"/>
      <c r="H35" s="17"/>
      <c r="I35" s="17"/>
      <c r="J35" s="17"/>
      <c r="K35" s="17"/>
      <c r="N35" s="19">
        <v>38899</v>
      </c>
      <c r="O35" s="17" t="e">
        <f>(#REF!+#REF!)/2</f>
        <v>#REF!</v>
      </c>
      <c r="P35" s="20"/>
      <c r="Q35" s="20"/>
    </row>
    <row r="36" spans="1:34" s="18" customFormat="1" x14ac:dyDescent="0.2">
      <c r="A36" s="10">
        <v>2010</v>
      </c>
      <c r="B36" s="28">
        <v>40240</v>
      </c>
      <c r="C36" s="16">
        <v>8.6199999999999992</v>
      </c>
      <c r="D36" s="17"/>
      <c r="E36" s="17"/>
      <c r="F36" s="17"/>
      <c r="G36" s="17"/>
      <c r="H36" s="17"/>
      <c r="I36" s="17"/>
      <c r="J36" s="17"/>
      <c r="K36" s="17"/>
      <c r="N36" s="19">
        <v>38991</v>
      </c>
      <c r="O36" s="17" t="e">
        <f>(#REF!+#REF!)/2</f>
        <v>#REF!</v>
      </c>
      <c r="P36" s="20"/>
      <c r="Q36" s="20"/>
    </row>
    <row r="37" spans="1:34" s="18" customFormat="1" x14ac:dyDescent="0.2">
      <c r="A37" s="10"/>
      <c r="B37" s="28">
        <v>40259</v>
      </c>
      <c r="C37" s="16">
        <v>9.32</v>
      </c>
      <c r="D37" s="17"/>
      <c r="E37" s="17"/>
      <c r="F37" s="17"/>
      <c r="G37" s="17"/>
      <c r="H37" s="17"/>
      <c r="I37" s="17"/>
      <c r="J37" s="17"/>
      <c r="K37" s="17"/>
      <c r="N37" s="19">
        <v>39022</v>
      </c>
      <c r="O37" s="21">
        <v>8.4499999999999993</v>
      </c>
      <c r="P37" s="20"/>
      <c r="Q37" s="20"/>
    </row>
    <row r="38" spans="1:34" s="18" customFormat="1" x14ac:dyDescent="0.2">
      <c r="A38" s="10"/>
      <c r="B38" s="28">
        <v>40276</v>
      </c>
      <c r="C38" s="16">
        <v>10.1</v>
      </c>
      <c r="D38" s="17"/>
      <c r="E38" s="17"/>
      <c r="F38" s="17"/>
      <c r="G38" s="17"/>
      <c r="H38" s="17"/>
      <c r="I38" s="17"/>
      <c r="J38" s="17"/>
      <c r="K38" s="17"/>
      <c r="M38" s="18">
        <v>2007</v>
      </c>
      <c r="N38" s="19">
        <v>39083</v>
      </c>
      <c r="O38" s="17">
        <v>8.35</v>
      </c>
      <c r="P38" s="20"/>
      <c r="Q38" s="20"/>
    </row>
    <row r="39" spans="1:34" s="18" customFormat="1" x14ac:dyDescent="0.2">
      <c r="A39" s="10"/>
      <c r="B39" s="28">
        <v>40395</v>
      </c>
      <c r="C39" s="16">
        <v>9.8000000000000007</v>
      </c>
      <c r="D39" s="17"/>
      <c r="E39" s="17"/>
      <c r="F39" s="17"/>
      <c r="G39" s="17"/>
      <c r="H39" s="17"/>
      <c r="I39" s="17"/>
      <c r="J39" s="17"/>
      <c r="K39" s="17"/>
      <c r="N39" s="19">
        <v>39114</v>
      </c>
      <c r="O39" s="17">
        <f>(C7+C8)/2</f>
        <v>8.25</v>
      </c>
      <c r="P39" s="20"/>
      <c r="Q39" s="20"/>
    </row>
    <row r="40" spans="1:34" s="18" customFormat="1" x14ac:dyDescent="0.2">
      <c r="A40" s="10"/>
      <c r="B40" s="28">
        <v>40487</v>
      </c>
      <c r="C40" s="16">
        <v>10.1</v>
      </c>
      <c r="D40" s="17"/>
      <c r="E40" s="17"/>
      <c r="F40" s="17"/>
      <c r="G40" s="17"/>
      <c r="H40" s="17"/>
      <c r="I40" s="17"/>
      <c r="J40" s="17"/>
      <c r="K40" s="17"/>
      <c r="N40" s="19">
        <v>39142</v>
      </c>
      <c r="O40" s="17">
        <v>8.0500000000000007</v>
      </c>
      <c r="P40" s="20"/>
      <c r="Q40" s="20"/>
    </row>
    <row r="41" spans="1:34" s="18" customFormat="1" x14ac:dyDescent="0.2">
      <c r="A41" s="10"/>
      <c r="B41" s="28">
        <v>40527</v>
      </c>
      <c r="C41" s="16">
        <v>10.45</v>
      </c>
      <c r="D41" s="17"/>
      <c r="E41" s="17"/>
      <c r="F41" s="17"/>
      <c r="G41" s="17"/>
      <c r="H41" s="17"/>
      <c r="I41" s="17"/>
      <c r="J41" s="17"/>
      <c r="K41" s="17"/>
      <c r="N41" s="19">
        <v>39203</v>
      </c>
      <c r="O41" s="17">
        <f>(C10+C11)/2</f>
        <v>8.2250000000000014</v>
      </c>
      <c r="P41" s="20"/>
      <c r="Q41" s="20"/>
    </row>
    <row r="42" spans="1:34" s="18" customFormat="1" x14ac:dyDescent="0.2">
      <c r="A42" s="22"/>
      <c r="B42" s="30" t="s">
        <v>38</v>
      </c>
      <c r="C42" s="24">
        <v>8.1999999999999993</v>
      </c>
      <c r="D42" s="17"/>
      <c r="E42" s="17"/>
      <c r="F42" s="17"/>
      <c r="G42" s="17"/>
      <c r="H42" s="17"/>
      <c r="I42" s="17"/>
      <c r="J42" s="17"/>
      <c r="K42" s="17"/>
      <c r="N42" s="19">
        <v>39356</v>
      </c>
      <c r="O42" s="17">
        <f>(C12+C13)/2</f>
        <v>8.875</v>
      </c>
      <c r="P42" s="20"/>
      <c r="Q42" s="20"/>
      <c r="T42" s="18" t="s">
        <v>39</v>
      </c>
    </row>
    <row r="43" spans="1:34" x14ac:dyDescent="0.2">
      <c r="A43" s="31">
        <v>2011</v>
      </c>
      <c r="B43" s="28">
        <v>40583</v>
      </c>
      <c r="C43" s="32">
        <v>11</v>
      </c>
      <c r="D43" s="33"/>
      <c r="E43" s="33"/>
      <c r="F43" s="33"/>
      <c r="G43" s="33"/>
      <c r="H43" s="33"/>
      <c r="I43" s="33"/>
      <c r="J43" s="33"/>
      <c r="K43" s="33"/>
      <c r="L43" s="18"/>
      <c r="M43" s="18"/>
      <c r="N43" s="19">
        <v>39387</v>
      </c>
      <c r="O43" s="17">
        <v>10</v>
      </c>
      <c r="P43" s="20"/>
      <c r="Q43" s="20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x14ac:dyDescent="0.2">
      <c r="A44" s="34"/>
      <c r="B44" s="28">
        <v>40596</v>
      </c>
      <c r="C44" s="35">
        <v>11.65</v>
      </c>
      <c r="D44" s="35"/>
      <c r="E44" s="35"/>
      <c r="F44" s="35"/>
      <c r="G44" s="35"/>
      <c r="H44" s="35"/>
      <c r="I44" s="35"/>
      <c r="J44" s="35"/>
      <c r="K44" s="35"/>
      <c r="M44" s="18"/>
      <c r="N44" s="19">
        <v>39417</v>
      </c>
      <c r="O44" s="21">
        <v>10.3</v>
      </c>
    </row>
    <row r="45" spans="1:34" x14ac:dyDescent="0.2">
      <c r="A45" s="34"/>
      <c r="B45" s="28">
        <v>40617</v>
      </c>
      <c r="C45" s="36">
        <v>12.61</v>
      </c>
      <c r="D45" s="37"/>
      <c r="E45" s="37"/>
      <c r="F45" s="37"/>
      <c r="G45" s="37"/>
      <c r="H45" s="37"/>
      <c r="I45" s="37"/>
      <c r="J45" s="37"/>
      <c r="K45" s="37"/>
      <c r="M45" s="18">
        <v>2008</v>
      </c>
      <c r="N45" s="19">
        <v>39508</v>
      </c>
      <c r="O45" s="17">
        <v>11.3</v>
      </c>
    </row>
    <row r="46" spans="1:34" x14ac:dyDescent="0.2">
      <c r="A46" s="34"/>
      <c r="B46" s="28">
        <v>40630</v>
      </c>
      <c r="C46" s="36">
        <v>13.5</v>
      </c>
      <c r="D46" s="37"/>
      <c r="E46" s="37"/>
      <c r="F46" s="37"/>
      <c r="G46" s="37"/>
      <c r="H46" s="37"/>
      <c r="I46" s="37"/>
      <c r="J46" s="37"/>
      <c r="K46" s="37"/>
      <c r="M46" s="18"/>
      <c r="N46" s="19">
        <v>39539</v>
      </c>
      <c r="O46" s="17">
        <v>12.55</v>
      </c>
    </row>
    <row r="47" spans="1:34" x14ac:dyDescent="0.2">
      <c r="A47" s="34"/>
      <c r="B47" s="28">
        <v>40662</v>
      </c>
      <c r="C47" s="36">
        <v>15.09</v>
      </c>
      <c r="D47" s="37"/>
      <c r="E47" s="37"/>
      <c r="F47" s="37"/>
      <c r="G47" s="37"/>
      <c r="H47" s="37"/>
      <c r="I47" s="37"/>
      <c r="J47" s="37"/>
      <c r="K47" s="37"/>
      <c r="M47" s="18"/>
      <c r="N47" s="19">
        <v>39569</v>
      </c>
      <c r="O47" s="17">
        <v>15.5</v>
      </c>
    </row>
    <row r="48" spans="1:34" x14ac:dyDescent="0.2">
      <c r="A48" s="38"/>
      <c r="B48" s="30">
        <v>40683</v>
      </c>
      <c r="C48" s="39">
        <v>15.65</v>
      </c>
      <c r="D48" s="37"/>
      <c r="E48" s="37"/>
      <c r="F48" s="37"/>
      <c r="G48" s="37"/>
      <c r="H48" s="37"/>
      <c r="I48" s="37"/>
      <c r="J48" s="37"/>
      <c r="K48" s="37"/>
      <c r="M48" s="18"/>
      <c r="N48" s="19">
        <v>39600</v>
      </c>
      <c r="O48" s="17">
        <v>17.5</v>
      </c>
    </row>
    <row r="49" spans="1:34" x14ac:dyDescent="0.2">
      <c r="A49" s="31">
        <v>2012</v>
      </c>
      <c r="B49" s="28" t="s">
        <v>40</v>
      </c>
      <c r="C49" s="32">
        <v>15.03</v>
      </c>
      <c r="D49" s="33"/>
      <c r="E49" s="33"/>
      <c r="F49" s="33"/>
      <c r="G49" s="33"/>
      <c r="H49" s="33"/>
      <c r="I49" s="33"/>
      <c r="J49" s="33"/>
      <c r="K49" s="33"/>
      <c r="L49" s="18"/>
      <c r="M49" s="18"/>
      <c r="N49" s="19">
        <v>39661</v>
      </c>
      <c r="O49" s="17">
        <v>17.25</v>
      </c>
      <c r="P49" s="20"/>
      <c r="Q49" s="20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x14ac:dyDescent="0.2">
      <c r="A50" s="34"/>
      <c r="B50" s="28" t="s">
        <v>41</v>
      </c>
      <c r="C50" s="35">
        <v>15.68</v>
      </c>
      <c r="D50" s="35"/>
      <c r="E50" s="35"/>
      <c r="F50" s="35"/>
      <c r="G50" s="35"/>
      <c r="H50" s="35"/>
      <c r="I50" s="35"/>
      <c r="J50" s="35"/>
      <c r="K50" s="35"/>
      <c r="M50" s="18"/>
      <c r="N50" s="19">
        <v>39692</v>
      </c>
      <c r="O50" s="17">
        <f>(C21+C22)/2</f>
        <v>16.125</v>
      </c>
    </row>
    <row r="51" spans="1:34" x14ac:dyDescent="0.2">
      <c r="A51" s="34"/>
      <c r="B51" s="28" t="s">
        <v>42</v>
      </c>
      <c r="C51" s="36">
        <v>16.5</v>
      </c>
      <c r="D51" s="37"/>
      <c r="E51" s="37"/>
      <c r="F51" s="37"/>
      <c r="G51" s="37"/>
      <c r="H51" s="37"/>
      <c r="I51" s="37"/>
      <c r="J51" s="37"/>
      <c r="K51" s="37"/>
      <c r="M51" s="18"/>
      <c r="N51" s="19">
        <v>39722</v>
      </c>
      <c r="O51" s="17">
        <f>(C23+C24+C25)/3</f>
        <v>14.166666666666666</v>
      </c>
    </row>
    <row r="52" spans="1:34" x14ac:dyDescent="0.2">
      <c r="A52" s="34"/>
      <c r="B52" s="28" t="s">
        <v>43</v>
      </c>
      <c r="C52" s="36">
        <v>15.96</v>
      </c>
      <c r="D52" s="37"/>
      <c r="E52" s="37"/>
      <c r="F52" s="37"/>
      <c r="G52" s="37"/>
      <c r="H52" s="37"/>
      <c r="I52" s="37"/>
      <c r="J52" s="37"/>
      <c r="K52" s="37"/>
      <c r="M52" s="18"/>
      <c r="N52" s="19">
        <v>39753</v>
      </c>
      <c r="O52" s="17">
        <f>AVERAGE(C26:C29)</f>
        <v>9.75</v>
      </c>
    </row>
    <row r="53" spans="1:34" x14ac:dyDescent="0.2">
      <c r="A53" s="34"/>
      <c r="B53" s="28" t="s">
        <v>44</v>
      </c>
      <c r="C53" s="36">
        <v>16.45</v>
      </c>
      <c r="D53" s="37"/>
      <c r="E53" s="37"/>
      <c r="F53" s="37"/>
      <c r="G53" s="37"/>
      <c r="H53" s="37"/>
      <c r="I53" s="37"/>
      <c r="J53" s="37"/>
      <c r="K53" s="37"/>
      <c r="M53" s="18">
        <v>2009</v>
      </c>
      <c r="N53" s="19">
        <v>39814</v>
      </c>
      <c r="O53" s="17">
        <v>7.4</v>
      </c>
    </row>
    <row r="54" spans="1:34" x14ac:dyDescent="0.2">
      <c r="A54" s="38"/>
      <c r="B54" s="30" t="s">
        <v>45</v>
      </c>
      <c r="C54" s="39">
        <v>16.23</v>
      </c>
      <c r="D54" s="37"/>
      <c r="E54" s="37"/>
      <c r="F54" s="37"/>
      <c r="G54" s="37"/>
      <c r="H54" s="37"/>
      <c r="I54" s="37"/>
      <c r="J54" s="37"/>
      <c r="K54" s="37"/>
      <c r="M54" s="18"/>
      <c r="N54" s="19">
        <v>39845</v>
      </c>
      <c r="O54" s="17">
        <v>6.7</v>
      </c>
    </row>
    <row r="55" spans="1:34" x14ac:dyDescent="0.2">
      <c r="A55" s="31">
        <v>2013</v>
      </c>
      <c r="B55" s="28" t="s">
        <v>46</v>
      </c>
      <c r="C55" s="36">
        <v>16.489999999999998</v>
      </c>
      <c r="D55" s="33"/>
      <c r="E55" s="33"/>
      <c r="F55" s="33"/>
      <c r="G55" s="33"/>
      <c r="H55" s="33"/>
      <c r="I55" s="33"/>
      <c r="J55" s="33"/>
      <c r="K55" s="33"/>
      <c r="L55" s="18"/>
      <c r="M55" s="18"/>
      <c r="N55" s="19">
        <v>39904</v>
      </c>
      <c r="O55" s="17">
        <v>7.3</v>
      </c>
      <c r="P55" s="20"/>
      <c r="Q55" s="20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x14ac:dyDescent="0.2">
      <c r="A56" s="38"/>
      <c r="B56" s="30" t="s">
        <v>47</v>
      </c>
      <c r="C56" s="39">
        <v>16.079999999999998</v>
      </c>
      <c r="D56" s="37"/>
      <c r="E56" s="37"/>
      <c r="F56" s="37"/>
      <c r="G56" s="37"/>
      <c r="H56" s="37"/>
      <c r="I56" s="37"/>
      <c r="J56" s="37"/>
      <c r="K56" s="37"/>
      <c r="M56" s="18"/>
      <c r="N56" s="19">
        <v>39965</v>
      </c>
      <c r="O56" s="17">
        <v>7.6</v>
      </c>
    </row>
    <row r="57" spans="1:34" x14ac:dyDescent="0.2">
      <c r="A57" s="8">
        <v>2014</v>
      </c>
      <c r="B57" s="28">
        <v>41927</v>
      </c>
      <c r="C57" s="35">
        <v>14.83</v>
      </c>
      <c r="D57" s="35"/>
      <c r="E57" s="35"/>
      <c r="F57" s="35"/>
      <c r="G57" s="35"/>
      <c r="H57" s="35"/>
      <c r="I57" s="35"/>
      <c r="J57" s="35"/>
      <c r="K57" s="35"/>
      <c r="M57" s="18"/>
      <c r="N57" s="19">
        <v>39995</v>
      </c>
      <c r="O57" s="17">
        <v>8.0500000000000007</v>
      </c>
    </row>
    <row r="58" spans="1:34" x14ac:dyDescent="0.2">
      <c r="A58" s="13"/>
      <c r="B58" s="30">
        <v>41989</v>
      </c>
      <c r="C58" s="49">
        <v>12</v>
      </c>
      <c r="D58" s="35"/>
      <c r="E58" s="35"/>
      <c r="F58" s="35"/>
      <c r="G58" s="35"/>
      <c r="H58" s="35"/>
      <c r="I58" s="35"/>
      <c r="J58" s="35"/>
      <c r="K58" s="35"/>
      <c r="M58" s="18"/>
      <c r="N58" s="19">
        <v>40026</v>
      </c>
      <c r="O58" s="21">
        <v>7.65</v>
      </c>
    </row>
    <row r="59" spans="1:34" ht="13.5" x14ac:dyDescent="0.2">
      <c r="A59" s="40" t="s">
        <v>4</v>
      </c>
      <c r="B59" s="41"/>
      <c r="C59" s="42" t="s">
        <v>5</v>
      </c>
      <c r="D59" s="42"/>
      <c r="E59" s="42"/>
      <c r="F59" s="42"/>
      <c r="G59" s="42"/>
      <c r="H59" s="42"/>
      <c r="I59" s="42"/>
      <c r="J59" s="42"/>
      <c r="K59" s="42"/>
      <c r="M59" s="18"/>
    </row>
    <row r="60" spans="1:34" x14ac:dyDescent="0.2">
      <c r="A60" s="43"/>
      <c r="B60" s="41"/>
      <c r="C60" s="41"/>
      <c r="D60" s="41"/>
      <c r="E60" s="41"/>
      <c r="F60" s="41"/>
      <c r="G60" s="41"/>
      <c r="H60" s="41"/>
      <c r="I60" s="41"/>
      <c r="J60" s="41"/>
      <c r="K60" s="41"/>
      <c r="M60" s="18"/>
    </row>
    <row r="61" spans="1:34" x14ac:dyDescent="0.2">
      <c r="B61" s="41"/>
      <c r="C61" s="41"/>
      <c r="D61" s="41"/>
      <c r="E61" s="41"/>
      <c r="F61" s="41"/>
      <c r="G61" s="41"/>
      <c r="H61" s="41"/>
      <c r="I61" s="41"/>
      <c r="J61" s="41"/>
      <c r="K61" s="41"/>
      <c r="M61" s="18">
        <v>2010</v>
      </c>
      <c r="N61" s="19">
        <v>40238</v>
      </c>
      <c r="O61" s="17">
        <f>(C36+C37)/2</f>
        <v>8.9699999999999989</v>
      </c>
    </row>
    <row r="62" spans="1:34" x14ac:dyDescent="0.2">
      <c r="A62" s="43"/>
      <c r="B62" s="41"/>
      <c r="C62" s="41"/>
      <c r="D62" s="41"/>
      <c r="E62" s="41"/>
      <c r="F62" s="41"/>
      <c r="G62" s="41"/>
      <c r="H62" s="41"/>
      <c r="I62" s="41"/>
      <c r="J62" s="41"/>
      <c r="K62" s="41"/>
      <c r="M62" s="18"/>
      <c r="N62" s="19">
        <v>40269</v>
      </c>
      <c r="O62" s="17">
        <v>10.1</v>
      </c>
    </row>
    <row r="63" spans="1:34" x14ac:dyDescent="0.2">
      <c r="A63" s="43"/>
      <c r="B63" s="41"/>
      <c r="C63" s="41"/>
      <c r="D63" s="41"/>
      <c r="E63" s="41"/>
      <c r="F63" s="41"/>
      <c r="G63" s="41"/>
      <c r="H63" s="41"/>
      <c r="I63" s="41"/>
      <c r="J63" s="41"/>
      <c r="K63" s="41"/>
      <c r="M63" s="18"/>
      <c r="N63" s="19">
        <v>40391</v>
      </c>
      <c r="O63" s="17">
        <v>9.8000000000000007</v>
      </c>
    </row>
    <row r="64" spans="1:34" x14ac:dyDescent="0.2">
      <c r="A64" s="43"/>
      <c r="B64" s="41"/>
      <c r="C64" s="41"/>
      <c r="D64" s="41"/>
      <c r="E64" s="41"/>
      <c r="F64" s="41"/>
      <c r="G64" s="41"/>
      <c r="H64" s="41"/>
      <c r="I64" s="41"/>
      <c r="J64" s="41"/>
      <c r="K64" s="41"/>
      <c r="M64" s="18"/>
      <c r="N64" s="19">
        <v>40483</v>
      </c>
      <c r="O64" s="17">
        <v>10.1</v>
      </c>
    </row>
    <row r="65" spans="1:17" x14ac:dyDescent="0.2">
      <c r="A65" s="43"/>
      <c r="B65" s="41"/>
      <c r="C65" s="41"/>
      <c r="D65" s="41"/>
      <c r="E65" s="41"/>
      <c r="F65" s="41"/>
      <c r="G65" s="41"/>
      <c r="H65" s="41"/>
      <c r="I65" s="41"/>
      <c r="J65" s="41"/>
      <c r="K65" s="41"/>
      <c r="M65" s="18"/>
      <c r="N65" s="19">
        <v>40513</v>
      </c>
      <c r="O65" s="17">
        <f>(C41+C42)/2</f>
        <v>9.3249999999999993</v>
      </c>
      <c r="P65" s="1"/>
      <c r="Q65" s="1"/>
    </row>
    <row r="66" spans="1:17" x14ac:dyDescent="0.2">
      <c r="M66" s="18">
        <v>2011</v>
      </c>
      <c r="N66" s="19">
        <v>40575</v>
      </c>
      <c r="O66" s="45">
        <f>(C43+C44)/2</f>
        <v>11.324999999999999</v>
      </c>
      <c r="P66" s="1"/>
      <c r="Q66" s="1"/>
    </row>
    <row r="67" spans="1:17" x14ac:dyDescent="0.2">
      <c r="M67" s="18"/>
      <c r="N67" s="19">
        <v>40603</v>
      </c>
      <c r="O67" s="37">
        <f>AVERAGE(C45:C46)</f>
        <v>13.055</v>
      </c>
      <c r="P67" s="1"/>
      <c r="Q67" s="1"/>
    </row>
    <row r="68" spans="1:17" x14ac:dyDescent="0.2">
      <c r="M68" s="18"/>
      <c r="N68" s="19">
        <v>40634</v>
      </c>
      <c r="O68" s="37">
        <v>15.09</v>
      </c>
      <c r="P68" s="1"/>
      <c r="Q68" s="1"/>
    </row>
    <row r="69" spans="1:17" x14ac:dyDescent="0.2">
      <c r="M69" s="18"/>
      <c r="N69" s="19">
        <v>40664</v>
      </c>
      <c r="O69" s="46">
        <v>15.65</v>
      </c>
      <c r="P69" s="1"/>
      <c r="Q69" s="1"/>
    </row>
    <row r="70" spans="1:17" x14ac:dyDescent="0.2">
      <c r="M70" s="18">
        <v>2012</v>
      </c>
      <c r="N70" s="19">
        <v>39814</v>
      </c>
      <c r="O70" s="45">
        <v>15.03</v>
      </c>
      <c r="P70" s="1"/>
      <c r="Q70" s="1"/>
    </row>
    <row r="71" spans="1:17" x14ac:dyDescent="0.2">
      <c r="M71" s="18"/>
      <c r="N71" s="19">
        <v>40603</v>
      </c>
      <c r="O71" s="37">
        <v>15.68</v>
      </c>
      <c r="P71" s="1"/>
      <c r="Q71" s="1"/>
    </row>
    <row r="72" spans="1:17" x14ac:dyDescent="0.2">
      <c r="M72" s="18"/>
      <c r="N72" s="19">
        <v>40634</v>
      </c>
      <c r="O72" s="37">
        <v>16.5</v>
      </c>
      <c r="P72" s="1"/>
      <c r="Q72" s="1"/>
    </row>
    <row r="73" spans="1:17" x14ac:dyDescent="0.2">
      <c r="M73" s="18"/>
      <c r="N73" s="47" t="s">
        <v>0</v>
      </c>
      <c r="O73" s="37">
        <v>15.96</v>
      </c>
      <c r="P73" s="1"/>
      <c r="Q73" s="1"/>
    </row>
    <row r="74" spans="1:17" x14ac:dyDescent="0.2">
      <c r="M74" s="18"/>
      <c r="N74" s="48" t="s">
        <v>48</v>
      </c>
      <c r="O74" s="37">
        <v>16.45</v>
      </c>
      <c r="P74" s="1"/>
      <c r="Q74" s="1"/>
    </row>
    <row r="75" spans="1:17" x14ac:dyDescent="0.2">
      <c r="M75" s="18"/>
      <c r="N75" s="48" t="s">
        <v>3</v>
      </c>
      <c r="O75" s="46">
        <v>16.23</v>
      </c>
      <c r="P75" s="1"/>
      <c r="Q75" s="1"/>
    </row>
    <row r="76" spans="1:17" x14ac:dyDescent="0.2">
      <c r="M76" s="18">
        <v>2013</v>
      </c>
      <c r="N76" s="19">
        <v>40603</v>
      </c>
      <c r="O76" s="36">
        <v>16.489999999999998</v>
      </c>
      <c r="P76" s="1"/>
      <c r="Q76" s="1"/>
    </row>
    <row r="77" spans="1:17" x14ac:dyDescent="0.2">
      <c r="M77" s="18"/>
      <c r="N77" s="19">
        <v>40634</v>
      </c>
      <c r="O77" s="49">
        <v>16.079999999999998</v>
      </c>
      <c r="P77" s="1"/>
      <c r="Q77" s="1"/>
    </row>
    <row r="78" spans="1:17" x14ac:dyDescent="0.2">
      <c r="M78" s="18">
        <v>2014</v>
      </c>
      <c r="N78" s="28" t="s">
        <v>2</v>
      </c>
      <c r="O78" s="35">
        <v>14.83</v>
      </c>
      <c r="P78" s="1"/>
      <c r="Q78" s="1"/>
    </row>
    <row r="79" spans="1:17" x14ac:dyDescent="0.2">
      <c r="N79" s="28" t="s">
        <v>1</v>
      </c>
      <c r="O79" s="35">
        <v>12</v>
      </c>
      <c r="P79" s="1"/>
      <c r="Q79" s="1"/>
    </row>
  </sheetData>
  <mergeCells count="3">
    <mergeCell ref="A1:C1"/>
    <mergeCell ref="A2:C2"/>
    <mergeCell ref="B3:C3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2016-03-16T08:08:12Z</cp:lastPrinted>
  <dcterms:created xsi:type="dcterms:W3CDTF">2007-02-08T08:33:33Z</dcterms:created>
  <dcterms:modified xsi:type="dcterms:W3CDTF">2016-03-16T08:23:07Z</dcterms:modified>
</cp:coreProperties>
</file>