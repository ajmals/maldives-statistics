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360" windowWidth="12075" windowHeight="7365" tabRatio="803"/>
  </bookViews>
  <sheets>
    <sheet name="17.4" sheetId="31" r:id="rId1"/>
  </sheets>
  <definedNames>
    <definedName name="bec">#REF!</definedName>
    <definedName name="ctry">'[1]CTRY monthly'!$B$100:$N$115</definedName>
    <definedName name="moomina">#REF!</definedName>
    <definedName name="_xlnm.Print_Area" localSheetId="0">'17.4'!$A$1:$O$75</definedName>
    <definedName name="Print_Area_MI">#REF!</definedName>
    <definedName name="total">'[2]4'!#REF!</definedName>
  </definedNames>
  <calcPr calcId="144525"/>
</workbook>
</file>

<file path=xl/calcChain.xml><?xml version="1.0" encoding="utf-8"?>
<calcChain xmlns="http://schemas.openxmlformats.org/spreadsheetml/2006/main">
  <c r="N31" i="31" l="1"/>
  <c r="N32" i="31"/>
  <c r="N33" i="31"/>
  <c r="N34" i="31"/>
  <c r="N35" i="31"/>
  <c r="N36" i="31"/>
  <c r="N37" i="31"/>
  <c r="N38" i="31"/>
  <c r="N39" i="31"/>
  <c r="N40" i="31"/>
  <c r="N41" i="31"/>
  <c r="N42" i="31"/>
  <c r="N43" i="31"/>
  <c r="N44" i="31"/>
  <c r="N45" i="31"/>
  <c r="N46" i="31"/>
  <c r="N30" i="31"/>
  <c r="N25" i="31" l="1"/>
  <c r="N24" i="31"/>
  <c r="N23" i="31"/>
  <c r="N22" i="31"/>
  <c r="N21" i="31"/>
  <c r="N20" i="31"/>
  <c r="N19" i="31"/>
  <c r="N18" i="31"/>
  <c r="N17" i="31"/>
  <c r="N16" i="31"/>
  <c r="N15" i="31"/>
  <c r="N14" i="31"/>
  <c r="N13" i="31"/>
  <c r="N12" i="31"/>
  <c r="N11" i="31"/>
  <c r="N10" i="31"/>
  <c r="N9" i="31"/>
</calcChain>
</file>

<file path=xl/sharedStrings.xml><?xml version="1.0" encoding="utf-8"?>
<sst xmlns="http://schemas.openxmlformats.org/spreadsheetml/2006/main" count="204" uniqueCount="76">
  <si>
    <t>cCrWm</t>
  </si>
  <si>
    <t>cnUj</t>
  </si>
  <si>
    <t>Mar</t>
  </si>
  <si>
    <t>Jun</t>
  </si>
  <si>
    <t>Sep</t>
  </si>
  <si>
    <t>Dec</t>
  </si>
  <si>
    <t>Fish Index</t>
  </si>
  <si>
    <t>uDnwgcnim eguhwm</t>
  </si>
  <si>
    <t>Clothing and footwear</t>
  </si>
  <si>
    <t>Education</t>
  </si>
  <si>
    <t>cmIluAwt</t>
  </si>
  <si>
    <t>wlcmuj</t>
  </si>
  <si>
    <t>clIrcpEa</t>
  </si>
  <si>
    <t>Em</t>
  </si>
  <si>
    <t>iawluj</t>
  </si>
  <si>
    <t>cjErwvea</t>
  </si>
  <si>
    <t>Jan</t>
  </si>
  <si>
    <t>Feb</t>
  </si>
  <si>
    <t>Apr</t>
  </si>
  <si>
    <t>May</t>
  </si>
  <si>
    <t>Jul</t>
  </si>
  <si>
    <t>Aug</t>
  </si>
  <si>
    <t>Oct</t>
  </si>
  <si>
    <t>Nov</t>
  </si>
  <si>
    <t>cSwa ejcaWr - cawtiawb uDnwgiawm</t>
  </si>
  <si>
    <t>cawtctwvWb egutwfcnud</t>
  </si>
  <si>
    <t>cnWviawf iaWTUb idwa unuawncnwa</t>
  </si>
  <si>
    <t>cawtctwvWb egulet idwa csEg ,uTcnwrwk ,cnef ,ilukegEg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</si>
  <si>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</si>
  <si>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</si>
  <si>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</si>
  <si>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</si>
  <si>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</si>
  <si>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</si>
  <si>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</si>
  <si>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</si>
  <si>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Hotels, cafés and restaurants</t>
  </si>
  <si>
    <t xml:space="preserve">  cTcnwrOTcser idwa Efek ,WToh</t>
  </si>
  <si>
    <t>Miscellaneous goods and services</t>
  </si>
  <si>
    <t xml:space="preserve">Furnishing,  household equipment &amp; routine maintenance </t>
  </si>
  <si>
    <t xml:space="preserve">Tobacco </t>
  </si>
  <si>
    <t>cnurukctWmWrwm  iaWCcaekwt  ELugcneg Wfih ,cnixem,rwCInrwf</t>
  </si>
  <si>
    <t xml:space="preserve"> Wnwmihuncswm uDnwgcnim wlcmuj</t>
  </si>
  <si>
    <t>Food and beverages including fish</t>
  </si>
  <si>
    <t>Food and beverages excluding fish</t>
  </si>
  <si>
    <t xml:space="preserve"> cniaubIrWycawt iaWaWnWk</t>
  </si>
  <si>
    <t>(Wnwmihuncswm) cniaubIrWycawt iaWaWnWk</t>
  </si>
  <si>
    <t>rwbcmesiD</t>
  </si>
  <si>
    <t>rwbcmevon</t>
  </si>
  <si>
    <t>rwbOTckoa</t>
  </si>
  <si>
    <t>rwbeTcpes</t>
  </si>
  <si>
    <t>cTcswgOa</t>
  </si>
  <si>
    <t>Irwaurcbef</t>
  </si>
  <si>
    <t>Irwaunej</t>
  </si>
  <si>
    <t>(Index - base: June 2012=100)</t>
  </si>
  <si>
    <t>(cnegiawlwbcSwa 100 IkwDnwgcnim eg 2012 cnUj)</t>
  </si>
  <si>
    <t>Housing, water, electricity, gas and other fuel</t>
  </si>
  <si>
    <t xml:space="preserve">  Actual rentals for housing</t>
  </si>
  <si>
    <t>All groups CPI (Total)</t>
  </si>
  <si>
    <t>Total excluding fish</t>
  </si>
  <si>
    <t xml:space="preserve"> ilukegEg</t>
  </si>
  <si>
    <t>ctwmcdiK iaWlwdum cnehinehea</t>
  </si>
  <si>
    <t>Major Groups - Republic</t>
  </si>
  <si>
    <t>Jan-Dec</t>
  </si>
  <si>
    <t>Monthly CPI</t>
  </si>
  <si>
    <t>iawa.Ip.Is eguhwmcswm</t>
  </si>
  <si>
    <t>Note:</t>
  </si>
  <si>
    <t>Prior to June 2004,  the food and non-beverages category includes tobacco &amp; narcotics category</t>
  </si>
  <si>
    <t>Prior to January 1996, the fish category seperately is not available</t>
  </si>
  <si>
    <t>Prior to June 2004, the transport category includes communication category</t>
  </si>
  <si>
    <t>Prior to June 2004, the recreation &amp; cultute category includes education category</t>
  </si>
  <si>
    <t xml:space="preserve">Prior to June 1996, the housing, water. Electricity, gas and other fuels category includes only rent </t>
  </si>
  <si>
    <t>na- Not available</t>
  </si>
  <si>
    <t xml:space="preserve">Source:  National  Bureau of Statistics   </t>
  </si>
  <si>
    <t>2014 - 2012 ,cSwaejcaWr ,uDnwgcnim egugwa egurWzWb uhwmcswmikea : 17.4 ulwvWt</t>
  </si>
  <si>
    <t>Table 17.4 :   CPI GROUPS, by months,  Republic, 2012 - 2014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</si>
</sst>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5" formatCode="_-* #,##0.00\ _ރ_._-;_-* #,##0.00\ _ރ_.\-;_-* &quot;-&quot;??\ _ރ_._-;_-@_-"/>
    <numFmt numFmtId="166" formatCode="0.0"/>
    <numFmt numFmtId="167" formatCode="General_)"/>
    <numFmt numFmtId="169" formatCode="0.00_)"/>
  </numFmts>
  <fonts count="23" x14ac:knownFonts="1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9"/>
      <name val="Arial"/>
      <family val="2"/>
    </font>
    <font>
      <b/>
      <sz val="9"/>
      <name val="A_Randhoo"/>
    </font>
    <font>
      <sz val="9"/>
      <name val="A_Randhoo"/>
    </font>
    <font>
      <sz val="10"/>
      <name val="Arial"/>
      <family val="2"/>
    </font>
    <font>
      <b/>
      <sz val="10"/>
      <name val="A_Randhoo"/>
    </font>
    <font>
      <b/>
      <i/>
      <sz val="16"/>
      <name val="Helv"/>
    </font>
    <font>
      <b/>
      <sz val="9"/>
      <name val="Times New Roman"/>
      <family val="1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_Randhoo"/>
    </font>
    <font>
      <b/>
      <sz val="9"/>
      <color theme="1"/>
      <name val="A_Randhoo"/>
    </font>
    <font>
      <b/>
      <sz val="11"/>
      <color theme="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165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9" fontId="9" fillId="0" borderId="0"/>
    <xf numFmtId="0" fontId="1" fillId="0" borderId="0"/>
    <xf numFmtId="0" fontId="1" fillId="0" borderId="0"/>
    <xf numFmtId="167" fontId="2" fillId="0" borderId="0"/>
    <xf numFmtId="167" fontId="2" fillId="0" borderId="0"/>
    <xf numFmtId="167" fontId="2" fillId="0" borderId="0"/>
    <xf numFmtId="9" fontId="7" fillId="0" borderId="0" applyFont="0" applyFill="0" applyBorder="0" applyAlignment="0" applyProtection="0"/>
  </cellStyleXfs>
  <cellXfs count="57">
    <xf numFmtId="0" fontId="0" fillId="0" borderId="0" xfId="0"/>
    <xf numFmtId="167" fontId="5" fillId="2" borderId="0" xfId="8" applyFont="1" applyFill="1" applyBorder="1" applyAlignment="1">
      <alignment horizontal="right" vertical="center" wrapText="1"/>
    </xf>
    <xf numFmtId="167" fontId="6" fillId="2" borderId="0" xfId="8" applyFont="1" applyFill="1" applyAlignment="1">
      <alignment horizontal="right" vertical="center"/>
    </xf>
    <xf numFmtId="0" fontId="0" fillId="2" borderId="0" xfId="0" applyFill="1"/>
    <xf numFmtId="0" fontId="7" fillId="2" borderId="0" xfId="5" applyFont="1" applyFill="1"/>
    <xf numFmtId="2" fontId="0" fillId="2" borderId="0" xfId="0" applyNumberFormat="1" applyFill="1"/>
    <xf numFmtId="0" fontId="12" fillId="2" borderId="1" xfId="5" applyFont="1" applyFill="1" applyBorder="1" applyAlignment="1">
      <alignment horizontal="left"/>
    </xf>
    <xf numFmtId="0" fontId="11" fillId="2" borderId="3" xfId="5" applyFont="1" applyFill="1" applyBorder="1" applyAlignment="1">
      <alignment vertical="center"/>
    </xf>
    <xf numFmtId="0" fontId="7" fillId="2" borderId="3" xfId="5" applyFont="1" applyFill="1" applyBorder="1"/>
    <xf numFmtId="167" fontId="5" fillId="2" borderId="3" xfId="8" applyFont="1" applyFill="1" applyBorder="1" applyAlignment="1">
      <alignment horizontal="right" vertical="center"/>
    </xf>
    <xf numFmtId="0" fontId="4" fillId="2" borderId="1" xfId="5" applyFont="1" applyFill="1" applyBorder="1" applyAlignment="1">
      <alignment horizontal="right"/>
    </xf>
    <xf numFmtId="167" fontId="14" fillId="2" borderId="0" xfId="7" applyFont="1" applyFill="1" applyAlignment="1">
      <alignment vertical="center" wrapText="1"/>
    </xf>
    <xf numFmtId="166" fontId="14" fillId="2" borderId="0" xfId="6" applyNumberFormat="1" applyFont="1" applyFill="1" applyBorder="1" applyAlignment="1">
      <alignment horizontal="right" vertical="center"/>
    </xf>
    <xf numFmtId="166" fontId="14" fillId="2" borderId="0" xfId="5" applyNumberFormat="1" applyFont="1" applyFill="1" applyBorder="1" applyAlignment="1">
      <alignment horizontal="right" vertical="center"/>
    </xf>
    <xf numFmtId="166" fontId="14" fillId="2" borderId="0" xfId="5" applyNumberFormat="1" applyFont="1" applyFill="1" applyAlignment="1">
      <alignment horizontal="right" vertical="center"/>
    </xf>
    <xf numFmtId="166" fontId="14" fillId="2" borderId="0" xfId="7" applyNumberFormat="1" applyFont="1" applyFill="1" applyBorder="1" applyAlignment="1">
      <alignment horizontal="right" vertical="center"/>
    </xf>
    <xf numFmtId="0" fontId="7" fillId="2" borderId="0" xfId="5" applyFont="1" applyFill="1" applyAlignment="1">
      <alignment vertical="center"/>
    </xf>
    <xf numFmtId="167" fontId="14" fillId="2" borderId="0" xfId="7" applyFont="1" applyFill="1" applyAlignment="1">
      <alignment vertical="center"/>
    </xf>
    <xf numFmtId="167" fontId="6" fillId="2" borderId="0" xfId="8" applyFont="1" applyFill="1" applyAlignment="1">
      <alignment horizontal="right" vertical="center" indent="1"/>
    </xf>
    <xf numFmtId="0" fontId="14" fillId="2" borderId="0" xfId="6" applyFont="1" applyFill="1" applyAlignment="1">
      <alignment vertical="center"/>
    </xf>
    <xf numFmtId="167" fontId="14" fillId="2" borderId="0" xfId="7" applyFont="1" applyFill="1" applyBorder="1" applyAlignment="1">
      <alignment vertical="center" wrapText="1"/>
    </xf>
    <xf numFmtId="167" fontId="6" fillId="2" borderId="0" xfId="9" applyFont="1" applyFill="1" applyAlignment="1">
      <alignment horizontal="right" vertical="center"/>
    </xf>
    <xf numFmtId="167" fontId="15" fillId="2" borderId="0" xfId="7" applyFont="1" applyFill="1" applyBorder="1" applyAlignment="1">
      <alignment vertical="center"/>
    </xf>
    <xf numFmtId="166" fontId="15" fillId="2" borderId="0" xfId="6" applyNumberFormat="1" applyFont="1" applyFill="1" applyBorder="1" applyAlignment="1">
      <alignment horizontal="right" vertical="center"/>
    </xf>
    <xf numFmtId="166" fontId="15" fillId="2" borderId="0" xfId="5" applyNumberFormat="1" applyFont="1" applyFill="1" applyBorder="1" applyAlignment="1">
      <alignment horizontal="right" vertical="center"/>
    </xf>
    <xf numFmtId="166" fontId="15" fillId="2" borderId="0" xfId="7" applyNumberFormat="1" applyFont="1" applyFill="1" applyBorder="1" applyAlignment="1">
      <alignment horizontal="right" vertical="center"/>
    </xf>
    <xf numFmtId="167" fontId="5" fillId="2" borderId="0" xfId="8" applyFont="1" applyFill="1" applyBorder="1" applyAlignment="1">
      <alignment horizontal="right" vertical="center"/>
    </xf>
    <xf numFmtId="0" fontId="3" fillId="2" borderId="0" xfId="5" applyFont="1" applyFill="1" applyAlignment="1">
      <alignment vertical="center"/>
    </xf>
    <xf numFmtId="167" fontId="15" fillId="2" borderId="2" xfId="7" applyFont="1" applyFill="1" applyBorder="1" applyAlignment="1">
      <alignment vertical="center"/>
    </xf>
    <xf numFmtId="166" fontId="15" fillId="2" borderId="2" xfId="7" applyNumberFormat="1" applyFont="1" applyFill="1" applyBorder="1" applyAlignment="1">
      <alignment horizontal="right" vertical="center"/>
    </xf>
    <xf numFmtId="167" fontId="5" fillId="2" borderId="2" xfId="9" applyFont="1" applyFill="1" applyBorder="1" applyAlignment="1">
      <alignment horizontal="right" vertical="center"/>
    </xf>
    <xf numFmtId="0" fontId="7" fillId="2" borderId="0" xfId="5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 indent="1"/>
    </xf>
    <xf numFmtId="0" fontId="11" fillId="2" borderId="2" xfId="5" applyFont="1" applyFill="1" applyBorder="1" applyAlignment="1">
      <alignment horizontal="right" vertical="center"/>
    </xf>
    <xf numFmtId="17" fontId="11" fillId="2" borderId="2" xfId="5" applyNumberFormat="1" applyFont="1" applyFill="1" applyBorder="1" applyAlignment="1">
      <alignment horizontal="right" vertical="center"/>
    </xf>
    <xf numFmtId="0" fontId="10" fillId="2" borderId="2" xfId="5" applyFont="1" applyFill="1" applyBorder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0" xfId="0" applyFont="1" applyFill="1"/>
    <xf numFmtId="0" fontId="19" fillId="2" borderId="0" xfId="5" applyFont="1" applyFill="1"/>
    <xf numFmtId="0" fontId="15" fillId="2" borderId="0" xfId="5" applyFont="1" applyFill="1" applyBorder="1" applyAlignment="1">
      <alignment horizontal="left" vertical="center"/>
    </xf>
    <xf numFmtId="0" fontId="8" fillId="2" borderId="0" xfId="5" applyFont="1" applyFill="1" applyBorder="1" applyAlignment="1">
      <alignment horizontal="right" vertical="center"/>
    </xf>
    <xf numFmtId="0" fontId="19" fillId="2" borderId="0" xfId="0" applyFont="1" applyFill="1" applyAlignment="1">
      <alignment vertical="center"/>
    </xf>
    <xf numFmtId="167" fontId="11" fillId="2" borderId="0" xfId="9" applyFont="1" applyFill="1" applyBorder="1" applyAlignment="1" applyProtection="1">
      <alignment horizontal="center" vertical="center"/>
    </xf>
    <xf numFmtId="166" fontId="4" fillId="2" borderId="0" xfId="0" applyNumberFormat="1" applyFont="1" applyFill="1" applyAlignment="1">
      <alignment vertical="center"/>
    </xf>
    <xf numFmtId="166" fontId="15" fillId="2" borderId="2" xfId="6" applyNumberFormat="1" applyFont="1" applyFill="1" applyBorder="1" applyAlignment="1">
      <alignment horizontal="right" vertical="center"/>
    </xf>
    <xf numFmtId="167" fontId="13" fillId="2" borderId="0" xfId="9" applyFont="1" applyFill="1" applyBorder="1" applyAlignment="1" applyProtection="1">
      <alignment horizontal="left" vertical="center"/>
    </xf>
    <xf numFmtId="167" fontId="22" fillId="2" borderId="0" xfId="9" applyFont="1" applyFill="1" applyAlignment="1">
      <alignment vertical="center"/>
    </xf>
    <xf numFmtId="0" fontId="3" fillId="2" borderId="0" xfId="0" applyFont="1" applyFill="1"/>
    <xf numFmtId="2" fontId="3" fillId="2" borderId="0" xfId="0" applyNumberFormat="1" applyFont="1" applyFill="1"/>
    <xf numFmtId="0" fontId="3" fillId="2" borderId="0" xfId="5" applyFont="1" applyFill="1" applyBorder="1" applyAlignment="1">
      <alignment vertical="center"/>
    </xf>
    <xf numFmtId="167" fontId="20" fillId="2" borderId="0" xfId="9" applyFont="1" applyFill="1" applyAlignment="1">
      <alignment horizontal="center" vertical="center"/>
    </xf>
    <xf numFmtId="167" fontId="21" fillId="2" borderId="0" xfId="9" applyFont="1" applyFill="1" applyAlignment="1">
      <alignment horizontal="center" vertical="center" wrapText="1"/>
    </xf>
    <xf numFmtId="167" fontId="16" fillId="2" borderId="2" xfId="9" applyFont="1" applyFill="1" applyBorder="1" applyAlignment="1" applyProtection="1">
      <alignment horizontal="center" vertical="center"/>
    </xf>
    <xf numFmtId="167" fontId="15" fillId="2" borderId="4" xfId="9" applyFont="1" applyFill="1" applyBorder="1" applyAlignment="1" applyProtection="1">
      <alignment horizontal="center" vertical="center"/>
    </xf>
    <xf numFmtId="0" fontId="17" fillId="2" borderId="0" xfId="0" applyFont="1" applyFill="1" applyAlignment="1">
      <alignment horizontal="center" vertical="center" wrapText="1"/>
    </xf>
    <xf numFmtId="167" fontId="22" fillId="2" borderId="0" xfId="9" applyFont="1" applyFill="1" applyAlignment="1">
      <alignment horizontal="center" vertical="center"/>
    </xf>
  </cellXfs>
  <cellStyles count="11">
    <cellStyle name="1" xfId="1"/>
    <cellStyle name="Comma 2" xfId="2"/>
    <cellStyle name="Comma 3" xfId="3"/>
    <cellStyle name="Normal" xfId="0" builtinId="0"/>
    <cellStyle name="Normal - Style1" xfId="4"/>
    <cellStyle name="Normal_17 Prices_done" xfId="5"/>
    <cellStyle name="Normal_CPI new tables" xfId="6"/>
    <cellStyle name="Normal_Dec97" xfId="7"/>
    <cellStyle name="Normal_XII-11(Commerce)" xfId="8"/>
    <cellStyle name="Normal_XII-12 (Commerce)" xfId="9"/>
    <cellStyle name="Percent 2" xfId="10"/>
  </cellStyles>
  <dxfs count="0"/>
  <tableStyles count="0" defaultTableStyle="TableStyleMedium9" defaultPivotStyle="PivotStyleLight16"/>
  <colors>
    <mruColors>
      <color rgb="FFCC00FF"/>
      <color rgb="FFEFD5DD"/>
      <color rgb="FFFF61FF"/>
      <color rgb="FF7030A0"/>
      <color rgb="FFFF97FF"/>
      <color rgb="FFE3B7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97"/>
  <sheetViews>
    <sheetView tabSelected="1" zoomScaleNormal="100" zoomScaleSheetLayoutView="100" workbookViewId="0">
      <selection activeCell="J78" sqref="J78"/>
    </sheetView>
  </sheetViews>
  <sheetFormatPr defaultColWidth="9.140625" defaultRowHeight="15.75" customHeight="1" x14ac:dyDescent="0.2"/>
  <cols>
    <col min="1" max="1" width="36.7109375" style="3" customWidth="1"/>
    <col min="2" max="13" width="9.140625" style="3"/>
    <col min="14" max="14" width="10.28515625" style="3" customWidth="1"/>
    <col min="15" max="15" width="35" style="3" bestFit="1" customWidth="1"/>
    <col min="16" max="16384" width="9.140625" style="3"/>
  </cols>
  <sheetData>
    <row r="1" spans="1:24" s="38" customFormat="1" ht="19.5" customHeight="1" x14ac:dyDescent="0.2">
      <c r="A1" s="56" t="s">
        <v>74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47"/>
      <c r="Q1" s="51"/>
      <c r="R1" s="51"/>
      <c r="S1" s="51"/>
      <c r="T1" s="51"/>
      <c r="U1" s="51"/>
      <c r="V1" s="51"/>
      <c r="W1" s="51"/>
      <c r="X1" s="51"/>
    </row>
    <row r="2" spans="1:24" s="42" customFormat="1" ht="15.75" customHeight="1" x14ac:dyDescent="0.2">
      <c r="A2" s="55" t="s">
        <v>75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</row>
    <row r="3" spans="1:24" s="39" customFormat="1" ht="15.75" customHeight="1" x14ac:dyDescent="0.2">
      <c r="A3" s="52" t="s">
        <v>55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</row>
    <row r="4" spans="1:24" s="39" customFormat="1" ht="15.75" customHeight="1" x14ac:dyDescent="0.2">
      <c r="A4" s="53" t="s">
        <v>54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</row>
    <row r="5" spans="1:24" s="4" customFormat="1" ht="15.75" customHeight="1" x14ac:dyDescent="0.2">
      <c r="A5" s="43"/>
      <c r="B5" s="54">
        <v>2012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43"/>
    </row>
    <row r="6" spans="1:24" s="4" customFormat="1" ht="15.75" customHeight="1" x14ac:dyDescent="0.2">
      <c r="A6" s="6"/>
      <c r="B6" s="7" t="s">
        <v>64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9" t="s">
        <v>65</v>
      </c>
      <c r="O6" s="10"/>
    </row>
    <row r="7" spans="1:24" s="4" customFormat="1" ht="15.75" customHeight="1" x14ac:dyDescent="0.2">
      <c r="A7" s="40" t="s">
        <v>62</v>
      </c>
      <c r="B7" s="1" t="s">
        <v>53</v>
      </c>
      <c r="C7" s="1" t="s">
        <v>52</v>
      </c>
      <c r="D7" s="1" t="s">
        <v>0</v>
      </c>
      <c r="E7" s="1" t="s">
        <v>12</v>
      </c>
      <c r="F7" s="1" t="s">
        <v>13</v>
      </c>
      <c r="G7" s="1" t="s">
        <v>1</v>
      </c>
      <c r="H7" s="1" t="s">
        <v>14</v>
      </c>
      <c r="I7" s="1" t="s">
        <v>51</v>
      </c>
      <c r="J7" s="1" t="s">
        <v>50</v>
      </c>
      <c r="K7" s="1" t="s">
        <v>49</v>
      </c>
      <c r="L7" s="1" t="s">
        <v>48</v>
      </c>
      <c r="M7" s="1" t="s">
        <v>47</v>
      </c>
      <c r="N7" s="1" t="s">
        <v>15</v>
      </c>
      <c r="O7" s="41" t="s">
        <v>24</v>
      </c>
    </row>
    <row r="8" spans="1:24" s="4" customFormat="1" ht="15.75" customHeight="1" x14ac:dyDescent="0.2">
      <c r="A8" s="34"/>
      <c r="B8" s="35" t="s">
        <v>16</v>
      </c>
      <c r="C8" s="34" t="s">
        <v>17</v>
      </c>
      <c r="D8" s="34" t="s">
        <v>2</v>
      </c>
      <c r="E8" s="34" t="s">
        <v>18</v>
      </c>
      <c r="F8" s="34" t="s">
        <v>19</v>
      </c>
      <c r="G8" s="34" t="s">
        <v>3</v>
      </c>
      <c r="H8" s="34" t="s">
        <v>20</v>
      </c>
      <c r="I8" s="34" t="s">
        <v>21</v>
      </c>
      <c r="J8" s="34" t="s">
        <v>4</v>
      </c>
      <c r="K8" s="34" t="s">
        <v>22</v>
      </c>
      <c r="L8" s="34" t="s">
        <v>23</v>
      </c>
      <c r="M8" s="34" t="s">
        <v>5</v>
      </c>
      <c r="N8" s="34" t="s">
        <v>63</v>
      </c>
      <c r="O8" s="36"/>
    </row>
    <row r="9" spans="1:24" s="16" customFormat="1" ht="15.75" customHeight="1" x14ac:dyDescent="0.2">
      <c r="A9" s="11" t="s">
        <v>43</v>
      </c>
      <c r="B9" s="12">
        <v>96.414004115140244</v>
      </c>
      <c r="C9" s="12">
        <v>94.742329797876508</v>
      </c>
      <c r="D9" s="13">
        <v>95.890922738434114</v>
      </c>
      <c r="E9" s="14">
        <v>95.309986879201119</v>
      </c>
      <c r="F9" s="14">
        <v>89.432996183312028</v>
      </c>
      <c r="G9" s="14">
        <v>100</v>
      </c>
      <c r="H9" s="14">
        <v>100.74814645686108</v>
      </c>
      <c r="I9" s="15">
        <v>101.04738262180403</v>
      </c>
      <c r="J9" s="15">
        <v>100.26909907600638</v>
      </c>
      <c r="K9" s="15">
        <v>100.49583844466991</v>
      </c>
      <c r="L9" s="15">
        <v>100.73390012958161</v>
      </c>
      <c r="M9" s="15">
        <v>102.4392815362953</v>
      </c>
      <c r="N9" s="15">
        <f>AVERAGE(B9:M9)</f>
        <v>98.126990664931839</v>
      </c>
      <c r="O9" s="2" t="s">
        <v>45</v>
      </c>
    </row>
    <row r="10" spans="1:24" s="16" customFormat="1" ht="15.75" customHeight="1" x14ac:dyDescent="0.2">
      <c r="A10" s="11" t="s">
        <v>44</v>
      </c>
      <c r="B10" s="12">
        <v>100.56782554371891</v>
      </c>
      <c r="C10" s="12">
        <v>99.19505646416377</v>
      </c>
      <c r="D10" s="13">
        <v>98.874328452858606</v>
      </c>
      <c r="E10" s="14">
        <v>98.441765954663282</v>
      </c>
      <c r="F10" s="14">
        <v>99.144280924323198</v>
      </c>
      <c r="G10" s="14">
        <v>100</v>
      </c>
      <c r="H10" s="14">
        <v>100.61009508284866</v>
      </c>
      <c r="I10" s="15">
        <v>100.66343006951102</v>
      </c>
      <c r="J10" s="15">
        <v>99.682874077788057</v>
      </c>
      <c r="K10" s="15">
        <v>100.39986383358512</v>
      </c>
      <c r="L10" s="15">
        <v>100.78065272830507</v>
      </c>
      <c r="M10" s="15">
        <v>101.96164161668105</v>
      </c>
      <c r="N10" s="15">
        <f t="shared" ref="N10:N25" si="0">AVERAGE(B10:M10)</f>
        <v>100.0268178957039</v>
      </c>
      <c r="O10" s="2" t="s">
        <v>46</v>
      </c>
    </row>
    <row r="11" spans="1:24" s="16" customFormat="1" ht="15.75" customHeight="1" x14ac:dyDescent="0.2">
      <c r="A11" s="17" t="s">
        <v>6</v>
      </c>
      <c r="B11" s="12">
        <v>86.901480867893355</v>
      </c>
      <c r="C11" s="12">
        <v>84.545293970752141</v>
      </c>
      <c r="D11" s="13">
        <v>89.058728167146825</v>
      </c>
      <c r="E11" s="14">
        <v>88.138007589092652</v>
      </c>
      <c r="F11" s="14">
        <v>67.193517802289719</v>
      </c>
      <c r="G11" s="14">
        <v>100</v>
      </c>
      <c r="H11" s="14">
        <v>101.06410614971944</v>
      </c>
      <c r="I11" s="15">
        <v>101.92613903667139</v>
      </c>
      <c r="J11" s="15">
        <v>101.61079865493464</v>
      </c>
      <c r="K11" s="15">
        <v>100.71549658901998</v>
      </c>
      <c r="L11" s="15">
        <v>100.62689694443645</v>
      </c>
      <c r="M11" s="15">
        <v>103.53246125564105</v>
      </c>
      <c r="N11" s="15">
        <f t="shared" si="0"/>
        <v>93.7760772522998</v>
      </c>
      <c r="O11" s="2" t="s">
        <v>7</v>
      </c>
    </row>
    <row r="12" spans="1:24" s="16" customFormat="1" ht="15.75" customHeight="1" x14ac:dyDescent="0.2">
      <c r="A12" s="17" t="s">
        <v>40</v>
      </c>
      <c r="B12" s="12">
        <v>107.87775135270999</v>
      </c>
      <c r="C12" s="12">
        <v>108.02332448602029</v>
      </c>
      <c r="D12" s="13">
        <v>102.34606335550397</v>
      </c>
      <c r="E12" s="14">
        <v>100.37119555293886</v>
      </c>
      <c r="F12" s="14">
        <v>100.55565497209432</v>
      </c>
      <c r="G12" s="14">
        <v>100</v>
      </c>
      <c r="H12" s="14">
        <v>99.660164480414366</v>
      </c>
      <c r="I12" s="15">
        <v>99.811956444434031</v>
      </c>
      <c r="J12" s="15">
        <v>99.429243789988433</v>
      </c>
      <c r="K12" s="15">
        <v>99.596467137695754</v>
      </c>
      <c r="L12" s="15">
        <v>98.655755411051672</v>
      </c>
      <c r="M12" s="15">
        <v>98.596596118643006</v>
      </c>
      <c r="N12" s="15">
        <f t="shared" si="0"/>
        <v>101.2436810917912</v>
      </c>
      <c r="O12" s="2" t="s">
        <v>25</v>
      </c>
    </row>
    <row r="13" spans="1:24" s="16" customFormat="1" ht="15.75" customHeight="1" x14ac:dyDescent="0.2">
      <c r="A13" s="17" t="s">
        <v>8</v>
      </c>
      <c r="B13" s="12">
        <v>93.527377725929483</v>
      </c>
      <c r="C13" s="12">
        <v>94.590582874379251</v>
      </c>
      <c r="D13" s="13">
        <v>95.651145478510003</v>
      </c>
      <c r="E13" s="14">
        <v>96.651638538608552</v>
      </c>
      <c r="F13" s="14">
        <v>98.254180537338826</v>
      </c>
      <c r="G13" s="14">
        <v>100</v>
      </c>
      <c r="H13" s="14">
        <v>99.913063846347569</v>
      </c>
      <c r="I13" s="15">
        <v>100.05050000534911</v>
      </c>
      <c r="J13" s="15">
        <v>100.59100044960076</v>
      </c>
      <c r="K13" s="15">
        <v>100.67954297404204</v>
      </c>
      <c r="L13" s="15">
        <v>100.00271115627237</v>
      </c>
      <c r="M13" s="15">
        <v>100.39671797365537</v>
      </c>
      <c r="N13" s="15">
        <f t="shared" si="0"/>
        <v>98.359038463336105</v>
      </c>
      <c r="O13" s="2" t="s">
        <v>26</v>
      </c>
    </row>
    <row r="14" spans="1:24" s="16" customFormat="1" ht="15.75" customHeight="1" x14ac:dyDescent="0.2">
      <c r="A14" s="17" t="s">
        <v>56</v>
      </c>
      <c r="B14" s="12">
        <v>97.688718760567042</v>
      </c>
      <c r="C14" s="12">
        <v>98.143786924463328</v>
      </c>
      <c r="D14" s="13">
        <v>98.88903578031568</v>
      </c>
      <c r="E14" s="14">
        <v>99.530914407989528</v>
      </c>
      <c r="F14" s="14">
        <v>99.099230768719735</v>
      </c>
      <c r="G14" s="14">
        <v>100</v>
      </c>
      <c r="H14" s="14">
        <v>100.3991501527473</v>
      </c>
      <c r="I14" s="15">
        <v>100.65738767868413</v>
      </c>
      <c r="J14" s="15">
        <v>100.8939093571656</v>
      </c>
      <c r="K14" s="15">
        <v>101.24082856758397</v>
      </c>
      <c r="L14" s="15">
        <v>101.29568235895935</v>
      </c>
      <c r="M14" s="15">
        <v>101.58355577156394</v>
      </c>
      <c r="N14" s="15">
        <f t="shared" si="0"/>
        <v>99.951850044063292</v>
      </c>
      <c r="O14" s="2" t="s">
        <v>27</v>
      </c>
    </row>
    <row r="15" spans="1:24" s="16" customFormat="1" ht="15.75" customHeight="1" x14ac:dyDescent="0.2">
      <c r="A15" s="17" t="s">
        <v>57</v>
      </c>
      <c r="B15" s="12">
        <v>97.67995240928019</v>
      </c>
      <c r="C15" s="12">
        <v>98.030933967876265</v>
      </c>
      <c r="D15" s="13">
        <v>98.381915526472341</v>
      </c>
      <c r="E15" s="14">
        <v>99.345627602617498</v>
      </c>
      <c r="F15" s="14">
        <v>99.631171921475314</v>
      </c>
      <c r="G15" s="14">
        <v>100</v>
      </c>
      <c r="H15" s="14">
        <v>100.54388819806958</v>
      </c>
      <c r="I15" s="15">
        <v>100.91362857007654</v>
      </c>
      <c r="J15" s="15">
        <v>101.1230388086869</v>
      </c>
      <c r="K15" s="15">
        <v>101.41767459228657</v>
      </c>
      <c r="L15" s="15">
        <v>101.59065083694502</v>
      </c>
      <c r="M15" s="15">
        <v>102.18843677153103</v>
      </c>
      <c r="N15" s="15">
        <f t="shared" si="0"/>
        <v>100.07057660044312</v>
      </c>
      <c r="O15" s="18" t="s">
        <v>60</v>
      </c>
    </row>
    <row r="16" spans="1:24" s="16" customFormat="1" ht="15.75" customHeight="1" x14ac:dyDescent="0.2">
      <c r="A16" s="11" t="s">
        <v>39</v>
      </c>
      <c r="B16" s="12">
        <v>94.467097215848383</v>
      </c>
      <c r="C16" s="12">
        <v>96.653778324023122</v>
      </c>
      <c r="D16" s="13">
        <v>98.215911095638063</v>
      </c>
      <c r="E16" s="14">
        <v>98.165272041322396</v>
      </c>
      <c r="F16" s="14">
        <v>101.35787686387179</v>
      </c>
      <c r="G16" s="14">
        <v>100</v>
      </c>
      <c r="H16" s="14">
        <v>100.01911467166904</v>
      </c>
      <c r="I16" s="15">
        <v>99.513881164936151</v>
      </c>
      <c r="J16" s="15">
        <v>99.382496675470875</v>
      </c>
      <c r="K16" s="15">
        <v>99.246112415025664</v>
      </c>
      <c r="L16" s="15">
        <v>98.992427889554307</v>
      </c>
      <c r="M16" s="15">
        <v>97.848868114506985</v>
      </c>
      <c r="N16" s="15">
        <f t="shared" si="0"/>
        <v>98.65523637265558</v>
      </c>
      <c r="O16" s="2" t="s">
        <v>41</v>
      </c>
    </row>
    <row r="17" spans="1:15" s="16" customFormat="1" ht="15.75" customHeight="1" x14ac:dyDescent="0.2">
      <c r="A17" s="19" t="s">
        <v>28</v>
      </c>
      <c r="B17" s="12">
        <v>99.081192809996736</v>
      </c>
      <c r="C17" s="12">
        <v>99.206642190859171</v>
      </c>
      <c r="D17" s="13">
        <v>100.17095167077059</v>
      </c>
      <c r="E17" s="14">
        <v>100.17095167077059</v>
      </c>
      <c r="F17" s="14">
        <v>100.19353256449891</v>
      </c>
      <c r="G17" s="14">
        <v>100</v>
      </c>
      <c r="H17" s="14">
        <v>99.668015159594546</v>
      </c>
      <c r="I17" s="15">
        <v>108.93263009638432</v>
      </c>
      <c r="J17" s="15">
        <v>109.11866708068465</v>
      </c>
      <c r="K17" s="15">
        <v>107.02821711705541</v>
      </c>
      <c r="L17" s="15">
        <v>106.88116137192927</v>
      </c>
      <c r="M17" s="15">
        <v>106.92173152899105</v>
      </c>
      <c r="N17" s="15">
        <f t="shared" si="0"/>
        <v>103.11447443846129</v>
      </c>
      <c r="O17" s="2" t="s">
        <v>29</v>
      </c>
    </row>
    <row r="18" spans="1:15" s="16" customFormat="1" ht="15.75" customHeight="1" x14ac:dyDescent="0.2">
      <c r="A18" s="19" t="s">
        <v>30</v>
      </c>
      <c r="B18" s="12">
        <v>99.446166815205288</v>
      </c>
      <c r="C18" s="12">
        <v>97.947424949915842</v>
      </c>
      <c r="D18" s="13">
        <v>99.049911511615221</v>
      </c>
      <c r="E18" s="14">
        <v>99.387868585226897</v>
      </c>
      <c r="F18" s="14">
        <v>100.8948879866544</v>
      </c>
      <c r="G18" s="14">
        <v>100</v>
      </c>
      <c r="H18" s="14">
        <v>99.817762503628913</v>
      </c>
      <c r="I18" s="15">
        <v>99.915032876464409</v>
      </c>
      <c r="J18" s="15">
        <v>99.986887975704434</v>
      </c>
      <c r="K18" s="15">
        <v>100.48360481144195</v>
      </c>
      <c r="L18" s="15">
        <v>101.45852530819391</v>
      </c>
      <c r="M18" s="15">
        <v>101.06875253153321</v>
      </c>
      <c r="N18" s="15">
        <f t="shared" si="0"/>
        <v>99.95473548796538</v>
      </c>
      <c r="O18" s="2" t="s">
        <v>31</v>
      </c>
    </row>
    <row r="19" spans="1:15" s="16" customFormat="1" ht="15.75" customHeight="1" x14ac:dyDescent="0.2">
      <c r="A19" s="19" t="s">
        <v>32</v>
      </c>
      <c r="B19" s="12">
        <v>99.91180764921657</v>
      </c>
      <c r="C19" s="12">
        <v>99.91180764921657</v>
      </c>
      <c r="D19" s="13">
        <v>100</v>
      </c>
      <c r="E19" s="14">
        <v>100</v>
      </c>
      <c r="F19" s="14">
        <v>100</v>
      </c>
      <c r="G19" s="14">
        <v>100</v>
      </c>
      <c r="H19" s="14">
        <v>99.947853563144889</v>
      </c>
      <c r="I19" s="15">
        <v>99.986116158500153</v>
      </c>
      <c r="J19" s="15">
        <v>100.03223512294784</v>
      </c>
      <c r="K19" s="15">
        <v>99.73714296921429</v>
      </c>
      <c r="L19" s="15">
        <v>100.26820928656316</v>
      </c>
      <c r="M19" s="15">
        <v>100.26820928656316</v>
      </c>
      <c r="N19" s="15">
        <f t="shared" si="0"/>
        <v>100.00528180711392</v>
      </c>
      <c r="O19" s="2" t="s">
        <v>33</v>
      </c>
    </row>
    <row r="20" spans="1:15" s="16" customFormat="1" ht="15.75" customHeight="1" x14ac:dyDescent="0.2">
      <c r="A20" s="20" t="s">
        <v>34</v>
      </c>
      <c r="B20" s="12">
        <v>99.834036980843592</v>
      </c>
      <c r="C20" s="12">
        <v>99.669787128336523</v>
      </c>
      <c r="D20" s="13">
        <v>99.894319032317824</v>
      </c>
      <c r="E20" s="14">
        <v>99.924620667428314</v>
      </c>
      <c r="F20" s="14">
        <v>99.994218062558431</v>
      </c>
      <c r="G20" s="14">
        <v>100</v>
      </c>
      <c r="H20" s="14">
        <v>98.987184748758878</v>
      </c>
      <c r="I20" s="15">
        <v>99.470248296733971</v>
      </c>
      <c r="J20" s="15">
        <v>99.573024581829074</v>
      </c>
      <c r="K20" s="15">
        <v>99.190900530261786</v>
      </c>
      <c r="L20" s="15">
        <v>99.429472728571326</v>
      </c>
      <c r="M20" s="15">
        <v>98.413512927786471</v>
      </c>
      <c r="N20" s="15">
        <f t="shared" si="0"/>
        <v>99.531777140452178</v>
      </c>
      <c r="O20" s="21" t="s">
        <v>35</v>
      </c>
    </row>
    <row r="21" spans="1:15" s="16" customFormat="1" ht="15.75" customHeight="1" x14ac:dyDescent="0.2">
      <c r="A21" s="17" t="s">
        <v>9</v>
      </c>
      <c r="B21" s="12">
        <v>100</v>
      </c>
      <c r="C21" s="12">
        <v>100</v>
      </c>
      <c r="D21" s="13">
        <v>100</v>
      </c>
      <c r="E21" s="14">
        <v>100</v>
      </c>
      <c r="F21" s="14">
        <v>100</v>
      </c>
      <c r="G21" s="14">
        <v>100</v>
      </c>
      <c r="H21" s="14">
        <v>100</v>
      </c>
      <c r="I21" s="15">
        <v>100</v>
      </c>
      <c r="J21" s="15">
        <v>99.99728074590692</v>
      </c>
      <c r="K21" s="15">
        <v>101.07679819298441</v>
      </c>
      <c r="L21" s="15">
        <v>101.07679819298441</v>
      </c>
      <c r="M21" s="15">
        <v>101.07679819298441</v>
      </c>
      <c r="N21" s="15">
        <f t="shared" si="0"/>
        <v>100.26897294373833</v>
      </c>
      <c r="O21" s="21" t="s">
        <v>10</v>
      </c>
    </row>
    <row r="22" spans="1:15" s="16" customFormat="1" ht="15.75" customHeight="1" x14ac:dyDescent="0.2">
      <c r="A22" s="17" t="s">
        <v>36</v>
      </c>
      <c r="B22" s="12">
        <v>97.746229728644352</v>
      </c>
      <c r="C22" s="12">
        <v>98.78464448566703</v>
      </c>
      <c r="D22" s="13">
        <v>99.98922676552391</v>
      </c>
      <c r="E22" s="14">
        <v>100</v>
      </c>
      <c r="F22" s="14">
        <v>100</v>
      </c>
      <c r="G22" s="14">
        <v>100</v>
      </c>
      <c r="H22" s="14">
        <v>101.05203850785543</v>
      </c>
      <c r="I22" s="15">
        <v>101.12408253967074</v>
      </c>
      <c r="J22" s="15">
        <v>106.77353271443079</v>
      </c>
      <c r="K22" s="15">
        <v>106.79979290930576</v>
      </c>
      <c r="L22" s="15">
        <v>115.16964151267081</v>
      </c>
      <c r="M22" s="15">
        <v>115.35340395421966</v>
      </c>
      <c r="N22" s="15">
        <f t="shared" si="0"/>
        <v>103.56604942649903</v>
      </c>
      <c r="O22" s="21" t="s">
        <v>37</v>
      </c>
    </row>
    <row r="23" spans="1:15" s="16" customFormat="1" ht="15.75" customHeight="1" x14ac:dyDescent="0.2">
      <c r="A23" s="20" t="s">
        <v>38</v>
      </c>
      <c r="B23" s="12">
        <v>99.94134323980839</v>
      </c>
      <c r="C23" s="12">
        <v>102.3796395867957</v>
      </c>
      <c r="D23" s="13">
        <v>102.34887737478411</v>
      </c>
      <c r="E23" s="14">
        <v>101.75892071561248</v>
      </c>
      <c r="F23" s="14">
        <v>101.35809952096979</v>
      </c>
      <c r="G23" s="14">
        <v>100</v>
      </c>
      <c r="H23" s="14">
        <v>99.977865966846835</v>
      </c>
      <c r="I23" s="15">
        <v>100.01944211109276</v>
      </c>
      <c r="J23" s="15">
        <v>99.924210713359841</v>
      </c>
      <c r="K23" s="15">
        <v>99.847513605586101</v>
      </c>
      <c r="L23" s="15">
        <v>99.838598074274728</v>
      </c>
      <c r="M23" s="15">
        <v>99.80418792145457</v>
      </c>
      <c r="N23" s="15">
        <f t="shared" si="0"/>
        <v>100.59989156921542</v>
      </c>
      <c r="O23" s="21" t="s">
        <v>61</v>
      </c>
    </row>
    <row r="24" spans="1:15" s="27" customFormat="1" ht="15.75" customHeight="1" x14ac:dyDescent="0.2">
      <c r="A24" s="22" t="s">
        <v>58</v>
      </c>
      <c r="B24" s="23">
        <v>97.59859943214181</v>
      </c>
      <c r="C24" s="23">
        <v>97.302942479972216</v>
      </c>
      <c r="D24" s="24">
        <v>98.042112633334924</v>
      </c>
      <c r="E24" s="24">
        <v>97.952949517338325</v>
      </c>
      <c r="F24" s="24">
        <v>96.007467362032386</v>
      </c>
      <c r="G24" s="24">
        <v>100</v>
      </c>
      <c r="H24" s="24">
        <v>100.24448657012601</v>
      </c>
      <c r="I24" s="25">
        <v>100.89350190672525</v>
      </c>
      <c r="J24" s="25">
        <v>100.91361135830726</v>
      </c>
      <c r="K24" s="25">
        <v>100.95666404241017</v>
      </c>
      <c r="L24" s="25">
        <v>101.30243465313896</v>
      </c>
      <c r="M24" s="25">
        <v>101.7009983789261</v>
      </c>
      <c r="N24" s="25">
        <f t="shared" si="0"/>
        <v>99.409647361204449</v>
      </c>
      <c r="O24" s="26" t="s">
        <v>11</v>
      </c>
    </row>
    <row r="25" spans="1:15" s="31" customFormat="1" ht="15.75" customHeight="1" x14ac:dyDescent="0.2">
      <c r="A25" s="28" t="s">
        <v>59</v>
      </c>
      <c r="B25" s="29">
        <v>98.947050384914888</v>
      </c>
      <c r="C25" s="29">
        <v>98.915247880965538</v>
      </c>
      <c r="D25" s="29">
        <v>99.212059740843756</v>
      </c>
      <c r="E25" s="29">
        <v>99.229128128722252</v>
      </c>
      <c r="F25" s="29">
        <v>99.707884609873844</v>
      </c>
      <c r="G25" s="29">
        <v>100</v>
      </c>
      <c r="H25" s="29">
        <v>100.16691218391982</v>
      </c>
      <c r="I25" s="29">
        <v>100.79576608693307</v>
      </c>
      <c r="J25" s="29">
        <v>100.84762479825773</v>
      </c>
      <c r="K25" s="29">
        <v>100.97948977478093</v>
      </c>
      <c r="L25" s="29">
        <v>101.36637214855324</v>
      </c>
      <c r="M25" s="29">
        <v>101.52765624306461</v>
      </c>
      <c r="N25" s="29">
        <f t="shared" si="0"/>
        <v>100.14126599840249</v>
      </c>
      <c r="O25" s="30" t="s">
        <v>42</v>
      </c>
    </row>
    <row r="26" spans="1:15" s="4" customFormat="1" ht="15.75" customHeight="1" x14ac:dyDescent="0.2">
      <c r="A26" s="43"/>
      <c r="B26" s="54">
        <v>2013</v>
      </c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43"/>
    </row>
    <row r="27" spans="1:15" s="4" customFormat="1" ht="15.75" customHeight="1" x14ac:dyDescent="0.2">
      <c r="A27" s="6"/>
      <c r="B27" s="7" t="s">
        <v>64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9" t="s">
        <v>65</v>
      </c>
      <c r="O27" s="10"/>
    </row>
    <row r="28" spans="1:15" s="4" customFormat="1" ht="15.75" customHeight="1" x14ac:dyDescent="0.2">
      <c r="A28" s="40" t="s">
        <v>62</v>
      </c>
      <c r="B28" s="1" t="s">
        <v>53</v>
      </c>
      <c r="C28" s="1" t="s">
        <v>52</v>
      </c>
      <c r="D28" s="1" t="s">
        <v>0</v>
      </c>
      <c r="E28" s="1" t="s">
        <v>12</v>
      </c>
      <c r="F28" s="1" t="s">
        <v>13</v>
      </c>
      <c r="G28" s="1" t="s">
        <v>1</v>
      </c>
      <c r="H28" s="1" t="s">
        <v>14</v>
      </c>
      <c r="I28" s="1" t="s">
        <v>51</v>
      </c>
      <c r="J28" s="1" t="s">
        <v>50</v>
      </c>
      <c r="K28" s="1" t="s">
        <v>49</v>
      </c>
      <c r="L28" s="1" t="s">
        <v>48</v>
      </c>
      <c r="M28" s="1" t="s">
        <v>47</v>
      </c>
      <c r="N28" s="1" t="s">
        <v>15</v>
      </c>
      <c r="O28" s="41" t="s">
        <v>24</v>
      </c>
    </row>
    <row r="29" spans="1:15" s="4" customFormat="1" ht="15.75" customHeight="1" x14ac:dyDescent="0.2">
      <c r="A29" s="34"/>
      <c r="B29" s="35" t="s">
        <v>16</v>
      </c>
      <c r="C29" s="34" t="s">
        <v>17</v>
      </c>
      <c r="D29" s="34" t="s">
        <v>2</v>
      </c>
      <c r="E29" s="34" t="s">
        <v>18</v>
      </c>
      <c r="F29" s="34" t="s">
        <v>19</v>
      </c>
      <c r="G29" s="34" t="s">
        <v>3</v>
      </c>
      <c r="H29" s="34" t="s">
        <v>20</v>
      </c>
      <c r="I29" s="34" t="s">
        <v>21</v>
      </c>
      <c r="J29" s="34" t="s">
        <v>4</v>
      </c>
      <c r="K29" s="34" t="s">
        <v>22</v>
      </c>
      <c r="L29" s="34" t="s">
        <v>23</v>
      </c>
      <c r="M29" s="34" t="s">
        <v>5</v>
      </c>
      <c r="N29" s="34" t="s">
        <v>63</v>
      </c>
      <c r="O29" s="36"/>
    </row>
    <row r="30" spans="1:15" s="16" customFormat="1" ht="15.75" customHeight="1" x14ac:dyDescent="0.2">
      <c r="A30" s="11" t="s">
        <v>43</v>
      </c>
      <c r="B30" s="12">
        <v>102.35523081478345</v>
      </c>
      <c r="C30" s="12">
        <v>100.92309079114062</v>
      </c>
      <c r="D30" s="13">
        <v>101.80704500661459</v>
      </c>
      <c r="E30" s="14">
        <v>102.26857709816029</v>
      </c>
      <c r="F30" s="14">
        <v>103.17950873727446</v>
      </c>
      <c r="G30" s="14">
        <v>103.72904138356017</v>
      </c>
      <c r="H30" s="14">
        <v>106.55535980744877</v>
      </c>
      <c r="I30" s="15">
        <v>106.79477101362731</v>
      </c>
      <c r="J30" s="15">
        <v>108.59767084643427</v>
      </c>
      <c r="K30" s="15">
        <v>109.50786275924206</v>
      </c>
      <c r="L30" s="15">
        <v>108.49482062137069</v>
      </c>
      <c r="M30" s="15">
        <v>107.67483978511184</v>
      </c>
      <c r="N30" s="15">
        <f>AVERAGE(B30:M30)</f>
        <v>105.15731822206406</v>
      </c>
      <c r="O30" s="2" t="s">
        <v>45</v>
      </c>
    </row>
    <row r="31" spans="1:15" s="16" customFormat="1" ht="15.75" customHeight="1" x14ac:dyDescent="0.2">
      <c r="A31" s="11" t="s">
        <v>44</v>
      </c>
      <c r="B31" s="12">
        <v>102.0141351354801</v>
      </c>
      <c r="C31" s="12">
        <v>102.50773771637054</v>
      </c>
      <c r="D31" s="13">
        <v>102.63101856682525</v>
      </c>
      <c r="E31" s="14">
        <v>102.23348117099157</v>
      </c>
      <c r="F31" s="14">
        <v>103.78004297348193</v>
      </c>
      <c r="G31" s="14">
        <v>104.00919124695325</v>
      </c>
      <c r="H31" s="14">
        <v>106.32575816219881</v>
      </c>
      <c r="I31" s="15">
        <v>106.00868822840043</v>
      </c>
      <c r="J31" s="15">
        <v>107.67130617196254</v>
      </c>
      <c r="K31" s="15">
        <v>108.32972470979509</v>
      </c>
      <c r="L31" s="15">
        <v>110.51539014492981</v>
      </c>
      <c r="M31" s="15">
        <v>109.5927899593698</v>
      </c>
      <c r="N31" s="15">
        <f t="shared" ref="N31:N46" si="1">AVERAGE(B31:M31)</f>
        <v>105.46827201556327</v>
      </c>
      <c r="O31" s="2" t="s">
        <v>46</v>
      </c>
    </row>
    <row r="32" spans="1:15" s="16" customFormat="1" ht="15.75" customHeight="1" x14ac:dyDescent="0.2">
      <c r="A32" s="17" t="s">
        <v>6</v>
      </c>
      <c r="B32" s="12">
        <v>103.13590023469295</v>
      </c>
      <c r="C32" s="12">
        <v>97.29629200433898</v>
      </c>
      <c r="D32" s="13">
        <v>99.921207687935535</v>
      </c>
      <c r="E32" s="14">
        <v>102.34890153135147</v>
      </c>
      <c r="F32" s="14">
        <v>101.80505944851947</v>
      </c>
      <c r="G32" s="14">
        <v>103.08785932054059</v>
      </c>
      <c r="H32" s="14">
        <v>107.08085160955451</v>
      </c>
      <c r="I32" s="15">
        <v>108.59388730028718</v>
      </c>
      <c r="J32" s="15">
        <v>110.7178518306132</v>
      </c>
      <c r="K32" s="15">
        <v>112.20428022636916</v>
      </c>
      <c r="L32" s="15">
        <v>103.87032100570453</v>
      </c>
      <c r="M32" s="15">
        <v>103.28520619898339</v>
      </c>
      <c r="N32" s="15">
        <f t="shared" si="1"/>
        <v>104.44563486657425</v>
      </c>
      <c r="O32" s="2" t="s">
        <v>7</v>
      </c>
    </row>
    <row r="33" spans="1:15" s="16" customFormat="1" ht="15.75" customHeight="1" x14ac:dyDescent="0.2">
      <c r="A33" s="17" t="s">
        <v>40</v>
      </c>
      <c r="B33" s="12">
        <v>98.35047558844775</v>
      </c>
      <c r="C33" s="12">
        <v>98.309157938700466</v>
      </c>
      <c r="D33" s="13">
        <v>98.28948892536134</v>
      </c>
      <c r="E33" s="14">
        <v>98.064018878070527</v>
      </c>
      <c r="F33" s="14">
        <v>97.738413225041739</v>
      </c>
      <c r="G33" s="14">
        <v>98.055317692543071</v>
      </c>
      <c r="H33" s="14">
        <v>98.032707227466545</v>
      </c>
      <c r="I33" s="15">
        <v>97.994811084418075</v>
      </c>
      <c r="J33" s="15">
        <v>97.982566235180414</v>
      </c>
      <c r="K33" s="15">
        <v>98.288763753205302</v>
      </c>
      <c r="L33" s="15">
        <v>98.16164617896915</v>
      </c>
      <c r="M33" s="15">
        <v>96.802217737697262</v>
      </c>
      <c r="N33" s="15">
        <f t="shared" si="1"/>
        <v>98.00579870542515</v>
      </c>
      <c r="O33" s="2" t="s">
        <v>25</v>
      </c>
    </row>
    <row r="34" spans="1:15" s="16" customFormat="1" ht="15.75" customHeight="1" x14ac:dyDescent="0.2">
      <c r="A34" s="17" t="s">
        <v>8</v>
      </c>
      <c r="B34" s="12">
        <v>100.64191726524612</v>
      </c>
      <c r="C34" s="12">
        <v>101.26640984630693</v>
      </c>
      <c r="D34" s="13">
        <v>101.37271303093875</v>
      </c>
      <c r="E34" s="14">
        <v>101.24928219356502</v>
      </c>
      <c r="F34" s="14">
        <v>101.26805667428232</v>
      </c>
      <c r="G34" s="14">
        <v>101.21922605893761</v>
      </c>
      <c r="H34" s="14">
        <v>101.07965443100748</v>
      </c>
      <c r="I34" s="15">
        <v>101.16430189275891</v>
      </c>
      <c r="J34" s="15">
        <v>100.97203696477165</v>
      </c>
      <c r="K34" s="15">
        <v>102.851092996387</v>
      </c>
      <c r="L34" s="15">
        <v>102.41258858323141</v>
      </c>
      <c r="M34" s="15">
        <v>102.81306553027522</v>
      </c>
      <c r="N34" s="15">
        <f t="shared" si="1"/>
        <v>101.52586212230904</v>
      </c>
      <c r="O34" s="2" t="s">
        <v>26</v>
      </c>
    </row>
    <row r="35" spans="1:15" s="16" customFormat="1" ht="15.75" customHeight="1" x14ac:dyDescent="0.2">
      <c r="A35" s="17" t="s">
        <v>56</v>
      </c>
      <c r="B35" s="12">
        <v>101.70355600311082</v>
      </c>
      <c r="C35" s="12">
        <v>102.03673104716157</v>
      </c>
      <c r="D35" s="13">
        <v>103.0517248576176</v>
      </c>
      <c r="E35" s="14">
        <v>103.1220003916319</v>
      </c>
      <c r="F35" s="14">
        <v>103.03356907082618</v>
      </c>
      <c r="G35" s="14">
        <v>103.17945571632021</v>
      </c>
      <c r="H35" s="14">
        <v>103.43665983737182</v>
      </c>
      <c r="I35" s="15">
        <v>103.55455859557084</v>
      </c>
      <c r="J35" s="15">
        <v>103.73541413325809</v>
      </c>
      <c r="K35" s="15">
        <v>104.47683900262707</v>
      </c>
      <c r="L35" s="15">
        <v>105.3135492627915</v>
      </c>
      <c r="M35" s="15">
        <v>105.56282260390131</v>
      </c>
      <c r="N35" s="15">
        <f t="shared" si="1"/>
        <v>103.51724004351574</v>
      </c>
      <c r="O35" s="2" t="s">
        <v>27</v>
      </c>
    </row>
    <row r="36" spans="1:15" s="16" customFormat="1" ht="15.75" customHeight="1" x14ac:dyDescent="0.2">
      <c r="A36" s="17" t="s">
        <v>57</v>
      </c>
      <c r="B36" s="12">
        <v>102.47576791394417</v>
      </c>
      <c r="C36" s="12">
        <v>102.7733868038067</v>
      </c>
      <c r="D36" s="13">
        <v>102.97471635590868</v>
      </c>
      <c r="E36" s="14">
        <v>103.08114682007623</v>
      </c>
      <c r="F36" s="14">
        <v>103.36162596353773</v>
      </c>
      <c r="G36" s="14">
        <v>103.67713491968654</v>
      </c>
      <c r="H36" s="14">
        <v>103.87743917729767</v>
      </c>
      <c r="I36" s="15">
        <v>104.17173686965837</v>
      </c>
      <c r="J36" s="15">
        <v>104.63022001606757</v>
      </c>
      <c r="K36" s="15">
        <v>105.68849769537805</v>
      </c>
      <c r="L36" s="15">
        <v>106.03403774160735</v>
      </c>
      <c r="M36" s="15">
        <v>106.32999175191709</v>
      </c>
      <c r="N36" s="15">
        <f t="shared" si="1"/>
        <v>104.08964183574052</v>
      </c>
      <c r="O36" s="18" t="s">
        <v>60</v>
      </c>
    </row>
    <row r="37" spans="1:15" s="16" customFormat="1" ht="15.75" customHeight="1" x14ac:dyDescent="0.2">
      <c r="A37" s="11" t="s">
        <v>39</v>
      </c>
      <c r="B37" s="12">
        <v>98.353369337193044</v>
      </c>
      <c r="C37" s="12">
        <v>98.760190770286655</v>
      </c>
      <c r="D37" s="13">
        <v>98.798694493698108</v>
      </c>
      <c r="E37" s="14">
        <v>98.882702160581829</v>
      </c>
      <c r="F37" s="14">
        <v>97.839783511860645</v>
      </c>
      <c r="G37" s="14">
        <v>92.858089271470888</v>
      </c>
      <c r="H37" s="14">
        <v>96.42077412480424</v>
      </c>
      <c r="I37" s="15">
        <v>97.205645266257918</v>
      </c>
      <c r="J37" s="15">
        <v>96.286896733881321</v>
      </c>
      <c r="K37" s="15">
        <v>96.166217607316582</v>
      </c>
      <c r="L37" s="15">
        <v>96.534548786044311</v>
      </c>
      <c r="M37" s="15">
        <v>96.250776719330617</v>
      </c>
      <c r="N37" s="15">
        <f t="shared" si="1"/>
        <v>97.029807398560521</v>
      </c>
      <c r="O37" s="2" t="s">
        <v>41</v>
      </c>
    </row>
    <row r="38" spans="1:15" s="16" customFormat="1" ht="15.75" customHeight="1" x14ac:dyDescent="0.2">
      <c r="A38" s="19" t="s">
        <v>28</v>
      </c>
      <c r="B38" s="12">
        <v>107.5612744216817</v>
      </c>
      <c r="C38" s="12">
        <v>107.60917749805724</v>
      </c>
      <c r="D38" s="13">
        <v>107.67619852735103</v>
      </c>
      <c r="E38" s="14">
        <v>107.84725123974864</v>
      </c>
      <c r="F38" s="14">
        <v>107.92660122616746</v>
      </c>
      <c r="G38" s="14">
        <v>107.98119150168921</v>
      </c>
      <c r="H38" s="14">
        <v>107.91348877492793</v>
      </c>
      <c r="I38" s="15">
        <v>107.92198364889963</v>
      </c>
      <c r="J38" s="15">
        <v>116.39106132760902</v>
      </c>
      <c r="K38" s="15">
        <v>116.73259328173134</v>
      </c>
      <c r="L38" s="15">
        <v>117.0998030890008</v>
      </c>
      <c r="M38" s="15">
        <v>116.45768492753517</v>
      </c>
      <c r="N38" s="15">
        <f t="shared" si="1"/>
        <v>110.75985912203326</v>
      </c>
      <c r="O38" s="2" t="s">
        <v>29</v>
      </c>
    </row>
    <row r="39" spans="1:15" s="16" customFormat="1" ht="15.75" customHeight="1" x14ac:dyDescent="0.2">
      <c r="A39" s="19" t="s">
        <v>30</v>
      </c>
      <c r="B39" s="12">
        <v>101.61002734895511</v>
      </c>
      <c r="C39" s="12">
        <v>101.58651404409495</v>
      </c>
      <c r="D39" s="13">
        <v>101.84549541284601</v>
      </c>
      <c r="E39" s="14">
        <v>101.7435030651591</v>
      </c>
      <c r="F39" s="14">
        <v>101.16271799074863</v>
      </c>
      <c r="G39" s="14">
        <v>101.22150298908261</v>
      </c>
      <c r="H39" s="14">
        <v>101.73770654777712</v>
      </c>
      <c r="I39" s="15">
        <v>101.95550296408102</v>
      </c>
      <c r="J39" s="15">
        <v>102.05873183120588</v>
      </c>
      <c r="K39" s="15">
        <v>102.02290700258291</v>
      </c>
      <c r="L39" s="15">
        <v>104.14378969890042</v>
      </c>
      <c r="M39" s="15">
        <v>105.06552922107844</v>
      </c>
      <c r="N39" s="15">
        <f t="shared" si="1"/>
        <v>102.17949400970934</v>
      </c>
      <c r="O39" s="2" t="s">
        <v>31</v>
      </c>
    </row>
    <row r="40" spans="1:15" s="16" customFormat="1" ht="15.75" customHeight="1" x14ac:dyDescent="0.2">
      <c r="A40" s="19" t="s">
        <v>32</v>
      </c>
      <c r="B40" s="12">
        <v>99.911828613481234</v>
      </c>
      <c r="C40" s="12">
        <v>100.00327891647423</v>
      </c>
      <c r="D40" s="13">
        <v>99.858895219300464</v>
      </c>
      <c r="E40" s="14">
        <v>99.028326847350982</v>
      </c>
      <c r="F40" s="14">
        <v>99.028326847350982</v>
      </c>
      <c r="G40" s="14">
        <v>99.028326847350982</v>
      </c>
      <c r="H40" s="14">
        <v>99.028326847350982</v>
      </c>
      <c r="I40" s="15">
        <v>98.036529843940315</v>
      </c>
      <c r="J40" s="15">
        <v>98.060889602099294</v>
      </c>
      <c r="K40" s="15">
        <v>98.799874220083325</v>
      </c>
      <c r="L40" s="15">
        <v>98.770521088665987</v>
      </c>
      <c r="M40" s="15">
        <v>99.054656129594079</v>
      </c>
      <c r="N40" s="15">
        <f t="shared" si="1"/>
        <v>99.050815085253589</v>
      </c>
      <c r="O40" s="2" t="s">
        <v>33</v>
      </c>
    </row>
    <row r="41" spans="1:15" s="16" customFormat="1" ht="15.75" customHeight="1" x14ac:dyDescent="0.2">
      <c r="A41" s="20" t="s">
        <v>34</v>
      </c>
      <c r="B41" s="12">
        <v>97.049417100064801</v>
      </c>
      <c r="C41" s="12">
        <v>98.354586311401135</v>
      </c>
      <c r="D41" s="13">
        <v>98.396159563866931</v>
      </c>
      <c r="E41" s="14">
        <v>98.451300149936543</v>
      </c>
      <c r="F41" s="14">
        <v>97.900389373267004</v>
      </c>
      <c r="G41" s="14">
        <v>97.531494617222577</v>
      </c>
      <c r="H41" s="14">
        <v>97.562343749065803</v>
      </c>
      <c r="I41" s="15">
        <v>98.550207362446542</v>
      </c>
      <c r="J41" s="15">
        <v>98.950005125322733</v>
      </c>
      <c r="K41" s="15">
        <v>100.7166550299988</v>
      </c>
      <c r="L41" s="15">
        <v>101.94582034193851</v>
      </c>
      <c r="M41" s="15">
        <v>100.52856628121495</v>
      </c>
      <c r="N41" s="15">
        <f t="shared" si="1"/>
        <v>98.82807875047888</v>
      </c>
      <c r="O41" s="21" t="s">
        <v>35</v>
      </c>
    </row>
    <row r="42" spans="1:15" s="16" customFormat="1" ht="15.75" customHeight="1" x14ac:dyDescent="0.2">
      <c r="A42" s="17" t="s">
        <v>9</v>
      </c>
      <c r="B42" s="12">
        <v>105.70189353634692</v>
      </c>
      <c r="C42" s="12">
        <v>105.70189353634692</v>
      </c>
      <c r="D42" s="13">
        <v>105.70193185911501</v>
      </c>
      <c r="E42" s="14">
        <v>105.70193185911499</v>
      </c>
      <c r="F42" s="14">
        <v>105.70193185911499</v>
      </c>
      <c r="G42" s="14">
        <v>105.70193185911499</v>
      </c>
      <c r="H42" s="14">
        <v>105.70193185911499</v>
      </c>
      <c r="I42" s="15">
        <v>105.70193185911499</v>
      </c>
      <c r="J42" s="15">
        <v>105.80383814953936</v>
      </c>
      <c r="K42" s="15">
        <v>105.78014400779554</v>
      </c>
      <c r="L42" s="15">
        <v>105.7597132319612</v>
      </c>
      <c r="M42" s="15">
        <v>106.05385065007339</v>
      </c>
      <c r="N42" s="15">
        <f t="shared" si="1"/>
        <v>105.75107702222947</v>
      </c>
      <c r="O42" s="21" t="s">
        <v>10</v>
      </c>
    </row>
    <row r="43" spans="1:15" s="16" customFormat="1" ht="15.75" customHeight="1" x14ac:dyDescent="0.2">
      <c r="A43" s="17" t="s">
        <v>36</v>
      </c>
      <c r="B43" s="12">
        <v>115.35109197991446</v>
      </c>
      <c r="C43" s="12">
        <v>115.35221808099628</v>
      </c>
      <c r="D43" s="13">
        <v>115.4743732981436</v>
      </c>
      <c r="E43" s="14">
        <v>115.69465202393276</v>
      </c>
      <c r="F43" s="14">
        <v>115.83658079689259</v>
      </c>
      <c r="G43" s="14">
        <v>115.83658079689259</v>
      </c>
      <c r="H43" s="14">
        <v>115.82952605752854</v>
      </c>
      <c r="I43" s="15">
        <v>115.78752066845593</v>
      </c>
      <c r="J43" s="15">
        <v>115.72709989388849</v>
      </c>
      <c r="K43" s="15">
        <v>114.65835977828124</v>
      </c>
      <c r="L43" s="15">
        <v>114.2597731123452</v>
      </c>
      <c r="M43" s="15">
        <v>121.34124888242363</v>
      </c>
      <c r="N43" s="15">
        <f t="shared" si="1"/>
        <v>115.92908544747458</v>
      </c>
      <c r="O43" s="21" t="s">
        <v>37</v>
      </c>
    </row>
    <row r="44" spans="1:15" s="16" customFormat="1" ht="15.75" customHeight="1" x14ac:dyDescent="0.2">
      <c r="A44" s="20" t="s">
        <v>38</v>
      </c>
      <c r="B44" s="12">
        <v>99.487067505859358</v>
      </c>
      <c r="C44" s="12">
        <v>99.378689849885106</v>
      </c>
      <c r="D44" s="13">
        <v>99.340219351823762</v>
      </c>
      <c r="E44" s="14">
        <v>99.323350387458774</v>
      </c>
      <c r="F44" s="14">
        <v>99.434658680729243</v>
      </c>
      <c r="G44" s="14">
        <v>99.120305347287683</v>
      </c>
      <c r="H44" s="14">
        <v>99.054788978949944</v>
      </c>
      <c r="I44" s="15">
        <v>98.968718451980649</v>
      </c>
      <c r="J44" s="15">
        <v>98.426573462254964</v>
      </c>
      <c r="K44" s="15">
        <v>98.290907809794845</v>
      </c>
      <c r="L44" s="15">
        <v>98.637831504367938</v>
      </c>
      <c r="M44" s="15">
        <v>98.730063167481305</v>
      </c>
      <c r="N44" s="15">
        <f t="shared" si="1"/>
        <v>99.01609787482279</v>
      </c>
      <c r="O44" s="21" t="s">
        <v>61</v>
      </c>
    </row>
    <row r="45" spans="1:15" s="27" customFormat="1" ht="15.75" customHeight="1" x14ac:dyDescent="0.2">
      <c r="A45" s="22" t="s">
        <v>58</v>
      </c>
      <c r="B45" s="23">
        <v>101.82326041829094</v>
      </c>
      <c r="C45" s="23">
        <v>101.61695886850373</v>
      </c>
      <c r="D45" s="24">
        <v>102.12566814142265</v>
      </c>
      <c r="E45" s="24">
        <v>102.24323827834799</v>
      </c>
      <c r="F45" s="24">
        <v>102.34106701439609</v>
      </c>
      <c r="G45" s="24">
        <v>102.06719267346149</v>
      </c>
      <c r="H45" s="24">
        <v>103.25634477540279</v>
      </c>
      <c r="I45" s="25">
        <v>103.43085978874505</v>
      </c>
      <c r="J45" s="25">
        <v>104.3457858782799</v>
      </c>
      <c r="K45" s="25">
        <v>104.94594055432941</v>
      </c>
      <c r="L45" s="25">
        <v>105.07383775862121</v>
      </c>
      <c r="M45" s="25">
        <v>105.04357464879853</v>
      </c>
      <c r="N45" s="25">
        <f t="shared" si="1"/>
        <v>103.19281073321666</v>
      </c>
      <c r="O45" s="26" t="s">
        <v>11</v>
      </c>
    </row>
    <row r="46" spans="1:15" s="31" customFormat="1" ht="15.75" customHeight="1" x14ac:dyDescent="0.2">
      <c r="A46" s="28" t="s">
        <v>59</v>
      </c>
      <c r="B46" s="29">
        <v>101.69902323484328</v>
      </c>
      <c r="C46" s="29">
        <v>102.02589624424968</v>
      </c>
      <c r="D46" s="29">
        <v>102.33431331151466</v>
      </c>
      <c r="E46" s="29">
        <v>102.23323758753919</v>
      </c>
      <c r="F46" s="29">
        <v>102.39179842560193</v>
      </c>
      <c r="G46" s="29">
        <v>101.97058982179753</v>
      </c>
      <c r="H46" s="29">
        <v>102.89436736833802</v>
      </c>
      <c r="I46" s="29">
        <v>102.94219565706059</v>
      </c>
      <c r="J46" s="29">
        <v>103.74269010381967</v>
      </c>
      <c r="K46" s="29">
        <v>104.25896179131125</v>
      </c>
      <c r="L46" s="29">
        <v>105.1877467912027</v>
      </c>
      <c r="M46" s="29">
        <v>105.20999862964869</v>
      </c>
      <c r="N46" s="29">
        <f t="shared" si="1"/>
        <v>103.07423491391059</v>
      </c>
      <c r="O46" s="30" t="s">
        <v>42</v>
      </c>
    </row>
    <row r="47" spans="1:15" s="4" customFormat="1" ht="15.75" customHeight="1" x14ac:dyDescent="0.2">
      <c r="A47" s="43"/>
      <c r="B47" s="54">
        <v>2014</v>
      </c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43"/>
    </row>
    <row r="48" spans="1:15" s="4" customFormat="1" ht="15.75" customHeight="1" x14ac:dyDescent="0.2">
      <c r="A48" s="6"/>
      <c r="B48" s="7" t="s">
        <v>64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9" t="s">
        <v>65</v>
      </c>
      <c r="O48" s="10"/>
    </row>
    <row r="49" spans="1:29" s="4" customFormat="1" ht="15.75" customHeight="1" x14ac:dyDescent="0.2">
      <c r="A49" s="40" t="s">
        <v>62</v>
      </c>
      <c r="B49" s="1" t="s">
        <v>53</v>
      </c>
      <c r="C49" s="1" t="s">
        <v>52</v>
      </c>
      <c r="D49" s="1" t="s">
        <v>0</v>
      </c>
      <c r="E49" s="1" t="s">
        <v>12</v>
      </c>
      <c r="F49" s="1" t="s">
        <v>13</v>
      </c>
      <c r="G49" s="1" t="s">
        <v>1</v>
      </c>
      <c r="H49" s="1" t="s">
        <v>14</v>
      </c>
      <c r="I49" s="1" t="s">
        <v>51</v>
      </c>
      <c r="J49" s="1" t="s">
        <v>50</v>
      </c>
      <c r="K49" s="1" t="s">
        <v>49</v>
      </c>
      <c r="L49" s="1" t="s">
        <v>48</v>
      </c>
      <c r="M49" s="1" t="s">
        <v>47</v>
      </c>
      <c r="N49" s="1" t="s">
        <v>15</v>
      </c>
      <c r="O49" s="41" t="s">
        <v>24</v>
      </c>
    </row>
    <row r="50" spans="1:29" s="4" customFormat="1" ht="15.75" customHeight="1" x14ac:dyDescent="0.2">
      <c r="A50" s="34"/>
      <c r="B50" s="35" t="s">
        <v>16</v>
      </c>
      <c r="C50" s="34" t="s">
        <v>17</v>
      </c>
      <c r="D50" s="34" t="s">
        <v>2</v>
      </c>
      <c r="E50" s="34" t="s">
        <v>18</v>
      </c>
      <c r="F50" s="34" t="s">
        <v>19</v>
      </c>
      <c r="G50" s="34" t="s">
        <v>3</v>
      </c>
      <c r="H50" s="34" t="s">
        <v>20</v>
      </c>
      <c r="I50" s="34" t="s">
        <v>21</v>
      </c>
      <c r="J50" s="34" t="s">
        <v>4</v>
      </c>
      <c r="K50" s="34" t="s">
        <v>22</v>
      </c>
      <c r="L50" s="34" t="s">
        <v>23</v>
      </c>
      <c r="M50" s="34" t="s">
        <v>5</v>
      </c>
      <c r="N50" s="34" t="s">
        <v>63</v>
      </c>
      <c r="O50" s="36"/>
    </row>
    <row r="51" spans="1:29" s="16" customFormat="1" ht="15.75" customHeight="1" x14ac:dyDescent="0.2">
      <c r="A51" s="11" t="s">
        <v>43</v>
      </c>
      <c r="B51" s="12">
        <v>106.31758708742608</v>
      </c>
      <c r="C51" s="12">
        <v>105.71811814833734</v>
      </c>
      <c r="D51" s="12">
        <v>103.29294427915477</v>
      </c>
      <c r="E51" s="12">
        <v>103.91473403628198</v>
      </c>
      <c r="F51" s="12">
        <v>106.40885316595418</v>
      </c>
      <c r="G51" s="12">
        <v>106.98245669518508</v>
      </c>
      <c r="H51" s="12">
        <v>108.10660832534157</v>
      </c>
      <c r="I51" s="12">
        <v>106.16368185683064</v>
      </c>
      <c r="J51" s="12">
        <v>106.02899544024046</v>
      </c>
      <c r="K51" s="12">
        <v>106.92113423815023</v>
      </c>
      <c r="L51" s="12">
        <v>105.34570058715734</v>
      </c>
      <c r="M51" s="12">
        <v>105.78118214240111</v>
      </c>
      <c r="N51" s="12">
        <v>105.91516633353841</v>
      </c>
      <c r="O51" s="2" t="s">
        <v>45</v>
      </c>
      <c r="Q51" s="3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s="16" customFormat="1" ht="15.75" customHeight="1" x14ac:dyDescent="0.2">
      <c r="A52" s="11" t="s">
        <v>44</v>
      </c>
      <c r="B52" s="12">
        <v>106.86420086445194</v>
      </c>
      <c r="C52" s="12">
        <v>105.01409247417877</v>
      </c>
      <c r="D52" s="12">
        <v>103.74568801545161</v>
      </c>
      <c r="E52" s="12">
        <v>104.69338948718891</v>
      </c>
      <c r="F52" s="12">
        <v>106.70165836727112</v>
      </c>
      <c r="G52" s="12">
        <v>106.16413579437854</v>
      </c>
      <c r="H52" s="12">
        <v>107.2448167203728</v>
      </c>
      <c r="I52" s="12">
        <v>106.03971634054275</v>
      </c>
      <c r="J52" s="12">
        <v>105.66839601028398</v>
      </c>
      <c r="K52" s="12">
        <v>106.17409164121399</v>
      </c>
      <c r="L52" s="12">
        <v>105.56182971482025</v>
      </c>
      <c r="M52" s="12">
        <v>105.4445019680865</v>
      </c>
      <c r="N52" s="12">
        <v>105.77637644985344</v>
      </c>
      <c r="O52" s="2" t="s">
        <v>46</v>
      </c>
      <c r="Q52" s="3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s="16" customFormat="1" ht="15.75" customHeight="1" x14ac:dyDescent="0.2">
      <c r="A53" s="17" t="s">
        <v>6</v>
      </c>
      <c r="B53" s="12">
        <v>105.0665461446125</v>
      </c>
      <c r="C53" s="12">
        <v>107.32942942548203</v>
      </c>
      <c r="D53" s="12">
        <v>102.2567447274502</v>
      </c>
      <c r="E53" s="12">
        <v>102.13261677109</v>
      </c>
      <c r="F53" s="12">
        <v>105.73870669231536</v>
      </c>
      <c r="G53" s="12">
        <v>108.85535671032822</v>
      </c>
      <c r="H53" s="12">
        <v>110.0790002175754</v>
      </c>
      <c r="I53" s="12">
        <v>106.44740309272241</v>
      </c>
      <c r="J53" s="12">
        <v>106.85430330804707</v>
      </c>
      <c r="K53" s="12">
        <v>108.6308988179569</v>
      </c>
      <c r="L53" s="12">
        <v>104.85104348372313</v>
      </c>
      <c r="M53" s="12">
        <v>106.5517457476455</v>
      </c>
      <c r="N53" s="12">
        <v>106.23281626157906</v>
      </c>
      <c r="O53" s="2" t="s">
        <v>7</v>
      </c>
      <c r="Q53" s="3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s="16" customFormat="1" ht="15.75" customHeight="1" x14ac:dyDescent="0.2">
      <c r="A54" s="17" t="s">
        <v>40</v>
      </c>
      <c r="B54" s="12">
        <v>97.6025498122942</v>
      </c>
      <c r="C54" s="12">
        <v>97.576769060968573</v>
      </c>
      <c r="D54" s="12">
        <v>97.496296960332245</v>
      </c>
      <c r="E54" s="12">
        <v>97.391068408279637</v>
      </c>
      <c r="F54" s="12">
        <v>97.430589181763366</v>
      </c>
      <c r="G54" s="12">
        <v>97.459336287389164</v>
      </c>
      <c r="H54" s="12">
        <v>97.664074680511106</v>
      </c>
      <c r="I54" s="12">
        <v>99.701776938668118</v>
      </c>
      <c r="J54" s="12">
        <v>104.44537627286536</v>
      </c>
      <c r="K54" s="12">
        <v>105.39600384053396</v>
      </c>
      <c r="L54" s="12">
        <v>104.96043387693594</v>
      </c>
      <c r="M54" s="12">
        <v>105.09635311487092</v>
      </c>
      <c r="N54" s="12">
        <v>100.18505236961772</v>
      </c>
      <c r="O54" s="2" t="s">
        <v>25</v>
      </c>
      <c r="Q54" s="3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s="16" customFormat="1" ht="15.75" customHeight="1" x14ac:dyDescent="0.2">
      <c r="A55" s="17" t="s">
        <v>8</v>
      </c>
      <c r="B55" s="12">
        <v>102.96581855789135</v>
      </c>
      <c r="C55" s="12">
        <v>102.77102028475612</v>
      </c>
      <c r="D55" s="12">
        <v>102.04208931617971</v>
      </c>
      <c r="E55" s="12">
        <v>102.07446809678498</v>
      </c>
      <c r="F55" s="12">
        <v>102.18392392956027</v>
      </c>
      <c r="G55" s="12">
        <v>101.58955065132129</v>
      </c>
      <c r="H55" s="12">
        <v>102.15621480058731</v>
      </c>
      <c r="I55" s="12">
        <v>102.3811110898595</v>
      </c>
      <c r="J55" s="12">
        <v>102.65207979478888</v>
      </c>
      <c r="K55" s="12">
        <v>102.80837137848903</v>
      </c>
      <c r="L55" s="12">
        <v>102.95489092417553</v>
      </c>
      <c r="M55" s="12">
        <v>103.00378883181119</v>
      </c>
      <c r="N55" s="12">
        <v>102.46527730468375</v>
      </c>
      <c r="O55" s="2" t="s">
        <v>26</v>
      </c>
      <c r="Q55" s="3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s="16" customFormat="1" ht="15.75" customHeight="1" x14ac:dyDescent="0.2">
      <c r="A56" s="17" t="s">
        <v>56</v>
      </c>
      <c r="B56" s="12">
        <v>105.78776553827002</v>
      </c>
      <c r="C56" s="12">
        <v>105.98598857333334</v>
      </c>
      <c r="D56" s="12">
        <v>106.13401246984009</v>
      </c>
      <c r="E56" s="12">
        <v>106.31764496877378</v>
      </c>
      <c r="F56" s="12">
        <v>106.68180686825696</v>
      </c>
      <c r="G56" s="12">
        <v>106.73468515298934</v>
      </c>
      <c r="H56" s="12">
        <v>106.74207739159645</v>
      </c>
      <c r="I56" s="12">
        <v>106.99255691478592</v>
      </c>
      <c r="J56" s="12">
        <v>107.25413401777975</v>
      </c>
      <c r="K56" s="12">
        <v>107.06883604192602</v>
      </c>
      <c r="L56" s="12">
        <v>107.21622763226769</v>
      </c>
      <c r="M56" s="12">
        <v>107.37093702257656</v>
      </c>
      <c r="N56" s="12">
        <v>106.69055604936631</v>
      </c>
      <c r="O56" s="2" t="s">
        <v>27</v>
      </c>
      <c r="Q56" s="3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s="16" customFormat="1" ht="15.75" customHeight="1" x14ac:dyDescent="0.2">
      <c r="A57" s="17" t="s">
        <v>57</v>
      </c>
      <c r="B57" s="12">
        <v>106.74206391697112</v>
      </c>
      <c r="C57" s="12">
        <v>107.02242503703755</v>
      </c>
      <c r="D57" s="12">
        <v>107.31159750659178</v>
      </c>
      <c r="E57" s="12">
        <v>107.65737682357265</v>
      </c>
      <c r="F57" s="12">
        <v>108.27462116375757</v>
      </c>
      <c r="G57" s="12">
        <v>108.39222773267431</v>
      </c>
      <c r="H57" s="12">
        <v>108.42388836225815</v>
      </c>
      <c r="I57" s="12">
        <v>108.92366169172024</v>
      </c>
      <c r="J57" s="12">
        <v>109.44876845649675</v>
      </c>
      <c r="K57" s="12">
        <v>109.83361263031108</v>
      </c>
      <c r="L57" s="12">
        <v>110.12167245520455</v>
      </c>
      <c r="M57" s="12">
        <v>110.41713315632261</v>
      </c>
      <c r="N57" s="12">
        <v>108.54742074440985</v>
      </c>
      <c r="O57" s="18" t="s">
        <v>60</v>
      </c>
      <c r="Q57" s="3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s="16" customFormat="1" ht="15.75" customHeight="1" x14ac:dyDescent="0.2">
      <c r="A58" s="11" t="s">
        <v>39</v>
      </c>
      <c r="B58" s="12">
        <v>96.748780101000278</v>
      </c>
      <c r="C58" s="12">
        <v>96.716077480633388</v>
      </c>
      <c r="D58" s="12">
        <v>96.93341435077005</v>
      </c>
      <c r="E58" s="12">
        <v>96.912819676002741</v>
      </c>
      <c r="F58" s="12">
        <v>96.139857243345787</v>
      </c>
      <c r="G58" s="12">
        <v>93.001408382523806</v>
      </c>
      <c r="H58" s="12">
        <v>93.205469288917271</v>
      </c>
      <c r="I58" s="12">
        <v>96.933463967069628</v>
      </c>
      <c r="J58" s="12">
        <v>96.706664986193957</v>
      </c>
      <c r="K58" s="12">
        <v>96.4913834012075</v>
      </c>
      <c r="L58" s="12">
        <v>96.539545930872052</v>
      </c>
      <c r="M58" s="12">
        <v>96.040647322640652</v>
      </c>
      <c r="N58" s="12">
        <v>96.030794344264748</v>
      </c>
      <c r="O58" s="2" t="s">
        <v>41</v>
      </c>
      <c r="Q58" s="3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s="16" customFormat="1" ht="15.75" customHeight="1" x14ac:dyDescent="0.2">
      <c r="A59" s="19" t="s">
        <v>28</v>
      </c>
      <c r="B59" s="12">
        <v>121.02908732780611</v>
      </c>
      <c r="C59" s="12">
        <v>121.0896994081161</v>
      </c>
      <c r="D59" s="12">
        <v>121.110869390221</v>
      </c>
      <c r="E59" s="12">
        <v>120.97995383841547</v>
      </c>
      <c r="F59" s="12">
        <v>121.01413761591094</v>
      </c>
      <c r="G59" s="12">
        <v>121.05887550531696</v>
      </c>
      <c r="H59" s="12">
        <v>121.05402561036209</v>
      </c>
      <c r="I59" s="12">
        <v>121.10801877500793</v>
      </c>
      <c r="J59" s="12">
        <v>121.35541420246976</v>
      </c>
      <c r="K59" s="12">
        <v>120.720666731767</v>
      </c>
      <c r="L59" s="12">
        <v>120.72668313666381</v>
      </c>
      <c r="M59" s="12">
        <v>120.71543099505936</v>
      </c>
      <c r="N59" s="12">
        <v>120.99690521142638</v>
      </c>
      <c r="O59" s="2" t="s">
        <v>29</v>
      </c>
      <c r="Q59" s="3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s="16" customFormat="1" ht="15.75" customHeight="1" x14ac:dyDescent="0.2">
      <c r="A60" s="19" t="s">
        <v>30</v>
      </c>
      <c r="B60" s="12">
        <v>105.56659581764241</v>
      </c>
      <c r="C60" s="12">
        <v>105.56134703032096</v>
      </c>
      <c r="D60" s="12">
        <v>105.64171503016343</v>
      </c>
      <c r="E60" s="12">
        <v>105.7012067888493</v>
      </c>
      <c r="F60" s="12">
        <v>105.81834670624697</v>
      </c>
      <c r="G60" s="12">
        <v>105.8172648093944</v>
      </c>
      <c r="H60" s="12">
        <v>106.23449931257331</v>
      </c>
      <c r="I60" s="12">
        <v>106.27077109478314</v>
      </c>
      <c r="J60" s="12">
        <v>105.91057505114371</v>
      </c>
      <c r="K60" s="12">
        <v>104.07693058904982</v>
      </c>
      <c r="L60" s="12">
        <v>104.19797280479557</v>
      </c>
      <c r="M60" s="12">
        <v>103.75816693788538</v>
      </c>
      <c r="N60" s="12">
        <v>105.37961599773739</v>
      </c>
      <c r="O60" s="2" t="s">
        <v>31</v>
      </c>
      <c r="Q60" s="3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s="16" customFormat="1" ht="15.75" customHeight="1" x14ac:dyDescent="0.2">
      <c r="A61" s="19" t="s">
        <v>32</v>
      </c>
      <c r="B61" s="12">
        <v>99.557393992602911</v>
      </c>
      <c r="C61" s="12">
        <v>98.671368079053551</v>
      </c>
      <c r="D61" s="12">
        <v>98.510759780934691</v>
      </c>
      <c r="E61" s="12">
        <v>96.972686935090806</v>
      </c>
      <c r="F61" s="12">
        <v>101.40052247193118</v>
      </c>
      <c r="G61" s="12">
        <v>101.40052247193118</v>
      </c>
      <c r="H61" s="12">
        <v>101.3507611416975</v>
      </c>
      <c r="I61" s="12">
        <v>101.11792950752546</v>
      </c>
      <c r="J61" s="12">
        <v>101.11792950752546</v>
      </c>
      <c r="K61" s="12">
        <v>101.11792950752546</v>
      </c>
      <c r="L61" s="12">
        <v>101.11792950752546</v>
      </c>
      <c r="M61" s="12">
        <v>101.11792950752546</v>
      </c>
      <c r="N61" s="12">
        <v>100.28780520090577</v>
      </c>
      <c r="O61" s="2" t="s">
        <v>33</v>
      </c>
      <c r="Q61" s="3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s="16" customFormat="1" ht="15.75" customHeight="1" x14ac:dyDescent="0.2">
      <c r="A62" s="20" t="s">
        <v>34</v>
      </c>
      <c r="B62" s="12">
        <v>101.28570537021132</v>
      </c>
      <c r="C62" s="12">
        <v>100.94269029520912</v>
      </c>
      <c r="D62" s="12">
        <v>102.08545394913057</v>
      </c>
      <c r="E62" s="12">
        <v>103.0634985609742</v>
      </c>
      <c r="F62" s="12">
        <v>102.89517532358572</v>
      </c>
      <c r="G62" s="12">
        <v>102.79568099066553</v>
      </c>
      <c r="H62" s="12">
        <v>103.6625841087978</v>
      </c>
      <c r="I62" s="12">
        <v>102.97034293649315</v>
      </c>
      <c r="J62" s="12">
        <v>101.9218650908489</v>
      </c>
      <c r="K62" s="12">
        <v>101.26290747242003</v>
      </c>
      <c r="L62" s="12">
        <v>101.17918164481297</v>
      </c>
      <c r="M62" s="12">
        <v>102.3390440339967</v>
      </c>
      <c r="N62" s="12">
        <v>102.2003441480955</v>
      </c>
      <c r="O62" s="21" t="s">
        <v>35</v>
      </c>
      <c r="Q62" s="3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s="16" customFormat="1" ht="15.75" customHeight="1" x14ac:dyDescent="0.2">
      <c r="A63" s="17" t="s">
        <v>9</v>
      </c>
      <c r="B63" s="12">
        <v>107.17771914244641</v>
      </c>
      <c r="C63" s="12">
        <v>109.45927916569289</v>
      </c>
      <c r="D63" s="12">
        <v>109.45927916569289</v>
      </c>
      <c r="E63" s="12">
        <v>109.45927916569289</v>
      </c>
      <c r="F63" s="12">
        <v>112.44500405254904</v>
      </c>
      <c r="G63" s="12">
        <v>111.26029696535808</v>
      </c>
      <c r="H63" s="12">
        <v>111.26029696535808</v>
      </c>
      <c r="I63" s="12">
        <v>111.26029696535808</v>
      </c>
      <c r="J63" s="12">
        <v>111.26029696535808</v>
      </c>
      <c r="K63" s="12">
        <v>111.26029696535808</v>
      </c>
      <c r="L63" s="12">
        <v>111.26029696535808</v>
      </c>
      <c r="M63" s="12">
        <v>111.26029696535808</v>
      </c>
      <c r="N63" s="12">
        <v>110.56855328746506</v>
      </c>
      <c r="O63" s="21" t="s">
        <v>10</v>
      </c>
      <c r="Q63" s="3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s="16" customFormat="1" ht="15.75" customHeight="1" x14ac:dyDescent="0.2">
      <c r="A64" s="17" t="s">
        <v>36</v>
      </c>
      <c r="B64" s="12">
        <v>121.47378675257031</v>
      </c>
      <c r="C64" s="12">
        <v>121.34756043659684</v>
      </c>
      <c r="D64" s="12">
        <v>121.35302333827977</v>
      </c>
      <c r="E64" s="12">
        <v>121.27484724646152</v>
      </c>
      <c r="F64" s="12">
        <v>121.30215495052947</v>
      </c>
      <c r="G64" s="12">
        <v>121.337851369197</v>
      </c>
      <c r="H64" s="12">
        <v>121.33963098683164</v>
      </c>
      <c r="I64" s="12">
        <v>121.36769053756105</v>
      </c>
      <c r="J64" s="12">
        <v>121.40147760625371</v>
      </c>
      <c r="K64" s="12">
        <v>121.25014590659293</v>
      </c>
      <c r="L64" s="12">
        <v>121.25014590659293</v>
      </c>
      <c r="M64" s="12">
        <v>121.24693691746927</v>
      </c>
      <c r="N64" s="12">
        <v>121.3287709962447</v>
      </c>
      <c r="O64" s="21" t="s">
        <v>37</v>
      </c>
      <c r="Q64" s="3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s="16" customFormat="1" ht="15.75" customHeight="1" x14ac:dyDescent="0.2">
      <c r="A65" s="20" t="s">
        <v>38</v>
      </c>
      <c r="B65" s="12">
        <v>98.896451587633919</v>
      </c>
      <c r="C65" s="12">
        <v>98.803173378390952</v>
      </c>
      <c r="D65" s="12">
        <v>98.725995918875014</v>
      </c>
      <c r="E65" s="12">
        <v>98.832681941195176</v>
      </c>
      <c r="F65" s="12">
        <v>98.795446797153915</v>
      </c>
      <c r="G65" s="12">
        <v>98.782400511067578</v>
      </c>
      <c r="H65" s="12">
        <v>98.855661763796874</v>
      </c>
      <c r="I65" s="12">
        <v>98.937160229850193</v>
      </c>
      <c r="J65" s="12">
        <v>99.027941053134711</v>
      </c>
      <c r="K65" s="12">
        <v>99.007349826839629</v>
      </c>
      <c r="L65" s="12">
        <v>99.012721314248466</v>
      </c>
      <c r="M65" s="12">
        <v>99.034632777296025</v>
      </c>
      <c r="N65" s="12">
        <v>98.892634758290214</v>
      </c>
      <c r="O65" s="21" t="s">
        <v>61</v>
      </c>
      <c r="Q65" s="3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s="27" customFormat="1" ht="15.75" customHeight="1" x14ac:dyDescent="0.2">
      <c r="A66" s="22" t="s">
        <v>58</v>
      </c>
      <c r="B66" s="23">
        <v>105.15896985278053</v>
      </c>
      <c r="C66" s="23">
        <v>105.01355186464795</v>
      </c>
      <c r="D66" s="23">
        <v>104.39801712089321</v>
      </c>
      <c r="E66" s="23">
        <v>104.59296064304696</v>
      </c>
      <c r="F66" s="23">
        <v>105.60752384285271</v>
      </c>
      <c r="G66" s="23">
        <v>105.45481378593364</v>
      </c>
      <c r="H66" s="23">
        <v>105.89024984877231</v>
      </c>
      <c r="I66" s="23">
        <v>105.74086822284956</v>
      </c>
      <c r="J66" s="23">
        <v>105.8090548036067</v>
      </c>
      <c r="K66" s="23">
        <v>105.85453303952553</v>
      </c>
      <c r="L66" s="23">
        <v>105.44398185358602</v>
      </c>
      <c r="M66" s="23">
        <v>105.60147673005247</v>
      </c>
      <c r="N66" s="23">
        <v>105.38050013404563</v>
      </c>
      <c r="O66" s="26" t="s">
        <v>11</v>
      </c>
      <c r="Q66" s="48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</row>
    <row r="67" spans="1:29" s="50" customFormat="1" ht="15.75" customHeight="1" x14ac:dyDescent="0.2">
      <c r="A67" s="28" t="s">
        <v>59</v>
      </c>
      <c r="B67" s="45">
        <v>105.16771746278215</v>
      </c>
      <c r="C67" s="45">
        <v>104.794361419735</v>
      </c>
      <c r="D67" s="45">
        <v>104.60068174208726</v>
      </c>
      <c r="E67" s="45">
        <v>104.82582436479679</v>
      </c>
      <c r="F67" s="45">
        <v>105.59510780341041</v>
      </c>
      <c r="G67" s="45">
        <v>105.13296321440554</v>
      </c>
      <c r="H67" s="45">
        <v>105.49379794971924</v>
      </c>
      <c r="I67" s="45">
        <v>105.67399694472451</v>
      </c>
      <c r="J67" s="45">
        <v>105.71012535733213</v>
      </c>
      <c r="K67" s="45">
        <v>105.59175884951341</v>
      </c>
      <c r="L67" s="45">
        <v>105.50010158430668</v>
      </c>
      <c r="M67" s="45">
        <v>105.51153679010233</v>
      </c>
      <c r="N67" s="45">
        <v>105.29983112357628</v>
      </c>
      <c r="O67" s="30" t="s">
        <v>42</v>
      </c>
      <c r="Q67" s="48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</row>
    <row r="68" spans="1:29" s="32" customFormat="1" ht="15.75" customHeight="1" x14ac:dyDescent="0.2">
      <c r="A68" s="37" t="s">
        <v>66</v>
      </c>
      <c r="B68" s="37"/>
    </row>
    <row r="69" spans="1:29" s="32" customFormat="1" ht="15.75" customHeight="1" x14ac:dyDescent="0.2">
      <c r="A69" s="33" t="s">
        <v>67</v>
      </c>
    </row>
    <row r="70" spans="1:29" s="32" customFormat="1" ht="15.75" customHeight="1" x14ac:dyDescent="0.2">
      <c r="A70" s="33" t="s">
        <v>68</v>
      </c>
      <c r="Q70" s="44"/>
    </row>
    <row r="71" spans="1:29" s="32" customFormat="1" ht="15.75" customHeight="1" x14ac:dyDescent="0.2">
      <c r="A71" s="33" t="s">
        <v>69</v>
      </c>
      <c r="Q71" s="44"/>
    </row>
    <row r="72" spans="1:29" s="32" customFormat="1" ht="15.75" customHeight="1" x14ac:dyDescent="0.2">
      <c r="A72" s="33" t="s">
        <v>70</v>
      </c>
      <c r="Q72" s="44"/>
    </row>
    <row r="73" spans="1:29" s="32" customFormat="1" ht="15.75" customHeight="1" x14ac:dyDescent="0.2">
      <c r="A73" s="33" t="s">
        <v>71</v>
      </c>
      <c r="Q73" s="44"/>
    </row>
    <row r="74" spans="1:29" s="32" customFormat="1" ht="15.75" customHeight="1" x14ac:dyDescent="0.2">
      <c r="A74" s="33" t="s">
        <v>72</v>
      </c>
      <c r="Q74" s="44"/>
    </row>
    <row r="75" spans="1:29" s="32" customFormat="1" ht="15.75" customHeight="1" x14ac:dyDescent="0.2">
      <c r="A75" s="46" t="s">
        <v>73</v>
      </c>
      <c r="Q75" s="44"/>
    </row>
    <row r="76" spans="1:29" ht="15.75" customHeight="1" x14ac:dyDescent="0.2">
      <c r="Q76" s="44"/>
    </row>
    <row r="77" spans="1:29" ht="15.75" customHeight="1" x14ac:dyDescent="0.2">
      <c r="Q77" s="44"/>
    </row>
    <row r="78" spans="1:29" ht="15.75" customHeight="1" x14ac:dyDescent="0.2">
      <c r="Q78" s="44"/>
    </row>
    <row r="79" spans="1:29" ht="15.75" customHeight="1" x14ac:dyDescent="0.2">
      <c r="Q79" s="44"/>
    </row>
    <row r="80" spans="1:29" ht="15.75" customHeight="1" x14ac:dyDescent="0.2">
      <c r="Q80" s="44"/>
    </row>
    <row r="81" spans="17:17" ht="15.75" customHeight="1" x14ac:dyDescent="0.2">
      <c r="Q81" s="44"/>
    </row>
    <row r="82" spans="17:17" ht="15.75" customHeight="1" x14ac:dyDescent="0.2">
      <c r="Q82" s="44"/>
    </row>
    <row r="83" spans="17:17" ht="15.75" customHeight="1" x14ac:dyDescent="0.2">
      <c r="Q83" s="44"/>
    </row>
    <row r="84" spans="17:17" ht="15.75" customHeight="1" x14ac:dyDescent="0.2">
      <c r="Q84" s="44"/>
    </row>
    <row r="85" spans="17:17" ht="15.75" customHeight="1" x14ac:dyDescent="0.2">
      <c r="Q85" s="44"/>
    </row>
    <row r="86" spans="17:17" ht="15.75" customHeight="1" x14ac:dyDescent="0.2">
      <c r="Q86" s="44"/>
    </row>
    <row r="87" spans="17:17" ht="15.75" customHeight="1" x14ac:dyDescent="0.2">
      <c r="Q87" s="44"/>
    </row>
    <row r="88" spans="17:17" ht="15.75" customHeight="1" x14ac:dyDescent="0.2">
      <c r="Q88" s="44"/>
    </row>
    <row r="89" spans="17:17" ht="15.75" customHeight="1" x14ac:dyDescent="0.2">
      <c r="Q89" s="44"/>
    </row>
    <row r="90" spans="17:17" ht="15.75" customHeight="1" x14ac:dyDescent="0.2">
      <c r="Q90" s="44"/>
    </row>
    <row r="91" spans="17:17" ht="15.75" customHeight="1" x14ac:dyDescent="0.2">
      <c r="Q91" s="44"/>
    </row>
    <row r="92" spans="17:17" ht="15.75" customHeight="1" x14ac:dyDescent="0.2">
      <c r="Q92" s="44"/>
    </row>
    <row r="93" spans="17:17" ht="15.75" customHeight="1" x14ac:dyDescent="0.2">
      <c r="Q93" s="44"/>
    </row>
    <row r="94" spans="17:17" ht="15.75" customHeight="1" x14ac:dyDescent="0.2">
      <c r="Q94" s="44"/>
    </row>
    <row r="95" spans="17:17" ht="15.75" customHeight="1" x14ac:dyDescent="0.2">
      <c r="Q95" s="44"/>
    </row>
    <row r="96" spans="17:17" ht="15.75" customHeight="1" x14ac:dyDescent="0.2">
      <c r="Q96" s="44"/>
    </row>
    <row r="97" spans="17:17" ht="15.75" customHeight="1" x14ac:dyDescent="0.2">
      <c r="Q97" s="44"/>
    </row>
  </sheetData>
  <mergeCells count="8">
    <mergeCell ref="B47:N47"/>
    <mergeCell ref="B26:N26"/>
    <mergeCell ref="B5:N5"/>
    <mergeCell ref="Q1:X1"/>
    <mergeCell ref="A2:O2"/>
    <mergeCell ref="A3:O3"/>
    <mergeCell ref="A4:O4"/>
    <mergeCell ref="A1:O1"/>
  </mergeCells>
  <pageMargins left="0.43" right="0.7" top="0.47" bottom="0.14000000000000001" header="0.3" footer="0.04"/>
  <pageSetup paperSize="9" scale="70" orientation="landscape" r:id="rId1"/>
  <rowBreaks count="1" manualBreakCount="1">
    <brk id="46" max="14" man="1"/>
  </rowBreaks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17.4</vt:lpstr>
      <vt:lpstr>'17.4'!Print_Area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2016-03-16T07:56:13Z</cp:lastPrinted>
  <dcterms:created xsi:type="dcterms:W3CDTF">2007-02-08T08:33:33Z</dcterms:created>
  <dcterms:modified xsi:type="dcterms:W3CDTF">2016-03-16T07:56:18Z</dcterms:modified>
</cp:coreProperties>
</file>