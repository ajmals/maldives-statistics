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0" windowWidth="14880" windowHeight="7815" tabRatio="740"/>
  </bookViews>
  <sheets>
    <sheet name="2.4" sheetId="1" r:id="rId1"/>
  </sheets>
  <definedNames>
    <definedName name="_xlnm.Print_Area" localSheetId="0">'2.4'!$A$1:$AS$31</definedName>
  </definedNames>
  <calcPr calcId="145621"/>
</workbook>
</file>

<file path=xl/calcChain.xml><?xml version="1.0" encoding="utf-8"?>
<calcChain xmlns="http://schemas.openxmlformats.org/spreadsheetml/2006/main">
  <c r="L5" i="1" l="1"/>
  <c r="AS12" i="1" l="1"/>
  <c r="AS11" i="1"/>
  <c r="AS10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<sst xmlns="http://schemas.openxmlformats.org/spreadsheetml/2006/main" count="14" uniqueCount="12">
  <si>
    <t>Type of waste</t>
  </si>
  <si>
    <t xml:space="preserve">ކުނީގެ ބާވްތް </t>
  </si>
  <si>
    <t>Total</t>
  </si>
  <si>
    <t>ޖުމްލަ</t>
  </si>
  <si>
    <t>Industrial</t>
  </si>
  <si>
    <t xml:space="preserve">މަސައްކަތް ކުރާތަންތަނުން އުކާލާކުނި </t>
  </si>
  <si>
    <t>Domestic</t>
  </si>
  <si>
    <t xml:space="preserve">ގޭތެރޭގަ އުފެދޭކުނި </t>
  </si>
  <si>
    <t>Source: Waste Management Section / Malé City Council</t>
  </si>
  <si>
    <t>މަޢުލޫމާތު ދެއްވީ: ވޭސްޓް މެނޭޖްމެންޓް ސެކްޝަން / މާލޭ ސިޓީ ކައުންސިލްގެ އިދާރާ</t>
  </si>
  <si>
    <t xml:space="preserve">ތާވަލް 2.4 : މާލެއިން ތިލަފުއްޓަށް ގެންދެވުނު ކުނި، 2004 - 2014  (ޓަނުން) </t>
  </si>
  <si>
    <t>Table 2.4: WASTE TRANSPORTED TO THILAFUSHI FROM MALE' , 2004 - 2014, (in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</si>
</sst>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rial"/>
      <family val="2"/>
    </font>
    <font>
      <sz val="11"/>
      <name val="Faruma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sz val="9"/>
      <name val="A_Randhoo"/>
    </font>
    <font>
      <sz val="10"/>
      <color rgb="FFFF000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1" fillId="3" borderId="3" applyFont="0" applyFill="0" applyBorder="0" applyAlignment="0">
      <alignment horizontal="center" vertical="center"/>
    </xf>
    <xf numFmtId="43" fontId="1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0" fontId="0" fillId="2" borderId="0" xfId="0" applyFill="1" applyBorder="1" applyProtection="1"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Protection="1">
      <protection hidden="1"/>
    </xf>
    <xf numFmtId="0" fontId="5" fillId="2" borderId="0" xfId="0" applyFont="1" applyFill="1" applyBorder="1" applyProtection="1">
      <protection hidden="1"/>
    </xf>
    <xf numFmtId="0" fontId="8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9" fillId="2" borderId="2" xfId="0" applyFont="1" applyFill="1" applyBorder="1" applyProtection="1">
      <protection hidden="1"/>
    </xf>
    <xf numFmtId="0" fontId="8" fillId="2" borderId="2" xfId="0" applyFont="1" applyFill="1" applyBorder="1" applyAlignment="1" applyProtection="1">
      <alignment horizontal="right"/>
      <protection hidden="1"/>
    </xf>
    <xf numFmtId="0" fontId="10" fillId="2" borderId="0" xfId="2" applyFont="1" applyFill="1" applyProtection="1">
      <protection hidden="1"/>
    </xf>
    <xf numFmtId="0" fontId="7" fillId="2" borderId="0" xfId="2" applyFont="1" applyFill="1" applyProtection="1">
      <protection hidden="1"/>
    </xf>
    <xf numFmtId="0" fontId="11" fillId="2" borderId="0" xfId="2" applyFont="1" applyFill="1" applyAlignment="1" applyProtection="1">
      <alignment horizontal="right"/>
      <protection hidden="1"/>
    </xf>
    <xf numFmtId="0" fontId="12" fillId="2" borderId="0" xfId="2" applyFont="1" applyFill="1" applyProtection="1">
      <protection hidden="1"/>
    </xf>
    <xf numFmtId="0" fontId="13" fillId="2" borderId="0" xfId="2" applyFont="1" applyFill="1" applyAlignment="1" applyProtection="1">
      <alignment horizontal="right"/>
      <protection hidden="1"/>
    </xf>
    <xf numFmtId="0" fontId="0" fillId="2" borderId="0" xfId="0" applyFill="1" applyProtection="1">
      <protection hidden="1"/>
    </xf>
    <xf numFmtId="0" fontId="3" fillId="2" borderId="1" xfId="0" applyFont="1" applyFill="1" applyBorder="1" applyAlignment="1" applyProtection="1">
      <alignment horizontal="right" vertical="center"/>
      <protection hidden="1"/>
    </xf>
    <xf numFmtId="164" fontId="0" fillId="2" borderId="0" xfId="0" applyNumberFormat="1" applyFill="1" applyProtection="1">
      <protection hidden="1"/>
    </xf>
    <xf numFmtId="0" fontId="3" fillId="2" borderId="0" xfId="0" applyFont="1" applyFill="1" applyBorder="1" applyProtection="1">
      <protection hidden="1"/>
    </xf>
    <xf numFmtId="164" fontId="0" fillId="2" borderId="0" xfId="1" applyNumberFormat="1" applyFont="1" applyFill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14" fillId="2" borderId="0" xfId="0" applyFont="1" applyFill="1" applyProtection="1">
      <protection hidden="1"/>
    </xf>
    <xf numFmtId="164" fontId="15" fillId="2" borderId="0" xfId="1" applyNumberFormat="1" applyFont="1" applyFill="1" applyBorder="1" applyProtection="1">
      <protection hidden="1"/>
    </xf>
    <xf numFmtId="43" fontId="0" fillId="2" borderId="0" xfId="0" applyNumberFormat="1" applyFill="1" applyProtection="1">
      <protection hidden="1"/>
    </xf>
    <xf numFmtId="37" fontId="5" fillId="2" borderId="0" xfId="1" applyNumberFormat="1" applyFont="1" applyFill="1" applyBorder="1" applyAlignment="1" applyProtection="1">
      <alignment horizontal="right" vertical="center"/>
      <protection hidden="1"/>
    </xf>
    <xf numFmtId="37" fontId="9" fillId="2" borderId="0" xfId="1" applyNumberFormat="1" applyFont="1" applyFill="1" applyBorder="1" applyAlignment="1" applyProtection="1">
      <alignment horizontal="right" vertical="center"/>
      <protection hidden="1"/>
    </xf>
    <xf numFmtId="37" fontId="9" fillId="2" borderId="2" xfId="1" applyNumberFormat="1" applyFont="1" applyFill="1" applyBorder="1" applyAlignment="1" applyProtection="1">
      <alignment horizontal="right" vertical="center"/>
      <protection hidden="1"/>
    </xf>
    <xf numFmtId="0" fontId="5" fillId="2" borderId="1" xfId="1" applyNumberFormat="1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</cellXfs>
  <cellStyles count="16">
    <cellStyle name="Comma" xfId="1" builtinId="3"/>
    <cellStyle name="Comma 2" xfId="3"/>
    <cellStyle name="Comma 2 2" xfId="14"/>
    <cellStyle name="Comma 2 3" xfId="9"/>
    <cellStyle name="Comma 2 4" xfId="6"/>
    <cellStyle name="Normal" xfId="0" builtinId="0"/>
    <cellStyle name="Normal 2" xfId="4"/>
    <cellStyle name="Normal 2 2" xfId="11"/>
    <cellStyle name="Normal 2 2 2" xfId="15"/>
    <cellStyle name="Normal 2 3" xfId="12"/>
    <cellStyle name="Normal 3" xfId="10"/>
    <cellStyle name="Normal 4" xfId="8"/>
    <cellStyle name="Normal 4 2" xfId="13"/>
    <cellStyle name="Normal 5" xfId="7"/>
    <cellStyle name="Normal_total trucks by type 2" xfId="2"/>
    <cellStyle name="Style 1" xfId="5"/>
  </cellStyles>
  <dxfs count="0"/>
  <tableStyles count="0" defaultTableStyle="TableStyleMedium9" defaultPivotStyle="PivotStyleLight16"/>
  <colors>
    <mruColors>
      <color rgb="FF7030A0"/>
      <color rgb="FF70306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86375718282993"/>
          <c:y val="0.22057280718698039"/>
          <c:w val="0.60897541079283779"/>
          <c:h val="0.640121499964019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'2.4'!$A$6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'2.4'!$F$4:$L$4</c:f>
              <c:numCache>
                <c:formatCode>General</c:formatCode>
                <c:ptCount val="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</c:numCache>
            </c:numRef>
          </c:cat>
          <c:val>
            <c:numRef>
              <c:f>'2.4'!$F$6:$L$6</c:f>
              <c:numCache>
                <c:formatCode>#,##0_);\(#,##0\)</c:formatCode>
                <c:ptCount val="7"/>
                <c:pt idx="0">
                  <c:v>52791</c:v>
                </c:pt>
                <c:pt idx="1">
                  <c:v>47881</c:v>
                </c:pt>
                <c:pt idx="2">
                  <c:v>28591</c:v>
                </c:pt>
                <c:pt idx="3">
                  <c:v>55484.3</c:v>
                </c:pt>
                <c:pt idx="4">
                  <c:v>56059</c:v>
                </c:pt>
                <c:pt idx="5">
                  <c:v>127319</c:v>
                </c:pt>
                <c:pt idx="6">
                  <c:v>50120</c:v>
                </c:pt>
              </c:numCache>
            </c:numRef>
          </c:val>
        </c:ser>
        <c:ser>
          <c:idx val="1"/>
          <c:order val="1"/>
          <c:tx>
            <c:strRef>
              <c:f>'2.4'!$A$7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'2.4'!$F$4:$L$4</c:f>
              <c:numCache>
                <c:formatCode>General</c:formatCode>
                <c:ptCount val="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</c:numCache>
            </c:numRef>
          </c:cat>
          <c:val>
            <c:numRef>
              <c:f>'2.4'!$F$7:$L$7</c:f>
              <c:numCache>
                <c:formatCode>#,##0_);\(#,##0\)</c:formatCode>
                <c:ptCount val="7"/>
                <c:pt idx="0">
                  <c:v>81931</c:v>
                </c:pt>
                <c:pt idx="1">
                  <c:v>75668</c:v>
                </c:pt>
                <c:pt idx="2">
                  <c:v>73443</c:v>
                </c:pt>
                <c:pt idx="3">
                  <c:v>71506.5</c:v>
                </c:pt>
                <c:pt idx="4">
                  <c:v>89796.5</c:v>
                </c:pt>
                <c:pt idx="5">
                  <c:v>84260</c:v>
                </c:pt>
                <c:pt idx="6">
                  <c:v>205706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3"/>
        <c:axId val="80201984"/>
        <c:axId val="80220544"/>
      </c:barChart>
      <c:catAx>
        <c:axId val="802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20544"/>
        <c:crosses val="autoZero"/>
        <c:auto val="1"/>
        <c:lblAlgn val="ctr"/>
        <c:lblOffset val="100"/>
        <c:noMultiLvlLbl val="0"/>
      </c:catAx>
      <c:valAx>
        <c:axId val="8022054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b="1"/>
                  <a:t>in tons</a:t>
                </a:r>
              </a:p>
            </c:rich>
          </c:tx>
          <c:layout>
            <c:manualLayout>
              <c:xMode val="edge"/>
              <c:yMode val="edge"/>
              <c:x val="2.4691425960573232E-2"/>
              <c:y val="0.12074967901739556"/>
            </c:manualLayout>
          </c:layout>
          <c:overlay val="0"/>
        </c:title>
        <c:numFmt formatCode="_(* #,##0_);_(* \(#,##0\);_(* &quot;-&quot;??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0198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295111101575519"/>
          <c:y val="0.25813818727204557"/>
          <c:w val="0.3815672823820323"/>
          <c:h val="7.2622950819672114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819149</xdr:colOff>
      <xdr:row>9</xdr:row>
      <xdr:rowOff>25400</xdr:rowOff>
    </xdr:from>
    <xdr:to>
      <xdr:col>12</xdr:col>
      <xdr:colOff>1381124</xdr:colOff>
      <xdr:row>24</xdr:row>
      <xdr:rowOff>15240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10</xdr:row>
      <xdr:rowOff>140969</xdr:rowOff>
    </xdr:from>
    <xdr:to>
      <xdr:col>12</xdr:col>
      <xdr:colOff>906780</xdr:colOff>
      <xdr:row>10</xdr:row>
      <xdr:rowOff>140969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314450" y="2684144"/>
          <a:ext cx="525018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0.74387</cdr:x>
      <cdr:y>0.22992</cdr:y>
    </cdr:from>
    <cdr:to>
      <cdr:x>0.9796</cdr:x>
      <cdr:y>0.86195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4160520" y="607060"/>
          <a:ext cx="1318460" cy="1668780"/>
        </a:xfrm>
        <a:prstGeom xmlns:a="http://schemas.openxmlformats.org/drawingml/2006/main" prst="rect">
          <a:avLst/>
        </a:prstGeom>
        <a:solidFill xmlns:a="http://schemas.openxmlformats.org/drawingml/2006/main">
          <a:srgbClr val="8064A2">
            <a:lumMod val="20000"/>
            <a:lumOff val="80000"/>
          </a:srgbClr>
        </a:solidFill>
        <a:ln xmlns:a="http://schemas.openxmlformats.org/drawingml/2006/main" w="9525" cmpd="sng">
          <a:noFill/>
        </a:ln>
        <a:effectLst xmlns:a="http://schemas.openxmlformats.org/drawingml/2006/main">
          <a:outerShdw blurRad="50800" dist="38100" dir="5400000" algn="t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-457200" algn="ctr" defTabSz="914400" rtl="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1" baseline="0">
              <a:solidFill>
                <a:srgbClr val="9400C8"/>
              </a:solidFill>
              <a:latin typeface="Humanst521 BT" pitchFamily="34" charset="0"/>
              <a:cs typeface="Consolas" pitchFamily="49" charset="0"/>
            </a:rPr>
            <a:t>The volume of industrial wastes  has  decreased 60% and the domestic waste has increased over 100% compared to 2013</a:t>
          </a:r>
          <a:endParaRPr lang="en-US" sz="1000" i="1">
            <a:solidFill>
              <a:srgbClr val="9400C8"/>
            </a:solidFill>
            <a:latin typeface="Humanst521 BT" pitchFamily="34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0.08201</cdr:x>
      <cdr:y>0.02069</cdr:y>
    </cdr:from>
    <cdr:to>
      <cdr:x>0.97703</cdr:x>
      <cdr:y>0.11848</cdr:y>
    </cdr:to>
    <cdr:sp macro="" textlink="">
      <cdr:nvSpPr>
        <cdr:cNvPr id="3" name="TextBox 7"/>
        <cdr:cNvSpPr txBox="1"/>
      </cdr:nvSpPr>
      <cdr:spPr>
        <a:xfrm xmlns:a="http://schemas.openxmlformats.org/drawingml/2006/main">
          <a:off x="510074" y="58511"/>
          <a:ext cx="5566878" cy="27657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Figure 1.1: WASTE TRANSPORTED TO THILAFUSHI FROM MALE', 2008 - 2014</a:t>
          </a:r>
          <a:endParaRPr lang="en-US" sz="1200"/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41"/>
  <sheetViews>
    <sheetView tabSelected="1" workbookViewId="0">
      <selection activeCell="R7" sqref="R7"/>
    </sheetView>
  </sheetViews>
  <sheetFormatPr defaultColWidth="9.140625" defaultRowHeight="15" x14ac:dyDescent="0.25"/>
  <cols>
    <col min="1" max="1" width="12.28515625" style="15" customWidth="1"/>
    <col min="2" max="5" width="10.28515625" style="15" hidden="1" customWidth="1"/>
    <col min="6" max="10" width="10.28515625" style="15" customWidth="1"/>
    <col min="11" max="12" width="10.5703125" style="15" customWidth="1"/>
    <col min="13" max="13" width="26.7109375" style="15" customWidth="1"/>
    <col min="14" max="14" width="0.7109375" style="15" customWidth="1"/>
    <col min="15" max="35" width="9.140625" style="15"/>
    <col min="36" max="44" width="10.5703125" style="15" bestFit="1" customWidth="1"/>
    <col min="45" max="16384" width="9.140625" style="15"/>
  </cols>
  <sheetData>
    <row r="1" spans="1:45" s="1" customFormat="1" ht="21.75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45" s="1" customFormat="1" x14ac:dyDescent="0.25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45" s="1" customForma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45" s="4" customFormat="1" ht="21" x14ac:dyDescent="0.2">
      <c r="A4" s="2" t="s">
        <v>0</v>
      </c>
      <c r="B4" s="27">
        <v>2004</v>
      </c>
      <c r="C4" s="27">
        <v>2005</v>
      </c>
      <c r="D4" s="27">
        <v>2006</v>
      </c>
      <c r="E4" s="27">
        <v>2007</v>
      </c>
      <c r="F4" s="27">
        <v>2008</v>
      </c>
      <c r="G4" s="27">
        <v>2009</v>
      </c>
      <c r="H4" s="27">
        <v>2010</v>
      </c>
      <c r="I4" s="27">
        <v>2011</v>
      </c>
      <c r="J4" s="27">
        <v>2012</v>
      </c>
      <c r="K4" s="27">
        <v>2013</v>
      </c>
      <c r="L4" s="27">
        <v>2014</v>
      </c>
      <c r="M4" s="3" t="s">
        <v>1</v>
      </c>
    </row>
    <row r="5" spans="1:45" s="1" customFormat="1" ht="27" customHeight="1" x14ac:dyDescent="0.55000000000000004">
      <c r="A5" s="5" t="s">
        <v>2</v>
      </c>
      <c r="B5" s="24">
        <f t="shared" ref="B5:K5" si="0">B6+B7</f>
        <v>100297.5</v>
      </c>
      <c r="C5" s="24">
        <f t="shared" si="0"/>
        <v>110280.9</v>
      </c>
      <c r="D5" s="24">
        <f t="shared" si="0"/>
        <v>109400</v>
      </c>
      <c r="E5" s="24">
        <f t="shared" si="0"/>
        <v>111955</v>
      </c>
      <c r="F5" s="24">
        <f t="shared" si="0"/>
        <v>134722</v>
      </c>
      <c r="G5" s="24">
        <f t="shared" si="0"/>
        <v>123549</v>
      </c>
      <c r="H5" s="24">
        <f t="shared" si="0"/>
        <v>102034</v>
      </c>
      <c r="I5" s="24">
        <f t="shared" si="0"/>
        <v>126990.8</v>
      </c>
      <c r="J5" s="24">
        <f t="shared" si="0"/>
        <v>145855.5</v>
      </c>
      <c r="K5" s="24">
        <f t="shared" si="0"/>
        <v>211579</v>
      </c>
      <c r="L5" s="24">
        <f t="shared" ref="L5" si="1">L6+L7</f>
        <v>255826</v>
      </c>
      <c r="M5" s="6" t="s">
        <v>3</v>
      </c>
    </row>
    <row r="6" spans="1:45" s="1" customFormat="1" ht="27" customHeight="1" x14ac:dyDescent="0.55000000000000004">
      <c r="A6" s="7" t="s">
        <v>4</v>
      </c>
      <c r="B6" s="25">
        <v>33054.5</v>
      </c>
      <c r="C6" s="25">
        <v>38900.9</v>
      </c>
      <c r="D6" s="25">
        <v>43648</v>
      </c>
      <c r="E6" s="25">
        <v>40179</v>
      </c>
      <c r="F6" s="25">
        <v>52791</v>
      </c>
      <c r="G6" s="25">
        <v>47881</v>
      </c>
      <c r="H6" s="25">
        <v>28591</v>
      </c>
      <c r="I6" s="25">
        <v>55484.3</v>
      </c>
      <c r="J6" s="25">
        <v>56059</v>
      </c>
      <c r="K6" s="25">
        <v>127319</v>
      </c>
      <c r="L6" s="25">
        <v>50120</v>
      </c>
      <c r="M6" s="6" t="s">
        <v>5</v>
      </c>
    </row>
    <row r="7" spans="1:45" s="1" customFormat="1" ht="27" customHeight="1" x14ac:dyDescent="0.55000000000000004">
      <c r="A7" s="8" t="s">
        <v>6</v>
      </c>
      <c r="B7" s="26">
        <v>67243</v>
      </c>
      <c r="C7" s="26">
        <v>71380</v>
      </c>
      <c r="D7" s="26">
        <v>65752</v>
      </c>
      <c r="E7" s="26">
        <v>71776</v>
      </c>
      <c r="F7" s="26">
        <v>81931</v>
      </c>
      <c r="G7" s="26">
        <v>75668</v>
      </c>
      <c r="H7" s="26">
        <v>73443</v>
      </c>
      <c r="I7" s="26">
        <v>71506.5</v>
      </c>
      <c r="J7" s="26">
        <v>89796.5</v>
      </c>
      <c r="K7" s="26">
        <v>84260</v>
      </c>
      <c r="L7" s="26">
        <v>205706</v>
      </c>
      <c r="M7" s="9" t="s">
        <v>7</v>
      </c>
      <c r="O7" s="15"/>
    </row>
    <row r="8" spans="1:45" s="11" customFormat="1" ht="17.25" x14ac:dyDescent="0.45">
      <c r="A8" s="10" t="s">
        <v>8</v>
      </c>
      <c r="M8" s="12" t="s">
        <v>9</v>
      </c>
    </row>
    <row r="10" spans="1:45" s="11" customFormat="1" ht="17.25" x14ac:dyDescent="0.4">
      <c r="A10" s="13"/>
      <c r="M10" s="14"/>
      <c r="AG10" s="15"/>
      <c r="AH10" s="15"/>
      <c r="AI10" s="15"/>
      <c r="AJ10" s="16">
        <v>2004</v>
      </c>
      <c r="AK10" s="16">
        <v>2005</v>
      </c>
      <c r="AL10" s="16">
        <v>2006</v>
      </c>
      <c r="AM10" s="16">
        <v>2007</v>
      </c>
      <c r="AN10" s="16">
        <v>2008</v>
      </c>
      <c r="AO10" s="16">
        <v>2009</v>
      </c>
      <c r="AP10" s="16">
        <v>2010</v>
      </c>
      <c r="AQ10" s="16">
        <v>2011</v>
      </c>
      <c r="AR10" s="11">
        <v>2012</v>
      </c>
      <c r="AS10" s="11">
        <f>K4</f>
        <v>2013</v>
      </c>
    </row>
    <row r="11" spans="1:45" x14ac:dyDescent="0.25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AI11" s="18" t="s">
        <v>4</v>
      </c>
      <c r="AJ11" s="19">
        <v>33054.5</v>
      </c>
      <c r="AK11" s="19">
        <v>38900.9</v>
      </c>
      <c r="AL11" s="19">
        <v>43648</v>
      </c>
      <c r="AM11" s="19">
        <v>40179</v>
      </c>
      <c r="AN11" s="19">
        <v>52791</v>
      </c>
      <c r="AO11" s="19">
        <v>47881</v>
      </c>
      <c r="AP11" s="19">
        <v>28591</v>
      </c>
      <c r="AQ11" s="19">
        <v>55484.3</v>
      </c>
      <c r="AR11" s="19">
        <v>56059</v>
      </c>
      <c r="AS11" s="17">
        <f>K6</f>
        <v>127319</v>
      </c>
    </row>
    <row r="12" spans="1:45" x14ac:dyDescent="0.25">
      <c r="AI12" s="18" t="s">
        <v>6</v>
      </c>
      <c r="AJ12" s="19">
        <v>67243</v>
      </c>
      <c r="AK12" s="19">
        <v>71380</v>
      </c>
      <c r="AL12" s="19">
        <v>65752</v>
      </c>
      <c r="AM12" s="19">
        <v>71776</v>
      </c>
      <c r="AN12" s="19">
        <v>81931</v>
      </c>
      <c r="AO12" s="19">
        <v>75668</v>
      </c>
      <c r="AP12" s="19">
        <v>73443</v>
      </c>
      <c r="AQ12" s="19">
        <v>71506.5</v>
      </c>
      <c r="AR12" s="19">
        <v>89796.5</v>
      </c>
      <c r="AS12" s="17">
        <f>K7</f>
        <v>84260</v>
      </c>
    </row>
    <row r="16" spans="1:45" x14ac:dyDescent="0.25">
      <c r="M16" s="20"/>
    </row>
    <row r="25" spans="2:2" x14ac:dyDescent="0.25">
      <c r="B25" s="21"/>
    </row>
    <row r="34" spans="7:8" x14ac:dyDescent="0.25">
      <c r="G34" s="22"/>
      <c r="H34" s="22"/>
    </row>
    <row r="38" spans="7:8" x14ac:dyDescent="0.25">
      <c r="H38" s="17"/>
    </row>
    <row r="39" spans="7:8" x14ac:dyDescent="0.25">
      <c r="G39" s="23"/>
      <c r="H39" s="23"/>
    </row>
    <row r="40" spans="7:8" x14ac:dyDescent="0.25">
      <c r="G40" s="23"/>
      <c r="H40" s="23"/>
    </row>
    <row r="41" spans="7:8" x14ac:dyDescent="0.25">
      <c r="G41" s="23"/>
      <c r="H41" s="23"/>
    </row>
  </sheetData>
  <mergeCells count="3">
    <mergeCell ref="A1:M1"/>
    <mergeCell ref="A2:M2"/>
    <mergeCell ref="A3:M3"/>
  </mergeCells>
  <pageMargins left="0.7" right="0.37" top="0.75" bottom="0.75" header="0.3" footer="0.3"/>
  <pageSetup paperSize="9" scale="94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</vt:lpstr>
      <vt:lpstr>'2.4'!Print_Area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2015-02-11T10:07:17Z</cp:lastPrinted>
  <dcterms:created xsi:type="dcterms:W3CDTF">2014-02-23T05:30:53Z</dcterms:created>
  <dcterms:modified xsi:type="dcterms:W3CDTF">2015-11-15T07:30:57Z</dcterms:modified>
</cp:coreProperties>
</file>