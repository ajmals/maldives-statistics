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05" windowWidth="15120" windowHeight="8025" tabRatio="880"/>
  </bookViews>
  <sheets>
    <sheet name="7.8" sheetId="10" r:id="rId1"/>
  </sheets>
  <calcPr calcId="144525"/>
</workbook>
</file>

<file path=xl/calcChain.xml><?xml version="1.0" encoding="utf-8"?>
<calcChain xmlns="http://schemas.openxmlformats.org/spreadsheetml/2006/main">
  <c r="B11" i="10" l="1"/>
  <c r="J11" i="10" s="1"/>
  <c r="B9" i="10"/>
  <c r="J9" i="10" s="1"/>
  <c r="D8" i="10"/>
  <c r="D10" i="10"/>
  <c r="F10" i="10"/>
  <c r="G10" i="10"/>
  <c r="H10" i="10"/>
  <c r="I10" i="10"/>
  <c r="C10" i="10"/>
  <c r="C8" i="10" s="1"/>
  <c r="B12" i="10"/>
  <c r="J12" i="10" s="1"/>
  <c r="B13" i="10"/>
  <c r="J13" i="10" s="1"/>
  <c r="B14" i="10"/>
  <c r="J14" i="10" s="1"/>
  <c r="B15" i="10"/>
  <c r="J15" i="10" s="1"/>
  <c r="B16" i="10"/>
  <c r="J16" i="10" s="1"/>
  <c r="B17" i="10"/>
  <c r="J17" i="10" s="1"/>
  <c r="B18" i="10"/>
  <c r="J18" i="10" s="1"/>
  <c r="B19" i="10"/>
  <c r="J19" i="10" s="1"/>
  <c r="B20" i="10"/>
  <c r="J20" i="10" s="1"/>
  <c r="B21" i="10"/>
  <c r="J21" i="10" s="1"/>
  <c r="B22" i="10"/>
  <c r="J22" i="10" s="1"/>
  <c r="B23" i="10"/>
  <c r="J23" i="10" s="1"/>
  <c r="B24" i="10"/>
  <c r="J24" i="10" s="1"/>
  <c r="B25" i="10"/>
  <c r="J25" i="10" s="1"/>
  <c r="B26" i="10"/>
  <c r="J26" i="10" s="1"/>
  <c r="B27" i="10"/>
  <c r="J27" i="10" s="1"/>
  <c r="B28" i="10"/>
  <c r="J28" i="10" s="1"/>
  <c r="B29" i="10"/>
  <c r="J29" i="10" s="1"/>
  <c r="B30" i="10"/>
  <c r="J30" i="10" s="1"/>
  <c r="B10" i="10" l="1"/>
  <c r="J10" i="10" s="1"/>
  <c r="H8" i="10" l="1"/>
  <c r="I8" i="10" l="1"/>
  <c r="G8" i="10"/>
  <c r="F8" i="10"/>
  <c r="B8" i="10" l="1"/>
  <c r="J8" i="10" s="1"/>
</calcChain>
</file>

<file path=xl/sharedStrings.xml><?xml version="1.0" encoding="utf-8"?>
<sst xmlns="http://schemas.openxmlformats.org/spreadsheetml/2006/main" count="80" uniqueCount="72">
  <si>
    <t>Total</t>
  </si>
  <si>
    <t xml:space="preserve">  Locality</t>
  </si>
  <si>
    <t>Republic</t>
  </si>
  <si>
    <t>ejcaWriLum</t>
  </si>
  <si>
    <t>Male'</t>
  </si>
  <si>
    <t>elWm</t>
  </si>
  <si>
    <t>Atolls</t>
  </si>
  <si>
    <t>cawtuLotwa</t>
  </si>
  <si>
    <t>ah</t>
  </si>
  <si>
    <t>dh</t>
  </si>
  <si>
    <t>S</t>
  </si>
  <si>
    <t>n</t>
  </si>
  <si>
    <t>r</t>
  </si>
  <si>
    <t>B</t>
  </si>
  <si>
    <t>b</t>
  </si>
  <si>
    <t>Lh</t>
  </si>
  <si>
    <t>L</t>
  </si>
  <si>
    <t>K</t>
  </si>
  <si>
    <t>k</t>
  </si>
  <si>
    <t>AA</t>
  </si>
  <si>
    <t xml:space="preserve"> aa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</si>
  <si>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</si>
  <si>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</si>
  <si>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</si>
  <si>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</si>
  <si>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</si>
  <si>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</si>
  <si>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</si>
  <si>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</si>
  <si>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</si>
  <si>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</si>
  <si>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</si>
  <si>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</si>
  <si>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</si>
  <si>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</si>
  <si>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</si>
  <si>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</si>
  <si>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</si>
  <si>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N</t>
  </si>
  <si>
    <t>s</t>
  </si>
  <si>
    <t>Source: Ministry of Education</t>
  </si>
  <si>
    <t>cnwxEkuaiDea cfoa IrcTcsinim :ctWrwf ivcaed utWmUluAwm</t>
  </si>
  <si>
    <t>Teachers</t>
  </si>
  <si>
    <t>Trained</t>
  </si>
  <si>
    <t>cnIsEdib</t>
  </si>
  <si>
    <t>cnusircawdum</t>
  </si>
  <si>
    <t>Untrained</t>
  </si>
  <si>
    <t>Expatriate</t>
  </si>
  <si>
    <t>ތަމްރިން ލިބިފައިވާ</t>
  </si>
  <si>
    <t>WvuniawfibilcnIrcmwt</t>
  </si>
  <si>
    <t>IsEdib wlcmuj</t>
  </si>
  <si>
    <t>ihevid wlcmuj</t>
  </si>
  <si>
    <t>ޖުމްލަ</t>
  </si>
  <si>
    <t>އިންސަތްތައިން</t>
  </si>
  <si>
    <t>ImiaWd</t>
  </si>
  <si>
    <t>Itugwv</t>
  </si>
  <si>
    <t>Total expatriate</t>
  </si>
  <si>
    <t xml:space="preserve">Total Local </t>
  </si>
  <si>
    <t>ތަން</t>
  </si>
  <si>
    <t>Permanant</t>
  </si>
  <si>
    <t>Temporary</t>
  </si>
  <si>
    <t xml:space="preserve"> Teachers</t>
  </si>
  <si>
    <t>as a % of total</t>
  </si>
  <si>
    <t>Adh</t>
  </si>
  <si>
    <t>Note: No untrained expatriate</t>
  </si>
  <si>
    <t>ބިދޭސީ ޓީޗަރުންގެ ތެރޭގައި ތަމްރީނު ލިބިފައިނުވާ ޓީޗަރުންނެއް ނެތް</t>
  </si>
  <si>
    <t>HA</t>
  </si>
  <si>
    <t>HDh</t>
  </si>
  <si>
    <t>Sh</t>
  </si>
  <si>
    <t>R</t>
  </si>
  <si>
    <t>2014 ,cnusircawdum IsEdib idwa ihevid WviretctWkwrwH iawgukwtWswrudwm egukwtuLotwa iaWaelWm : 7.8 ulwvWt</t>
  </si>
  <si>
    <t>TABLE 7.8:  EXPATRIATE TEACHERS SERVING IN SCHOOLS OF MALE' AND ATOLLS BY LOCALITY,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</si>
</sst>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#,##0;[Red]#,##0"/>
    <numFmt numFmtId="165" formatCode="General_)"/>
    <numFmt numFmtId="166" formatCode="_(* #,##0_);_(* \(#,##0\);_(* &quot;-&quot;??_);_(@_)"/>
    <numFmt numFmtId="167" formatCode="#,##0.0_);[Red]\(#,##0.0\)"/>
    <numFmt numFmtId="168" formatCode="_-* #,##0.00\ &quot;ރ.&quot;_-;_-* #,##0.00\ &quot;ރ.&quot;\-;_-* &quot;-&quot;??\ &quot;ރ.&quot;_-;_-@_-"/>
    <numFmt numFmtId="169" formatCode="&quot;Rf&quot;#,##0;\-&quot;Rf&quot;#,##0"/>
    <numFmt numFmtId="170" formatCode="0.00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Waheed"/>
    </font>
    <font>
      <b/>
      <sz val="10"/>
      <name val="Faruma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A_Randhoo"/>
    </font>
    <font>
      <i/>
      <sz val="9"/>
      <name val="Calibri"/>
      <family val="2"/>
      <scheme val="minor"/>
    </font>
    <font>
      <b/>
      <sz val="10"/>
      <name val="A_Utheem"/>
    </font>
    <font>
      <sz val="9"/>
      <name val="Faruma"/>
    </font>
    <font>
      <i/>
      <sz val="9"/>
      <color indexed="8"/>
      <name val="Calibri"/>
      <family val="2"/>
      <scheme val="minor"/>
    </font>
    <font>
      <sz val="10"/>
      <name val="MS Sans Serif"/>
      <family val="2"/>
    </font>
    <font>
      <b/>
      <sz val="11"/>
      <color rgb="FFFF0000"/>
      <name val="Calibri"/>
      <family val="2"/>
      <scheme val="minor"/>
    </font>
    <font>
      <b/>
      <sz val="10"/>
      <color theme="0"/>
      <name val="Arial"/>
      <family val="2"/>
    </font>
    <font>
      <sz val="11"/>
      <color theme="1"/>
      <name val="Calibri"/>
      <family val="2"/>
      <charset val="1"/>
      <scheme val="minor"/>
    </font>
    <font>
      <b/>
      <sz val="12"/>
      <name val="Calibri"/>
      <family val="2"/>
      <scheme val="minor"/>
    </font>
    <font>
      <b/>
      <sz val="11"/>
      <name val="Arial"/>
      <family val="2"/>
    </font>
    <font>
      <b/>
      <sz val="11"/>
      <name val="Faruma"/>
    </font>
    <font>
      <b/>
      <sz val="11"/>
      <name val="A_Waheed"/>
    </font>
    <font>
      <sz val="11"/>
      <name val="A_Utheem"/>
    </font>
    <font>
      <sz val="11"/>
      <name val="Arial"/>
      <family val="2"/>
    </font>
    <font>
      <sz val="11"/>
      <name val="A_Waheed"/>
    </font>
    <font>
      <b/>
      <i/>
      <sz val="16"/>
      <name val="Helv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auto="1"/>
      </bottom>
      <diagonal/>
    </border>
  </borders>
  <cellStyleXfs count="137">
    <xf numFmtId="0" fontId="0" fillId="0" borderId="0"/>
    <xf numFmtId="164" fontId="2" fillId="0" borderId="0"/>
    <xf numFmtId="164" fontId="2" fillId="0" borderId="0"/>
    <xf numFmtId="0" fontId="2" fillId="0" borderId="0"/>
    <xf numFmtId="166" fontId="2" fillId="0" borderId="0"/>
    <xf numFmtId="40" fontId="18" fillId="0" borderId="0" applyFont="0" applyFill="0" applyBorder="0" applyAlignment="0" applyProtection="0"/>
    <xf numFmtId="164" fontId="2" fillId="0" borderId="0"/>
    <xf numFmtId="0" fontId="8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1" fillId="0" borderId="0"/>
    <xf numFmtId="0" fontId="8" fillId="0" borderId="0"/>
    <xf numFmtId="0" fontId="8" fillId="0" borderId="0"/>
    <xf numFmtId="0" fontId="8" fillId="0" borderId="0"/>
    <xf numFmtId="167" fontId="2" fillId="0" borderId="0"/>
    <xf numFmtId="165" fontId="2" fillId="0" borderId="0"/>
    <xf numFmtId="170" fontId="29" fillId="0" borderId="0"/>
    <xf numFmtId="168" fontId="2" fillId="0" borderId="0"/>
    <xf numFmtId="0" fontId="18" fillId="0" borderId="0"/>
    <xf numFmtId="0" fontId="18" fillId="0" borderId="0"/>
    <xf numFmtId="168" fontId="2" fillId="0" borderId="0"/>
    <xf numFmtId="0" fontId="18" fillId="0" borderId="0"/>
    <xf numFmtId="0" fontId="18" fillId="0" borderId="0"/>
    <xf numFmtId="168" fontId="2" fillId="0" borderId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40" fontId="18" fillId="0" borderId="0" applyFont="0" applyFill="0" applyBorder="0" applyAlignment="0" applyProtection="0"/>
    <xf numFmtId="168" fontId="2" fillId="0" borderId="0"/>
    <xf numFmtId="169" fontId="2" fillId="0" borderId="0"/>
    <xf numFmtId="169" fontId="2" fillId="0" borderId="0"/>
    <xf numFmtId="165" fontId="2" fillId="0" borderId="0"/>
    <xf numFmtId="165" fontId="2" fillId="0" borderId="0"/>
    <xf numFmtId="165" fontId="2" fillId="0" borderId="0"/>
  </cellStyleXfs>
  <cellXfs count="51">
    <xf numFmtId="0" fontId="0" fillId="0" borderId="0" xfId="0"/>
    <xf numFmtId="165" fontId="6" fillId="2" borderId="0" xfId="0" applyNumberFormat="1" applyFont="1" applyFill="1" applyBorder="1" applyAlignment="1">
      <alignment horizontal="right" vertical="center"/>
    </xf>
    <xf numFmtId="165" fontId="8" fillId="2" borderId="0" xfId="4" applyNumberFormat="1" applyFont="1" applyFill="1" applyAlignment="1">
      <alignment horizontal="center" vertical="center"/>
    </xf>
    <xf numFmtId="165" fontId="8" fillId="2" borderId="0" xfId="4" applyNumberFormat="1" applyFont="1" applyFill="1" applyAlignment="1">
      <alignment horizontal="center" vertical="top"/>
    </xf>
    <xf numFmtId="165" fontId="5" fillId="2" borderId="0" xfId="4" applyNumberFormat="1" applyFont="1" applyFill="1" applyBorder="1" applyAlignment="1">
      <alignment horizontal="center" vertical="center"/>
    </xf>
    <xf numFmtId="165" fontId="7" fillId="2" borderId="0" xfId="0" applyNumberFormat="1" applyFont="1" applyFill="1" applyBorder="1" applyAlignment="1">
      <alignment horizontal="right" vertical="center"/>
    </xf>
    <xf numFmtId="165" fontId="5" fillId="2" borderId="0" xfId="4" applyNumberFormat="1" applyFont="1" applyFill="1" applyBorder="1" applyAlignment="1">
      <alignment horizontal="right" vertical="center"/>
    </xf>
    <xf numFmtId="165" fontId="17" fillId="2" borderId="0" xfId="4" applyNumberFormat="1" applyFont="1" applyFill="1" applyAlignment="1">
      <alignment horizontal="left" vertical="center"/>
    </xf>
    <xf numFmtId="165" fontId="16" fillId="2" borderId="0" xfId="4" applyNumberFormat="1" applyFont="1" applyFill="1" applyAlignment="1">
      <alignment horizontal="right"/>
    </xf>
    <xf numFmtId="165" fontId="8" fillId="2" borderId="0" xfId="4" applyNumberFormat="1" applyFont="1" applyFill="1" applyAlignment="1">
      <alignment horizontal="left" vertical="center"/>
    </xf>
    <xf numFmtId="165" fontId="4" fillId="2" borderId="1" xfId="4" applyNumberFormat="1" applyFont="1" applyFill="1" applyBorder="1" applyAlignment="1">
      <alignment horizontal="center" vertical="top" wrapText="1"/>
    </xf>
    <xf numFmtId="165" fontId="20" fillId="2" borderId="0" xfId="4" applyNumberFormat="1" applyFont="1" applyFill="1" applyAlignment="1">
      <alignment horizontal="center" vertical="center"/>
    </xf>
    <xf numFmtId="165" fontId="23" fillId="2" borderId="0" xfId="4" applyNumberFormat="1" applyFont="1" applyFill="1" applyBorder="1" applyAlignment="1">
      <alignment horizontal="center" vertical="center"/>
    </xf>
    <xf numFmtId="165" fontId="25" fillId="2" borderId="0" xfId="0" applyNumberFormat="1" applyFont="1" applyFill="1" applyBorder="1" applyAlignment="1">
      <alignment horizontal="right" vertical="center"/>
    </xf>
    <xf numFmtId="165" fontId="26" fillId="2" borderId="0" xfId="4" applyNumberFormat="1" applyFont="1" applyFill="1" applyAlignment="1">
      <alignment horizontal="right" vertical="center"/>
    </xf>
    <xf numFmtId="165" fontId="9" fillId="2" borderId="0" xfId="4" applyNumberFormat="1" applyFont="1" applyFill="1" applyBorder="1" applyAlignment="1" applyProtection="1">
      <alignment horizontal="left" vertical="center"/>
    </xf>
    <xf numFmtId="165" fontId="24" fillId="2" borderId="0" xfId="0" applyNumberFormat="1" applyFont="1" applyFill="1" applyBorder="1" applyAlignment="1">
      <alignment horizontal="right" vertical="center"/>
    </xf>
    <xf numFmtId="165" fontId="27" fillId="2" borderId="0" xfId="4" applyNumberFormat="1" applyFont="1" applyFill="1" applyAlignment="1">
      <alignment horizontal="right" vertical="center"/>
    </xf>
    <xf numFmtId="165" fontId="23" fillId="2" borderId="0" xfId="4" applyNumberFormat="1" applyFont="1" applyFill="1" applyBorder="1" applyAlignment="1" applyProtection="1">
      <alignment horizontal="left" vertical="center"/>
    </xf>
    <xf numFmtId="165" fontId="9" fillId="2" borderId="0" xfId="4" applyNumberFormat="1" applyFont="1" applyFill="1" applyBorder="1" applyAlignment="1">
      <alignment horizontal="right" vertical="center"/>
    </xf>
    <xf numFmtId="165" fontId="23" fillId="2" borderId="0" xfId="4" applyNumberFormat="1" applyFont="1" applyFill="1" applyBorder="1" applyAlignment="1">
      <alignment horizontal="right" vertical="center"/>
    </xf>
    <xf numFmtId="165" fontId="23" fillId="2" borderId="0" xfId="4" applyNumberFormat="1" applyFont="1" applyFill="1" applyBorder="1" applyAlignment="1">
      <alignment horizontal="left" vertical="center"/>
    </xf>
    <xf numFmtId="165" fontId="27" fillId="2" borderId="0" xfId="0" applyNumberFormat="1" applyFont="1" applyFill="1" applyBorder="1" applyAlignment="1">
      <alignment horizontal="right" vertical="center"/>
    </xf>
    <xf numFmtId="165" fontId="9" fillId="2" borderId="2" xfId="4" applyNumberFormat="1" applyFont="1" applyFill="1" applyBorder="1" applyAlignment="1" applyProtection="1">
      <alignment horizontal="left" vertical="center" indent="1"/>
    </xf>
    <xf numFmtId="3" fontId="12" fillId="2" borderId="2" xfId="4" applyNumberFormat="1" applyFont="1" applyFill="1" applyBorder="1" applyAlignment="1">
      <alignment vertical="center"/>
    </xf>
    <xf numFmtId="3" fontId="12" fillId="2" borderId="2" xfId="4" applyNumberFormat="1" applyFont="1" applyFill="1" applyBorder="1" applyAlignment="1">
      <alignment horizontal="right" vertical="center"/>
    </xf>
    <xf numFmtId="165" fontId="25" fillId="2" borderId="2" xfId="0" applyNumberFormat="1" applyFont="1" applyFill="1" applyBorder="1" applyAlignment="1">
      <alignment horizontal="right" vertical="center"/>
    </xf>
    <xf numFmtId="165" fontId="9" fillId="2" borderId="0" xfId="4" applyNumberFormat="1" applyFont="1" applyFill="1" applyBorder="1" applyAlignment="1" applyProtection="1">
      <alignment horizontal="left" vertical="center" indent="1"/>
    </xf>
    <xf numFmtId="3" fontId="9" fillId="2" borderId="0" xfId="4" applyNumberFormat="1" applyFont="1" applyFill="1" applyBorder="1" applyAlignment="1">
      <alignment vertical="center"/>
    </xf>
    <xf numFmtId="3" fontId="9" fillId="2" borderId="0" xfId="4" applyNumberFormat="1" applyFont="1" applyFill="1" applyBorder="1" applyAlignment="1" applyProtection="1">
      <alignment horizontal="right" vertical="center"/>
    </xf>
    <xf numFmtId="3" fontId="19" fillId="2" borderId="0" xfId="4" applyNumberFormat="1" applyFont="1" applyFill="1" applyBorder="1" applyAlignment="1">
      <alignment horizontal="right" vertical="center"/>
    </xf>
    <xf numFmtId="3" fontId="12" fillId="2" borderId="0" xfId="4" applyNumberFormat="1" applyFont="1" applyFill="1" applyBorder="1" applyAlignment="1">
      <alignment vertical="center"/>
    </xf>
    <xf numFmtId="165" fontId="10" fillId="2" borderId="0" xfId="4" applyNumberFormat="1" applyFont="1" applyFill="1" applyBorder="1" applyAlignment="1" applyProtection="1">
      <alignment horizontal="left" vertical="center" indent="1"/>
    </xf>
    <xf numFmtId="3" fontId="10" fillId="2" borderId="0" xfId="4" applyNumberFormat="1" applyFont="1" applyFill="1" applyBorder="1" applyAlignment="1" applyProtection="1">
      <alignment horizontal="right" vertical="center"/>
    </xf>
    <xf numFmtId="3" fontId="11" fillId="2" borderId="0" xfId="4" applyNumberFormat="1" applyFont="1" applyFill="1" applyBorder="1" applyAlignment="1">
      <alignment horizontal="center" vertical="center"/>
    </xf>
    <xf numFmtId="3" fontId="1" fillId="2" borderId="0" xfId="4" applyNumberFormat="1" applyFont="1" applyFill="1" applyBorder="1" applyAlignment="1">
      <alignment vertical="center"/>
    </xf>
    <xf numFmtId="165" fontId="28" fillId="2" borderId="0" xfId="0" applyNumberFormat="1" applyFont="1" applyFill="1" applyBorder="1" applyAlignment="1">
      <alignment horizontal="right" vertical="center"/>
    </xf>
    <xf numFmtId="165" fontId="10" fillId="2" borderId="1" xfId="4" applyNumberFormat="1" applyFont="1" applyFill="1" applyBorder="1" applyAlignment="1" applyProtection="1">
      <alignment horizontal="left" vertical="center" indent="1"/>
    </xf>
    <xf numFmtId="3" fontId="12" fillId="2" borderId="4" xfId="4" applyNumberFormat="1" applyFont="1" applyFill="1" applyBorder="1" applyAlignment="1">
      <alignment vertical="center"/>
    </xf>
    <xf numFmtId="3" fontId="10" fillId="2" borderId="1" xfId="4" applyNumberFormat="1" applyFont="1" applyFill="1" applyBorder="1" applyAlignment="1" applyProtection="1">
      <alignment horizontal="right" vertical="center"/>
    </xf>
    <xf numFmtId="3" fontId="11" fillId="2" borderId="1" xfId="4" applyNumberFormat="1" applyFont="1" applyFill="1" applyBorder="1" applyAlignment="1">
      <alignment horizontal="center" vertical="center"/>
    </xf>
    <xf numFmtId="3" fontId="1" fillId="2" borderId="1" xfId="4" applyNumberFormat="1" applyFont="1" applyFill="1" applyBorder="1" applyAlignment="1">
      <alignment vertical="center"/>
    </xf>
    <xf numFmtId="165" fontId="28" fillId="2" borderId="1" xfId="0" applyNumberFormat="1" applyFont="1" applyFill="1" applyBorder="1" applyAlignment="1">
      <alignment horizontal="right" vertical="center"/>
    </xf>
    <xf numFmtId="165" fontId="13" fillId="2" borderId="0" xfId="0" applyNumberFormat="1" applyFont="1" applyFill="1" applyBorder="1" applyAlignment="1">
      <alignment horizontal="right" vertical="center"/>
    </xf>
    <xf numFmtId="165" fontId="14" fillId="2" borderId="0" xfId="4" applyNumberFormat="1" applyFont="1" applyFill="1" applyAlignment="1">
      <alignment horizontal="left" vertical="center"/>
    </xf>
    <xf numFmtId="3" fontId="9" fillId="2" borderId="0" xfId="0" applyNumberFormat="1" applyFont="1" applyFill="1" applyBorder="1" applyProtection="1"/>
    <xf numFmtId="165" fontId="3" fillId="2" borderId="0" xfId="0" applyNumberFormat="1" applyFont="1" applyFill="1" applyBorder="1" applyAlignment="1">
      <alignment horizontal="center" vertical="center"/>
    </xf>
    <xf numFmtId="165" fontId="22" fillId="2" borderId="0" xfId="4" applyNumberFormat="1" applyFont="1" applyFill="1" applyBorder="1" applyAlignment="1">
      <alignment horizontal="center" vertical="top" wrapText="1"/>
    </xf>
    <xf numFmtId="165" fontId="7" fillId="2" borderId="0" xfId="0" applyNumberFormat="1" applyFont="1" applyFill="1" applyBorder="1" applyAlignment="1">
      <alignment horizontal="center" vertical="center"/>
    </xf>
    <xf numFmtId="165" fontId="15" fillId="2" borderId="0" xfId="0" applyNumberFormat="1" applyFont="1" applyFill="1" applyBorder="1" applyAlignment="1">
      <alignment horizontal="center" vertical="center"/>
    </xf>
    <xf numFmtId="165" fontId="9" fillId="2" borderId="3" xfId="4" applyNumberFormat="1" applyFont="1" applyFill="1" applyBorder="1" applyAlignment="1">
      <alignment horizontal="center" vertical="center"/>
    </xf>
  </cellXfs>
  <cellStyles count="137">
    <cellStyle name="Comma 2" xfId="5"/>
    <cellStyle name="Comma 3" xfId="8"/>
    <cellStyle name="Comma 3 2" xfId="130"/>
    <cellStyle name="Normal" xfId="0" builtinId="0"/>
    <cellStyle name="Normal - Style1" xfId="117"/>
    <cellStyle name="Normal 10" xfId="18"/>
    <cellStyle name="Normal 10 2" xfId="32"/>
    <cellStyle name="Normal 11" xfId="19"/>
    <cellStyle name="Normal 11 2" xfId="33"/>
    <cellStyle name="Normal 12" xfId="20"/>
    <cellStyle name="Normal 12 2" xfId="34"/>
    <cellStyle name="Normal 13" xfId="22"/>
    <cellStyle name="Normal 13 2" xfId="35"/>
    <cellStyle name="Normal 14" xfId="23"/>
    <cellStyle name="Normal 14 2" xfId="36"/>
    <cellStyle name="Normal 15" xfId="24"/>
    <cellStyle name="Normal 15 2" xfId="37"/>
    <cellStyle name="Normal 16" xfId="25"/>
    <cellStyle name="Normal 16 2" xfId="38"/>
    <cellStyle name="Normal 17" xfId="26"/>
    <cellStyle name="Normal 17 2" xfId="39"/>
    <cellStyle name="Normal 18" xfId="27"/>
    <cellStyle name="Normal 18 2" xfId="40"/>
    <cellStyle name="Normal 19" xfId="28"/>
    <cellStyle name="Normal 19 2" xfId="41"/>
    <cellStyle name="Normal 2" xfId="11"/>
    <cellStyle name="Normal 2 10" xfId="42"/>
    <cellStyle name="Normal 2 11" xfId="43"/>
    <cellStyle name="Normal 2 12" xfId="44"/>
    <cellStyle name="Normal 2 13" xfId="45"/>
    <cellStyle name="Normal 2 14" xfId="46"/>
    <cellStyle name="Normal 2 15" xfId="47"/>
    <cellStyle name="Normal 2 16" xfId="48"/>
    <cellStyle name="Normal 2 17" xfId="49"/>
    <cellStyle name="Normal 2 18" xfId="50"/>
    <cellStyle name="Normal 2 19" xfId="51"/>
    <cellStyle name="Normal 2 2" xfId="10"/>
    <cellStyle name="Normal 2 2 10" xfId="52"/>
    <cellStyle name="Normal 2 2 11" xfId="53"/>
    <cellStyle name="Normal 2 2 12" xfId="54"/>
    <cellStyle name="Normal 2 2 13" xfId="55"/>
    <cellStyle name="Normal 2 2 14" xfId="56"/>
    <cellStyle name="Normal 2 2 15" xfId="57"/>
    <cellStyle name="Normal 2 2 16" xfId="58"/>
    <cellStyle name="Normal 2 2 17" xfId="59"/>
    <cellStyle name="Normal 2 2 18" xfId="60"/>
    <cellStyle name="Normal 2 2 19" xfId="61"/>
    <cellStyle name="Normal 2 2 2" xfId="3"/>
    <cellStyle name="Normal 2 2 20" xfId="62"/>
    <cellStyle name="Normal 2 2 21" xfId="63"/>
    <cellStyle name="Normal 2 2 22" xfId="64"/>
    <cellStyle name="Normal 2 2 23" xfId="65"/>
    <cellStyle name="Normal 2 2 24" xfId="66"/>
    <cellStyle name="Normal 2 2 24 2" xfId="67"/>
    <cellStyle name="Normal 2 2 24 2 2" xfId="68"/>
    <cellStyle name="Normal 2 2 25" xfId="69"/>
    <cellStyle name="Normal 2 2 25 2" xfId="70"/>
    <cellStyle name="Normal 2 2 26" xfId="118"/>
    <cellStyle name="Normal 2 2 3" xfId="71"/>
    <cellStyle name="Normal 2 2 4" xfId="72"/>
    <cellStyle name="Normal 2 2 5" xfId="73"/>
    <cellStyle name="Normal 2 2 5 2" xfId="74"/>
    <cellStyle name="Normal 2 2 5 2 2" xfId="75"/>
    <cellStyle name="Normal 2 2 5 2 2 2" xfId="76"/>
    <cellStyle name="Normal 2 2 5 3" xfId="77"/>
    <cellStyle name="Normal 2 2 5 4" xfId="78"/>
    <cellStyle name="Normal 2 2 6" xfId="79"/>
    <cellStyle name="Normal 2 2 7" xfId="80"/>
    <cellStyle name="Normal 2 2 8" xfId="81"/>
    <cellStyle name="Normal 2 2 9" xfId="82"/>
    <cellStyle name="Normal 2 20" xfId="83"/>
    <cellStyle name="Normal 2 21" xfId="84"/>
    <cellStyle name="Normal 2 22" xfId="85"/>
    <cellStyle name="Normal 2 23" xfId="86"/>
    <cellStyle name="Normal 2 24" xfId="87"/>
    <cellStyle name="Normal 2 24 2" xfId="88"/>
    <cellStyle name="Normal 2 24 2 2" xfId="89"/>
    <cellStyle name="Normal 2 25" xfId="90"/>
    <cellStyle name="Normal 2 25 2" xfId="91"/>
    <cellStyle name="Normal 2 26" xfId="116"/>
    <cellStyle name="Normal 2 3" xfId="12"/>
    <cellStyle name="Normal 2 3 2" xfId="92"/>
    <cellStyle name="Normal 2 3 2 2" xfId="93"/>
    <cellStyle name="Normal 2 3 2 2 2" xfId="94"/>
    <cellStyle name="Normal 2 3 3" xfId="95"/>
    <cellStyle name="Normal 2 3 4" xfId="96"/>
    <cellStyle name="Normal 2 3 5" xfId="119"/>
    <cellStyle name="Normal 2 4" xfId="97"/>
    <cellStyle name="Normal 2 4 2" xfId="120"/>
    <cellStyle name="Normal 2 5" xfId="98"/>
    <cellStyle name="Normal 2 5 2" xfId="131"/>
    <cellStyle name="Normal 2 6" xfId="99"/>
    <cellStyle name="Normal 2 7" xfId="100"/>
    <cellStyle name="Normal 2 8" xfId="101"/>
    <cellStyle name="Normal 2 9" xfId="102"/>
    <cellStyle name="Normal 20" xfId="29"/>
    <cellStyle name="Normal 20 2" xfId="103"/>
    <cellStyle name="Normal 21" xfId="30"/>
    <cellStyle name="Normal 21 2" xfId="104"/>
    <cellStyle name="Normal 22" xfId="31"/>
    <cellStyle name="Normal 22 2" xfId="105"/>
    <cellStyle name="Normal 23" xfId="106"/>
    <cellStyle name="Normal 23 2" xfId="107"/>
    <cellStyle name="Normal 25" xfId="13"/>
    <cellStyle name="Normal 3" xfId="7"/>
    <cellStyle name="Normal 3 2" xfId="108"/>
    <cellStyle name="Normal 3 2 2" xfId="122"/>
    <cellStyle name="Normal 3 3" xfId="109"/>
    <cellStyle name="Normal 3 3 2" xfId="123"/>
    <cellStyle name="Normal 3 4" xfId="121"/>
    <cellStyle name="Normal 4" xfId="14"/>
    <cellStyle name="Normal 4 2" xfId="110"/>
    <cellStyle name="Normal 4 3" xfId="124"/>
    <cellStyle name="Normal 5" xfId="21"/>
    <cellStyle name="Normal 5 2" xfId="111"/>
    <cellStyle name="Normal 5 3" xfId="125"/>
    <cellStyle name="Normal 6" xfId="2"/>
    <cellStyle name="Normal 6 2" xfId="126"/>
    <cellStyle name="Normal 6 3" xfId="132"/>
    <cellStyle name="Normal 6 4" xfId="136"/>
    <cellStyle name="Normal 7" xfId="1"/>
    <cellStyle name="Normal 7 2" xfId="112"/>
    <cellStyle name="Normal 7 2 2" xfId="127"/>
    <cellStyle name="Normal 7 3" xfId="15"/>
    <cellStyle name="Normal 7 3 2" xfId="133"/>
    <cellStyle name="Normal 7 4" xfId="135"/>
    <cellStyle name="Normal 8" xfId="4"/>
    <cellStyle name="Normal 8 2" xfId="6"/>
    <cellStyle name="Normal 8 2 2" xfId="113"/>
    <cellStyle name="Normal 8 2 3" xfId="128"/>
    <cellStyle name="Normal 8 3" xfId="16"/>
    <cellStyle name="Normal 8 3 2" xfId="134"/>
    <cellStyle name="Normal 8 4" xfId="115"/>
    <cellStyle name="Normal 9" xfId="17"/>
    <cellStyle name="Normal 9 2" xfId="114"/>
    <cellStyle name="Normal 9 3" xfId="129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L32"/>
  <sheetViews>
    <sheetView tabSelected="1" zoomScaleNormal="100" workbookViewId="0">
      <selection activeCell="S12" sqref="S12"/>
    </sheetView>
  </sheetViews>
  <sheetFormatPr defaultColWidth="9.140625" defaultRowHeight="12.75" x14ac:dyDescent="0.25"/>
  <cols>
    <col min="1" max="1" width="10" style="9" customWidth="1"/>
    <col min="2" max="2" width="11.5703125" style="2" customWidth="1"/>
    <col min="3" max="4" width="13" style="2" customWidth="1"/>
    <col min="5" max="5" width="2.140625" style="2" customWidth="1"/>
    <col min="6" max="7" width="13.7109375" style="2" customWidth="1"/>
    <col min="8" max="9" width="15.7109375" style="2" customWidth="1"/>
    <col min="10" max="10" width="14.7109375" style="2" customWidth="1"/>
    <col min="11" max="11" width="15.42578125" style="2" customWidth="1"/>
    <col min="12" max="12" width="3" style="2" customWidth="1"/>
    <col min="13" max="16384" width="9.140625" style="2"/>
  </cols>
  <sheetData>
    <row r="1" spans="1:12" ht="20.25" customHeight="1" x14ac:dyDescent="0.25">
      <c r="A1" s="46" t="s">
        <v>70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11">
        <v>2014</v>
      </c>
    </row>
    <row r="2" spans="1:12" s="3" customFormat="1" ht="16.5" customHeight="1" x14ac:dyDescent="0.25">
      <c r="A2" s="47" t="s">
        <v>71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2" s="3" customFormat="1" ht="18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2" ht="18.75" x14ac:dyDescent="0.25">
      <c r="A4" s="12"/>
      <c r="B4" s="12"/>
      <c r="C4" s="48" t="s">
        <v>48</v>
      </c>
      <c r="D4" s="48"/>
      <c r="E4" s="4"/>
      <c r="F4" s="49" t="s">
        <v>49</v>
      </c>
      <c r="G4" s="49"/>
      <c r="H4" s="1" t="s">
        <v>50</v>
      </c>
      <c r="I4" s="1" t="s">
        <v>51</v>
      </c>
      <c r="J4" s="1" t="s">
        <v>44</v>
      </c>
      <c r="K4" s="14"/>
    </row>
    <row r="5" spans="1:12" ht="17.25" customHeight="1" x14ac:dyDescent="0.25">
      <c r="A5" s="15" t="s">
        <v>1</v>
      </c>
      <c r="B5" s="16" t="s">
        <v>52</v>
      </c>
      <c r="C5" s="50" t="s">
        <v>43</v>
      </c>
      <c r="D5" s="50"/>
      <c r="E5" s="12"/>
      <c r="F5" s="50" t="s">
        <v>46</v>
      </c>
      <c r="G5" s="50"/>
      <c r="H5" s="1" t="s">
        <v>45</v>
      </c>
      <c r="I5" s="1" t="s">
        <v>45</v>
      </c>
      <c r="J5" s="5" t="s">
        <v>53</v>
      </c>
      <c r="K5" s="17"/>
    </row>
    <row r="6" spans="1:12" ht="21" x14ac:dyDescent="0.25">
      <c r="A6" s="18"/>
      <c r="B6" s="19" t="s">
        <v>0</v>
      </c>
      <c r="C6" s="1" t="s">
        <v>54</v>
      </c>
      <c r="D6" s="1" t="s">
        <v>55</v>
      </c>
      <c r="E6" s="6"/>
      <c r="F6" s="1" t="s">
        <v>54</v>
      </c>
      <c r="G6" s="1" t="s">
        <v>55</v>
      </c>
      <c r="H6" s="19" t="s">
        <v>56</v>
      </c>
      <c r="I6" s="19" t="s">
        <v>57</v>
      </c>
      <c r="J6" s="19" t="s">
        <v>47</v>
      </c>
      <c r="K6" s="16" t="s">
        <v>58</v>
      </c>
    </row>
    <row r="7" spans="1:12" ht="12.75" customHeight="1" x14ac:dyDescent="0.25">
      <c r="A7" s="21"/>
      <c r="B7" s="20"/>
      <c r="C7" s="19" t="s">
        <v>59</v>
      </c>
      <c r="D7" s="19" t="s">
        <v>60</v>
      </c>
      <c r="E7" s="20"/>
      <c r="F7" s="19" t="s">
        <v>59</v>
      </c>
      <c r="G7" s="19" t="s">
        <v>60</v>
      </c>
      <c r="H7" s="19" t="s">
        <v>61</v>
      </c>
      <c r="I7" s="19" t="s">
        <v>42</v>
      </c>
      <c r="J7" s="19" t="s">
        <v>62</v>
      </c>
      <c r="K7" s="22"/>
    </row>
    <row r="8" spans="1:12" ht="17.25" x14ac:dyDescent="0.25">
      <c r="A8" s="23" t="s">
        <v>2</v>
      </c>
      <c r="B8" s="24">
        <f>SUM(C8:G8)</f>
        <v>8388</v>
      </c>
      <c r="C8" s="25">
        <f>SUM(C9:C10)</f>
        <v>6983</v>
      </c>
      <c r="D8" s="25">
        <f>SUM(D9:D10)</f>
        <v>284</v>
      </c>
      <c r="E8" s="25"/>
      <c r="F8" s="25">
        <f>SUM(F9:F10)</f>
        <v>830</v>
      </c>
      <c r="G8" s="25">
        <f>SUM(G9:G10)</f>
        <v>291</v>
      </c>
      <c r="H8" s="25">
        <f>SUM(H9:H10)</f>
        <v>2553</v>
      </c>
      <c r="I8" s="24">
        <f>SUM(I9:I10)</f>
        <v>5835</v>
      </c>
      <c r="J8" s="24">
        <f>H8/B8*100</f>
        <v>30.436337625178826</v>
      </c>
      <c r="K8" s="26" t="s">
        <v>3</v>
      </c>
    </row>
    <row r="9" spans="1:12" ht="17.25" x14ac:dyDescent="0.25">
      <c r="A9" s="27" t="s">
        <v>4</v>
      </c>
      <c r="B9" s="28">
        <f>SUM(C9:G9)</f>
        <v>2021</v>
      </c>
      <c r="C9" s="29">
        <v>1810</v>
      </c>
      <c r="D9" s="29">
        <v>81</v>
      </c>
      <c r="E9" s="30"/>
      <c r="F9" s="29">
        <v>115</v>
      </c>
      <c r="G9" s="29">
        <v>15</v>
      </c>
      <c r="H9" s="45">
        <v>435</v>
      </c>
      <c r="I9" s="45">
        <v>1586</v>
      </c>
      <c r="J9" s="45">
        <f t="shared" ref="J9:J30" si="0">H9/B9*100</f>
        <v>21.523998020781789</v>
      </c>
      <c r="K9" s="13" t="s">
        <v>5</v>
      </c>
    </row>
    <row r="10" spans="1:12" ht="17.25" x14ac:dyDescent="0.25">
      <c r="A10" s="27" t="s">
        <v>6</v>
      </c>
      <c r="B10" s="31">
        <f>SUM(C10:G10)</f>
        <v>6367</v>
      </c>
      <c r="C10" s="31">
        <f>SUM(C11:C30)</f>
        <v>5173</v>
      </c>
      <c r="D10" s="31">
        <f t="shared" ref="D10:I10" si="1">SUM(D11:D30)</f>
        <v>203</v>
      </c>
      <c r="E10" s="31"/>
      <c r="F10" s="31">
        <f t="shared" si="1"/>
        <v>715</v>
      </c>
      <c r="G10" s="31">
        <f t="shared" si="1"/>
        <v>276</v>
      </c>
      <c r="H10" s="31">
        <f t="shared" si="1"/>
        <v>2118</v>
      </c>
      <c r="I10" s="31">
        <f t="shared" si="1"/>
        <v>4249</v>
      </c>
      <c r="J10" s="31">
        <f t="shared" si="0"/>
        <v>33.26527406942045</v>
      </c>
      <c r="K10" s="13" t="s">
        <v>7</v>
      </c>
    </row>
    <row r="11" spans="1:12" ht="17.25" x14ac:dyDescent="0.25">
      <c r="A11" s="32" t="s">
        <v>66</v>
      </c>
      <c r="B11" s="31">
        <f>SUM(C11:G11)</f>
        <v>447</v>
      </c>
      <c r="C11" s="33">
        <v>370</v>
      </c>
      <c r="D11" s="33">
        <v>14</v>
      </c>
      <c r="E11" s="34"/>
      <c r="F11" s="33">
        <v>33</v>
      </c>
      <c r="G11" s="33">
        <v>30</v>
      </c>
      <c r="H11" s="35">
        <v>147</v>
      </c>
      <c r="I11" s="35">
        <v>300</v>
      </c>
      <c r="J11" s="35">
        <f t="shared" si="0"/>
        <v>32.885906040268459</v>
      </c>
      <c r="K11" s="36" t="s">
        <v>8</v>
      </c>
    </row>
    <row r="12" spans="1:12" ht="17.25" x14ac:dyDescent="0.25">
      <c r="A12" s="32" t="s">
        <v>67</v>
      </c>
      <c r="B12" s="31">
        <f t="shared" ref="B12:B30" si="2">SUM(C12:G12)</f>
        <v>520</v>
      </c>
      <c r="C12" s="33">
        <v>428</v>
      </c>
      <c r="D12" s="33">
        <v>22</v>
      </c>
      <c r="E12" s="34"/>
      <c r="F12" s="33">
        <v>45</v>
      </c>
      <c r="G12" s="33">
        <v>25</v>
      </c>
      <c r="H12" s="35">
        <v>170</v>
      </c>
      <c r="I12" s="35">
        <v>350</v>
      </c>
      <c r="J12" s="35">
        <f t="shared" si="0"/>
        <v>32.692307692307693</v>
      </c>
      <c r="K12" s="36" t="s">
        <v>9</v>
      </c>
    </row>
    <row r="13" spans="1:12" ht="17.25" x14ac:dyDescent="0.25">
      <c r="A13" s="32" t="s">
        <v>68</v>
      </c>
      <c r="B13" s="31">
        <f t="shared" si="2"/>
        <v>439</v>
      </c>
      <c r="C13" s="33">
        <v>347</v>
      </c>
      <c r="D13" s="33">
        <v>18</v>
      </c>
      <c r="E13" s="34"/>
      <c r="F13" s="33">
        <v>50</v>
      </c>
      <c r="G13" s="33">
        <v>24</v>
      </c>
      <c r="H13" s="35">
        <v>157</v>
      </c>
      <c r="I13" s="35">
        <v>282</v>
      </c>
      <c r="J13" s="35">
        <f t="shared" si="0"/>
        <v>35.763097949886102</v>
      </c>
      <c r="K13" s="36" t="s">
        <v>10</v>
      </c>
    </row>
    <row r="14" spans="1:12" ht="17.25" x14ac:dyDescent="0.25">
      <c r="A14" s="32" t="s">
        <v>38</v>
      </c>
      <c r="B14" s="31">
        <f t="shared" si="2"/>
        <v>375</v>
      </c>
      <c r="C14" s="33">
        <v>297</v>
      </c>
      <c r="D14" s="33">
        <v>10</v>
      </c>
      <c r="E14" s="34"/>
      <c r="F14" s="33">
        <v>55</v>
      </c>
      <c r="G14" s="33">
        <v>13</v>
      </c>
      <c r="H14" s="35">
        <v>130</v>
      </c>
      <c r="I14" s="35">
        <v>245</v>
      </c>
      <c r="J14" s="35">
        <f t="shared" si="0"/>
        <v>34.666666666666671</v>
      </c>
      <c r="K14" s="36" t="s">
        <v>11</v>
      </c>
    </row>
    <row r="15" spans="1:12" ht="17.25" x14ac:dyDescent="0.25">
      <c r="A15" s="32" t="s">
        <v>69</v>
      </c>
      <c r="B15" s="31">
        <f t="shared" si="2"/>
        <v>557</v>
      </c>
      <c r="C15" s="33">
        <v>453</v>
      </c>
      <c r="D15" s="33">
        <v>7</v>
      </c>
      <c r="E15" s="34"/>
      <c r="F15" s="33">
        <v>70</v>
      </c>
      <c r="G15" s="33">
        <v>27</v>
      </c>
      <c r="H15" s="35">
        <v>209</v>
      </c>
      <c r="I15" s="35">
        <v>348</v>
      </c>
      <c r="J15" s="35">
        <f t="shared" si="0"/>
        <v>37.52244165170557</v>
      </c>
      <c r="K15" s="36" t="s">
        <v>12</v>
      </c>
    </row>
    <row r="16" spans="1:12" ht="17.25" x14ac:dyDescent="0.25">
      <c r="A16" s="32" t="s">
        <v>13</v>
      </c>
      <c r="B16" s="31">
        <f t="shared" si="2"/>
        <v>333</v>
      </c>
      <c r="C16" s="33">
        <v>272</v>
      </c>
      <c r="D16" s="33">
        <v>8</v>
      </c>
      <c r="E16" s="34"/>
      <c r="F16" s="33">
        <v>43</v>
      </c>
      <c r="G16" s="33">
        <v>10</v>
      </c>
      <c r="H16" s="35">
        <v>113</v>
      </c>
      <c r="I16" s="35">
        <v>220</v>
      </c>
      <c r="J16" s="35">
        <f t="shared" si="0"/>
        <v>33.933933933933936</v>
      </c>
      <c r="K16" s="36" t="s">
        <v>14</v>
      </c>
    </row>
    <row r="17" spans="1:11" ht="17.25" x14ac:dyDescent="0.25">
      <c r="A17" s="32" t="s">
        <v>15</v>
      </c>
      <c r="B17" s="31">
        <f t="shared" si="2"/>
        <v>236</v>
      </c>
      <c r="C17" s="33">
        <v>167</v>
      </c>
      <c r="D17" s="33">
        <v>5</v>
      </c>
      <c r="E17" s="34"/>
      <c r="F17" s="33">
        <v>57</v>
      </c>
      <c r="G17" s="33">
        <v>7</v>
      </c>
      <c r="H17" s="35">
        <v>79</v>
      </c>
      <c r="I17" s="35">
        <v>157</v>
      </c>
      <c r="J17" s="35">
        <f t="shared" si="0"/>
        <v>33.474576271186443</v>
      </c>
      <c r="K17" s="36" t="s">
        <v>16</v>
      </c>
    </row>
    <row r="18" spans="1:11" ht="17.25" x14ac:dyDescent="0.25">
      <c r="A18" s="32" t="s">
        <v>17</v>
      </c>
      <c r="B18" s="31">
        <f t="shared" si="2"/>
        <v>289</v>
      </c>
      <c r="C18" s="33">
        <v>238</v>
      </c>
      <c r="D18" s="33">
        <v>5</v>
      </c>
      <c r="E18" s="34"/>
      <c r="F18" s="33">
        <v>37</v>
      </c>
      <c r="G18" s="33">
        <v>9</v>
      </c>
      <c r="H18" s="35">
        <v>89</v>
      </c>
      <c r="I18" s="35">
        <v>200</v>
      </c>
      <c r="J18" s="35">
        <f t="shared" si="0"/>
        <v>30.79584775086505</v>
      </c>
      <c r="K18" s="36" t="s">
        <v>18</v>
      </c>
    </row>
    <row r="19" spans="1:11" ht="17.25" x14ac:dyDescent="0.25">
      <c r="A19" s="32" t="s">
        <v>19</v>
      </c>
      <c r="B19" s="31">
        <f t="shared" si="2"/>
        <v>221</v>
      </c>
      <c r="C19" s="33">
        <v>175</v>
      </c>
      <c r="D19" s="33">
        <v>13</v>
      </c>
      <c r="E19" s="34"/>
      <c r="F19" s="33">
        <v>27</v>
      </c>
      <c r="G19" s="33">
        <v>6</v>
      </c>
      <c r="H19" s="35">
        <v>74</v>
      </c>
      <c r="I19" s="35">
        <v>147</v>
      </c>
      <c r="J19" s="35">
        <f t="shared" si="0"/>
        <v>33.484162895927597</v>
      </c>
      <c r="K19" s="36" t="s">
        <v>20</v>
      </c>
    </row>
    <row r="20" spans="1:11" ht="17.25" x14ac:dyDescent="0.25">
      <c r="A20" s="32" t="s">
        <v>63</v>
      </c>
      <c r="B20" s="31">
        <f t="shared" si="2"/>
        <v>261</v>
      </c>
      <c r="C20" s="33">
        <v>206</v>
      </c>
      <c r="D20" s="33">
        <v>11</v>
      </c>
      <c r="E20" s="34"/>
      <c r="F20" s="33">
        <v>31</v>
      </c>
      <c r="G20" s="33">
        <v>13</v>
      </c>
      <c r="H20" s="35">
        <v>83</v>
      </c>
      <c r="I20" s="35">
        <v>178</v>
      </c>
      <c r="J20" s="35">
        <f t="shared" si="0"/>
        <v>31.800766283524908</v>
      </c>
      <c r="K20" s="36" t="s">
        <v>21</v>
      </c>
    </row>
    <row r="21" spans="1:11" ht="17.25" x14ac:dyDescent="0.25">
      <c r="A21" s="32" t="s">
        <v>22</v>
      </c>
      <c r="B21" s="31">
        <f t="shared" si="2"/>
        <v>66</v>
      </c>
      <c r="C21" s="33">
        <v>38</v>
      </c>
      <c r="D21" s="33">
        <v>4</v>
      </c>
      <c r="E21" s="34"/>
      <c r="F21" s="33">
        <v>18</v>
      </c>
      <c r="G21" s="33">
        <v>6</v>
      </c>
      <c r="H21" s="35">
        <v>23</v>
      </c>
      <c r="I21" s="35">
        <v>43</v>
      </c>
      <c r="J21" s="35">
        <f t="shared" si="0"/>
        <v>34.848484848484851</v>
      </c>
      <c r="K21" s="36" t="s">
        <v>23</v>
      </c>
    </row>
    <row r="22" spans="1:11" ht="17.25" x14ac:dyDescent="0.25">
      <c r="A22" s="32" t="s">
        <v>24</v>
      </c>
      <c r="B22" s="31">
        <f t="shared" si="2"/>
        <v>173</v>
      </c>
      <c r="C22" s="33">
        <v>140</v>
      </c>
      <c r="D22" s="33">
        <v>9</v>
      </c>
      <c r="E22" s="34"/>
      <c r="F22" s="33">
        <v>19</v>
      </c>
      <c r="G22" s="33">
        <v>5</v>
      </c>
      <c r="H22" s="35">
        <v>56</v>
      </c>
      <c r="I22" s="35">
        <v>117</v>
      </c>
      <c r="J22" s="35">
        <f t="shared" si="0"/>
        <v>32.369942196531795</v>
      </c>
      <c r="K22" s="36" t="s">
        <v>25</v>
      </c>
    </row>
    <row r="23" spans="1:11" ht="17.25" x14ac:dyDescent="0.25">
      <c r="A23" s="32" t="s">
        <v>26</v>
      </c>
      <c r="B23" s="31">
        <f t="shared" si="2"/>
        <v>154</v>
      </c>
      <c r="C23" s="33">
        <v>132</v>
      </c>
      <c r="D23" s="33">
        <v>8</v>
      </c>
      <c r="E23" s="34"/>
      <c r="F23" s="33">
        <v>4</v>
      </c>
      <c r="G23" s="33">
        <v>10</v>
      </c>
      <c r="H23" s="35">
        <v>47</v>
      </c>
      <c r="I23" s="35">
        <v>107</v>
      </c>
      <c r="J23" s="35">
        <f t="shared" si="0"/>
        <v>30.519480519480517</v>
      </c>
      <c r="K23" s="36" t="s">
        <v>27</v>
      </c>
    </row>
    <row r="24" spans="1:11" ht="17.25" x14ac:dyDescent="0.25">
      <c r="A24" s="32" t="s">
        <v>28</v>
      </c>
      <c r="B24" s="31">
        <f t="shared" si="2"/>
        <v>188</v>
      </c>
      <c r="C24" s="33">
        <v>155</v>
      </c>
      <c r="D24" s="33">
        <v>4</v>
      </c>
      <c r="E24" s="34"/>
      <c r="F24" s="33">
        <v>23</v>
      </c>
      <c r="G24" s="33">
        <v>6</v>
      </c>
      <c r="H24" s="35">
        <v>64</v>
      </c>
      <c r="I24" s="35">
        <v>124</v>
      </c>
      <c r="J24" s="35">
        <f t="shared" si="0"/>
        <v>34.042553191489361</v>
      </c>
      <c r="K24" s="36" t="s">
        <v>29</v>
      </c>
    </row>
    <row r="25" spans="1:11" ht="17.25" x14ac:dyDescent="0.25">
      <c r="A25" s="32" t="s">
        <v>30</v>
      </c>
      <c r="B25" s="31">
        <f t="shared" si="2"/>
        <v>329</v>
      </c>
      <c r="C25" s="33">
        <v>259</v>
      </c>
      <c r="D25" s="33">
        <v>18</v>
      </c>
      <c r="E25" s="34"/>
      <c r="F25" s="33">
        <v>38</v>
      </c>
      <c r="G25" s="33">
        <v>14</v>
      </c>
      <c r="H25" s="35">
        <v>132</v>
      </c>
      <c r="I25" s="35">
        <v>197</v>
      </c>
      <c r="J25" s="35">
        <f t="shared" si="0"/>
        <v>40.121580547112465</v>
      </c>
      <c r="K25" s="36" t="s">
        <v>31</v>
      </c>
    </row>
    <row r="26" spans="1:11" ht="17.25" x14ac:dyDescent="0.25">
      <c r="A26" s="32" t="s">
        <v>16</v>
      </c>
      <c r="B26" s="31">
        <f t="shared" si="2"/>
        <v>383</v>
      </c>
      <c r="C26" s="33">
        <v>309</v>
      </c>
      <c r="D26" s="33">
        <v>20</v>
      </c>
      <c r="E26" s="34"/>
      <c r="F26" s="33">
        <v>23</v>
      </c>
      <c r="G26" s="33">
        <v>31</v>
      </c>
      <c r="H26" s="35">
        <v>128</v>
      </c>
      <c r="I26" s="35">
        <v>255</v>
      </c>
      <c r="J26" s="35">
        <f t="shared" si="0"/>
        <v>33.420365535248045</v>
      </c>
      <c r="K26" s="36" t="s">
        <v>32</v>
      </c>
    </row>
    <row r="27" spans="1:11" ht="17.25" x14ac:dyDescent="0.25">
      <c r="A27" s="32" t="s">
        <v>33</v>
      </c>
      <c r="B27" s="31">
        <f t="shared" si="2"/>
        <v>258</v>
      </c>
      <c r="C27" s="33">
        <v>209</v>
      </c>
      <c r="D27" s="33">
        <v>6</v>
      </c>
      <c r="E27" s="34"/>
      <c r="F27" s="33">
        <v>34</v>
      </c>
      <c r="G27" s="33">
        <v>9</v>
      </c>
      <c r="H27" s="35">
        <v>100</v>
      </c>
      <c r="I27" s="35">
        <v>158</v>
      </c>
      <c r="J27" s="35">
        <f t="shared" si="0"/>
        <v>38.759689922480625</v>
      </c>
      <c r="K27" s="36" t="s">
        <v>34</v>
      </c>
    </row>
    <row r="28" spans="1:11" ht="17.25" x14ac:dyDescent="0.25">
      <c r="A28" s="32" t="s">
        <v>35</v>
      </c>
      <c r="B28" s="31">
        <f t="shared" si="2"/>
        <v>360</v>
      </c>
      <c r="C28" s="33">
        <v>296</v>
      </c>
      <c r="D28" s="33">
        <v>6</v>
      </c>
      <c r="E28" s="34"/>
      <c r="F28" s="33">
        <v>50</v>
      </c>
      <c r="G28" s="33">
        <v>8</v>
      </c>
      <c r="H28" s="35">
        <v>116</v>
      </c>
      <c r="I28" s="35">
        <v>244</v>
      </c>
      <c r="J28" s="35">
        <f t="shared" si="0"/>
        <v>32.222222222222221</v>
      </c>
      <c r="K28" s="36" t="s">
        <v>36</v>
      </c>
    </row>
    <row r="29" spans="1:11" ht="17.25" x14ac:dyDescent="0.25">
      <c r="A29" s="32" t="s">
        <v>37</v>
      </c>
      <c r="B29" s="31">
        <f t="shared" si="2"/>
        <v>232</v>
      </c>
      <c r="C29" s="33">
        <v>213</v>
      </c>
      <c r="D29" s="33">
        <v>6</v>
      </c>
      <c r="E29" s="34"/>
      <c r="F29" s="33">
        <v>8</v>
      </c>
      <c r="G29" s="33">
        <v>5</v>
      </c>
      <c r="H29" s="35">
        <v>26</v>
      </c>
      <c r="I29" s="35">
        <v>206</v>
      </c>
      <c r="J29" s="35">
        <f t="shared" si="0"/>
        <v>11.206896551724139</v>
      </c>
      <c r="K29" s="36" t="s">
        <v>38</v>
      </c>
    </row>
    <row r="30" spans="1:11" ht="17.25" x14ac:dyDescent="0.25">
      <c r="A30" s="37" t="s">
        <v>10</v>
      </c>
      <c r="B30" s="38">
        <f t="shared" si="2"/>
        <v>546</v>
      </c>
      <c r="C30" s="39">
        <v>469</v>
      </c>
      <c r="D30" s="39">
        <v>9</v>
      </c>
      <c r="E30" s="40"/>
      <c r="F30" s="39">
        <v>50</v>
      </c>
      <c r="G30" s="39">
        <v>18</v>
      </c>
      <c r="H30" s="41">
        <v>175</v>
      </c>
      <c r="I30" s="41">
        <v>371</v>
      </c>
      <c r="J30" s="41">
        <f t="shared" si="0"/>
        <v>32.051282051282051</v>
      </c>
      <c r="K30" s="42" t="s">
        <v>39</v>
      </c>
    </row>
    <row r="31" spans="1:11" ht="17.25" x14ac:dyDescent="0.45">
      <c r="A31" s="7" t="s">
        <v>64</v>
      </c>
      <c r="K31" s="8" t="s">
        <v>65</v>
      </c>
    </row>
    <row r="32" spans="1:11" ht="15" x14ac:dyDescent="0.25">
      <c r="A32" s="44" t="s">
        <v>40</v>
      </c>
      <c r="K32" s="43" t="s">
        <v>41</v>
      </c>
    </row>
  </sheetData>
  <mergeCells count="6">
    <mergeCell ref="A1:K1"/>
    <mergeCell ref="A2:K2"/>
    <mergeCell ref="C4:D4"/>
    <mergeCell ref="F4:G4"/>
    <mergeCell ref="C5:D5"/>
    <mergeCell ref="F5:G5"/>
  </mergeCells>
  <pageMargins left="0.25" right="0.25" top="0.75" bottom="0.75" header="0.3" footer="0.3"/>
  <pageSetup paperSize="9" scale="91" orientation="landscape" r:id="rId1"/>
  <ignoredErrors>
    <ignoredError sqref="B9:B3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7.8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2016-01-04T08:56:28Z</cp:lastPrinted>
  <dcterms:created xsi:type="dcterms:W3CDTF">2014-03-05T03:36:41Z</dcterms:created>
  <dcterms:modified xsi:type="dcterms:W3CDTF">2016-01-04T09:02:46Z</dcterms:modified>
</cp:coreProperties>
</file>