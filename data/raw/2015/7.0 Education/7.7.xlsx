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7." sheetId="18" r:id="rId1"/>
  </sheets>
  <definedNames>
    <definedName name="_xlnm.Print_Area" localSheetId="0">'7.7.'!$A$1:$P$41</definedName>
  </definedNames>
  <calcPr calcId="144525"/>
</workbook>
</file>

<file path=xl/calcChain.xml><?xml version="1.0" encoding="utf-8"?>
<calcChain xmlns="http://schemas.openxmlformats.org/spreadsheetml/2006/main">
  <c r="AC34" i="18" l="1"/>
  <c r="N22" i="18"/>
  <c r="N21" i="18"/>
  <c r="N15" i="18"/>
  <c r="N16" i="18"/>
  <c r="K9" i="18"/>
  <c r="L9" i="18"/>
  <c r="AD34" i="18" s="1"/>
  <c r="K10" i="18"/>
  <c r="AC35" i="18" s="1"/>
  <c r="L10" i="18"/>
  <c r="K11" i="18"/>
  <c r="L11" i="18"/>
  <c r="AD36" i="18" s="1"/>
  <c r="K12" i="18"/>
  <c r="AC37" i="18" s="1"/>
  <c r="L12" i="18"/>
  <c r="J14" i="18"/>
  <c r="N14" i="18" s="1"/>
  <c r="J15" i="18"/>
  <c r="J16" i="18"/>
  <c r="J17" i="18"/>
  <c r="N17" i="18" s="1"/>
  <c r="L13" i="18"/>
  <c r="L8" i="18" s="1"/>
  <c r="K13" i="18"/>
  <c r="L18" i="18"/>
  <c r="K18" i="18"/>
  <c r="K8" i="18" s="1"/>
  <c r="J20" i="18"/>
  <c r="N20" i="18" s="1"/>
  <c r="J21" i="18"/>
  <c r="J22" i="18"/>
  <c r="J19" i="18"/>
  <c r="N19" i="18" s="1"/>
  <c r="H14" i="18"/>
  <c r="H15" i="18"/>
  <c r="H16" i="18"/>
  <c r="H17" i="18"/>
  <c r="H19" i="18"/>
  <c r="H20" i="18"/>
  <c r="H21" i="18"/>
  <c r="H22" i="18"/>
  <c r="G16" i="18"/>
  <c r="B13" i="18"/>
  <c r="H13" i="18" s="1"/>
  <c r="B18" i="18"/>
  <c r="H18" i="18" s="1"/>
  <c r="B10" i="18"/>
  <c r="B11" i="18"/>
  <c r="B12" i="18"/>
  <c r="B9" i="18"/>
  <c r="D9" i="18"/>
  <c r="E9" i="18"/>
  <c r="D10" i="18"/>
  <c r="AG35" i="18" s="1"/>
  <c r="E10" i="18"/>
  <c r="AH35" i="18" s="1"/>
  <c r="D11" i="18"/>
  <c r="E11" i="18"/>
  <c r="D12" i="18"/>
  <c r="E12" i="18"/>
  <c r="AH37" i="18" s="1"/>
  <c r="C15" i="18"/>
  <c r="C16" i="18"/>
  <c r="C17" i="18"/>
  <c r="C14" i="18"/>
  <c r="G14" i="18" s="1"/>
  <c r="E13" i="18"/>
  <c r="C13" i="18" s="1"/>
  <c r="D13" i="18"/>
  <c r="C19" i="18"/>
  <c r="G19" i="18" s="1"/>
  <c r="C20" i="18"/>
  <c r="G20" i="18" s="1"/>
  <c r="C21" i="18"/>
  <c r="G21" i="18" s="1"/>
  <c r="C22" i="18"/>
  <c r="G22" i="18" s="1"/>
  <c r="E18" i="18"/>
  <c r="D18" i="18"/>
  <c r="C18" i="18" s="1"/>
  <c r="AG37" i="18"/>
  <c r="AD37" i="18"/>
  <c r="AC36" i="18"/>
  <c r="AH36" i="18"/>
  <c r="AH34" i="18"/>
  <c r="C8" i="18" l="1"/>
  <c r="C12" i="18"/>
  <c r="G12" i="18" s="1"/>
  <c r="D8" i="18"/>
  <c r="J13" i="18"/>
  <c r="N13" i="18" s="1"/>
  <c r="G18" i="18"/>
  <c r="G17" i="18"/>
  <c r="C10" i="18"/>
  <c r="G10" i="18" s="1"/>
  <c r="G13" i="18"/>
  <c r="G15" i="18"/>
  <c r="H12" i="18"/>
  <c r="B8" i="18"/>
  <c r="H9" i="18"/>
  <c r="H11" i="18"/>
  <c r="C11" i="18"/>
  <c r="G11" i="18" s="1"/>
  <c r="C9" i="18"/>
  <c r="G9" i="18" s="1"/>
  <c r="E8" i="18"/>
  <c r="AG36" i="18"/>
  <c r="J12" i="18"/>
  <c r="N12" i="18" s="1"/>
  <c r="J18" i="18"/>
  <c r="N18" i="18" s="1"/>
  <c r="AG34" i="18"/>
  <c r="J8" i="18"/>
  <c r="J9" i="18"/>
  <c r="N9" i="18" s="1"/>
  <c r="H10" i="18"/>
  <c r="AD35" i="18"/>
  <c r="J10" i="18"/>
  <c r="N10" i="18" s="1"/>
  <c r="J11" i="18"/>
  <c r="N11" i="18" s="1"/>
  <c r="G8" i="18" l="1"/>
  <c r="H8" i="18"/>
  <c r="N8" i="18"/>
</calcChain>
</file>

<file path=xl/sharedStrings.xml><?xml version="1.0" encoding="utf-8"?>
<sst xmlns="http://schemas.openxmlformats.org/spreadsheetml/2006/main" count="80" uniqueCount="49">
  <si>
    <t>Total</t>
  </si>
  <si>
    <t>wlcmuj</t>
  </si>
  <si>
    <t>Republic</t>
  </si>
  <si>
    <t>ejcaWriLum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</si>
  <si>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</si>
  <si>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</si>
  <si>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</si>
  <si>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</si>
  <si>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</si>
  <si>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</si>
  <si>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</si>
  <si>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</si>
  <si>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cniawtcawscnia</t>
  </si>
  <si>
    <t>Pre - Primary</t>
  </si>
  <si>
    <t>Primary ( 1 - 7)</t>
  </si>
  <si>
    <t>Lower Secondary ( 8 - 10)</t>
  </si>
  <si>
    <t>Higher Secondary ( 11 - 12)</t>
  </si>
  <si>
    <t>Primary</t>
  </si>
  <si>
    <t>Lower Secondary</t>
  </si>
  <si>
    <t xml:space="preserve">  cnidukWvwyik cnutwbcsin egcnusircawdum</t>
  </si>
  <si>
    <t>Teachers</t>
  </si>
  <si>
    <t>Student Teacher Ratio</t>
  </si>
  <si>
    <t>iawfivedcnIrcmwt</t>
  </si>
  <si>
    <t>Trained</t>
  </si>
  <si>
    <t xml:space="preserve">No. of teachers </t>
  </si>
  <si>
    <t>udwdwa egcnusircawdum EdWvwyik</t>
  </si>
  <si>
    <t>cnIsEdib</t>
  </si>
  <si>
    <t xml:space="preserve"> cnIrcmwt</t>
  </si>
  <si>
    <t>cnusircawdum</t>
  </si>
  <si>
    <t>udwdwa egcnidukWvwyik</t>
  </si>
  <si>
    <t>Wviawfibil</t>
  </si>
  <si>
    <t>Wvuniawfibil</t>
  </si>
  <si>
    <t>cnihevid</t>
  </si>
  <si>
    <t>% of</t>
  </si>
  <si>
    <t xml:space="preserve">cnwt </t>
  </si>
  <si>
    <t>Untrained</t>
  </si>
  <si>
    <t>Local</t>
  </si>
  <si>
    <t>Expatriate</t>
  </si>
  <si>
    <t>expatriate</t>
  </si>
  <si>
    <t xml:space="preserve">           (7 - 1 ) umIluAwt WSwf                      </t>
  </si>
  <si>
    <t xml:space="preserve">        (10 - 8 g) umIluAwt IvwnWX                  </t>
  </si>
  <si>
    <t xml:space="preserve">    (12 - 11 )  umIluAwt IvwnWXItwm                  </t>
  </si>
  <si>
    <t xml:space="preserve">     (12 - 11 )  umIluAwt IvwnWXItwm                  </t>
  </si>
  <si>
    <t xml:space="preserve">The total number of students exclude children with special need </t>
  </si>
  <si>
    <t>ޖުމްލައިގެތެރޭގައި ޚާއްސަ އެހީއަށް ބޭނުންވާ ކްލާސްތަކުގައި ކިޔަވާ ކުދިން ނުހިމަނައި</t>
  </si>
  <si>
    <t xml:space="preserve">Higher Secondary </t>
  </si>
  <si>
    <t>Table 7.7 : STUDENTS AND TEACHERS SERVING AT DIFFERENT LEVELS IN MALE' AND ATOLLS, 2014</t>
  </si>
  <si>
    <t>2014 ,udwdwa egcnusircawdum EdWvwyik ,iaWncnidukWvwyik iawgukwtitcnwfikea egukwtuLotwa iaWaelWm :7.7 clwvWt</t>
  </si>
  <si>
    <t xml:space="preserve">   clUkcsIrcp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</si>
</sst>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b/>
      <sz val="9"/>
      <name val="A_Randhoo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_Utheem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Faruma"/>
    </font>
    <font>
      <sz val="9"/>
      <name val="A_Utheem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9">
    <xf numFmtId="0" fontId="0" fillId="0" borderId="0"/>
    <xf numFmtId="164" fontId="2" fillId="0" borderId="0"/>
    <xf numFmtId="164" fontId="2" fillId="0" borderId="0"/>
    <xf numFmtId="9" fontId="1" fillId="0" borderId="0" applyFont="0" applyFill="0" applyBorder="0" applyAlignment="0" applyProtection="0"/>
    <xf numFmtId="0" fontId="2" fillId="0" borderId="0"/>
    <xf numFmtId="166" fontId="2" fillId="0" borderId="0"/>
    <xf numFmtId="40" fontId="25" fillId="0" borderId="0" applyFont="0" applyFill="0" applyBorder="0" applyAlignment="0" applyProtection="0"/>
    <xf numFmtId="164" fontId="2" fillId="0" borderId="0"/>
    <xf numFmtId="165" fontId="2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167" fontId="2" fillId="0" borderId="0"/>
    <xf numFmtId="165" fontId="2" fillId="0" borderId="0"/>
    <xf numFmtId="170" fontId="29" fillId="0" borderId="0"/>
    <xf numFmtId="168" fontId="2" fillId="0" borderId="0"/>
    <xf numFmtId="0" fontId="25" fillId="0" borderId="0"/>
    <xf numFmtId="0" fontId="25" fillId="0" borderId="0"/>
    <xf numFmtId="168" fontId="2" fillId="0" borderId="0"/>
    <xf numFmtId="0" fontId="25" fillId="0" borderId="0"/>
    <xf numFmtId="0" fontId="25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25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83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Alignment="1" applyProtection="1">
      <alignment horizontal="left" vertical="center"/>
    </xf>
    <xf numFmtId="165" fontId="0" fillId="2" borderId="0" xfId="0" applyNumberFormat="1" applyFill="1"/>
    <xf numFmtId="165" fontId="17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 applyBorder="1"/>
    <xf numFmtId="165" fontId="15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left" vertical="center"/>
    </xf>
    <xf numFmtId="165" fontId="7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20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20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 wrapText="1"/>
    </xf>
    <xf numFmtId="164" fontId="4" fillId="2" borderId="0" xfId="0" applyNumberFormat="1" applyFont="1" applyFill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165" fontId="22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left" vertical="center" indent="12"/>
    </xf>
    <xf numFmtId="9" fontId="20" fillId="2" borderId="0" xfId="3" applyFont="1" applyFill="1" applyAlignment="1">
      <alignment horizontal="center" vertical="center"/>
    </xf>
    <xf numFmtId="164" fontId="8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 applyBorder="1" applyAlignment="1">
      <alignment horizontal="left" vertical="center"/>
    </xf>
    <xf numFmtId="164" fontId="9" fillId="2" borderId="0" xfId="0" applyNumberFormat="1" applyFont="1" applyFill="1" applyAlignment="1">
      <alignment horizontal="right" vertical="center"/>
    </xf>
    <xf numFmtId="165" fontId="16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Border="1" applyAlignment="1">
      <alignment horizontal="right" vertical="center"/>
    </xf>
    <xf numFmtId="3" fontId="18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/>
    <xf numFmtId="0" fontId="9" fillId="2" borderId="0" xfId="0" applyNumberFormat="1" applyFont="1" applyFill="1" applyBorder="1"/>
    <xf numFmtId="165" fontId="23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center"/>
    </xf>
    <xf numFmtId="165" fontId="24" fillId="2" borderId="0" xfId="0" applyNumberFormat="1" applyFont="1" applyFill="1" applyAlignment="1">
      <alignment horizontal="right" vertical="center"/>
    </xf>
    <xf numFmtId="165" fontId="14" fillId="2" borderId="0" xfId="0" applyNumberFormat="1" applyFont="1" applyFill="1" applyAlignment="1">
      <alignment horizontal="left" vertical="center"/>
    </xf>
    <xf numFmtId="165" fontId="13" fillId="2" borderId="0" xfId="0" applyNumberFormat="1" applyFont="1" applyFill="1" applyBorder="1" applyAlignment="1">
      <alignment horizontal="left" vertical="center"/>
    </xf>
    <xf numFmtId="164" fontId="21" fillId="2" borderId="0" xfId="0" applyNumberFormat="1" applyFont="1" applyFill="1" applyBorder="1" applyAlignment="1">
      <alignment horizontal="right" vertical="center"/>
    </xf>
    <xf numFmtId="165" fontId="28" fillId="2" borderId="0" xfId="8" applyFont="1" applyFill="1" applyBorder="1" applyAlignment="1" applyProtection="1">
      <alignment horizontal="center" vertical="center" wrapText="1"/>
    </xf>
    <xf numFmtId="165" fontId="28" fillId="2" borderId="0" xfId="8" applyFont="1" applyFill="1" applyBorder="1" applyAlignment="1" applyProtection="1">
      <alignment horizontal="right" vertical="center"/>
    </xf>
    <xf numFmtId="0" fontId="28" fillId="2" borderId="0" xfId="8" applyNumberFormat="1" applyFont="1" applyFill="1" applyBorder="1" applyAlignment="1" applyProtection="1">
      <alignment horizontal="right" vertical="center"/>
    </xf>
    <xf numFmtId="164" fontId="19" fillId="2" borderId="0" xfId="0" applyNumberFormat="1" applyFont="1" applyFill="1" applyBorder="1" applyAlignment="1">
      <alignment horizontal="right" vertical="center"/>
    </xf>
    <xf numFmtId="164" fontId="27" fillId="2" borderId="0" xfId="8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 wrapText="1"/>
    </xf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>
      <alignment horizontal="left" vertical="center"/>
    </xf>
    <xf numFmtId="0" fontId="6" fillId="2" borderId="2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27" fillId="2" borderId="0" xfId="8" applyFont="1" applyFill="1" applyBorder="1" applyAlignment="1">
      <alignment horizontal="right" vertical="center"/>
    </xf>
    <xf numFmtId="164" fontId="28" fillId="2" borderId="0" xfId="8" applyNumberFormat="1" applyFont="1" applyFill="1" applyBorder="1" applyAlignment="1">
      <alignment horizontal="right" vertical="center"/>
    </xf>
    <xf numFmtId="165" fontId="28" fillId="2" borderId="0" xfId="8" applyFont="1" applyFill="1" applyBorder="1" applyAlignment="1">
      <alignment horizontal="right" vertical="center"/>
    </xf>
    <xf numFmtId="165" fontId="28" fillId="2" borderId="0" xfId="8" applyFont="1" applyFill="1" applyBorder="1" applyAlignment="1" applyProtection="1">
      <alignment horizontal="right" vertical="center" wrapText="1"/>
    </xf>
    <xf numFmtId="165" fontId="4" fillId="2" borderId="0" xfId="0" applyNumberFormat="1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left"/>
    </xf>
    <xf numFmtId="165" fontId="10" fillId="2" borderId="0" xfId="0" applyNumberFormat="1" applyFont="1" applyFill="1" applyBorder="1" applyAlignment="1">
      <alignment horizontal="left" vertical="center"/>
    </xf>
    <xf numFmtId="165" fontId="10" fillId="2" borderId="0" xfId="0" applyNumberFormat="1" applyFont="1" applyFill="1" applyBorder="1" applyAlignment="1">
      <alignment horizontal="left"/>
    </xf>
    <xf numFmtId="165" fontId="8" fillId="2" borderId="0" xfId="0" applyNumberFormat="1" applyFont="1" applyFill="1" applyBorder="1" applyAlignment="1">
      <alignment horizontal="left"/>
    </xf>
    <xf numFmtId="165" fontId="8" fillId="2" borderId="1" xfId="0" applyNumberFormat="1" applyFont="1" applyFill="1" applyBorder="1" applyAlignment="1">
      <alignment horizontal="left"/>
    </xf>
    <xf numFmtId="165" fontId="10" fillId="2" borderId="1" xfId="0" applyNumberFormat="1" applyFont="1" applyFill="1" applyBorder="1" applyAlignment="1">
      <alignment horizontal="left"/>
    </xf>
    <xf numFmtId="165" fontId="5" fillId="2" borderId="0" xfId="0" applyNumberFormat="1" applyFont="1" applyFill="1" applyAlignment="1">
      <alignment horizontal="left"/>
    </xf>
    <xf numFmtId="165" fontId="3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</cellXfs>
  <cellStyles count="139">
    <cellStyle name="Comma 2" xfId="6"/>
    <cellStyle name="Comma 3" xfId="10"/>
    <cellStyle name="Comma 3 2" xfId="132"/>
    <cellStyle name="Normal" xfId="0" builtinId="0"/>
    <cellStyle name="Normal - Style1" xfId="119"/>
    <cellStyle name="Normal 10" xfId="20"/>
    <cellStyle name="Normal 10 2" xfId="34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4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20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18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21"/>
    <cellStyle name="Normal 2 4" xfId="99"/>
    <cellStyle name="Normal 2 4 2" xfId="122"/>
    <cellStyle name="Normal 2 5" xfId="100"/>
    <cellStyle name="Normal 2 5 2" xfId="133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5" xfId="15"/>
    <cellStyle name="Normal 3" xfId="9"/>
    <cellStyle name="Normal 3 2" xfId="110"/>
    <cellStyle name="Normal 3 2 2" xfId="124"/>
    <cellStyle name="Normal 3 3" xfId="111"/>
    <cellStyle name="Normal 3 3 2" xfId="125"/>
    <cellStyle name="Normal 3 4" xfId="123"/>
    <cellStyle name="Normal 4" xfId="16"/>
    <cellStyle name="Normal 4 2" xfId="112"/>
    <cellStyle name="Normal 4 3" xfId="126"/>
    <cellStyle name="Normal 5" xfId="23"/>
    <cellStyle name="Normal 5 2" xfId="113"/>
    <cellStyle name="Normal 5 3" xfId="127"/>
    <cellStyle name="Normal 6" xfId="2"/>
    <cellStyle name="Normal 6 2" xfId="128"/>
    <cellStyle name="Normal 6 3" xfId="134"/>
    <cellStyle name="Normal 6 4" xfId="138"/>
    <cellStyle name="Normal 7" xfId="1"/>
    <cellStyle name="Normal 7 2" xfId="114"/>
    <cellStyle name="Normal 7 2 2" xfId="129"/>
    <cellStyle name="Normal 7 3" xfId="17"/>
    <cellStyle name="Normal 7 3 2" xfId="135"/>
    <cellStyle name="Normal 7 4" xfId="137"/>
    <cellStyle name="Normal 8" xfId="5"/>
    <cellStyle name="Normal 8 2" xfId="7"/>
    <cellStyle name="Normal 8 2 2" xfId="115"/>
    <cellStyle name="Normal 8 2 3" xfId="130"/>
    <cellStyle name="Normal 8 3" xfId="18"/>
    <cellStyle name="Normal 8 3 2" xfId="136"/>
    <cellStyle name="Normal 8 4" xfId="117"/>
    <cellStyle name="Normal 9" xfId="19"/>
    <cellStyle name="Normal 9 2" xfId="116"/>
    <cellStyle name="Normal 9 3" xfId="131"/>
    <cellStyle name="Normal_education" xfId="8"/>
    <cellStyle name="Percent" xfId="3" builtinId="5"/>
    <cellStyle name="Percent 2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7.3: Number of Local and Expatriate Teachers, 2013 </a:t>
            </a:r>
          </a:p>
        </c:rich>
      </c:tx>
      <c:layout>
        <c:manualLayout>
          <c:xMode val="edge"/>
          <c:yMode val="edge"/>
          <c:x val="0.1907321113549332"/>
          <c:y val="4.2805691382047886E-2"/>
        </c:manualLayout>
      </c:layout>
      <c:overlay val="0"/>
    </c:title>
    <c:autoTitleDeleted val="0"/>
    <c:view3D>
      <c:rotX val="10"/>
      <c:hPercent val="35"/>
      <c:rotY val="10"/>
      <c:depthPercent val="100"/>
      <c:rAngAx val="1"/>
    </c:view3D>
    <c:floor>
      <c:thickness val="0"/>
    </c:floor>
    <c:sideWall>
      <c:thickness val="0"/>
      <c:spPr>
        <a:ln>
          <a:solidFill>
            <a:schemeClr val="bg1">
              <a:lumMod val="65000"/>
            </a:schemeClr>
          </a:solidFill>
        </a:ln>
      </c:spPr>
    </c:sideWall>
    <c:backWall>
      <c:thickness val="0"/>
      <c:spPr>
        <a:ln>
          <a:solidFill>
            <a:schemeClr val="bg1">
              <a:lumMod val="6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8.4188996114801365E-2"/>
          <c:y val="0.18930117228158869"/>
          <c:w val="0.89322471487655097"/>
          <c:h val="0.641977888607137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'[1]7.7'!$K$7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'[1]7.7'!$A$9:$A$12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'[1]7.7'!$K$9:$K$12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'[1]7.7'!$L$7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'[1]7.7'!$A$9:$A$12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'[1]7.7'!$L$9:$L$12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944320"/>
        <c:axId val="77945856"/>
        <c:axId val="0"/>
      </c:bar3DChart>
      <c:catAx>
        <c:axId val="7794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77945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945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794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559055118110262"/>
          <c:y val="0.22408444161130991"/>
          <c:w val="0.25415883688696217"/>
          <c:h val="5.761360076903978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55" r="0.7500000000000095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view3D>
      <c:rotX val="10"/>
      <c:hPercent val="35"/>
      <c:rotY val="10"/>
      <c:depthPercent val="100"/>
      <c:rAngAx val="1"/>
    </c:view3D>
    <c:floor>
      <c:thickness val="0"/>
    </c:floor>
    <c:sideWall>
      <c:thickness val="0"/>
      <c:spPr>
        <a:ln>
          <a:solidFill>
            <a:schemeClr val="bg1">
              <a:lumMod val="65000"/>
            </a:schemeClr>
          </a:solidFill>
        </a:ln>
      </c:spPr>
    </c:sideWall>
    <c:backWall>
      <c:thickness val="0"/>
      <c:spPr>
        <a:ln>
          <a:solidFill>
            <a:schemeClr val="bg1">
              <a:lumMod val="6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8.4188996114801365E-2"/>
          <c:y val="0.18930117228158869"/>
          <c:w val="0.89322471487655097"/>
          <c:h val="0.6617596493489349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'7.7.'!$AC$33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'7.7.'!$AB$34:$AB$37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'7.7.'!$AC$34:$AC$37</c:f>
              <c:numCache>
                <c:formatCode>#,##0;[Red]#,##0</c:formatCode>
                <c:ptCount val="4"/>
                <c:pt idx="0">
                  <c:v>1358</c:v>
                </c:pt>
                <c:pt idx="1">
                  <c:v>2899</c:v>
                </c:pt>
                <c:pt idx="2">
                  <c:v>1387</c:v>
                </c:pt>
                <c:pt idx="3">
                  <c:v>191</c:v>
                </c:pt>
              </c:numCache>
            </c:numRef>
          </c:val>
        </c:ser>
        <c:ser>
          <c:idx val="1"/>
          <c:order val="1"/>
          <c:tx>
            <c:strRef>
              <c:f>'7.7.'!$AD$33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'7.7.'!$AB$34:$AB$37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'7.7.'!$AD$34:$AD$37</c:f>
              <c:numCache>
                <c:formatCode>#,##0;[Red]#,##0</c:formatCode>
                <c:ptCount val="4"/>
                <c:pt idx="0">
                  <c:v>8</c:v>
                </c:pt>
                <c:pt idx="1">
                  <c:v>379</c:v>
                </c:pt>
                <c:pt idx="2">
                  <c:v>1845</c:v>
                </c:pt>
                <c:pt idx="3">
                  <c:v>321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178944"/>
        <c:axId val="80455936"/>
        <c:axId val="0"/>
      </c:bar3DChart>
      <c:catAx>
        <c:axId val="7817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8045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455936"/>
        <c:scaling>
          <c:orientation val="minMax"/>
        </c:scaling>
        <c:delete val="0"/>
        <c:axPos val="l"/>
        <c:numFmt formatCode="#,##0;[Red]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817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293022729700697"/>
          <c:y val="0.28387315204986485"/>
          <c:w val="0.25415883688696217"/>
          <c:h val="5.761360076903978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99" r="0.75000000000000999" t="1" header="0.5" footer="0.5"/>
    <c:pageSetup orientation="landscape" horizontalDpi="300" verticalDpi="3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7.5: Number of Trained and Untrained Teachers, 2014 </a:t>
            </a:r>
          </a:p>
        </c:rich>
      </c:tx>
      <c:layout>
        <c:manualLayout>
          <c:xMode val="edge"/>
          <c:yMode val="edge"/>
          <c:x val="0.19676796959146559"/>
          <c:y val="6.2921129736424941E-2"/>
        </c:manualLayout>
      </c:layout>
      <c:overlay val="0"/>
    </c:title>
    <c:autoTitleDeleted val="0"/>
    <c:view3D>
      <c:rotX val="10"/>
      <c:hPercent val="33"/>
      <c:rotY val="10"/>
      <c:depthPercent val="100"/>
      <c:rAngAx val="1"/>
    </c:view3D>
    <c:floor>
      <c:thickness val="0"/>
    </c:floor>
    <c:sideWall>
      <c:thickness val="0"/>
      <c:spPr>
        <a:ln w="6350">
          <a:solidFill>
            <a:schemeClr val="bg1">
              <a:lumMod val="65000"/>
            </a:schemeClr>
          </a:solidFill>
        </a:ln>
      </c:spPr>
    </c:sideWall>
    <c:backWall>
      <c:thickness val="0"/>
      <c:spPr>
        <a:ln w="6350">
          <a:solidFill>
            <a:schemeClr val="bg1">
              <a:lumMod val="6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10235883453283029"/>
          <c:y val="0.16438791594285268"/>
          <c:w val="0.88035517977829059"/>
          <c:h val="0.7060443515687632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'7.7.'!$AG$33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'7.7.'!$AF$34:$AF$37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'7.7.'!$AG$34:$AG$37</c:f>
              <c:numCache>
                <c:formatCode>#,##0;[Red]#,##0</c:formatCode>
                <c:ptCount val="4"/>
                <c:pt idx="0">
                  <c:v>1005</c:v>
                </c:pt>
                <c:pt idx="1">
                  <c:v>2833</c:v>
                </c:pt>
                <c:pt idx="2">
                  <c:v>2980</c:v>
                </c:pt>
                <c:pt idx="3">
                  <c:v>449</c:v>
                </c:pt>
              </c:numCache>
            </c:numRef>
          </c:val>
        </c:ser>
        <c:ser>
          <c:idx val="1"/>
          <c:order val="1"/>
          <c:tx>
            <c:strRef>
              <c:f>'7.7.'!$AH$33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'7.7.'!$AF$34:$AF$37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'7.7.'!$AH$34:$AH$37</c:f>
              <c:numCache>
                <c:formatCode>#,##0;[Red]#,##0</c:formatCode>
                <c:ptCount val="4"/>
                <c:pt idx="0">
                  <c:v>368</c:v>
                </c:pt>
                <c:pt idx="1">
                  <c:v>459</c:v>
                </c:pt>
                <c:pt idx="2">
                  <c:v>231</c:v>
                </c:pt>
                <c:pt idx="3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992192"/>
        <c:axId val="138425088"/>
        <c:axId val="0"/>
      </c:bar3DChart>
      <c:catAx>
        <c:axId val="12799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38425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425088"/>
        <c:scaling>
          <c:orientation val="minMax"/>
        </c:scaling>
        <c:delete val="0"/>
        <c:axPos val="l"/>
        <c:numFmt formatCode="#,##0;[Red]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799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609396101327363"/>
          <c:y val="0.20814778340467799"/>
          <c:w val="0.32609622245112929"/>
          <c:h val="7.1625344352617068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77" r="0.75000000000000977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259529</xdr:colOff>
      <xdr:row>25</xdr:row>
      <xdr:rowOff>163428</xdr:rowOff>
    </xdr:from>
    <xdr:to>
      <xdr:col>4</xdr:col>
      <xdr:colOff>621479</xdr:colOff>
      <xdr:row>40</xdr:row>
      <xdr:rowOff>45401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230953</xdr:colOff>
      <xdr:row>25</xdr:row>
      <xdr:rowOff>163428</xdr:rowOff>
    </xdr:from>
    <xdr:to>
      <xdr:col>6</xdr:col>
      <xdr:colOff>352424</xdr:colOff>
      <xdr:row>40</xdr:row>
      <xdr:rowOff>45401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504345</xdr:colOff>
      <xdr:row>25</xdr:row>
      <xdr:rowOff>161925</xdr:rowOff>
    </xdr:from>
    <xdr:to>
      <xdr:col>14</xdr:col>
      <xdr:colOff>1676400</xdr:colOff>
      <xdr:row>40</xdr:row>
      <xdr:rowOff>66674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891626</xdr:colOff>
      <xdr:row>27</xdr:row>
      <xdr:rowOff>98423</xdr:rowOff>
    </xdr:from>
    <xdr:to>
      <xdr:col>6</xdr:col>
      <xdr:colOff>114300</xdr:colOff>
      <xdr:row>27</xdr:row>
      <xdr:rowOff>104775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891626" y="5337173"/>
          <a:ext cx="4537624" cy="635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  <xdr:txBody>
        <a:bodyPr wrap="square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853526</xdr:colOff>
      <xdr:row>27</xdr:row>
      <xdr:rowOff>133349</xdr:rowOff>
    </xdr:from>
    <xdr:to>
      <xdr:col>14</xdr:col>
      <xdr:colOff>1095375</xdr:colOff>
      <xdr:row>27</xdr:row>
      <xdr:rowOff>136522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7035251" y="5372099"/>
          <a:ext cx="4432849" cy="3173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  <xdr:txBody>
        <a:bodyPr wrap="square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0.01303</cdr:x>
      <cdr:y>0.14385</cdr:y>
    </cdr:from>
    <cdr:to>
      <cdr:x>0.27935</cdr:x>
      <cdr:y>0.21376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577" y="369405"/>
          <a:ext cx="1237908" cy="1795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0.01303</cdr:x>
      <cdr:y>0.14385</cdr:y>
    </cdr:from>
    <cdr:to>
      <cdr:x>0.27935</cdr:x>
      <cdr:y>0.21376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577" y="369405"/>
          <a:ext cx="1237908" cy="1795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  <cdr:relSizeAnchor xmlns:cdr="http://schemas.openxmlformats.org/drawingml/2006/chartDrawing">
    <cdr:from>
      <cdr:x>0.12046</cdr:x>
      <cdr:y>0.0328</cdr:y>
    </cdr:from>
    <cdr:to>
      <cdr:x>0.97547</cdr:x>
      <cdr:y>0.12181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54873" y="84223"/>
          <a:ext cx="4648200" cy="228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7.4: Number of Local and Expatriate Teachers, 2014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0.00837</cdr:x>
      <cdr:y>0.10152</cdr:y>
    </cdr:from>
    <cdr:to>
      <cdr:x>0.1475</cdr:x>
      <cdr:y>0.17806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014" y="256144"/>
          <a:ext cx="665316" cy="193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/>
            <a:t>In 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37"/>
  <sheetViews>
    <sheetView tabSelected="1" zoomScaleNormal="100" workbookViewId="0">
      <selection activeCell="Q6" sqref="Q6"/>
    </sheetView>
  </sheetViews>
  <sheetFormatPr defaultRowHeight="12.75" x14ac:dyDescent="0.25"/>
  <cols>
    <col min="1" max="1" width="22.28515625" style="10" customWidth="1"/>
    <col min="2" max="2" width="17.140625" style="9" customWidth="1"/>
    <col min="3" max="3" width="11.5703125" style="9" customWidth="1"/>
    <col min="4" max="5" width="13.28515625" style="9" customWidth="1"/>
    <col min="6" max="6" width="2.140625" style="9" customWidth="1"/>
    <col min="7" max="7" width="13" style="9" customWidth="1"/>
    <col min="8" max="8" width="18.28515625" style="9" customWidth="1"/>
    <col min="9" max="9" width="1.7109375" style="9" customWidth="1"/>
    <col min="10" max="12" width="10.42578125" style="9" customWidth="1"/>
    <col min="13" max="13" width="2" style="9" customWidth="1"/>
    <col min="14" max="14" width="9.5703125" style="9" customWidth="1"/>
    <col min="15" max="15" width="29.140625" style="9" customWidth="1"/>
    <col min="16" max="16" width="3.5703125" style="9" customWidth="1"/>
    <col min="17" max="26" width="11.140625" style="9" customWidth="1"/>
    <col min="27" max="16384" width="9.140625" style="9"/>
  </cols>
  <sheetData>
    <row r="1" spans="1:31" ht="19.5" x14ac:dyDescent="0.25">
      <c r="A1" s="78" t="s">
        <v>47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AA1" s="48"/>
      <c r="AB1" s="49"/>
      <c r="AC1" s="67"/>
      <c r="AD1" s="67"/>
      <c r="AE1" s="47"/>
    </row>
    <row r="2" spans="1:31" ht="15" x14ac:dyDescent="0.25">
      <c r="A2" s="79" t="s">
        <v>46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AA2" s="68"/>
      <c r="AB2" s="67"/>
      <c r="AC2" s="67"/>
      <c r="AD2" s="67"/>
      <c r="AE2" s="67"/>
    </row>
    <row r="3" spans="1:3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AA3" s="66"/>
      <c r="AB3" s="66"/>
      <c r="AC3" s="66"/>
      <c r="AD3" s="66"/>
      <c r="AE3" s="66"/>
    </row>
    <row r="4" spans="1:31" ht="15.75" x14ac:dyDescent="0.35">
      <c r="C4" s="64" t="s">
        <v>24</v>
      </c>
      <c r="D4" s="80" t="s">
        <v>25</v>
      </c>
      <c r="E4" s="80"/>
      <c r="F4" s="11"/>
      <c r="G4" s="81" t="s">
        <v>19</v>
      </c>
      <c r="H4" s="81"/>
      <c r="I4" s="11"/>
      <c r="K4" s="11"/>
      <c r="L4" s="12"/>
      <c r="M4" s="12"/>
      <c r="N4" s="13" t="s">
        <v>26</v>
      </c>
      <c r="O4" s="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51"/>
      <c r="AB4" s="51"/>
      <c r="AC4" s="51"/>
      <c r="AD4" s="51"/>
      <c r="AE4" s="66"/>
    </row>
    <row r="5" spans="1:31" ht="15.75" x14ac:dyDescent="0.25">
      <c r="C5" s="15"/>
      <c r="D5" s="63" t="s">
        <v>27</v>
      </c>
      <c r="E5" s="63" t="s">
        <v>27</v>
      </c>
      <c r="F5" s="11"/>
      <c r="G5" s="82" t="s">
        <v>21</v>
      </c>
      <c r="H5" s="82"/>
      <c r="I5" s="16"/>
      <c r="J5" s="62" t="s">
        <v>20</v>
      </c>
      <c r="K5" s="61"/>
      <c r="L5" s="12" t="s">
        <v>28</v>
      </c>
      <c r="M5" s="17"/>
      <c r="N5" s="60" t="s">
        <v>12</v>
      </c>
      <c r="O5" s="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51"/>
      <c r="AB5" s="51"/>
      <c r="AC5" s="51"/>
      <c r="AD5" s="51"/>
      <c r="AE5" s="51"/>
    </row>
    <row r="6" spans="1:31" ht="15.75" x14ac:dyDescent="0.25">
      <c r="A6" s="45" t="s">
        <v>10</v>
      </c>
      <c r="B6" s="13" t="s">
        <v>29</v>
      </c>
      <c r="C6" s="13" t="s">
        <v>1</v>
      </c>
      <c r="D6" s="13" t="s">
        <v>30</v>
      </c>
      <c r="E6" s="13" t="s">
        <v>31</v>
      </c>
      <c r="F6" s="18"/>
      <c r="G6" s="19" t="s">
        <v>1</v>
      </c>
      <c r="H6" s="13" t="s">
        <v>22</v>
      </c>
      <c r="I6" s="11"/>
      <c r="J6" s="19" t="s">
        <v>1</v>
      </c>
      <c r="K6" s="59" t="s">
        <v>32</v>
      </c>
      <c r="L6" s="63" t="s">
        <v>26</v>
      </c>
      <c r="M6" s="1"/>
      <c r="N6" s="20" t="s">
        <v>33</v>
      </c>
      <c r="O6" s="13" t="s">
        <v>34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51"/>
      <c r="AB6" s="51"/>
      <c r="AC6" s="51"/>
      <c r="AD6" s="51"/>
      <c r="AE6" s="51"/>
    </row>
    <row r="7" spans="1:31" ht="15" x14ac:dyDescent="0.25">
      <c r="A7" s="58"/>
      <c r="B7" s="57" t="s">
        <v>11</v>
      </c>
      <c r="C7" s="57" t="s">
        <v>0</v>
      </c>
      <c r="D7" s="57" t="s">
        <v>23</v>
      </c>
      <c r="E7" s="57" t="s">
        <v>35</v>
      </c>
      <c r="F7" s="64"/>
      <c r="G7" s="56" t="s">
        <v>0</v>
      </c>
      <c r="H7" s="56" t="s">
        <v>23</v>
      </c>
      <c r="I7" s="56"/>
      <c r="J7" s="55" t="s">
        <v>0</v>
      </c>
      <c r="K7" s="57" t="s">
        <v>36</v>
      </c>
      <c r="L7" s="57" t="s">
        <v>37</v>
      </c>
      <c r="M7" s="57"/>
      <c r="N7" s="57" t="s">
        <v>38</v>
      </c>
      <c r="O7" s="5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51"/>
      <c r="AB7" s="51"/>
      <c r="AC7" s="51"/>
      <c r="AD7" s="51"/>
      <c r="AE7" s="51"/>
    </row>
    <row r="8" spans="1:31" s="26" customFormat="1" ht="15" x14ac:dyDescent="0.25">
      <c r="A8" s="69" t="s">
        <v>2</v>
      </c>
      <c r="B8" s="21">
        <f>SUM(B13+B18)</f>
        <v>86799</v>
      </c>
      <c r="C8" s="22">
        <f>C13+C18</f>
        <v>8388</v>
      </c>
      <c r="D8" s="22">
        <f t="shared" ref="D8:E8" si="0">D13+D18</f>
        <v>7267</v>
      </c>
      <c r="E8" s="22">
        <f t="shared" si="0"/>
        <v>1121</v>
      </c>
      <c r="F8" s="23"/>
      <c r="G8" s="21">
        <f t="shared" ref="G8:G14" si="1">B8/C8</f>
        <v>10.347997138769671</v>
      </c>
      <c r="H8" s="21">
        <f t="shared" ref="H8" si="2">B8/D8</f>
        <v>11.944268611531582</v>
      </c>
      <c r="I8" s="21"/>
      <c r="J8" s="22">
        <f>SUM(K8:L8)</f>
        <v>8388</v>
      </c>
      <c r="K8" s="22">
        <f>K13+K18</f>
        <v>5835</v>
      </c>
      <c r="L8" s="22">
        <f>L13+L18</f>
        <v>2553</v>
      </c>
      <c r="M8" s="21"/>
      <c r="N8" s="21">
        <f>L8/J8*100</f>
        <v>30.436337625178826</v>
      </c>
      <c r="O8" s="24" t="s">
        <v>3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51"/>
      <c r="AB8" s="51"/>
      <c r="AC8" s="51"/>
      <c r="AD8" s="51"/>
      <c r="AE8" s="51"/>
    </row>
    <row r="9" spans="1:31" ht="15" x14ac:dyDescent="0.25">
      <c r="A9" s="70" t="s">
        <v>13</v>
      </c>
      <c r="B9" s="27">
        <f>B14+B19</f>
        <v>22823</v>
      </c>
      <c r="C9" s="28">
        <f t="shared" ref="C9:E12" si="3">C14+C19</f>
        <v>1373</v>
      </c>
      <c r="D9" s="28">
        <f t="shared" si="3"/>
        <v>1005</v>
      </c>
      <c r="E9" s="28">
        <f t="shared" si="3"/>
        <v>368</v>
      </c>
      <c r="F9" s="27"/>
      <c r="G9" s="27">
        <f t="shared" si="1"/>
        <v>16.622723962126731</v>
      </c>
      <c r="H9" s="27">
        <f>B9/D9</f>
        <v>22.709452736318408</v>
      </c>
      <c r="I9" s="27"/>
      <c r="J9" s="28">
        <f t="shared" ref="J9:J18" si="4">SUM(K9:L9)</f>
        <v>1366</v>
      </c>
      <c r="K9" s="28">
        <f t="shared" ref="K9:L9" si="5">K14+K19</f>
        <v>1358</v>
      </c>
      <c r="L9" s="28">
        <f t="shared" si="5"/>
        <v>8</v>
      </c>
      <c r="M9" s="27"/>
      <c r="N9" s="27">
        <f t="shared" ref="N9:N21" si="6">L9/J9*100</f>
        <v>0.58565153733528552</v>
      </c>
      <c r="O9" s="29" t="s">
        <v>48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51"/>
      <c r="AB9" s="51"/>
      <c r="AC9" s="51"/>
      <c r="AD9" s="51"/>
      <c r="AE9" s="51"/>
    </row>
    <row r="10" spans="1:31" ht="15" x14ac:dyDescent="0.2">
      <c r="A10" s="71" t="s">
        <v>14</v>
      </c>
      <c r="B10" s="27">
        <f t="shared" ref="B10:B12" si="7">B15+B20</f>
        <v>40499</v>
      </c>
      <c r="C10" s="28">
        <f t="shared" si="3"/>
        <v>3292</v>
      </c>
      <c r="D10" s="28">
        <f t="shared" si="3"/>
        <v>2833</v>
      </c>
      <c r="E10" s="28">
        <f t="shared" si="3"/>
        <v>459</v>
      </c>
      <c r="F10" s="27"/>
      <c r="G10" s="27">
        <f t="shared" si="1"/>
        <v>12.30224787363305</v>
      </c>
      <c r="H10" s="27">
        <f>B10/D10</f>
        <v>14.295446523120367</v>
      </c>
      <c r="I10" s="27"/>
      <c r="J10" s="28">
        <f t="shared" si="4"/>
        <v>3278</v>
      </c>
      <c r="K10" s="28">
        <f t="shared" ref="K10:L10" si="8">K15+K20</f>
        <v>2899</v>
      </c>
      <c r="L10" s="28">
        <f t="shared" si="8"/>
        <v>379</v>
      </c>
      <c r="M10" s="27"/>
      <c r="N10" s="27">
        <f t="shared" si="6"/>
        <v>11.561928004881025</v>
      </c>
      <c r="O10" s="72" t="s">
        <v>39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66"/>
      <c r="AB10" s="66"/>
      <c r="AC10" s="66"/>
      <c r="AD10" s="66"/>
      <c r="AE10" s="66"/>
    </row>
    <row r="11" spans="1:31" ht="15" x14ac:dyDescent="0.2">
      <c r="A11" s="71" t="s">
        <v>15</v>
      </c>
      <c r="B11" s="27">
        <f t="shared" si="7"/>
        <v>18925</v>
      </c>
      <c r="C11" s="28">
        <f t="shared" si="3"/>
        <v>3211</v>
      </c>
      <c r="D11" s="28">
        <f t="shared" si="3"/>
        <v>2980</v>
      </c>
      <c r="E11" s="28">
        <f t="shared" si="3"/>
        <v>231</v>
      </c>
      <c r="F11" s="27"/>
      <c r="G11" s="27">
        <f t="shared" si="1"/>
        <v>5.8938025537215823</v>
      </c>
      <c r="H11" s="27">
        <f>B11/D11</f>
        <v>6.3506711409395971</v>
      </c>
      <c r="I11" s="27"/>
      <c r="J11" s="28">
        <f t="shared" si="4"/>
        <v>3232</v>
      </c>
      <c r="K11" s="28">
        <f t="shared" ref="K11:L11" si="9">K16+K21</f>
        <v>1387</v>
      </c>
      <c r="L11" s="28">
        <f t="shared" si="9"/>
        <v>1845</v>
      </c>
      <c r="M11" s="27"/>
      <c r="N11" s="27">
        <f t="shared" si="6"/>
        <v>57.085396039603964</v>
      </c>
      <c r="O11" s="72" t="s">
        <v>40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51"/>
      <c r="AB11" s="32"/>
      <c r="AC11" s="32"/>
      <c r="AD11" s="51"/>
      <c r="AE11" s="51"/>
    </row>
    <row r="12" spans="1:31" ht="15" x14ac:dyDescent="0.2">
      <c r="A12" s="71" t="s">
        <v>16</v>
      </c>
      <c r="B12" s="27">
        <f t="shared" si="7"/>
        <v>4552</v>
      </c>
      <c r="C12" s="28">
        <f t="shared" si="3"/>
        <v>512</v>
      </c>
      <c r="D12" s="28">
        <f t="shared" si="3"/>
        <v>449</v>
      </c>
      <c r="E12" s="28">
        <f t="shared" si="3"/>
        <v>63</v>
      </c>
      <c r="F12" s="27"/>
      <c r="G12" s="27">
        <f t="shared" si="1"/>
        <v>8.890625</v>
      </c>
      <c r="H12" s="27">
        <f>B12/D12</f>
        <v>10.138084632516703</v>
      </c>
      <c r="I12" s="27"/>
      <c r="J12" s="28">
        <f t="shared" si="4"/>
        <v>512</v>
      </c>
      <c r="K12" s="28">
        <f t="shared" ref="K12:L12" si="10">K17+K22</f>
        <v>191</v>
      </c>
      <c r="L12" s="28">
        <f t="shared" si="10"/>
        <v>321</v>
      </c>
      <c r="M12" s="27"/>
      <c r="N12" s="27">
        <f t="shared" si="6"/>
        <v>62.6953125</v>
      </c>
      <c r="O12" s="72" t="s">
        <v>41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51"/>
      <c r="AB12" s="32"/>
      <c r="AC12" s="32"/>
      <c r="AD12" s="51"/>
      <c r="AE12" s="51"/>
    </row>
    <row r="13" spans="1:31" s="26" customFormat="1" ht="15" x14ac:dyDescent="0.25">
      <c r="A13" s="69" t="s">
        <v>4</v>
      </c>
      <c r="B13" s="21">
        <f>SUM(B14:B17)</f>
        <v>28365</v>
      </c>
      <c r="C13" s="22">
        <f>SUM(D13+E13)</f>
        <v>2021</v>
      </c>
      <c r="D13" s="23">
        <f>SUM(D14:D17)</f>
        <v>1891</v>
      </c>
      <c r="E13" s="23">
        <f>SUM(E14:E17)</f>
        <v>130</v>
      </c>
      <c r="F13" s="21"/>
      <c r="G13" s="21">
        <f t="shared" si="1"/>
        <v>14.035131123206334</v>
      </c>
      <c r="H13" s="21">
        <f>B13/D13</f>
        <v>15</v>
      </c>
      <c r="I13" s="21"/>
      <c r="J13" s="22">
        <f t="shared" si="4"/>
        <v>2021</v>
      </c>
      <c r="K13" s="23">
        <f>SUM(K14:K17)</f>
        <v>1586</v>
      </c>
      <c r="L13" s="23">
        <f>SUM(L14:L17)</f>
        <v>435</v>
      </c>
      <c r="M13" s="21"/>
      <c r="N13" s="21">
        <f t="shared" si="6"/>
        <v>21.523998020781789</v>
      </c>
      <c r="O13" s="13" t="s">
        <v>5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51"/>
      <c r="AB13" s="16"/>
      <c r="AC13" s="16"/>
      <c r="AD13" s="51"/>
      <c r="AE13" s="51"/>
    </row>
    <row r="14" spans="1:31" ht="15" x14ac:dyDescent="0.25">
      <c r="A14" s="70" t="s">
        <v>13</v>
      </c>
      <c r="B14" s="28">
        <v>7427</v>
      </c>
      <c r="C14" s="28">
        <f>D14+E14</f>
        <v>444</v>
      </c>
      <c r="D14" s="28">
        <v>406</v>
      </c>
      <c r="E14" s="28">
        <v>38</v>
      </c>
      <c r="F14" s="27"/>
      <c r="G14" s="27">
        <f t="shared" si="1"/>
        <v>16.727477477477478</v>
      </c>
      <c r="H14" s="27">
        <f t="shared" ref="H14:H22" si="11">B14/D14</f>
        <v>18.293103448275861</v>
      </c>
      <c r="I14" s="27"/>
      <c r="J14" s="28">
        <f t="shared" si="4"/>
        <v>444</v>
      </c>
      <c r="K14" s="28">
        <v>438</v>
      </c>
      <c r="L14" s="28">
        <v>6</v>
      </c>
      <c r="M14" s="27"/>
      <c r="N14" s="27">
        <f>L14/J14*100</f>
        <v>1.3513513513513513</v>
      </c>
      <c r="O14" s="29" t="s">
        <v>48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51"/>
      <c r="AB14" s="32"/>
      <c r="AC14" s="32"/>
      <c r="AD14" s="51"/>
      <c r="AE14" s="51"/>
    </row>
    <row r="15" spans="1:31" ht="15" x14ac:dyDescent="0.35">
      <c r="A15" s="71" t="s">
        <v>14</v>
      </c>
      <c r="B15" s="28">
        <v>12494</v>
      </c>
      <c r="C15" s="28">
        <f t="shared" ref="C15:C17" si="12">D15+E15</f>
        <v>739</v>
      </c>
      <c r="D15" s="28">
        <v>720</v>
      </c>
      <c r="E15" s="28">
        <v>19</v>
      </c>
      <c r="F15" s="27"/>
      <c r="G15" s="27">
        <f t="shared" ref="G15:G22" si="13">B15/C15</f>
        <v>16.90663058186739</v>
      </c>
      <c r="H15" s="27">
        <f t="shared" si="11"/>
        <v>17.352777777777778</v>
      </c>
      <c r="I15" s="27"/>
      <c r="J15" s="28">
        <f t="shared" si="4"/>
        <v>739</v>
      </c>
      <c r="K15" s="28">
        <v>669</v>
      </c>
      <c r="L15" s="28">
        <v>70</v>
      </c>
      <c r="M15" s="27"/>
      <c r="N15" s="27">
        <f t="shared" si="6"/>
        <v>9.472259810554803</v>
      </c>
      <c r="O15" s="73" t="s">
        <v>39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51"/>
      <c r="AB15" s="51"/>
      <c r="AC15" s="51"/>
      <c r="AD15" s="65"/>
      <c r="AE15" s="51"/>
    </row>
    <row r="16" spans="1:31" ht="15" x14ac:dyDescent="0.35">
      <c r="A16" s="71" t="s">
        <v>15</v>
      </c>
      <c r="B16" s="28">
        <v>5728</v>
      </c>
      <c r="C16" s="28">
        <f t="shared" si="12"/>
        <v>669</v>
      </c>
      <c r="D16" s="28">
        <v>627</v>
      </c>
      <c r="E16" s="28">
        <v>42</v>
      </c>
      <c r="F16" s="27"/>
      <c r="G16" s="27">
        <f t="shared" si="13"/>
        <v>8.5620328849028393</v>
      </c>
      <c r="H16" s="27">
        <f t="shared" si="11"/>
        <v>9.1355661881977674</v>
      </c>
      <c r="I16" s="27"/>
      <c r="J16" s="28">
        <f t="shared" si="4"/>
        <v>669</v>
      </c>
      <c r="K16" s="28">
        <v>393</v>
      </c>
      <c r="L16" s="28">
        <v>276</v>
      </c>
      <c r="M16" s="27"/>
      <c r="N16" s="27">
        <f t="shared" si="6"/>
        <v>41.255605381165921</v>
      </c>
      <c r="O16" s="73" t="s">
        <v>40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51"/>
      <c r="AB16" s="51"/>
      <c r="AC16" s="51"/>
      <c r="AD16" s="65"/>
      <c r="AE16" s="51"/>
    </row>
    <row r="17" spans="1:34" s="32" customFormat="1" ht="15" customHeight="1" x14ac:dyDescent="0.35">
      <c r="A17" s="71" t="s">
        <v>16</v>
      </c>
      <c r="B17" s="28">
        <v>2716</v>
      </c>
      <c r="C17" s="28">
        <f t="shared" si="12"/>
        <v>169</v>
      </c>
      <c r="D17" s="28">
        <v>138</v>
      </c>
      <c r="E17" s="28">
        <v>31</v>
      </c>
      <c r="F17" s="31"/>
      <c r="G17" s="27">
        <f t="shared" si="13"/>
        <v>16.071005917159763</v>
      </c>
      <c r="H17" s="27">
        <f t="shared" si="11"/>
        <v>19.681159420289855</v>
      </c>
      <c r="I17" s="27"/>
      <c r="J17" s="28">
        <f t="shared" si="4"/>
        <v>169</v>
      </c>
      <c r="K17" s="28">
        <v>86</v>
      </c>
      <c r="L17" s="28">
        <v>83</v>
      </c>
      <c r="M17" s="31"/>
      <c r="N17" s="27">
        <f t="shared" si="6"/>
        <v>49.112426035502956</v>
      </c>
      <c r="O17" s="73" t="s">
        <v>41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66"/>
      <c r="AB17" s="66"/>
      <c r="AC17" s="66"/>
      <c r="AD17" s="66"/>
      <c r="AE17" s="66"/>
    </row>
    <row r="18" spans="1:34" s="26" customFormat="1" ht="14.25" customHeight="1" x14ac:dyDescent="0.25">
      <c r="A18" s="69" t="s">
        <v>6</v>
      </c>
      <c r="B18" s="46">
        <f>SUM(B19:B22)</f>
        <v>58434</v>
      </c>
      <c r="C18" s="22">
        <f t="shared" ref="C18:C22" si="14">SUM(D18+E18)</f>
        <v>6367</v>
      </c>
      <c r="D18" s="23">
        <f>SUM(D19:D22)</f>
        <v>5376</v>
      </c>
      <c r="E18" s="23">
        <f>SUM(E19:E22)</f>
        <v>991</v>
      </c>
      <c r="F18" s="21"/>
      <c r="G18" s="21">
        <f t="shared" si="13"/>
        <v>9.1776346788126268</v>
      </c>
      <c r="H18" s="21">
        <f t="shared" si="11"/>
        <v>10.869419642857142</v>
      </c>
      <c r="I18" s="21"/>
      <c r="J18" s="22">
        <f t="shared" si="4"/>
        <v>6367</v>
      </c>
      <c r="K18" s="23">
        <f>SUM(K19:K22)</f>
        <v>4249</v>
      </c>
      <c r="L18" s="23">
        <f>SUM(L19:L22)</f>
        <v>2118</v>
      </c>
      <c r="M18" s="21"/>
      <c r="N18" s="21">
        <f t="shared" si="6"/>
        <v>33.26527406942045</v>
      </c>
      <c r="O18" s="13" t="s">
        <v>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51"/>
      <c r="AB18" s="16"/>
      <c r="AC18" s="16"/>
      <c r="AD18" s="51"/>
      <c r="AE18" s="66"/>
    </row>
    <row r="19" spans="1:34" ht="13.5" customHeight="1" x14ac:dyDescent="0.25">
      <c r="A19" s="70" t="s">
        <v>13</v>
      </c>
      <c r="B19" s="50">
        <v>15396</v>
      </c>
      <c r="C19" s="28">
        <f t="shared" si="14"/>
        <v>929</v>
      </c>
      <c r="D19" s="28">
        <v>599</v>
      </c>
      <c r="E19" s="28">
        <v>330</v>
      </c>
      <c r="F19" s="27"/>
      <c r="G19" s="27">
        <f t="shared" si="13"/>
        <v>16.572658772874057</v>
      </c>
      <c r="H19" s="31">
        <f t="shared" si="11"/>
        <v>25.702838063439064</v>
      </c>
      <c r="I19" s="27"/>
      <c r="J19" s="28">
        <f>K19+L19</f>
        <v>922</v>
      </c>
      <c r="K19" s="28">
        <v>920</v>
      </c>
      <c r="L19" s="28">
        <v>2</v>
      </c>
      <c r="M19" s="27"/>
      <c r="N19" s="27">
        <f t="shared" si="6"/>
        <v>0.21691973969631237</v>
      </c>
      <c r="O19" s="29" t="s">
        <v>48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51"/>
      <c r="AB19" s="32"/>
      <c r="AC19" s="32"/>
      <c r="AD19" s="51"/>
      <c r="AE19" s="51"/>
    </row>
    <row r="20" spans="1:34" ht="15" x14ac:dyDescent="0.35">
      <c r="A20" s="74" t="s">
        <v>14</v>
      </c>
      <c r="B20" s="50">
        <v>28005</v>
      </c>
      <c r="C20" s="28">
        <f t="shared" si="14"/>
        <v>2553</v>
      </c>
      <c r="D20" s="28">
        <v>2113</v>
      </c>
      <c r="E20" s="28">
        <v>440</v>
      </c>
      <c r="F20" s="31"/>
      <c r="G20" s="27">
        <f t="shared" si="13"/>
        <v>10.969447708578143</v>
      </c>
      <c r="H20" s="31">
        <f t="shared" si="11"/>
        <v>13.253667770941789</v>
      </c>
      <c r="I20" s="31"/>
      <c r="J20" s="28">
        <f t="shared" ref="J20:J22" si="15">K20+L20</f>
        <v>2539</v>
      </c>
      <c r="K20" s="28">
        <v>2230</v>
      </c>
      <c r="L20" s="28">
        <v>309</v>
      </c>
      <c r="M20" s="31"/>
      <c r="N20" s="27">
        <f t="shared" si="6"/>
        <v>12.170145726664041</v>
      </c>
      <c r="O20" s="73" t="s">
        <v>39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51"/>
      <c r="AB20" s="32"/>
      <c r="AC20" s="32"/>
      <c r="AD20" s="51"/>
      <c r="AE20" s="51"/>
    </row>
    <row r="21" spans="1:34" ht="16.5" x14ac:dyDescent="0.35">
      <c r="A21" s="74" t="s">
        <v>15</v>
      </c>
      <c r="B21" s="50">
        <v>13197</v>
      </c>
      <c r="C21" s="28">
        <f t="shared" si="14"/>
        <v>2542</v>
      </c>
      <c r="D21" s="28">
        <v>2353</v>
      </c>
      <c r="E21" s="28">
        <v>189</v>
      </c>
      <c r="F21" s="31"/>
      <c r="G21" s="27">
        <f t="shared" si="13"/>
        <v>5.1915814319433515</v>
      </c>
      <c r="H21" s="31">
        <f t="shared" si="11"/>
        <v>5.6085847853803656</v>
      </c>
      <c r="I21" s="31"/>
      <c r="J21" s="28">
        <f t="shared" si="15"/>
        <v>2563</v>
      </c>
      <c r="K21" s="28">
        <v>994</v>
      </c>
      <c r="L21" s="28">
        <v>1569</v>
      </c>
      <c r="M21" s="31"/>
      <c r="N21" s="27">
        <f t="shared" si="6"/>
        <v>61.217323449083104</v>
      </c>
      <c r="O21" s="73" t="s">
        <v>40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51"/>
      <c r="AB21" s="32"/>
      <c r="AC21" s="32"/>
      <c r="AD21" s="51"/>
      <c r="AE21" s="51"/>
      <c r="AF21" s="16"/>
      <c r="AG21" s="16"/>
      <c r="AH21" s="3"/>
    </row>
    <row r="22" spans="1:34" s="32" customFormat="1" ht="16.5" x14ac:dyDescent="0.35">
      <c r="A22" s="75" t="s">
        <v>16</v>
      </c>
      <c r="B22" s="53">
        <v>1836</v>
      </c>
      <c r="C22" s="53">
        <f t="shared" si="14"/>
        <v>343</v>
      </c>
      <c r="D22" s="53">
        <v>311</v>
      </c>
      <c r="E22" s="53">
        <v>32</v>
      </c>
      <c r="F22" s="52"/>
      <c r="G22" s="52">
        <f t="shared" si="13"/>
        <v>5.3527696793002919</v>
      </c>
      <c r="H22" s="52">
        <f t="shared" si="11"/>
        <v>5.903536977491961</v>
      </c>
      <c r="I22" s="52"/>
      <c r="J22" s="53">
        <f t="shared" si="15"/>
        <v>343</v>
      </c>
      <c r="K22" s="53">
        <v>105</v>
      </c>
      <c r="L22" s="53">
        <v>238</v>
      </c>
      <c r="M22" s="52"/>
      <c r="N22" s="52">
        <f>L22/J22*100</f>
        <v>69.387755102040813</v>
      </c>
      <c r="O22" s="76" t="s">
        <v>42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51"/>
      <c r="AB22" s="51"/>
      <c r="AC22" s="51"/>
      <c r="AD22" s="65"/>
      <c r="AE22" s="51"/>
      <c r="AF22" s="35"/>
      <c r="AG22" s="35"/>
      <c r="AH22" s="5"/>
    </row>
    <row r="23" spans="1:34" ht="17.25" x14ac:dyDescent="0.25">
      <c r="A23" s="36" t="s">
        <v>43</v>
      </c>
      <c r="B23" s="37"/>
      <c r="C23" s="37"/>
      <c r="E23" s="38"/>
      <c r="G23" s="7"/>
      <c r="H23" s="37"/>
      <c r="I23" s="37"/>
      <c r="J23" s="37"/>
      <c r="K23" s="39"/>
      <c r="L23" s="40"/>
      <c r="M23" s="37"/>
      <c r="N23" s="37"/>
      <c r="O23" s="41" t="s">
        <v>44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32"/>
      <c r="AB23" s="32"/>
      <c r="AC23" s="32"/>
      <c r="AD23" s="32"/>
      <c r="AE23" s="32"/>
      <c r="AH23" s="3"/>
    </row>
    <row r="24" spans="1:34" ht="15" x14ac:dyDescent="0.25">
      <c r="A24" s="2" t="s">
        <v>8</v>
      </c>
      <c r="D24" s="42"/>
      <c r="E24" s="38"/>
      <c r="G24" s="8"/>
      <c r="O24" s="43" t="s">
        <v>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44"/>
      <c r="AB24" s="35"/>
      <c r="AC24" s="27"/>
      <c r="AD24" s="27"/>
      <c r="AE24" s="44"/>
      <c r="AF24" s="35"/>
      <c r="AG24" s="35"/>
      <c r="AH24" s="3"/>
    </row>
    <row r="25" spans="1:34" ht="15" x14ac:dyDescent="0.25">
      <c r="E25" s="38"/>
      <c r="G25" s="8"/>
      <c r="AC25" s="27"/>
      <c r="AD25" s="27"/>
      <c r="AH25" s="3"/>
    </row>
    <row r="26" spans="1:34" ht="15" x14ac:dyDescent="0.25">
      <c r="E26" s="38"/>
      <c r="G26" s="8"/>
      <c r="AC26" s="27"/>
      <c r="AD26" s="27"/>
      <c r="AH26" s="3"/>
    </row>
    <row r="27" spans="1:34" ht="15" x14ac:dyDescent="0.25">
      <c r="F27" s="42"/>
      <c r="G27" s="42"/>
      <c r="H27" s="42"/>
      <c r="I27" s="42"/>
      <c r="J27" s="42"/>
      <c r="K27" s="42"/>
      <c r="L27" s="42"/>
      <c r="M27" s="42"/>
      <c r="N27" s="42"/>
      <c r="AA27" s="3"/>
      <c r="AB27" s="3"/>
      <c r="AC27" s="27"/>
      <c r="AD27" s="27"/>
      <c r="AE27" s="3"/>
      <c r="AF27" s="3"/>
      <c r="AG27" s="3"/>
      <c r="AH27" s="3"/>
    </row>
    <row r="28" spans="1:34" ht="15" x14ac:dyDescent="0.25">
      <c r="AA28" s="3"/>
      <c r="AB28" s="3"/>
      <c r="AC28" s="27"/>
      <c r="AD28" s="27"/>
      <c r="AE28" s="3"/>
      <c r="AF28" s="3"/>
      <c r="AG28" s="3"/>
      <c r="AH28" s="3"/>
    </row>
    <row r="29" spans="1:34" ht="15" x14ac:dyDescent="0.25">
      <c r="D29" s="77"/>
      <c r="E29" s="77"/>
      <c r="F29" s="77"/>
      <c r="G29" s="77"/>
      <c r="H29" s="77"/>
      <c r="AA29" s="3"/>
      <c r="AB29" s="3"/>
      <c r="AC29" s="3"/>
      <c r="AD29" s="3"/>
      <c r="AE29" s="3"/>
      <c r="AF29" s="3"/>
      <c r="AG29" s="3"/>
      <c r="AH29" s="3"/>
    </row>
    <row r="30" spans="1:34" ht="15" x14ac:dyDescent="0.25">
      <c r="AA30" s="3"/>
      <c r="AB30" s="3"/>
      <c r="AC30" s="3"/>
      <c r="AD30" s="3"/>
      <c r="AE30" s="3"/>
      <c r="AF30" s="3"/>
      <c r="AG30" s="3"/>
      <c r="AH30" s="3"/>
    </row>
    <row r="31" spans="1:34" ht="15" x14ac:dyDescent="0.25">
      <c r="AA31" s="3"/>
      <c r="AB31" s="3"/>
      <c r="AC31" s="3"/>
      <c r="AD31" s="3"/>
      <c r="AE31" s="3"/>
      <c r="AF31" s="3"/>
      <c r="AG31" s="3"/>
      <c r="AH31" s="3"/>
    </row>
    <row r="33" spans="27:34" ht="15" x14ac:dyDescent="0.25">
      <c r="AB33" s="3"/>
      <c r="AC33" s="16" t="s">
        <v>36</v>
      </c>
      <c r="AD33" s="33" t="s">
        <v>37</v>
      </c>
      <c r="AE33" s="3"/>
      <c r="AF33" s="3"/>
      <c r="AG33" s="16" t="s">
        <v>23</v>
      </c>
      <c r="AH33" s="16" t="s">
        <v>35</v>
      </c>
    </row>
    <row r="34" spans="27:34" ht="15" x14ac:dyDescent="0.25">
      <c r="AA34" s="32"/>
      <c r="AB34" s="34" t="s">
        <v>13</v>
      </c>
      <c r="AC34" s="27">
        <f>K9</f>
        <v>1358</v>
      </c>
      <c r="AD34" s="27">
        <f>L9</f>
        <v>8</v>
      </c>
      <c r="AE34" s="5"/>
      <c r="AF34" s="34" t="s">
        <v>13</v>
      </c>
      <c r="AG34" s="27">
        <f t="shared" ref="AG34:AH37" si="16">D9</f>
        <v>1005</v>
      </c>
      <c r="AH34" s="27">
        <f t="shared" si="16"/>
        <v>368</v>
      </c>
    </row>
    <row r="35" spans="27:34" x14ac:dyDescent="0.25">
      <c r="AB35" s="9" t="s">
        <v>17</v>
      </c>
      <c r="AC35" s="27">
        <f t="shared" ref="AC35:AD37" si="17">K10</f>
        <v>2899</v>
      </c>
      <c r="AD35" s="27">
        <f t="shared" si="17"/>
        <v>379</v>
      </c>
      <c r="AF35" s="9" t="s">
        <v>17</v>
      </c>
      <c r="AG35" s="27">
        <f t="shared" si="16"/>
        <v>2833</v>
      </c>
      <c r="AH35" s="27">
        <f t="shared" si="16"/>
        <v>459</v>
      </c>
    </row>
    <row r="36" spans="27:34" x14ac:dyDescent="0.25">
      <c r="AB36" s="9" t="s">
        <v>18</v>
      </c>
      <c r="AC36" s="27">
        <f t="shared" si="17"/>
        <v>1387</v>
      </c>
      <c r="AD36" s="27">
        <f t="shared" si="17"/>
        <v>1845</v>
      </c>
      <c r="AF36" s="9" t="s">
        <v>18</v>
      </c>
      <c r="AG36" s="27">
        <f t="shared" si="16"/>
        <v>2980</v>
      </c>
      <c r="AH36" s="27">
        <f t="shared" si="16"/>
        <v>231</v>
      </c>
    </row>
    <row r="37" spans="27:34" ht="15" x14ac:dyDescent="0.25">
      <c r="AB37" s="44" t="s">
        <v>45</v>
      </c>
      <c r="AC37" s="27">
        <f t="shared" si="17"/>
        <v>191</v>
      </c>
      <c r="AD37" s="27">
        <f t="shared" si="17"/>
        <v>321</v>
      </c>
      <c r="AE37" s="3"/>
      <c r="AF37" s="44" t="s">
        <v>45</v>
      </c>
      <c r="AG37" s="27">
        <f t="shared" si="16"/>
        <v>449</v>
      </c>
      <c r="AH37" s="27">
        <f t="shared" si="16"/>
        <v>63</v>
      </c>
    </row>
  </sheetData>
  <mergeCells count="6">
    <mergeCell ref="D29:H29"/>
    <mergeCell ref="A1:O1"/>
    <mergeCell ref="A2:O2"/>
    <mergeCell ref="D4:E4"/>
    <mergeCell ref="G4:H4"/>
    <mergeCell ref="G5:H5"/>
  </mergeCells>
  <pageMargins left="0.7" right="0.7" top="0.75" bottom="0.75" header="0.3" footer="0.3"/>
  <pageSetup paperSize="9" scale="70" orientation="landscape" horizontalDpi="4294967295" verticalDpi="4294967295" r:id="rId1"/>
  <ignoredErrors>
    <ignoredError sqref="C13:F13 C18:F22 D14:F14 D15:F17 F8 F10:G12 F9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7.7.</vt:lpstr>
      <vt:lpstr>'7.7.'!Print_Area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2016-01-04T08:55:33Z</cp:lastPrinted>
  <dcterms:created xsi:type="dcterms:W3CDTF">2014-03-05T03:36:41Z</dcterms:created>
  <dcterms:modified xsi:type="dcterms:W3CDTF">2016-01-04T08:55:40Z</dcterms:modified>
</cp:coreProperties>
</file>