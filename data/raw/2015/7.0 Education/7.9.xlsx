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9" sheetId="11" r:id="rId1"/>
  </sheets>
  <definedNames>
    <definedName name="_xlnm.Print_Area" localSheetId="0">'7.9'!$A$1:$K$30</definedName>
  </definedNames>
  <calcPr calcId="144525"/>
</workbook>
</file>

<file path=xl/calcChain.xml><?xml version="1.0" encoding="utf-8"?>
<calcChain xmlns="http://schemas.openxmlformats.org/spreadsheetml/2006/main">
  <c r="C7" i="11" l="1"/>
  <c r="C9" i="11"/>
  <c r="J8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10" i="11"/>
  <c r="B9" i="11" l="1"/>
  <c r="B7" i="11" s="1"/>
  <c r="F9" i="11"/>
  <c r="F7" i="11" s="1"/>
  <c r="G9" i="11"/>
  <c r="G7" i="11" s="1"/>
  <c r="H9" i="11"/>
  <c r="H7" i="11" s="1"/>
  <c r="D9" i="11" l="1"/>
  <c r="J9" i="11" s="1"/>
  <c r="J29" i="11" l="1"/>
  <c r="J27" i="11"/>
  <c r="J25" i="11"/>
  <c r="J23" i="11"/>
  <c r="J21" i="11"/>
  <c r="J19" i="11"/>
  <c r="J17" i="11"/>
  <c r="J15" i="11"/>
  <c r="J13" i="11"/>
  <c r="J11" i="11"/>
  <c r="K8" i="11"/>
  <c r="D7" i="11" l="1"/>
  <c r="J7" i="11" s="1"/>
  <c r="J10" i="11"/>
  <c r="K10" i="11" s="1"/>
  <c r="J14" i="11"/>
  <c r="K14" i="11" s="1"/>
  <c r="J18" i="11"/>
  <c r="K18" i="11" s="1"/>
  <c r="J22" i="11"/>
  <c r="K22" i="11" s="1"/>
  <c r="J26" i="11"/>
  <c r="K26" i="11" s="1"/>
  <c r="K9" i="11"/>
  <c r="J12" i="11"/>
  <c r="K12" i="11" s="1"/>
  <c r="J16" i="11"/>
  <c r="K16" i="11" s="1"/>
  <c r="J20" i="11"/>
  <c r="K20" i="11" s="1"/>
  <c r="J24" i="11"/>
  <c r="K24" i="11" s="1"/>
  <c r="J28" i="11"/>
  <c r="K28" i="11" s="1"/>
  <c r="K11" i="11"/>
  <c r="K13" i="11"/>
  <c r="K15" i="11"/>
  <c r="K17" i="11"/>
  <c r="K19" i="11"/>
  <c r="K21" i="11"/>
  <c r="K23" i="11"/>
  <c r="K25" i="11"/>
  <c r="K27" i="11"/>
  <c r="K29" i="11"/>
  <c r="K7" i="11" l="1"/>
</calcChain>
</file>

<file path=xl/sharedStrings.xml><?xml version="1.0" encoding="utf-8"?>
<sst xmlns="http://schemas.openxmlformats.org/spreadsheetml/2006/main" count="43" uniqueCount="39">
  <si>
    <t>Male</t>
  </si>
  <si>
    <t>Female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</si>
  <si>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</si>
  <si>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</si>
  <si>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</si>
  <si>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</si>
  <si>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</si>
  <si>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</si>
  <si>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</si>
  <si>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</si>
  <si>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</si>
  <si>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</si>
  <si>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</si>
  <si>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</si>
  <si>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</si>
  <si>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</si>
  <si>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</si>
  <si>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</si>
  <si>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</si>
  <si>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</si>
  <si>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</si>
  <si>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</si>
  <si>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</si>
  <si>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Locality</t>
  </si>
  <si>
    <t>Teachers</t>
  </si>
  <si>
    <t xml:space="preserve"> Teachers</t>
  </si>
  <si>
    <t xml:space="preserve">Total </t>
  </si>
  <si>
    <t xml:space="preserve">Trained </t>
  </si>
  <si>
    <t xml:space="preserve">Untrained </t>
  </si>
  <si>
    <t>Total Male</t>
  </si>
  <si>
    <t>Total Female</t>
  </si>
  <si>
    <t>Female as a</t>
  </si>
  <si>
    <t xml:space="preserve"> % of total</t>
  </si>
  <si>
    <t>HA</t>
  </si>
  <si>
    <t>HDh</t>
  </si>
  <si>
    <t>Sh</t>
  </si>
  <si>
    <t>R</t>
  </si>
  <si>
    <t xml:space="preserve"> ތާވަލް 7.9: މާލެ އާއި އަތޮޅުތަކުގެ މަދަރުސާތަކުގައި ހަރަކާތްތެރިވާ މުދައްރިސުން، ޖިންސް ވަކިން، 2014</t>
  </si>
  <si>
    <t>Table 7.9: TEACHERS SERVING IN SCHOOLS OF MALE' AND ATOLLS BY LOCALITY AND SEX,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</si>
</sst>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9"/>
      <color theme="1"/>
      <name val="A_Randhoo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7">
    <xf numFmtId="0" fontId="0" fillId="0" borderId="0"/>
    <xf numFmtId="164" fontId="1" fillId="0" borderId="0"/>
    <xf numFmtId="164" fontId="1" fillId="0" borderId="0"/>
    <xf numFmtId="0" fontId="1" fillId="0" borderId="0"/>
    <xf numFmtId="166" fontId="1" fillId="0" borderId="0"/>
    <xf numFmtId="40" fontId="14" fillId="0" borderId="0" applyFont="0" applyFill="0" applyBorder="0" applyAlignment="0" applyProtection="0"/>
    <xf numFmtId="164" fontId="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167" fontId="1" fillId="0" borderId="0"/>
    <xf numFmtId="165" fontId="1" fillId="0" borderId="0"/>
    <xf numFmtId="170" fontId="16" fillId="0" borderId="0"/>
    <xf numFmtId="168" fontId="1" fillId="0" borderId="0"/>
    <xf numFmtId="0" fontId="14" fillId="0" borderId="0"/>
    <xf numFmtId="0" fontId="14" fillId="0" borderId="0"/>
    <xf numFmtId="168" fontId="1" fillId="0" borderId="0"/>
    <xf numFmtId="0" fontId="14" fillId="0" borderId="0"/>
    <xf numFmtId="0" fontId="14" fillId="0" borderId="0"/>
    <xf numFmtId="168" fontId="1" fillId="0" borderId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40" fontId="14" fillId="0" borderId="0" applyFont="0" applyFill="0" applyBorder="0" applyAlignment="0" applyProtection="0"/>
    <xf numFmtId="168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</cellStyleXfs>
  <cellXfs count="53">
    <xf numFmtId="0" fontId="0" fillId="0" borderId="0" xfId="0"/>
    <xf numFmtId="165" fontId="8" fillId="2" borderId="0" xfId="0" applyNumberFormat="1" applyFont="1" applyFill="1" applyAlignment="1" applyProtection="1">
      <alignment horizontal="left" vertical="center"/>
    </xf>
    <xf numFmtId="165" fontId="12" fillId="2" borderId="0" xfId="0" applyNumberFormat="1" applyFont="1" applyFill="1" applyAlignment="1">
      <alignment vertical="center"/>
    </xf>
    <xf numFmtId="165" fontId="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left" vertical="center"/>
    </xf>
    <xf numFmtId="165" fontId="9" fillId="2" borderId="8" xfId="0" applyNumberFormat="1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right" vertical="center"/>
    </xf>
    <xf numFmtId="165" fontId="11" fillId="2" borderId="7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 applyProtection="1">
      <alignment horizontal="left"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 applyAlignment="1" applyProtection="1">
      <alignment horizontal="left" vertical="center"/>
    </xf>
    <xf numFmtId="165" fontId="0" fillId="2" borderId="6" xfId="0" applyNumberFormat="1" applyFont="1" applyFill="1" applyBorder="1" applyAlignment="1">
      <alignment horizontal="center" vertical="center"/>
    </xf>
    <xf numFmtId="165" fontId="0" fillId="2" borderId="7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Border="1" applyAlignment="1" applyProtection="1">
      <alignment horizontal="left" vertical="center"/>
    </xf>
    <xf numFmtId="165" fontId="0" fillId="2" borderId="5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5" fontId="0" fillId="2" borderId="0" xfId="0" applyNumberFormat="1" applyFont="1" applyFill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/>
    </xf>
    <xf numFmtId="165" fontId="0" fillId="2" borderId="0" xfId="0" applyNumberFormat="1" applyFont="1" applyFill="1" applyAlignment="1">
      <alignment horizontal="left" vertical="center"/>
    </xf>
    <xf numFmtId="3" fontId="0" fillId="2" borderId="0" xfId="0" applyNumberFormat="1" applyFont="1" applyFill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3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 applyProtection="1">
      <alignment horizontal="left" vertical="center"/>
    </xf>
    <xf numFmtId="3" fontId="0" fillId="2" borderId="9" xfId="0" applyNumberFormat="1" applyFon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horizontal="right" vertical="center"/>
    </xf>
    <xf numFmtId="3" fontId="5" fillId="2" borderId="2" xfId="0" applyNumberFormat="1" applyFont="1" applyFill="1" applyBorder="1"/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Border="1"/>
    <xf numFmtId="3" fontId="4" fillId="2" borderId="0" xfId="0" applyNumberFormat="1" applyFont="1" applyFill="1" applyBorder="1"/>
    <xf numFmtId="3" fontId="4" fillId="2" borderId="0" xfId="0" applyNumberFormat="1" applyFont="1" applyFill="1" applyAlignment="1">
      <alignment horizontal="right" vertical="center"/>
    </xf>
    <xf numFmtId="3" fontId="4" fillId="2" borderId="9" xfId="0" applyNumberFormat="1" applyFont="1" applyFill="1" applyBorder="1"/>
    <xf numFmtId="3" fontId="5" fillId="2" borderId="0" xfId="0" applyNumberFormat="1" applyFont="1" applyFill="1" applyAlignment="1">
      <alignment horizontal="right" vertical="center"/>
    </xf>
    <xf numFmtId="3" fontId="0" fillId="2" borderId="4" xfId="0" applyNumberFormat="1" applyFont="1" applyFill="1" applyBorder="1" applyAlignment="1">
      <alignment horizontal="right" vertical="center"/>
    </xf>
    <xf numFmtId="165" fontId="0" fillId="2" borderId="9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center"/>
    </xf>
    <xf numFmtId="165" fontId="5" fillId="2" borderId="0" xfId="0" applyNumberFormat="1" applyFont="1" applyFill="1" applyBorder="1" applyAlignment="1">
      <alignment horizontal="center" vertical="top"/>
    </xf>
    <xf numFmtId="165" fontId="11" fillId="2" borderId="3" xfId="0" applyNumberFormat="1" applyFont="1" applyFill="1" applyBorder="1" applyAlignment="1">
      <alignment horizontal="center" vertic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4"/>
  <sheetViews>
    <sheetView tabSelected="1" zoomScaleNormal="100" workbookViewId="0">
      <selection activeCell="F33" sqref="F33"/>
    </sheetView>
  </sheetViews>
  <sheetFormatPr defaultColWidth="9.140625" defaultRowHeight="15" x14ac:dyDescent="0.25"/>
  <cols>
    <col min="1" max="1" width="7.42578125" style="28" customWidth="1"/>
    <col min="2" max="4" width="12.140625" style="3" customWidth="1"/>
    <col min="5" max="5" width="1.5703125" style="3" customWidth="1"/>
    <col min="6" max="6" width="12.140625" style="26" customWidth="1"/>
    <col min="7" max="8" width="12.5703125" style="26" customWidth="1"/>
    <col min="9" max="9" width="1.85546875" style="26" customWidth="1"/>
    <col min="10" max="10" width="12.140625" style="26" customWidth="1"/>
    <col min="11" max="11" width="15" style="26" customWidth="1"/>
    <col min="12" max="14" width="9.140625" style="3"/>
    <col min="15" max="15" width="15.42578125" style="3" customWidth="1"/>
    <col min="16" max="16384" width="9.140625" style="3"/>
  </cols>
  <sheetData>
    <row r="1" spans="1:13" ht="21.75" x14ac:dyDescent="0.55000000000000004">
      <c r="A1" s="50" t="s">
        <v>37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2"/>
      <c r="M1" s="2"/>
    </row>
    <row r="2" spans="1:13" ht="18" customHeight="1" x14ac:dyDescent="0.25">
      <c r="A2" s="51" t="s">
        <v>38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3" s="6" customFormat="1" ht="10.5" hidden="1" customHeight="1" x14ac:dyDescent="0.25">
      <c r="A3" s="4"/>
      <c r="B3" s="5"/>
      <c r="C3" s="5"/>
      <c r="D3" s="5"/>
      <c r="E3" s="4"/>
      <c r="F3" s="5"/>
      <c r="G3" s="5"/>
      <c r="H3" s="5"/>
      <c r="I3" s="5"/>
      <c r="J3" s="5"/>
      <c r="K3" s="5"/>
    </row>
    <row r="4" spans="1:13" ht="21" customHeight="1" x14ac:dyDescent="0.25">
      <c r="A4" s="7"/>
      <c r="B4" s="52" t="s">
        <v>0</v>
      </c>
      <c r="C4" s="52"/>
      <c r="D4" s="52"/>
      <c r="E4" s="8"/>
      <c r="F4" s="52" t="s">
        <v>1</v>
      </c>
      <c r="G4" s="52"/>
      <c r="H4" s="52"/>
      <c r="I4" s="9"/>
      <c r="J4" s="52" t="s">
        <v>26</v>
      </c>
      <c r="K4" s="52"/>
    </row>
    <row r="5" spans="1:13" x14ac:dyDescent="0.25">
      <c r="A5" s="10"/>
      <c r="B5" s="11" t="s">
        <v>27</v>
      </c>
      <c r="C5" s="11" t="s">
        <v>28</v>
      </c>
      <c r="D5" s="11" t="s">
        <v>29</v>
      </c>
      <c r="E5" s="12"/>
      <c r="F5" s="11" t="s">
        <v>27</v>
      </c>
      <c r="G5" s="11" t="s">
        <v>28</v>
      </c>
      <c r="H5" s="11" t="s">
        <v>30</v>
      </c>
      <c r="I5" s="12"/>
      <c r="J5" s="11" t="s">
        <v>26</v>
      </c>
      <c r="K5" s="11" t="s">
        <v>31</v>
      </c>
    </row>
    <row r="6" spans="1:13" x14ac:dyDescent="0.25">
      <c r="A6" s="13" t="s">
        <v>23</v>
      </c>
      <c r="B6" s="14"/>
      <c r="C6" s="14"/>
      <c r="D6" s="14" t="s">
        <v>24</v>
      </c>
      <c r="E6" s="15"/>
      <c r="F6" s="14"/>
      <c r="G6" s="14"/>
      <c r="H6" s="5" t="s">
        <v>25</v>
      </c>
      <c r="I6" s="16"/>
      <c r="J6" s="14" t="s">
        <v>24</v>
      </c>
      <c r="K6" s="14" t="s">
        <v>32</v>
      </c>
    </row>
    <row r="7" spans="1:13" x14ac:dyDescent="0.25">
      <c r="A7" s="17" t="s">
        <v>2</v>
      </c>
      <c r="B7" s="30">
        <f>SUM(B8:B9)</f>
        <v>2695</v>
      </c>
      <c r="C7" s="30">
        <f>SUM(C8:C9)</f>
        <v>296</v>
      </c>
      <c r="D7" s="30">
        <f>SUM(B7:C7)</f>
        <v>2991</v>
      </c>
      <c r="E7" s="31"/>
      <c r="F7" s="32">
        <f>SUM(F8:F9)</f>
        <v>6080</v>
      </c>
      <c r="G7" s="30">
        <f>SUM(G8:G9)</f>
        <v>825</v>
      </c>
      <c r="H7" s="30">
        <f>SUM(H8:H9)</f>
        <v>5397</v>
      </c>
      <c r="I7" s="18"/>
      <c r="J7" s="41">
        <f>SUM(D7,H7)</f>
        <v>8388</v>
      </c>
      <c r="K7" s="42">
        <f>H7/J7*100</f>
        <v>64.341917024320466</v>
      </c>
    </row>
    <row r="8" spans="1:13" x14ac:dyDescent="0.25">
      <c r="A8" s="17" t="s">
        <v>3</v>
      </c>
      <c r="B8" s="33">
        <v>449</v>
      </c>
      <c r="C8" s="33">
        <v>59</v>
      </c>
      <c r="D8" s="33">
        <v>508</v>
      </c>
      <c r="E8" s="34"/>
      <c r="F8" s="47">
        <v>1442</v>
      </c>
      <c r="G8" s="47">
        <v>71</v>
      </c>
      <c r="H8" s="33">
        <v>1513</v>
      </c>
      <c r="I8" s="19"/>
      <c r="J8" s="43">
        <f>SUM(D8,H8)</f>
        <v>2021</v>
      </c>
      <c r="K8" s="42">
        <f>H8/J8*100</f>
        <v>74.863928748144488</v>
      </c>
    </row>
    <row r="9" spans="1:13" x14ac:dyDescent="0.25">
      <c r="A9" s="17" t="s">
        <v>4</v>
      </c>
      <c r="B9" s="33">
        <f>SUM(B10:B29)</f>
        <v>2246</v>
      </c>
      <c r="C9" s="33">
        <f>SUM(C10:C29)</f>
        <v>237</v>
      </c>
      <c r="D9" s="33">
        <f t="shared" ref="D9" si="0">SUM(B9:C9)</f>
        <v>2483</v>
      </c>
      <c r="E9" s="34"/>
      <c r="F9" s="33">
        <f>SUM(F10:F29)</f>
        <v>4638</v>
      </c>
      <c r="G9" s="33">
        <f t="shared" ref="G9" si="1">SUM(G10:G29)</f>
        <v>754</v>
      </c>
      <c r="H9" s="33">
        <f>SUM(H10:H29)</f>
        <v>3884</v>
      </c>
      <c r="I9" s="19"/>
      <c r="J9" s="43">
        <f>SUM(D9,H9)</f>
        <v>6367</v>
      </c>
      <c r="K9" s="42">
        <f>H9/J9*100</f>
        <v>61.002041777917384</v>
      </c>
    </row>
    <row r="10" spans="1:13" ht="15" customHeight="1" x14ac:dyDescent="0.25">
      <c r="A10" s="1" t="s">
        <v>33</v>
      </c>
      <c r="B10" s="26">
        <v>151</v>
      </c>
      <c r="C10" s="26">
        <v>17</v>
      </c>
      <c r="D10" s="35">
        <v>168</v>
      </c>
      <c r="E10" s="36"/>
      <c r="F10" s="29">
        <f>SUM(G10:H10)</f>
        <v>325</v>
      </c>
      <c r="G10" s="29">
        <v>46</v>
      </c>
      <c r="H10" s="35">
        <v>279</v>
      </c>
      <c r="I10" s="19"/>
      <c r="J10" s="44">
        <f t="shared" ref="J10:J29" si="2">SUM(D10,H10)</f>
        <v>447</v>
      </c>
      <c r="K10" s="45">
        <f t="shared" ref="K10:K29" si="3">H10/J10*100</f>
        <v>62.416107382550337</v>
      </c>
    </row>
    <row r="11" spans="1:13" x14ac:dyDescent="0.25">
      <c r="A11" s="1" t="s">
        <v>34</v>
      </c>
      <c r="B11" s="26">
        <v>193</v>
      </c>
      <c r="C11" s="26">
        <v>15</v>
      </c>
      <c r="D11" s="35">
        <v>208</v>
      </c>
      <c r="E11" s="36"/>
      <c r="F11" s="29">
        <f t="shared" ref="F11:F29" si="4">SUM(G11:H11)</f>
        <v>367</v>
      </c>
      <c r="G11" s="29">
        <v>55</v>
      </c>
      <c r="H11" s="35">
        <v>312</v>
      </c>
      <c r="I11" s="19"/>
      <c r="J11" s="44">
        <f t="shared" si="2"/>
        <v>520</v>
      </c>
      <c r="K11" s="45">
        <f t="shared" si="3"/>
        <v>60</v>
      </c>
    </row>
    <row r="12" spans="1:13" x14ac:dyDescent="0.25">
      <c r="A12" s="1" t="s">
        <v>35</v>
      </c>
      <c r="B12" s="26">
        <v>178</v>
      </c>
      <c r="C12" s="26">
        <v>17</v>
      </c>
      <c r="D12" s="35">
        <v>195</v>
      </c>
      <c r="E12" s="36"/>
      <c r="F12" s="29">
        <f t="shared" si="4"/>
        <v>301</v>
      </c>
      <c r="G12" s="29">
        <v>57</v>
      </c>
      <c r="H12" s="35">
        <v>244</v>
      </c>
      <c r="I12" s="19"/>
      <c r="J12" s="44">
        <f t="shared" si="2"/>
        <v>439</v>
      </c>
      <c r="K12" s="45">
        <f t="shared" si="3"/>
        <v>55.580865603644646</v>
      </c>
    </row>
    <row r="13" spans="1:13" x14ac:dyDescent="0.25">
      <c r="A13" s="1" t="s">
        <v>20</v>
      </c>
      <c r="B13" s="26">
        <v>131</v>
      </c>
      <c r="C13" s="26">
        <v>18</v>
      </c>
      <c r="D13" s="35">
        <v>149</v>
      </c>
      <c r="E13" s="36"/>
      <c r="F13" s="29">
        <f t="shared" si="4"/>
        <v>276</v>
      </c>
      <c r="G13" s="29">
        <v>50</v>
      </c>
      <c r="H13" s="35">
        <v>226</v>
      </c>
      <c r="I13" s="19"/>
      <c r="J13" s="44">
        <f t="shared" si="2"/>
        <v>375</v>
      </c>
      <c r="K13" s="45">
        <f t="shared" si="3"/>
        <v>60.266666666666666</v>
      </c>
    </row>
    <row r="14" spans="1:13" x14ac:dyDescent="0.25">
      <c r="A14" s="1" t="s">
        <v>36</v>
      </c>
      <c r="B14" s="26">
        <v>217</v>
      </c>
      <c r="C14" s="26">
        <v>20</v>
      </c>
      <c r="D14" s="35">
        <v>237</v>
      </c>
      <c r="E14" s="36"/>
      <c r="F14" s="29">
        <f t="shared" si="4"/>
        <v>397</v>
      </c>
      <c r="G14" s="29">
        <v>77</v>
      </c>
      <c r="H14" s="35">
        <v>320</v>
      </c>
      <c r="I14" s="19"/>
      <c r="J14" s="44">
        <f t="shared" si="2"/>
        <v>557</v>
      </c>
      <c r="K14" s="45">
        <f t="shared" si="3"/>
        <v>57.450628366247756</v>
      </c>
    </row>
    <row r="15" spans="1:13" x14ac:dyDescent="0.25">
      <c r="A15" s="1" t="s">
        <v>6</v>
      </c>
      <c r="B15" s="26">
        <v>124</v>
      </c>
      <c r="C15" s="26">
        <v>11</v>
      </c>
      <c r="D15" s="35">
        <v>135</v>
      </c>
      <c r="E15" s="36"/>
      <c r="F15" s="29">
        <f t="shared" si="4"/>
        <v>240</v>
      </c>
      <c r="G15" s="29">
        <v>42</v>
      </c>
      <c r="H15" s="35">
        <v>198</v>
      </c>
      <c r="I15" s="19"/>
      <c r="J15" s="44">
        <f t="shared" si="2"/>
        <v>333</v>
      </c>
      <c r="K15" s="45">
        <f t="shared" si="3"/>
        <v>59.45945945945946</v>
      </c>
    </row>
    <row r="16" spans="1:13" x14ac:dyDescent="0.25">
      <c r="A16" s="1" t="s">
        <v>7</v>
      </c>
      <c r="B16" s="26">
        <v>75</v>
      </c>
      <c r="C16" s="26">
        <v>21</v>
      </c>
      <c r="D16" s="35">
        <v>96</v>
      </c>
      <c r="E16" s="36"/>
      <c r="F16" s="29">
        <f t="shared" si="4"/>
        <v>183</v>
      </c>
      <c r="G16" s="29">
        <v>43</v>
      </c>
      <c r="H16" s="35">
        <v>140</v>
      </c>
      <c r="I16" s="19"/>
      <c r="J16" s="44">
        <f t="shared" si="2"/>
        <v>236</v>
      </c>
      <c r="K16" s="45">
        <f t="shared" si="3"/>
        <v>59.322033898305079</v>
      </c>
    </row>
    <row r="17" spans="1:11" x14ac:dyDescent="0.25">
      <c r="A17" s="1" t="s">
        <v>9</v>
      </c>
      <c r="B17" s="26">
        <v>101</v>
      </c>
      <c r="C17" s="26">
        <v>10</v>
      </c>
      <c r="D17" s="35">
        <v>111</v>
      </c>
      <c r="E17" s="36"/>
      <c r="F17" s="29">
        <f t="shared" si="4"/>
        <v>214</v>
      </c>
      <c r="G17" s="29">
        <v>36</v>
      </c>
      <c r="H17" s="35">
        <v>178</v>
      </c>
      <c r="I17" s="19"/>
      <c r="J17" s="44">
        <f t="shared" si="2"/>
        <v>289</v>
      </c>
      <c r="K17" s="45">
        <f t="shared" si="3"/>
        <v>61.591695501730101</v>
      </c>
    </row>
    <row r="18" spans="1:11" x14ac:dyDescent="0.25">
      <c r="A18" s="1" t="s">
        <v>10</v>
      </c>
      <c r="B18" s="26">
        <v>95</v>
      </c>
      <c r="C18" s="26">
        <v>4</v>
      </c>
      <c r="D18" s="35">
        <v>99</v>
      </c>
      <c r="E18" s="36"/>
      <c r="F18" s="29">
        <f t="shared" si="4"/>
        <v>151</v>
      </c>
      <c r="G18" s="29">
        <v>29</v>
      </c>
      <c r="H18" s="35">
        <v>122</v>
      </c>
      <c r="I18" s="19"/>
      <c r="J18" s="44">
        <f t="shared" si="2"/>
        <v>221</v>
      </c>
      <c r="K18" s="45">
        <f t="shared" si="3"/>
        <v>55.203619909502265</v>
      </c>
    </row>
    <row r="19" spans="1:11" x14ac:dyDescent="0.25">
      <c r="A19" s="1" t="s">
        <v>11</v>
      </c>
      <c r="B19" s="26">
        <v>73</v>
      </c>
      <c r="C19" s="26">
        <v>5</v>
      </c>
      <c r="D19" s="35">
        <v>78</v>
      </c>
      <c r="E19" s="36"/>
      <c r="F19" s="29">
        <f t="shared" si="4"/>
        <v>222</v>
      </c>
      <c r="G19" s="29">
        <v>39</v>
      </c>
      <c r="H19" s="35">
        <v>183</v>
      </c>
      <c r="I19" s="19"/>
      <c r="J19" s="44">
        <f t="shared" si="2"/>
        <v>261</v>
      </c>
      <c r="K19" s="45">
        <f t="shared" si="3"/>
        <v>70.114942528735639</v>
      </c>
    </row>
    <row r="20" spans="1:11" x14ac:dyDescent="0.25">
      <c r="A20" s="1" t="s">
        <v>12</v>
      </c>
      <c r="B20" s="26">
        <v>16</v>
      </c>
      <c r="C20" s="26">
        <v>6</v>
      </c>
      <c r="D20" s="35">
        <v>22</v>
      </c>
      <c r="E20" s="36"/>
      <c r="F20" s="29">
        <f t="shared" si="4"/>
        <v>62</v>
      </c>
      <c r="G20" s="29">
        <v>18</v>
      </c>
      <c r="H20" s="35">
        <v>44</v>
      </c>
      <c r="I20" s="19"/>
      <c r="J20" s="44">
        <f t="shared" si="2"/>
        <v>66</v>
      </c>
      <c r="K20" s="45">
        <f t="shared" si="3"/>
        <v>66.666666666666657</v>
      </c>
    </row>
    <row r="21" spans="1:11" x14ac:dyDescent="0.25">
      <c r="A21" s="1" t="s">
        <v>13</v>
      </c>
      <c r="B21" s="26">
        <v>50</v>
      </c>
      <c r="C21" s="26">
        <v>8</v>
      </c>
      <c r="D21" s="35">
        <v>58</v>
      </c>
      <c r="E21" s="36"/>
      <c r="F21" s="29">
        <f t="shared" si="4"/>
        <v>131</v>
      </c>
      <c r="G21" s="29">
        <v>16</v>
      </c>
      <c r="H21" s="35">
        <v>115</v>
      </c>
      <c r="I21" s="19"/>
      <c r="J21" s="44">
        <f t="shared" si="2"/>
        <v>173</v>
      </c>
      <c r="K21" s="45">
        <f t="shared" si="3"/>
        <v>66.473988439306353</v>
      </c>
    </row>
    <row r="22" spans="1:11" x14ac:dyDescent="0.25">
      <c r="A22" s="1" t="s">
        <v>14</v>
      </c>
      <c r="B22" s="26">
        <v>64</v>
      </c>
      <c r="C22" s="26">
        <v>3</v>
      </c>
      <c r="D22" s="35">
        <v>67</v>
      </c>
      <c r="E22" s="36"/>
      <c r="F22" s="29">
        <f t="shared" si="4"/>
        <v>98</v>
      </c>
      <c r="G22" s="29">
        <v>11</v>
      </c>
      <c r="H22" s="35">
        <v>87</v>
      </c>
      <c r="I22" s="19"/>
      <c r="J22" s="44">
        <f t="shared" si="2"/>
        <v>154</v>
      </c>
      <c r="K22" s="45">
        <f t="shared" si="3"/>
        <v>56.493506493506494</v>
      </c>
    </row>
    <row r="23" spans="1:11" x14ac:dyDescent="0.25">
      <c r="A23" s="1" t="s">
        <v>15</v>
      </c>
      <c r="B23" s="26">
        <v>75</v>
      </c>
      <c r="C23" s="26">
        <v>11</v>
      </c>
      <c r="D23" s="35">
        <v>86</v>
      </c>
      <c r="E23" s="36"/>
      <c r="F23" s="29">
        <f t="shared" si="4"/>
        <v>120</v>
      </c>
      <c r="G23" s="29">
        <v>18</v>
      </c>
      <c r="H23" s="35">
        <v>102</v>
      </c>
      <c r="I23" s="19"/>
      <c r="J23" s="44">
        <f t="shared" si="2"/>
        <v>188</v>
      </c>
      <c r="K23" s="45">
        <f t="shared" si="3"/>
        <v>54.255319148936167</v>
      </c>
    </row>
    <row r="24" spans="1:11" x14ac:dyDescent="0.25">
      <c r="A24" s="1" t="s">
        <v>16</v>
      </c>
      <c r="B24" s="26">
        <v>124</v>
      </c>
      <c r="C24" s="26">
        <v>17</v>
      </c>
      <c r="D24" s="35">
        <v>141</v>
      </c>
      <c r="E24" s="36"/>
      <c r="F24" s="29">
        <f t="shared" si="4"/>
        <v>223</v>
      </c>
      <c r="G24" s="29">
        <v>35</v>
      </c>
      <c r="H24" s="35">
        <v>188</v>
      </c>
      <c r="I24" s="19"/>
      <c r="J24" s="44">
        <f t="shared" si="2"/>
        <v>329</v>
      </c>
      <c r="K24" s="45">
        <f t="shared" si="3"/>
        <v>57.142857142857139</v>
      </c>
    </row>
    <row r="25" spans="1:11" x14ac:dyDescent="0.25">
      <c r="A25" s="1" t="s">
        <v>8</v>
      </c>
      <c r="B25" s="26">
        <v>160</v>
      </c>
      <c r="C25" s="26">
        <v>18</v>
      </c>
      <c r="D25" s="35">
        <v>178</v>
      </c>
      <c r="E25" s="36"/>
      <c r="F25" s="29">
        <f t="shared" si="4"/>
        <v>241</v>
      </c>
      <c r="G25" s="29">
        <v>36</v>
      </c>
      <c r="H25" s="35">
        <v>205</v>
      </c>
      <c r="I25" s="19"/>
      <c r="J25" s="44">
        <f t="shared" si="2"/>
        <v>383</v>
      </c>
      <c r="K25" s="45">
        <f t="shared" si="3"/>
        <v>53.52480417754569</v>
      </c>
    </row>
    <row r="26" spans="1:11" x14ac:dyDescent="0.25">
      <c r="A26" s="1" t="s">
        <v>17</v>
      </c>
      <c r="B26" s="26">
        <v>90</v>
      </c>
      <c r="C26" s="26">
        <v>7</v>
      </c>
      <c r="D26" s="35">
        <v>97</v>
      </c>
      <c r="E26" s="36"/>
      <c r="F26" s="29">
        <f t="shared" si="4"/>
        <v>197</v>
      </c>
      <c r="G26" s="29">
        <v>36</v>
      </c>
      <c r="H26" s="35">
        <v>161</v>
      </c>
      <c r="I26" s="19"/>
      <c r="J26" s="44">
        <f t="shared" si="2"/>
        <v>258</v>
      </c>
      <c r="K26" s="45">
        <f t="shared" si="3"/>
        <v>62.403100775193799</v>
      </c>
    </row>
    <row r="27" spans="1:11" x14ac:dyDescent="0.25">
      <c r="A27" s="1" t="s">
        <v>18</v>
      </c>
      <c r="B27" s="26">
        <v>130</v>
      </c>
      <c r="C27" s="26">
        <v>10</v>
      </c>
      <c r="D27" s="35">
        <v>140</v>
      </c>
      <c r="E27" s="36"/>
      <c r="F27" s="29">
        <f t="shared" si="4"/>
        <v>268</v>
      </c>
      <c r="G27" s="29">
        <v>48</v>
      </c>
      <c r="H27" s="35">
        <v>220</v>
      </c>
      <c r="I27" s="19"/>
      <c r="J27" s="44">
        <f t="shared" si="2"/>
        <v>360</v>
      </c>
      <c r="K27" s="45">
        <f t="shared" si="3"/>
        <v>61.111111111111114</v>
      </c>
    </row>
    <row r="28" spans="1:11" x14ac:dyDescent="0.25">
      <c r="A28" s="20" t="s">
        <v>19</v>
      </c>
      <c r="B28" s="26">
        <v>38</v>
      </c>
      <c r="C28" s="26">
        <v>1</v>
      </c>
      <c r="D28" s="35">
        <v>39</v>
      </c>
      <c r="E28" s="36"/>
      <c r="F28" s="29">
        <f t="shared" si="4"/>
        <v>205</v>
      </c>
      <c r="G28" s="29">
        <v>12</v>
      </c>
      <c r="H28" s="35">
        <v>193</v>
      </c>
      <c r="I28" s="19"/>
      <c r="J28" s="44">
        <f t="shared" si="2"/>
        <v>232</v>
      </c>
      <c r="K28" s="45">
        <f t="shared" si="3"/>
        <v>83.189655172413794</v>
      </c>
    </row>
    <row r="29" spans="1:11" x14ac:dyDescent="0.25">
      <c r="A29" s="38" t="s">
        <v>5</v>
      </c>
      <c r="B29" s="49">
        <v>161</v>
      </c>
      <c r="C29" s="49">
        <v>18</v>
      </c>
      <c r="D29" s="40">
        <v>179</v>
      </c>
      <c r="E29" s="37"/>
      <c r="F29" s="48">
        <f t="shared" si="4"/>
        <v>417</v>
      </c>
      <c r="G29" s="39">
        <v>50</v>
      </c>
      <c r="H29" s="40">
        <v>367</v>
      </c>
      <c r="I29" s="21"/>
      <c r="J29" s="46">
        <f t="shared" si="2"/>
        <v>546</v>
      </c>
      <c r="K29" s="40">
        <f t="shared" si="3"/>
        <v>67.216117216117226</v>
      </c>
    </row>
    <row r="30" spans="1:11" x14ac:dyDescent="0.25">
      <c r="A30" s="22" t="s">
        <v>21</v>
      </c>
      <c r="B30" s="10"/>
      <c r="C30" s="10"/>
      <c r="D30" s="10"/>
      <c r="E30" s="10"/>
      <c r="F30" s="23"/>
      <c r="G30" s="23"/>
      <c r="H30" s="23"/>
      <c r="I30" s="23"/>
      <c r="J30" s="23"/>
      <c r="K30" s="24" t="s">
        <v>22</v>
      </c>
    </row>
    <row r="32" spans="1:11" x14ac:dyDescent="0.25">
      <c r="A32" s="25"/>
      <c r="B32" s="6"/>
    </row>
    <row r="33" spans="1:2" x14ac:dyDescent="0.25">
      <c r="A33" s="25"/>
      <c r="B33" s="6"/>
    </row>
    <row r="34" spans="1:2" x14ac:dyDescent="0.25">
      <c r="A34" s="27"/>
      <c r="B34" s="6"/>
    </row>
  </sheetData>
  <mergeCells count="5">
    <mergeCell ref="A1:K1"/>
    <mergeCell ref="A2:K2"/>
    <mergeCell ref="B4:D4"/>
    <mergeCell ref="F4:H4"/>
    <mergeCell ref="J4:K4"/>
  </mergeCells>
  <pageMargins left="0.7" right="0.7" top="0.75" bottom="0.57999999999999996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2016-01-04T08:56:52Z</cp:lastPrinted>
  <dcterms:created xsi:type="dcterms:W3CDTF">2014-03-05T03:36:41Z</dcterms:created>
  <dcterms:modified xsi:type="dcterms:W3CDTF">2016-01-04T08:59:20Z</dcterms:modified>
</cp:coreProperties>
</file>