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2" sheetId="4" r:id="rId1"/>
  </sheets>
  <definedNames>
    <definedName name="_xlnm.Print_Area" localSheetId="0">'7.2'!$A$1:$K$47</definedName>
  </definedNames>
  <calcPr calcId="144525"/>
</workbook>
</file>

<file path=xl/calcChain.xml><?xml version="1.0" encoding="utf-8"?>
<calcChain xmlns="http://schemas.openxmlformats.org/spreadsheetml/2006/main">
  <c r="B24" i="4" l="1"/>
  <c r="B23" i="4"/>
  <c r="B22" i="4"/>
  <c r="B21" i="4"/>
  <c r="B20" i="4"/>
  <c r="D19" i="4"/>
  <c r="C19" i="4"/>
  <c r="B18" i="4"/>
  <c r="B17" i="4"/>
  <c r="B16" i="4"/>
  <c r="B15" i="4"/>
  <c r="B14" i="4"/>
  <c r="D13" i="4"/>
  <c r="C13" i="4"/>
  <c r="D12" i="4"/>
  <c r="Y8" i="4" s="1"/>
  <c r="C12" i="4"/>
  <c r="X8" i="4" s="1"/>
  <c r="D11" i="4"/>
  <c r="Y7" i="4" s="1"/>
  <c r="C11" i="4"/>
  <c r="X7" i="4" s="1"/>
  <c r="D10" i="4"/>
  <c r="Y6" i="4" s="1"/>
  <c r="C10" i="4"/>
  <c r="X6" i="4" s="1"/>
  <c r="D9" i="4"/>
  <c r="Y5" i="4" s="1"/>
  <c r="C9" i="4"/>
  <c r="X5" i="4" s="1"/>
  <c r="D8" i="4"/>
  <c r="Y4" i="4" s="1"/>
  <c r="C8" i="4"/>
  <c r="X4" i="4" s="1"/>
  <c r="D7" i="4" l="1"/>
  <c r="B19" i="4"/>
  <c r="B12" i="4"/>
  <c r="B11" i="4"/>
  <c r="B10" i="4"/>
  <c r="B13" i="4"/>
  <c r="F13" i="4" s="1"/>
  <c r="C7" i="4"/>
  <c r="B8" i="4"/>
  <c r="B9" i="4"/>
  <c r="I9" i="4" s="1"/>
  <c r="I24" i="4"/>
  <c r="I23" i="4"/>
  <c r="I22" i="4"/>
  <c r="I21" i="4"/>
  <c r="I20" i="4"/>
  <c r="H24" i="4"/>
  <c r="G24" i="4"/>
  <c r="F19" i="4"/>
  <c r="I18" i="4"/>
  <c r="I17" i="4"/>
  <c r="I16" i="4"/>
  <c r="I15" i="4"/>
  <c r="I14" i="4"/>
  <c r="G18" i="4"/>
  <c r="F11" i="4" l="1"/>
  <c r="B7" i="4"/>
  <c r="I7" i="4" s="1"/>
  <c r="F9" i="4"/>
  <c r="I8" i="4"/>
  <c r="H8" i="4"/>
  <c r="I10" i="4"/>
  <c r="I11" i="4"/>
  <c r="I12" i="4"/>
  <c r="H18" i="4"/>
  <c r="I13" i="4"/>
  <c r="F10" i="4"/>
  <c r="F12" i="4"/>
  <c r="I19" i="4"/>
  <c r="H7" i="4"/>
  <c r="H9" i="4"/>
  <c r="H10" i="4"/>
  <c r="H11" i="4"/>
  <c r="H12" i="4"/>
  <c r="G13" i="4"/>
  <c r="H13" i="4"/>
  <c r="F14" i="4"/>
  <c r="G14" i="4"/>
  <c r="H14" i="4"/>
  <c r="F15" i="4"/>
  <c r="G15" i="4"/>
  <c r="H15" i="4"/>
  <c r="F16" i="4"/>
  <c r="G16" i="4"/>
  <c r="H16" i="4"/>
  <c r="F17" i="4"/>
  <c r="G17" i="4"/>
  <c r="H17" i="4"/>
  <c r="F18" i="4"/>
  <c r="G19" i="4"/>
  <c r="H19" i="4"/>
  <c r="F20" i="4"/>
  <c r="G20" i="4"/>
  <c r="H20" i="4"/>
  <c r="F21" i="4"/>
  <c r="G21" i="4"/>
  <c r="H21" i="4"/>
  <c r="F22" i="4"/>
  <c r="G22" i="4"/>
  <c r="H22" i="4"/>
  <c r="F23" i="4"/>
  <c r="G23" i="4"/>
  <c r="H23" i="4"/>
  <c r="F24" i="4"/>
  <c r="F7" i="4" l="1"/>
  <c r="F8" i="4"/>
  <c r="G8" i="4"/>
  <c r="G12" i="4"/>
  <c r="G11" i="4"/>
  <c r="G9" i="4"/>
  <c r="G7" i="4"/>
  <c r="G10" i="4"/>
</calcChain>
</file>

<file path=xl/sharedStrings.xml><?xml version="1.0" encoding="utf-8"?>
<sst xmlns="http://schemas.openxmlformats.org/spreadsheetml/2006/main" count="70" uniqueCount="40">
  <si>
    <t>cnehirif</t>
  </si>
  <si>
    <t>cnehcnwa</t>
  </si>
  <si>
    <t>Both Sexes</t>
  </si>
  <si>
    <t>Male</t>
  </si>
  <si>
    <t>Female</t>
  </si>
  <si>
    <t>Republic</t>
  </si>
  <si>
    <t>Male'</t>
  </si>
  <si>
    <t>elWm</t>
  </si>
  <si>
    <t>Atolls</t>
  </si>
  <si>
    <t>cawtuLotwa</t>
  </si>
  <si>
    <t>Source: Ministry of Education</t>
  </si>
  <si>
    <t>cnwxEkuaiDea cfoa IrcTcsinim :ctWrwf ivcaed utWmUluAwm</t>
  </si>
  <si>
    <t>Level</t>
  </si>
  <si>
    <t>No. of students</t>
  </si>
  <si>
    <t>udwdwA egcnidukWvwyik</t>
  </si>
  <si>
    <t>% share</t>
  </si>
  <si>
    <t>cniawtcaws ctogWviawfiheb</t>
  </si>
  <si>
    <t>uscnijed</t>
  </si>
  <si>
    <t>cniawtcawscnia</t>
  </si>
  <si>
    <t xml:space="preserve"> itcnwf</t>
  </si>
  <si>
    <t>% of females</t>
  </si>
  <si>
    <t xml:space="preserve">ejcaWriLum </t>
  </si>
  <si>
    <t>Pre - Primary</t>
  </si>
  <si>
    <t>clUkcs Ircp</t>
  </si>
  <si>
    <t>Primary ( 1 - 7)</t>
  </si>
  <si>
    <r>
      <t xml:space="preserve">                   (7 - 1 ) umIluAwt WSwf                     </t>
    </r>
    <r>
      <rPr>
        <sz val="9"/>
        <rFont val="Win Ahamedey PRB"/>
        <family val="2"/>
      </rPr>
      <t xml:space="preserve"> </t>
    </r>
  </si>
  <si>
    <t>Lower Secondary ( 8 - 10)</t>
  </si>
  <si>
    <r>
      <t xml:space="preserve">           (10 - 8 ) umIluAwt IvwnWX                 </t>
    </r>
    <r>
      <rPr>
        <sz val="9"/>
        <rFont val="Win Ahamedey PRB"/>
        <family val="2"/>
      </rPr>
      <t xml:space="preserve"> </t>
    </r>
  </si>
  <si>
    <t>Higher Secondary ( 11 - 12)</t>
  </si>
  <si>
    <r>
      <t xml:space="preserve">          (12 - 11 )  umIluAwt IvwnWXItwm                 </t>
    </r>
    <r>
      <rPr>
        <sz val="9"/>
        <rFont val="Win Ahamedey PRB"/>
        <family val="2"/>
      </rPr>
      <t xml:space="preserve"> </t>
    </r>
  </si>
  <si>
    <t>Special Classes  1_/</t>
  </si>
  <si>
    <t>1_/  cawtcsWlck wBcaWK</t>
  </si>
  <si>
    <t>Primary</t>
  </si>
  <si>
    <t>Lower Secondary</t>
  </si>
  <si>
    <t>Higher Secondary</t>
  </si>
  <si>
    <t>Special class</t>
  </si>
  <si>
    <t>1_/  For children with special needs.</t>
  </si>
  <si>
    <t>.cawtcsWlck egcniduk WvcnunEb cSwaIhea wBcaWK  1_/</t>
  </si>
  <si>
    <t xml:space="preserve"> 2014 ,cnikwv cscnij udwdwA egcnidukWvwyik iawgItcnwfikea egukwtWsurwdwm :7.2 clwvWt</t>
  </si>
  <si>
    <t>Table 7.2 :  STUDENT ENROLMENT BY EDUCATIONAL LEVEL AND SEX,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</si>
</sst>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sz val="10"/>
      <name val="Arial"/>
      <family val="2"/>
    </font>
    <font>
      <b/>
      <sz val="10"/>
      <name val="Courier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ourier"/>
      <family val="3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u/>
      <sz val="9"/>
      <color indexed="12"/>
      <name val="Courier"/>
      <family val="3"/>
    </font>
    <font>
      <b/>
      <sz val="8"/>
      <name val="A_Randhoo"/>
    </font>
    <font>
      <b/>
      <sz val="9"/>
      <name val="A_Randhoo"/>
    </font>
    <font>
      <sz val="9"/>
      <name val="Akuru-Bodu Bold"/>
      <family val="2"/>
      <charset val="2"/>
    </font>
    <font>
      <b/>
      <sz val="9"/>
      <color theme="1"/>
      <name val="Calibri"/>
      <family val="2"/>
      <scheme val="minor"/>
    </font>
    <font>
      <sz val="9"/>
      <name val="Win Ahamedey PRB"/>
      <family val="2"/>
    </font>
    <font>
      <b/>
      <sz val="9"/>
      <color rgb="FFFF0000"/>
      <name val="Arial"/>
      <family val="2"/>
    </font>
    <font>
      <sz val="10"/>
      <name val="MS Sans Serif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40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2" fillId="0" borderId="0"/>
    <xf numFmtId="40" fontId="23" fillId="0" borderId="0" applyFont="0" applyFill="0" applyBorder="0" applyAlignment="0" applyProtection="0"/>
    <xf numFmtId="164" fontId="2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167" fontId="2" fillId="0" borderId="0"/>
    <xf numFmtId="165" fontId="2" fillId="0" borderId="0"/>
    <xf numFmtId="170" fontId="26" fillId="0" borderId="0"/>
    <xf numFmtId="168" fontId="2" fillId="0" borderId="0"/>
    <xf numFmtId="0" fontId="23" fillId="0" borderId="0"/>
    <xf numFmtId="0" fontId="23" fillId="0" borderId="0"/>
    <xf numFmtId="168" fontId="2" fillId="0" borderId="0"/>
    <xf numFmtId="0" fontId="23" fillId="0" borderId="0"/>
    <xf numFmtId="0" fontId="23" fillId="0" borderId="0"/>
    <xf numFmtId="168" fontId="2" fillId="0" borderId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40" fontId="23" fillId="0" borderId="0" applyFont="0" applyFill="0" applyBorder="0" applyAlignment="0" applyProtection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165" fontId="2" fillId="0" borderId="0"/>
  </cellStyleXfs>
  <cellXfs count="59">
    <xf numFmtId="0" fontId="0" fillId="0" borderId="0" xfId="0"/>
    <xf numFmtId="165" fontId="4" fillId="2" borderId="0" xfId="0" applyNumberFormat="1" applyFont="1" applyFill="1"/>
    <xf numFmtId="165" fontId="9" fillId="2" borderId="0" xfId="0" applyNumberFormat="1" applyFont="1" applyFill="1" applyBorder="1" applyAlignment="1">
      <alignment vertical="center"/>
    </xf>
    <xf numFmtId="165" fontId="13" fillId="2" borderId="0" xfId="0" applyNumberFormat="1" applyFont="1" applyFill="1" applyAlignment="1">
      <alignment vertical="center"/>
    </xf>
    <xf numFmtId="165" fontId="13" fillId="2" borderId="0" xfId="0" applyNumberFormat="1" applyFont="1" applyFill="1" applyBorder="1" applyAlignment="1">
      <alignment vertical="center"/>
    </xf>
    <xf numFmtId="165" fontId="0" fillId="2" borderId="0" xfId="0" applyNumberFormat="1" applyFill="1"/>
    <xf numFmtId="165" fontId="0" fillId="2" borderId="1" xfId="0" applyNumberFormat="1" applyFill="1" applyBorder="1"/>
    <xf numFmtId="165" fontId="0" fillId="2" borderId="0" xfId="0" applyNumberFormat="1" applyFill="1" applyBorder="1" applyAlignment="1">
      <alignment vertical="center"/>
    </xf>
    <xf numFmtId="165" fontId="10" fillId="2" borderId="0" xfId="0" applyNumberFormat="1" applyFont="1" applyFill="1" applyBorder="1" applyAlignment="1">
      <alignment vertical="center"/>
    </xf>
    <xf numFmtId="165" fontId="17" fillId="2" borderId="0" xfId="0" applyNumberFormat="1" applyFont="1" applyFill="1" applyBorder="1" applyAlignment="1">
      <alignment horizontal="right" vertical="center"/>
    </xf>
    <xf numFmtId="165" fontId="18" fillId="2" borderId="0" xfId="0" applyNumberFormat="1" applyFont="1" applyFill="1" applyBorder="1" applyAlignment="1">
      <alignment horizontal="right" vertical="center"/>
    </xf>
    <xf numFmtId="165" fontId="12" fillId="2" borderId="0" xfId="0" applyNumberFormat="1" applyFont="1" applyFill="1" applyBorder="1" applyAlignment="1">
      <alignment horizontal="left" vertical="center"/>
    </xf>
    <xf numFmtId="165" fontId="18" fillId="2" borderId="3" xfId="0" applyNumberFormat="1" applyFont="1" applyFill="1" applyBorder="1" applyAlignment="1" applyProtection="1">
      <alignment horizontal="right" vertical="center"/>
    </xf>
    <xf numFmtId="165" fontId="18" fillId="2" borderId="0" xfId="0" applyNumberFormat="1" applyFont="1" applyFill="1" applyBorder="1" applyAlignment="1" applyProtection="1">
      <alignment horizontal="right" vertical="center"/>
    </xf>
    <xf numFmtId="165" fontId="18" fillId="2" borderId="3" xfId="0" applyNumberFormat="1" applyFont="1" applyFill="1" applyBorder="1" applyAlignment="1">
      <alignment horizontal="right" vertical="center"/>
    </xf>
    <xf numFmtId="165" fontId="10" fillId="2" borderId="1" xfId="0" applyNumberFormat="1" applyFont="1" applyFill="1" applyBorder="1" applyAlignment="1" applyProtection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9" fillId="2" borderId="1" xfId="0" applyNumberFormat="1" applyFont="1" applyFill="1" applyBorder="1" applyAlignment="1">
      <alignment horizontal="right" vertical="center"/>
    </xf>
    <xf numFmtId="165" fontId="10" fillId="2" borderId="0" xfId="0" applyNumberFormat="1" applyFont="1" applyFill="1" applyAlignment="1" applyProtection="1">
      <alignment horizontal="left"/>
    </xf>
    <xf numFmtId="38" fontId="20" fillId="2" borderId="0" xfId="1" applyNumberFormat="1" applyFont="1" applyFill="1" applyAlignment="1">
      <alignment horizontal="right"/>
    </xf>
    <xf numFmtId="38" fontId="10" fillId="2" borderId="0" xfId="1" applyNumberFormat="1" applyFont="1" applyFill="1" applyBorder="1" applyAlignment="1">
      <alignment horizontal="right"/>
    </xf>
    <xf numFmtId="1" fontId="10" fillId="2" borderId="0" xfId="0" applyNumberFormat="1" applyFont="1" applyFill="1" applyBorder="1" applyAlignment="1" applyProtection="1"/>
    <xf numFmtId="1" fontId="10" fillId="2" borderId="0" xfId="0" applyNumberFormat="1" applyFont="1" applyFill="1" applyBorder="1" applyAlignment="1"/>
    <xf numFmtId="165" fontId="18" fillId="2" borderId="0" xfId="0" applyNumberFormat="1" applyFont="1" applyFill="1" applyBorder="1" applyAlignment="1">
      <alignment horizontal="right"/>
    </xf>
    <xf numFmtId="165" fontId="11" fillId="2" borderId="0" xfId="0" applyNumberFormat="1" applyFont="1" applyFill="1" applyAlignment="1">
      <alignment horizontal="left"/>
    </xf>
    <xf numFmtId="38" fontId="10" fillId="2" borderId="0" xfId="1" applyNumberFormat="1" applyFont="1" applyFill="1" applyAlignment="1" applyProtection="1">
      <alignment horizontal="right"/>
    </xf>
    <xf numFmtId="38" fontId="11" fillId="2" borderId="0" xfId="1" applyNumberFormat="1" applyFont="1" applyFill="1" applyBorder="1" applyAlignment="1">
      <alignment horizontal="right"/>
    </xf>
    <xf numFmtId="1" fontId="11" fillId="2" borderId="0" xfId="0" applyNumberFormat="1" applyFont="1" applyFill="1" applyBorder="1" applyAlignment="1" applyProtection="1"/>
    <xf numFmtId="1" fontId="11" fillId="2" borderId="0" xfId="0" applyNumberFormat="1" applyFont="1" applyFill="1" applyBorder="1" applyAlignment="1"/>
    <xf numFmtId="165" fontId="12" fillId="2" borderId="0" xfId="0" applyNumberFormat="1" applyFont="1" applyFill="1" applyAlignment="1">
      <alignment horizontal="right"/>
    </xf>
    <xf numFmtId="165" fontId="12" fillId="2" borderId="0" xfId="0" applyNumberFormat="1" applyFont="1" applyFill="1" applyBorder="1" applyAlignment="1">
      <alignment horizontal="right"/>
    </xf>
    <xf numFmtId="166" fontId="0" fillId="2" borderId="0" xfId="1" applyNumberFormat="1" applyFont="1" applyFill="1"/>
    <xf numFmtId="0" fontId="10" fillId="2" borderId="0" xfId="0" applyNumberFormat="1" applyFont="1" applyFill="1" applyAlignment="1" applyProtection="1">
      <alignment horizontal="left"/>
    </xf>
    <xf numFmtId="38" fontId="10" fillId="2" borderId="0" xfId="1" applyNumberFormat="1" applyFont="1" applyFill="1" applyBorder="1" applyAlignment="1" applyProtection="1">
      <alignment horizontal="right"/>
    </xf>
    <xf numFmtId="165" fontId="8" fillId="2" borderId="0" xfId="0" applyNumberFormat="1" applyFont="1" applyFill="1"/>
    <xf numFmtId="38" fontId="10" fillId="2" borderId="0" xfId="1" applyNumberFormat="1" applyFont="1" applyFill="1" applyAlignment="1">
      <alignment horizontal="right"/>
    </xf>
    <xf numFmtId="38" fontId="11" fillId="2" borderId="0" xfId="1" applyNumberFormat="1" applyFont="1" applyFill="1" applyBorder="1" applyAlignment="1" applyProtection="1">
      <alignment horizontal="right"/>
    </xf>
    <xf numFmtId="165" fontId="11" fillId="2" borderId="1" xfId="0" applyNumberFormat="1" applyFont="1" applyFill="1" applyBorder="1" applyAlignment="1">
      <alignment horizontal="left"/>
    </xf>
    <xf numFmtId="38" fontId="10" fillId="2" borderId="1" xfId="1" applyNumberFormat="1" applyFont="1" applyFill="1" applyBorder="1" applyAlignment="1" applyProtection="1">
      <alignment horizontal="right"/>
    </xf>
    <xf numFmtId="38" fontId="11" fillId="2" borderId="1" xfId="1" applyNumberFormat="1" applyFont="1" applyFill="1" applyBorder="1" applyAlignment="1" applyProtection="1">
      <alignment horizontal="right"/>
    </xf>
    <xf numFmtId="1" fontId="11" fillId="2" borderId="1" xfId="0" applyNumberFormat="1" applyFont="1" applyFill="1" applyBorder="1" applyAlignment="1" applyProtection="1"/>
    <xf numFmtId="1" fontId="11" fillId="2" borderId="1" xfId="0" applyNumberFormat="1" applyFont="1" applyFill="1" applyBorder="1" applyAlignment="1"/>
    <xf numFmtId="165" fontId="12" fillId="2" borderId="1" xfId="0" applyNumberFormat="1" applyFont="1" applyFill="1" applyBorder="1" applyAlignment="1">
      <alignment horizontal="right"/>
    </xf>
    <xf numFmtId="165" fontId="15" fillId="2" borderId="0" xfId="0" applyNumberFormat="1" applyFont="1" applyFill="1" applyBorder="1" applyAlignment="1"/>
    <xf numFmtId="165" fontId="5" fillId="2" borderId="0" xfId="0" applyNumberFormat="1" applyFont="1" applyFill="1" applyAlignment="1">
      <alignment horizontal="center" vertical="center"/>
    </xf>
    <xf numFmtId="165" fontId="15" fillId="2" borderId="0" xfId="0" applyNumberFormat="1" applyFont="1" applyFill="1" applyAlignment="1" applyProtection="1">
      <alignment horizontal="left"/>
    </xf>
    <xf numFmtId="38" fontId="13" fillId="2" borderId="0" xfId="1" applyNumberFormat="1" applyFont="1" applyFill="1" applyAlignment="1">
      <alignment horizontal="right"/>
    </xf>
    <xf numFmtId="38" fontId="11" fillId="2" borderId="0" xfId="1" applyNumberFormat="1" applyFont="1" applyFill="1" applyAlignment="1">
      <alignment horizontal="right"/>
    </xf>
    <xf numFmtId="165" fontId="16" fillId="2" borderId="0" xfId="5" applyNumberFormat="1" applyFont="1" applyFill="1" applyAlignment="1" applyProtection="1">
      <alignment vertical="center"/>
    </xf>
    <xf numFmtId="165" fontId="13" fillId="2" borderId="0" xfId="0" applyNumberFormat="1" applyFont="1" applyFill="1" applyAlignment="1">
      <alignment horizontal="left"/>
    </xf>
    <xf numFmtId="165" fontId="0" fillId="2" borderId="0" xfId="0" applyNumberFormat="1" applyFill="1" applyAlignment="1"/>
    <xf numFmtId="165" fontId="22" fillId="2" borderId="2" xfId="0" applyNumberFormat="1" applyFont="1" applyFill="1" applyBorder="1" applyAlignment="1">
      <alignment vertical="center"/>
    </xf>
    <xf numFmtId="165" fontId="7" fillId="2" borderId="0" xfId="0" applyNumberFormat="1" applyFont="1" applyFill="1"/>
    <xf numFmtId="165" fontId="24" fillId="2" borderId="0" xfId="0" applyNumberFormat="1" applyFont="1" applyFill="1" applyAlignment="1">
      <alignment horizontal="left" vertical="center"/>
    </xf>
    <xf numFmtId="9" fontId="0" fillId="2" borderId="0" xfId="4" applyFont="1" applyFill="1"/>
    <xf numFmtId="165" fontId="3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Border="1" applyAlignment="1" applyProtection="1">
      <alignment horizontal="center" vertical="center"/>
    </xf>
    <xf numFmtId="165" fontId="10" fillId="2" borderId="0" xfId="0" applyNumberFormat="1" applyFont="1" applyFill="1" applyBorder="1" applyAlignment="1">
      <alignment horizontal="left" vertical="center"/>
    </xf>
    <xf numFmtId="165" fontId="10" fillId="2" borderId="1" xfId="0" applyNumberFormat="1" applyFont="1" applyFill="1" applyBorder="1" applyAlignment="1">
      <alignment horizontal="left" vertical="center"/>
    </xf>
  </cellXfs>
  <cellStyles count="140">
    <cellStyle name="Comma" xfId="1" builtinId="3"/>
    <cellStyle name="Comma 2" xfId="8"/>
    <cellStyle name="Comma 3" xfId="11"/>
    <cellStyle name="Comma 3 2" xfId="133"/>
    <cellStyle name="Hyperlink" xfId="5" builtinId="8"/>
    <cellStyle name="Normal" xfId="0" builtinId="0"/>
    <cellStyle name="Normal - Style1" xfId="120"/>
    <cellStyle name="Normal 10" xfId="21"/>
    <cellStyle name="Normal 10 2" xfId="35"/>
    <cellStyle name="Normal 11" xfId="22"/>
    <cellStyle name="Normal 11 2" xfId="36"/>
    <cellStyle name="Normal 12" xfId="23"/>
    <cellStyle name="Normal 12 2" xfId="37"/>
    <cellStyle name="Normal 13" xfId="25"/>
    <cellStyle name="Normal 13 2" xfId="38"/>
    <cellStyle name="Normal 14" xfId="26"/>
    <cellStyle name="Normal 14 2" xfId="39"/>
    <cellStyle name="Normal 15" xfId="27"/>
    <cellStyle name="Normal 15 2" xfId="40"/>
    <cellStyle name="Normal 16" xfId="28"/>
    <cellStyle name="Normal 16 2" xfId="41"/>
    <cellStyle name="Normal 17" xfId="29"/>
    <cellStyle name="Normal 17 2" xfId="42"/>
    <cellStyle name="Normal 18" xfId="30"/>
    <cellStyle name="Normal 18 2" xfId="43"/>
    <cellStyle name="Normal 19" xfId="31"/>
    <cellStyle name="Normal 19 2" xfId="44"/>
    <cellStyle name="Normal 2" xfId="14"/>
    <cellStyle name="Normal 2 10" xfId="45"/>
    <cellStyle name="Normal 2 11" xfId="46"/>
    <cellStyle name="Normal 2 12" xfId="47"/>
    <cellStyle name="Normal 2 13" xfId="48"/>
    <cellStyle name="Normal 2 14" xfId="49"/>
    <cellStyle name="Normal 2 15" xfId="50"/>
    <cellStyle name="Normal 2 16" xfId="51"/>
    <cellStyle name="Normal 2 17" xfId="52"/>
    <cellStyle name="Normal 2 18" xfId="53"/>
    <cellStyle name="Normal 2 19" xfId="54"/>
    <cellStyle name="Normal 2 2" xfId="13"/>
    <cellStyle name="Normal 2 2 10" xfId="55"/>
    <cellStyle name="Normal 2 2 11" xfId="56"/>
    <cellStyle name="Normal 2 2 12" xfId="57"/>
    <cellStyle name="Normal 2 2 13" xfId="58"/>
    <cellStyle name="Normal 2 2 14" xfId="59"/>
    <cellStyle name="Normal 2 2 15" xfId="60"/>
    <cellStyle name="Normal 2 2 16" xfId="61"/>
    <cellStyle name="Normal 2 2 17" xfId="62"/>
    <cellStyle name="Normal 2 2 18" xfId="63"/>
    <cellStyle name="Normal 2 2 19" xfId="64"/>
    <cellStyle name="Normal 2 2 2" xfId="6"/>
    <cellStyle name="Normal 2 2 20" xfId="65"/>
    <cellStyle name="Normal 2 2 21" xfId="66"/>
    <cellStyle name="Normal 2 2 22" xfId="67"/>
    <cellStyle name="Normal 2 2 23" xfId="68"/>
    <cellStyle name="Normal 2 2 24" xfId="69"/>
    <cellStyle name="Normal 2 2 24 2" xfId="70"/>
    <cellStyle name="Normal 2 2 24 2 2" xfId="71"/>
    <cellStyle name="Normal 2 2 25" xfId="72"/>
    <cellStyle name="Normal 2 2 25 2" xfId="73"/>
    <cellStyle name="Normal 2 2 26" xfId="121"/>
    <cellStyle name="Normal 2 2 3" xfId="74"/>
    <cellStyle name="Normal 2 2 4" xfId="75"/>
    <cellStyle name="Normal 2 2 5" xfId="76"/>
    <cellStyle name="Normal 2 2 5 2" xfId="77"/>
    <cellStyle name="Normal 2 2 5 2 2" xfId="78"/>
    <cellStyle name="Normal 2 2 5 2 2 2" xfId="79"/>
    <cellStyle name="Normal 2 2 5 3" xfId="80"/>
    <cellStyle name="Normal 2 2 5 4" xfId="81"/>
    <cellStyle name="Normal 2 2 6" xfId="82"/>
    <cellStyle name="Normal 2 2 7" xfId="83"/>
    <cellStyle name="Normal 2 2 8" xfId="84"/>
    <cellStyle name="Normal 2 2 9" xfId="85"/>
    <cellStyle name="Normal 2 20" xfId="86"/>
    <cellStyle name="Normal 2 21" xfId="87"/>
    <cellStyle name="Normal 2 22" xfId="88"/>
    <cellStyle name="Normal 2 23" xfId="89"/>
    <cellStyle name="Normal 2 24" xfId="90"/>
    <cellStyle name="Normal 2 24 2" xfId="91"/>
    <cellStyle name="Normal 2 24 2 2" xfId="92"/>
    <cellStyle name="Normal 2 25" xfId="93"/>
    <cellStyle name="Normal 2 25 2" xfId="94"/>
    <cellStyle name="Normal 2 26" xfId="119"/>
    <cellStyle name="Normal 2 3" xfId="15"/>
    <cellStyle name="Normal 2 3 2" xfId="95"/>
    <cellStyle name="Normal 2 3 2 2" xfId="96"/>
    <cellStyle name="Normal 2 3 2 2 2" xfId="97"/>
    <cellStyle name="Normal 2 3 3" xfId="98"/>
    <cellStyle name="Normal 2 3 4" xfId="99"/>
    <cellStyle name="Normal 2 3 5" xfId="122"/>
    <cellStyle name="Normal 2 4" xfId="100"/>
    <cellStyle name="Normal 2 4 2" xfId="123"/>
    <cellStyle name="Normal 2 5" xfId="101"/>
    <cellStyle name="Normal 2 5 2" xfId="134"/>
    <cellStyle name="Normal 2 6" xfId="102"/>
    <cellStyle name="Normal 2 7" xfId="103"/>
    <cellStyle name="Normal 2 8" xfId="104"/>
    <cellStyle name="Normal 2 9" xfId="105"/>
    <cellStyle name="Normal 20" xfId="32"/>
    <cellStyle name="Normal 20 2" xfId="106"/>
    <cellStyle name="Normal 21" xfId="33"/>
    <cellStyle name="Normal 21 2" xfId="107"/>
    <cellStyle name="Normal 22" xfId="34"/>
    <cellStyle name="Normal 22 2" xfId="108"/>
    <cellStyle name="Normal 23" xfId="109"/>
    <cellStyle name="Normal 23 2" xfId="110"/>
    <cellStyle name="Normal 25" xfId="16"/>
    <cellStyle name="Normal 3" xfId="10"/>
    <cellStyle name="Normal 3 2" xfId="111"/>
    <cellStyle name="Normal 3 2 2" xfId="125"/>
    <cellStyle name="Normal 3 3" xfId="112"/>
    <cellStyle name="Normal 3 3 2" xfId="126"/>
    <cellStyle name="Normal 3 4" xfId="124"/>
    <cellStyle name="Normal 4" xfId="17"/>
    <cellStyle name="Normal 4 2" xfId="113"/>
    <cellStyle name="Normal 4 3" xfId="127"/>
    <cellStyle name="Normal 5" xfId="24"/>
    <cellStyle name="Normal 5 2" xfId="114"/>
    <cellStyle name="Normal 5 3" xfId="128"/>
    <cellStyle name="Normal 6" xfId="3"/>
    <cellStyle name="Normal 6 2" xfId="129"/>
    <cellStyle name="Normal 6 3" xfId="135"/>
    <cellStyle name="Normal 6 4" xfId="139"/>
    <cellStyle name="Normal 7" xfId="2"/>
    <cellStyle name="Normal 7 2" xfId="115"/>
    <cellStyle name="Normal 7 2 2" xfId="130"/>
    <cellStyle name="Normal 7 3" xfId="18"/>
    <cellStyle name="Normal 7 3 2" xfId="136"/>
    <cellStyle name="Normal 7 4" xfId="138"/>
    <cellStyle name="Normal 8" xfId="7"/>
    <cellStyle name="Normal 8 2" xfId="9"/>
    <cellStyle name="Normal 8 2 2" xfId="116"/>
    <cellStyle name="Normal 8 2 3" xfId="131"/>
    <cellStyle name="Normal 8 3" xfId="19"/>
    <cellStyle name="Normal 8 3 2" xfId="137"/>
    <cellStyle name="Normal 8 4" xfId="118"/>
    <cellStyle name="Normal 9" xfId="20"/>
    <cellStyle name="Normal 9 2" xfId="117"/>
    <cellStyle name="Normal 9 3" xfId="132"/>
    <cellStyle name="Percent" xfId="4" builtinId="5"/>
    <cellStyle name="Percent 2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7.2: Student enrolment by educational level , 2014</a:t>
            </a:r>
          </a:p>
        </c:rich>
      </c:tx>
      <c:layout>
        <c:manualLayout>
          <c:xMode val="edge"/>
          <c:yMode val="edge"/>
          <c:x val="0.20722303466863265"/>
          <c:y val="4.7109628537812087E-2"/>
        </c:manualLayout>
      </c:layout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  <c:spPr>
        <a:ln>
          <a:solidFill>
            <a:schemeClr val="bg1">
              <a:lumMod val="75000"/>
            </a:schemeClr>
          </a:solidFill>
        </a:ln>
      </c:spPr>
    </c:sideWall>
    <c:backWall>
      <c:thickness val="0"/>
      <c:spPr>
        <a:ln>
          <a:solidFill>
            <a:schemeClr val="bg1">
              <a:lumMod val="75000"/>
            </a:schemeClr>
          </a:solidFill>
        </a:ln>
      </c:spPr>
    </c:backWall>
    <c:plotArea>
      <c:layout>
        <c:manualLayout>
          <c:layoutTarget val="inner"/>
          <c:xMode val="edge"/>
          <c:yMode val="edge"/>
          <c:x val="0.10561443485159212"/>
          <c:y val="0.18716787556727824"/>
          <c:w val="0.88024413308630534"/>
          <c:h val="0.6951107404677863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'7.2'!$X$3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cat>
            <c:strRef>
              <c:f>'7.2'!$W$4:$W$8</c:f>
              <c:strCache>
                <c:ptCount val="5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</c:v>
                </c:pt>
                <c:pt idx="4">
                  <c:v>Special class</c:v>
                </c:pt>
              </c:strCache>
            </c:strRef>
          </c:cat>
          <c:val>
            <c:numRef>
              <c:f>'7.2'!$X$4:$X$8</c:f>
              <c:numCache>
                <c:formatCode>_(* #,##0_);_(* \(#,##0\);_(* "-"??_);_(@_)</c:formatCode>
                <c:ptCount val="5"/>
                <c:pt idx="0">
                  <c:v>11666</c:v>
                </c:pt>
                <c:pt idx="1">
                  <c:v>20930</c:v>
                </c:pt>
                <c:pt idx="2">
                  <c:v>9836</c:v>
                </c:pt>
                <c:pt idx="3">
                  <c:v>1903</c:v>
                </c:pt>
                <c:pt idx="4">
                  <c:v>176</c:v>
                </c:pt>
              </c:numCache>
            </c:numRef>
          </c:val>
        </c:ser>
        <c:ser>
          <c:idx val="1"/>
          <c:order val="1"/>
          <c:tx>
            <c:strRef>
              <c:f>'7.2'!$Y$3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cat>
            <c:strRef>
              <c:f>'7.2'!$W$4:$W$8</c:f>
              <c:strCache>
                <c:ptCount val="5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</c:v>
                </c:pt>
                <c:pt idx="4">
                  <c:v>Special class</c:v>
                </c:pt>
              </c:strCache>
            </c:strRef>
          </c:cat>
          <c:val>
            <c:numRef>
              <c:f>'7.2'!$Y$4:$Y$8</c:f>
              <c:numCache>
                <c:formatCode>_(* #,##0_);_(* \(#,##0\);_(* "-"??_);_(@_)</c:formatCode>
                <c:ptCount val="5"/>
                <c:pt idx="0">
                  <c:v>11157</c:v>
                </c:pt>
                <c:pt idx="1">
                  <c:v>19569</c:v>
                </c:pt>
                <c:pt idx="2">
                  <c:v>9089</c:v>
                </c:pt>
                <c:pt idx="3">
                  <c:v>2649</c:v>
                </c:pt>
                <c:pt idx="4">
                  <c:v>108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7943168"/>
        <c:axId val="77945088"/>
        <c:axId val="0"/>
      </c:bar3DChart>
      <c:catAx>
        <c:axId val="779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77945088"/>
        <c:crosses val="autoZero"/>
        <c:auto val="1"/>
        <c:lblAlgn val="ctr"/>
        <c:lblOffset val="100"/>
        <c:noMultiLvlLbl val="0"/>
      </c:catAx>
      <c:valAx>
        <c:axId val="7794508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779431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60630132764486555"/>
          <c:y val="0.22460468303531025"/>
          <c:w val="0.20838003705419234"/>
          <c:h val="6.137891300172851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866" l="0.70000000000000062" r="0.70000000000000062" t="0.7500000000000086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981710</xdr:colOff>
      <xdr:row>27</xdr:row>
      <xdr:rowOff>76200</xdr:rowOff>
    </xdr:from>
    <xdr:to>
      <xdr:col>9</xdr:col>
      <xdr:colOff>847725</xdr:colOff>
      <xdr:row>43</xdr:row>
      <xdr:rowOff>121920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0.19802</cdr:x>
      <cdr:y>0.1211</cdr:y>
    </cdr:from>
    <cdr:to>
      <cdr:x>0.89783</cdr:x>
      <cdr:y>0.1211</cdr:y>
    </cdr:to>
    <cdr:sp macro="" textlink="">
      <cdr:nvSpPr>
        <cdr:cNvPr id="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310726" y="374648"/>
          <a:ext cx="463224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7030A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E47"/>
  <sheetViews>
    <sheetView tabSelected="1" topLeftCell="B1" zoomScaleNormal="100" zoomScaleSheetLayoutView="100" workbookViewId="0">
      <selection activeCell="L16" sqref="L16"/>
    </sheetView>
  </sheetViews>
  <sheetFormatPr defaultColWidth="26.42578125" defaultRowHeight="15"/>
  <cols>
    <col min="1" max="1" width="23.42578125" style="5" customWidth="1"/>
    <col min="2" max="2" width="10.28515625" style="5" customWidth="1"/>
    <col min="3" max="3" width="9.5703125" style="5" customWidth="1"/>
    <col min="4" max="4" width="11.28515625" style="5" customWidth="1"/>
    <col min="5" max="5" width="2.28515625" style="5" customWidth="1"/>
    <col min="6" max="6" width="10.42578125" style="5" customWidth="1"/>
    <col min="7" max="7" width="9.7109375" style="5" customWidth="1"/>
    <col min="8" max="9" width="12.140625" style="5" customWidth="1"/>
    <col min="10" max="10" width="24.7109375" style="5" customWidth="1"/>
    <col min="11" max="11" width="3.140625" style="5" customWidth="1"/>
    <col min="12" max="12" width="58.28515625" style="5" customWidth="1"/>
    <col min="13" max="13" width="26.42578125" style="5"/>
    <col min="14" max="16" width="9.140625" style="5" customWidth="1"/>
    <col min="17" max="31" width="8.7109375" style="5" customWidth="1"/>
    <col min="32" max="16384" width="26.42578125" style="5"/>
  </cols>
  <sheetData>
    <row r="1" spans="1:26" ht="19.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L1" s="53"/>
    </row>
    <row r="2" spans="1:26">
      <c r="A2" s="56" t="s">
        <v>39</v>
      </c>
      <c r="B2" s="56"/>
      <c r="C2" s="56"/>
      <c r="D2" s="56"/>
      <c r="E2" s="56"/>
      <c r="F2" s="56"/>
      <c r="G2" s="56"/>
      <c r="H2" s="56"/>
      <c r="I2" s="56"/>
      <c r="J2" s="56"/>
    </row>
    <row r="3" spans="1:26">
      <c r="A3" s="6"/>
      <c r="B3" s="6"/>
      <c r="C3" s="6"/>
      <c r="D3" s="6"/>
      <c r="E3" s="6"/>
      <c r="F3" s="6"/>
      <c r="G3" s="6"/>
      <c r="H3" s="6"/>
      <c r="I3" s="6"/>
      <c r="J3" s="6"/>
      <c r="K3" s="7"/>
      <c r="L3" s="7"/>
      <c r="M3" s="7"/>
      <c r="N3" s="7"/>
      <c r="O3" s="7"/>
      <c r="P3" s="7"/>
      <c r="Q3" s="7"/>
      <c r="R3" s="7"/>
      <c r="X3" s="5" t="s">
        <v>3</v>
      </c>
      <c r="Y3" s="5" t="s">
        <v>4</v>
      </c>
    </row>
    <row r="4" spans="1:26">
      <c r="A4" s="57" t="s">
        <v>12</v>
      </c>
      <c r="B4" s="8" t="s">
        <v>13</v>
      </c>
      <c r="C4" s="4"/>
      <c r="D4" s="9" t="s">
        <v>14</v>
      </c>
      <c r="E4" s="10"/>
      <c r="F4" s="8" t="s">
        <v>15</v>
      </c>
      <c r="G4" s="11"/>
      <c r="H4" s="9" t="s">
        <v>16</v>
      </c>
      <c r="I4" s="10" t="s">
        <v>1</v>
      </c>
      <c r="J4" s="2"/>
      <c r="K4" s="2"/>
      <c r="L4" s="2"/>
      <c r="M4" s="2"/>
      <c r="N4" s="2"/>
      <c r="O4" s="2"/>
      <c r="P4" s="2"/>
      <c r="Q4" s="2"/>
      <c r="R4" s="2"/>
      <c r="W4" s="1" t="s">
        <v>22</v>
      </c>
      <c r="X4" s="31">
        <f t="shared" ref="X4:Y8" si="0">C8</f>
        <v>11666</v>
      </c>
      <c r="Y4" s="31">
        <f t="shared" si="0"/>
        <v>11157</v>
      </c>
    </row>
    <row r="5" spans="1:26">
      <c r="A5" s="57"/>
      <c r="B5" s="12" t="s">
        <v>17</v>
      </c>
      <c r="C5" s="12" t="s">
        <v>0</v>
      </c>
      <c r="D5" s="12" t="s">
        <v>1</v>
      </c>
      <c r="E5" s="13"/>
      <c r="F5" s="12" t="s">
        <v>17</v>
      </c>
      <c r="G5" s="12" t="s">
        <v>0</v>
      </c>
      <c r="H5" s="14" t="s">
        <v>1</v>
      </c>
      <c r="I5" s="10" t="s">
        <v>18</v>
      </c>
      <c r="J5" s="10" t="s">
        <v>19</v>
      </c>
      <c r="W5" s="1" t="s">
        <v>32</v>
      </c>
      <c r="X5" s="31">
        <f t="shared" si="0"/>
        <v>20930</v>
      </c>
      <c r="Y5" s="31">
        <f t="shared" si="0"/>
        <v>19569</v>
      </c>
    </row>
    <row r="6" spans="1:26">
      <c r="A6" s="58"/>
      <c r="B6" s="15" t="s">
        <v>2</v>
      </c>
      <c r="C6" s="15" t="s">
        <v>3</v>
      </c>
      <c r="D6" s="15" t="s">
        <v>4</v>
      </c>
      <c r="E6" s="15"/>
      <c r="F6" s="15" t="s">
        <v>2</v>
      </c>
      <c r="G6" s="15" t="s">
        <v>3</v>
      </c>
      <c r="H6" s="16" t="s">
        <v>4</v>
      </c>
      <c r="I6" s="16" t="s">
        <v>20</v>
      </c>
      <c r="J6" s="17"/>
      <c r="W6" s="1" t="s">
        <v>33</v>
      </c>
      <c r="X6" s="31">
        <f t="shared" si="0"/>
        <v>9836</v>
      </c>
      <c r="Y6" s="31">
        <f t="shared" si="0"/>
        <v>9089</v>
      </c>
      <c r="Z6" s="34"/>
    </row>
    <row r="7" spans="1:26" ht="17.25">
      <c r="A7" s="18" t="s">
        <v>5</v>
      </c>
      <c r="B7" s="19">
        <f>SUM(B8:B12)</f>
        <v>87083</v>
      </c>
      <c r="C7" s="47">
        <f>SUM(C8:C12)</f>
        <v>44511</v>
      </c>
      <c r="D7" s="47">
        <f>SUM(D8:D12)</f>
        <v>42572</v>
      </c>
      <c r="E7" s="20"/>
      <c r="F7" s="21">
        <f>B7/B7*100</f>
        <v>100</v>
      </c>
      <c r="G7" s="21">
        <f>C7/C7*100</f>
        <v>100</v>
      </c>
      <c r="H7" s="21">
        <f>D7/D7*100</f>
        <v>100</v>
      </c>
      <c r="I7" s="22">
        <f>D7/B7*100</f>
        <v>48.886694303136089</v>
      </c>
      <c r="J7" s="23" t="s">
        <v>21</v>
      </c>
      <c r="W7" s="1" t="s">
        <v>34</v>
      </c>
      <c r="X7" s="31">
        <f t="shared" si="0"/>
        <v>1903</v>
      </c>
      <c r="Y7" s="31">
        <f t="shared" si="0"/>
        <v>2649</v>
      </c>
    </row>
    <row r="8" spans="1:26" ht="17.25">
      <c r="A8" s="24" t="s">
        <v>22</v>
      </c>
      <c r="B8" s="25">
        <f>SUM(C8:D8)</f>
        <v>22823</v>
      </c>
      <c r="C8" s="47">
        <f>SUM(C14+C20)</f>
        <v>11666</v>
      </c>
      <c r="D8" s="47">
        <f t="shared" ref="C8:D12" si="1">SUM(D14+D20)</f>
        <v>11157</v>
      </c>
      <c r="E8" s="26"/>
      <c r="F8" s="27">
        <f>B8/B7*100</f>
        <v>26.208329984038215</v>
      </c>
      <c r="G8" s="27">
        <f>C8/$C$7*100</f>
        <v>26.209251645660625</v>
      </c>
      <c r="H8" s="27">
        <f>D8/$D$7*100</f>
        <v>26.207366344075915</v>
      </c>
      <c r="I8" s="28">
        <f t="shared" ref="I8:I24" si="2">D8/B8*100</f>
        <v>48.884896814616837</v>
      </c>
      <c r="J8" s="29" t="s">
        <v>23</v>
      </c>
      <c r="W8" s="1" t="s">
        <v>35</v>
      </c>
      <c r="X8" s="31">
        <f t="shared" si="0"/>
        <v>176</v>
      </c>
      <c r="Y8" s="31">
        <f t="shared" si="0"/>
        <v>108</v>
      </c>
    </row>
    <row r="9" spans="1:26" ht="17.25">
      <c r="A9" s="24" t="s">
        <v>24</v>
      </c>
      <c r="B9" s="25">
        <f>SUM(C9:D9)</f>
        <v>40499</v>
      </c>
      <c r="C9" s="47">
        <f>SUM(C15+C21)</f>
        <v>20930</v>
      </c>
      <c r="D9" s="47">
        <f t="shared" si="1"/>
        <v>19569</v>
      </c>
      <c r="E9" s="26"/>
      <c r="F9" s="27">
        <f>B9/B8*100</f>
        <v>177.44818823117029</v>
      </c>
      <c r="G9" s="27">
        <f>C9/$C$7*100</f>
        <v>47.02208442856822</v>
      </c>
      <c r="H9" s="27">
        <f>D9/$D$7*100</f>
        <v>45.966832659964297</v>
      </c>
      <c r="I9" s="28">
        <f>D9/B9*100</f>
        <v>48.319711597817225</v>
      </c>
      <c r="J9" s="30" t="s">
        <v>25</v>
      </c>
      <c r="L9" s="54"/>
    </row>
    <row r="10" spans="1:26" ht="17.25">
      <c r="A10" s="24" t="s">
        <v>26</v>
      </c>
      <c r="B10" s="25">
        <f>SUM(C10:D10)</f>
        <v>18925</v>
      </c>
      <c r="C10" s="47">
        <f t="shared" si="1"/>
        <v>9836</v>
      </c>
      <c r="D10" s="47">
        <f t="shared" si="1"/>
        <v>9089</v>
      </c>
      <c r="E10" s="26"/>
      <c r="F10" s="27">
        <f>B10/B9*100</f>
        <v>46.729548877750062</v>
      </c>
      <c r="G10" s="27">
        <f>C10/$C$7*100</f>
        <v>22.097908382197659</v>
      </c>
      <c r="H10" s="27">
        <f>D10/$D$7*100</f>
        <v>21.349713426665414</v>
      </c>
      <c r="I10" s="28">
        <f t="shared" si="2"/>
        <v>48.026420079260241</v>
      </c>
      <c r="J10" s="30" t="s">
        <v>27</v>
      </c>
    </row>
    <row r="11" spans="1:26" ht="17.25">
      <c r="A11" s="24" t="s">
        <v>28</v>
      </c>
      <c r="B11" s="25">
        <f>SUM(C11:D11)</f>
        <v>4552</v>
      </c>
      <c r="C11" s="47">
        <f>SUM(C17+C23)</f>
        <v>1903</v>
      </c>
      <c r="D11" s="47">
        <f t="shared" si="1"/>
        <v>2649</v>
      </c>
      <c r="E11" s="26"/>
      <c r="F11" s="27">
        <f>B11/B10*100</f>
        <v>24.052840158520475</v>
      </c>
      <c r="G11" s="27">
        <f>C11/$C$7*100</f>
        <v>4.2753476668688641</v>
      </c>
      <c r="H11" s="27">
        <f>D11/$D$7*100</f>
        <v>6.2223996993328949</v>
      </c>
      <c r="I11" s="28">
        <f t="shared" si="2"/>
        <v>58.194200351493855</v>
      </c>
      <c r="J11" s="30" t="s">
        <v>29</v>
      </c>
    </row>
    <row r="12" spans="1:26" ht="17.25">
      <c r="A12" s="24" t="s">
        <v>30</v>
      </c>
      <c r="B12" s="25">
        <f>SUM(C12:D12)</f>
        <v>284</v>
      </c>
      <c r="C12" s="47">
        <f>SUM(C18+C24)</f>
        <v>176</v>
      </c>
      <c r="D12" s="47">
        <f t="shared" si="1"/>
        <v>108</v>
      </c>
      <c r="E12" s="26"/>
      <c r="F12" s="27">
        <f>B12/B11*100</f>
        <v>6.2390158172231986</v>
      </c>
      <c r="G12" s="27">
        <f>C12/$C$7*100</f>
        <v>0.39540787670463479</v>
      </c>
      <c r="H12" s="27">
        <f>D12/$D$7*100</f>
        <v>0.25368786996147702</v>
      </c>
      <c r="I12" s="28">
        <f t="shared" si="2"/>
        <v>38.028169014084504</v>
      </c>
      <c r="J12" s="30" t="s">
        <v>31</v>
      </c>
    </row>
    <row r="13" spans="1:26" s="34" customFormat="1" ht="17.25">
      <c r="A13" s="32" t="s">
        <v>6</v>
      </c>
      <c r="B13" s="25">
        <f>SUM(B14:B18)</f>
        <v>28507</v>
      </c>
      <c r="C13" s="35">
        <f>SUM(C14:C18)</f>
        <v>14353</v>
      </c>
      <c r="D13" s="35">
        <f>SUM(D14:D18)</f>
        <v>14154</v>
      </c>
      <c r="E13" s="33"/>
      <c r="F13" s="21">
        <f>B13/B13*100</f>
        <v>100</v>
      </c>
      <c r="G13" s="21">
        <f>C13/C13*100</f>
        <v>100</v>
      </c>
      <c r="H13" s="21">
        <f>D13/D13*100</f>
        <v>100</v>
      </c>
      <c r="I13" s="22">
        <f>D13/B13*100</f>
        <v>49.65096292138773</v>
      </c>
      <c r="J13" s="23" t="s">
        <v>7</v>
      </c>
    </row>
    <row r="14" spans="1:26" ht="17.25">
      <c r="A14" s="24" t="s">
        <v>22</v>
      </c>
      <c r="B14" s="25">
        <f>SUM(C14:D14)</f>
        <v>7427</v>
      </c>
      <c r="C14" s="47">
        <v>3806</v>
      </c>
      <c r="D14" s="47">
        <v>3621</v>
      </c>
      <c r="E14" s="26"/>
      <c r="F14" s="27">
        <f>B14/B13*100</f>
        <v>26.053250078927981</v>
      </c>
      <c r="G14" s="27">
        <f>C14/C13*100</f>
        <v>26.517104438096567</v>
      </c>
      <c r="H14" s="27">
        <f>D14/D13*100</f>
        <v>25.582874099194576</v>
      </c>
      <c r="I14" s="28">
        <f t="shared" si="2"/>
        <v>48.754544230510298</v>
      </c>
      <c r="J14" s="29" t="s">
        <v>23</v>
      </c>
    </row>
    <row r="15" spans="1:26" ht="17.25">
      <c r="A15" s="24" t="s">
        <v>24</v>
      </c>
      <c r="B15" s="35">
        <f>SUM(C15:D15)</f>
        <v>12494</v>
      </c>
      <c r="C15" s="47">
        <v>6326</v>
      </c>
      <c r="D15" s="47">
        <v>6168</v>
      </c>
      <c r="E15" s="26"/>
      <c r="F15" s="27">
        <f>B15/B13*100</f>
        <v>43.827831760620199</v>
      </c>
      <c r="G15" s="27">
        <f>C15/C13*100</f>
        <v>44.074409531108479</v>
      </c>
      <c r="H15" s="27">
        <f>D15/D13*100</f>
        <v>43.577787197965243</v>
      </c>
      <c r="I15" s="28">
        <f t="shared" si="2"/>
        <v>49.367696494317272</v>
      </c>
      <c r="J15" s="30" t="s">
        <v>25</v>
      </c>
    </row>
    <row r="16" spans="1:26" ht="17.25">
      <c r="A16" s="24" t="s">
        <v>26</v>
      </c>
      <c r="B16" s="25">
        <f>SUM(C16:D16)</f>
        <v>5728</v>
      </c>
      <c r="C16" s="47">
        <v>2968</v>
      </c>
      <c r="D16" s="47">
        <v>2760</v>
      </c>
      <c r="E16" s="26"/>
      <c r="F16" s="27">
        <f>B16/B13*100</f>
        <v>20.093310414985794</v>
      </c>
      <c r="G16" s="27">
        <f>C16/C13*100</f>
        <v>20.678603776214032</v>
      </c>
      <c r="H16" s="27">
        <f>D16/D13*100</f>
        <v>19.499788045782111</v>
      </c>
      <c r="I16" s="28">
        <f t="shared" si="2"/>
        <v>48.184357541899445</v>
      </c>
      <c r="J16" s="30" t="s">
        <v>27</v>
      </c>
    </row>
    <row r="17" spans="1:31" ht="17.25">
      <c r="A17" s="24" t="s">
        <v>28</v>
      </c>
      <c r="B17" s="25">
        <f>SUM(C17:D17)</f>
        <v>2716</v>
      </c>
      <c r="C17" s="47">
        <v>1163</v>
      </c>
      <c r="D17" s="47">
        <v>1553</v>
      </c>
      <c r="E17" s="26"/>
      <c r="F17" s="27">
        <f>B17/B13*100</f>
        <v>9.5274844774967544</v>
      </c>
      <c r="G17" s="27">
        <f>C17/C13*100</f>
        <v>8.1028356441162135</v>
      </c>
      <c r="H17" s="27">
        <f>D17/D13*100</f>
        <v>10.972163346050587</v>
      </c>
      <c r="I17" s="28">
        <f t="shared" si="2"/>
        <v>57.179675994108983</v>
      </c>
      <c r="J17" s="30" t="s">
        <v>29</v>
      </c>
    </row>
    <row r="18" spans="1:31" ht="17.25">
      <c r="A18" s="24" t="s">
        <v>30</v>
      </c>
      <c r="B18" s="25">
        <f>SUM(C18:D18)</f>
        <v>142</v>
      </c>
      <c r="C18" s="47">
        <v>90</v>
      </c>
      <c r="D18" s="47">
        <v>52</v>
      </c>
      <c r="E18" s="26"/>
      <c r="F18" s="27">
        <f>B18/B13*100</f>
        <v>0.4981232679692707</v>
      </c>
      <c r="G18" s="27">
        <f>C18/C13*100</f>
        <v>0.62704661046471122</v>
      </c>
      <c r="H18" s="27">
        <f>D18/D13*100</f>
        <v>0.36738731100748906</v>
      </c>
      <c r="I18" s="28">
        <f t="shared" si="2"/>
        <v>36.619718309859159</v>
      </c>
      <c r="J18" s="30" t="s">
        <v>31</v>
      </c>
    </row>
    <row r="19" spans="1:31" s="34" customFormat="1" ht="17.25">
      <c r="A19" s="18" t="s">
        <v>8</v>
      </c>
      <c r="B19" s="25">
        <f>SUM(B20:B24)</f>
        <v>58576</v>
      </c>
      <c r="C19" s="35">
        <f>SUM(C20:C24)</f>
        <v>30158</v>
      </c>
      <c r="D19" s="35">
        <f>SUM(D20:D24)</f>
        <v>28418</v>
      </c>
      <c r="E19" s="33"/>
      <c r="F19" s="21">
        <f>B19/B19*100</f>
        <v>100</v>
      </c>
      <c r="G19" s="21">
        <f>C19/C19*100</f>
        <v>100</v>
      </c>
      <c r="H19" s="21">
        <f>D19/D19*100</f>
        <v>100</v>
      </c>
      <c r="I19" s="22">
        <f>D19/B19*100</f>
        <v>48.514750068287356</v>
      </c>
      <c r="J19" s="23" t="s">
        <v>9</v>
      </c>
      <c r="M19" s="5"/>
      <c r="N19" s="52"/>
      <c r="O19" s="52"/>
      <c r="P19" s="52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1:31" ht="17.25">
      <c r="A20" s="24" t="s">
        <v>22</v>
      </c>
      <c r="B20" s="25">
        <f>SUM(C20:D20)</f>
        <v>15396</v>
      </c>
      <c r="C20" s="47">
        <v>7860</v>
      </c>
      <c r="D20" s="47">
        <v>7536</v>
      </c>
      <c r="E20" s="36"/>
      <c r="F20" s="27">
        <f t="shared" ref="F20:F24" si="3">B20/$B$19*100</f>
        <v>26.283802239825182</v>
      </c>
      <c r="G20" s="28">
        <f>C20/C19*100</f>
        <v>26.062736255719877</v>
      </c>
      <c r="H20" s="28">
        <f>D20/D19*100</f>
        <v>26.518403828559361</v>
      </c>
      <c r="I20" s="28">
        <f t="shared" si="2"/>
        <v>48.947778643803588</v>
      </c>
      <c r="J20" s="29" t="s">
        <v>23</v>
      </c>
      <c r="M20" s="18"/>
    </row>
    <row r="21" spans="1:31" ht="17.25">
      <c r="A21" s="24" t="s">
        <v>24</v>
      </c>
      <c r="B21" s="25">
        <f>SUM(C21:D21)</f>
        <v>28005</v>
      </c>
      <c r="C21" s="47">
        <v>14604</v>
      </c>
      <c r="D21" s="47">
        <v>13401</v>
      </c>
      <c r="E21" s="36"/>
      <c r="F21" s="27">
        <f t="shared" si="3"/>
        <v>47.809683146681238</v>
      </c>
      <c r="G21" s="28">
        <f>C21/C19*100</f>
        <v>48.424961867497842</v>
      </c>
      <c r="H21" s="28">
        <f>D21/D19*100</f>
        <v>47.156731648954889</v>
      </c>
      <c r="I21" s="28">
        <f t="shared" si="2"/>
        <v>47.852169255490089</v>
      </c>
      <c r="J21" s="30" t="s">
        <v>25</v>
      </c>
      <c r="M21" s="18"/>
    </row>
    <row r="22" spans="1:31" ht="17.25">
      <c r="A22" s="24" t="s">
        <v>26</v>
      </c>
      <c r="B22" s="25">
        <f>SUM(C22:D22)</f>
        <v>13197</v>
      </c>
      <c r="C22" s="47">
        <v>6868</v>
      </c>
      <c r="D22" s="47">
        <v>6329</v>
      </c>
      <c r="E22" s="36"/>
      <c r="F22" s="27">
        <f t="shared" si="3"/>
        <v>22.529704998634255</v>
      </c>
      <c r="G22" s="28">
        <f>C22/C19*100</f>
        <v>22.773393461104849</v>
      </c>
      <c r="H22" s="28">
        <f>D22/D19*100</f>
        <v>22.271095784362025</v>
      </c>
      <c r="I22" s="28">
        <f t="shared" si="2"/>
        <v>47.957869212699855</v>
      </c>
      <c r="J22" s="30" t="s">
        <v>27</v>
      </c>
      <c r="M22" s="18"/>
    </row>
    <row r="23" spans="1:31" ht="17.25">
      <c r="A23" s="24" t="s">
        <v>28</v>
      </c>
      <c r="B23" s="25">
        <f>SUM(C23:D23)</f>
        <v>1836</v>
      </c>
      <c r="C23" s="47">
        <v>740</v>
      </c>
      <c r="D23" s="47">
        <v>1096</v>
      </c>
      <c r="E23" s="36"/>
      <c r="F23" s="27">
        <f t="shared" si="3"/>
        <v>3.134389511062551</v>
      </c>
      <c r="G23" s="28">
        <f>C23/C19*100</f>
        <v>2.4537436169507263</v>
      </c>
      <c r="H23" s="28">
        <f>D23/D19*100</f>
        <v>3.8567105355760432</v>
      </c>
      <c r="I23" s="28">
        <f t="shared" si="2"/>
        <v>59.694989106753816</v>
      </c>
      <c r="J23" s="30" t="s">
        <v>29</v>
      </c>
    </row>
    <row r="24" spans="1:31" ht="17.25">
      <c r="A24" s="37" t="s">
        <v>30</v>
      </c>
      <c r="B24" s="38">
        <f>SUM(C24:D24)</f>
        <v>142</v>
      </c>
      <c r="C24" s="47">
        <v>86</v>
      </c>
      <c r="D24" s="47">
        <v>56</v>
      </c>
      <c r="E24" s="39"/>
      <c r="F24" s="40">
        <f t="shared" si="3"/>
        <v>0.24242010379677681</v>
      </c>
      <c r="G24" s="41">
        <f>C24/C19*100</f>
        <v>0.28516479872670603</v>
      </c>
      <c r="H24" s="41">
        <f>D24/D19*100</f>
        <v>0.19705820254768106</v>
      </c>
      <c r="I24" s="41">
        <f t="shared" si="2"/>
        <v>39.436619718309856</v>
      </c>
      <c r="J24" s="42" t="s">
        <v>31</v>
      </c>
    </row>
    <row r="25" spans="1:31" ht="18.600000000000001" customHeight="1">
      <c r="A25" s="43" t="s">
        <v>36</v>
      </c>
      <c r="B25" s="51"/>
      <c r="C25" s="51"/>
      <c r="D25" s="51"/>
      <c r="E25" s="51"/>
      <c r="F25" s="51"/>
      <c r="G25" s="51"/>
      <c r="H25" s="51"/>
      <c r="I25" s="4"/>
      <c r="J25" s="30" t="s">
        <v>37</v>
      </c>
      <c r="P25" s="44"/>
      <c r="Q25" s="44"/>
    </row>
    <row r="26" spans="1:31" ht="15.75" customHeight="1">
      <c r="A26" s="45" t="s">
        <v>10</v>
      </c>
      <c r="B26" s="3"/>
      <c r="C26" s="3"/>
      <c r="D26" s="3"/>
      <c r="E26" s="50"/>
      <c r="F26" s="3"/>
      <c r="G26" s="3"/>
      <c r="H26" s="3"/>
      <c r="I26" s="3"/>
      <c r="J26" s="30" t="s">
        <v>11</v>
      </c>
      <c r="O26" s="1"/>
      <c r="P26" s="46"/>
      <c r="Q26" s="46"/>
    </row>
    <row r="27" spans="1:31">
      <c r="A27" s="3"/>
      <c r="B27" s="3"/>
      <c r="C27" s="3"/>
      <c r="D27" s="3"/>
      <c r="E27" s="50"/>
      <c r="F27" s="3"/>
      <c r="G27" s="3"/>
      <c r="H27" s="3"/>
      <c r="I27" s="3"/>
      <c r="O27" s="1"/>
      <c r="P27" s="46"/>
      <c r="Q27" s="46"/>
    </row>
    <row r="28" spans="1:31">
      <c r="A28" s="3"/>
      <c r="B28" s="3"/>
      <c r="C28" s="3"/>
      <c r="D28" s="3"/>
      <c r="E28" s="3"/>
      <c r="F28" s="3"/>
      <c r="G28" s="3"/>
      <c r="H28" s="3"/>
      <c r="I28" s="3"/>
      <c r="O28" s="1"/>
      <c r="P28" s="46"/>
      <c r="Q28" s="46"/>
    </row>
    <row r="29" spans="1:31">
      <c r="A29" s="3"/>
      <c r="B29" s="3"/>
      <c r="C29" s="48"/>
      <c r="D29" s="3"/>
      <c r="E29" s="3"/>
      <c r="F29" s="3"/>
      <c r="G29" s="3"/>
      <c r="H29" s="3"/>
      <c r="I29" s="3"/>
      <c r="J29" s="3"/>
      <c r="O29" s="1"/>
      <c r="P29" s="46"/>
      <c r="Q29" s="46"/>
    </row>
    <row r="30" spans="1:31">
      <c r="A30" s="49"/>
      <c r="B30" s="3"/>
      <c r="C30" s="3"/>
      <c r="D30" s="3"/>
      <c r="E30" s="3"/>
      <c r="F30" s="3"/>
      <c r="G30" s="3"/>
      <c r="H30" s="3"/>
      <c r="I30" s="3"/>
      <c r="O30" s="1"/>
      <c r="P30" s="46"/>
      <c r="Q30" s="46"/>
    </row>
    <row r="31" spans="1:31">
      <c r="A31" s="49"/>
      <c r="B31" s="3"/>
      <c r="C31" s="3"/>
      <c r="D31" s="3"/>
      <c r="E31" s="3"/>
      <c r="F31" s="3"/>
      <c r="G31" s="3"/>
      <c r="H31" s="3"/>
      <c r="I31" s="3"/>
      <c r="O31" s="1"/>
      <c r="P31" s="46"/>
      <c r="Q31" s="46"/>
    </row>
    <row r="32" spans="1:31">
      <c r="A32" s="49"/>
      <c r="B32" s="3"/>
      <c r="C32" s="3"/>
      <c r="D32" s="3"/>
      <c r="E32" s="3"/>
      <c r="F32" s="3"/>
      <c r="G32" s="3"/>
      <c r="H32" s="3"/>
      <c r="I32" s="3"/>
    </row>
    <row r="33" spans="1:9">
      <c r="A33" s="49"/>
      <c r="B33" s="3"/>
      <c r="C33" s="3"/>
      <c r="D33" s="3"/>
      <c r="E33" s="3"/>
      <c r="F33" s="3"/>
      <c r="G33" s="3"/>
      <c r="H33" s="3"/>
      <c r="I33" s="3"/>
    </row>
    <row r="34" spans="1:9">
      <c r="A34" s="49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</sheetData>
  <mergeCells count="3">
    <mergeCell ref="A1:J1"/>
    <mergeCell ref="A2:J2"/>
    <mergeCell ref="A4:A6"/>
  </mergeCells>
  <pageMargins left="0.7" right="0.7" top="0.17" bottom="0.17" header="0.3" footer="0.3"/>
  <pageSetup paperSize="9" scale="78" orientation="landscape" r:id="rId1"/>
  <rowBreaks count="1" manualBreakCount="1">
    <brk id="2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</vt:lpstr>
      <vt:lpstr>'7.2'!Print_Area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2016-01-04T08:50:39Z</cp:lastPrinted>
  <dcterms:created xsi:type="dcterms:W3CDTF">2014-03-05T03:36:41Z</dcterms:created>
  <dcterms:modified xsi:type="dcterms:W3CDTF">2016-01-04T08:50:55Z</dcterms:modified>
</cp:coreProperties>
</file>