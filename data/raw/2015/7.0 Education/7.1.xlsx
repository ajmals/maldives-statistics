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" sheetId="3" r:id="rId1"/>
  </sheets>
  <definedNames>
    <definedName name="_xlnm.Print_Area" localSheetId="0">'7.1'!$A$1:$K$52</definedName>
  </definedNames>
  <calcPr calcId="144525"/>
</workbook>
</file>

<file path=xl/calcChain.xml><?xml version="1.0" encoding="utf-8"?>
<calcChain xmlns="http://schemas.openxmlformats.org/spreadsheetml/2006/main">
  <c r="J8" i="3" l="1"/>
  <c r="J6" i="3" s="1"/>
  <c r="I8" i="3"/>
  <c r="I6" i="3" s="1"/>
  <c r="H8" i="3"/>
  <c r="H6" i="3" s="1"/>
  <c r="D8" i="3"/>
  <c r="E8" i="3"/>
  <c r="G8" i="3" l="1"/>
  <c r="G6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7" i="3"/>
  <c r="B9" i="3" l="1"/>
  <c r="B28" i="3"/>
  <c r="B27" i="3"/>
  <c r="B25" i="3"/>
  <c r="B23" i="3"/>
  <c r="B21" i="3"/>
  <c r="B19" i="3"/>
  <c r="B17" i="3"/>
  <c r="B15" i="3"/>
  <c r="B13" i="3"/>
  <c r="B11" i="3"/>
  <c r="B26" i="3"/>
  <c r="B24" i="3"/>
  <c r="B22" i="3"/>
  <c r="B20" i="3"/>
  <c r="B18" i="3"/>
  <c r="B16" i="3"/>
  <c r="B14" i="3"/>
  <c r="B12" i="3"/>
  <c r="B10" i="3"/>
  <c r="C8" i="3" l="1"/>
  <c r="B8" i="3" s="1"/>
  <c r="C6" i="3" l="1"/>
  <c r="D6" i="3"/>
  <c r="B7" i="3"/>
  <c r="E6" i="3"/>
  <c r="B6" i="3" l="1"/>
</calcChain>
</file>

<file path=xl/sharedStrings.xml><?xml version="1.0" encoding="utf-8"?>
<sst xmlns="http://schemas.openxmlformats.org/spreadsheetml/2006/main" count="100" uniqueCount="72">
  <si>
    <t>Total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</si>
  <si>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</si>
  <si>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</si>
  <si>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</si>
  <si>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</si>
  <si>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</si>
  <si>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</si>
  <si>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</si>
  <si>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</si>
  <si>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</si>
  <si>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</si>
  <si>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</si>
  <si>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</si>
  <si>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</si>
  <si>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</si>
  <si>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</si>
  <si>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</si>
  <si>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</si>
  <si>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</si>
  <si>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</si>
  <si>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</si>
  <si>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</si>
  <si>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</si>
  <si>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</si>
  <si>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</si>
  <si>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</si>
  <si>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</si>
  <si>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</si>
  <si>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</si>
  <si>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</si>
  <si>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</si>
  <si>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</si>
  <si>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</si>
  <si>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</si>
  <si>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</si>
  <si>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</si>
  <si>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</si>
  <si>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</si>
  <si>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</si>
  <si>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</si>
  <si>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</si>
  <si>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</si>
  <si>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</si>
  <si>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</si>
  <si>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</si>
  <si>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</si>
  <si>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</si>
  <si>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</si>
  <si>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</si>
  <si>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</si>
  <si>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</si>
  <si>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</si>
  <si>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</si>
  <si>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</si>
  <si>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</si>
  <si>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</si>
  <si>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</si>
  <si>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</si>
  <si>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</si>
  <si>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</si>
  <si>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</si>
  <si>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</si>
  <si>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</si>
  <si>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</si>
  <si>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</si>
  <si>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</si>
  <si>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</si>
  <si>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</si>
  <si>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2014 ,udwdwa egunwtcnwt Ediawvwyik iaWncnidukWvwyik iawgukwtuLotwa iaWa elWm ,cnutwvWb egunwtcnwt EvedumIluawt : 7.1 ulwvWt</t>
  </si>
  <si>
    <t>Table 7.1 : STUDENT ENROLMENT AND SCHOOLS IN MALE' AND  ATOLLS BY TYPE OF EDUCATIONAL INSTITUTION, 2014</t>
  </si>
  <si>
    <t>Note: Includes 284 students enrolled in special classes, for children with special needs</t>
  </si>
  <si>
    <t>ނޯޓް: ޖުމްލައިގެ ތެރޭގައި ޚާއްސަ އެހީއަށް ބޭނުންވާ ކްލާސްތަކުގައި ކިޔަވާ 284 ކުދިން ހިމެނެއެވެ.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</si>
</sst>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Courier"/>
      <family val="3"/>
    </font>
    <font>
      <b/>
      <sz val="9"/>
      <name val="Arial"/>
      <family val="2"/>
    </font>
    <font>
      <b/>
      <sz val="10"/>
      <name val="Win Ahamedey PRB"/>
      <family val="2"/>
    </font>
    <font>
      <b/>
      <sz val="9"/>
      <name val="Win Ahamedey PRB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9"/>
      <color theme="1"/>
      <name val="Arial"/>
      <family val="2"/>
    </font>
    <font>
      <u/>
      <sz val="9"/>
      <color theme="1"/>
      <name val="Courier"/>
      <family val="3"/>
    </font>
    <font>
      <sz val="9"/>
      <color theme="1"/>
      <name val="Faruma"/>
    </font>
    <font>
      <sz val="10"/>
      <name val="MS Sans Serif"/>
      <family val="2"/>
    </font>
    <font>
      <b/>
      <sz val="11"/>
      <color rgb="FFFF0000"/>
      <name val="A_Randhoo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39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29" fillId="0" borderId="0" applyFont="0" applyFill="0" applyBorder="0" applyAlignment="0" applyProtection="0"/>
    <xf numFmtId="164" fontId="2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2" fillId="0" borderId="0"/>
    <xf numFmtId="0" fontId="8" fillId="0" borderId="0"/>
    <xf numFmtId="0" fontId="8" fillId="0" borderId="0"/>
    <xf numFmtId="0" fontId="8" fillId="0" borderId="0"/>
    <xf numFmtId="167" fontId="2" fillId="0" borderId="0"/>
    <xf numFmtId="165" fontId="2" fillId="0" borderId="0"/>
    <xf numFmtId="170" fontId="33" fillId="0" borderId="0"/>
    <xf numFmtId="168" fontId="2" fillId="0" borderId="0"/>
    <xf numFmtId="0" fontId="29" fillId="0" borderId="0"/>
    <xf numFmtId="0" fontId="29" fillId="0" borderId="0"/>
    <xf numFmtId="168" fontId="2" fillId="0" borderId="0"/>
    <xf numFmtId="0" fontId="29" fillId="0" borderId="0"/>
    <xf numFmtId="0" fontId="29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29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74">
    <xf numFmtId="0" fontId="0" fillId="0" borderId="0" xfId="0"/>
    <xf numFmtId="165" fontId="8" fillId="2" borderId="0" xfId="0" applyNumberFormat="1" applyFont="1" applyFill="1"/>
    <xf numFmtId="165" fontId="4" fillId="2" borderId="0" xfId="0" applyNumberFormat="1" applyFont="1" applyFill="1" applyBorder="1" applyAlignment="1" applyProtection="1">
      <alignment horizontal="center" vertical="top" wrapText="1"/>
    </xf>
    <xf numFmtId="165" fontId="4" fillId="2" borderId="0" xfId="0" applyNumberFormat="1" applyFont="1" applyFill="1" applyAlignment="1">
      <alignment vertical="top"/>
    </xf>
    <xf numFmtId="165" fontId="3" fillId="2" borderId="2" xfId="0" applyNumberFormat="1" applyFont="1" applyFill="1" applyBorder="1" applyAlignment="1" applyProtection="1">
      <alignment horizontal="left" vertical="center"/>
    </xf>
    <xf numFmtId="165" fontId="2" fillId="2" borderId="2" xfId="0" applyNumberFormat="1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/>
    </xf>
    <xf numFmtId="165" fontId="5" fillId="2" borderId="8" xfId="0" applyNumberFormat="1" applyFont="1" applyFill="1" applyBorder="1" applyAlignment="1" applyProtection="1">
      <alignment horizontal="right" vertical="top"/>
    </xf>
    <xf numFmtId="165" fontId="5" fillId="2" borderId="8" xfId="0" applyNumberFormat="1" applyFont="1" applyFill="1" applyBorder="1" applyAlignment="1">
      <alignment horizontal="right" vertical="top"/>
    </xf>
    <xf numFmtId="165" fontId="5" fillId="2" borderId="6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 applyAlignment="1" applyProtection="1">
      <alignment horizontal="right" vertical="center" wrapText="1"/>
    </xf>
    <xf numFmtId="165" fontId="3" fillId="2" borderId="4" xfId="0" applyNumberFormat="1" applyFont="1" applyFill="1" applyBorder="1" applyAlignment="1" applyProtection="1">
      <alignment horizontal="right" vertical="center" wrapText="1"/>
    </xf>
    <xf numFmtId="165" fontId="13" fillId="2" borderId="1" xfId="0" applyNumberFormat="1" applyFont="1" applyFill="1" applyBorder="1" applyAlignment="1">
      <alignment vertical="center"/>
    </xf>
    <xf numFmtId="165" fontId="14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 applyProtection="1">
      <alignment horizontal="left" vertical="center" indent="1"/>
    </xf>
    <xf numFmtId="165" fontId="6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 indent="1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Alignment="1">
      <alignment vertical="center"/>
    </xf>
    <xf numFmtId="165" fontId="15" fillId="2" borderId="0" xfId="0" applyNumberFormat="1" applyFont="1" applyFill="1" applyBorder="1" applyAlignment="1" applyProtection="1">
      <alignment vertical="center"/>
    </xf>
    <xf numFmtId="165" fontId="20" fillId="2" borderId="2" xfId="0" applyNumberFormat="1" applyFont="1" applyFill="1" applyBorder="1" applyAlignment="1" applyProtection="1">
      <alignment horizontal="right" vertical="center" wrapText="1"/>
    </xf>
    <xf numFmtId="165" fontId="15" fillId="2" borderId="1" xfId="0" applyNumberFormat="1" applyFont="1" applyFill="1" applyBorder="1" applyAlignment="1" applyProtection="1">
      <alignment vertical="center"/>
    </xf>
    <xf numFmtId="165" fontId="15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/>
    <xf numFmtId="165" fontId="7" fillId="2" borderId="1" xfId="0" applyNumberFormat="1" applyFont="1" applyFill="1" applyBorder="1" applyAlignment="1" applyProtection="1">
      <alignment horizontal="left" vertical="center" indent="1"/>
    </xf>
    <xf numFmtId="165" fontId="17" fillId="2" borderId="1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Alignment="1" applyProtection="1">
      <alignment horizontal="left" vertical="center"/>
    </xf>
    <xf numFmtId="165" fontId="23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 applyBorder="1" applyAlignment="1">
      <alignment vertical="center"/>
    </xf>
    <xf numFmtId="165" fontId="23" fillId="2" borderId="0" xfId="0" applyNumberFormat="1" applyFont="1" applyFill="1" applyAlignment="1" applyProtection="1">
      <alignment horizontal="right" vertical="center"/>
    </xf>
    <xf numFmtId="165" fontId="24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165" fontId="25" fillId="2" borderId="0" xfId="4" applyNumberFormat="1" applyFont="1" applyFill="1" applyAlignment="1" applyProtection="1"/>
    <xf numFmtId="165" fontId="26" fillId="2" borderId="0" xfId="0" applyNumberFormat="1" applyFont="1" applyFill="1" applyAlignment="1">
      <alignment vertical="center"/>
    </xf>
    <xf numFmtId="165" fontId="27" fillId="2" borderId="0" xfId="4" applyNumberFormat="1" applyFont="1" applyFill="1" applyAlignment="1" applyProtection="1">
      <alignment vertical="center"/>
    </xf>
    <xf numFmtId="165" fontId="28" fillId="2" borderId="0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/>
    <xf numFmtId="3" fontId="15" fillId="2" borderId="0" xfId="0" applyNumberFormat="1" applyFont="1" applyFill="1" applyBorder="1" applyAlignment="1" applyProtection="1">
      <alignment horizontal="right" vertical="center"/>
    </xf>
    <xf numFmtId="165" fontId="16" fillId="2" borderId="0" xfId="0" applyNumberFormat="1" applyFont="1" applyFill="1" applyAlignment="1" applyProtection="1">
      <alignment horizontal="left" vertical="center" indent="1"/>
    </xf>
    <xf numFmtId="164" fontId="16" fillId="2" borderId="0" xfId="0" applyNumberFormat="1" applyFont="1" applyFill="1" applyBorder="1" applyAlignment="1">
      <alignment vertical="center"/>
    </xf>
    <xf numFmtId="165" fontId="16" fillId="2" borderId="1" xfId="0" applyNumberFormat="1" applyFont="1" applyFill="1" applyBorder="1" applyAlignment="1" applyProtection="1">
      <alignment horizontal="left" vertical="center" indent="1"/>
    </xf>
    <xf numFmtId="164" fontId="16" fillId="2" borderId="1" xfId="0" applyNumberFormat="1" applyFont="1" applyFill="1" applyBorder="1" applyAlignment="1">
      <alignment vertical="center"/>
    </xf>
    <xf numFmtId="165" fontId="30" fillId="2" borderId="0" xfId="0" applyNumberFormat="1" applyFont="1" applyFill="1" applyAlignment="1">
      <alignment horizontal="center" vertical="center"/>
    </xf>
    <xf numFmtId="165" fontId="31" fillId="2" borderId="0" xfId="0" applyNumberFormat="1" applyFont="1" applyFill="1" applyAlignment="1">
      <alignment vertical="center"/>
    </xf>
    <xf numFmtId="0" fontId="7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3" fillId="2" borderId="1" xfId="0" applyNumberFormat="1" applyFont="1" applyFill="1" applyBorder="1" applyAlignment="1" applyProtection="1">
      <alignment horizontal="right" vertical="center"/>
    </xf>
    <xf numFmtId="3" fontId="3" fillId="2" borderId="2" xfId="0" applyNumberFormat="1" applyFont="1" applyFill="1" applyBorder="1" applyAlignment="1" applyProtection="1">
      <alignment horizontal="right" vertical="center"/>
    </xf>
    <xf numFmtId="0" fontId="3" fillId="2" borderId="2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37" fontId="3" fillId="2" borderId="5" xfId="1" applyNumberFormat="1" applyFont="1" applyFill="1" applyBorder="1" applyAlignment="1" applyProtection="1">
      <alignment horizontal="right" vertical="center"/>
    </xf>
    <xf numFmtId="37" fontId="3" fillId="2" borderId="0" xfId="1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3" fillId="2" borderId="0" xfId="1" applyNumberFormat="1" applyFont="1" applyFill="1" applyBorder="1" applyAlignment="1">
      <alignment horizontal="right" vertical="center"/>
    </xf>
    <xf numFmtId="37" fontId="7" fillId="2" borderId="0" xfId="1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horizontal="right" vertical="center"/>
    </xf>
    <xf numFmtId="37" fontId="3" fillId="2" borderId="3" xfId="1" applyNumberFormat="1" applyFont="1" applyFill="1" applyBorder="1" applyAlignment="1" applyProtection="1">
      <alignment horizontal="right" vertical="center"/>
    </xf>
    <xf numFmtId="37" fontId="7" fillId="2" borderId="1" xfId="1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 readingOrder="1"/>
    </xf>
    <xf numFmtId="165" fontId="9" fillId="2" borderId="1" xfId="0" applyNumberFormat="1" applyFont="1" applyFill="1" applyBorder="1" applyAlignment="1" applyProtection="1">
      <alignment horizontal="center" vertical="top" wrapText="1"/>
    </xf>
    <xf numFmtId="165" fontId="5" fillId="2" borderId="2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 applyProtection="1">
      <alignment horizontal="center" vertical="center"/>
    </xf>
  </cellXfs>
  <cellStyles count="139">
    <cellStyle name="Comma" xfId="1" builtinId="3"/>
    <cellStyle name="Comma 2" xfId="7"/>
    <cellStyle name="Comma 3" xfId="10"/>
    <cellStyle name="Comma 3 2" xfId="132"/>
    <cellStyle name="Hyperlink" xfId="4" builtinId="8"/>
    <cellStyle name="Normal" xfId="0" builtinId="0"/>
    <cellStyle name="Normal - Style1" xfId="119"/>
    <cellStyle name="Normal 10" xfId="20"/>
    <cellStyle name="Normal 10 2" xfId="34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20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18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21"/>
    <cellStyle name="Normal 2 4" xfId="99"/>
    <cellStyle name="Normal 2 4 2" xfId="122"/>
    <cellStyle name="Normal 2 5" xfId="100"/>
    <cellStyle name="Normal 2 5 2" xfId="133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5" xfId="15"/>
    <cellStyle name="Normal 3" xfId="9"/>
    <cellStyle name="Normal 3 2" xfId="110"/>
    <cellStyle name="Normal 3 2 2" xfId="124"/>
    <cellStyle name="Normal 3 3" xfId="111"/>
    <cellStyle name="Normal 3 3 2" xfId="125"/>
    <cellStyle name="Normal 3 4" xfId="123"/>
    <cellStyle name="Normal 4" xfId="16"/>
    <cellStyle name="Normal 4 2" xfId="112"/>
    <cellStyle name="Normal 4 3" xfId="126"/>
    <cellStyle name="Normal 5" xfId="23"/>
    <cellStyle name="Normal 5 2" xfId="113"/>
    <cellStyle name="Normal 5 3" xfId="127"/>
    <cellStyle name="Normal 6" xfId="3"/>
    <cellStyle name="Normal 6 2" xfId="128"/>
    <cellStyle name="Normal 6 3" xfId="134"/>
    <cellStyle name="Normal 6 4" xfId="138"/>
    <cellStyle name="Normal 7" xfId="2"/>
    <cellStyle name="Normal 7 2" xfId="114"/>
    <cellStyle name="Normal 7 2 2" xfId="129"/>
    <cellStyle name="Normal 7 3" xfId="17"/>
    <cellStyle name="Normal 7 3 2" xfId="135"/>
    <cellStyle name="Normal 7 4" xfId="137"/>
    <cellStyle name="Normal 8" xfId="6"/>
    <cellStyle name="Normal 8 2" xfId="8"/>
    <cellStyle name="Normal 8 2 2" xfId="115"/>
    <cellStyle name="Normal 8 2 3" xfId="130"/>
    <cellStyle name="Normal 8 3" xfId="18"/>
    <cellStyle name="Normal 8 3 2" xfId="136"/>
    <cellStyle name="Normal 8 4" xfId="117"/>
    <cellStyle name="Normal 9" xfId="19"/>
    <cellStyle name="Normal 9 2" xfId="116"/>
    <cellStyle name="Normal 9 3" xfId="131"/>
    <cellStyle name="Percent 2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85973798183794E-2"/>
          <c:y val="0.14379507354749774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'7.1'!$AB$16</c:f>
              <c:strCache>
                <c:ptCount val="1"/>
                <c:pt idx="0">
                  <c:v> Male</c:v>
                </c:pt>
              </c:strCache>
            </c:strRef>
          </c:tx>
          <c:invertIfNegative val="0"/>
          <c:cat>
            <c:strRef>
              <c:f>'7.1'!$AA$18:$AA$37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'7.1'!$AB$18:$AB$37</c:f>
              <c:numCache>
                <c:formatCode>#,##0;[Red]#,##0</c:formatCode>
                <c:ptCount val="20"/>
                <c:pt idx="0">
                  <c:v>2073</c:v>
                </c:pt>
                <c:pt idx="1">
                  <c:v>2884</c:v>
                </c:pt>
                <c:pt idx="2">
                  <c:v>2081</c:v>
                </c:pt>
                <c:pt idx="3">
                  <c:v>1618</c:v>
                </c:pt>
                <c:pt idx="4">
                  <c:v>2450</c:v>
                </c:pt>
                <c:pt idx="5">
                  <c:v>1434</c:v>
                </c:pt>
                <c:pt idx="6">
                  <c:v>1043</c:v>
                </c:pt>
                <c:pt idx="7">
                  <c:v>1555</c:v>
                </c:pt>
                <c:pt idx="8">
                  <c:v>903</c:v>
                </c:pt>
                <c:pt idx="9">
                  <c:v>1086</c:v>
                </c:pt>
                <c:pt idx="10">
                  <c:v>207</c:v>
                </c:pt>
                <c:pt idx="11">
                  <c:v>642</c:v>
                </c:pt>
                <c:pt idx="12">
                  <c:v>727</c:v>
                </c:pt>
                <c:pt idx="13">
                  <c:v>846</c:v>
                </c:pt>
                <c:pt idx="14">
                  <c:v>1371</c:v>
                </c:pt>
                <c:pt idx="15">
                  <c:v>1918</c:v>
                </c:pt>
                <c:pt idx="16">
                  <c:v>1276</c:v>
                </c:pt>
                <c:pt idx="17">
                  <c:v>1810</c:v>
                </c:pt>
                <c:pt idx="18">
                  <c:v>1402</c:v>
                </c:pt>
                <c:pt idx="19">
                  <c:v>2832</c:v>
                </c:pt>
              </c:numCache>
            </c:numRef>
          </c:val>
        </c:ser>
        <c:ser>
          <c:idx val="1"/>
          <c:order val="1"/>
          <c:tx>
            <c:strRef>
              <c:f>'7.1'!$AC$16</c:f>
              <c:strCache>
                <c:ptCount val="1"/>
                <c:pt idx="0">
                  <c:v> Female</c:v>
                </c:pt>
              </c:strCache>
            </c:strRef>
          </c:tx>
          <c:invertIfNegative val="0"/>
          <c:cat>
            <c:strRef>
              <c:f>'7.1'!$AA$18:$AA$37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'7.1'!$AC$18:$AC$37</c:f>
              <c:numCache>
                <c:formatCode>#,##0;[Red]#,##0</c:formatCode>
                <c:ptCount val="20"/>
                <c:pt idx="0">
                  <c:v>1968</c:v>
                </c:pt>
                <c:pt idx="1">
                  <c:v>2643</c:v>
                </c:pt>
                <c:pt idx="2">
                  <c:v>1902</c:v>
                </c:pt>
                <c:pt idx="3">
                  <c:v>1536</c:v>
                </c:pt>
                <c:pt idx="4">
                  <c:v>2282</c:v>
                </c:pt>
                <c:pt idx="5">
                  <c:v>1277</c:v>
                </c:pt>
                <c:pt idx="6">
                  <c:v>1114</c:v>
                </c:pt>
                <c:pt idx="7">
                  <c:v>1401</c:v>
                </c:pt>
                <c:pt idx="8">
                  <c:v>808</c:v>
                </c:pt>
                <c:pt idx="9">
                  <c:v>1001</c:v>
                </c:pt>
                <c:pt idx="10">
                  <c:v>173</c:v>
                </c:pt>
                <c:pt idx="11">
                  <c:v>645</c:v>
                </c:pt>
                <c:pt idx="12">
                  <c:v>686</c:v>
                </c:pt>
                <c:pt idx="13">
                  <c:v>802</c:v>
                </c:pt>
                <c:pt idx="14">
                  <c:v>1263</c:v>
                </c:pt>
                <c:pt idx="15">
                  <c:v>1740</c:v>
                </c:pt>
                <c:pt idx="16">
                  <c:v>1215</c:v>
                </c:pt>
                <c:pt idx="17">
                  <c:v>1670</c:v>
                </c:pt>
                <c:pt idx="18">
                  <c:v>1454</c:v>
                </c:pt>
                <c:pt idx="19">
                  <c:v>2838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125141376"/>
        <c:axId val="125142912"/>
      </c:barChart>
      <c:catAx>
        <c:axId val="12514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142912"/>
        <c:crosses val="autoZero"/>
        <c:auto val="1"/>
        <c:lblAlgn val="ctr"/>
        <c:lblOffset val="100"/>
        <c:noMultiLvlLbl val="0"/>
      </c:catAx>
      <c:valAx>
        <c:axId val="125142912"/>
        <c:scaling>
          <c:orientation val="minMax"/>
          <c:max val="3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1845239784513628E-2"/>
              <c:y val="5.2418798456459095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14137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3953652400516181"/>
          <c:y val="0.20152254352290747"/>
          <c:w val="0.18413572703412073"/>
          <c:h val="5.810436407313490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279396</xdr:colOff>
      <xdr:row>32</xdr:row>
      <xdr:rowOff>66676</xdr:rowOff>
    </xdr:from>
    <xdr:to>
      <xdr:col>10</xdr:col>
      <xdr:colOff>666750</xdr:colOff>
      <xdr:row>51</xdr:row>
      <xdr:rowOff>28575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0.2288</cdr:x>
      <cdr:y>0.19365</cdr:y>
    </cdr:from>
    <cdr:to>
      <cdr:x>0.77076</cdr:x>
      <cdr:y>0.40952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44654" y="581024"/>
          <a:ext cx="3895725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0.2394</cdr:x>
      <cdr:y>0.01587</cdr:y>
    </cdr:from>
    <cdr:to>
      <cdr:x>0.83834</cdr:x>
      <cdr:y>0.10159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0854" y="47624"/>
          <a:ext cx="43053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7.1: Student enrolment in Atolls by sex, 2014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0.2424</cdr:x>
      <cdr:y>0.10159</cdr:y>
    </cdr:from>
    <cdr:to>
      <cdr:x>0.82376</cdr:x>
      <cdr:y>0.10159</cdr:y>
    </cdr:to>
    <cdr:sp macro="" textlink="">
      <cdr:nvSpPr>
        <cdr:cNvPr id="4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742441" y="304798"/>
          <a:ext cx="4178938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"/>
  <sheetViews>
    <sheetView tabSelected="1" zoomScaleNormal="100" workbookViewId="0">
      <selection activeCell="Q10" sqref="Q10"/>
    </sheetView>
  </sheetViews>
  <sheetFormatPr defaultColWidth="12.5703125" defaultRowHeight="12.75"/>
  <cols>
    <col min="1" max="1" width="11" style="45" customWidth="1"/>
    <col min="2" max="2" width="8.5703125" style="1" customWidth="1"/>
    <col min="3" max="3" width="11.7109375" style="1" customWidth="1"/>
    <col min="4" max="4" width="9.85546875" style="1" customWidth="1"/>
    <col min="5" max="5" width="11.140625" style="1" customWidth="1"/>
    <col min="6" max="6" width="1.7109375" style="1" customWidth="1"/>
    <col min="7" max="7" width="11.7109375" style="1" customWidth="1"/>
    <col min="8" max="8" width="13" style="1" customWidth="1"/>
    <col min="9" max="9" width="11.5703125" style="1" customWidth="1"/>
    <col min="10" max="10" width="11.7109375" style="1" customWidth="1"/>
    <col min="11" max="11" width="10.5703125" style="1" customWidth="1"/>
    <col min="12" max="12" width="7.140625" style="1" customWidth="1"/>
    <col min="13" max="13" width="3.85546875" style="1" customWidth="1"/>
    <col min="14" max="16384" width="12.5703125" style="1"/>
  </cols>
  <sheetData>
    <row r="1" spans="1:29" ht="18.95" customHeight="1">
      <c r="A1" s="70" t="s">
        <v>68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51"/>
    </row>
    <row r="2" spans="1:29" s="3" customFormat="1" ht="18" customHeight="1">
      <c r="A2" s="71" t="s">
        <v>69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2"/>
    </row>
    <row r="3" spans="1:29" s="7" customFormat="1" ht="20.25" customHeight="1">
      <c r="A3" s="4"/>
      <c r="B3" s="72" t="s">
        <v>1</v>
      </c>
      <c r="C3" s="72"/>
      <c r="D3" s="72"/>
      <c r="E3" s="72"/>
      <c r="F3" s="69"/>
      <c r="G3" s="72" t="s">
        <v>2</v>
      </c>
      <c r="H3" s="72"/>
      <c r="I3" s="72"/>
      <c r="J3" s="72"/>
      <c r="K3" s="5"/>
      <c r="L3" s="6"/>
    </row>
    <row r="4" spans="1:29" s="7" customFormat="1" ht="16.5" customHeight="1">
      <c r="A4" s="8" t="s">
        <v>3</v>
      </c>
      <c r="B4" s="9" t="s">
        <v>4</v>
      </c>
      <c r="C4" s="10" t="s">
        <v>5</v>
      </c>
      <c r="D4" s="10" t="s">
        <v>6</v>
      </c>
      <c r="E4" s="10" t="s">
        <v>7</v>
      </c>
      <c r="F4" s="11"/>
      <c r="G4" s="10" t="s">
        <v>4</v>
      </c>
      <c r="H4" s="10" t="s">
        <v>5</v>
      </c>
      <c r="I4" s="10" t="s">
        <v>6</v>
      </c>
      <c r="J4" s="9" t="s">
        <v>7</v>
      </c>
      <c r="K4" s="12" t="s">
        <v>8</v>
      </c>
      <c r="L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9" s="7" customFormat="1" ht="14.25" customHeight="1">
      <c r="A5" s="14"/>
      <c r="B5" s="15" t="s">
        <v>0</v>
      </c>
      <c r="C5" s="15" t="s">
        <v>9</v>
      </c>
      <c r="D5" s="15" t="s">
        <v>10</v>
      </c>
      <c r="E5" s="16" t="s">
        <v>11</v>
      </c>
      <c r="F5" s="17"/>
      <c r="G5" s="16" t="s">
        <v>0</v>
      </c>
      <c r="H5" s="16" t="s">
        <v>9</v>
      </c>
      <c r="I5" s="15" t="s">
        <v>10</v>
      </c>
      <c r="J5" s="15" t="s">
        <v>11</v>
      </c>
      <c r="K5" s="18"/>
      <c r="L5" s="19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9" s="7" customFormat="1" ht="15.75">
      <c r="A6" s="20" t="s">
        <v>12</v>
      </c>
      <c r="B6" s="56">
        <f>SUM(C6:E6)</f>
        <v>455</v>
      </c>
      <c r="C6" s="57">
        <f>C7+C8</f>
        <v>212</v>
      </c>
      <c r="D6" s="57">
        <f>D7+D8</f>
        <v>119</v>
      </c>
      <c r="E6" s="57">
        <f>E7+E8</f>
        <v>124</v>
      </c>
      <c r="F6" s="58"/>
      <c r="G6" s="59">
        <f>SUM(H6:J6)</f>
        <v>87083</v>
      </c>
      <c r="H6" s="60">
        <f>SUM(H7:H8)</f>
        <v>59914</v>
      </c>
      <c r="I6" s="60">
        <f>SUM(I7:I8)</f>
        <v>14149</v>
      </c>
      <c r="J6" s="60">
        <f>SUM(J7:J8)</f>
        <v>13020</v>
      </c>
      <c r="K6" s="21" t="s">
        <v>13</v>
      </c>
      <c r="L6" s="12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9" s="7" customFormat="1" ht="15.75">
      <c r="A7" s="20" t="s">
        <v>14</v>
      </c>
      <c r="B7" s="54">
        <f>SUM(C7:E7)</f>
        <v>37</v>
      </c>
      <c r="C7" s="61">
        <v>13</v>
      </c>
      <c r="D7" s="61">
        <v>20</v>
      </c>
      <c r="E7" s="61">
        <v>4</v>
      </c>
      <c r="F7" s="58"/>
      <c r="G7" s="59">
        <f>SUM(H7:J7)</f>
        <v>28507</v>
      </c>
      <c r="H7" s="60">
        <v>16831</v>
      </c>
      <c r="I7" s="60">
        <v>6884</v>
      </c>
      <c r="J7" s="60">
        <v>4792</v>
      </c>
      <c r="K7" s="12" t="s">
        <v>15</v>
      </c>
      <c r="L7" s="12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9" s="7" customFormat="1" ht="15.75">
      <c r="A8" s="20" t="s">
        <v>16</v>
      </c>
      <c r="B8" s="54">
        <f>SUM(C8:E8)</f>
        <v>418</v>
      </c>
      <c r="C8" s="61">
        <f>SUM(C9:C28)</f>
        <v>199</v>
      </c>
      <c r="D8" s="61">
        <f t="shared" ref="D8:E8" si="0">SUM(D9:D28)</f>
        <v>99</v>
      </c>
      <c r="E8" s="61">
        <f t="shared" si="0"/>
        <v>120</v>
      </c>
      <c r="F8" s="62"/>
      <c r="G8" s="59">
        <f>SUM(H8:J8)</f>
        <v>58576</v>
      </c>
      <c r="H8" s="60">
        <f>SUM(H9:H28)</f>
        <v>43083</v>
      </c>
      <c r="I8" s="63">
        <f>SUM(I9:I28)</f>
        <v>7265</v>
      </c>
      <c r="J8" s="63">
        <f>SUM(J9:J28)</f>
        <v>8228</v>
      </c>
      <c r="K8" s="12" t="s">
        <v>17</v>
      </c>
      <c r="L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9" s="7" customFormat="1" ht="15.75">
      <c r="A9" s="22" t="s">
        <v>64</v>
      </c>
      <c r="B9" s="54">
        <f>SUM(C9:E9)</f>
        <v>28</v>
      </c>
      <c r="C9" s="53">
        <v>14</v>
      </c>
      <c r="D9" s="53">
        <v>5</v>
      </c>
      <c r="E9" s="53">
        <v>9</v>
      </c>
      <c r="F9" s="62"/>
      <c r="G9" s="59">
        <f t="shared" ref="G9:G28" si="1">SUM(H9:J9)</f>
        <v>4041</v>
      </c>
      <c r="H9" s="64">
        <v>3040</v>
      </c>
      <c r="I9" s="64">
        <v>412</v>
      </c>
      <c r="J9" s="64">
        <v>589</v>
      </c>
      <c r="K9" s="23" t="s">
        <v>19</v>
      </c>
      <c r="L9" s="2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9" s="7" customFormat="1" ht="15.75">
      <c r="A10" s="22" t="s">
        <v>65</v>
      </c>
      <c r="B10" s="54">
        <f t="shared" ref="B10:B19" si="2">SUM(C10:E10)</f>
        <v>32</v>
      </c>
      <c r="C10" s="53">
        <v>15</v>
      </c>
      <c r="D10" s="53">
        <v>8</v>
      </c>
      <c r="E10" s="53">
        <v>9</v>
      </c>
      <c r="F10" s="62"/>
      <c r="G10" s="59">
        <f t="shared" si="1"/>
        <v>5527</v>
      </c>
      <c r="H10" s="64">
        <v>4005</v>
      </c>
      <c r="I10" s="64">
        <v>463</v>
      </c>
      <c r="J10" s="64">
        <v>1059</v>
      </c>
      <c r="K10" s="23" t="s">
        <v>21</v>
      </c>
      <c r="L10" s="2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9" s="7" customFormat="1" ht="15.75">
      <c r="A11" s="22" t="s">
        <v>66</v>
      </c>
      <c r="B11" s="54">
        <f t="shared" si="2"/>
        <v>28</v>
      </c>
      <c r="C11" s="53">
        <v>14</v>
      </c>
      <c r="D11" s="53">
        <v>3</v>
      </c>
      <c r="E11" s="53">
        <v>11</v>
      </c>
      <c r="F11" s="62"/>
      <c r="G11" s="59">
        <f t="shared" si="1"/>
        <v>3983</v>
      </c>
      <c r="H11" s="64">
        <v>2930</v>
      </c>
      <c r="I11" s="64">
        <v>251</v>
      </c>
      <c r="J11" s="64">
        <v>802</v>
      </c>
      <c r="K11" s="23" t="s">
        <v>23</v>
      </c>
      <c r="L11" s="2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9" s="7" customFormat="1" ht="15.75">
      <c r="A12" s="22" t="s">
        <v>60</v>
      </c>
      <c r="B12" s="54">
        <f t="shared" si="2"/>
        <v>27</v>
      </c>
      <c r="C12" s="53">
        <v>13</v>
      </c>
      <c r="D12" s="53">
        <v>4</v>
      </c>
      <c r="E12" s="53">
        <v>10</v>
      </c>
      <c r="F12" s="62"/>
      <c r="G12" s="59">
        <f t="shared" si="1"/>
        <v>3154</v>
      </c>
      <c r="H12" s="64">
        <v>2300</v>
      </c>
      <c r="I12" s="64">
        <v>261</v>
      </c>
      <c r="J12" s="64">
        <v>593</v>
      </c>
      <c r="K12" s="23" t="s">
        <v>25</v>
      </c>
      <c r="L12" s="2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9" s="7" customFormat="1" ht="15.75">
      <c r="A13" s="22" t="s">
        <v>67</v>
      </c>
      <c r="B13" s="54">
        <f t="shared" si="2"/>
        <v>31</v>
      </c>
      <c r="C13" s="53">
        <v>16</v>
      </c>
      <c r="D13" s="53">
        <v>7</v>
      </c>
      <c r="E13" s="53">
        <v>8</v>
      </c>
      <c r="F13" s="62"/>
      <c r="G13" s="59">
        <f t="shared" si="1"/>
        <v>4732</v>
      </c>
      <c r="H13" s="64">
        <v>3582</v>
      </c>
      <c r="I13" s="64">
        <v>512</v>
      </c>
      <c r="J13" s="64">
        <v>638</v>
      </c>
      <c r="K13" s="23" t="s">
        <v>27</v>
      </c>
      <c r="L13" s="24"/>
      <c r="M13" s="2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9" s="25" customFormat="1" ht="15.75">
      <c r="A14" s="22" t="s">
        <v>28</v>
      </c>
      <c r="B14" s="54">
        <f t="shared" si="2"/>
        <v>25</v>
      </c>
      <c r="C14" s="53">
        <v>12</v>
      </c>
      <c r="D14" s="53">
        <v>6</v>
      </c>
      <c r="E14" s="53">
        <v>7</v>
      </c>
      <c r="F14" s="62"/>
      <c r="G14" s="59">
        <f t="shared" si="1"/>
        <v>2711</v>
      </c>
      <c r="H14" s="64">
        <v>2075</v>
      </c>
      <c r="I14" s="64">
        <v>294</v>
      </c>
      <c r="J14" s="64">
        <v>342</v>
      </c>
      <c r="K14" s="23" t="s">
        <v>29</v>
      </c>
      <c r="L14" s="24"/>
      <c r="M14" s="25" t="s">
        <v>30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AA14" s="26" t="s">
        <v>3</v>
      </c>
      <c r="AB14" s="73"/>
      <c r="AC14" s="73"/>
    </row>
    <row r="15" spans="1:29" s="25" customFormat="1" ht="15.75">
      <c r="A15" s="22" t="s">
        <v>31</v>
      </c>
      <c r="B15" s="54">
        <f t="shared" si="2"/>
        <v>10</v>
      </c>
      <c r="C15" s="53">
        <v>4</v>
      </c>
      <c r="D15" s="53">
        <v>3</v>
      </c>
      <c r="E15" s="53">
        <v>3</v>
      </c>
      <c r="F15" s="62"/>
      <c r="G15" s="59">
        <f t="shared" si="1"/>
        <v>2157</v>
      </c>
      <c r="H15" s="64">
        <v>1651</v>
      </c>
      <c r="I15" s="64">
        <v>259</v>
      </c>
      <c r="J15" s="64">
        <v>247</v>
      </c>
      <c r="K15" s="23" t="s">
        <v>32</v>
      </c>
      <c r="L15" s="24"/>
      <c r="N15" s="13" t="s">
        <v>30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AA15" s="26"/>
      <c r="AB15" s="27" t="s">
        <v>33</v>
      </c>
      <c r="AC15" s="27" t="s">
        <v>34</v>
      </c>
    </row>
    <row r="16" spans="1:29" s="25" customFormat="1" ht="15.75">
      <c r="A16" s="22" t="s">
        <v>35</v>
      </c>
      <c r="B16" s="54">
        <f t="shared" si="2"/>
        <v>19</v>
      </c>
      <c r="C16" s="53">
        <v>9</v>
      </c>
      <c r="D16" s="53">
        <v>5</v>
      </c>
      <c r="E16" s="53">
        <v>5</v>
      </c>
      <c r="F16" s="62"/>
      <c r="G16" s="59">
        <f t="shared" si="1"/>
        <v>2956</v>
      </c>
      <c r="H16" s="64">
        <v>2022</v>
      </c>
      <c r="I16" s="64">
        <v>429</v>
      </c>
      <c r="J16" s="64">
        <v>505</v>
      </c>
      <c r="K16" s="23" t="s">
        <v>36</v>
      </c>
      <c r="L16" s="2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AA16" s="28"/>
      <c r="AB16" s="29" t="s">
        <v>37</v>
      </c>
      <c r="AC16" s="29" t="s">
        <v>38</v>
      </c>
    </row>
    <row r="17" spans="1:29" s="25" customFormat="1" ht="15.75">
      <c r="A17" s="22" t="s">
        <v>39</v>
      </c>
      <c r="B17" s="54">
        <f t="shared" si="2"/>
        <v>17</v>
      </c>
      <c r="C17" s="53">
        <v>8</v>
      </c>
      <c r="D17" s="53">
        <v>6</v>
      </c>
      <c r="E17" s="53">
        <v>3</v>
      </c>
      <c r="F17" s="62"/>
      <c r="G17" s="59">
        <f t="shared" si="1"/>
        <v>1711</v>
      </c>
      <c r="H17" s="64">
        <v>1235</v>
      </c>
      <c r="I17" s="64">
        <v>341</v>
      </c>
      <c r="J17" s="64">
        <v>135</v>
      </c>
      <c r="K17" s="23" t="s">
        <v>40</v>
      </c>
      <c r="L17" s="2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AA17" s="30" t="s">
        <v>14</v>
      </c>
      <c r="AB17" s="46">
        <v>14353</v>
      </c>
      <c r="AC17" s="46">
        <v>14154</v>
      </c>
    </row>
    <row r="18" spans="1:29" s="25" customFormat="1" ht="15.75">
      <c r="A18" s="22" t="s">
        <v>41</v>
      </c>
      <c r="B18" s="54">
        <f>SUM(C18:E18)</f>
        <v>20</v>
      </c>
      <c r="C18" s="53">
        <v>10</v>
      </c>
      <c r="D18" s="53">
        <v>0</v>
      </c>
      <c r="E18" s="53">
        <v>10</v>
      </c>
      <c r="F18" s="62"/>
      <c r="G18" s="59">
        <f t="shared" si="1"/>
        <v>2087</v>
      </c>
      <c r="H18" s="64">
        <v>1414</v>
      </c>
      <c r="I18" s="64">
        <v>0</v>
      </c>
      <c r="J18" s="64">
        <v>673</v>
      </c>
      <c r="K18" s="23" t="s">
        <v>42</v>
      </c>
      <c r="L18" s="24"/>
      <c r="N18" s="1"/>
      <c r="O18" s="1"/>
      <c r="P18" s="1"/>
      <c r="Q18" s="1"/>
      <c r="R18" s="1"/>
      <c r="S18" s="1"/>
      <c r="T18" s="1"/>
      <c r="U18" s="1"/>
      <c r="AA18" s="47" t="s">
        <v>18</v>
      </c>
      <c r="AB18" s="48">
        <v>2073</v>
      </c>
      <c r="AC18" s="48">
        <v>1968</v>
      </c>
    </row>
    <row r="19" spans="1:29" s="25" customFormat="1" ht="15.75">
      <c r="A19" s="22" t="s">
        <v>43</v>
      </c>
      <c r="B19" s="54">
        <f t="shared" si="2"/>
        <v>6</v>
      </c>
      <c r="C19" s="53">
        <v>3</v>
      </c>
      <c r="D19" s="53">
        <v>2</v>
      </c>
      <c r="E19" s="53">
        <v>1</v>
      </c>
      <c r="F19" s="62"/>
      <c r="G19" s="59">
        <f t="shared" si="1"/>
        <v>380</v>
      </c>
      <c r="H19" s="64">
        <v>270</v>
      </c>
      <c r="I19" s="64">
        <v>52</v>
      </c>
      <c r="J19" s="64">
        <v>58</v>
      </c>
      <c r="K19" s="23" t="s">
        <v>44</v>
      </c>
      <c r="L19" s="24"/>
      <c r="AA19" s="47" t="s">
        <v>20</v>
      </c>
      <c r="AB19" s="48">
        <v>2884</v>
      </c>
      <c r="AC19" s="48">
        <v>2643</v>
      </c>
    </row>
    <row r="20" spans="1:29" s="25" customFormat="1" ht="15.75">
      <c r="A20" s="22" t="s">
        <v>45</v>
      </c>
      <c r="B20" s="54">
        <f t="shared" ref="B20:B28" si="3">SUM(C20:E20)</f>
        <v>16</v>
      </c>
      <c r="C20" s="53">
        <v>8</v>
      </c>
      <c r="D20" s="53">
        <v>0</v>
      </c>
      <c r="E20" s="53">
        <v>8</v>
      </c>
      <c r="F20" s="62"/>
      <c r="G20" s="59">
        <f>SUM(H20:J20)</f>
        <v>1287</v>
      </c>
      <c r="H20" s="64">
        <v>906</v>
      </c>
      <c r="I20" s="64">
        <v>0</v>
      </c>
      <c r="J20" s="64">
        <v>381</v>
      </c>
      <c r="K20" s="23" t="s">
        <v>46</v>
      </c>
      <c r="L20" s="24"/>
      <c r="AA20" s="47" t="s">
        <v>22</v>
      </c>
      <c r="AB20" s="48">
        <v>2081</v>
      </c>
      <c r="AC20" s="48">
        <v>1902</v>
      </c>
    </row>
    <row r="21" spans="1:29" s="25" customFormat="1" ht="15.75">
      <c r="A21" s="22" t="s">
        <v>47</v>
      </c>
      <c r="B21" s="54">
        <f t="shared" si="3"/>
        <v>11</v>
      </c>
      <c r="C21" s="53">
        <v>5</v>
      </c>
      <c r="D21" s="53">
        <v>3</v>
      </c>
      <c r="E21" s="53">
        <v>3</v>
      </c>
      <c r="F21" s="62"/>
      <c r="G21" s="59">
        <f t="shared" si="1"/>
        <v>1413</v>
      </c>
      <c r="H21" s="64">
        <v>1104</v>
      </c>
      <c r="I21" s="64">
        <v>143</v>
      </c>
      <c r="J21" s="64">
        <v>166</v>
      </c>
      <c r="K21" s="23" t="s">
        <v>48</v>
      </c>
      <c r="L21" s="24"/>
      <c r="AA21" s="47" t="s">
        <v>24</v>
      </c>
      <c r="AB21" s="48">
        <v>1618</v>
      </c>
      <c r="AC21" s="48">
        <v>1536</v>
      </c>
    </row>
    <row r="22" spans="1:29" s="25" customFormat="1" ht="15.75">
      <c r="A22" s="22" t="s">
        <v>49</v>
      </c>
      <c r="B22" s="54">
        <f t="shared" si="3"/>
        <v>12</v>
      </c>
      <c r="C22" s="53">
        <v>6</v>
      </c>
      <c r="D22" s="53">
        <v>3</v>
      </c>
      <c r="E22" s="53">
        <v>3</v>
      </c>
      <c r="F22" s="62"/>
      <c r="G22" s="59">
        <f t="shared" si="1"/>
        <v>1648</v>
      </c>
      <c r="H22" s="64">
        <v>1197</v>
      </c>
      <c r="I22" s="64">
        <v>150</v>
      </c>
      <c r="J22" s="64">
        <v>301</v>
      </c>
      <c r="K22" s="23" t="s">
        <v>50</v>
      </c>
      <c r="L22" s="24"/>
      <c r="AA22" s="47" t="s">
        <v>26</v>
      </c>
      <c r="AB22" s="48">
        <v>2450</v>
      </c>
      <c r="AC22" s="48">
        <v>2282</v>
      </c>
    </row>
    <row r="23" spans="1:29" s="31" customFormat="1" ht="15.75">
      <c r="A23" s="22" t="s">
        <v>51</v>
      </c>
      <c r="B23" s="54">
        <f t="shared" si="3"/>
        <v>26</v>
      </c>
      <c r="C23" s="53">
        <v>13</v>
      </c>
      <c r="D23" s="53">
        <v>2</v>
      </c>
      <c r="E23" s="53">
        <v>11</v>
      </c>
      <c r="F23" s="62"/>
      <c r="G23" s="59">
        <f t="shared" si="1"/>
        <v>2634</v>
      </c>
      <c r="H23" s="64">
        <v>1850</v>
      </c>
      <c r="I23" s="64">
        <v>124</v>
      </c>
      <c r="J23" s="64">
        <v>660</v>
      </c>
      <c r="K23" s="23" t="s">
        <v>52</v>
      </c>
      <c r="L23" s="24"/>
      <c r="AA23" s="47" t="s">
        <v>28</v>
      </c>
      <c r="AB23" s="48">
        <v>1434</v>
      </c>
      <c r="AC23" s="48">
        <v>1277</v>
      </c>
    </row>
    <row r="24" spans="1:29" s="31" customFormat="1" ht="15.75">
      <c r="A24" s="22" t="s">
        <v>32</v>
      </c>
      <c r="B24" s="54">
        <f t="shared" si="3"/>
        <v>30</v>
      </c>
      <c r="C24" s="53">
        <v>14</v>
      </c>
      <c r="D24" s="53">
        <v>3</v>
      </c>
      <c r="E24" s="53">
        <v>13</v>
      </c>
      <c r="F24" s="62"/>
      <c r="G24" s="59">
        <f t="shared" si="1"/>
        <v>3658</v>
      </c>
      <c r="H24" s="64">
        <v>2774</v>
      </c>
      <c r="I24" s="64">
        <v>275</v>
      </c>
      <c r="J24" s="64">
        <v>609</v>
      </c>
      <c r="K24" s="23" t="s">
        <v>54</v>
      </c>
      <c r="L24" s="24"/>
      <c r="AA24" s="47" t="s">
        <v>31</v>
      </c>
      <c r="AB24" s="48">
        <v>1043</v>
      </c>
      <c r="AC24" s="48">
        <v>1114</v>
      </c>
    </row>
    <row r="25" spans="1:29" s="31" customFormat="1" ht="15.75">
      <c r="A25" s="22" t="s">
        <v>55</v>
      </c>
      <c r="B25" s="54">
        <f t="shared" si="3"/>
        <v>19</v>
      </c>
      <c r="C25" s="53">
        <v>9</v>
      </c>
      <c r="D25" s="53">
        <v>6</v>
      </c>
      <c r="E25" s="53">
        <v>4</v>
      </c>
      <c r="F25" s="62"/>
      <c r="G25" s="59">
        <f t="shared" si="1"/>
        <v>2491</v>
      </c>
      <c r="H25" s="64">
        <v>2000</v>
      </c>
      <c r="I25" s="64">
        <v>309</v>
      </c>
      <c r="J25" s="64">
        <v>182</v>
      </c>
      <c r="K25" s="23" t="s">
        <v>56</v>
      </c>
      <c r="L25" s="24"/>
      <c r="AA25" s="47" t="s">
        <v>35</v>
      </c>
      <c r="AB25" s="48">
        <v>1555</v>
      </c>
      <c r="AC25" s="48">
        <v>1401</v>
      </c>
    </row>
    <row r="26" spans="1:29" s="31" customFormat="1" ht="15.75">
      <c r="A26" s="22" t="s">
        <v>57</v>
      </c>
      <c r="B26" s="54">
        <f t="shared" si="3"/>
        <v>27</v>
      </c>
      <c r="C26" s="53">
        <v>11</v>
      </c>
      <c r="D26" s="53">
        <v>15</v>
      </c>
      <c r="E26" s="53">
        <v>1</v>
      </c>
      <c r="F26" s="62"/>
      <c r="G26" s="59">
        <f t="shared" si="1"/>
        <v>3480</v>
      </c>
      <c r="H26" s="64">
        <v>2603</v>
      </c>
      <c r="I26" s="64">
        <v>851</v>
      </c>
      <c r="J26" s="64">
        <v>26</v>
      </c>
      <c r="K26" s="23" t="s">
        <v>58</v>
      </c>
      <c r="L26" s="24"/>
      <c r="AA26" s="47" t="s">
        <v>39</v>
      </c>
      <c r="AB26" s="48">
        <v>903</v>
      </c>
      <c r="AC26" s="48">
        <v>808</v>
      </c>
    </row>
    <row r="27" spans="1:29" s="31" customFormat="1" ht="15.75">
      <c r="A27" s="22" t="s">
        <v>59</v>
      </c>
      <c r="B27" s="54">
        <f t="shared" si="3"/>
        <v>12</v>
      </c>
      <c r="C27" s="53">
        <v>4</v>
      </c>
      <c r="D27" s="53">
        <v>7</v>
      </c>
      <c r="E27" s="53">
        <v>1</v>
      </c>
      <c r="F27" s="62"/>
      <c r="G27" s="59">
        <f t="shared" si="1"/>
        <v>2856</v>
      </c>
      <c r="H27" s="64">
        <v>1927</v>
      </c>
      <c r="I27" s="64">
        <v>667</v>
      </c>
      <c r="J27" s="64">
        <v>262</v>
      </c>
      <c r="K27" s="23" t="s">
        <v>60</v>
      </c>
      <c r="L27" s="24"/>
      <c r="AA27" s="47" t="s">
        <v>41</v>
      </c>
      <c r="AB27" s="48">
        <v>1086</v>
      </c>
      <c r="AC27" s="48">
        <v>1001</v>
      </c>
    </row>
    <row r="28" spans="1:29" s="31" customFormat="1" ht="15.75">
      <c r="A28" s="32" t="s">
        <v>23</v>
      </c>
      <c r="B28" s="55">
        <f t="shared" si="3"/>
        <v>22</v>
      </c>
      <c r="C28" s="65">
        <v>11</v>
      </c>
      <c r="D28" s="65">
        <v>11</v>
      </c>
      <c r="E28" s="65">
        <v>0</v>
      </c>
      <c r="F28" s="66"/>
      <c r="G28" s="67">
        <f t="shared" si="1"/>
        <v>5670</v>
      </c>
      <c r="H28" s="68">
        <v>4198</v>
      </c>
      <c r="I28" s="68">
        <v>1472</v>
      </c>
      <c r="J28" s="68">
        <v>0</v>
      </c>
      <c r="K28" s="33" t="s">
        <v>61</v>
      </c>
      <c r="L28" s="24"/>
      <c r="AA28" s="47" t="s">
        <v>43</v>
      </c>
      <c r="AB28" s="48">
        <v>207</v>
      </c>
      <c r="AC28" s="48">
        <v>173</v>
      </c>
    </row>
    <row r="29" spans="1:29" s="41" customFormat="1" ht="15.2" customHeight="1">
      <c r="A29" s="52" t="s">
        <v>70</v>
      </c>
      <c r="I29" s="42"/>
      <c r="K29" s="43" t="s">
        <v>71</v>
      </c>
      <c r="AA29" s="47" t="s">
        <v>45</v>
      </c>
      <c r="AB29" s="48">
        <v>642</v>
      </c>
      <c r="AC29" s="48">
        <v>645</v>
      </c>
    </row>
    <row r="30" spans="1:29" s="25" customFormat="1" ht="12.75" customHeight="1">
      <c r="A30" s="34" t="s">
        <v>62</v>
      </c>
      <c r="B30" s="35"/>
      <c r="C30" s="36"/>
      <c r="D30" s="35"/>
      <c r="E30" s="35"/>
      <c r="F30" s="35"/>
      <c r="G30" s="35"/>
      <c r="H30" s="35"/>
      <c r="I30" s="35"/>
      <c r="J30" s="37"/>
      <c r="K30" s="38" t="s">
        <v>63</v>
      </c>
      <c r="AA30" s="47" t="s">
        <v>47</v>
      </c>
      <c r="AB30" s="48">
        <v>727</v>
      </c>
      <c r="AC30" s="48">
        <v>686</v>
      </c>
    </row>
    <row r="31" spans="1:29" s="31" customFormat="1" ht="13.15" customHeight="1">
      <c r="A31" s="39"/>
      <c r="I31" s="40"/>
      <c r="AA31" s="47" t="s">
        <v>49</v>
      </c>
      <c r="AB31" s="48">
        <v>846</v>
      </c>
      <c r="AC31" s="48">
        <v>802</v>
      </c>
    </row>
    <row r="32" spans="1:29" s="31" customFormat="1">
      <c r="A32" s="39"/>
      <c r="I32" s="40"/>
      <c r="AA32" s="47" t="s">
        <v>51</v>
      </c>
      <c r="AB32" s="48">
        <v>1371</v>
      </c>
      <c r="AC32" s="48">
        <v>1263</v>
      </c>
    </row>
    <row r="33" spans="1:30" s="31" customFormat="1">
      <c r="A33" s="39"/>
      <c r="I33" s="40"/>
      <c r="AA33" s="47" t="s">
        <v>53</v>
      </c>
      <c r="AB33" s="48">
        <v>1918</v>
      </c>
      <c r="AC33" s="48">
        <v>1740</v>
      </c>
    </row>
    <row r="34" spans="1:30" s="31" customFormat="1" ht="12">
      <c r="A34" s="39"/>
      <c r="AA34" s="47" t="s">
        <v>55</v>
      </c>
      <c r="AB34" s="48">
        <v>1276</v>
      </c>
      <c r="AC34" s="48">
        <v>1215</v>
      </c>
    </row>
    <row r="35" spans="1:30" s="31" customFormat="1" ht="12">
      <c r="A35" s="39"/>
      <c r="AA35" s="47" t="s">
        <v>57</v>
      </c>
      <c r="AB35" s="48">
        <v>1810</v>
      </c>
      <c r="AC35" s="48">
        <v>1670</v>
      </c>
    </row>
    <row r="36" spans="1:30" s="31" customFormat="1" ht="12">
      <c r="A36" s="39"/>
      <c r="AA36" s="47" t="s">
        <v>59</v>
      </c>
      <c r="AB36" s="48">
        <v>1402</v>
      </c>
      <c r="AC36" s="48">
        <v>1454</v>
      </c>
    </row>
    <row r="37" spans="1:30" s="31" customFormat="1" ht="12">
      <c r="A37" s="39"/>
      <c r="AA37" s="49" t="s">
        <v>23</v>
      </c>
      <c r="AB37" s="50">
        <v>2832</v>
      </c>
      <c r="AC37" s="50">
        <v>2838</v>
      </c>
    </row>
    <row r="38" spans="1:30" s="31" customFormat="1" ht="12">
      <c r="A38" s="39"/>
      <c r="AA38" s="44"/>
      <c r="AB38" s="50"/>
      <c r="AC38" s="50"/>
    </row>
    <row r="39" spans="1:30" s="31" customFormat="1" ht="12">
      <c r="A39" s="39"/>
    </row>
    <row r="40" spans="1:30" s="31" customFormat="1" ht="12">
      <c r="A40" s="39"/>
    </row>
    <row r="41" spans="1:30" s="31" customFormat="1" ht="12">
      <c r="A41" s="39"/>
    </row>
    <row r="42" spans="1:30" s="31" customFormat="1" ht="12">
      <c r="A42" s="39"/>
    </row>
    <row r="43" spans="1:30">
      <c r="A43" s="39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AA43" s="31"/>
      <c r="AB43" s="31"/>
      <c r="AC43" s="31"/>
      <c r="AD43" s="31"/>
    </row>
    <row r="44" spans="1:30">
      <c r="A44" s="39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AA44" s="31"/>
      <c r="AB44" s="31"/>
      <c r="AC44" s="31"/>
      <c r="AD44" s="31"/>
    </row>
    <row r="45" spans="1:30">
      <c r="A45" s="39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AA45" s="31"/>
      <c r="AB45" s="31"/>
      <c r="AC45" s="31"/>
      <c r="AD45" s="31"/>
    </row>
    <row r="46" spans="1:30">
      <c r="A46" s="39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AA46" s="31"/>
      <c r="AB46" s="31"/>
      <c r="AC46" s="31"/>
      <c r="AD46" s="31"/>
    </row>
    <row r="47" spans="1:30">
      <c r="A47" s="39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AA47" s="31"/>
      <c r="AB47" s="31"/>
      <c r="AC47" s="31"/>
      <c r="AD47" s="31"/>
    </row>
    <row r="48" spans="1:30">
      <c r="A48" s="39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AA48" s="31"/>
      <c r="AB48" s="31"/>
      <c r="AC48" s="31"/>
      <c r="AD48" s="31"/>
    </row>
    <row r="49" spans="27:30">
      <c r="AA49" s="31"/>
      <c r="AB49" s="31"/>
      <c r="AC49" s="31"/>
      <c r="AD49" s="31"/>
    </row>
    <row r="50" spans="27:30">
      <c r="AA50" s="31"/>
      <c r="AB50" s="31"/>
      <c r="AC50" s="31"/>
      <c r="AD50" s="31"/>
    </row>
    <row r="51" spans="27:30" ht="16.7" customHeight="1">
      <c r="AA51" s="31"/>
      <c r="AB51" s="31"/>
      <c r="AC51" s="31"/>
      <c r="AD51" s="31"/>
    </row>
  </sheetData>
  <mergeCells count="5">
    <mergeCell ref="A1:K1"/>
    <mergeCell ref="A2:K2"/>
    <mergeCell ref="B3:E3"/>
    <mergeCell ref="G3:J3"/>
    <mergeCell ref="AB14:AC14"/>
  </mergeCells>
  <pageMargins left="0.17" right="0.17" top="0.48" bottom="0.36" header="0.3" footer="0.3"/>
  <pageSetup paperSize="9" scale="89" orientation="portrait" r:id="rId1"/>
  <colBreaks count="1" manualBreakCount="1">
    <brk id="11" max="1048575" man="1"/>
  </colBreaks>
  <ignoredErrors>
    <ignoredError sqref="C8:J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2016-01-04T08:49:59Z</cp:lastPrinted>
  <dcterms:created xsi:type="dcterms:W3CDTF">2014-03-05T03:36:41Z</dcterms:created>
  <dcterms:modified xsi:type="dcterms:W3CDTF">2016-01-04T08:50:13Z</dcterms:modified>
</cp:coreProperties>
</file>