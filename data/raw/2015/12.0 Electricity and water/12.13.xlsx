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0" yWindow="150" windowWidth="15255" windowHeight="8685" tabRatio="924"/>
  </bookViews>
  <sheets>
    <sheet name="12.13" sheetId="12" r:id="rId1"/>
  </sheets>
  <definedNames>
    <definedName name="_xlnm.Print_Area" localSheetId="0">'12.13'!$A$1:$H$21</definedName>
  </definedNames>
  <calcPr calcId="144525"/>
</workbook>
</file>

<file path=xl/calcChain.xml><?xml version="1.0" encoding="utf-8"?>
<calcChain xmlns="http://schemas.openxmlformats.org/spreadsheetml/2006/main">
  <c r="G6" i="12" l="1"/>
  <c r="C18" i="12" l="1"/>
  <c r="C17" i="12"/>
  <c r="C16" i="12"/>
  <c r="C15" i="12"/>
  <c r="C14" i="12"/>
  <c r="C13" i="12"/>
  <c r="C12" i="12"/>
  <c r="C11" i="12"/>
  <c r="C10" i="12"/>
  <c r="C9" i="12"/>
  <c r="C8" i="12"/>
  <c r="C7" i="12"/>
  <c r="F6" i="12"/>
  <c r="E6" i="12"/>
  <c r="D6" i="12"/>
  <c r="C6" i="12"/>
  <c r="B6" i="12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<sst xmlns="http://schemas.openxmlformats.org/spreadsheetml/2006/main" count="33" uniqueCount="33">
  <si>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</si>
  <si>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</si>
  <si>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</si>
  <si>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</si>
  <si>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</si>
  <si>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</si>
  <si>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</si>
  <si>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</si>
  <si>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</si>
  <si>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</si>
  <si>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</si>
  <si>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</si>
  <si>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</si>
  <si>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</si>
  <si>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</si>
  <si>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</si>
  <si>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</si>
  <si>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</si>
  <si>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</si>
  <si>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</si>
  <si>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</si>
  <si>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</si>
  <si>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</si>
  <si>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</si>
  <si>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</si>
  <si>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</si>
  <si>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</si>
  <si>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</si>
  <si>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</si>
  <si>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</si>
  <si>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</si>
  <si>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r>
      <t xml:space="preserve">2014- 2009 ,urwvcnim unuverukcnunEb cnef </t>
    </r>
    <r>
      <rPr>
        <b/>
        <sz val="10"/>
        <rFont val="A_Reethi"/>
      </rPr>
      <t>ހުޅުމާލޭގައި</t>
    </r>
    <r>
      <rPr>
        <b/>
        <sz val="10"/>
        <rFont val="A_Randhoo"/>
      </rPr>
      <t xml:space="preserve"> cnutog eguhwmcswm  : 12.13  ulwvWt</t>
    </r>
  </si>
  <si>
    <t xml:space="preserve">Table 12.13 : WATER DISTRIBUTION  IN HULHUMALE' BY MONTH, 2009 - 2014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</si>
</sst>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9" formatCode="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b/>
      <sz val="12"/>
      <name val="Calibri"/>
      <family val="2"/>
      <scheme val="minor"/>
    </font>
    <font>
      <sz val="10"/>
      <name val="A_Randhoo"/>
    </font>
    <font>
      <b/>
      <sz val="10"/>
      <name val="A_Funa"/>
    </font>
    <font>
      <sz val="10"/>
      <name val="Garamond"/>
      <family val="1"/>
    </font>
    <font>
      <b/>
      <sz val="10"/>
      <name val="A_Randhoo"/>
    </font>
    <font>
      <b/>
      <sz val="10"/>
      <name val="A_Randhoo Aa"/>
    </font>
    <font>
      <b/>
      <sz val="10"/>
      <name val="A_Reeth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1" fillId="0" borderId="0"/>
    <xf numFmtId="0" fontId="1" fillId="0" borderId="0"/>
  </cellStyleXfs>
  <cellXfs count="31">
    <xf numFmtId="0" fontId="0" fillId="0" borderId="0" xfId="0"/>
    <xf numFmtId="0" fontId="8" fillId="2" borderId="0" xfId="2" applyFont="1" applyFill="1" applyBorder="1" applyAlignment="1">
      <alignment horizontal="center" vertical="center" wrapText="1"/>
    </xf>
    <xf numFmtId="0" fontId="1" fillId="2" borderId="0" xfId="2" applyFont="1" applyFill="1" applyBorder="1"/>
    <xf numFmtId="0" fontId="4" fillId="2" borderId="0" xfId="2" applyFont="1" applyFill="1"/>
    <xf numFmtId="0" fontId="4" fillId="2" borderId="0" xfId="2" applyFont="1" applyFill="1" applyAlignment="1">
      <alignment vertical="center"/>
    </xf>
    <xf numFmtId="0" fontId="5" fillId="2" borderId="0" xfId="5" applyFont="1" applyFill="1"/>
    <xf numFmtId="0" fontId="12" fillId="2" borderId="2" xfId="5" applyFont="1" applyFill="1" applyBorder="1" applyAlignment="1">
      <alignment horizontal="right"/>
    </xf>
    <xf numFmtId="0" fontId="12" fillId="2" borderId="0" xfId="5" applyFont="1" applyFill="1" applyBorder="1" applyAlignment="1">
      <alignment horizontal="right"/>
    </xf>
    <xf numFmtId="0" fontId="9" fillId="2" borderId="0" xfId="5" applyFont="1" applyFill="1" applyBorder="1" applyAlignment="1">
      <alignment horizontal="right"/>
    </xf>
    <xf numFmtId="0" fontId="9" fillId="2" borderId="1" xfId="5" applyFont="1" applyFill="1" applyBorder="1" applyAlignment="1">
      <alignment horizontal="right"/>
    </xf>
    <xf numFmtId="0" fontId="12" fillId="2" borderId="0" xfId="2" applyFont="1" applyFill="1" applyAlignment="1">
      <alignment vertical="center"/>
    </xf>
    <xf numFmtId="0" fontId="4" fillId="2" borderId="0" xfId="2" applyFont="1" applyFill="1" applyAlignment="1">
      <alignment wrapText="1"/>
    </xf>
    <xf numFmtId="0" fontId="3" fillId="2" borderId="0" xfId="2" applyFont="1" applyFill="1" applyBorder="1" applyAlignment="1">
      <alignment vertical="center"/>
    </xf>
    <xf numFmtId="0" fontId="2" fillId="2" borderId="2" xfId="5" applyFont="1" applyFill="1" applyBorder="1" applyAlignment="1">
      <alignment vertical="center"/>
    </xf>
    <xf numFmtId="0" fontId="2" fillId="2" borderId="2" xfId="5" applyFont="1" applyFill="1" applyBorder="1" applyAlignment="1">
      <alignment horizontal="right" vertical="center"/>
    </xf>
    <xf numFmtId="0" fontId="2" fillId="2" borderId="0" xfId="5" applyFont="1" applyFill="1" applyBorder="1" applyAlignment="1">
      <alignment vertical="center"/>
    </xf>
    <xf numFmtId="169" fontId="2" fillId="2" borderId="0" xfId="2" applyNumberFormat="1" applyFont="1" applyFill="1" applyAlignment="1">
      <alignment horizontal="right" vertical="center"/>
    </xf>
    <xf numFmtId="169" fontId="2" fillId="2" borderId="0" xfId="3" applyNumberFormat="1" applyFont="1" applyFill="1" applyAlignment="1">
      <alignment horizontal="right" vertical="center"/>
    </xf>
    <xf numFmtId="0" fontId="4" fillId="2" borderId="0" xfId="5" applyFont="1" applyFill="1" applyBorder="1" applyAlignment="1">
      <alignment vertical="center"/>
    </xf>
    <xf numFmtId="169" fontId="4" fillId="2" borderId="0" xfId="2" applyNumberFormat="1" applyFont="1" applyFill="1" applyAlignment="1">
      <alignment horizontal="right" vertical="center"/>
    </xf>
    <xf numFmtId="169" fontId="4" fillId="2" borderId="0" xfId="3" applyNumberFormat="1" applyFont="1" applyFill="1" applyAlignment="1">
      <alignment horizontal="right" vertical="center"/>
    </xf>
    <xf numFmtId="0" fontId="4" fillId="2" borderId="1" xfId="5" applyFont="1" applyFill="1" applyBorder="1" applyAlignment="1">
      <alignment vertical="center"/>
    </xf>
    <xf numFmtId="169" fontId="4" fillId="2" borderId="1" xfId="2" applyNumberFormat="1" applyFont="1" applyFill="1" applyBorder="1" applyAlignment="1">
      <alignment horizontal="right" vertical="center"/>
    </xf>
    <xf numFmtId="169" fontId="4" fillId="2" borderId="1" xfId="3" applyNumberFormat="1" applyFont="1" applyFill="1" applyBorder="1" applyAlignment="1">
      <alignment horizontal="right" vertical="center"/>
    </xf>
    <xf numFmtId="0" fontId="8" fillId="2" borderId="0" xfId="2" applyFont="1" applyFill="1" applyBorder="1" applyAlignment="1">
      <alignment vertical="center" wrapText="1"/>
    </xf>
    <xf numFmtId="0" fontId="10" fillId="2" borderId="0" xfId="2" applyFont="1" applyFill="1" applyBorder="1" applyAlignment="1">
      <alignment vertical="center" wrapText="1"/>
    </xf>
    <xf numFmtId="0" fontId="3" fillId="2" borderId="0" xfId="2" applyFont="1" applyFill="1" applyBorder="1" applyAlignment="1">
      <alignment horizontal="center" vertical="center"/>
    </xf>
    <xf numFmtId="0" fontId="6" fillId="2" borderId="0" xfId="5" applyFont="1" applyFill="1" applyAlignment="1">
      <alignment horizontal="right"/>
    </xf>
    <xf numFmtId="0" fontId="12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5" applyFont="1" applyFill="1" applyBorder="1" applyAlignment="1">
      <alignment horizontal="center" wrapText="1"/>
    </xf>
  </cellXfs>
  <cellStyles count="7">
    <cellStyle name="Comma 2" xfId="1"/>
    <cellStyle name="Comma 4" xfId="3"/>
    <cellStyle name="Comma 4 2" xfId="4"/>
    <cellStyle name="Normal" xfId="0" builtinId="0"/>
    <cellStyle name="Normal 2" xfId="2"/>
    <cellStyle name="Normal 2 2" xfId="6"/>
    <cellStyle name="Normal_X-5 (Electricity)" xfId="5"/>
  </cellStyles>
  <dxfs count="0"/>
  <tableStyles count="0" defaultTableStyle="TableStyleMedium9" defaultPivotStyle="PivotStyleLight16"/>
  <colors>
    <mruColors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21"/>
  <sheetViews>
    <sheetView tabSelected="1" zoomScaleNormal="100" workbookViewId="0">
      <selection activeCell="L25" sqref="L25"/>
    </sheetView>
  </sheetViews>
  <sheetFormatPr defaultColWidth="9.140625" defaultRowHeight="12.75" x14ac:dyDescent="0.2"/>
  <cols>
    <col min="1" max="1" width="11.42578125" style="3" customWidth="1"/>
    <col min="2" max="7" width="12.42578125" style="3" customWidth="1"/>
    <col min="8" max="8" width="15.28515625" style="3" customWidth="1"/>
    <col min="9" max="16384" width="9.140625" style="3"/>
  </cols>
  <sheetData>
    <row r="1" spans="1:20" ht="18.75" x14ac:dyDescent="0.2">
      <c r="A1" s="28" t="s">
        <v>31</v>
      </c>
      <c r="B1" s="28"/>
      <c r="C1" s="28"/>
      <c r="D1" s="28"/>
      <c r="E1" s="28"/>
      <c r="F1" s="28"/>
      <c r="G1" s="28"/>
      <c r="H1" s="28"/>
    </row>
    <row r="2" spans="1:20" s="11" customFormat="1" ht="11.25" customHeight="1" x14ac:dyDescent="0.2">
      <c r="A2" s="30" t="s">
        <v>32</v>
      </c>
      <c r="B2" s="30"/>
      <c r="C2" s="30"/>
      <c r="D2" s="30"/>
      <c r="E2" s="30"/>
      <c r="F2" s="30"/>
      <c r="G2" s="30"/>
      <c r="H2" s="30"/>
    </row>
    <row r="3" spans="1:20" s="2" customFormat="1" ht="15.75" customHeight="1" x14ac:dyDescent="0.2">
      <c r="A3" s="29" t="s">
        <v>9</v>
      </c>
      <c r="B3" s="29"/>
      <c r="C3" s="29"/>
      <c r="D3" s="29"/>
      <c r="E3" s="29"/>
      <c r="F3" s="29"/>
      <c r="G3" s="29"/>
      <c r="H3" s="29"/>
      <c r="I3" s="12"/>
      <c r="J3" s="12"/>
      <c r="K3" s="25"/>
      <c r="L3" s="25"/>
      <c r="M3" s="25"/>
      <c r="N3" s="25"/>
      <c r="O3" s="25"/>
      <c r="P3" s="24"/>
      <c r="Q3" s="24"/>
      <c r="R3" s="24"/>
      <c r="S3" s="24"/>
      <c r="T3" s="1"/>
    </row>
    <row r="4" spans="1:20" s="2" customFormat="1" ht="15.75" customHeight="1" x14ac:dyDescent="0.2">
      <c r="A4" s="26"/>
      <c r="B4" s="26"/>
      <c r="C4" s="26"/>
      <c r="D4" s="26"/>
      <c r="E4" s="26"/>
      <c r="F4" s="26"/>
      <c r="G4" s="26"/>
      <c r="H4" s="26"/>
      <c r="I4" s="12"/>
      <c r="J4" s="12"/>
      <c r="K4" s="25"/>
      <c r="L4" s="25"/>
      <c r="M4" s="25"/>
      <c r="N4" s="25"/>
      <c r="O4" s="25"/>
      <c r="P4" s="24"/>
      <c r="Q4" s="24"/>
      <c r="R4" s="24"/>
      <c r="S4" s="24"/>
      <c r="T4" s="1"/>
    </row>
    <row r="5" spans="1:20" s="4" customFormat="1" ht="15.75" x14ac:dyDescent="0.4">
      <c r="A5" s="13" t="s">
        <v>5</v>
      </c>
      <c r="B5" s="14">
        <v>2009</v>
      </c>
      <c r="C5" s="14">
        <v>2010</v>
      </c>
      <c r="D5" s="14">
        <v>2011</v>
      </c>
      <c r="E5" s="14">
        <v>2012</v>
      </c>
      <c r="F5" s="14">
        <v>2013</v>
      </c>
      <c r="G5" s="14">
        <v>2014</v>
      </c>
      <c r="H5" s="6" t="s">
        <v>6</v>
      </c>
    </row>
    <row r="6" spans="1:20" ht="21.75" customHeight="1" x14ac:dyDescent="0.4">
      <c r="A6" s="15" t="s">
        <v>10</v>
      </c>
      <c r="B6" s="16">
        <f t="shared" ref="B6:G6" si="0">SUM(B7:B18)</f>
        <v>138.17469999999997</v>
      </c>
      <c r="C6" s="16">
        <f t="shared" si="0"/>
        <v>195.63159999999999</v>
      </c>
      <c r="D6" s="16">
        <f t="shared" si="0"/>
        <v>260.71799999999996</v>
      </c>
      <c r="E6" s="17">
        <f t="shared" si="0"/>
        <v>398.70199999999994</v>
      </c>
      <c r="F6" s="17">
        <f t="shared" si="0"/>
        <v>422.67500000000001</v>
      </c>
      <c r="G6" s="17">
        <f t="shared" si="0"/>
        <v>622.2589999999999</v>
      </c>
      <c r="H6" s="7" t="s">
        <v>0</v>
      </c>
    </row>
    <row r="7" spans="1:20" ht="21.75" customHeight="1" x14ac:dyDescent="0.4">
      <c r="A7" s="18" t="s">
        <v>11</v>
      </c>
      <c r="B7" s="19">
        <v>9.6440999999999999</v>
      </c>
      <c r="C7" s="19">
        <f>16473.3/1000</f>
        <v>16.473299999999998</v>
      </c>
      <c r="D7" s="19">
        <v>16.818999999999999</v>
      </c>
      <c r="E7" s="20">
        <v>28.876000000000001</v>
      </c>
      <c r="F7" s="20">
        <v>35.198999999999998</v>
      </c>
      <c r="G7" s="20">
        <v>49.603999999999999</v>
      </c>
      <c r="H7" s="8" t="s">
        <v>12</v>
      </c>
    </row>
    <row r="8" spans="1:20" ht="21.75" customHeight="1" x14ac:dyDescent="0.4">
      <c r="A8" s="18" t="s">
        <v>13</v>
      </c>
      <c r="B8" s="19">
        <v>9.4510000000000005</v>
      </c>
      <c r="C8" s="19">
        <f>15613.3/1000</f>
        <v>15.613299999999999</v>
      </c>
      <c r="D8" s="19">
        <v>15.41</v>
      </c>
      <c r="E8" s="20">
        <v>27.745999999999999</v>
      </c>
      <c r="F8" s="20">
        <v>32.840000000000003</v>
      </c>
      <c r="G8" s="20">
        <v>45.359000000000002</v>
      </c>
      <c r="H8" s="8" t="s">
        <v>14</v>
      </c>
    </row>
    <row r="9" spans="1:20" ht="21.75" customHeight="1" x14ac:dyDescent="0.4">
      <c r="A9" s="18" t="s">
        <v>15</v>
      </c>
      <c r="B9" s="19">
        <v>11.5985</v>
      </c>
      <c r="C9" s="19">
        <f>17038.5/1000</f>
        <v>17.038499999999999</v>
      </c>
      <c r="D9" s="19">
        <v>19.492999999999999</v>
      </c>
      <c r="E9" s="20">
        <v>30.925999999999998</v>
      </c>
      <c r="F9" s="20">
        <v>35.325000000000003</v>
      </c>
      <c r="G9" s="20">
        <v>49.375</v>
      </c>
      <c r="H9" s="8" t="s">
        <v>1</v>
      </c>
    </row>
    <row r="10" spans="1:20" ht="21.75" customHeight="1" x14ac:dyDescent="0.4">
      <c r="A10" s="18" t="s">
        <v>16</v>
      </c>
      <c r="B10" s="19">
        <v>11.151399999999999</v>
      </c>
      <c r="C10" s="19">
        <f>16484.3/1000</f>
        <v>16.484299999999998</v>
      </c>
      <c r="D10" s="19">
        <v>19.390999999999998</v>
      </c>
      <c r="E10" s="20">
        <v>32.526000000000003</v>
      </c>
      <c r="F10" s="20">
        <v>32.479999999999997</v>
      </c>
      <c r="G10" s="20">
        <v>50.628999999999998</v>
      </c>
      <c r="H10" s="8" t="s">
        <v>17</v>
      </c>
    </row>
    <row r="11" spans="1:20" ht="21.75" customHeight="1" x14ac:dyDescent="0.4">
      <c r="A11" s="18" t="s">
        <v>18</v>
      </c>
      <c r="B11" s="19">
        <v>10.584700000000002</v>
      </c>
      <c r="C11" s="19">
        <f>15456.1/1000</f>
        <v>15.456100000000001</v>
      </c>
      <c r="D11" s="19">
        <v>21.202000000000002</v>
      </c>
      <c r="E11" s="20">
        <v>35.826000000000001</v>
      </c>
      <c r="F11" s="20">
        <v>31.451000000000001</v>
      </c>
      <c r="G11" s="20">
        <v>51.429000000000002</v>
      </c>
      <c r="H11" s="8" t="s">
        <v>2</v>
      </c>
    </row>
    <row r="12" spans="1:20" ht="21.75" customHeight="1" x14ac:dyDescent="0.4">
      <c r="A12" s="18" t="s">
        <v>19</v>
      </c>
      <c r="B12" s="19">
        <v>10.6518</v>
      </c>
      <c r="C12" s="19">
        <f>15278.5/1000</f>
        <v>15.278499999999999</v>
      </c>
      <c r="D12" s="19">
        <v>20.731999999999999</v>
      </c>
      <c r="E12" s="20">
        <v>36.28</v>
      </c>
      <c r="F12" s="20">
        <v>31.388999999999999</v>
      </c>
      <c r="G12" s="20">
        <v>52.448999999999998</v>
      </c>
      <c r="H12" s="8" t="s">
        <v>3</v>
      </c>
    </row>
    <row r="13" spans="1:20" ht="21.75" customHeight="1" x14ac:dyDescent="0.4">
      <c r="A13" s="18" t="s">
        <v>20</v>
      </c>
      <c r="B13" s="19">
        <v>11.2951</v>
      </c>
      <c r="C13" s="19">
        <f>15662.1/1000</f>
        <v>15.662100000000001</v>
      </c>
      <c r="D13" s="19">
        <v>22.3</v>
      </c>
      <c r="E13" s="20">
        <v>39.279000000000003</v>
      </c>
      <c r="F13" s="20">
        <v>34.36</v>
      </c>
      <c r="G13" s="20">
        <v>52.813000000000002</v>
      </c>
      <c r="H13" s="8" t="s">
        <v>4</v>
      </c>
    </row>
    <row r="14" spans="1:20" ht="21.75" customHeight="1" x14ac:dyDescent="0.4">
      <c r="A14" s="18" t="s">
        <v>21</v>
      </c>
      <c r="B14" s="19">
        <v>12.038500000000001</v>
      </c>
      <c r="C14" s="19">
        <f>16729/1000</f>
        <v>16.728999999999999</v>
      </c>
      <c r="D14" s="19">
        <v>24.875</v>
      </c>
      <c r="E14" s="20">
        <v>37.287999999999997</v>
      </c>
      <c r="F14" s="20">
        <v>33.33</v>
      </c>
      <c r="G14" s="20">
        <v>53.771999999999998</v>
      </c>
      <c r="H14" s="8" t="s">
        <v>22</v>
      </c>
    </row>
    <row r="15" spans="1:20" ht="21.75" customHeight="1" x14ac:dyDescent="0.4">
      <c r="A15" s="18" t="s">
        <v>23</v>
      </c>
      <c r="B15" s="19">
        <v>12.564</v>
      </c>
      <c r="C15" s="19">
        <f>16091.8/1000</f>
        <v>16.091799999999999</v>
      </c>
      <c r="D15" s="19">
        <v>23.678000000000001</v>
      </c>
      <c r="E15" s="20">
        <v>34.450000000000003</v>
      </c>
      <c r="F15" s="20">
        <v>35.142000000000003</v>
      </c>
      <c r="G15" s="20">
        <v>51.92</v>
      </c>
      <c r="H15" s="8" t="s">
        <v>24</v>
      </c>
    </row>
    <row r="16" spans="1:20" ht="21.75" customHeight="1" x14ac:dyDescent="0.4">
      <c r="A16" s="18" t="s">
        <v>25</v>
      </c>
      <c r="B16" s="19">
        <v>13.288799999999998</v>
      </c>
      <c r="C16" s="19">
        <f>18183/1000</f>
        <v>18.183</v>
      </c>
      <c r="D16" s="19">
        <v>26.515999999999998</v>
      </c>
      <c r="E16" s="20">
        <v>32.64</v>
      </c>
      <c r="F16" s="20">
        <v>38.256999999999998</v>
      </c>
      <c r="G16" s="20">
        <v>52.387</v>
      </c>
      <c r="H16" s="8" t="s">
        <v>26</v>
      </c>
    </row>
    <row r="17" spans="1:11" ht="21.75" customHeight="1" x14ac:dyDescent="0.4">
      <c r="A17" s="18" t="s">
        <v>27</v>
      </c>
      <c r="B17" s="19">
        <v>12.004200000000001</v>
      </c>
      <c r="C17" s="19">
        <f>16258.8/1000</f>
        <v>16.258800000000001</v>
      </c>
      <c r="D17" s="19">
        <v>23.587</v>
      </c>
      <c r="E17" s="20">
        <v>31.102</v>
      </c>
      <c r="F17" s="20">
        <v>39.124000000000002</v>
      </c>
      <c r="G17" s="20">
        <v>52.207999999999998</v>
      </c>
      <c r="H17" s="8" t="s">
        <v>28</v>
      </c>
    </row>
    <row r="18" spans="1:11" ht="21.75" customHeight="1" x14ac:dyDescent="0.4">
      <c r="A18" s="21" t="s">
        <v>29</v>
      </c>
      <c r="B18" s="22">
        <v>13.9026</v>
      </c>
      <c r="C18" s="22">
        <f>16362.9/1000</f>
        <v>16.3629</v>
      </c>
      <c r="D18" s="22">
        <v>26.715</v>
      </c>
      <c r="E18" s="23">
        <v>31.763000000000002</v>
      </c>
      <c r="F18" s="23">
        <v>43.777999999999999</v>
      </c>
      <c r="G18" s="23">
        <v>60.314</v>
      </c>
      <c r="H18" s="9" t="s">
        <v>30</v>
      </c>
    </row>
    <row r="19" spans="1:11" ht="15.75" x14ac:dyDescent="0.4">
      <c r="A19" s="5" t="s">
        <v>8</v>
      </c>
      <c r="H19" s="27" t="s">
        <v>7</v>
      </c>
    </row>
    <row r="21" spans="1:11" ht="15.75" x14ac:dyDescent="0.2">
      <c r="B21" s="10"/>
      <c r="C21" s="10"/>
      <c r="D21" s="10"/>
      <c r="E21" s="10"/>
      <c r="F21" s="10"/>
      <c r="G21" s="10"/>
      <c r="H21" s="10"/>
      <c r="I21" s="10"/>
      <c r="J21" s="10"/>
      <c r="K21" s="10"/>
    </row>
  </sheetData>
  <mergeCells count="3">
    <mergeCell ref="A1:H1"/>
    <mergeCell ref="A2:H2"/>
    <mergeCell ref="A3:H3"/>
  </mergeCells>
  <pageMargins left="0.7" right="0.7" top="0.75" bottom="0.75" header="0.3" footer="0.3"/>
  <pageSetup paperSize="9" scale="10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12.13</vt:lpstr>
      <vt:lpstr>'12.13'!Print_Area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2016-02-25T08:45:31Z</cp:lastPrinted>
  <dcterms:created xsi:type="dcterms:W3CDTF">2015-01-12T08:51:45Z</dcterms:created>
  <dcterms:modified xsi:type="dcterms:W3CDTF">2016-02-25T08:45:37Z</dcterms:modified>
</cp:coreProperties>
</file>