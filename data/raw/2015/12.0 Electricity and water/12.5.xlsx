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5" sheetId="5" r:id="rId1"/>
  </sheets>
  <definedNames>
    <definedName name="_xlnm.Print_Area" localSheetId="0">'12.5'!$A$1:$H$19</definedName>
  </definedNames>
  <calcPr calcId="144525"/>
</workbook>
</file>

<file path=xl/calcChain.xml><?xml version="1.0" encoding="utf-8"?>
<calcChain xmlns="http://schemas.openxmlformats.org/spreadsheetml/2006/main">
  <c r="D18" i="5" l="1"/>
  <c r="F18" i="5" s="1"/>
  <c r="C18" i="5"/>
  <c r="E18" i="5" s="1"/>
  <c r="E17" i="5"/>
  <c r="E16" i="5"/>
  <c r="E15" i="5"/>
  <c r="F14" i="5"/>
  <c r="E14" i="5"/>
  <c r="E13" i="5"/>
  <c r="D11" i="5"/>
  <c r="F11" i="5" s="1"/>
  <c r="C11" i="5"/>
  <c r="E11" i="5" s="1"/>
  <c r="E10" i="5"/>
  <c r="F9" i="5"/>
  <c r="E9" i="5"/>
  <c r="E8" i="5"/>
  <c r="F7" i="5"/>
  <c r="E7" i="5"/>
  <c r="E6" i="5"/>
  <c r="F16" i="5" l="1"/>
  <c r="F6" i="5"/>
  <c r="F8" i="5"/>
  <c r="F10" i="5"/>
  <c r="F13" i="5"/>
  <c r="F15" i="5"/>
  <c r="F17" i="5"/>
</calcChain>
</file>

<file path=xl/sharedStrings.xml><?xml version="1.0" encoding="utf-8"?>
<sst xmlns="http://schemas.openxmlformats.org/spreadsheetml/2006/main" count="44" uniqueCount="31">
  <si>
    <t xml:space="preserve"> % cnutogWviawfiheb</t>
  </si>
  <si>
    <t>Source: State Electric Company Limited</t>
  </si>
  <si>
    <t>Bands</t>
  </si>
  <si>
    <t>ރޭޓް</t>
  </si>
  <si>
    <t>ޖުމްލަ</t>
  </si>
  <si>
    <t>އަދަދު</t>
  </si>
  <si>
    <t>ބޭންޑް</t>
  </si>
  <si>
    <t>Rates (Rf)</t>
  </si>
  <si>
    <t>Total (Kwh)</t>
  </si>
  <si>
    <t>Value (Rf)</t>
  </si>
  <si>
    <t>% Share of Quantity</t>
  </si>
  <si>
    <t>% Share of Value</t>
  </si>
  <si>
    <t>Domestic</t>
  </si>
  <si>
    <t>ގޭބިސީ</t>
  </si>
  <si>
    <t>0-100 units</t>
  </si>
  <si>
    <t>100 - 0</t>
  </si>
  <si>
    <t>101-300</t>
  </si>
  <si>
    <t>300 - 101</t>
  </si>
  <si>
    <t>301 -500</t>
  </si>
  <si>
    <t>500 - 301</t>
  </si>
  <si>
    <t>501-600</t>
  </si>
  <si>
    <t>600 - 501</t>
  </si>
  <si>
    <t>&gt; 600</t>
  </si>
  <si>
    <t>All bands</t>
  </si>
  <si>
    <t>ހުރިހާ ބޭންޑް</t>
  </si>
  <si>
    <t>Non-Domestic</t>
  </si>
  <si>
    <t>އޮފީސް އަދި އެހެނިހެން</t>
  </si>
  <si>
    <t>601އަށް ވުރެމަތި</t>
  </si>
  <si>
    <t>cDeTimil Inepcmok ckircTckeliacTETcs :ctWrwfivcaedutWmUluAwm</t>
  </si>
  <si>
    <t>2014 ,urwvcnim unuverukcnunEb cTcnwrwk iawgElWm :12.5 ulwvWt</t>
  </si>
  <si>
    <t>TABLE 12.5 ELECTRICITY CONSUMPTION IN MALE', 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</si>
</sst>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6" formatCode="_(* #,##0.0_);_(* \(#,##0.0\);_(* &quot;-&quot;??_);_(@_)"/>
    <numFmt numFmtId="167" formatCode="General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1"/>
      <name val="A_Ilham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Faruma"/>
    </font>
    <font>
      <b/>
      <u/>
      <sz val="11"/>
      <name val="Calibri"/>
      <family val="2"/>
      <scheme val="minor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8" fillId="2" borderId="12" xfId="2" applyFont="1" applyFill="1" applyBorder="1" applyAlignment="1">
      <alignment vertical="center"/>
    </xf>
    <xf numFmtId="0" fontId="9" fillId="2" borderId="3" xfId="0" applyFont="1" applyFill="1" applyBorder="1"/>
    <xf numFmtId="0" fontId="3" fillId="2" borderId="3" xfId="0" applyFont="1" applyFill="1" applyBorder="1"/>
    <xf numFmtId="167" fontId="11" fillId="2" borderId="13" xfId="2" applyNumberFormat="1" applyFont="1" applyFill="1" applyBorder="1" applyAlignment="1">
      <alignment vertical="top" wrapText="1"/>
    </xf>
    <xf numFmtId="167" fontId="11" fillId="2" borderId="14" xfId="2" applyNumberFormat="1" applyFont="1" applyFill="1" applyBorder="1" applyAlignment="1">
      <alignment vertical="top" wrapText="1"/>
    </xf>
    <xf numFmtId="167" fontId="12" fillId="2" borderId="14" xfId="2" applyNumberFormat="1" applyFont="1" applyFill="1" applyBorder="1" applyAlignment="1">
      <alignment horizontal="right" vertical="top" wrapText="1"/>
    </xf>
    <xf numFmtId="167" fontId="10" fillId="2" borderId="16" xfId="2" applyNumberFormat="1" applyFont="1" applyFill="1" applyBorder="1" applyAlignment="1">
      <alignment horizontal="right" vertical="center"/>
    </xf>
    <xf numFmtId="167" fontId="13" fillId="2" borderId="7" xfId="0" applyNumberFormat="1" applyFont="1" applyFill="1" applyBorder="1"/>
    <xf numFmtId="43" fontId="9" fillId="2" borderId="3" xfId="3" applyFont="1" applyFill="1" applyBorder="1"/>
    <xf numFmtId="164" fontId="9" fillId="2" borderId="3" xfId="3" applyNumberFormat="1" applyFont="1" applyFill="1" applyBorder="1"/>
    <xf numFmtId="43" fontId="9" fillId="2" borderId="18" xfId="3" applyFont="1" applyFill="1" applyBorder="1"/>
    <xf numFmtId="43" fontId="14" fillId="2" borderId="18" xfId="3" applyFont="1" applyFill="1" applyBorder="1" applyAlignment="1">
      <alignment vertical="center" textRotation="90"/>
    </xf>
    <xf numFmtId="164" fontId="11" fillId="2" borderId="3" xfId="3" applyNumberFormat="1" applyFont="1" applyFill="1" applyBorder="1" applyAlignment="1">
      <alignment horizontal="right" vertical="center"/>
    </xf>
    <xf numFmtId="167" fontId="9" fillId="2" borderId="3" xfId="2" applyNumberFormat="1" applyFont="1" applyFill="1" applyBorder="1" applyAlignment="1" applyProtection="1">
      <alignment horizontal="left" vertical="center"/>
    </xf>
    <xf numFmtId="43" fontId="9" fillId="2" borderId="3" xfId="3" applyFont="1" applyFill="1" applyBorder="1" applyAlignment="1" applyProtection="1">
      <alignment horizontal="right" vertical="center"/>
    </xf>
    <xf numFmtId="166" fontId="9" fillId="2" borderId="3" xfId="3" applyNumberFormat="1" applyFont="1" applyFill="1" applyBorder="1" applyAlignment="1">
      <alignment horizontal="left" vertical="center" indent="7"/>
    </xf>
    <xf numFmtId="164" fontId="15" fillId="2" borderId="3" xfId="3" applyNumberFormat="1" applyFont="1" applyFill="1" applyBorder="1" applyAlignment="1">
      <alignment horizontal="right" vertical="center"/>
    </xf>
    <xf numFmtId="0" fontId="3" fillId="2" borderId="10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167" fontId="10" fillId="2" borderId="3" xfId="2" applyNumberFormat="1" applyFont="1" applyFill="1" applyBorder="1" applyAlignment="1" applyProtection="1">
      <alignment horizontal="left" vertical="center"/>
    </xf>
    <xf numFmtId="43" fontId="1" fillId="2" borderId="3" xfId="3" applyFont="1" applyFill="1" applyBorder="1" applyAlignment="1">
      <alignment horizontal="right" vertical="center"/>
    </xf>
    <xf numFmtId="164" fontId="10" fillId="2" borderId="3" xfId="3" applyNumberFormat="1" applyFont="1" applyFill="1" applyBorder="1" applyAlignment="1">
      <alignment horizontal="right" vertical="center"/>
    </xf>
    <xf numFmtId="164" fontId="10" fillId="2" borderId="3" xfId="3" applyNumberFormat="1" applyFont="1" applyFill="1" applyBorder="1" applyAlignment="1">
      <alignment horizontal="left" vertical="center" indent="7"/>
    </xf>
    <xf numFmtId="167" fontId="16" fillId="2" borderId="3" xfId="2" applyNumberFormat="1" applyFont="1" applyFill="1" applyBorder="1" applyAlignment="1" applyProtection="1">
      <alignment horizontal="left" vertical="center"/>
    </xf>
    <xf numFmtId="43" fontId="9" fillId="2" borderId="3" xfId="3" applyFont="1" applyFill="1" applyBorder="1" applyAlignment="1">
      <alignment horizontal="right" vertical="center"/>
    </xf>
    <xf numFmtId="164" fontId="9" fillId="2" borderId="3" xfId="3" applyNumberFormat="1" applyFont="1" applyFill="1" applyBorder="1" applyAlignment="1">
      <alignment horizontal="right" vertical="center"/>
    </xf>
    <xf numFmtId="166" fontId="9" fillId="2" borderId="18" xfId="3" applyNumberFormat="1" applyFont="1" applyFill="1" applyBorder="1" applyAlignment="1">
      <alignment horizontal="left" vertical="center" indent="7"/>
    </xf>
    <xf numFmtId="166" fontId="14" fillId="2" borderId="18" xfId="3" applyNumberFormat="1" applyFont="1" applyFill="1" applyBorder="1" applyAlignment="1">
      <alignment horizontal="left" vertical="center" indent="7"/>
    </xf>
    <xf numFmtId="164" fontId="3" fillId="2" borderId="3" xfId="0" applyNumberFormat="1" applyFont="1" applyFill="1" applyBorder="1"/>
    <xf numFmtId="167" fontId="10" fillId="2" borderId="8" xfId="2" applyNumberFormat="1" applyFont="1" applyFill="1" applyBorder="1" applyAlignment="1" applyProtection="1">
      <alignment horizontal="left" vertical="center"/>
    </xf>
    <xf numFmtId="43" fontId="1" fillId="2" borderId="8" xfId="3" applyFont="1" applyFill="1" applyBorder="1" applyAlignment="1">
      <alignment horizontal="right" vertical="center"/>
    </xf>
    <xf numFmtId="164" fontId="10" fillId="2" borderId="8" xfId="3" applyNumberFormat="1" applyFont="1" applyFill="1" applyBorder="1" applyAlignment="1">
      <alignment horizontal="right" vertical="center"/>
    </xf>
    <xf numFmtId="164" fontId="10" fillId="2" borderId="8" xfId="3" applyNumberFormat="1" applyFont="1" applyFill="1" applyBorder="1" applyAlignment="1">
      <alignment horizontal="left" vertical="center" indent="7"/>
    </xf>
    <xf numFmtId="164" fontId="11" fillId="2" borderId="8" xfId="3" applyNumberFormat="1" applyFont="1" applyFill="1" applyBorder="1" applyAlignment="1">
      <alignment horizontal="right" vertical="center"/>
    </xf>
    <xf numFmtId="0" fontId="4" fillId="2" borderId="6" xfId="0" applyFont="1" applyFill="1" applyBorder="1" applyAlignment="1" applyProtection="1">
      <alignment horizontal="left" vertical="top"/>
    </xf>
    <xf numFmtId="43" fontId="1" fillId="2" borderId="0" xfId="3" applyFont="1" applyFill="1" applyBorder="1"/>
    <xf numFmtId="43" fontId="10" fillId="2" borderId="0" xfId="3" applyFont="1" applyFill="1" applyBorder="1"/>
    <xf numFmtId="0" fontId="3" fillId="2" borderId="12" xfId="0" applyFont="1" applyFill="1" applyBorder="1"/>
    <xf numFmtId="43" fontId="3" fillId="2" borderId="3" xfId="3" applyFont="1" applyFill="1" applyBorder="1"/>
    <xf numFmtId="0" fontId="5" fillId="2" borderId="0" xfId="0" applyFont="1" applyFill="1" applyBorder="1" applyAlignment="1">
      <alignment horizontal="right" vertical="top"/>
    </xf>
    <xf numFmtId="0" fontId="7" fillId="2" borderId="12" xfId="2" applyFont="1" applyFill="1" applyBorder="1" applyAlignment="1">
      <alignment horizontal="center" vertical="center"/>
    </xf>
    <xf numFmtId="167" fontId="6" fillId="2" borderId="9" xfId="2" applyNumberFormat="1" applyFont="1" applyFill="1" applyBorder="1" applyAlignment="1">
      <alignment horizontal="center" vertical="top" wrapText="1"/>
    </xf>
    <xf numFmtId="167" fontId="6" fillId="2" borderId="4" xfId="2" applyNumberFormat="1" applyFont="1" applyFill="1" applyBorder="1" applyAlignment="1">
      <alignment horizontal="center" vertical="top" wrapText="1"/>
    </xf>
    <xf numFmtId="167" fontId="6" fillId="2" borderId="5" xfId="2" applyNumberFormat="1" applyFont="1" applyFill="1" applyBorder="1" applyAlignment="1">
      <alignment horizontal="center" vertical="top" wrapText="1"/>
    </xf>
    <xf numFmtId="167" fontId="10" fillId="2" borderId="11" xfId="2" applyNumberFormat="1" applyFont="1" applyFill="1" applyBorder="1" applyAlignment="1">
      <alignment horizontal="left" vertical="center"/>
    </xf>
    <xf numFmtId="167" fontId="10" fillId="2" borderId="16" xfId="2" applyNumberFormat="1" applyFont="1" applyFill="1" applyBorder="1" applyAlignment="1">
      <alignment horizontal="left" vertical="center"/>
    </xf>
    <xf numFmtId="167" fontId="11" fillId="2" borderId="15" xfId="2" applyNumberFormat="1" applyFont="1" applyFill="1" applyBorder="1" applyAlignment="1">
      <alignment horizontal="right" vertical="center" wrapText="1"/>
    </xf>
    <xf numFmtId="167" fontId="11" fillId="2" borderId="17" xfId="2" applyNumberFormat="1" applyFont="1" applyFill="1" applyBorder="1" applyAlignment="1">
      <alignment horizontal="right" vertical="center" wrapText="1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 2 2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9"/>
  <sheetViews>
    <sheetView tabSelected="1" zoomScaleNormal="100" workbookViewId="0">
      <selection activeCell="J12" sqref="J12"/>
    </sheetView>
  </sheetViews>
  <sheetFormatPr defaultColWidth="9.140625" defaultRowHeight="21.75" customHeight="1" x14ac:dyDescent="0.2"/>
  <cols>
    <col min="1" max="1" width="15" style="3" bestFit="1" customWidth="1"/>
    <col min="2" max="2" width="12.85546875" style="3" customWidth="1"/>
    <col min="3" max="3" width="15.7109375" style="3" customWidth="1"/>
    <col min="4" max="4" width="16.5703125" style="3" customWidth="1"/>
    <col min="5" max="5" width="18.7109375" style="3" customWidth="1"/>
    <col min="6" max="6" width="18.5703125" style="3" customWidth="1"/>
    <col min="7" max="7" width="19.28515625" style="3" customWidth="1"/>
    <col min="8" max="8" width="2" style="3" customWidth="1"/>
    <col min="9" max="9" width="9.140625" style="3"/>
    <col min="10" max="10" width="12" style="3" bestFit="1" customWidth="1"/>
    <col min="11" max="12" width="9.140625" style="3"/>
    <col min="13" max="13" width="14.85546875" style="3" bestFit="1" customWidth="1"/>
    <col min="14" max="16384" width="9.140625" style="3"/>
  </cols>
  <sheetData>
    <row r="1" spans="1:10" s="2" customFormat="1" ht="18" x14ac:dyDescent="0.25">
      <c r="A1" s="42" t="s">
        <v>29</v>
      </c>
      <c r="B1" s="42"/>
      <c r="C1" s="42"/>
      <c r="D1" s="42"/>
      <c r="E1" s="42"/>
      <c r="F1" s="42"/>
      <c r="G1" s="42"/>
      <c r="H1" s="1"/>
    </row>
    <row r="2" spans="1:10" ht="15.6" customHeight="1" x14ac:dyDescent="0.2">
      <c r="A2" s="43" t="s">
        <v>30</v>
      </c>
      <c r="B2" s="44"/>
      <c r="C2" s="44"/>
      <c r="D2" s="44"/>
      <c r="E2" s="44"/>
      <c r="F2" s="44"/>
      <c r="G2" s="45"/>
    </row>
    <row r="3" spans="1:10" ht="21" x14ac:dyDescent="0.2">
      <c r="A3" s="46" t="s">
        <v>2</v>
      </c>
      <c r="B3" s="4" t="s">
        <v>3</v>
      </c>
      <c r="C3" s="5" t="s">
        <v>4</v>
      </c>
      <c r="D3" s="5" t="s">
        <v>5</v>
      </c>
      <c r="E3" s="6" t="s">
        <v>0</v>
      </c>
      <c r="F3" s="6" t="s">
        <v>0</v>
      </c>
      <c r="G3" s="48" t="s">
        <v>6</v>
      </c>
    </row>
    <row r="4" spans="1:10" ht="14.45" customHeight="1" x14ac:dyDescent="0.2">
      <c r="A4" s="47"/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49"/>
    </row>
    <row r="5" spans="1:10" ht="21" x14ac:dyDescent="0.25">
      <c r="A5" s="8" t="s">
        <v>12</v>
      </c>
      <c r="B5" s="9"/>
      <c r="C5" s="10"/>
      <c r="D5" s="10"/>
      <c r="E5" s="11"/>
      <c r="F5" s="12"/>
      <c r="G5" s="13" t="s">
        <v>13</v>
      </c>
    </row>
    <row r="6" spans="1:10" ht="21" x14ac:dyDescent="0.2">
      <c r="A6" s="14" t="s">
        <v>14</v>
      </c>
      <c r="B6" s="15">
        <v>2.25</v>
      </c>
      <c r="C6" s="27">
        <v>28838576.619999997</v>
      </c>
      <c r="D6" s="27">
        <v>64886797.394999996</v>
      </c>
      <c r="E6" s="16">
        <f>(C6/C11)*100</f>
        <v>23.275344883343642</v>
      </c>
      <c r="F6" s="16">
        <f>(D6/D11)*100</f>
        <v>18.817702657502373</v>
      </c>
      <c r="G6" s="17" t="s">
        <v>15</v>
      </c>
      <c r="H6" s="18"/>
      <c r="I6" s="19"/>
    </row>
    <row r="7" spans="1:10" ht="21" x14ac:dyDescent="0.2">
      <c r="A7" s="14" t="s">
        <v>16</v>
      </c>
      <c r="B7" s="15">
        <v>2.5</v>
      </c>
      <c r="C7" s="27">
        <v>45822338.380000003</v>
      </c>
      <c r="D7" s="27">
        <v>114555845.95</v>
      </c>
      <c r="E7" s="16">
        <f>(C7/C11)*100</f>
        <v>36.982779809462528</v>
      </c>
      <c r="F7" s="16">
        <f>(D7/D11)*100</f>
        <v>33.222133520367862</v>
      </c>
      <c r="G7" s="17" t="s">
        <v>17</v>
      </c>
      <c r="H7" s="20"/>
      <c r="I7" s="19"/>
    </row>
    <row r="8" spans="1:10" ht="21" x14ac:dyDescent="0.2">
      <c r="A8" s="14" t="s">
        <v>18</v>
      </c>
      <c r="B8" s="15">
        <v>2.95</v>
      </c>
      <c r="C8" s="27">
        <v>24532073.980000004</v>
      </c>
      <c r="D8" s="27">
        <v>72369618.241000012</v>
      </c>
      <c r="E8" s="16">
        <f>(C8/C11)*100</f>
        <v>19.799606967849055</v>
      </c>
      <c r="F8" s="16">
        <f>(D8/D11)*100</f>
        <v>20.98778198600132</v>
      </c>
      <c r="G8" s="17" t="s">
        <v>19</v>
      </c>
      <c r="H8" s="20"/>
      <c r="I8" s="19"/>
    </row>
    <row r="9" spans="1:10" ht="21" x14ac:dyDescent="0.2">
      <c r="A9" s="14" t="s">
        <v>20</v>
      </c>
      <c r="B9" s="15">
        <v>3.55</v>
      </c>
      <c r="C9" s="27">
        <v>7078081.0199999996</v>
      </c>
      <c r="D9" s="27">
        <v>25127187.620999996</v>
      </c>
      <c r="E9" s="16">
        <f>(C9/C11)*100</f>
        <v>5.7126528477309</v>
      </c>
      <c r="F9" s="16">
        <f>(D9/D11)*100</f>
        <v>7.2870901979157914</v>
      </c>
      <c r="G9" s="17" t="s">
        <v>21</v>
      </c>
      <c r="H9" s="19"/>
    </row>
    <row r="10" spans="1:10" ht="21" x14ac:dyDescent="0.2">
      <c r="A10" s="14" t="s">
        <v>22</v>
      </c>
      <c r="B10" s="15">
        <v>3.85</v>
      </c>
      <c r="C10" s="27">
        <v>17630753</v>
      </c>
      <c r="D10" s="27">
        <v>67878399.049999997</v>
      </c>
      <c r="E10" s="16">
        <f>(C10/C11)*100</f>
        <v>14.229615491613872</v>
      </c>
      <c r="F10" s="16">
        <f>(D10/D11)*100</f>
        <v>19.685291638212647</v>
      </c>
      <c r="G10" s="17" t="s">
        <v>27</v>
      </c>
      <c r="H10" s="19"/>
    </row>
    <row r="11" spans="1:10" ht="21" x14ac:dyDescent="0.2">
      <c r="A11" s="21" t="s">
        <v>23</v>
      </c>
      <c r="B11" s="22"/>
      <c r="C11" s="23">
        <f>SUM(C6:C10)</f>
        <v>123901823</v>
      </c>
      <c r="D11" s="23">
        <f>SUM(D6:D10)</f>
        <v>344817848.25700003</v>
      </c>
      <c r="E11" s="24">
        <f>(C11/C11)*100</f>
        <v>100</v>
      </c>
      <c r="F11" s="24">
        <f>(D11/D11)*100</f>
        <v>100</v>
      </c>
      <c r="G11" s="13" t="s">
        <v>24</v>
      </c>
      <c r="H11" s="19"/>
    </row>
    <row r="12" spans="1:10" ht="21" x14ac:dyDescent="0.2">
      <c r="A12" s="25" t="s">
        <v>25</v>
      </c>
      <c r="B12" s="26"/>
      <c r="C12" s="27"/>
      <c r="D12" s="27"/>
      <c r="E12" s="28"/>
      <c r="F12" s="29"/>
      <c r="G12" s="13" t="s">
        <v>26</v>
      </c>
      <c r="H12" s="19"/>
      <c r="J12" s="30"/>
    </row>
    <row r="13" spans="1:10" ht="21" x14ac:dyDescent="0.2">
      <c r="A13" s="14" t="s">
        <v>14</v>
      </c>
      <c r="B13" s="15">
        <v>3.3</v>
      </c>
      <c r="C13" s="27">
        <v>7974136.4400000051</v>
      </c>
      <c r="D13" s="27">
        <v>26307590.137000009</v>
      </c>
      <c r="E13" s="16">
        <f>(C13/C18)*100</f>
        <v>6.9240989159356321</v>
      </c>
      <c r="F13" s="16">
        <f>(D13/D18)*100</f>
        <v>5.6042514212794652</v>
      </c>
      <c r="G13" s="17" t="s">
        <v>15</v>
      </c>
      <c r="H13" s="19"/>
    </row>
    <row r="14" spans="1:10" ht="21" x14ac:dyDescent="0.2">
      <c r="A14" s="14" t="s">
        <v>16</v>
      </c>
      <c r="B14" s="15">
        <v>3.35</v>
      </c>
      <c r="C14" s="27">
        <v>12843598.569999993</v>
      </c>
      <c r="D14" s="27">
        <v>43013921.909499988</v>
      </c>
      <c r="E14" s="16">
        <f>(C14/C18)*100</f>
        <v>11.152348295566576</v>
      </c>
      <c r="F14" s="16">
        <f>(D14/D18)*100</f>
        <v>9.1631666656187569</v>
      </c>
      <c r="G14" s="17" t="s">
        <v>17</v>
      </c>
      <c r="H14" s="19"/>
    </row>
    <row r="15" spans="1:10" ht="21" x14ac:dyDescent="0.2">
      <c r="A15" s="14" t="s">
        <v>18</v>
      </c>
      <c r="B15" s="15">
        <v>3.65</v>
      </c>
      <c r="C15" s="27">
        <v>9821654.3399999961</v>
      </c>
      <c r="D15" s="27">
        <v>35833265.050999999</v>
      </c>
      <c r="E15" s="16">
        <f>(C15/C18)*100</f>
        <v>8.5283349087375822</v>
      </c>
      <c r="F15" s="16">
        <f>(D15/D18)*100</f>
        <v>7.6334862123578349</v>
      </c>
      <c r="G15" s="17" t="s">
        <v>19</v>
      </c>
      <c r="H15" s="19"/>
    </row>
    <row r="16" spans="1:10" ht="21" x14ac:dyDescent="0.2">
      <c r="A16" s="14" t="s">
        <v>20</v>
      </c>
      <c r="B16" s="15">
        <v>4</v>
      </c>
      <c r="C16" s="27">
        <v>4000498.66</v>
      </c>
      <c r="D16" s="27">
        <v>15991984.585000005</v>
      </c>
      <c r="E16" s="16">
        <f>(C16/C18)*100</f>
        <v>3.4737113721756101</v>
      </c>
      <c r="F16" s="16">
        <f>(D16/D18)*100</f>
        <v>3.4067393430125015</v>
      </c>
      <c r="G16" s="17" t="s">
        <v>21</v>
      </c>
      <c r="H16" s="19"/>
    </row>
    <row r="17" spans="1:13" ht="21.75" customHeight="1" x14ac:dyDescent="0.2">
      <c r="A17" s="14" t="s">
        <v>22</v>
      </c>
      <c r="B17" s="15">
        <v>4.3499999999999996</v>
      </c>
      <c r="C17" s="27">
        <v>80525082</v>
      </c>
      <c r="D17" s="27">
        <v>348275256.69999999</v>
      </c>
      <c r="E17" s="16">
        <f>(C17/C18)*100</f>
        <v>69.92150650758461</v>
      </c>
      <c r="F17" s="16">
        <f>(D17/D18)*100</f>
        <v>74.192356357731441</v>
      </c>
      <c r="G17" s="17" t="s">
        <v>27</v>
      </c>
      <c r="H17" s="19"/>
    </row>
    <row r="18" spans="1:13" ht="21.75" customHeight="1" x14ac:dyDescent="0.2">
      <c r="A18" s="31" t="s">
        <v>23</v>
      </c>
      <c r="B18" s="32"/>
      <c r="C18" s="33">
        <f>SUM(C13:C17)</f>
        <v>115164970.00999999</v>
      </c>
      <c r="D18" s="33">
        <f>SUM(D13:D17)</f>
        <v>469422018.38249999</v>
      </c>
      <c r="E18" s="34">
        <f>(C18/C18)*100</f>
        <v>100</v>
      </c>
      <c r="F18" s="34">
        <f>(D18/D18)*100</f>
        <v>100</v>
      </c>
      <c r="G18" s="35" t="s">
        <v>24</v>
      </c>
    </row>
    <row r="19" spans="1:13" ht="21.75" customHeight="1" x14ac:dyDescent="0.25">
      <c r="A19" s="36" t="s">
        <v>1</v>
      </c>
      <c r="B19" s="37"/>
      <c r="C19" s="37"/>
      <c r="D19" s="37"/>
      <c r="E19" s="38"/>
      <c r="F19" s="38"/>
      <c r="G19" s="41" t="s">
        <v>28</v>
      </c>
      <c r="H19" s="39"/>
      <c r="M19" s="40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2016-02-25T08:37:52Z</cp:lastPrinted>
  <dcterms:created xsi:type="dcterms:W3CDTF">2015-01-12T08:51:45Z</dcterms:created>
  <dcterms:modified xsi:type="dcterms:W3CDTF">2016-02-25T08:37:54Z</dcterms:modified>
</cp:coreProperties>
</file>