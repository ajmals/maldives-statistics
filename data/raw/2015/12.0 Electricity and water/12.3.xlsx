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3" sheetId="3" r:id="rId1"/>
  </sheets>
  <definedNames>
    <definedName name="_xlnm.Print_Area" localSheetId="0">'12.3'!$A$1:$P$37</definedName>
  </definedNames>
  <calcPr calcId="144525"/>
</workbook>
</file>

<file path=xl/calcChain.xml><?xml version="1.0" encoding="utf-8"?>
<calcChain xmlns="http://schemas.openxmlformats.org/spreadsheetml/2006/main">
  <c r="B7" i="3" l="1"/>
  <c r="D7" i="3"/>
  <c r="E7" i="3"/>
  <c r="F7" i="3"/>
  <c r="G7" i="3"/>
  <c r="H7" i="3"/>
  <c r="I7" i="3"/>
  <c r="J7" i="3"/>
  <c r="K7" i="3"/>
  <c r="L7" i="3"/>
  <c r="M7" i="3"/>
  <c r="N7" i="3"/>
  <c r="C7" i="3"/>
  <c r="B36" i="3" l="1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1" i="3" s="1"/>
  <c r="B13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0" i="3"/>
  <c r="B9" i="3"/>
  <c r="B8" i="3"/>
  <c r="N6" i="3"/>
  <c r="M6" i="3"/>
  <c r="L6" i="3"/>
  <c r="K6" i="3"/>
  <c r="J6" i="3"/>
  <c r="I6" i="3"/>
  <c r="H6" i="3"/>
  <c r="G6" i="3"/>
  <c r="F6" i="3"/>
  <c r="E6" i="3"/>
  <c r="D6" i="3"/>
  <c r="C6" i="3"/>
  <c r="B6" i="3" s="1"/>
</calcChain>
</file>

<file path=xl/sharedStrings.xml><?xml version="1.0" encoding="utf-8"?>
<sst xmlns="http://schemas.openxmlformats.org/spreadsheetml/2006/main" count="81" uniqueCount="80">
  <si>
    <t>Source: State Electric Company Limited</t>
  </si>
  <si>
    <t>cDeTimil Inepcmok ckircTckeliacTETcs :ctWrwf ivcaedutWmUluAwm</t>
  </si>
  <si>
    <t>Locality</t>
  </si>
  <si>
    <t>wlcmuj</t>
  </si>
  <si>
    <t>cnwt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</si>
  <si>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</si>
  <si>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</si>
  <si>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</si>
  <si>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</si>
  <si>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</si>
  <si>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</si>
  <si>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</si>
  <si>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</si>
  <si>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</si>
  <si>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</si>
  <si>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</si>
  <si>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</si>
  <si>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</si>
  <si>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</si>
  <si>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</si>
  <si>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</si>
  <si>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</si>
  <si>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</si>
  <si>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</si>
  <si>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</si>
  <si>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</si>
  <si>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</si>
  <si>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</si>
  <si>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K.Hulhumale</t>
  </si>
  <si>
    <t>ކ. ހުޅުމާލެ</t>
  </si>
  <si>
    <t>K.Thilafushi</t>
  </si>
  <si>
    <t>ކ. ތިލަފުށި</t>
  </si>
  <si>
    <t>K.Gulhifalhu</t>
  </si>
  <si>
    <t>ކ. ގުޅިފަޅު</t>
  </si>
  <si>
    <t>K.Male'</t>
  </si>
  <si>
    <t>ކ. މާލެ</t>
  </si>
  <si>
    <t>K.Villingili</t>
  </si>
  <si>
    <t>ކ. ވިލިނގިލި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</si>
  <si>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</si>
  <si>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</si>
  <si>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</si>
  <si>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</si>
  <si>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</si>
  <si>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</si>
  <si>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</si>
  <si>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</si>
  <si>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</si>
  <si>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</si>
  <si>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</si>
  <si>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</si>
  <si>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</si>
  <si>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</si>
  <si>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</si>
  <si>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</si>
  <si>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</si>
  <si>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</si>
  <si>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</si>
  <si>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</si>
  <si>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</si>
  <si>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</si>
  <si>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</si>
  <si>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</si>
  <si>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</si>
  <si>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</si>
  <si>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ADh.Dhihdhoo</t>
  </si>
  <si>
    <t>އދ.ދިއްދޫ</t>
  </si>
  <si>
    <t>V.Fulidhoo</t>
  </si>
  <si>
    <t>ވ.ފެލިދޫ</t>
  </si>
  <si>
    <t>V.Thinadhoo</t>
  </si>
  <si>
    <t>ވ.ތިނަދޫ</t>
  </si>
  <si>
    <t>V.Keyodhoo</t>
  </si>
  <si>
    <t>ވ.ކެޔޮދޫ</t>
  </si>
  <si>
    <t>V.Rakeedhoo</t>
  </si>
  <si>
    <t>ވ.ރަކީދޫ</t>
  </si>
  <si>
    <t xml:space="preserve">Atoll </t>
  </si>
  <si>
    <t>އަތޮޅުތައް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</si>
  <si>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2014</t>
  </si>
  <si>
    <t>Table  12.3 :   MONTHLY CONSUMPTION OF FUEL FOR ELECTRICITY GENERATION IN SELECTED LOCALITIES BY PUBLIC SECTOR, 2014</t>
  </si>
  <si>
    <t>Male'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</si>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</sst>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Garamond"/>
      <family val="1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0" fillId="2" borderId="0" xfId="0" applyFill="1"/>
    <xf numFmtId="3" fontId="4" fillId="2" borderId="3" xfId="0" applyNumberFormat="1" applyFont="1" applyFill="1" applyBorder="1" applyAlignment="1">
      <alignment horizontal="right" vertical="center"/>
    </xf>
    <xf numFmtId="0" fontId="11" fillId="2" borderId="3" xfId="2" applyFont="1" applyFill="1" applyBorder="1" applyAlignment="1">
      <alignment vertical="center"/>
    </xf>
    <xf numFmtId="0" fontId="12" fillId="2" borderId="3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4" fillId="2" borderId="6" xfId="2" applyFont="1" applyFill="1" applyBorder="1" applyAlignment="1" applyProtection="1">
      <alignment vertical="center"/>
    </xf>
    <xf numFmtId="164" fontId="14" fillId="2" borderId="6" xfId="1" applyNumberFormat="1" applyFont="1" applyFill="1" applyBorder="1" applyAlignment="1" applyProtection="1">
      <alignment horizontal="right" vertical="center"/>
    </xf>
    <xf numFmtId="0" fontId="15" fillId="2" borderId="12" xfId="0" applyFont="1" applyFill="1" applyBorder="1" applyAlignment="1">
      <alignment horizontal="right" vertical="center"/>
    </xf>
    <xf numFmtId="0" fontId="14" fillId="2" borderId="3" xfId="2" applyFont="1" applyFill="1" applyBorder="1" applyAlignment="1">
      <alignment vertical="center"/>
    </xf>
    <xf numFmtId="3" fontId="14" fillId="2" borderId="3" xfId="0" applyNumberFormat="1" applyFont="1" applyFill="1" applyBorder="1" applyAlignment="1">
      <alignment horizontal="right" vertical="center"/>
    </xf>
    <xf numFmtId="164" fontId="14" fillId="2" borderId="3" xfId="3" applyNumberFormat="1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right" vertical="center"/>
    </xf>
    <xf numFmtId="164" fontId="11" fillId="2" borderId="3" xfId="3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right" vertical="center"/>
    </xf>
    <xf numFmtId="0" fontId="1" fillId="2" borderId="0" xfId="0" applyFont="1" applyFill="1" applyBorder="1"/>
    <xf numFmtId="1" fontId="1" fillId="2" borderId="0" xfId="0" applyNumberFormat="1" applyFont="1" applyFill="1" applyBorder="1"/>
    <xf numFmtId="0" fontId="1" fillId="2" borderId="0" xfId="0" applyFont="1" applyFill="1"/>
    <xf numFmtId="3" fontId="17" fillId="2" borderId="0" xfId="0" applyNumberFormat="1" applyFont="1" applyFill="1" applyBorder="1"/>
    <xf numFmtId="0" fontId="16" fillId="2" borderId="0" xfId="0" applyFont="1" applyFill="1" applyBorder="1"/>
    <xf numFmtId="0" fontId="19" fillId="2" borderId="0" xfId="0" applyFont="1" applyFill="1"/>
    <xf numFmtId="0" fontId="16" fillId="2" borderId="3" xfId="2" applyFont="1" applyFill="1" applyBorder="1" applyAlignment="1">
      <alignment vertical="center"/>
    </xf>
    <xf numFmtId="164" fontId="8" fillId="2" borderId="3" xfId="3" applyNumberFormat="1" applyFont="1" applyFill="1" applyBorder="1" applyAlignment="1">
      <alignment horizontal="right" vertical="center"/>
    </xf>
    <xf numFmtId="164" fontId="8" fillId="2" borderId="8" xfId="3" applyNumberFormat="1" applyFont="1" applyFill="1" applyBorder="1" applyAlignment="1">
      <alignment horizontal="right" vertical="center"/>
    </xf>
    <xf numFmtId="3" fontId="14" fillId="2" borderId="8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0" fontId="7" fillId="2" borderId="7" xfId="2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" fontId="11" fillId="2" borderId="3" xfId="2" applyNumberFormat="1" applyFont="1" applyFill="1" applyBorder="1" applyAlignment="1">
      <alignment vertical="center"/>
    </xf>
    <xf numFmtId="0" fontId="15" fillId="2" borderId="13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2" fillId="2" borderId="11" xfId="2" applyFont="1" applyFill="1" applyBorder="1" applyAlignment="1" applyProtection="1">
      <alignment horizontal="center" vertical="center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10" xfId="2" applyFont="1" applyFill="1" applyBorder="1" applyAlignment="1" applyProtection="1">
      <alignment horizontal="center" vertical="top"/>
    </xf>
    <xf numFmtId="0" fontId="2" fillId="2" borderId="4" xfId="2" applyFont="1" applyFill="1" applyBorder="1" applyAlignment="1" applyProtection="1">
      <alignment horizontal="center" vertical="top"/>
    </xf>
    <xf numFmtId="0" fontId="2" fillId="2" borderId="5" xfId="2" applyFont="1" applyFill="1" applyBorder="1" applyAlignment="1" applyProtection="1">
      <alignment horizontal="center" vertical="top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 2 2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39"/>
  <sheetViews>
    <sheetView tabSelected="1" zoomScaleNormal="100" workbookViewId="0">
      <selection activeCell="S27" sqref="S27"/>
    </sheetView>
  </sheetViews>
  <sheetFormatPr defaultColWidth="11.140625" defaultRowHeight="17.25" customHeight="1" x14ac:dyDescent="0.25"/>
  <cols>
    <col min="1" max="1" width="16.7109375" style="3" customWidth="1"/>
    <col min="2" max="14" width="8.42578125" style="3" customWidth="1"/>
    <col min="15" max="15" width="13.5703125" style="3" bestFit="1" customWidth="1"/>
    <col min="16" max="16" width="1.85546875" style="3" customWidth="1"/>
    <col min="17" max="16384" width="11.140625" style="3"/>
  </cols>
  <sheetData>
    <row r="1" spans="1:30" ht="21.75" x14ac:dyDescent="0.25">
      <c r="A1" s="40" t="s">
        <v>76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30" s="4" customFormat="1" ht="15" x14ac:dyDescent="0.25">
      <c r="A2" s="43" t="s">
        <v>77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30" s="1" customFormat="1" x14ac:dyDescent="0.4">
      <c r="A3" s="39" t="s">
        <v>79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30" s="5" customFormat="1" ht="15.75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</row>
    <row r="5" spans="1:30" s="9" customFormat="1" ht="15.75" x14ac:dyDescent="0.25">
      <c r="A5" s="6" t="s">
        <v>2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8" t="s">
        <v>4</v>
      </c>
    </row>
    <row r="6" spans="1:30" ht="15.75" x14ac:dyDescent="0.25">
      <c r="A6" s="34" t="s">
        <v>5</v>
      </c>
      <c r="B6" s="10">
        <f>SUM(C6:N6)</f>
        <v>84997.689999999988</v>
      </c>
      <c r="C6" s="11">
        <f>C11+C10+C9+C8</f>
        <v>6688.4719999999998</v>
      </c>
      <c r="D6" s="11">
        <f t="shared" ref="D6:N6" si="0">D11+D10+D9+D8</f>
        <v>6325.2759999999998</v>
      </c>
      <c r="E6" s="11">
        <f t="shared" si="0"/>
        <v>7314.7440000000006</v>
      </c>
      <c r="F6" s="11">
        <f t="shared" si="0"/>
        <v>7517.35</v>
      </c>
      <c r="G6" s="11">
        <f t="shared" si="0"/>
        <v>7521.308</v>
      </c>
      <c r="H6" s="11">
        <f t="shared" si="0"/>
        <v>7529.4840000000004</v>
      </c>
      <c r="I6" s="11">
        <f t="shared" si="0"/>
        <v>7325.79</v>
      </c>
      <c r="J6" s="11">
        <f t="shared" si="0"/>
        <v>7130.7440000000006</v>
      </c>
      <c r="K6" s="11">
        <f t="shared" si="0"/>
        <v>6964.9370000000008</v>
      </c>
      <c r="L6" s="11">
        <f t="shared" si="0"/>
        <v>6973.3760000000002</v>
      </c>
      <c r="M6" s="11">
        <f t="shared" si="0"/>
        <v>6667.1040000000003</v>
      </c>
      <c r="N6" s="11">
        <f t="shared" si="0"/>
        <v>7039.1049999999996</v>
      </c>
      <c r="O6" s="12" t="s">
        <v>3</v>
      </c>
    </row>
    <row r="7" spans="1:30" ht="15.75" x14ac:dyDescent="0.25">
      <c r="A7" s="34" t="s">
        <v>78</v>
      </c>
      <c r="B7" s="10">
        <f>SUM(C7:N7)</f>
        <v>77641.735000000015</v>
      </c>
      <c r="C7" s="11">
        <f>SUM(C8:C10)</f>
        <v>6098.7800000000007</v>
      </c>
      <c r="D7" s="11">
        <f t="shared" ref="D7:N7" si="1">SUM(D8:D10)</f>
        <v>5770.1379999999999</v>
      </c>
      <c r="E7" s="11">
        <f t="shared" si="1"/>
        <v>6679.3520000000008</v>
      </c>
      <c r="F7" s="11">
        <f t="shared" si="1"/>
        <v>6880.07</v>
      </c>
      <c r="G7" s="11">
        <f t="shared" si="1"/>
        <v>6889.9929999999995</v>
      </c>
      <c r="H7" s="11">
        <f t="shared" si="1"/>
        <v>6913.1990000000005</v>
      </c>
      <c r="I7" s="11">
        <f t="shared" si="1"/>
        <v>6671.5890000000009</v>
      </c>
      <c r="J7" s="11">
        <f t="shared" si="1"/>
        <v>6516.8630000000003</v>
      </c>
      <c r="K7" s="11">
        <f t="shared" si="1"/>
        <v>6380.3720000000003</v>
      </c>
      <c r="L7" s="11">
        <f t="shared" si="1"/>
        <v>6344.57</v>
      </c>
      <c r="M7" s="11">
        <f t="shared" si="1"/>
        <v>6076.5020000000004</v>
      </c>
      <c r="N7" s="11">
        <f t="shared" si="1"/>
        <v>6420.3069999999998</v>
      </c>
      <c r="O7" s="38"/>
    </row>
    <row r="8" spans="1:30" ht="18.75" x14ac:dyDescent="0.25">
      <c r="A8" s="13" t="s">
        <v>34</v>
      </c>
      <c r="B8" s="10">
        <f>SUM(C8:N8)</f>
        <v>68641.249000000011</v>
      </c>
      <c r="C8" s="25">
        <v>5430.3850000000002</v>
      </c>
      <c r="D8" s="25">
        <v>5133.0969999999998</v>
      </c>
      <c r="E8" s="25">
        <v>5934.9170000000004</v>
      </c>
      <c r="F8" s="25">
        <v>6132.9290000000001</v>
      </c>
      <c r="G8" s="25">
        <v>6110.1509999999998</v>
      </c>
      <c r="H8" s="25">
        <v>6123.8360000000002</v>
      </c>
      <c r="I8" s="25">
        <v>5873.9960000000001</v>
      </c>
      <c r="J8" s="25">
        <v>5746.4340000000002</v>
      </c>
      <c r="K8" s="25">
        <v>5629.3410000000003</v>
      </c>
      <c r="L8" s="25">
        <v>5565.11</v>
      </c>
      <c r="M8" s="25">
        <v>5330.34</v>
      </c>
      <c r="N8" s="25">
        <v>5630.7129999999997</v>
      </c>
      <c r="O8" s="14" t="s">
        <v>35</v>
      </c>
    </row>
    <row r="9" spans="1:30" ht="18.75" x14ac:dyDescent="0.25">
      <c r="A9" s="13" t="s">
        <v>36</v>
      </c>
      <c r="B9" s="10">
        <f>SUM(C9:N9)</f>
        <v>2554.5079999999998</v>
      </c>
      <c r="C9" s="25">
        <v>202.74199999999999</v>
      </c>
      <c r="D9" s="25">
        <v>194.624</v>
      </c>
      <c r="E9" s="25">
        <v>223.43299999999999</v>
      </c>
      <c r="F9" s="25">
        <v>194.624</v>
      </c>
      <c r="G9" s="25">
        <v>227.762</v>
      </c>
      <c r="H9" s="25">
        <v>226.46899999999999</v>
      </c>
      <c r="I9" s="25">
        <v>229.52</v>
      </c>
      <c r="J9" s="25">
        <v>211.90100000000001</v>
      </c>
      <c r="K9" s="25">
        <v>206.57300000000001</v>
      </c>
      <c r="L9" s="25">
        <v>219.89699999999999</v>
      </c>
      <c r="M9" s="25">
        <v>202.78100000000001</v>
      </c>
      <c r="N9" s="25">
        <v>214.18199999999999</v>
      </c>
      <c r="O9" s="14" t="s">
        <v>37</v>
      </c>
    </row>
    <row r="10" spans="1:30" ht="18.75" x14ac:dyDescent="0.25">
      <c r="A10" s="13" t="s">
        <v>28</v>
      </c>
      <c r="B10" s="10">
        <f>SUM(C10:N10)</f>
        <v>6445.9780000000001</v>
      </c>
      <c r="C10" s="25">
        <v>465.65300000000002</v>
      </c>
      <c r="D10" s="25">
        <v>442.41699999999997</v>
      </c>
      <c r="E10" s="25">
        <v>521.00199999999995</v>
      </c>
      <c r="F10" s="25">
        <v>552.51700000000005</v>
      </c>
      <c r="G10" s="25">
        <v>552.08000000000004</v>
      </c>
      <c r="H10" s="25">
        <v>562.89400000000001</v>
      </c>
      <c r="I10" s="25">
        <v>568.07299999999998</v>
      </c>
      <c r="J10" s="25">
        <v>558.52800000000002</v>
      </c>
      <c r="K10" s="25">
        <v>544.45799999999997</v>
      </c>
      <c r="L10" s="25">
        <v>559.56299999999999</v>
      </c>
      <c r="M10" s="25">
        <v>543.38099999999997</v>
      </c>
      <c r="N10" s="25">
        <v>575.41200000000003</v>
      </c>
      <c r="O10" s="14" t="s">
        <v>29</v>
      </c>
    </row>
    <row r="11" spans="1:30" s="36" customFormat="1" ht="18.75" x14ac:dyDescent="0.25">
      <c r="A11" s="34" t="s">
        <v>74</v>
      </c>
      <c r="B11" s="2">
        <f>SUM(B12:B36)</f>
        <v>7355.9549999999999</v>
      </c>
      <c r="C11" s="2">
        <f t="shared" ref="C11:N11" si="2">SUM(C12:C36)</f>
        <v>589.69200000000001</v>
      </c>
      <c r="D11" s="2">
        <f t="shared" si="2"/>
        <v>555.13800000000003</v>
      </c>
      <c r="E11" s="2">
        <f>SUM(E12:E36)</f>
        <v>635.39199999999971</v>
      </c>
      <c r="F11" s="2">
        <f t="shared" si="2"/>
        <v>637.28</v>
      </c>
      <c r="G11" s="2">
        <f t="shared" si="2"/>
        <v>631.31500000000005</v>
      </c>
      <c r="H11" s="2">
        <f t="shared" si="2"/>
        <v>616.28499999999997</v>
      </c>
      <c r="I11" s="2">
        <f t="shared" si="2"/>
        <v>654.20099999999991</v>
      </c>
      <c r="J11" s="2">
        <f t="shared" si="2"/>
        <v>613.88099999999986</v>
      </c>
      <c r="K11" s="2">
        <f t="shared" si="2"/>
        <v>584.56500000000005</v>
      </c>
      <c r="L11" s="2">
        <f t="shared" si="2"/>
        <v>628.80600000000015</v>
      </c>
      <c r="M11" s="2">
        <f t="shared" si="2"/>
        <v>590.60199999999998</v>
      </c>
      <c r="N11" s="2">
        <f t="shared" si="2"/>
        <v>618.798</v>
      </c>
      <c r="O11" s="35" t="s">
        <v>75</v>
      </c>
    </row>
    <row r="12" spans="1:30" ht="18.75" x14ac:dyDescent="0.25">
      <c r="A12" s="13" t="s">
        <v>18</v>
      </c>
      <c r="B12" s="10">
        <f t="shared" ref="B12:B36" si="3">SUM(C12:N12)</f>
        <v>452.88700000000006</v>
      </c>
      <c r="C12" s="25">
        <v>35.384999999999998</v>
      </c>
      <c r="D12" s="25">
        <v>33.253</v>
      </c>
      <c r="E12" s="25">
        <v>39.042000000000002</v>
      </c>
      <c r="F12" s="25">
        <v>38.479999999999997</v>
      </c>
      <c r="G12" s="25">
        <v>39.887</v>
      </c>
      <c r="H12" s="25">
        <v>38.671999999999997</v>
      </c>
      <c r="I12" s="25">
        <v>40.151000000000003</v>
      </c>
      <c r="J12" s="25">
        <v>38.338000000000001</v>
      </c>
      <c r="K12" s="25">
        <v>36.637999999999998</v>
      </c>
      <c r="L12" s="25">
        <v>39.228000000000002</v>
      </c>
      <c r="M12" s="25">
        <v>36.179000000000002</v>
      </c>
      <c r="N12" s="25">
        <v>37.634</v>
      </c>
      <c r="O12" s="14" t="s">
        <v>19</v>
      </c>
    </row>
    <row r="13" spans="1:30" ht="18.75" x14ac:dyDescent="0.25">
      <c r="A13" s="13" t="s">
        <v>20</v>
      </c>
      <c r="B13" s="10">
        <f t="shared" si="3"/>
        <v>329.52199999999999</v>
      </c>
      <c r="C13" s="25">
        <v>29.431000000000001</v>
      </c>
      <c r="D13" s="25">
        <v>26.879000000000001</v>
      </c>
      <c r="E13" s="25">
        <v>33.14</v>
      </c>
      <c r="F13" s="25">
        <v>30.42</v>
      </c>
      <c r="G13" s="25">
        <v>26.422999999999998</v>
      </c>
      <c r="H13" s="25">
        <v>26.652999999999999</v>
      </c>
      <c r="I13" s="25">
        <v>28.366</v>
      </c>
      <c r="J13" s="25">
        <v>24.529</v>
      </c>
      <c r="K13" s="25">
        <v>23.273</v>
      </c>
      <c r="L13" s="25">
        <v>27.936</v>
      </c>
      <c r="M13" s="25">
        <v>25.494</v>
      </c>
      <c r="N13" s="25">
        <v>26.978000000000002</v>
      </c>
      <c r="O13" s="14" t="s">
        <v>21</v>
      </c>
    </row>
    <row r="14" spans="1:30" ht="18.75" x14ac:dyDescent="0.25">
      <c r="A14" s="13" t="s">
        <v>22</v>
      </c>
      <c r="B14" s="10">
        <f t="shared" si="3"/>
        <v>244.72</v>
      </c>
      <c r="C14" s="25">
        <v>19.574999999999999</v>
      </c>
      <c r="D14" s="25">
        <v>17.934999999999999</v>
      </c>
      <c r="E14" s="25">
        <v>20.48</v>
      </c>
      <c r="F14" s="25">
        <v>21.024999999999999</v>
      </c>
      <c r="G14" s="25">
        <v>21.004999999999999</v>
      </c>
      <c r="H14" s="25">
        <v>20.63</v>
      </c>
      <c r="I14" s="25">
        <v>23.44</v>
      </c>
      <c r="J14" s="25">
        <v>20.93</v>
      </c>
      <c r="K14" s="25">
        <v>19.350000000000001</v>
      </c>
      <c r="L14" s="25">
        <v>20.68</v>
      </c>
      <c r="M14" s="25">
        <v>19.305</v>
      </c>
      <c r="N14" s="25">
        <v>20.364999999999998</v>
      </c>
      <c r="O14" s="14" t="s">
        <v>23</v>
      </c>
    </row>
    <row r="15" spans="1:30" ht="18.75" x14ac:dyDescent="0.25">
      <c r="A15" s="13" t="s">
        <v>24</v>
      </c>
      <c r="B15" s="10">
        <f t="shared" si="3"/>
        <v>483.96300000000002</v>
      </c>
      <c r="C15" s="25">
        <v>37.006</v>
      </c>
      <c r="D15" s="25">
        <v>34.557000000000002</v>
      </c>
      <c r="E15" s="25">
        <v>41.475000000000001</v>
      </c>
      <c r="F15" s="25">
        <v>42.552</v>
      </c>
      <c r="G15" s="25">
        <v>42.348999999999997</v>
      </c>
      <c r="H15" s="25">
        <v>42.414000000000001</v>
      </c>
      <c r="I15" s="25">
        <v>45.25</v>
      </c>
      <c r="J15" s="25">
        <v>41.124000000000002</v>
      </c>
      <c r="K15" s="25">
        <v>39.765999999999998</v>
      </c>
      <c r="L15" s="25">
        <v>40.777000000000001</v>
      </c>
      <c r="M15" s="25">
        <v>36.896999999999998</v>
      </c>
      <c r="N15" s="25">
        <v>39.795999999999999</v>
      </c>
      <c r="O15" s="14" t="s">
        <v>25</v>
      </c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</row>
    <row r="16" spans="1:30" ht="18.75" x14ac:dyDescent="0.25">
      <c r="A16" s="13" t="s">
        <v>26</v>
      </c>
      <c r="B16" s="10">
        <f t="shared" si="3"/>
        <v>537.89400000000012</v>
      </c>
      <c r="C16" s="25">
        <v>41.811</v>
      </c>
      <c r="D16" s="25">
        <v>38.823999999999998</v>
      </c>
      <c r="E16" s="25">
        <v>44.825000000000003</v>
      </c>
      <c r="F16" s="25">
        <v>46.951999999999998</v>
      </c>
      <c r="G16" s="25">
        <v>45.831000000000003</v>
      </c>
      <c r="H16" s="25">
        <v>47.177999999999997</v>
      </c>
      <c r="I16" s="25">
        <v>47.485999999999997</v>
      </c>
      <c r="J16" s="25">
        <v>45.073999999999998</v>
      </c>
      <c r="K16" s="25">
        <v>43.023000000000003</v>
      </c>
      <c r="L16" s="25">
        <v>47.128999999999998</v>
      </c>
      <c r="M16" s="25">
        <v>44.215000000000003</v>
      </c>
      <c r="N16" s="25">
        <v>45.545999999999999</v>
      </c>
      <c r="O16" s="14" t="s">
        <v>27</v>
      </c>
    </row>
    <row r="17" spans="1:16" ht="18.75" x14ac:dyDescent="0.25">
      <c r="A17" s="13" t="s">
        <v>30</v>
      </c>
      <c r="B17" s="10">
        <f t="shared" si="3"/>
        <v>933.08500000000004</v>
      </c>
      <c r="C17" s="25">
        <v>76.227000000000004</v>
      </c>
      <c r="D17" s="25">
        <v>72.659000000000006</v>
      </c>
      <c r="E17" s="25">
        <v>76.78</v>
      </c>
      <c r="F17" s="25">
        <v>78.712000000000003</v>
      </c>
      <c r="G17" s="25">
        <v>78.617000000000004</v>
      </c>
      <c r="H17" s="25">
        <v>78.988</v>
      </c>
      <c r="I17" s="25">
        <v>74.391999999999996</v>
      </c>
      <c r="J17" s="25">
        <v>75.533000000000001</v>
      </c>
      <c r="K17" s="25">
        <v>79.525000000000006</v>
      </c>
      <c r="L17" s="25">
        <v>81.914000000000001</v>
      </c>
      <c r="M17" s="25">
        <v>81.292000000000002</v>
      </c>
      <c r="N17" s="25">
        <v>78.445999999999998</v>
      </c>
      <c r="O17" s="14" t="s">
        <v>31</v>
      </c>
    </row>
    <row r="18" spans="1:16" ht="18.75" x14ac:dyDescent="0.25">
      <c r="A18" s="13" t="s">
        <v>32</v>
      </c>
      <c r="B18" s="10">
        <f t="shared" si="3"/>
        <v>40.603999999999999</v>
      </c>
      <c r="C18" s="25">
        <v>4.2629999999999999</v>
      </c>
      <c r="D18" s="25">
        <v>3.6549999999999998</v>
      </c>
      <c r="E18" s="25">
        <v>3.4540000000000002</v>
      </c>
      <c r="F18" s="25">
        <v>3.57</v>
      </c>
      <c r="G18" s="25">
        <v>3.52</v>
      </c>
      <c r="H18" s="25">
        <v>3.302</v>
      </c>
      <c r="I18" s="25">
        <v>3.2130000000000001</v>
      </c>
      <c r="J18" s="25">
        <v>3.1829999999999998</v>
      </c>
      <c r="K18" s="25">
        <v>2.919</v>
      </c>
      <c r="L18" s="25">
        <v>3.08</v>
      </c>
      <c r="M18" s="25">
        <v>3.145</v>
      </c>
      <c r="N18" s="25">
        <v>3.3</v>
      </c>
      <c r="O18" s="14" t="s">
        <v>33</v>
      </c>
    </row>
    <row r="19" spans="1:16" ht="18.75" x14ac:dyDescent="0.25">
      <c r="A19" s="13" t="s">
        <v>38</v>
      </c>
      <c r="B19" s="10">
        <f t="shared" si="3"/>
        <v>211.29999999999998</v>
      </c>
      <c r="C19" s="25">
        <v>17.399999999999999</v>
      </c>
      <c r="D19" s="25">
        <v>15.6</v>
      </c>
      <c r="E19" s="25">
        <v>18</v>
      </c>
      <c r="F19" s="25">
        <v>19.2</v>
      </c>
      <c r="G19" s="25">
        <v>19.8</v>
      </c>
      <c r="H19" s="25">
        <v>17</v>
      </c>
      <c r="I19" s="25">
        <v>18.7</v>
      </c>
      <c r="J19" s="25">
        <v>18</v>
      </c>
      <c r="K19" s="25">
        <v>17.2</v>
      </c>
      <c r="L19" s="25">
        <v>17.8</v>
      </c>
      <c r="M19" s="25">
        <v>16</v>
      </c>
      <c r="N19" s="25">
        <v>16.600000000000001</v>
      </c>
      <c r="O19" s="14" t="s">
        <v>39</v>
      </c>
    </row>
    <row r="20" spans="1:16" ht="18.75" x14ac:dyDescent="0.25">
      <c r="A20" s="13" t="s">
        <v>40</v>
      </c>
      <c r="B20" s="10">
        <f t="shared" si="3"/>
        <v>1321.8240000000001</v>
      </c>
      <c r="C20" s="25">
        <v>104.54900000000001</v>
      </c>
      <c r="D20" s="25">
        <v>103.809</v>
      </c>
      <c r="E20" s="25">
        <v>122.17400000000001</v>
      </c>
      <c r="F20" s="25">
        <v>117.943</v>
      </c>
      <c r="G20" s="25">
        <v>118.33199999999999</v>
      </c>
      <c r="H20" s="25">
        <v>108.44199999999999</v>
      </c>
      <c r="I20" s="25">
        <v>113.68</v>
      </c>
      <c r="J20" s="25">
        <v>108.458</v>
      </c>
      <c r="K20" s="25">
        <v>97.198999999999998</v>
      </c>
      <c r="L20" s="25">
        <v>109.709</v>
      </c>
      <c r="M20" s="25">
        <v>104.001</v>
      </c>
      <c r="N20" s="25">
        <v>113.52800000000001</v>
      </c>
      <c r="O20" s="14" t="s">
        <v>41</v>
      </c>
    </row>
    <row r="21" spans="1:16" ht="18.75" x14ac:dyDescent="0.25">
      <c r="A21" s="13" t="s">
        <v>42</v>
      </c>
      <c r="B21" s="10">
        <f t="shared" si="3"/>
        <v>512.596</v>
      </c>
      <c r="C21" s="25">
        <v>40.529000000000003</v>
      </c>
      <c r="D21" s="25">
        <v>37.351999999999997</v>
      </c>
      <c r="E21" s="25">
        <v>43.527999999999999</v>
      </c>
      <c r="F21" s="25">
        <v>45.237000000000002</v>
      </c>
      <c r="G21" s="25">
        <v>44.466999999999999</v>
      </c>
      <c r="H21" s="25">
        <v>44.466999999999999</v>
      </c>
      <c r="I21" s="25">
        <v>47.975999999999999</v>
      </c>
      <c r="J21" s="25">
        <v>42.697000000000003</v>
      </c>
      <c r="K21" s="25">
        <v>40.366999999999997</v>
      </c>
      <c r="L21" s="25">
        <v>43.420999999999999</v>
      </c>
      <c r="M21" s="25">
        <v>40.65</v>
      </c>
      <c r="N21" s="25">
        <v>41.905000000000001</v>
      </c>
      <c r="O21" s="14" t="s">
        <v>43</v>
      </c>
    </row>
    <row r="22" spans="1:16" ht="18.75" x14ac:dyDescent="0.25">
      <c r="A22" s="13" t="s">
        <v>44</v>
      </c>
      <c r="B22" s="10">
        <f t="shared" si="3"/>
        <v>250.04500000000002</v>
      </c>
      <c r="C22" s="25">
        <v>19.556000000000001</v>
      </c>
      <c r="D22" s="25">
        <v>18.085999999999999</v>
      </c>
      <c r="E22" s="25">
        <v>21.013000000000002</v>
      </c>
      <c r="F22" s="25">
        <v>20.745999999999999</v>
      </c>
      <c r="G22" s="25">
        <v>21.690999999999999</v>
      </c>
      <c r="H22" s="25">
        <v>21.257999999999999</v>
      </c>
      <c r="I22" s="25">
        <v>22.454000000000001</v>
      </c>
      <c r="J22" s="25">
        <v>21.789000000000001</v>
      </c>
      <c r="K22" s="25">
        <v>20.776</v>
      </c>
      <c r="L22" s="25">
        <v>21.446999999999999</v>
      </c>
      <c r="M22" s="25">
        <v>19.940000000000001</v>
      </c>
      <c r="N22" s="25">
        <v>21.289000000000001</v>
      </c>
      <c r="O22" s="14" t="s">
        <v>45</v>
      </c>
    </row>
    <row r="23" spans="1:16" ht="18.75" x14ac:dyDescent="0.25">
      <c r="A23" s="13" t="s">
        <v>46</v>
      </c>
      <c r="B23" s="10">
        <f t="shared" si="3"/>
        <v>237.69</v>
      </c>
      <c r="C23" s="25">
        <v>17.577999999999999</v>
      </c>
      <c r="D23" s="25">
        <v>17.257000000000001</v>
      </c>
      <c r="E23" s="25">
        <v>20.587</v>
      </c>
      <c r="F23" s="25">
        <v>21.346</v>
      </c>
      <c r="G23" s="25">
        <v>20.922000000000001</v>
      </c>
      <c r="H23" s="25">
        <v>19.539000000000001</v>
      </c>
      <c r="I23" s="25">
        <v>21.265000000000001</v>
      </c>
      <c r="J23" s="25">
        <v>19.846</v>
      </c>
      <c r="K23" s="25">
        <v>18.834</v>
      </c>
      <c r="L23" s="25">
        <v>20.94</v>
      </c>
      <c r="M23" s="25">
        <v>19.861999999999998</v>
      </c>
      <c r="N23" s="25">
        <v>19.713999999999999</v>
      </c>
      <c r="O23" s="14" t="s">
        <v>47</v>
      </c>
    </row>
    <row r="24" spans="1:16" ht="18.75" x14ac:dyDescent="0.25">
      <c r="A24" s="13" t="s">
        <v>48</v>
      </c>
      <c r="B24" s="10">
        <f t="shared" si="3"/>
        <v>160.86099999999999</v>
      </c>
      <c r="C24" s="25">
        <v>12.228</v>
      </c>
      <c r="D24" s="25">
        <v>11.074999999999999</v>
      </c>
      <c r="E24" s="25">
        <v>12.868</v>
      </c>
      <c r="F24" s="25">
        <v>12.801</v>
      </c>
      <c r="G24" s="25">
        <v>13.555999999999999</v>
      </c>
      <c r="H24" s="25">
        <v>14.336</v>
      </c>
      <c r="I24" s="25">
        <v>16.753</v>
      </c>
      <c r="J24" s="25">
        <v>14.647</v>
      </c>
      <c r="K24" s="25">
        <v>13.135</v>
      </c>
      <c r="L24" s="25">
        <v>13.942</v>
      </c>
      <c r="M24" s="25">
        <v>12.414</v>
      </c>
      <c r="N24" s="25">
        <v>13.106</v>
      </c>
      <c r="O24" s="14" t="s">
        <v>49</v>
      </c>
    </row>
    <row r="25" spans="1:16" ht="18.75" x14ac:dyDescent="0.25">
      <c r="A25" s="13" t="s">
        <v>50</v>
      </c>
      <c r="B25" s="10">
        <f t="shared" si="3"/>
        <v>136.19900000000001</v>
      </c>
      <c r="C25" s="25">
        <v>11.528</v>
      </c>
      <c r="D25" s="25">
        <v>11.528</v>
      </c>
      <c r="E25" s="25">
        <v>11.166</v>
      </c>
      <c r="F25" s="25">
        <v>10.933999999999999</v>
      </c>
      <c r="G25" s="25">
        <v>10.997</v>
      </c>
      <c r="H25" s="25">
        <v>11.242000000000001</v>
      </c>
      <c r="I25" s="25">
        <v>12.507</v>
      </c>
      <c r="J25" s="25">
        <v>11.138</v>
      </c>
      <c r="K25" s="25">
        <v>10.976000000000001</v>
      </c>
      <c r="L25" s="25">
        <v>11.472</v>
      </c>
      <c r="M25" s="25">
        <v>10.702999999999999</v>
      </c>
      <c r="N25" s="25">
        <v>12.007999999999999</v>
      </c>
      <c r="O25" s="14" t="s">
        <v>51</v>
      </c>
    </row>
    <row r="26" spans="1:16" ht="18.75" x14ac:dyDescent="0.25">
      <c r="A26" s="13" t="s">
        <v>52</v>
      </c>
      <c r="B26" s="10">
        <f t="shared" si="3"/>
        <v>138.00199999999998</v>
      </c>
      <c r="C26" s="25">
        <v>11.355</v>
      </c>
      <c r="D26" s="25">
        <v>10.311999999999999</v>
      </c>
      <c r="E26" s="25">
        <v>11.752000000000001</v>
      </c>
      <c r="F26" s="25">
        <v>11.673999999999999</v>
      </c>
      <c r="G26" s="25">
        <v>11.791</v>
      </c>
      <c r="H26" s="25">
        <v>11.443</v>
      </c>
      <c r="I26" s="25">
        <v>12.266999999999999</v>
      </c>
      <c r="J26" s="25">
        <v>11.154</v>
      </c>
      <c r="K26" s="25">
        <v>11.108000000000001</v>
      </c>
      <c r="L26" s="25">
        <v>11.677</v>
      </c>
      <c r="M26" s="25">
        <v>10.797000000000001</v>
      </c>
      <c r="N26" s="25">
        <v>12.672000000000001</v>
      </c>
      <c r="O26" s="14" t="s">
        <v>53</v>
      </c>
    </row>
    <row r="27" spans="1:16" ht="18.75" x14ac:dyDescent="0.25">
      <c r="A27" s="13" t="s">
        <v>54</v>
      </c>
      <c r="B27" s="10">
        <f t="shared" si="3"/>
        <v>191.57400000000001</v>
      </c>
      <c r="C27" s="25">
        <v>15.518000000000001</v>
      </c>
      <c r="D27" s="25">
        <v>14.302</v>
      </c>
      <c r="E27" s="25">
        <v>16.847000000000001</v>
      </c>
      <c r="F27" s="25">
        <v>16.744</v>
      </c>
      <c r="G27" s="25">
        <v>15.787000000000001</v>
      </c>
      <c r="H27" s="25">
        <v>15.74</v>
      </c>
      <c r="I27" s="25">
        <v>17.643000000000001</v>
      </c>
      <c r="J27" s="25">
        <v>16.225000000000001</v>
      </c>
      <c r="K27" s="25">
        <v>15.587</v>
      </c>
      <c r="L27" s="25">
        <v>16.64</v>
      </c>
      <c r="M27" s="25">
        <v>14.815</v>
      </c>
      <c r="N27" s="25">
        <v>15.726000000000001</v>
      </c>
      <c r="O27" s="14" t="s">
        <v>55</v>
      </c>
    </row>
    <row r="28" spans="1:16" ht="18.75" x14ac:dyDescent="0.25">
      <c r="A28" s="13" t="s">
        <v>56</v>
      </c>
      <c r="B28" s="10">
        <f t="shared" si="3"/>
        <v>189.614</v>
      </c>
      <c r="C28" s="25">
        <v>15.489000000000001</v>
      </c>
      <c r="D28" s="25">
        <v>13.843999999999999</v>
      </c>
      <c r="E28" s="25">
        <v>15.439</v>
      </c>
      <c r="F28" s="25">
        <v>15.398999999999999</v>
      </c>
      <c r="G28" s="25">
        <v>15.551</v>
      </c>
      <c r="H28" s="25">
        <v>15.228999999999999</v>
      </c>
      <c r="I28" s="25">
        <v>17.513999999999999</v>
      </c>
      <c r="J28" s="25">
        <v>17.306999999999999</v>
      </c>
      <c r="K28" s="25">
        <v>15.78</v>
      </c>
      <c r="L28" s="25">
        <v>16.387</v>
      </c>
      <c r="M28" s="25">
        <v>14.983000000000001</v>
      </c>
      <c r="N28" s="25">
        <v>16.692</v>
      </c>
      <c r="O28" s="14" t="s">
        <v>57</v>
      </c>
    </row>
    <row r="29" spans="1:16" ht="18.75" x14ac:dyDescent="0.25">
      <c r="A29" s="13" t="s">
        <v>58</v>
      </c>
      <c r="B29" s="10">
        <f t="shared" si="3"/>
        <v>112.89</v>
      </c>
      <c r="C29" s="25">
        <v>8.5250000000000004</v>
      </c>
      <c r="D29" s="25">
        <v>8.125</v>
      </c>
      <c r="E29" s="25">
        <v>9.6769999999999996</v>
      </c>
      <c r="F29" s="25">
        <v>9.5839999999999996</v>
      </c>
      <c r="G29" s="25">
        <v>9.6649999999999991</v>
      </c>
      <c r="H29" s="25">
        <v>9.5640000000000001</v>
      </c>
      <c r="I29" s="25">
        <v>10.56</v>
      </c>
      <c r="J29" s="25">
        <v>9.6750000000000007</v>
      </c>
      <c r="K29" s="25">
        <v>9.375</v>
      </c>
      <c r="L29" s="25">
        <v>9.5</v>
      </c>
      <c r="M29" s="25">
        <v>9.1750000000000007</v>
      </c>
      <c r="N29" s="25">
        <v>9.4649999999999999</v>
      </c>
      <c r="O29" s="14" t="s">
        <v>59</v>
      </c>
      <c r="P29" s="15"/>
    </row>
    <row r="30" spans="1:16" ht="18.75" x14ac:dyDescent="0.25">
      <c r="A30" s="13" t="s">
        <v>60</v>
      </c>
      <c r="B30" s="10">
        <f t="shared" si="3"/>
        <v>198.09899999999999</v>
      </c>
      <c r="C30" s="25">
        <v>14.567</v>
      </c>
      <c r="D30" s="25">
        <v>14.135</v>
      </c>
      <c r="E30" s="25">
        <v>15.896000000000001</v>
      </c>
      <c r="F30" s="25">
        <v>16.097999999999999</v>
      </c>
      <c r="G30" s="25">
        <v>15.433</v>
      </c>
      <c r="H30" s="25">
        <v>16.872</v>
      </c>
      <c r="I30" s="25">
        <v>20.5</v>
      </c>
      <c r="J30" s="25">
        <v>17.254999999999999</v>
      </c>
      <c r="K30" s="25">
        <v>16.5</v>
      </c>
      <c r="L30" s="25">
        <v>18.690000000000001</v>
      </c>
      <c r="M30" s="25">
        <v>16.623999999999999</v>
      </c>
      <c r="N30" s="25">
        <v>15.529</v>
      </c>
      <c r="O30" s="14" t="s">
        <v>61</v>
      </c>
      <c r="P30" s="15"/>
    </row>
    <row r="31" spans="1:16" ht="18.75" x14ac:dyDescent="0.25">
      <c r="A31" s="13" t="s">
        <v>62</v>
      </c>
      <c r="B31" s="10">
        <f t="shared" si="3"/>
        <v>215.52799999999999</v>
      </c>
      <c r="C31" s="25">
        <v>17.55</v>
      </c>
      <c r="D31" s="25">
        <v>15.016999999999999</v>
      </c>
      <c r="E31" s="25">
        <v>17.361999999999998</v>
      </c>
      <c r="F31" s="25">
        <v>18.257999999999999</v>
      </c>
      <c r="G31" s="25">
        <v>18.41</v>
      </c>
      <c r="H31" s="25">
        <v>17.992999999999999</v>
      </c>
      <c r="I31" s="25">
        <v>20.103999999999999</v>
      </c>
      <c r="J31" s="25">
        <v>18.477</v>
      </c>
      <c r="K31" s="25">
        <v>17.53</v>
      </c>
      <c r="L31" s="25">
        <v>18.858000000000001</v>
      </c>
      <c r="M31" s="25">
        <v>17.283999999999999</v>
      </c>
      <c r="N31" s="25">
        <v>18.684999999999999</v>
      </c>
      <c r="O31" s="14" t="s">
        <v>63</v>
      </c>
      <c r="P31" s="15"/>
    </row>
    <row r="32" spans="1:16" ht="18.75" x14ac:dyDescent="0.25">
      <c r="A32" s="13" t="s">
        <v>64</v>
      </c>
      <c r="B32" s="10">
        <f t="shared" si="3"/>
        <v>52.280999999999999</v>
      </c>
      <c r="C32" s="25">
        <v>4.2450000000000001</v>
      </c>
      <c r="D32" s="25">
        <v>3.7480000000000002</v>
      </c>
      <c r="E32" s="25">
        <v>4.0119999999999996</v>
      </c>
      <c r="F32" s="25">
        <v>4.0039999999999996</v>
      </c>
      <c r="G32" s="25">
        <v>4.2169999999999996</v>
      </c>
      <c r="H32" s="25">
        <v>3.984</v>
      </c>
      <c r="I32" s="25">
        <v>4.4560000000000004</v>
      </c>
      <c r="J32" s="25">
        <v>4.4870000000000001</v>
      </c>
      <c r="K32" s="25">
        <v>4.3680000000000003</v>
      </c>
      <c r="L32" s="25">
        <v>5.0579999999999998</v>
      </c>
      <c r="M32" s="25">
        <v>4.8</v>
      </c>
      <c r="N32" s="25">
        <v>4.9020000000000001</v>
      </c>
      <c r="O32" s="14" t="s">
        <v>65</v>
      </c>
      <c r="P32" s="15"/>
    </row>
    <row r="33" spans="1:17" ht="18.75" x14ac:dyDescent="0.25">
      <c r="A33" s="13" t="s">
        <v>66</v>
      </c>
      <c r="B33" s="10">
        <f t="shared" si="3"/>
        <v>130.61600000000001</v>
      </c>
      <c r="C33" s="25">
        <v>10.952999999999999</v>
      </c>
      <c r="D33" s="25">
        <v>10.984999999999999</v>
      </c>
      <c r="E33" s="25">
        <v>10.938000000000001</v>
      </c>
      <c r="F33" s="25">
        <v>10.585000000000001</v>
      </c>
      <c r="G33" s="25">
        <v>11.013999999999999</v>
      </c>
      <c r="H33" s="25">
        <v>10.603999999999999</v>
      </c>
      <c r="I33" s="25">
        <v>10.959</v>
      </c>
      <c r="J33" s="25">
        <v>11.079000000000001</v>
      </c>
      <c r="K33" s="25">
        <v>10.614000000000001</v>
      </c>
      <c r="L33" s="25">
        <v>11.034000000000001</v>
      </c>
      <c r="M33" s="25">
        <v>10.831</v>
      </c>
      <c r="N33" s="25">
        <v>11.02</v>
      </c>
      <c r="O33" s="14" t="s">
        <v>67</v>
      </c>
      <c r="P33" s="15"/>
    </row>
    <row r="34" spans="1:17" ht="18.75" x14ac:dyDescent="0.25">
      <c r="A34" s="13" t="s">
        <v>68</v>
      </c>
      <c r="B34" s="10">
        <f t="shared" si="3"/>
        <v>71.287999999999997</v>
      </c>
      <c r="C34" s="25">
        <v>6.4349999999999996</v>
      </c>
      <c r="D34" s="25">
        <v>6.4950000000000001</v>
      </c>
      <c r="E34" s="25">
        <v>6.6849999999999996</v>
      </c>
      <c r="F34" s="25">
        <v>6.26</v>
      </c>
      <c r="G34" s="25">
        <v>5.2</v>
      </c>
      <c r="H34" s="25">
        <v>4.6550000000000002</v>
      </c>
      <c r="I34" s="25">
        <v>6.16</v>
      </c>
      <c r="J34" s="25">
        <v>6.0890000000000004</v>
      </c>
      <c r="K34" s="25">
        <v>5.0819999999999999</v>
      </c>
      <c r="L34" s="25">
        <v>5.3390000000000004</v>
      </c>
      <c r="M34" s="25">
        <v>5.7270000000000003</v>
      </c>
      <c r="N34" s="25">
        <v>7.1609999999999996</v>
      </c>
      <c r="O34" s="14" t="s">
        <v>69</v>
      </c>
      <c r="P34" s="15"/>
    </row>
    <row r="35" spans="1:17" ht="18.75" x14ac:dyDescent="0.25">
      <c r="A35" s="13" t="s">
        <v>70</v>
      </c>
      <c r="B35" s="10">
        <f t="shared" si="3"/>
        <v>148.79500000000002</v>
      </c>
      <c r="C35" s="25">
        <v>11.98</v>
      </c>
      <c r="D35" s="25">
        <v>11.579000000000001</v>
      </c>
      <c r="E35" s="25">
        <v>13.573</v>
      </c>
      <c r="F35" s="25">
        <v>14.532999999999999</v>
      </c>
      <c r="G35" s="25">
        <v>12.663</v>
      </c>
      <c r="H35" s="25">
        <v>11.781000000000001</v>
      </c>
      <c r="I35" s="25">
        <v>13.602</v>
      </c>
      <c r="J35" s="25">
        <v>12.5</v>
      </c>
      <c r="K35" s="25">
        <v>11.563000000000001</v>
      </c>
      <c r="L35" s="25">
        <v>11.893000000000001</v>
      </c>
      <c r="M35" s="25">
        <v>11.167999999999999</v>
      </c>
      <c r="N35" s="25">
        <v>11.96</v>
      </c>
      <c r="O35" s="14" t="s">
        <v>71</v>
      </c>
      <c r="P35" s="15"/>
    </row>
    <row r="36" spans="1:17" s="20" customFormat="1" ht="18" customHeight="1" x14ac:dyDescent="0.25">
      <c r="A36" s="16" t="s">
        <v>72</v>
      </c>
      <c r="B36" s="27">
        <f t="shared" si="3"/>
        <v>54.078000000000003</v>
      </c>
      <c r="C36" s="26">
        <v>6.0090000000000003</v>
      </c>
      <c r="D36" s="26">
        <v>4.1269999999999998</v>
      </c>
      <c r="E36" s="26">
        <v>4.6790000000000003</v>
      </c>
      <c r="F36" s="26">
        <v>4.2229999999999999</v>
      </c>
      <c r="G36" s="26">
        <v>4.1870000000000003</v>
      </c>
      <c r="H36" s="26">
        <v>4.2990000000000004</v>
      </c>
      <c r="I36" s="26">
        <v>4.8029999999999999</v>
      </c>
      <c r="J36" s="26">
        <v>4.3470000000000004</v>
      </c>
      <c r="K36" s="26">
        <v>4.077</v>
      </c>
      <c r="L36" s="26">
        <v>4.2549999999999999</v>
      </c>
      <c r="M36" s="26">
        <v>4.3010000000000002</v>
      </c>
      <c r="N36" s="26">
        <v>4.7709999999999999</v>
      </c>
      <c r="O36" s="17" t="s">
        <v>73</v>
      </c>
      <c r="P36" s="18"/>
      <c r="Q36" s="19"/>
    </row>
    <row r="37" spans="1:17" s="33" customFormat="1" ht="16.149999999999999" customHeight="1" x14ac:dyDescent="0.25">
      <c r="A37" s="31" t="s">
        <v>0</v>
      </c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2"/>
      <c r="O37" s="30" t="s">
        <v>1</v>
      </c>
    </row>
    <row r="38" spans="1:17" s="20" customFormat="1" ht="17.25" customHeight="1" x14ac:dyDescent="0.25">
      <c r="A38" s="23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18"/>
    </row>
    <row r="39" spans="1:17" s="24" customFormat="1" ht="12" x14ac:dyDescent="0.25"/>
  </sheetData>
  <mergeCells count="4">
    <mergeCell ref="A1:O1"/>
    <mergeCell ref="A2:O2"/>
    <mergeCell ref="A3:O3"/>
    <mergeCell ref="A4:O4"/>
  </mergeCells>
  <pageMargins left="0.7" right="0.7" top="0.19" bottom="0.17" header="0.18" footer="0.17"/>
  <pageSetup paperSize="9" scale="85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2016-02-25T08:36:00Z</cp:lastPrinted>
  <dcterms:created xsi:type="dcterms:W3CDTF">2015-01-12T08:51:45Z</dcterms:created>
  <dcterms:modified xsi:type="dcterms:W3CDTF">2016-02-25T08:36:03Z</dcterms:modified>
</cp:coreProperties>
</file>