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7," sheetId="15" r:id="rId1"/>
  </sheets>
  <definedNames>
    <definedName name="_xlnm.Print_Area" localSheetId="0">'11.17,'!$A$1:$J$57</definedName>
  </definedNames>
  <calcPr calcId="144525"/>
</workbook>
</file>

<file path=xl/calcChain.xml><?xml version="1.0" encoding="utf-8"?>
<calcChain xmlns="http://schemas.openxmlformats.org/spreadsheetml/2006/main">
  <c r="G17" i="15" l="1"/>
  <c r="C17" i="15"/>
  <c r="G16" i="15"/>
  <c r="C16" i="15"/>
  <c r="G15" i="15"/>
  <c r="C15" i="15"/>
  <c r="B15" i="15" s="1"/>
  <c r="G14" i="15"/>
  <c r="C14" i="15"/>
  <c r="B14" i="15" s="1"/>
  <c r="G13" i="15"/>
  <c r="C13" i="15"/>
  <c r="B13" i="15" s="1"/>
  <c r="G12" i="15"/>
  <c r="C12" i="15"/>
  <c r="B12" i="15" s="1"/>
  <c r="G11" i="15"/>
  <c r="C11" i="15"/>
  <c r="B11" i="15" s="1"/>
  <c r="G10" i="15"/>
  <c r="C10" i="15"/>
  <c r="G9" i="15"/>
  <c r="C9" i="15"/>
  <c r="G8" i="15"/>
  <c r="C8" i="15"/>
  <c r="B8" i="15" s="1"/>
  <c r="G7" i="15"/>
  <c r="C7" i="15"/>
  <c r="B7" i="15"/>
  <c r="G6" i="15"/>
  <c r="C6" i="15"/>
  <c r="B6" i="15" s="1"/>
  <c r="I5" i="15"/>
  <c r="H5" i="15"/>
  <c r="G5" i="15" s="1"/>
  <c r="F5" i="15"/>
  <c r="E5" i="15"/>
  <c r="D5" i="15"/>
  <c r="C5" i="15" l="1"/>
  <c r="B5" i="15" s="1"/>
  <c r="B9" i="15"/>
  <c r="B16" i="15"/>
  <c r="B10" i="15"/>
  <c r="B17" i="15"/>
</calcChain>
</file>

<file path=xl/sharedStrings.xml><?xml version="1.0" encoding="utf-8"?>
<sst xmlns="http://schemas.openxmlformats.org/spreadsheetml/2006/main" count="73" uniqueCount="47">
  <si>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</si>
  <si>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</si>
  <si>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</si>
  <si>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</si>
  <si>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</si>
  <si>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</si>
  <si>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</si>
  <si>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</si>
  <si>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</t>
  </si>
  <si>
    <t>January</t>
  </si>
  <si>
    <t>Irwaunej</t>
  </si>
  <si>
    <t>Feb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</si>
  <si>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</si>
  <si>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</si>
  <si>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</si>
  <si>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</si>
  <si>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</si>
  <si>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</si>
  <si>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</si>
  <si>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</si>
  <si>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</si>
  <si>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</si>
  <si>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</si>
  <si>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</si>
  <si>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</t>
  </si>
  <si>
    <t>August</t>
  </si>
  <si>
    <t>cTcswgoa</t>
  </si>
  <si>
    <t>Sep</t>
  </si>
  <si>
    <t>September</t>
  </si>
  <si>
    <t>rwbcmeTcpes</t>
  </si>
  <si>
    <t>Oct</t>
  </si>
  <si>
    <t>October</t>
  </si>
  <si>
    <t>rwbUTckoa</t>
  </si>
  <si>
    <t>Nov</t>
  </si>
  <si>
    <t>November</t>
  </si>
  <si>
    <t>rwbcmevon</t>
  </si>
  <si>
    <t>Dec</t>
  </si>
  <si>
    <t>December</t>
  </si>
  <si>
    <t>rwbcmesiD</t>
  </si>
  <si>
    <t>Domestic</t>
  </si>
  <si>
    <t>International</t>
  </si>
  <si>
    <t>Grand total</t>
  </si>
  <si>
    <t>Scheduled</t>
  </si>
  <si>
    <t>Chartered</t>
  </si>
  <si>
    <t>Non-Scheduled</t>
  </si>
  <si>
    <t>Table  11.17 :  AIRCRAFT MOVEMENT AT IBRAHIM NASIR INTERNATIONAL AIRPORT BY MONTH, 2014</t>
  </si>
  <si>
    <t>ތާވަލު 11.17: މަސްމަހުގެ ގޮތުން ބައިނަލް އަޤްވާމީ ވައިގެބަނދަރުން ދަތުރުކުރި ފްލައިޓްތައް،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</si>
</sst>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</font>
    <font>
      <b/>
      <sz val="12"/>
      <name val="A_Randhoo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6" fillId="0" borderId="0" applyFont="0" applyFill="0" applyBorder="0" applyAlignment="0" applyProtection="0"/>
    <xf numFmtId="0" fontId="6" fillId="0" borderId="0"/>
    <xf numFmtId="0" fontId="18" fillId="0" borderId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9" fillId="0" borderId="0"/>
    <xf numFmtId="164" fontId="11" fillId="0" borderId="0"/>
    <xf numFmtId="169" fontId="11" fillId="0" borderId="0" applyFont="0" applyFill="0" applyBorder="0" applyAlignment="0" applyProtection="0"/>
  </cellStyleXfs>
  <cellXfs count="56">
    <xf numFmtId="0" fontId="0" fillId="0" borderId="0" xfId="0"/>
    <xf numFmtId="0" fontId="10" fillId="2" borderId="2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9" fillId="2" borderId="0" xfId="5" applyNumberFormat="1" applyFont="1" applyFill="1" applyBorder="1" applyAlignment="1" applyProtection="1">
      <alignment horizontal="left" vertical="center"/>
    </xf>
    <xf numFmtId="164" fontId="9" fillId="2" borderId="0" xfId="5" applyNumberFormat="1" applyFont="1" applyFill="1" applyAlignment="1" applyProtection="1">
      <alignment horizontal="left" vertical="center"/>
    </xf>
    <xf numFmtId="0" fontId="12" fillId="2" borderId="0" xfId="7" applyFont="1" applyFill="1" applyAlignment="1">
      <alignment vertical="center"/>
    </xf>
    <xf numFmtId="164" fontId="0" fillId="2" borderId="0" xfId="0" applyNumberFormat="1" applyFill="1" applyBorder="1"/>
    <xf numFmtId="3" fontId="2" fillId="2" borderId="0" xfId="5" applyNumberFormat="1" applyFont="1" applyFill="1" applyBorder="1" applyAlignment="1" applyProtection="1">
      <alignment horizontal="right" vertical="center"/>
    </xf>
    <xf numFmtId="0" fontId="15" fillId="2" borderId="0" xfId="8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7" fillId="2" borderId="0" xfId="8" applyFont="1" applyFill="1" applyBorder="1" applyAlignment="1">
      <alignment horizontal="right"/>
    </xf>
    <xf numFmtId="164" fontId="3" fillId="2" borderId="5" xfId="5" applyNumberFormat="1" applyFont="1" applyFill="1" applyBorder="1" applyAlignment="1" applyProtection="1">
      <alignment horizontal="left" vertical="center"/>
    </xf>
    <xf numFmtId="0" fontId="17" fillId="2" borderId="5" xfId="8" applyFont="1" applyFill="1" applyBorder="1" applyAlignment="1">
      <alignment horizontal="right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0" fontId="10" fillId="2" borderId="0" xfId="0" applyNumberFormat="1" applyFont="1" applyFill="1" applyBorder="1" applyAlignment="1">
      <alignment horizontal="right" vertical="center"/>
    </xf>
    <xf numFmtId="3" fontId="3" fillId="2" borderId="5" xfId="5" applyNumberFormat="1" applyFont="1" applyFill="1" applyBorder="1" applyAlignment="1" applyProtection="1">
      <alignment horizontal="right" vertical="center"/>
      <protection locked="0"/>
    </xf>
    <xf numFmtId="164" fontId="14" fillId="2" borderId="0" xfId="5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3" fontId="2" fillId="2" borderId="5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7" applyFont="1" applyFill="1" applyBorder="1" applyAlignment="1">
      <alignment vertical="center"/>
    </xf>
    <xf numFmtId="164" fontId="12" fillId="2" borderId="0" xfId="5" applyNumberFormat="1" applyFont="1" applyFill="1" applyBorder="1" applyAlignment="1"/>
    <xf numFmtId="164" fontId="8" fillId="2" borderId="0" xfId="0" applyNumberFormat="1" applyFont="1" applyFill="1" applyBorder="1"/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164" fontId="20" fillId="2" borderId="0" xfId="0" applyNumberFormat="1" applyFont="1" applyFill="1"/>
    <xf numFmtId="3" fontId="2" fillId="0" borderId="2" xfId="5" applyNumberFormat="1" applyFont="1" applyFill="1" applyBorder="1" applyAlignment="1" applyProtection="1">
      <alignment horizontal="right" vertical="center"/>
    </xf>
    <xf numFmtId="3" fontId="3" fillId="0" borderId="1" xfId="5" applyNumberFormat="1" applyFont="1" applyFill="1" applyBorder="1" applyAlignment="1" applyProtection="1">
      <alignment horizontal="right" vertical="center"/>
      <protection locked="0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164" fontId="2" fillId="2" borderId="8" xfId="5" applyNumberFormat="1" applyFont="1" applyFill="1" applyBorder="1" applyAlignment="1" applyProtection="1">
      <alignment horizontal="right" vertical="center"/>
    </xf>
    <xf numFmtId="164" fontId="2" fillId="2" borderId="15" xfId="5" applyNumberFormat="1" applyFont="1" applyFill="1" applyBorder="1" applyAlignment="1" applyProtection="1">
      <alignment horizontal="right" vertical="center" wrapText="1"/>
    </xf>
    <xf numFmtId="164" fontId="2" fillId="2" borderId="12" xfId="5" applyNumberFormat="1" applyFont="1" applyFill="1" applyBorder="1" applyAlignment="1" applyProtection="1">
      <alignment horizontal="right" vertical="center"/>
    </xf>
    <xf numFmtId="3" fontId="3" fillId="0" borderId="3" xfId="5" applyNumberFormat="1" applyFont="1" applyFill="1" applyBorder="1" applyAlignment="1" applyProtection="1">
      <alignment horizontal="right" vertical="center"/>
      <protection locked="0"/>
    </xf>
    <xf numFmtId="3" fontId="2" fillId="0" borderId="6" xfId="5" applyNumberFormat="1" applyFont="1" applyFill="1" applyBorder="1" applyAlignment="1" applyProtection="1">
      <alignment horizontal="right" vertical="center"/>
    </xf>
    <xf numFmtId="3" fontId="2" fillId="0" borderId="7" xfId="5" applyNumberFormat="1" applyFont="1" applyFill="1" applyBorder="1" applyAlignment="1" applyProtection="1">
      <alignment horizontal="right" vertical="center"/>
    </xf>
    <xf numFmtId="3" fontId="2" fillId="0" borderId="8" xfId="5" applyNumberFormat="1" applyFont="1" applyFill="1" applyBorder="1" applyAlignment="1" applyProtection="1">
      <alignment horizontal="right" vertical="center"/>
    </xf>
    <xf numFmtId="3" fontId="2" fillId="0" borderId="13" xfId="5" applyNumberFormat="1" applyFont="1" applyFill="1" applyBorder="1" applyAlignment="1" applyProtection="1">
      <alignment horizontal="right" vertical="center"/>
    </xf>
    <xf numFmtId="3" fontId="2" fillId="0" borderId="16" xfId="5" applyNumberFormat="1" applyFont="1" applyFill="1" applyBorder="1" applyAlignment="1" applyProtection="1">
      <alignment horizontal="right" vertical="center"/>
    </xf>
    <xf numFmtId="3" fontId="2" fillId="0" borderId="14" xfId="5" applyNumberFormat="1" applyFont="1" applyFill="1" applyBorder="1" applyAlignment="1" applyProtection="1">
      <alignment horizontal="right" vertical="center"/>
    </xf>
    <xf numFmtId="3" fontId="3" fillId="0" borderId="17" xfId="5" applyNumberFormat="1" applyFont="1" applyFill="1" applyBorder="1" applyAlignment="1" applyProtection="1">
      <alignment horizontal="right" vertical="center"/>
      <protection locked="0"/>
    </xf>
    <xf numFmtId="3" fontId="2" fillId="0" borderId="12" xfId="5" applyNumberFormat="1" applyFont="1" applyFill="1" applyBorder="1" applyAlignment="1" applyProtection="1">
      <alignment horizontal="right" vertical="center"/>
    </xf>
    <xf numFmtId="3" fontId="3" fillId="0" borderId="15" xfId="5" applyNumberFormat="1" applyFont="1" applyFill="1" applyBorder="1" applyAlignment="1" applyProtection="1">
      <alignment horizontal="right" vertical="center"/>
      <protection locked="0"/>
    </xf>
    <xf numFmtId="164" fontId="7" fillId="2" borderId="4" xfId="5" applyNumberFormat="1" applyFont="1" applyFill="1" applyBorder="1" applyAlignment="1" applyProtection="1">
      <alignment horizontal="left" vertical="center"/>
    </xf>
    <xf numFmtId="164" fontId="7" fillId="2" borderId="5" xfId="5" applyNumberFormat="1" applyFont="1" applyFill="1" applyBorder="1" applyAlignment="1" applyProtection="1">
      <alignment horizontal="left" vertical="center"/>
    </xf>
    <xf numFmtId="0" fontId="15" fillId="2" borderId="4" xfId="8" applyFont="1" applyFill="1" applyBorder="1" applyAlignment="1">
      <alignment horizontal="right" vertical="center"/>
    </xf>
    <xf numFmtId="0" fontId="15" fillId="2" borderId="5" xfId="8" applyFont="1" applyFill="1" applyBorder="1" applyAlignment="1">
      <alignment horizontal="right" vertical="center"/>
    </xf>
    <xf numFmtId="0" fontId="13" fillId="2" borderId="9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164" fontId="4" fillId="2" borderId="5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right" vertical="center" wrapText="1"/>
    </xf>
    <xf numFmtId="164" fontId="2" fillId="2" borderId="5" xfId="5" applyNumberFormat="1" applyFont="1" applyFill="1" applyBorder="1" applyAlignment="1" applyProtection="1">
      <alignment horizontal="right" vertical="center" wrapText="1"/>
    </xf>
    <xf numFmtId="164" fontId="2" fillId="2" borderId="10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center" vertical="center"/>
    </xf>
    <xf numFmtId="164" fontId="2" fillId="2" borderId="11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11"/>
    <cellStyle name="Comma 4 2" xfId="14"/>
    <cellStyle name="Hyperlink 2" xfId="1"/>
    <cellStyle name="Normal" xfId="0" builtinId="0"/>
    <cellStyle name="Normal 2" xfId="5"/>
    <cellStyle name="Normal 2 2" xfId="13"/>
    <cellStyle name="Normal 2 3" xfId="3"/>
    <cellStyle name="Normal 3" xfId="9"/>
    <cellStyle name="Normal 3 2" xfId="4"/>
    <cellStyle name="Normal 4" xfId="10"/>
    <cellStyle name="Normal 5" xfId="2"/>
    <cellStyle name="Normal 6" xfId="12"/>
    <cellStyle name="Normal_IX-6(Trans &amp; Comm)" xfId="7"/>
    <cellStyle name="Normal_X-5 (Electricity)" xfId="8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11.12: International aircraft movements at Ibrahim Nasir International airport, 2014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2856627729988193E-2"/>
          <c:y val="0.22458710128482845"/>
          <c:w val="0.90658775314908624"/>
          <c:h val="0.60279292599342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'11.17,'!$AA$27</c:f>
              <c:strCache>
                <c:ptCount val="1"/>
                <c:pt idx="0">
                  <c:v>Scheduled</c:v>
                </c:pt>
              </c:strCache>
            </c:strRef>
          </c:tx>
          <c:invertIfNegative val="0"/>
          <c:cat>
            <c:strRef>
              <c:f>'11.17,'!$Z$28:$Z$39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'11.17,'!$AA$28:$AA$39</c:f>
              <c:numCache>
                <c:formatCode>#,##0</c:formatCode>
                <c:ptCount val="12"/>
                <c:pt idx="0">
                  <c:v>1894</c:v>
                </c:pt>
                <c:pt idx="1">
                  <c:v>1752</c:v>
                </c:pt>
                <c:pt idx="2">
                  <c:v>1838</c:v>
                </c:pt>
                <c:pt idx="3">
                  <c:v>1738</c:v>
                </c:pt>
                <c:pt idx="4">
                  <c:v>1738</c:v>
                </c:pt>
                <c:pt idx="5">
                  <c:v>1678</c:v>
                </c:pt>
                <c:pt idx="6">
                  <c:v>1742</c:v>
                </c:pt>
                <c:pt idx="7">
                  <c:v>1794</c:v>
                </c:pt>
                <c:pt idx="8">
                  <c:v>1692</c:v>
                </c:pt>
                <c:pt idx="9">
                  <c:v>1864</c:v>
                </c:pt>
                <c:pt idx="10">
                  <c:v>1812</c:v>
                </c:pt>
                <c:pt idx="11">
                  <c:v>1894</c:v>
                </c:pt>
              </c:numCache>
            </c:numRef>
          </c:val>
        </c:ser>
        <c:ser>
          <c:idx val="1"/>
          <c:order val="1"/>
          <c:tx>
            <c:strRef>
              <c:f>'11.17,'!$AB$27</c:f>
              <c:strCache>
                <c:ptCount val="1"/>
                <c:pt idx="0">
                  <c:v>Chartered</c:v>
                </c:pt>
              </c:strCache>
            </c:strRef>
          </c:tx>
          <c:invertIfNegative val="0"/>
          <c:cat>
            <c:strRef>
              <c:f>'11.17,'!$Z$28:$Z$39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'11.17,'!$AB$28:$AB$39</c:f>
              <c:numCache>
                <c:formatCode>#,##0</c:formatCode>
                <c:ptCount val="12"/>
                <c:pt idx="0">
                  <c:v>24</c:v>
                </c:pt>
                <c:pt idx="1">
                  <c:v>32</c:v>
                </c:pt>
                <c:pt idx="2">
                  <c:v>24</c:v>
                </c:pt>
                <c:pt idx="3">
                  <c:v>20</c:v>
                </c:pt>
                <c:pt idx="4">
                  <c:v>14</c:v>
                </c:pt>
                <c:pt idx="5">
                  <c:v>16</c:v>
                </c:pt>
                <c:pt idx="6">
                  <c:v>28</c:v>
                </c:pt>
                <c:pt idx="7">
                  <c:v>26</c:v>
                </c:pt>
                <c:pt idx="8">
                  <c:v>26</c:v>
                </c:pt>
                <c:pt idx="9">
                  <c:v>20</c:v>
                </c:pt>
                <c:pt idx="10">
                  <c:v>12</c:v>
                </c:pt>
                <c:pt idx="11">
                  <c:v>2</c:v>
                </c:pt>
              </c:numCache>
            </c:numRef>
          </c:val>
        </c:ser>
        <c:ser>
          <c:idx val="2"/>
          <c:order val="2"/>
          <c:tx>
            <c:strRef>
              <c:f>'11.17,'!$AC$27</c:f>
              <c:strCache>
                <c:ptCount val="1"/>
                <c:pt idx="0">
                  <c:v>Non-Scheduled</c:v>
                </c:pt>
              </c:strCache>
            </c:strRef>
          </c:tx>
          <c:invertIfNegative val="0"/>
          <c:cat>
            <c:strRef>
              <c:f>'11.17,'!$Z$28:$Z$39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'11.17,'!$AC$28:$AC$39</c:f>
              <c:numCache>
                <c:formatCode>#,##0</c:formatCode>
                <c:ptCount val="12"/>
                <c:pt idx="0">
                  <c:v>352</c:v>
                </c:pt>
                <c:pt idx="1">
                  <c:v>217</c:v>
                </c:pt>
                <c:pt idx="2">
                  <c:v>306</c:v>
                </c:pt>
                <c:pt idx="3">
                  <c:v>222</c:v>
                </c:pt>
                <c:pt idx="4">
                  <c:v>154</c:v>
                </c:pt>
                <c:pt idx="5">
                  <c:v>64</c:v>
                </c:pt>
                <c:pt idx="6">
                  <c:v>76</c:v>
                </c:pt>
                <c:pt idx="7">
                  <c:v>92</c:v>
                </c:pt>
                <c:pt idx="8">
                  <c:v>96</c:v>
                </c:pt>
                <c:pt idx="9">
                  <c:v>130</c:v>
                </c:pt>
                <c:pt idx="10">
                  <c:v>130</c:v>
                </c:pt>
                <c:pt idx="11">
                  <c:v>302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4744448"/>
        <c:axId val="124745984"/>
      </c:barChart>
      <c:catAx>
        <c:axId val="124744448"/>
        <c:scaling>
          <c:orientation val="minMax"/>
        </c:scaling>
        <c:delete val="0"/>
        <c:axPos val="b"/>
        <c:majorTickMark val="none"/>
        <c:minorTickMark val="none"/>
        <c:tickLblPos val="nextTo"/>
        <c:crossAx val="124745984"/>
        <c:crosses val="autoZero"/>
        <c:auto val="1"/>
        <c:lblAlgn val="ctr"/>
        <c:lblOffset val="100"/>
        <c:noMultiLvlLbl val="0"/>
      </c:catAx>
      <c:valAx>
        <c:axId val="12474598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en-US" sz="1050"/>
                  <a:t>In numbers</a:t>
                </a:r>
              </a:p>
            </c:rich>
          </c:tx>
          <c:layout>
            <c:manualLayout>
              <c:xMode val="edge"/>
              <c:yMode val="edge"/>
              <c:x val="6.1445060450666916E-2"/>
              <c:y val="0.1448587376359614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24744448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/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2013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150481189851271E-2"/>
          <c:y val="0.22348571011956839"/>
          <c:w val="0.87129396325459318"/>
          <c:h val="0.68497184030828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'11.17,'!$AA$43</c:f>
              <c:strCache>
                <c:ptCount val="1"/>
                <c:pt idx="0">
                  <c:v>Scheduled</c:v>
                </c:pt>
              </c:strCache>
            </c:strRef>
          </c:tx>
          <c:invertIfNegative val="0"/>
          <c:cat>
            <c:strRef>
              <c:f>'11.17,'!$Z$44:$Z$55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'11.17,'!$AA$44:$AA$55</c:f>
              <c:numCache>
                <c:formatCode>#,##0</c:formatCode>
                <c:ptCount val="12"/>
                <c:pt idx="0">
                  <c:v>2046</c:v>
                </c:pt>
                <c:pt idx="1">
                  <c:v>1936</c:v>
                </c:pt>
                <c:pt idx="2">
                  <c:v>2138</c:v>
                </c:pt>
                <c:pt idx="3">
                  <c:v>1920</c:v>
                </c:pt>
                <c:pt idx="4">
                  <c:v>1982</c:v>
                </c:pt>
                <c:pt idx="5">
                  <c:v>1824</c:v>
                </c:pt>
                <c:pt idx="6">
                  <c:v>1952</c:v>
                </c:pt>
                <c:pt idx="7">
                  <c:v>2038</c:v>
                </c:pt>
                <c:pt idx="8">
                  <c:v>1920</c:v>
                </c:pt>
                <c:pt idx="9">
                  <c:v>2204</c:v>
                </c:pt>
                <c:pt idx="10">
                  <c:v>2100</c:v>
                </c:pt>
                <c:pt idx="11">
                  <c:v>2234</c:v>
                </c:pt>
              </c:numCache>
            </c:numRef>
          </c:val>
        </c:ser>
        <c:ser>
          <c:idx val="1"/>
          <c:order val="1"/>
          <c:tx>
            <c:strRef>
              <c:f>'11.17,'!$AB$43</c:f>
              <c:strCache>
                <c:ptCount val="1"/>
                <c:pt idx="0">
                  <c:v>Chartered</c:v>
                </c:pt>
              </c:strCache>
            </c:strRef>
          </c:tx>
          <c:invertIfNegative val="0"/>
          <c:cat>
            <c:strRef>
              <c:f>'11.17,'!$Z$44:$Z$55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'11.17,'!$AB$44:$AB$55</c:f>
              <c:numCache>
                <c:formatCode>#,##0</c:formatCode>
                <c:ptCount val="12"/>
                <c:pt idx="0">
                  <c:v>4685</c:v>
                </c:pt>
                <c:pt idx="1">
                  <c:v>4604</c:v>
                </c:pt>
                <c:pt idx="2">
                  <c:v>4745</c:v>
                </c:pt>
                <c:pt idx="3">
                  <c:v>4564</c:v>
                </c:pt>
                <c:pt idx="4">
                  <c:v>3931</c:v>
                </c:pt>
                <c:pt idx="5">
                  <c:v>3325</c:v>
                </c:pt>
                <c:pt idx="6">
                  <c:v>3817</c:v>
                </c:pt>
                <c:pt idx="7">
                  <c:v>4381</c:v>
                </c:pt>
                <c:pt idx="8">
                  <c:v>3983</c:v>
                </c:pt>
                <c:pt idx="9">
                  <c:v>4596</c:v>
                </c:pt>
                <c:pt idx="10">
                  <c:v>4030</c:v>
                </c:pt>
                <c:pt idx="11">
                  <c:v>4271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4772352"/>
        <c:axId val="124773888"/>
      </c:barChart>
      <c:catAx>
        <c:axId val="124772352"/>
        <c:scaling>
          <c:orientation val="minMax"/>
        </c:scaling>
        <c:delete val="0"/>
        <c:axPos val="b"/>
        <c:majorTickMark val="none"/>
        <c:minorTickMark val="none"/>
        <c:tickLblPos val="nextTo"/>
        <c:crossAx val="124773888"/>
        <c:crosses val="autoZero"/>
        <c:auto val="1"/>
        <c:lblAlgn val="ctr"/>
        <c:lblOffset val="100"/>
        <c:noMultiLvlLbl val="0"/>
      </c:catAx>
      <c:valAx>
        <c:axId val="1247738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2477235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757874882548534"/>
          <c:y val="0.25655318105081731"/>
          <c:w val="0.2218430952405718"/>
          <c:h val="5.162858925289585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19</xdr:row>
      <xdr:rowOff>209550</xdr:rowOff>
    </xdr:from>
    <xdr:to>
      <xdr:col>9</xdr:col>
      <xdr:colOff>733424</xdr:colOff>
      <xdr:row>34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409574</xdr:colOff>
      <xdr:row>36</xdr:row>
      <xdr:rowOff>161924</xdr:rowOff>
    </xdr:from>
    <xdr:to>
      <xdr:col>9</xdr:col>
      <xdr:colOff>761999</xdr:colOff>
      <xdr:row>55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514350</xdr:colOff>
      <xdr:row>38</xdr:row>
      <xdr:rowOff>142875</xdr:rowOff>
    </xdr:from>
    <xdr:ext cx="835742" cy="264560"/>
    <xdr:sp macro="" textlink="">
      <xdr:nvSpPr>
        <xdr:cNvPr id="8" name="TextBox 7"/>
        <xdr:cNvSpPr txBox="1"/>
      </xdr:nvSpPr>
      <xdr:spPr>
        <a:xfrm>
          <a:off x="514350" y="15659100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19"/>
  <sheetViews>
    <sheetView tabSelected="1" zoomScaleNormal="100" workbookViewId="0">
      <selection activeCell="M28" sqref="M28"/>
    </sheetView>
  </sheetViews>
  <sheetFormatPr defaultColWidth="9.140625" defaultRowHeight="12.75" customHeight="1" x14ac:dyDescent="0.25"/>
  <cols>
    <col min="1" max="1" width="11.7109375" style="2" customWidth="1"/>
    <col min="2" max="2" width="10.5703125" style="2" customWidth="1"/>
    <col min="3" max="3" width="10.7109375" style="2" customWidth="1"/>
    <col min="4" max="4" width="10.28515625" style="2" customWidth="1"/>
    <col min="5" max="5" width="10.7109375" style="2" customWidth="1"/>
    <col min="6" max="6" width="13.140625" style="2" customWidth="1"/>
    <col min="7" max="8" width="10.7109375" style="2" customWidth="1"/>
    <col min="9" max="9" width="14.28515625" style="2" customWidth="1"/>
    <col min="10" max="10" width="16.28515625" style="2" customWidth="1"/>
    <col min="11" max="11" width="18.140625" style="2" bestFit="1" customWidth="1"/>
    <col min="12" max="16384" width="9.140625" style="2"/>
  </cols>
  <sheetData>
    <row r="1" spans="1:11" ht="21" x14ac:dyDescent="0.25">
      <c r="A1" s="48" t="s">
        <v>46</v>
      </c>
      <c r="B1" s="49"/>
      <c r="C1" s="49"/>
      <c r="D1" s="49"/>
      <c r="E1" s="49"/>
      <c r="F1" s="49"/>
      <c r="G1" s="49"/>
      <c r="H1" s="49"/>
      <c r="I1" s="49"/>
      <c r="J1" s="49"/>
    </row>
    <row r="2" spans="1:11" ht="15" x14ac:dyDescent="0.25">
      <c r="A2" s="50" t="s">
        <v>45</v>
      </c>
      <c r="B2" s="50"/>
      <c r="C2" s="50"/>
      <c r="D2" s="50"/>
      <c r="E2" s="50"/>
      <c r="F2" s="50"/>
      <c r="G2" s="50"/>
      <c r="H2" s="50"/>
      <c r="I2" s="50"/>
      <c r="J2" s="50"/>
    </row>
    <row r="3" spans="1:11" ht="14.45" customHeight="1" x14ac:dyDescent="0.25">
      <c r="A3" s="44" t="s">
        <v>5</v>
      </c>
      <c r="B3" s="51" t="s">
        <v>41</v>
      </c>
      <c r="C3" s="53" t="s">
        <v>2</v>
      </c>
      <c r="D3" s="54"/>
      <c r="E3" s="54"/>
      <c r="F3" s="55"/>
      <c r="G3" s="54" t="s">
        <v>6</v>
      </c>
      <c r="H3" s="54"/>
      <c r="I3" s="54"/>
      <c r="J3" s="46" t="s">
        <v>7</v>
      </c>
    </row>
    <row r="4" spans="1:11" s="18" customFormat="1" ht="14.45" customHeight="1" x14ac:dyDescent="0.25">
      <c r="A4" s="45"/>
      <c r="B4" s="52"/>
      <c r="C4" s="33" t="s">
        <v>1</v>
      </c>
      <c r="D4" s="29" t="s">
        <v>42</v>
      </c>
      <c r="E4" s="29" t="s">
        <v>43</v>
      </c>
      <c r="F4" s="32" t="s">
        <v>44</v>
      </c>
      <c r="G4" s="31" t="s">
        <v>1</v>
      </c>
      <c r="H4" s="29" t="s">
        <v>42</v>
      </c>
      <c r="I4" s="30" t="s">
        <v>44</v>
      </c>
      <c r="J4" s="47"/>
      <c r="K4" s="26"/>
    </row>
    <row r="5" spans="1:11" ht="17.25" x14ac:dyDescent="0.4">
      <c r="A5" s="3" t="s">
        <v>1</v>
      </c>
      <c r="B5" s="8">
        <f t="shared" ref="B5:B17" si="0">SUM(C5+G5)</f>
        <v>99047</v>
      </c>
      <c r="C5" s="38">
        <f t="shared" ref="C5:C17" si="1">SUM(D5+E5+F5)</f>
        <v>23821</v>
      </c>
      <c r="D5" s="27">
        <f>SUM(D6:D17)</f>
        <v>21436</v>
      </c>
      <c r="E5" s="27">
        <f>SUM(E6:E17)</f>
        <v>244</v>
      </c>
      <c r="F5" s="39">
        <f>SUM(F6:F17)</f>
        <v>2141</v>
      </c>
      <c r="G5" s="35">
        <f t="shared" ref="G5:G17" si="2">SUM(H5+I5)</f>
        <v>75226</v>
      </c>
      <c r="H5" s="27">
        <f>SUM(H6:H17)</f>
        <v>24294</v>
      </c>
      <c r="I5" s="27">
        <f>SUM(I6:I17)</f>
        <v>50932</v>
      </c>
      <c r="J5" s="9" t="s">
        <v>0</v>
      </c>
    </row>
    <row r="6" spans="1:11" ht="17.25" x14ac:dyDescent="0.4">
      <c r="A6" s="10" t="s">
        <v>9</v>
      </c>
      <c r="B6" s="8">
        <f t="shared" si="0"/>
        <v>9001</v>
      </c>
      <c r="C6" s="40">
        <f t="shared" si="1"/>
        <v>2270</v>
      </c>
      <c r="D6" s="28">
        <v>1894</v>
      </c>
      <c r="E6" s="28">
        <v>24</v>
      </c>
      <c r="F6" s="41">
        <v>352</v>
      </c>
      <c r="G6" s="36">
        <f t="shared" si="2"/>
        <v>6731</v>
      </c>
      <c r="H6" s="28">
        <v>2046</v>
      </c>
      <c r="I6" s="28">
        <v>4685</v>
      </c>
      <c r="J6" s="11" t="s">
        <v>10</v>
      </c>
    </row>
    <row r="7" spans="1:11" ht="17.25" x14ac:dyDescent="0.4">
      <c r="A7" s="10" t="s">
        <v>12</v>
      </c>
      <c r="B7" s="8">
        <f t="shared" si="0"/>
        <v>8541</v>
      </c>
      <c r="C7" s="40">
        <f t="shared" si="1"/>
        <v>2001</v>
      </c>
      <c r="D7" s="28">
        <v>1752</v>
      </c>
      <c r="E7" s="28">
        <v>32</v>
      </c>
      <c r="F7" s="41">
        <v>217</v>
      </c>
      <c r="G7" s="36">
        <f t="shared" si="2"/>
        <v>6540</v>
      </c>
      <c r="H7" s="28">
        <v>1936</v>
      </c>
      <c r="I7" s="28">
        <v>4604</v>
      </c>
      <c r="J7" s="11" t="s">
        <v>13</v>
      </c>
    </row>
    <row r="8" spans="1:11" ht="17.25" x14ac:dyDescent="0.4">
      <c r="A8" s="10" t="s">
        <v>14</v>
      </c>
      <c r="B8" s="8">
        <f t="shared" si="0"/>
        <v>9051</v>
      </c>
      <c r="C8" s="40">
        <f t="shared" si="1"/>
        <v>2168</v>
      </c>
      <c r="D8" s="28">
        <v>1838</v>
      </c>
      <c r="E8" s="28">
        <v>24</v>
      </c>
      <c r="F8" s="41">
        <v>306</v>
      </c>
      <c r="G8" s="36">
        <f t="shared" si="2"/>
        <v>6883</v>
      </c>
      <c r="H8" s="28">
        <v>2138</v>
      </c>
      <c r="I8" s="28">
        <v>4745</v>
      </c>
      <c r="J8" s="11" t="s">
        <v>15</v>
      </c>
    </row>
    <row r="9" spans="1:11" ht="17.25" x14ac:dyDescent="0.4">
      <c r="A9" s="10" t="s">
        <v>16</v>
      </c>
      <c r="B9" s="8">
        <f t="shared" si="0"/>
        <v>8464</v>
      </c>
      <c r="C9" s="40">
        <f t="shared" si="1"/>
        <v>1980</v>
      </c>
      <c r="D9" s="28">
        <v>1738</v>
      </c>
      <c r="E9" s="28">
        <v>20</v>
      </c>
      <c r="F9" s="41">
        <v>222</v>
      </c>
      <c r="G9" s="36">
        <f t="shared" si="2"/>
        <v>6484</v>
      </c>
      <c r="H9" s="28">
        <v>1920</v>
      </c>
      <c r="I9" s="28">
        <v>4564</v>
      </c>
      <c r="J9" s="11" t="s">
        <v>17</v>
      </c>
    </row>
    <row r="10" spans="1:11" ht="17.25" x14ac:dyDescent="0.4">
      <c r="A10" s="10" t="s">
        <v>18</v>
      </c>
      <c r="B10" s="8">
        <f t="shared" si="0"/>
        <v>7819</v>
      </c>
      <c r="C10" s="40">
        <f t="shared" si="1"/>
        <v>1906</v>
      </c>
      <c r="D10" s="28">
        <v>1738</v>
      </c>
      <c r="E10" s="28">
        <v>14</v>
      </c>
      <c r="F10" s="41">
        <v>154</v>
      </c>
      <c r="G10" s="36">
        <f t="shared" si="2"/>
        <v>5913</v>
      </c>
      <c r="H10" s="28">
        <v>1982</v>
      </c>
      <c r="I10" s="28">
        <v>3931</v>
      </c>
      <c r="J10" s="11" t="s">
        <v>19</v>
      </c>
    </row>
    <row r="11" spans="1:11" ht="17.25" x14ac:dyDescent="0.4">
      <c r="A11" s="10" t="s">
        <v>20</v>
      </c>
      <c r="B11" s="8">
        <f t="shared" si="0"/>
        <v>6907</v>
      </c>
      <c r="C11" s="40">
        <f t="shared" si="1"/>
        <v>1758</v>
      </c>
      <c r="D11" s="28">
        <v>1678</v>
      </c>
      <c r="E11" s="28">
        <v>16</v>
      </c>
      <c r="F11" s="41">
        <v>64</v>
      </c>
      <c r="G11" s="36">
        <f t="shared" si="2"/>
        <v>5149</v>
      </c>
      <c r="H11" s="28">
        <v>1824</v>
      </c>
      <c r="I11" s="28">
        <v>3325</v>
      </c>
      <c r="J11" s="11" t="s">
        <v>21</v>
      </c>
    </row>
    <row r="12" spans="1:11" ht="17.25" x14ac:dyDescent="0.4">
      <c r="A12" s="10" t="s">
        <v>22</v>
      </c>
      <c r="B12" s="8">
        <f t="shared" si="0"/>
        <v>7615</v>
      </c>
      <c r="C12" s="40">
        <f t="shared" si="1"/>
        <v>1846</v>
      </c>
      <c r="D12" s="28">
        <v>1742</v>
      </c>
      <c r="E12" s="28">
        <v>28</v>
      </c>
      <c r="F12" s="41">
        <v>76</v>
      </c>
      <c r="G12" s="36">
        <f t="shared" si="2"/>
        <v>5769</v>
      </c>
      <c r="H12" s="28">
        <v>1952</v>
      </c>
      <c r="I12" s="28">
        <v>3817</v>
      </c>
      <c r="J12" s="11" t="s">
        <v>23</v>
      </c>
    </row>
    <row r="13" spans="1:11" ht="17.25" x14ac:dyDescent="0.4">
      <c r="A13" s="10" t="s">
        <v>25</v>
      </c>
      <c r="B13" s="8">
        <f t="shared" si="0"/>
        <v>8331</v>
      </c>
      <c r="C13" s="40">
        <f t="shared" si="1"/>
        <v>1912</v>
      </c>
      <c r="D13" s="28">
        <v>1794</v>
      </c>
      <c r="E13" s="28">
        <v>26</v>
      </c>
      <c r="F13" s="41">
        <v>92</v>
      </c>
      <c r="G13" s="36">
        <f t="shared" si="2"/>
        <v>6419</v>
      </c>
      <c r="H13" s="28">
        <v>2038</v>
      </c>
      <c r="I13" s="28">
        <v>4381</v>
      </c>
      <c r="J13" s="11" t="s">
        <v>26</v>
      </c>
    </row>
    <row r="14" spans="1:11" ht="17.25" x14ac:dyDescent="0.4">
      <c r="A14" s="10" t="s">
        <v>28</v>
      </c>
      <c r="B14" s="8">
        <f t="shared" si="0"/>
        <v>7717</v>
      </c>
      <c r="C14" s="40">
        <f t="shared" si="1"/>
        <v>1814</v>
      </c>
      <c r="D14" s="28">
        <v>1692</v>
      </c>
      <c r="E14" s="28">
        <v>26</v>
      </c>
      <c r="F14" s="41">
        <v>96</v>
      </c>
      <c r="G14" s="36">
        <f t="shared" si="2"/>
        <v>5903</v>
      </c>
      <c r="H14" s="28">
        <v>1920</v>
      </c>
      <c r="I14" s="28">
        <v>3983</v>
      </c>
      <c r="J14" s="11" t="s">
        <v>29</v>
      </c>
    </row>
    <row r="15" spans="1:11" ht="17.25" x14ac:dyDescent="0.4">
      <c r="A15" s="10" t="s">
        <v>31</v>
      </c>
      <c r="B15" s="8">
        <f t="shared" si="0"/>
        <v>8814</v>
      </c>
      <c r="C15" s="40">
        <f t="shared" si="1"/>
        <v>2014</v>
      </c>
      <c r="D15" s="28">
        <v>1864</v>
      </c>
      <c r="E15" s="28">
        <v>20</v>
      </c>
      <c r="F15" s="41">
        <v>130</v>
      </c>
      <c r="G15" s="36">
        <f t="shared" si="2"/>
        <v>6800</v>
      </c>
      <c r="H15" s="28">
        <v>2204</v>
      </c>
      <c r="I15" s="28">
        <v>4596</v>
      </c>
      <c r="J15" s="11" t="s">
        <v>32</v>
      </c>
    </row>
    <row r="16" spans="1:11" ht="17.25" x14ac:dyDescent="0.4">
      <c r="A16" s="10" t="s">
        <v>34</v>
      </c>
      <c r="B16" s="8">
        <f t="shared" si="0"/>
        <v>8084</v>
      </c>
      <c r="C16" s="40">
        <f t="shared" si="1"/>
        <v>1954</v>
      </c>
      <c r="D16" s="28">
        <v>1812</v>
      </c>
      <c r="E16" s="28">
        <v>12</v>
      </c>
      <c r="F16" s="41">
        <v>130</v>
      </c>
      <c r="G16" s="36">
        <f t="shared" si="2"/>
        <v>6130</v>
      </c>
      <c r="H16" s="28">
        <v>2100</v>
      </c>
      <c r="I16" s="28">
        <v>4030</v>
      </c>
      <c r="J16" s="11" t="s">
        <v>35</v>
      </c>
    </row>
    <row r="17" spans="1:29" ht="17.25" x14ac:dyDescent="0.4">
      <c r="A17" s="12" t="s">
        <v>37</v>
      </c>
      <c r="B17" s="19">
        <f t="shared" si="0"/>
        <v>8703</v>
      </c>
      <c r="C17" s="42">
        <f t="shared" si="1"/>
        <v>2198</v>
      </c>
      <c r="D17" s="34">
        <v>1894</v>
      </c>
      <c r="E17" s="34">
        <v>2</v>
      </c>
      <c r="F17" s="43">
        <v>302</v>
      </c>
      <c r="G17" s="37">
        <f t="shared" si="2"/>
        <v>6505</v>
      </c>
      <c r="H17" s="34">
        <v>2234</v>
      </c>
      <c r="I17" s="34">
        <v>4271</v>
      </c>
      <c r="J17" s="13" t="s">
        <v>38</v>
      </c>
    </row>
    <row r="18" spans="1:29" ht="18.75" x14ac:dyDescent="0.4">
      <c r="A18" s="5" t="s">
        <v>3</v>
      </c>
      <c r="B18" s="4"/>
      <c r="C18" s="20"/>
      <c r="D18" s="20"/>
      <c r="E18" s="20"/>
      <c r="F18" s="20"/>
      <c r="G18" s="20"/>
      <c r="H18" s="21"/>
      <c r="I18" s="1"/>
      <c r="J18" s="1" t="s">
        <v>4</v>
      </c>
      <c r="L18" s="22"/>
      <c r="M18" s="6"/>
    </row>
    <row r="19" spans="1:29" ht="18" customHeight="1" x14ac:dyDescent="0.25">
      <c r="A19" s="23"/>
      <c r="B19" s="23"/>
      <c r="C19" s="17"/>
      <c r="D19" s="17"/>
      <c r="E19" s="17"/>
      <c r="F19" s="17"/>
      <c r="G19" s="17"/>
      <c r="H19" s="17"/>
      <c r="I19" s="17"/>
      <c r="K19" s="17"/>
      <c r="L19" s="17"/>
      <c r="M19" s="17"/>
      <c r="N19" s="17"/>
      <c r="O19" s="17"/>
    </row>
    <row r="20" spans="1:29" ht="18.75" x14ac:dyDescent="0.25">
      <c r="A20" s="5"/>
      <c r="B20" s="4"/>
      <c r="C20" s="20"/>
      <c r="D20" s="20"/>
      <c r="E20" s="20"/>
      <c r="F20" s="20"/>
      <c r="G20" s="20"/>
      <c r="H20" s="21"/>
      <c r="J20" s="15"/>
    </row>
    <row r="21" spans="1:29" ht="15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29" s="24" customFormat="1" ht="15" x14ac:dyDescent="0.25">
      <c r="A22" s="10"/>
      <c r="B22" s="8"/>
      <c r="C22" s="8"/>
      <c r="D22" s="14"/>
      <c r="E22" s="14"/>
      <c r="F22" s="14"/>
      <c r="G22" s="8"/>
      <c r="H22" s="14"/>
      <c r="I22" s="14"/>
      <c r="J22" s="25"/>
      <c r="K22" s="25"/>
    </row>
    <row r="23" spans="1:29" ht="18.75" x14ac:dyDescent="0.25">
      <c r="A23" s="4"/>
      <c r="B23" s="4"/>
      <c r="C23" s="20"/>
      <c r="D23" s="20"/>
      <c r="E23" s="20"/>
      <c r="F23" s="20"/>
      <c r="G23" s="20"/>
      <c r="H23" s="21"/>
      <c r="I23" s="15"/>
      <c r="J23" s="7"/>
      <c r="K23" s="7"/>
    </row>
    <row r="24" spans="1:29" ht="15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29" ht="15" x14ac:dyDescent="0.25"/>
    <row r="26" spans="1:29" ht="12.75" customHeight="1" x14ac:dyDescent="0.25">
      <c r="Z26" s="2" t="s">
        <v>40</v>
      </c>
    </row>
    <row r="27" spans="1:29" ht="12.75" customHeight="1" x14ac:dyDescent="0.25">
      <c r="AA27" s="2" t="s">
        <v>42</v>
      </c>
      <c r="AB27" s="2" t="s">
        <v>43</v>
      </c>
      <c r="AC27" s="2" t="s">
        <v>44</v>
      </c>
    </row>
    <row r="28" spans="1:29" ht="12.75" customHeight="1" x14ac:dyDescent="0.25">
      <c r="Z28" s="10" t="s">
        <v>8</v>
      </c>
      <c r="AA28" s="28">
        <v>1894</v>
      </c>
      <c r="AB28" s="28">
        <v>24</v>
      </c>
      <c r="AC28" s="28">
        <v>352</v>
      </c>
    </row>
    <row r="29" spans="1:29" ht="12.75" customHeight="1" x14ac:dyDescent="0.25">
      <c r="Z29" s="10" t="s">
        <v>11</v>
      </c>
      <c r="AA29" s="28">
        <v>1752</v>
      </c>
      <c r="AB29" s="28">
        <v>32</v>
      </c>
      <c r="AC29" s="28">
        <v>217</v>
      </c>
    </row>
    <row r="30" spans="1:29" ht="12.75" customHeight="1" x14ac:dyDescent="0.25">
      <c r="Z30" s="10" t="s">
        <v>14</v>
      </c>
      <c r="AA30" s="28">
        <v>1838</v>
      </c>
      <c r="AB30" s="28">
        <v>24</v>
      </c>
      <c r="AC30" s="28">
        <v>306</v>
      </c>
    </row>
    <row r="31" spans="1:29" ht="12.75" customHeight="1" x14ac:dyDescent="0.25">
      <c r="Z31" s="10" t="s">
        <v>16</v>
      </c>
      <c r="AA31" s="28">
        <v>1738</v>
      </c>
      <c r="AB31" s="28">
        <v>20</v>
      </c>
      <c r="AC31" s="28">
        <v>222</v>
      </c>
    </row>
    <row r="32" spans="1:29" ht="12.75" customHeight="1" x14ac:dyDescent="0.25">
      <c r="Z32" s="10" t="s">
        <v>18</v>
      </c>
      <c r="AA32" s="28">
        <v>1738</v>
      </c>
      <c r="AB32" s="28">
        <v>14</v>
      </c>
      <c r="AC32" s="28">
        <v>154</v>
      </c>
    </row>
    <row r="33" spans="26:29" ht="12.75" customHeight="1" x14ac:dyDescent="0.25">
      <c r="Z33" s="10" t="s">
        <v>20</v>
      </c>
      <c r="AA33" s="28">
        <v>1678</v>
      </c>
      <c r="AB33" s="28">
        <v>16</v>
      </c>
      <c r="AC33" s="28">
        <v>64</v>
      </c>
    </row>
    <row r="34" spans="26:29" ht="12.75" customHeight="1" x14ac:dyDescent="0.25">
      <c r="Z34" s="10" t="s">
        <v>22</v>
      </c>
      <c r="AA34" s="28">
        <v>1742</v>
      </c>
      <c r="AB34" s="28">
        <v>28</v>
      </c>
      <c r="AC34" s="28">
        <v>76</v>
      </c>
    </row>
    <row r="35" spans="26:29" ht="12.75" customHeight="1" x14ac:dyDescent="0.25">
      <c r="Z35" s="10" t="s">
        <v>24</v>
      </c>
      <c r="AA35" s="28">
        <v>1794</v>
      </c>
      <c r="AB35" s="28">
        <v>26</v>
      </c>
      <c r="AC35" s="28">
        <v>92</v>
      </c>
    </row>
    <row r="36" spans="26:29" ht="12.75" customHeight="1" x14ac:dyDescent="0.25">
      <c r="Z36" s="10" t="s">
        <v>27</v>
      </c>
      <c r="AA36" s="28">
        <v>1692</v>
      </c>
      <c r="AB36" s="28">
        <v>26</v>
      </c>
      <c r="AC36" s="28">
        <v>96</v>
      </c>
    </row>
    <row r="37" spans="26:29" ht="12.75" customHeight="1" x14ac:dyDescent="0.25">
      <c r="Z37" s="10" t="s">
        <v>30</v>
      </c>
      <c r="AA37" s="28">
        <v>1864</v>
      </c>
      <c r="AB37" s="28">
        <v>20</v>
      </c>
      <c r="AC37" s="28">
        <v>130</v>
      </c>
    </row>
    <row r="38" spans="26:29" ht="12.75" customHeight="1" x14ac:dyDescent="0.25">
      <c r="Z38" s="10" t="s">
        <v>33</v>
      </c>
      <c r="AA38" s="28">
        <v>1812</v>
      </c>
      <c r="AB38" s="28">
        <v>12</v>
      </c>
      <c r="AC38" s="28">
        <v>130</v>
      </c>
    </row>
    <row r="39" spans="26:29" ht="12.75" customHeight="1" x14ac:dyDescent="0.25">
      <c r="Z39" s="12" t="s">
        <v>36</v>
      </c>
      <c r="AA39" s="34">
        <v>1894</v>
      </c>
      <c r="AB39" s="34">
        <v>2</v>
      </c>
      <c r="AC39" s="34">
        <v>302</v>
      </c>
    </row>
    <row r="42" spans="26:29" ht="12.75" customHeight="1" x14ac:dyDescent="0.25">
      <c r="Z42" s="2" t="s">
        <v>39</v>
      </c>
    </row>
    <row r="43" spans="26:29" ht="12.75" customHeight="1" x14ac:dyDescent="0.25">
      <c r="AA43" s="2" t="s">
        <v>42</v>
      </c>
      <c r="AB43" s="2" t="s">
        <v>43</v>
      </c>
    </row>
    <row r="44" spans="26:29" ht="12.75" customHeight="1" x14ac:dyDescent="0.25">
      <c r="Z44" s="10" t="s">
        <v>8</v>
      </c>
      <c r="AA44" s="14">
        <v>2046</v>
      </c>
      <c r="AB44" s="14">
        <v>4685</v>
      </c>
    </row>
    <row r="45" spans="26:29" ht="12.75" customHeight="1" x14ac:dyDescent="0.25">
      <c r="Z45" s="10" t="s">
        <v>11</v>
      </c>
      <c r="AA45" s="14">
        <v>1936</v>
      </c>
      <c r="AB45" s="14">
        <v>4604</v>
      </c>
    </row>
    <row r="46" spans="26:29" ht="12.75" customHeight="1" x14ac:dyDescent="0.25">
      <c r="Z46" s="10" t="s">
        <v>14</v>
      </c>
      <c r="AA46" s="14">
        <v>2138</v>
      </c>
      <c r="AB46" s="14">
        <v>4745</v>
      </c>
    </row>
    <row r="47" spans="26:29" ht="12.75" customHeight="1" x14ac:dyDescent="0.25">
      <c r="Z47" s="10" t="s">
        <v>16</v>
      </c>
      <c r="AA47" s="14">
        <v>1920</v>
      </c>
      <c r="AB47" s="14">
        <v>4564</v>
      </c>
    </row>
    <row r="48" spans="26:29" ht="12.75" customHeight="1" x14ac:dyDescent="0.25">
      <c r="Z48" s="10" t="s">
        <v>18</v>
      </c>
      <c r="AA48" s="14">
        <v>1982</v>
      </c>
      <c r="AB48" s="14">
        <v>3931</v>
      </c>
    </row>
    <row r="49" spans="26:28" ht="12.75" customHeight="1" x14ac:dyDescent="0.25">
      <c r="Z49" s="10" t="s">
        <v>20</v>
      </c>
      <c r="AA49" s="14">
        <v>1824</v>
      </c>
      <c r="AB49" s="14">
        <v>3325</v>
      </c>
    </row>
    <row r="50" spans="26:28" ht="12.75" customHeight="1" x14ac:dyDescent="0.25">
      <c r="Z50" s="10" t="s">
        <v>22</v>
      </c>
      <c r="AA50" s="14">
        <v>1952</v>
      </c>
      <c r="AB50" s="14">
        <v>3817</v>
      </c>
    </row>
    <row r="51" spans="26:28" ht="12.75" customHeight="1" x14ac:dyDescent="0.25">
      <c r="Z51" s="10" t="s">
        <v>24</v>
      </c>
      <c r="AA51" s="14">
        <v>2038</v>
      </c>
      <c r="AB51" s="14">
        <v>4381</v>
      </c>
    </row>
    <row r="52" spans="26:28" ht="12.75" customHeight="1" x14ac:dyDescent="0.25">
      <c r="Z52" s="10" t="s">
        <v>27</v>
      </c>
      <c r="AA52" s="14">
        <v>1920</v>
      </c>
      <c r="AB52" s="14">
        <v>3983</v>
      </c>
    </row>
    <row r="53" spans="26:28" ht="12.75" customHeight="1" x14ac:dyDescent="0.25">
      <c r="Z53" s="10" t="s">
        <v>30</v>
      </c>
      <c r="AA53" s="14">
        <v>2204</v>
      </c>
      <c r="AB53" s="14">
        <v>4596</v>
      </c>
    </row>
    <row r="54" spans="26:28" ht="12.75" customHeight="1" x14ac:dyDescent="0.25">
      <c r="Z54" s="10" t="s">
        <v>33</v>
      </c>
      <c r="AA54" s="14">
        <v>2100</v>
      </c>
      <c r="AB54" s="14">
        <v>4030</v>
      </c>
    </row>
    <row r="55" spans="26:28" ht="12.75" customHeight="1" x14ac:dyDescent="0.25">
      <c r="Z55" s="12" t="s">
        <v>36</v>
      </c>
      <c r="AA55" s="16">
        <v>2234</v>
      </c>
      <c r="AB55" s="16">
        <v>4271</v>
      </c>
    </row>
    <row r="57" spans="26:28" ht="12.75" customHeight="1" x14ac:dyDescent="0.25">
      <c r="AA57" s="14"/>
      <c r="AB57" s="14"/>
    </row>
    <row r="58" spans="26:28" ht="12.75" customHeight="1" x14ac:dyDescent="0.25">
      <c r="AA58" s="14"/>
      <c r="AB58" s="14"/>
    </row>
    <row r="59" spans="26:28" ht="12.75" customHeight="1" x14ac:dyDescent="0.25">
      <c r="AA59" s="14"/>
      <c r="AB59" s="14"/>
    </row>
    <row r="60" spans="26:28" ht="12.75" customHeight="1" x14ac:dyDescent="0.25">
      <c r="AA60" s="14"/>
      <c r="AB60" s="14"/>
    </row>
    <row r="61" spans="26:28" ht="12.75" customHeight="1" x14ac:dyDescent="0.25">
      <c r="AA61" s="14"/>
      <c r="AB61" s="14"/>
    </row>
    <row r="62" spans="26:28" ht="12.75" customHeight="1" x14ac:dyDescent="0.25">
      <c r="AA62" s="14"/>
      <c r="AB62" s="14"/>
    </row>
    <row r="63" spans="26:28" ht="15" x14ac:dyDescent="0.25"/>
    <row r="64" spans="26:28" ht="15" x14ac:dyDescent="0.25"/>
    <row r="65" spans="2:3" ht="14.45" customHeight="1" x14ac:dyDescent="0.25"/>
    <row r="66" spans="2:3" s="18" customFormat="1" ht="14.45" customHeight="1" x14ac:dyDescent="0.25"/>
    <row r="67" spans="2:3" ht="15" x14ac:dyDescent="0.25"/>
    <row r="68" spans="2:3" ht="15" x14ac:dyDescent="0.25"/>
    <row r="69" spans="2:3" ht="15" x14ac:dyDescent="0.25"/>
    <row r="70" spans="2:3" ht="15" x14ac:dyDescent="0.25"/>
    <row r="71" spans="2:3" ht="15" x14ac:dyDescent="0.25"/>
    <row r="72" spans="2:3" ht="15" x14ac:dyDescent="0.25"/>
    <row r="73" spans="2:3" ht="15" x14ac:dyDescent="0.25"/>
    <row r="74" spans="2:3" ht="15" x14ac:dyDescent="0.25"/>
    <row r="75" spans="2:3" ht="15" x14ac:dyDescent="0.25"/>
    <row r="76" spans="2:3" ht="15" x14ac:dyDescent="0.25"/>
    <row r="77" spans="2:3" ht="15" x14ac:dyDescent="0.25"/>
    <row r="78" spans="2:3" ht="15" x14ac:dyDescent="0.25"/>
    <row r="79" spans="2:3" ht="15" x14ac:dyDescent="0.25"/>
    <row r="80" spans="2:3" ht="17.25" x14ac:dyDescent="0.4">
      <c r="B80" s="22"/>
      <c r="C80" s="6"/>
    </row>
    <row r="81" spans="1:5" ht="18" customHeight="1" x14ac:dyDescent="0.25">
      <c r="A81" s="17"/>
      <c r="B81" s="17"/>
      <c r="C81" s="17"/>
      <c r="D81" s="17"/>
      <c r="E81" s="17"/>
    </row>
    <row r="82" spans="1:5" ht="15" x14ac:dyDescent="0.25"/>
    <row r="83" spans="1:5" ht="15" x14ac:dyDescent="0.25"/>
    <row r="84" spans="1:5" ht="14.45" customHeight="1" x14ac:dyDescent="0.25"/>
    <row r="85" spans="1:5" s="24" customFormat="1" ht="14.45" customHeight="1" x14ac:dyDescent="0.25"/>
    <row r="86" spans="1:5" s="24" customFormat="1" ht="15" x14ac:dyDescent="0.25"/>
    <row r="87" spans="1:5" s="24" customFormat="1" ht="15" x14ac:dyDescent="0.25"/>
    <row r="88" spans="1:5" s="24" customFormat="1" ht="15" x14ac:dyDescent="0.25"/>
    <row r="89" spans="1:5" s="24" customFormat="1" ht="15" x14ac:dyDescent="0.25"/>
    <row r="90" spans="1:5" s="24" customFormat="1" ht="15" x14ac:dyDescent="0.25"/>
    <row r="91" spans="1:5" s="24" customFormat="1" ht="15" x14ac:dyDescent="0.25"/>
    <row r="92" spans="1:5" s="24" customFormat="1" ht="15" x14ac:dyDescent="0.25"/>
    <row r="93" spans="1:5" s="24" customFormat="1" ht="15" x14ac:dyDescent="0.25"/>
    <row r="94" spans="1:5" s="24" customFormat="1" ht="15" x14ac:dyDescent="0.25"/>
    <row r="95" spans="1:5" s="24" customFormat="1" ht="15" x14ac:dyDescent="0.25"/>
    <row r="96" spans="1:5" s="24" customFormat="1" ht="15" x14ac:dyDescent="0.25"/>
    <row r="97" s="24" customFormat="1" ht="15" x14ac:dyDescent="0.25"/>
    <row r="98" s="24" customFormat="1" ht="15" x14ac:dyDescent="0.25"/>
    <row r="99" ht="15" x14ac:dyDescent="0.25"/>
    <row r="100" ht="15" x14ac:dyDescent="0.25"/>
    <row r="101" ht="15" x14ac:dyDescent="0.25"/>
    <row r="102" ht="15" x14ac:dyDescent="0.25"/>
    <row r="103" ht="14.45" customHeight="1" x14ac:dyDescent="0.25"/>
    <row r="104" ht="14.45" customHeight="1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8.75" customHeight="1" x14ac:dyDescent="0.25"/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28999999999999998" right="0.42" top="0.4" bottom="0.24" header="0.3" footer="0.3"/>
  <pageSetup paperSize="9" scale="80" orientation="portrait" r:id="rId1"/>
  <rowBreaks count="1" manualBreakCount="1">
    <brk id="18" max="16383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11.17,</vt:lpstr>
      <vt:lpstr>'11.17,'!Print_Area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2016-03-17T07:53:54Z</cp:lastPrinted>
  <dcterms:created xsi:type="dcterms:W3CDTF">2014-05-22T03:57:11Z</dcterms:created>
  <dcterms:modified xsi:type="dcterms:W3CDTF">2016-03-17T07:54:03Z</dcterms:modified>
</cp:coreProperties>
</file>