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1" sheetId="12" r:id="rId1"/>
  </sheets>
  <definedNames>
    <definedName name="_xlnm.Print_Area" localSheetId="0">'11.11'!$A$1:$M$20</definedName>
  </definedNames>
  <calcPr calcId="144525"/>
</workbook>
</file>

<file path=xl/calcChain.xml><?xml version="1.0" encoding="utf-8"?>
<calcChain xmlns="http://schemas.openxmlformats.org/spreadsheetml/2006/main">
  <c r="L13" i="12" l="1"/>
  <c r="K13" i="12"/>
  <c r="I13" i="12"/>
  <c r="H13" i="12"/>
  <c r="G13" i="12"/>
  <c r="E13" i="12"/>
  <c r="D13" i="12"/>
  <c r="C13" i="12"/>
  <c r="B13" i="12"/>
  <c r="L9" i="12"/>
  <c r="L8" i="12" s="1"/>
  <c r="K9" i="12"/>
  <c r="K8" i="12" s="1"/>
  <c r="I9" i="12"/>
  <c r="I8" i="12" s="1"/>
  <c r="H9" i="12"/>
  <c r="H8" i="12" s="1"/>
  <c r="G9" i="12"/>
  <c r="E9" i="12"/>
  <c r="E8" i="12" s="1"/>
  <c r="E7" i="12" s="1"/>
  <c r="D9" i="12"/>
  <c r="D8" i="12" s="1"/>
  <c r="C9" i="12"/>
  <c r="C8" i="12" s="1"/>
  <c r="B9" i="12"/>
  <c r="B8" i="12" s="1"/>
  <c r="G8" i="12"/>
  <c r="G7" i="12" l="1"/>
  <c r="B7" i="12"/>
  <c r="L7" i="12"/>
  <c r="C7" i="12"/>
  <c r="D7" i="12"/>
  <c r="H7" i="12"/>
  <c r="I7" i="12"/>
  <c r="K7" i="12"/>
</calcChain>
</file>

<file path=xl/sharedStrings.xml><?xml version="1.0" encoding="utf-8"?>
<sst xmlns="http://schemas.openxmlformats.org/spreadsheetml/2006/main" count="55" uniqueCount="47">
  <si>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</si>
  <si>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</si>
  <si>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</si>
  <si>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</si>
  <si>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</si>
  <si>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</si>
  <si>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</si>
  <si>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</si>
  <si>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</si>
  <si>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</si>
  <si>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</si>
  <si>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</si>
  <si>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</si>
  <si>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</si>
  <si>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</si>
  <si>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</si>
  <si>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</si>
  <si>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</si>
  <si>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</si>
  <si>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</si>
  <si>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</si>
  <si>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</si>
  <si>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</si>
  <si>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</si>
  <si>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</si>
  <si>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</si>
  <si>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</si>
  <si>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</si>
  <si>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</si>
  <si>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</si>
  <si>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</si>
  <si>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</si>
  <si>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</si>
  <si>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</si>
  <si>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</si>
  <si>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</si>
  <si>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</si>
  <si>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ނޯޓް:</t>
  </si>
  <si>
    <t>hanimaadhoo international flights do not have the permit to handle Cargo &amp; Mail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</si>
  <si>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</si>
  <si>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 xml:space="preserve">.evekwtcTiawlcf WviretctWkwrwH iawgukwtcscnwlEvrws idwa Wmwkcnwk clwkinckeT ,gcninErcT ,cnugenOTof Inenemih iawgiawbim 1_/  </t>
  </si>
  <si>
    <t>Villa Air</t>
  </si>
  <si>
    <t>ވިލާ އެއަރ</t>
  </si>
  <si>
    <r>
      <rPr>
        <i/>
        <vertAlign val="superscript"/>
        <sz val="9"/>
        <rFont val="Calibri"/>
        <family val="2"/>
        <scheme val="minor"/>
      </rPr>
      <t>1_</t>
    </r>
    <r>
      <rPr>
        <i/>
        <sz val="9"/>
        <rFont val="Calibri"/>
        <family val="2"/>
        <scheme val="minor"/>
      </rPr>
      <t>/  Includes movements by photo, training, technical and surveillance flights</t>
    </r>
  </si>
  <si>
    <t>2014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</si>
  <si>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2014                 </t>
  </si>
  <si>
    <t>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</si>
</sst>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0" fontId="6" fillId="0" borderId="0"/>
    <xf numFmtId="40" fontId="21" fillId="0" borderId="0" applyFont="0" applyFill="0" applyBorder="0" applyAlignment="0" applyProtection="0"/>
    <xf numFmtId="0" fontId="6" fillId="0" borderId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25" fillId="0" borderId="0"/>
    <xf numFmtId="164" fontId="13" fillId="0" borderId="0"/>
    <xf numFmtId="169" fontId="13" fillId="0" borderId="0" applyFont="0" applyFill="0" applyBorder="0" applyAlignment="0" applyProtection="0"/>
  </cellStyleXfs>
  <cellXfs count="56">
    <xf numFmtId="0" fontId="0" fillId="0" borderId="0" xfId="0"/>
    <xf numFmtId="0" fontId="12" fillId="2" borderId="1" xfId="0" applyNumberFormat="1" applyFont="1" applyFill="1" applyBorder="1" applyAlignment="1">
      <alignment horizontal="right" vertical="center"/>
    </xf>
    <xf numFmtId="164" fontId="18" fillId="2" borderId="0" xfId="5" applyNumberFormat="1" applyFont="1" applyFill="1" applyBorder="1" applyAlignment="1" applyProtection="1">
      <alignment horizontal="left" vertical="center"/>
    </xf>
    <xf numFmtId="0" fontId="7" fillId="2" borderId="0" xfId="6" applyFont="1" applyFill="1" applyAlignment="1">
      <alignment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164" fontId="19" fillId="2" borderId="2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6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>
      <alignment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164" fontId="9" fillId="2" borderId="2" xfId="0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Alignment="1">
      <alignment horizontal="right" vertical="center"/>
    </xf>
    <xf numFmtId="38" fontId="8" fillId="2" borderId="0" xfId="7" applyNumberFormat="1" applyFont="1" applyFill="1" applyAlignment="1" applyProtection="1">
      <alignment horizontal="right" vertical="center"/>
    </xf>
    <xf numFmtId="38" fontId="8" fillId="2" borderId="0" xfId="7" applyNumberFormat="1" applyFont="1" applyFill="1" applyAlignment="1">
      <alignment horizontal="right" vertical="center"/>
    </xf>
    <xf numFmtId="164" fontId="10" fillId="2" borderId="0" xfId="5" applyNumberFormat="1" applyFont="1" applyFill="1" applyBorder="1" applyAlignment="1" applyProtection="1">
      <alignment horizontal="lef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8" applyFont="1" applyFill="1" applyAlignment="1">
      <alignment vertical="center"/>
    </xf>
    <xf numFmtId="38" fontId="9" fillId="2" borderId="0" xfId="7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2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2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6" applyFont="1" applyFill="1" applyBorder="1" applyAlignment="1">
      <alignment horizontal="right" vertical="center"/>
    </xf>
    <xf numFmtId="0" fontId="14" fillId="2" borderId="2" xfId="6" applyFont="1" applyFill="1" applyBorder="1" applyAlignment="1">
      <alignment vertical="center"/>
    </xf>
    <xf numFmtId="38" fontId="8" fillId="2" borderId="0" xfId="7" applyNumberFormat="1" applyFont="1" applyFill="1" applyBorder="1" applyAlignment="1">
      <alignment horizontal="right" vertical="center"/>
    </xf>
    <xf numFmtId="0" fontId="20" fillId="2" borderId="0" xfId="6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2" fillId="2" borderId="0" xfId="6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0" fillId="2" borderId="0" xfId="5" applyNumberFormat="1" applyFont="1" applyFill="1" applyBorder="1" applyAlignment="1" applyProtection="1">
      <alignment horizontal="right" vertical="center"/>
    </xf>
    <xf numFmtId="0" fontId="22" fillId="2" borderId="2" xfId="6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  <protection locked="0"/>
    </xf>
    <xf numFmtId="0" fontId="12" fillId="2" borderId="0" xfId="6" applyFont="1" applyFill="1" applyBorder="1" applyAlignment="1">
      <alignment horizontal="right"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0" fontId="12" fillId="2" borderId="0" xfId="6" applyFont="1" applyFill="1" applyBorder="1" applyAlignment="1">
      <alignment horizontal="right"/>
    </xf>
    <xf numFmtId="164" fontId="10" fillId="2" borderId="0" xfId="5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7" applyNumberFormat="1" applyFont="1" applyFill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</xf>
    <xf numFmtId="38" fontId="9" fillId="2" borderId="0" xfId="7" applyNumberFormat="1" applyFont="1" applyFill="1" applyAlignment="1">
      <alignment horizontal="right"/>
    </xf>
    <xf numFmtId="38" fontId="9" fillId="2" borderId="2" xfId="7" applyNumberFormat="1" applyFont="1" applyFill="1" applyBorder="1" applyAlignment="1" applyProtection="1">
      <alignment horizontal="right" vertical="center"/>
      <protection locked="0"/>
    </xf>
    <xf numFmtId="38" fontId="9" fillId="2" borderId="2" xfId="7" applyNumberFormat="1" applyFont="1" applyFill="1" applyBorder="1" applyAlignment="1">
      <alignment horizontal="right" vertical="center"/>
    </xf>
    <xf numFmtId="164" fontId="20" fillId="2" borderId="0" xfId="5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17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7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8"/>
    <cellStyle name="Normal_IX-9(Trans &amp; Comm)" xfId="6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zoomScaleNormal="100" zoomScaleSheetLayoutView="95" workbookViewId="0">
      <selection activeCell="B50" sqref="B50"/>
    </sheetView>
  </sheetViews>
  <sheetFormatPr defaultColWidth="9.140625" defaultRowHeight="15"/>
  <cols>
    <col min="1" max="1" width="24.5703125" style="21" customWidth="1"/>
    <col min="2" max="2" width="14.85546875" style="21" customWidth="1"/>
    <col min="3" max="4" width="12.28515625" style="21" customWidth="1"/>
    <col min="5" max="5" width="15.7109375" style="21" customWidth="1"/>
    <col min="6" max="6" width="3" style="21" customWidth="1"/>
    <col min="7" max="7" width="11.28515625" style="21" customWidth="1"/>
    <col min="8" max="8" width="12.85546875" style="21" customWidth="1"/>
    <col min="9" max="9" width="16.7109375" style="21" customWidth="1"/>
    <col min="10" max="10" width="2.7109375" style="21" customWidth="1"/>
    <col min="11" max="12" width="11.42578125" style="21" customWidth="1"/>
    <col min="13" max="13" width="38.85546875" style="21" customWidth="1"/>
    <col min="14" max="14" width="6.28515625" style="21" customWidth="1"/>
    <col min="15" max="17" width="10.140625" style="21" customWidth="1"/>
    <col min="18" max="16384" width="9.140625" style="21"/>
  </cols>
  <sheetData>
    <row r="1" spans="1:13" ht="19.5">
      <c r="A1" s="54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>
      <c r="A2" s="55" t="s">
        <v>45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>
      <c r="A4" s="2"/>
      <c r="B4" s="3"/>
      <c r="C4" s="4" t="s">
        <v>2</v>
      </c>
      <c r="D4" s="5"/>
      <c r="E4" s="24" t="s">
        <v>3</v>
      </c>
      <c r="F4" s="6"/>
      <c r="G4" s="25" t="s">
        <v>4</v>
      </c>
      <c r="H4" s="5"/>
      <c r="I4" s="24" t="s">
        <v>5</v>
      </c>
      <c r="J4" s="6"/>
      <c r="K4" s="4" t="s">
        <v>6</v>
      </c>
      <c r="L4" s="24" t="s">
        <v>7</v>
      </c>
      <c r="M4" s="7"/>
    </row>
    <row r="5" spans="1:13">
      <c r="A5" s="8" t="s">
        <v>8</v>
      </c>
      <c r="B5" s="6" t="s">
        <v>9</v>
      </c>
      <c r="C5" s="6" t="s">
        <v>10</v>
      </c>
      <c r="D5" s="12" t="s">
        <v>11</v>
      </c>
      <c r="E5" s="6" t="s">
        <v>12</v>
      </c>
      <c r="F5" s="6"/>
      <c r="G5" s="6" t="s">
        <v>13</v>
      </c>
      <c r="H5" s="6" t="s">
        <v>14</v>
      </c>
      <c r="I5" s="26" t="s">
        <v>12</v>
      </c>
      <c r="J5" s="6"/>
      <c r="K5" s="6" t="s">
        <v>13</v>
      </c>
      <c r="L5" s="12" t="s">
        <v>14</v>
      </c>
      <c r="M5" s="27" t="s">
        <v>15</v>
      </c>
    </row>
    <row r="6" spans="1:13">
      <c r="A6" s="9"/>
      <c r="B6" s="10" t="s">
        <v>16</v>
      </c>
      <c r="C6" s="10" t="s">
        <v>17</v>
      </c>
      <c r="D6" s="10" t="s">
        <v>18</v>
      </c>
      <c r="E6" s="10" t="s">
        <v>19</v>
      </c>
      <c r="F6" s="10"/>
      <c r="G6" s="10" t="s">
        <v>17</v>
      </c>
      <c r="H6" s="10" t="s">
        <v>18</v>
      </c>
      <c r="I6" s="10" t="s">
        <v>19</v>
      </c>
      <c r="J6" s="10"/>
      <c r="K6" s="10" t="s">
        <v>17</v>
      </c>
      <c r="L6" s="10" t="s">
        <v>18</v>
      </c>
      <c r="M6" s="28"/>
    </row>
    <row r="7" spans="1:13" ht="15.75">
      <c r="A7" s="53" t="s">
        <v>1</v>
      </c>
      <c r="B7" s="29">
        <f>SUM(B13)+B8</f>
        <v>1977</v>
      </c>
      <c r="C7" s="29">
        <f t="shared" ref="C7:I7" si="0">SUM(C13)+C8</f>
        <v>50411</v>
      </c>
      <c r="D7" s="29">
        <f t="shared" si="0"/>
        <v>52389</v>
      </c>
      <c r="E7" s="29">
        <f t="shared" si="0"/>
        <v>0</v>
      </c>
      <c r="F7" s="29"/>
      <c r="G7" s="29">
        <f t="shared" si="0"/>
        <v>72909</v>
      </c>
      <c r="H7" s="29">
        <f t="shared" si="0"/>
        <v>12028</v>
      </c>
      <c r="I7" s="29">
        <f t="shared" si="0"/>
        <v>467</v>
      </c>
      <c r="J7" s="29"/>
      <c r="K7" s="29">
        <f>SUM(K13)+K8</f>
        <v>3535.7</v>
      </c>
      <c r="L7" s="29">
        <f>SUM(L13)+L8</f>
        <v>1503.9</v>
      </c>
      <c r="M7" s="30" t="s">
        <v>0</v>
      </c>
    </row>
    <row r="8" spans="1:13" ht="15.75">
      <c r="A8" s="53" t="s">
        <v>20</v>
      </c>
      <c r="B8" s="29">
        <f>SUM(B9+B11+B12)</f>
        <v>57</v>
      </c>
      <c r="C8" s="29">
        <f>SUM(C9+C11+C12)</f>
        <v>1819</v>
      </c>
      <c r="D8" s="29">
        <f>SUM(D9+D11+D12)</f>
        <v>1875</v>
      </c>
      <c r="E8" s="29">
        <f>SUM(E9+E11+E12)</f>
        <v>0</v>
      </c>
      <c r="F8" s="29"/>
      <c r="G8" s="29">
        <f>SUM(G9+G11+G12)</f>
        <v>7927</v>
      </c>
      <c r="H8" s="29">
        <f>SUM(H9+H11+H12)</f>
        <v>448</v>
      </c>
      <c r="I8" s="29">
        <f>SUM(I9+I11+I12)</f>
        <v>0</v>
      </c>
      <c r="J8" s="29"/>
      <c r="K8" s="29">
        <f>SUM(K9+K11+K12)</f>
        <v>55</v>
      </c>
      <c r="L8" s="29">
        <f>SUM(L9+L11+L12)</f>
        <v>33</v>
      </c>
      <c r="M8" s="30" t="s">
        <v>21</v>
      </c>
    </row>
    <row r="9" spans="1:13" ht="15.75">
      <c r="A9" s="53" t="s">
        <v>22</v>
      </c>
      <c r="B9" s="29">
        <f>SUM(B10)</f>
        <v>56</v>
      </c>
      <c r="C9" s="29">
        <f t="shared" ref="C9:L9" si="1">SUM(C10)</f>
        <v>1812</v>
      </c>
      <c r="D9" s="29">
        <f t="shared" si="1"/>
        <v>1868</v>
      </c>
      <c r="E9" s="29">
        <f t="shared" si="1"/>
        <v>0</v>
      </c>
      <c r="F9" s="29"/>
      <c r="G9" s="29">
        <f t="shared" si="1"/>
        <v>7927</v>
      </c>
      <c r="H9" s="29">
        <f t="shared" si="1"/>
        <v>448</v>
      </c>
      <c r="I9" s="29">
        <f t="shared" si="1"/>
        <v>0</v>
      </c>
      <c r="J9" s="29"/>
      <c r="K9" s="29">
        <f t="shared" si="1"/>
        <v>55</v>
      </c>
      <c r="L9" s="29">
        <f t="shared" si="1"/>
        <v>33</v>
      </c>
      <c r="M9" s="30" t="s">
        <v>23</v>
      </c>
    </row>
    <row r="10" spans="1:13" ht="15.75">
      <c r="A10" s="43" t="s">
        <v>46</v>
      </c>
      <c r="B10" s="20">
        <v>56</v>
      </c>
      <c r="C10" s="20">
        <v>1812</v>
      </c>
      <c r="D10" s="20">
        <v>1868</v>
      </c>
      <c r="E10" s="20">
        <v>0</v>
      </c>
      <c r="F10" s="20"/>
      <c r="G10" s="20">
        <v>7927</v>
      </c>
      <c r="H10" s="20">
        <v>448</v>
      </c>
      <c r="I10" s="20">
        <v>0</v>
      </c>
      <c r="J10" s="20"/>
      <c r="K10" s="20">
        <v>55</v>
      </c>
      <c r="L10" s="20">
        <v>33</v>
      </c>
      <c r="M10" s="30"/>
    </row>
    <row r="11" spans="1:13" ht="15.75">
      <c r="A11" s="53" t="s">
        <v>24</v>
      </c>
      <c r="B11" s="29">
        <v>0</v>
      </c>
      <c r="C11" s="29">
        <v>0</v>
      </c>
      <c r="D11" s="29">
        <v>0</v>
      </c>
      <c r="E11" s="29">
        <v>0</v>
      </c>
      <c r="F11" s="29"/>
      <c r="G11" s="29">
        <v>0</v>
      </c>
      <c r="H11" s="29">
        <v>0</v>
      </c>
      <c r="I11" s="29">
        <v>0</v>
      </c>
      <c r="J11" s="29"/>
      <c r="K11" s="29">
        <v>0</v>
      </c>
      <c r="L11" s="29">
        <v>0</v>
      </c>
      <c r="M11" s="30" t="s">
        <v>25</v>
      </c>
    </row>
    <row r="12" spans="1:13" ht="15.75">
      <c r="A12" s="33" t="s">
        <v>26</v>
      </c>
      <c r="B12" s="14">
        <v>1</v>
      </c>
      <c r="C12" s="14">
        <v>7</v>
      </c>
      <c r="D12" s="14">
        <v>7</v>
      </c>
      <c r="E12" s="14">
        <v>0</v>
      </c>
      <c r="F12" s="14"/>
      <c r="G12" s="14"/>
      <c r="H12" s="14"/>
      <c r="I12" s="14"/>
      <c r="J12" s="14"/>
      <c r="K12" s="14"/>
      <c r="L12" s="14"/>
      <c r="M12" s="34" t="s">
        <v>27</v>
      </c>
    </row>
    <row r="13" spans="1:13" ht="15.75">
      <c r="A13" s="33" t="s">
        <v>28</v>
      </c>
      <c r="B13" s="13">
        <f>SUM(B14:B16)</f>
        <v>1920</v>
      </c>
      <c r="C13" s="13">
        <f>SUM(C14:C16)</f>
        <v>48592</v>
      </c>
      <c r="D13" s="13">
        <f>SUM(D14:D16)</f>
        <v>50514</v>
      </c>
      <c r="E13" s="13">
        <f>SUM(E14:E16)</f>
        <v>0</v>
      </c>
      <c r="F13" s="13"/>
      <c r="G13" s="13">
        <f>SUM(G14:G16)</f>
        <v>64982</v>
      </c>
      <c r="H13" s="13">
        <f>SUM(H14:H16)</f>
        <v>11580</v>
      </c>
      <c r="I13" s="13">
        <f>SUM(I14:I16)</f>
        <v>467</v>
      </c>
      <c r="J13" s="13"/>
      <c r="K13" s="13">
        <f>SUM(K14:K16)</f>
        <v>3480.7</v>
      </c>
      <c r="L13" s="13">
        <f>SUM(L14:L16)</f>
        <v>1470.9</v>
      </c>
      <c r="M13" s="52" t="s">
        <v>29</v>
      </c>
    </row>
    <row r="14" spans="1:13" ht="15.75">
      <c r="A14" s="31" t="s">
        <v>34</v>
      </c>
      <c r="B14" s="47">
        <v>1822</v>
      </c>
      <c r="C14" s="47">
        <v>45534</v>
      </c>
      <c r="D14" s="47">
        <v>48147</v>
      </c>
      <c r="E14" s="47">
        <v>0</v>
      </c>
      <c r="F14" s="36"/>
      <c r="G14" s="47">
        <v>64982</v>
      </c>
      <c r="H14" s="47">
        <v>11580</v>
      </c>
      <c r="I14" s="47">
        <v>467</v>
      </c>
      <c r="J14" s="48"/>
      <c r="K14" s="49">
        <v>3479.7</v>
      </c>
      <c r="L14" s="49">
        <v>1466.9</v>
      </c>
      <c r="M14" s="32" t="s">
        <v>35</v>
      </c>
    </row>
    <row r="15" spans="1:13" ht="18.75">
      <c r="A15" s="43" t="s">
        <v>41</v>
      </c>
      <c r="B15" s="47">
        <v>98</v>
      </c>
      <c r="C15" s="47">
        <v>3058</v>
      </c>
      <c r="D15" s="47">
        <v>2367</v>
      </c>
      <c r="E15" s="47">
        <v>0</v>
      </c>
      <c r="F15" s="36"/>
      <c r="G15" s="47">
        <v>0</v>
      </c>
      <c r="H15" s="47">
        <v>0</v>
      </c>
      <c r="I15" s="47">
        <v>0</v>
      </c>
      <c r="J15" s="48"/>
      <c r="K15" s="49">
        <v>1</v>
      </c>
      <c r="L15" s="49">
        <v>4</v>
      </c>
      <c r="M15" s="44" t="s">
        <v>42</v>
      </c>
    </row>
    <row r="16" spans="1:13" ht="15.75">
      <c r="A16" s="11" t="s">
        <v>30</v>
      </c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35" t="s">
        <v>31</v>
      </c>
    </row>
    <row r="17" spans="1:15" ht="14.45" customHeight="1">
      <c r="A17" s="46" t="s">
        <v>36</v>
      </c>
      <c r="B17" s="36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37" t="s">
        <v>37</v>
      </c>
    </row>
    <row r="18" spans="1:15" s="40" customFormat="1" ht="18.75">
      <c r="A18" s="45" t="s">
        <v>38</v>
      </c>
      <c r="B18" s="38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39" t="s">
        <v>39</v>
      </c>
    </row>
    <row r="19" spans="1:15" s="40" customFormat="1">
      <c r="A19" s="15" t="s">
        <v>43</v>
      </c>
      <c r="B19" s="3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41" t="s">
        <v>40</v>
      </c>
    </row>
    <row r="20" spans="1:15" s="40" customFormat="1" ht="18.75">
      <c r="A20" s="17" t="s">
        <v>32</v>
      </c>
      <c r="B20" s="42"/>
      <c r="C20" s="18"/>
      <c r="D20" s="18"/>
      <c r="E20" s="18"/>
      <c r="F20" s="18"/>
      <c r="G20" s="18"/>
      <c r="H20" s="19"/>
      <c r="I20" s="19"/>
      <c r="J20" s="19"/>
      <c r="M20" s="1" t="s">
        <v>33</v>
      </c>
    </row>
    <row r="21" spans="1:15">
      <c r="O21" s="40"/>
    </row>
    <row r="22" spans="1:15" ht="17.25" customHeight="1"/>
  </sheetData>
  <mergeCells count="2">
    <mergeCell ref="A1:M1"/>
    <mergeCell ref="A2:M2"/>
  </mergeCells>
  <pageMargins left="0.23" right="0.17" top="0.42" bottom="0.17" header="0.3" footer="0.3"/>
  <pageSetup paperSize="9" scale="75" orientation="landscape" r:id="rId1"/>
  <rowBreaks count="1" manualBreakCount="1">
    <brk id="2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</vt:lpstr>
      <vt:lpstr>'11.11'!Print_Area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2016-03-17T07:31:38Z</cp:lastPrinted>
  <dcterms:created xsi:type="dcterms:W3CDTF">2014-05-22T03:57:11Z</dcterms:created>
  <dcterms:modified xsi:type="dcterms:W3CDTF">2016-03-17T07:31:41Z</dcterms:modified>
</cp:coreProperties>
</file>