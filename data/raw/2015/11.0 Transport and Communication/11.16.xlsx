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16." sheetId="14" r:id="rId1"/>
  </sheets>
  <definedNames>
    <definedName name="_xlnm.Print_Area" localSheetId="0">'11.16.'!$A$1:$AD$39</definedName>
  </definedNames>
  <calcPr calcId="144525"/>
</workbook>
</file>

<file path=xl/calcChain.xml><?xml version="1.0" encoding="utf-8"?>
<calcChain xmlns="http://schemas.openxmlformats.org/spreadsheetml/2006/main">
  <c r="AP27" i="14" l="1"/>
  <c r="AP26" i="14"/>
  <c r="AP25" i="14"/>
  <c r="AP24" i="14"/>
  <c r="AP22" i="14"/>
  <c r="AP21" i="14"/>
  <c r="AP20" i="14"/>
  <c r="AC7" i="14" l="1"/>
  <c r="AA7" i="14"/>
  <c r="Z7" i="14"/>
  <c r="Y7" i="14"/>
  <c r="X7" i="14"/>
  <c r="W7" i="14"/>
  <c r="V7" i="14"/>
  <c r="U7" i="14"/>
  <c r="T7" i="14"/>
  <c r="S7" i="14"/>
  <c r="R7" i="14"/>
  <c r="AP23" i="14" s="1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</calcChain>
</file>

<file path=xl/sharedStrings.xml><?xml version="1.0" encoding="utf-8"?>
<sst xmlns="http://schemas.openxmlformats.org/spreadsheetml/2006/main" count="100" uniqueCount="58">
  <si>
    <t>wlcmuj</t>
  </si>
  <si>
    <t>Total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</si>
  <si>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</si>
  <si>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</si>
  <si>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</si>
  <si>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</si>
  <si>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</si>
  <si>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</si>
  <si>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</si>
  <si>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</si>
  <si>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</si>
  <si>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</si>
  <si>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</si>
  <si>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</si>
  <si>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</si>
  <si>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</si>
  <si>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</si>
  <si>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</si>
  <si>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</si>
  <si>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</si>
  <si>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</si>
  <si>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</si>
  <si>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</si>
  <si>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</si>
  <si>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</si>
  <si>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</si>
  <si>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</si>
  <si>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</si>
  <si>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</si>
  <si>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</si>
  <si>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</si>
  <si>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</si>
  <si>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</si>
  <si>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</si>
  <si>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</si>
  <si>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</si>
  <si>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L.Kadhdhoo</t>
  </si>
  <si>
    <t>GDh.Kaadedhdhoo</t>
  </si>
  <si>
    <t xml:space="preserve">Gn.Fuvahmulah </t>
  </si>
  <si>
    <t>ADh.Maamigili</t>
  </si>
  <si>
    <t>B.Dharavandhoo</t>
  </si>
  <si>
    <t>UdWminwh .dh</t>
  </si>
  <si>
    <t>HDh.Hanimaadhoo</t>
  </si>
  <si>
    <r>
      <t xml:space="preserve">Gn.Fuvahmulah </t>
    </r>
    <r>
      <rPr>
        <b/>
        <vertAlign val="superscript"/>
        <sz val="9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</si>
  <si>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9"/>
        <rFont val="Calibri"/>
        <family val="2"/>
        <scheme val="minor"/>
      </rPr>
      <t xml:space="preserve">1_/ </t>
    </r>
  </si>
  <si>
    <t>_</t>
  </si>
  <si>
    <t>1_/ Started operation in October 2011</t>
  </si>
  <si>
    <t>2_/ Started operation in October 2012</t>
  </si>
  <si>
    <t>GA. Koodoo</t>
  </si>
  <si>
    <r>
      <t xml:space="preserve">B.Dharavandhoo </t>
    </r>
    <r>
      <rPr>
        <b/>
        <vertAlign val="superscript"/>
        <sz val="9"/>
        <rFont val="Calibri"/>
        <family val="2"/>
        <scheme val="minor"/>
      </rPr>
      <t xml:space="preserve">2_/ </t>
    </r>
  </si>
  <si>
    <t>3_/ Started operation in January 2013</t>
  </si>
  <si>
    <r>
      <t xml:space="preserve">GA.Koodoo </t>
    </r>
    <r>
      <rPr>
        <b/>
        <vertAlign val="superscript"/>
        <sz val="9"/>
        <rFont val="Calibri"/>
        <family val="2"/>
        <scheme val="minor"/>
      </rPr>
      <t xml:space="preserve">3_/ </t>
    </r>
  </si>
  <si>
    <t>Table 11.16 :  NUMBER OF AIRCRAFT MOVEMENTS AT DOMESTIC AIRPORTS BY MONTH, 2011-2014</t>
  </si>
  <si>
    <t>2014 - 2011 ,cawtcTiawlcf irukurutwd cnukwturwdnwb egiawv egEjcaWr cnutogeguhwmcswm  : 11.16 ulwvWt</t>
  </si>
  <si>
    <t>ތ.ތިމަރަފުށި</t>
  </si>
  <si>
    <r>
      <t xml:space="preserve">THa. Thimarafushi  </t>
    </r>
    <r>
      <rPr>
        <b/>
        <vertAlign val="superscript"/>
        <sz val="9"/>
        <rFont val="Calibri"/>
        <family val="2"/>
        <scheme val="minor"/>
      </rPr>
      <t xml:space="preserve">4_/ </t>
    </r>
  </si>
  <si>
    <t>4_/ Started operation in January 2014</t>
  </si>
  <si>
    <t xml:space="preserve">THA. Thimarafushi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</si>
</sst>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  <numFmt numFmtId="169" formatCode="[$-409]mmmm\ d\,\ yyyy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sz val="9"/>
      <name val="Arial"/>
      <family val="2"/>
    </font>
    <font>
      <b/>
      <sz val="12"/>
      <name val="A_Randhoo"/>
    </font>
    <font>
      <b/>
      <sz val="10"/>
      <name val="A_Randhoo"/>
    </font>
    <font>
      <sz val="10"/>
      <name val="MS Sans Serif"/>
      <family val="2"/>
    </font>
    <font>
      <sz val="10"/>
      <name val="A_Randhoo"/>
    </font>
    <font>
      <sz val="9"/>
      <name val="Courier"/>
      <family val="3"/>
    </font>
    <font>
      <sz val="10"/>
      <name val="Garamond"/>
      <family val="1"/>
    </font>
    <font>
      <b/>
      <sz val="10"/>
      <name val="A_Reethi"/>
    </font>
    <font>
      <b/>
      <vertAlign val="superscript"/>
      <sz val="9"/>
      <name val="Calibri"/>
      <family val="2"/>
      <scheme val="minor"/>
    </font>
    <font>
      <sz val="6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hair">
        <color theme="1"/>
      </right>
      <top/>
      <bottom style="thin">
        <color theme="0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hair">
        <color auto="1"/>
      </right>
      <top/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hair">
        <color auto="1"/>
      </left>
      <right style="thin">
        <color theme="0"/>
      </right>
      <top/>
      <bottom style="thin">
        <color theme="0"/>
      </bottom>
      <diagonal/>
    </border>
    <border>
      <left style="hair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auto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hair">
        <color auto="1"/>
      </right>
      <top/>
      <bottom/>
      <diagonal/>
    </border>
    <border>
      <left style="hair">
        <color indexed="64"/>
      </left>
      <right style="thin">
        <color theme="0"/>
      </right>
      <top style="thin">
        <color indexed="64"/>
      </top>
      <bottom/>
      <diagonal/>
    </border>
    <border>
      <left style="hair">
        <color theme="1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 style="thin">
        <color theme="0"/>
      </right>
      <top/>
      <bottom style="thin">
        <color indexed="64"/>
      </bottom>
      <diagonal/>
    </border>
    <border>
      <left style="hair">
        <color theme="1"/>
      </left>
      <right style="thin">
        <color theme="0"/>
      </right>
      <top/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2" fillId="0" borderId="0"/>
    <xf numFmtId="40" fontId="16" fillId="0" borderId="0" applyFont="0" applyFill="0" applyBorder="0" applyAlignment="0" applyProtection="0"/>
    <xf numFmtId="0" fontId="19" fillId="0" borderId="0"/>
    <xf numFmtId="166" fontId="12" fillId="0" borderId="0"/>
    <xf numFmtId="166" fontId="12" fillId="0" borderId="0"/>
    <xf numFmtId="165" fontId="12" fillId="0" borderId="0" applyFont="0" applyFill="0" applyBorder="0" applyAlignment="0" applyProtection="0"/>
    <xf numFmtId="0" fontId="23" fillId="0" borderId="0"/>
    <xf numFmtId="164" fontId="12" fillId="0" borderId="0"/>
    <xf numFmtId="169" fontId="12" fillId="0" borderId="0" applyFont="0" applyFill="0" applyBorder="0" applyAlignment="0" applyProtection="0"/>
  </cellStyleXfs>
  <cellXfs count="108">
    <xf numFmtId="0" fontId="0" fillId="0" borderId="0" xfId="0"/>
    <xf numFmtId="0" fontId="11" fillId="2" borderId="2" xfId="0" applyNumberFormat="1" applyFont="1" applyFill="1" applyBorder="1" applyAlignment="1">
      <alignment horizontal="right" vertical="center"/>
    </xf>
    <xf numFmtId="164" fontId="0" fillId="2" borderId="0" xfId="0" applyNumberFormat="1" applyFill="1"/>
    <xf numFmtId="164" fontId="8" fillId="2" borderId="0" xfId="6" applyNumberFormat="1" applyFont="1" applyFill="1" applyBorder="1" applyAlignment="1">
      <alignment vertical="center"/>
    </xf>
    <xf numFmtId="164" fontId="10" fillId="2" borderId="0" xfId="6" applyNumberFormat="1" applyFont="1" applyFill="1" applyAlignment="1" applyProtection="1">
      <alignment horizontal="left" vertical="center"/>
    </xf>
    <xf numFmtId="164" fontId="9" fillId="2" borderId="0" xfId="6" applyNumberFormat="1" applyFont="1" applyFill="1" applyBorder="1" applyAlignment="1" applyProtection="1">
      <alignment horizontal="left" vertical="center"/>
    </xf>
    <xf numFmtId="164" fontId="12" fillId="2" borderId="0" xfId="0" applyNumberFormat="1" applyFont="1" applyFill="1"/>
    <xf numFmtId="164" fontId="0" fillId="2" borderId="0" xfId="0" applyNumberFormat="1" applyFill="1" applyBorder="1"/>
    <xf numFmtId="164" fontId="0" fillId="3" borderId="0" xfId="0" applyNumberFormat="1" applyFill="1"/>
    <xf numFmtId="166" fontId="0" fillId="3" borderId="0" xfId="1" applyNumberFormat="1" applyFont="1" applyFill="1"/>
    <xf numFmtId="164" fontId="14" fillId="2" borderId="0" xfId="6" applyNumberFormat="1" applyFont="1" applyFill="1" applyBorder="1" applyAlignment="1">
      <alignment vertical="center"/>
    </xf>
    <xf numFmtId="164" fontId="7" fillId="2" borderId="0" xfId="6" applyNumberFormat="1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3" fontId="2" fillId="2" borderId="0" xfId="6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center"/>
    </xf>
    <xf numFmtId="0" fontId="22" fillId="2" borderId="0" xfId="0" applyNumberFormat="1" applyFont="1" applyFill="1" applyBorder="1" applyAlignment="1">
      <alignment horizontal="center" vertical="center"/>
    </xf>
    <xf numFmtId="0" fontId="2" fillId="2" borderId="11" xfId="6" applyNumberFormat="1" applyFont="1" applyFill="1" applyBorder="1" applyAlignment="1">
      <alignment horizontal="center" vertical="center"/>
    </xf>
    <xf numFmtId="37" fontId="13" fillId="2" borderId="0" xfId="6" applyNumberFormat="1" applyFont="1" applyFill="1" applyBorder="1" applyAlignment="1" applyProtection="1">
      <alignment vertical="center"/>
    </xf>
    <xf numFmtId="164" fontId="18" fillId="2" borderId="0" xfId="6" applyNumberFormat="1" applyFont="1" applyFill="1" applyBorder="1"/>
    <xf numFmtId="166" fontId="0" fillId="2" borderId="0" xfId="1" applyNumberFormat="1" applyFont="1" applyFill="1"/>
    <xf numFmtId="164" fontId="2" fillId="2" borderId="0" xfId="6" applyNumberFormat="1" applyFont="1" applyFill="1" applyBorder="1" applyAlignment="1">
      <alignment horizontal="center" vertical="center" wrapText="1"/>
    </xf>
    <xf numFmtId="0" fontId="2" fillId="2" borderId="0" xfId="6" applyNumberFormat="1" applyFont="1" applyFill="1" applyBorder="1" applyAlignment="1">
      <alignment horizontal="center" vertical="center"/>
    </xf>
    <xf numFmtId="164" fontId="20" fillId="2" borderId="0" xfId="6" applyNumberFormat="1" applyFont="1" applyFill="1" applyBorder="1" applyAlignment="1">
      <alignment horizontal="center" vertical="center"/>
    </xf>
    <xf numFmtId="164" fontId="24" fillId="2" borderId="0" xfId="0" applyNumberFormat="1" applyFont="1" applyFill="1"/>
    <xf numFmtId="164" fontId="2" fillId="2" borderId="0" xfId="6" applyNumberFormat="1" applyFont="1" applyFill="1" applyBorder="1" applyAlignment="1">
      <alignment horizontal="center" vertical="center" wrapText="1"/>
    </xf>
    <xf numFmtId="164" fontId="20" fillId="2" borderId="0" xfId="6" applyNumberFormat="1" applyFont="1" applyFill="1" applyBorder="1" applyAlignment="1">
      <alignment horizontal="center" vertical="center"/>
    </xf>
    <xf numFmtId="164" fontId="8" fillId="0" borderId="1" xfId="6" applyNumberFormat="1" applyFont="1" applyFill="1" applyBorder="1" applyAlignment="1">
      <alignment horizontal="center" vertical="center"/>
    </xf>
    <xf numFmtId="164" fontId="3" fillId="0" borderId="1" xfId="6" applyNumberFormat="1" applyFont="1" applyFill="1" applyBorder="1" applyAlignment="1" applyProtection="1">
      <alignment horizontal="left" vertical="center"/>
    </xf>
    <xf numFmtId="3" fontId="3" fillId="0" borderId="1" xfId="7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7" fillId="0" borderId="1" xfId="8" applyFont="1" applyFill="1" applyBorder="1" applyAlignment="1">
      <alignment horizontal="right"/>
    </xf>
    <xf numFmtId="164" fontId="8" fillId="0" borderId="2" xfId="6" applyNumberFormat="1" applyFont="1" applyFill="1" applyBorder="1" applyAlignment="1" applyProtection="1">
      <alignment horizontal="left" vertical="center"/>
    </xf>
    <xf numFmtId="3" fontId="2" fillId="0" borderId="2" xfId="6" applyNumberFormat="1" applyFont="1" applyFill="1" applyBorder="1" applyAlignment="1">
      <alignment horizontal="center" vertical="center"/>
    </xf>
    <xf numFmtId="0" fontId="15" fillId="0" borderId="2" xfId="8" applyFont="1" applyFill="1" applyBorder="1" applyAlignment="1">
      <alignment horizontal="right"/>
    </xf>
    <xf numFmtId="164" fontId="8" fillId="0" borderId="3" xfId="6" applyNumberFormat="1" applyFont="1" applyFill="1" applyBorder="1" applyAlignment="1">
      <alignment horizontal="left" vertical="center"/>
    </xf>
    <xf numFmtId="164" fontId="8" fillId="0" borderId="7" xfId="6" applyNumberFormat="1" applyFont="1" applyFill="1" applyBorder="1" applyAlignment="1">
      <alignment horizontal="left" vertical="center"/>
    </xf>
    <xf numFmtId="164" fontId="3" fillId="0" borderId="3" xfId="6" applyNumberFormat="1" applyFont="1" applyFill="1" applyBorder="1" applyAlignment="1" applyProtection="1">
      <alignment horizontal="left" vertical="center"/>
    </xf>
    <xf numFmtId="3" fontId="3" fillId="0" borderId="3" xfId="7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17" fillId="0" borderId="3" xfId="8" applyFont="1" applyFill="1" applyBorder="1" applyAlignment="1">
      <alignment horizontal="right"/>
    </xf>
    <xf numFmtId="0" fontId="2" fillId="0" borderId="15" xfId="6" applyNumberFormat="1" applyFont="1" applyFill="1" applyBorder="1" applyAlignment="1">
      <alignment horizontal="center" vertical="center"/>
    </xf>
    <xf numFmtId="0" fontId="2" fillId="0" borderId="16" xfId="6" applyNumberFormat="1" applyFont="1" applyFill="1" applyBorder="1" applyAlignment="1">
      <alignment horizontal="center" vertical="center"/>
    </xf>
    <xf numFmtId="3" fontId="2" fillId="0" borderId="4" xfId="6" applyNumberFormat="1" applyFont="1" applyFill="1" applyBorder="1" applyAlignment="1">
      <alignment horizontal="center" vertical="center"/>
    </xf>
    <xf numFmtId="3" fontId="3" fillId="0" borderId="5" xfId="7" applyNumberFormat="1" applyFont="1" applyFill="1" applyBorder="1" applyAlignment="1">
      <alignment horizontal="center" vertical="center"/>
    </xf>
    <xf numFmtId="3" fontId="3" fillId="0" borderId="6" xfId="7" applyNumberFormat="1" applyFont="1" applyFill="1" applyBorder="1" applyAlignment="1">
      <alignment horizontal="center" vertical="center"/>
    </xf>
    <xf numFmtId="0" fontId="2" fillId="0" borderId="14" xfId="6" applyNumberFormat="1" applyFont="1" applyFill="1" applyBorder="1" applyAlignment="1">
      <alignment horizontal="center" vertical="center"/>
    </xf>
    <xf numFmtId="3" fontId="2" fillId="0" borderId="17" xfId="6" applyNumberFormat="1" applyFont="1" applyFill="1" applyBorder="1" applyAlignment="1">
      <alignment horizontal="center" vertical="center"/>
    </xf>
    <xf numFmtId="0" fontId="3" fillId="0" borderId="18" xfId="0" applyNumberFormat="1" applyFont="1" applyFill="1" applyBorder="1" applyAlignment="1">
      <alignment horizontal="center" vertical="center"/>
    </xf>
    <xf numFmtId="0" fontId="3" fillId="0" borderId="19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3" fillId="0" borderId="6" xfId="0" applyNumberFormat="1" applyFont="1" applyFill="1" applyBorder="1" applyAlignment="1">
      <alignment horizontal="center" vertical="center"/>
    </xf>
    <xf numFmtId="0" fontId="22" fillId="0" borderId="5" xfId="0" applyNumberFormat="1" applyFont="1" applyFill="1" applyBorder="1" applyAlignment="1">
      <alignment horizontal="center" vertical="center"/>
    </xf>
    <xf numFmtId="0" fontId="2" fillId="0" borderId="20" xfId="6" applyNumberFormat="1" applyFont="1" applyFill="1" applyBorder="1" applyAlignment="1">
      <alignment horizontal="center" vertical="center"/>
    </xf>
    <xf numFmtId="3" fontId="2" fillId="0" borderId="21" xfId="6" applyNumberFormat="1" applyFont="1" applyFill="1" applyBorder="1" applyAlignment="1">
      <alignment horizontal="center" vertical="center"/>
    </xf>
    <xf numFmtId="0" fontId="3" fillId="0" borderId="22" xfId="0" applyNumberFormat="1" applyFont="1" applyFill="1" applyBorder="1" applyAlignment="1">
      <alignment horizontal="center" vertical="center"/>
    </xf>
    <xf numFmtId="0" fontId="3" fillId="0" borderId="23" xfId="0" applyNumberFormat="1" applyFont="1" applyFill="1" applyBorder="1" applyAlignment="1">
      <alignment horizontal="center" vertical="center"/>
    </xf>
    <xf numFmtId="164" fontId="14" fillId="2" borderId="0" xfId="6" applyNumberFormat="1" applyFont="1" applyFill="1" applyBorder="1" applyAlignment="1">
      <alignment horizontal="center" vertical="center"/>
    </xf>
    <xf numFmtId="164" fontId="2" fillId="2" borderId="0" xfId="6" applyNumberFormat="1" applyFont="1" applyFill="1" applyBorder="1" applyAlignment="1">
      <alignment horizontal="center" vertical="center" wrapText="1"/>
    </xf>
    <xf numFmtId="164" fontId="20" fillId="2" borderId="0" xfId="6" applyNumberFormat="1" applyFont="1" applyFill="1" applyBorder="1" applyAlignment="1">
      <alignment horizontal="center" vertical="center"/>
    </xf>
    <xf numFmtId="164" fontId="4" fillId="2" borderId="0" xfId="6" applyNumberFormat="1" applyFont="1" applyFill="1" applyBorder="1" applyAlignment="1">
      <alignment horizontal="center" vertical="center"/>
    </xf>
    <xf numFmtId="164" fontId="20" fillId="0" borderId="7" xfId="6" applyNumberFormat="1" applyFont="1" applyFill="1" applyBorder="1" applyAlignment="1">
      <alignment horizontal="center" vertical="center"/>
    </xf>
    <xf numFmtId="0" fontId="15" fillId="0" borderId="7" xfId="8" applyFont="1" applyFill="1" applyBorder="1" applyAlignment="1">
      <alignment horizontal="right" vertical="center"/>
    </xf>
    <xf numFmtId="0" fontId="15" fillId="0" borderId="1" xfId="8" applyFont="1" applyFill="1" applyBorder="1" applyAlignment="1">
      <alignment horizontal="right" vertical="center"/>
    </xf>
    <xf numFmtId="0" fontId="15" fillId="0" borderId="3" xfId="8" applyFont="1" applyFill="1" applyBorder="1" applyAlignment="1">
      <alignment horizontal="right" vertical="center"/>
    </xf>
    <xf numFmtId="164" fontId="2" fillId="0" borderId="3" xfId="6" applyNumberFormat="1" applyFont="1" applyFill="1" applyBorder="1" applyAlignment="1">
      <alignment horizontal="center" vertical="center" wrapText="1"/>
    </xf>
    <xf numFmtId="164" fontId="8" fillId="0" borderId="7" xfId="6" applyNumberFormat="1" applyFont="1" applyFill="1" applyBorder="1" applyAlignment="1">
      <alignment horizontal="left" vertical="center"/>
    </xf>
    <xf numFmtId="164" fontId="8" fillId="0" borderId="1" xfId="6" applyNumberFormat="1" applyFont="1" applyFill="1" applyBorder="1" applyAlignment="1">
      <alignment horizontal="left" vertical="center"/>
    </xf>
    <xf numFmtId="164" fontId="8" fillId="0" borderId="3" xfId="6" applyNumberFormat="1" applyFont="1" applyFill="1" applyBorder="1" applyAlignment="1">
      <alignment horizontal="left" vertical="center"/>
    </xf>
    <xf numFmtId="164" fontId="15" fillId="0" borderId="7" xfId="6" applyNumberFormat="1" applyFont="1" applyFill="1" applyBorder="1" applyAlignment="1">
      <alignment horizontal="center" vertical="center"/>
    </xf>
    <xf numFmtId="164" fontId="8" fillId="0" borderId="3" xfId="6" applyNumberFormat="1" applyFont="1" applyFill="1" applyBorder="1" applyAlignment="1">
      <alignment horizontal="center" vertical="center" wrapText="1"/>
    </xf>
    <xf numFmtId="164" fontId="15" fillId="0" borderId="12" xfId="6" applyNumberFormat="1" applyFont="1" applyFill="1" applyBorder="1" applyAlignment="1">
      <alignment horizontal="center" vertical="center"/>
    </xf>
    <xf numFmtId="164" fontId="8" fillId="0" borderId="13" xfId="6" applyNumberFormat="1" applyFont="1" applyFill="1" applyBorder="1" applyAlignment="1">
      <alignment horizontal="center" vertical="center" wrapText="1"/>
    </xf>
    <xf numFmtId="0" fontId="2" fillId="0" borderId="30" xfId="6" applyNumberFormat="1" applyFont="1" applyFill="1" applyBorder="1" applyAlignment="1">
      <alignment horizontal="center" vertical="center"/>
    </xf>
    <xf numFmtId="164" fontId="15" fillId="0" borderId="24" xfId="6" applyNumberFormat="1" applyFont="1" applyFill="1" applyBorder="1" applyAlignment="1">
      <alignment horizontal="center" vertical="center"/>
    </xf>
    <xf numFmtId="164" fontId="8" fillId="0" borderId="6" xfId="6" applyNumberFormat="1" applyFont="1" applyFill="1" applyBorder="1" applyAlignment="1">
      <alignment horizontal="center" vertical="center" wrapText="1"/>
    </xf>
    <xf numFmtId="164" fontId="15" fillId="0" borderId="31" xfId="6" applyNumberFormat="1" applyFont="1" applyFill="1" applyBorder="1" applyAlignment="1">
      <alignment horizontal="center" vertical="center"/>
    </xf>
    <xf numFmtId="164" fontId="15" fillId="0" borderId="25" xfId="6" applyNumberFormat="1" applyFont="1" applyFill="1" applyBorder="1" applyAlignment="1">
      <alignment horizontal="center" vertical="center"/>
    </xf>
    <xf numFmtId="164" fontId="8" fillId="0" borderId="29" xfId="6" applyNumberFormat="1" applyFont="1" applyFill="1" applyBorder="1" applyAlignment="1">
      <alignment horizontal="center" vertical="center" wrapText="1"/>
    </xf>
    <xf numFmtId="164" fontId="8" fillId="0" borderId="23" xfId="6" applyNumberFormat="1" applyFont="1" applyFill="1" applyBorder="1" applyAlignment="1">
      <alignment horizontal="center" vertical="center" wrapText="1"/>
    </xf>
    <xf numFmtId="0" fontId="2" fillId="0" borderId="32" xfId="6" applyNumberFormat="1" applyFont="1" applyFill="1" applyBorder="1" applyAlignment="1">
      <alignment horizontal="center" vertical="center"/>
    </xf>
    <xf numFmtId="3" fontId="2" fillId="0" borderId="10" xfId="6" applyNumberFormat="1" applyFont="1" applyFill="1" applyBorder="1" applyAlignment="1">
      <alignment horizontal="center" vertical="center"/>
    </xf>
    <xf numFmtId="0" fontId="3" fillId="0" borderId="8" xfId="0" applyNumberFormat="1" applyFont="1" applyFill="1" applyBorder="1" applyAlignment="1">
      <alignment horizontal="center" vertical="center"/>
    </xf>
    <xf numFmtId="164" fontId="20" fillId="0" borderId="24" xfId="6" applyNumberFormat="1" applyFont="1" applyFill="1" applyBorder="1" applyAlignment="1">
      <alignment horizontal="center" vertical="center"/>
    </xf>
    <xf numFmtId="164" fontId="2" fillId="0" borderId="6" xfId="6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17" xfId="0" applyNumberFormat="1" applyFont="1" applyFill="1" applyBorder="1" applyAlignment="1">
      <alignment horizontal="center" vertical="center"/>
    </xf>
    <xf numFmtId="164" fontId="20" fillId="0" borderId="31" xfId="6" applyNumberFormat="1" applyFont="1" applyFill="1" applyBorder="1" applyAlignment="1">
      <alignment horizontal="center" vertical="center"/>
    </xf>
    <xf numFmtId="164" fontId="20" fillId="0" borderId="25" xfId="6" applyNumberFormat="1" applyFont="1" applyFill="1" applyBorder="1" applyAlignment="1">
      <alignment horizontal="center" vertical="center"/>
    </xf>
    <xf numFmtId="164" fontId="2" fillId="0" borderId="29" xfId="6" applyNumberFormat="1" applyFont="1" applyFill="1" applyBorder="1" applyAlignment="1">
      <alignment horizontal="center" vertical="center" wrapText="1"/>
    </xf>
    <xf numFmtId="164" fontId="2" fillId="0" borderId="23" xfId="6" applyNumberFormat="1" applyFont="1" applyFill="1" applyBorder="1" applyAlignment="1">
      <alignment horizontal="center" vertical="center" wrapText="1"/>
    </xf>
    <xf numFmtId="3" fontId="2" fillId="0" borderId="27" xfId="6" applyNumberFormat="1" applyFont="1" applyFill="1" applyBorder="1" applyAlignment="1">
      <alignment horizontal="center" vertical="center"/>
    </xf>
    <xf numFmtId="3" fontId="2" fillId="0" borderId="9" xfId="6" applyNumberFormat="1" applyFont="1" applyFill="1" applyBorder="1" applyAlignment="1">
      <alignment horizontal="center" vertical="center"/>
    </xf>
    <xf numFmtId="3" fontId="2" fillId="0" borderId="33" xfId="6" applyNumberFormat="1" applyFont="1" applyFill="1" applyBorder="1" applyAlignment="1">
      <alignment horizontal="center" vertical="center"/>
    </xf>
    <xf numFmtId="3" fontId="2" fillId="0" borderId="34" xfId="6" applyNumberFormat="1" applyFont="1" applyFill="1" applyBorder="1" applyAlignment="1">
      <alignment horizontal="center" vertical="center"/>
    </xf>
    <xf numFmtId="0" fontId="22" fillId="0" borderId="28" xfId="0" applyNumberFormat="1" applyFont="1" applyFill="1" applyBorder="1" applyAlignment="1">
      <alignment horizontal="center" vertical="center"/>
    </xf>
    <xf numFmtId="0" fontId="22" fillId="0" borderId="27" xfId="0" applyNumberFormat="1" applyFont="1" applyFill="1" applyBorder="1" applyAlignment="1">
      <alignment horizontal="center" vertical="center"/>
    </xf>
    <xf numFmtId="164" fontId="20" fillId="0" borderId="12" xfId="6" applyNumberFormat="1" applyFont="1" applyFill="1" applyBorder="1" applyAlignment="1">
      <alignment horizontal="center" vertical="center"/>
    </xf>
    <xf numFmtId="164" fontId="2" fillId="0" borderId="13" xfId="6" applyNumberFormat="1" applyFont="1" applyFill="1" applyBorder="1" applyAlignment="1">
      <alignment horizontal="center" vertical="center" wrapText="1"/>
    </xf>
    <xf numFmtId="0" fontId="3" fillId="0" borderId="13" xfId="0" applyNumberFormat="1" applyFont="1" applyFill="1" applyBorder="1" applyAlignment="1">
      <alignment horizontal="center" vertical="center"/>
    </xf>
    <xf numFmtId="0" fontId="3" fillId="0" borderId="28" xfId="0" applyNumberFormat="1" applyFont="1" applyFill="1" applyBorder="1" applyAlignment="1">
      <alignment horizontal="center" vertical="center"/>
    </xf>
    <xf numFmtId="0" fontId="3" fillId="0" borderId="29" xfId="0" applyNumberFormat="1" applyFont="1" applyFill="1" applyBorder="1" applyAlignment="1">
      <alignment horizontal="center" vertical="center"/>
    </xf>
    <xf numFmtId="0" fontId="2" fillId="0" borderId="26" xfId="6" applyNumberFormat="1" applyFont="1" applyFill="1" applyBorder="1" applyAlignment="1">
      <alignment horizontal="center" vertical="center"/>
    </xf>
    <xf numFmtId="164" fontId="20" fillId="0" borderId="35" xfId="6" applyNumberFormat="1" applyFont="1" applyFill="1" applyBorder="1" applyAlignment="1">
      <alignment horizontal="center" vertical="center"/>
    </xf>
    <xf numFmtId="164" fontId="2" fillId="0" borderId="36" xfId="6" applyNumberFormat="1" applyFont="1" applyFill="1" applyBorder="1" applyAlignment="1">
      <alignment horizontal="center" vertical="center" wrapText="1"/>
    </xf>
    <xf numFmtId="0" fontId="2" fillId="0" borderId="37" xfId="6" applyNumberFormat="1" applyFont="1" applyFill="1" applyBorder="1" applyAlignment="1">
      <alignment horizontal="center" vertical="center"/>
    </xf>
    <xf numFmtId="3" fontId="2" fillId="0" borderId="38" xfId="6" applyNumberFormat="1" applyFont="1" applyFill="1" applyBorder="1" applyAlignment="1">
      <alignment horizontal="center" vertical="center"/>
    </xf>
    <xf numFmtId="0" fontId="3" fillId="0" borderId="39" xfId="0" applyNumberFormat="1" applyFont="1" applyFill="1" applyBorder="1" applyAlignment="1">
      <alignment horizontal="center" vertical="center"/>
    </xf>
    <xf numFmtId="0" fontId="3" fillId="0" borderId="36" xfId="0" applyNumberFormat="1" applyFont="1" applyFill="1" applyBorder="1" applyAlignment="1">
      <alignment horizontal="center" vertical="center"/>
    </xf>
  </cellXfs>
  <cellStyles count="15">
    <cellStyle name="Comma" xfId="1" builtinId="3"/>
    <cellStyle name="Comma 2" xfId="7"/>
    <cellStyle name="Comma 4" xfId="11"/>
    <cellStyle name="Comma 4 2" xfId="14"/>
    <cellStyle name="Hyperlink 2" xfId="2"/>
    <cellStyle name="Normal" xfId="0" builtinId="0"/>
    <cellStyle name="Normal 2" xfId="6"/>
    <cellStyle name="Normal 2 2" xfId="13"/>
    <cellStyle name="Normal 2 3" xfId="4"/>
    <cellStyle name="Normal 3" xfId="9"/>
    <cellStyle name="Normal 3 2" xfId="5"/>
    <cellStyle name="Normal 4" xfId="10"/>
    <cellStyle name="Normal 5" xfId="3"/>
    <cellStyle name="Normal 6" xfId="12"/>
    <cellStyle name="Normal_X-5 (Electricity)" xfId="8"/>
  </cellStyles>
  <dxfs count="0"/>
  <tableStyles count="0" defaultTableStyle="TableStyleMedium9" defaultPivotStyle="PivotStyleLight16"/>
  <colors>
    <mruColors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Figure 11.11: Aircraft movement at domestic airports, 2014 </a:t>
            </a:r>
          </a:p>
        </c:rich>
      </c:tx>
      <c:layout>
        <c:manualLayout>
          <c:xMode val="edge"/>
          <c:yMode val="edge"/>
          <c:x val="0.26799365570101275"/>
          <c:y val="2.666834377332240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781417904479544E-2"/>
          <c:y val="0.13924778175264754"/>
          <c:w val="0.89034775085247309"/>
          <c:h val="0.736544957855793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'11.16.'!$AO$20:$AO$27</c:f>
              <c:strCache>
                <c:ptCount val="8"/>
                <c:pt idx="0">
                  <c:v>L.Kadhdhoo</c:v>
                </c:pt>
                <c:pt idx="1">
                  <c:v>GDh.Kaadedhdhoo</c:v>
                </c:pt>
                <c:pt idx="2">
                  <c:v>HDh.Hanimaadhoo</c:v>
                </c:pt>
                <c:pt idx="3">
                  <c:v>Gn.Fuvahmulah </c:v>
                </c:pt>
                <c:pt idx="4">
                  <c:v>ADh.Maamigili</c:v>
                </c:pt>
                <c:pt idx="5">
                  <c:v>B.Dharavandhoo</c:v>
                </c:pt>
                <c:pt idx="6">
                  <c:v>GA. Koodoo</c:v>
                </c:pt>
                <c:pt idx="7">
                  <c:v>THA. Thimarafushi </c:v>
                </c:pt>
              </c:strCache>
            </c:strRef>
          </c:cat>
          <c:val>
            <c:numRef>
              <c:f>'11.16.'!$AP$20:$AP$27</c:f>
              <c:numCache>
                <c:formatCode>General_)</c:formatCode>
                <c:ptCount val="8"/>
                <c:pt idx="0">
                  <c:v>2220</c:v>
                </c:pt>
                <c:pt idx="1">
                  <c:v>4410</c:v>
                </c:pt>
                <c:pt idx="2">
                  <c:v>1977</c:v>
                </c:pt>
                <c:pt idx="3">
                  <c:v>2773</c:v>
                </c:pt>
                <c:pt idx="4">
                  <c:v>4924</c:v>
                </c:pt>
                <c:pt idx="5">
                  <c:v>4248</c:v>
                </c:pt>
                <c:pt idx="6">
                  <c:v>2076</c:v>
                </c:pt>
                <c:pt idx="7">
                  <c:v>826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328192"/>
        <c:axId val="122329728"/>
      </c:barChart>
      <c:catAx>
        <c:axId val="12232819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2329728"/>
        <c:crosses val="autoZero"/>
        <c:auto val="1"/>
        <c:lblAlgn val="ctr"/>
        <c:lblOffset val="100"/>
        <c:noMultiLvlLbl val="0"/>
      </c:catAx>
      <c:valAx>
        <c:axId val="122329728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2.3008625516900513E-2"/>
              <c:y val="6.3008307447807568E-2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22328192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473261</xdr:colOff>
      <xdr:row>19</xdr:row>
      <xdr:rowOff>179917</xdr:rowOff>
    </xdr:from>
    <xdr:to>
      <xdr:col>22</xdr:col>
      <xdr:colOff>596747</xdr:colOff>
      <xdr:row>37</xdr:row>
      <xdr:rowOff>158750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6"/>
  <sheetViews>
    <sheetView tabSelected="1" view="pageBreakPreview" zoomScale="90" zoomScaleNormal="83" zoomScaleSheetLayoutView="90" workbookViewId="0">
      <selection activeCell="X13" sqref="X13"/>
    </sheetView>
  </sheetViews>
  <sheetFormatPr defaultColWidth="9.140625" defaultRowHeight="15" x14ac:dyDescent="0.25"/>
  <cols>
    <col min="1" max="1" width="10.85546875" style="2" customWidth="1"/>
    <col min="2" max="2" width="2.5703125" style="2" customWidth="1"/>
    <col min="3" max="4" width="8.28515625" style="2" customWidth="1"/>
    <col min="5" max="6" width="8.140625" style="2" customWidth="1"/>
    <col min="7" max="12" width="8.28515625" style="2" customWidth="1"/>
    <col min="13" max="13" width="10.140625" style="2" customWidth="1"/>
    <col min="14" max="14" width="7.7109375" style="2" customWidth="1"/>
    <col min="15" max="17" width="10.140625" style="2" customWidth="1"/>
    <col min="18" max="18" width="7.85546875" style="2" customWidth="1"/>
    <col min="19" max="22" width="7.7109375" style="2" customWidth="1"/>
    <col min="23" max="24" width="10.140625" style="2" customWidth="1"/>
    <col min="25" max="25" width="7.7109375" style="2" customWidth="1"/>
    <col min="26" max="26" width="12" style="2" customWidth="1"/>
    <col min="27" max="29" width="8.28515625" style="2" customWidth="1"/>
    <col min="30" max="30" width="12.28515625" style="2" customWidth="1"/>
    <col min="31" max="38" width="19" style="2" customWidth="1"/>
    <col min="39" max="39" width="45.28515625" style="2" customWidth="1"/>
    <col min="40" max="16384" width="9.140625" style="2"/>
  </cols>
  <sheetData>
    <row r="1" spans="1:44" ht="19.5" x14ac:dyDescent="0.25">
      <c r="A1" s="56" t="s">
        <v>53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10"/>
      <c r="AF1" s="10"/>
      <c r="AG1" s="10"/>
      <c r="AH1" s="10"/>
      <c r="AI1" s="10"/>
      <c r="AJ1" s="10"/>
      <c r="AK1" s="10"/>
      <c r="AL1" s="10"/>
      <c r="AM1" s="10"/>
    </row>
    <row r="2" spans="1:44" ht="15" customHeight="1" x14ac:dyDescent="0.25">
      <c r="A2" s="59" t="s">
        <v>52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3"/>
      <c r="AF2" s="3"/>
      <c r="AG2" s="3"/>
      <c r="AH2" s="3"/>
      <c r="AI2" s="3"/>
      <c r="AJ2" s="3"/>
      <c r="AK2" s="3"/>
      <c r="AL2" s="3"/>
      <c r="AM2" s="3"/>
    </row>
    <row r="3" spans="1:44" s="7" customFormat="1" ht="7.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</row>
    <row r="4" spans="1:44" ht="23.25" customHeight="1" x14ac:dyDescent="0.25">
      <c r="A4" s="65" t="s">
        <v>4</v>
      </c>
      <c r="B4" s="35"/>
      <c r="C4" s="68" t="s">
        <v>30</v>
      </c>
      <c r="D4" s="68"/>
      <c r="E4" s="68"/>
      <c r="F4" s="70"/>
      <c r="G4" s="75" t="s">
        <v>31</v>
      </c>
      <c r="H4" s="68"/>
      <c r="I4" s="68"/>
      <c r="J4" s="76"/>
      <c r="K4" s="73" t="s">
        <v>41</v>
      </c>
      <c r="L4" s="68"/>
      <c r="M4" s="68"/>
      <c r="N4" s="70"/>
      <c r="O4" s="86" t="s">
        <v>32</v>
      </c>
      <c r="P4" s="60"/>
      <c r="Q4" s="60"/>
      <c r="R4" s="87"/>
      <c r="S4" s="82" t="s">
        <v>33</v>
      </c>
      <c r="T4" s="60"/>
      <c r="U4" s="60"/>
      <c r="V4" s="96"/>
      <c r="W4" s="86" t="s">
        <v>34</v>
      </c>
      <c r="X4" s="60"/>
      <c r="Y4" s="87"/>
      <c r="Z4" s="82" t="s">
        <v>35</v>
      </c>
      <c r="AA4" s="96"/>
      <c r="AB4" s="102" t="s">
        <v>54</v>
      </c>
      <c r="AC4" s="60"/>
      <c r="AD4" s="61" t="s">
        <v>5</v>
      </c>
    </row>
    <row r="5" spans="1:44" s="12" customFormat="1" ht="23.25" customHeight="1" x14ac:dyDescent="0.25">
      <c r="A5" s="66"/>
      <c r="B5" s="26"/>
      <c r="C5" s="69" t="s">
        <v>36</v>
      </c>
      <c r="D5" s="69"/>
      <c r="E5" s="69"/>
      <c r="F5" s="71"/>
      <c r="G5" s="77" t="s">
        <v>37</v>
      </c>
      <c r="H5" s="69"/>
      <c r="I5" s="69"/>
      <c r="J5" s="78"/>
      <c r="K5" s="74" t="s">
        <v>42</v>
      </c>
      <c r="L5" s="69"/>
      <c r="M5" s="69"/>
      <c r="N5" s="71"/>
      <c r="O5" s="88" t="s">
        <v>43</v>
      </c>
      <c r="P5" s="64"/>
      <c r="Q5" s="64"/>
      <c r="R5" s="89"/>
      <c r="S5" s="83" t="s">
        <v>44</v>
      </c>
      <c r="T5" s="64"/>
      <c r="U5" s="64"/>
      <c r="V5" s="97"/>
      <c r="W5" s="88" t="s">
        <v>49</v>
      </c>
      <c r="X5" s="64"/>
      <c r="Y5" s="89"/>
      <c r="Z5" s="83" t="s">
        <v>51</v>
      </c>
      <c r="AA5" s="97"/>
      <c r="AB5" s="103" t="s">
        <v>55</v>
      </c>
      <c r="AC5" s="64"/>
      <c r="AD5" s="62"/>
    </row>
    <row r="6" spans="1:44" ht="23.25" customHeight="1" x14ac:dyDescent="0.25">
      <c r="A6" s="67"/>
      <c r="B6" s="34"/>
      <c r="C6" s="40">
        <v>2011</v>
      </c>
      <c r="D6" s="40">
        <v>2012</v>
      </c>
      <c r="E6" s="45">
        <v>2013</v>
      </c>
      <c r="F6" s="72">
        <v>2014</v>
      </c>
      <c r="G6" s="79">
        <v>2011</v>
      </c>
      <c r="H6" s="40">
        <v>2012</v>
      </c>
      <c r="I6" s="40">
        <v>2013</v>
      </c>
      <c r="J6" s="52">
        <v>2014</v>
      </c>
      <c r="K6" s="41">
        <v>2011</v>
      </c>
      <c r="L6" s="40">
        <v>2012</v>
      </c>
      <c r="M6" s="45">
        <v>2013</v>
      </c>
      <c r="N6" s="72">
        <v>2014</v>
      </c>
      <c r="O6" s="79">
        <v>2011</v>
      </c>
      <c r="P6" s="40">
        <v>2012</v>
      </c>
      <c r="Q6" s="45">
        <v>2013</v>
      </c>
      <c r="R6" s="52">
        <v>2014</v>
      </c>
      <c r="S6" s="41">
        <v>2011</v>
      </c>
      <c r="T6" s="40">
        <v>2012</v>
      </c>
      <c r="U6" s="40">
        <v>2013</v>
      </c>
      <c r="V6" s="72">
        <v>2014</v>
      </c>
      <c r="W6" s="79">
        <v>2012</v>
      </c>
      <c r="X6" s="40">
        <v>2013</v>
      </c>
      <c r="Y6" s="52">
        <v>2014</v>
      </c>
      <c r="Z6" s="41">
        <v>2013</v>
      </c>
      <c r="AA6" s="101">
        <v>2014</v>
      </c>
      <c r="AB6" s="104">
        <v>2013</v>
      </c>
      <c r="AC6" s="40">
        <v>2014</v>
      </c>
      <c r="AD6" s="63"/>
      <c r="AE6" s="23"/>
      <c r="AF6" s="23"/>
      <c r="AG6" s="23"/>
      <c r="AH6" s="23"/>
      <c r="AI6" s="23"/>
      <c r="AJ6" s="23"/>
      <c r="AK6" s="23"/>
      <c r="AL6" s="23"/>
    </row>
    <row r="7" spans="1:44" ht="23.25" customHeight="1" x14ac:dyDescent="0.4">
      <c r="A7" s="31" t="s">
        <v>1</v>
      </c>
      <c r="B7" s="31"/>
      <c r="C7" s="32">
        <f t="shared" ref="C7:J7" si="0">SUM(C8:C19)</f>
        <v>1542</v>
      </c>
      <c r="D7" s="32">
        <f t="shared" si="0"/>
        <v>1816</v>
      </c>
      <c r="E7" s="32">
        <f t="shared" si="0"/>
        <v>2310</v>
      </c>
      <c r="F7" s="46">
        <f t="shared" si="0"/>
        <v>2220</v>
      </c>
      <c r="G7" s="42">
        <f t="shared" si="0"/>
        <v>3226</v>
      </c>
      <c r="H7" s="32">
        <f t="shared" si="0"/>
        <v>3982</v>
      </c>
      <c r="I7" s="32">
        <f t="shared" si="0"/>
        <v>4121</v>
      </c>
      <c r="J7" s="46">
        <f t="shared" si="0"/>
        <v>4410</v>
      </c>
      <c r="K7" s="42">
        <f>SUM(K8:K19)</f>
        <v>1637</v>
      </c>
      <c r="L7" s="32">
        <f>SUM(L8:L19)</f>
        <v>1397</v>
      </c>
      <c r="M7" s="32">
        <f>SUM(M8:M19)</f>
        <v>1949</v>
      </c>
      <c r="N7" s="80">
        <f t="shared" ref="N7:AA7" si="1">SUM(N8:N19)</f>
        <v>1977</v>
      </c>
      <c r="O7" s="93">
        <f t="shared" si="1"/>
        <v>262</v>
      </c>
      <c r="P7" s="91">
        <f t="shared" si="1"/>
        <v>710</v>
      </c>
      <c r="Q7" s="91">
        <f>SUM(Q8:Q19)</f>
        <v>2432</v>
      </c>
      <c r="R7" s="92">
        <f t="shared" ref="R7" si="2">SUM(R8:R19)</f>
        <v>2773</v>
      </c>
      <c r="S7" s="42">
        <f t="shared" si="1"/>
        <v>769</v>
      </c>
      <c r="T7" s="32">
        <f t="shared" si="1"/>
        <v>3315</v>
      </c>
      <c r="U7" s="32">
        <f>SUM(U8:U19)</f>
        <v>4519</v>
      </c>
      <c r="V7" s="80">
        <f t="shared" ref="V7" si="3">SUM(V8:V19)</f>
        <v>4924</v>
      </c>
      <c r="W7" s="90">
        <f t="shared" si="1"/>
        <v>173</v>
      </c>
      <c r="X7" s="32">
        <f t="shared" si="1"/>
        <v>3515</v>
      </c>
      <c r="Y7" s="53">
        <f t="shared" si="1"/>
        <v>4248</v>
      </c>
      <c r="Z7" s="42">
        <f t="shared" si="1"/>
        <v>2906</v>
      </c>
      <c r="AA7" s="80">
        <f t="shared" si="1"/>
        <v>2076</v>
      </c>
      <c r="AB7" s="105" t="s">
        <v>45</v>
      </c>
      <c r="AC7" s="32">
        <f t="shared" ref="AC7" si="4">SUM(AC8:AC19)</f>
        <v>826</v>
      </c>
      <c r="AD7" s="33" t="s">
        <v>0</v>
      </c>
      <c r="AP7" s="7"/>
    </row>
    <row r="8" spans="1:44" ht="23.25" customHeight="1" x14ac:dyDescent="0.4">
      <c r="A8" s="27" t="s">
        <v>6</v>
      </c>
      <c r="B8" s="27"/>
      <c r="C8" s="28">
        <v>87</v>
      </c>
      <c r="D8" s="28">
        <v>140</v>
      </c>
      <c r="E8" s="28">
        <v>189</v>
      </c>
      <c r="F8" s="47">
        <v>215</v>
      </c>
      <c r="G8" s="43">
        <v>290</v>
      </c>
      <c r="H8" s="28">
        <v>428</v>
      </c>
      <c r="I8" s="28">
        <v>290</v>
      </c>
      <c r="J8" s="47">
        <v>356</v>
      </c>
      <c r="K8" s="49">
        <v>137</v>
      </c>
      <c r="L8" s="29">
        <v>111</v>
      </c>
      <c r="M8" s="29">
        <v>175</v>
      </c>
      <c r="N8" s="81">
        <v>164</v>
      </c>
      <c r="O8" s="94" t="s">
        <v>45</v>
      </c>
      <c r="P8" s="29">
        <v>48</v>
      </c>
      <c r="Q8" s="29">
        <v>115</v>
      </c>
      <c r="R8" s="47">
        <v>227</v>
      </c>
      <c r="S8" s="51" t="s">
        <v>45</v>
      </c>
      <c r="T8" s="29">
        <v>351</v>
      </c>
      <c r="U8" s="29">
        <v>339</v>
      </c>
      <c r="V8" s="81">
        <v>400</v>
      </c>
      <c r="W8" s="94" t="s">
        <v>45</v>
      </c>
      <c r="X8" s="29">
        <v>191</v>
      </c>
      <c r="Y8" s="54">
        <v>361</v>
      </c>
      <c r="Z8" s="49">
        <v>288</v>
      </c>
      <c r="AA8" s="81">
        <v>174</v>
      </c>
      <c r="AB8" s="106" t="s">
        <v>45</v>
      </c>
      <c r="AC8" s="29">
        <v>57</v>
      </c>
      <c r="AD8" s="30" t="s">
        <v>7</v>
      </c>
      <c r="AR8" s="16"/>
    </row>
    <row r="9" spans="1:44" ht="23.25" customHeight="1" x14ac:dyDescent="0.4">
      <c r="A9" s="27" t="s">
        <v>8</v>
      </c>
      <c r="B9" s="27"/>
      <c r="C9" s="28">
        <v>69</v>
      </c>
      <c r="D9" s="28">
        <v>128</v>
      </c>
      <c r="E9" s="28">
        <v>161</v>
      </c>
      <c r="F9" s="47">
        <v>192</v>
      </c>
      <c r="G9" s="43">
        <v>268</v>
      </c>
      <c r="H9" s="28">
        <v>332</v>
      </c>
      <c r="I9" s="28">
        <v>314</v>
      </c>
      <c r="J9" s="47">
        <v>360</v>
      </c>
      <c r="K9" s="49">
        <v>185</v>
      </c>
      <c r="L9" s="29">
        <v>109</v>
      </c>
      <c r="M9" s="29">
        <v>158</v>
      </c>
      <c r="N9" s="81">
        <v>176</v>
      </c>
      <c r="O9" s="95" t="s">
        <v>45</v>
      </c>
      <c r="P9" s="84">
        <v>40</v>
      </c>
      <c r="Q9" s="84">
        <v>83</v>
      </c>
      <c r="R9" s="85">
        <v>212</v>
      </c>
      <c r="S9" s="51" t="s">
        <v>45</v>
      </c>
      <c r="T9" s="29">
        <v>351</v>
      </c>
      <c r="U9" s="29">
        <v>427</v>
      </c>
      <c r="V9" s="81">
        <v>380</v>
      </c>
      <c r="W9" s="94" t="s">
        <v>45</v>
      </c>
      <c r="X9" s="29">
        <v>213</v>
      </c>
      <c r="Y9" s="54">
        <v>356</v>
      </c>
      <c r="Z9" s="49">
        <v>304</v>
      </c>
      <c r="AA9" s="81">
        <v>159</v>
      </c>
      <c r="AB9" s="106" t="s">
        <v>45</v>
      </c>
      <c r="AC9" s="29">
        <v>83</v>
      </c>
      <c r="AD9" s="30" t="s">
        <v>9</v>
      </c>
      <c r="AP9" s="5"/>
    </row>
    <row r="10" spans="1:44" ht="23.25" customHeight="1" x14ac:dyDescent="0.4">
      <c r="A10" s="27" t="s">
        <v>10</v>
      </c>
      <c r="B10" s="27"/>
      <c r="C10" s="28">
        <v>80</v>
      </c>
      <c r="D10" s="28">
        <v>161</v>
      </c>
      <c r="E10" s="28">
        <v>184</v>
      </c>
      <c r="F10" s="47">
        <v>214</v>
      </c>
      <c r="G10" s="43">
        <v>202</v>
      </c>
      <c r="H10" s="28">
        <v>320</v>
      </c>
      <c r="I10" s="28">
        <v>358</v>
      </c>
      <c r="J10" s="47">
        <v>388</v>
      </c>
      <c r="K10" s="49">
        <v>131</v>
      </c>
      <c r="L10" s="29">
        <v>98</v>
      </c>
      <c r="M10" s="29">
        <v>141</v>
      </c>
      <c r="N10" s="54">
        <v>190</v>
      </c>
      <c r="O10" s="51" t="s">
        <v>45</v>
      </c>
      <c r="P10" s="29">
        <v>56</v>
      </c>
      <c r="Q10" s="29">
        <v>197</v>
      </c>
      <c r="R10" s="47">
        <v>246</v>
      </c>
      <c r="S10" s="51" t="s">
        <v>45</v>
      </c>
      <c r="T10" s="29">
        <v>233</v>
      </c>
      <c r="U10" s="29">
        <v>348</v>
      </c>
      <c r="V10" s="81">
        <v>391</v>
      </c>
      <c r="W10" s="94" t="s">
        <v>45</v>
      </c>
      <c r="X10" s="29">
        <v>231</v>
      </c>
      <c r="Y10" s="54">
        <v>393</v>
      </c>
      <c r="Z10" s="49">
        <v>364</v>
      </c>
      <c r="AA10" s="81">
        <v>176</v>
      </c>
      <c r="AB10" s="106" t="s">
        <v>45</v>
      </c>
      <c r="AC10" s="29">
        <v>108</v>
      </c>
      <c r="AD10" s="30" t="s">
        <v>11</v>
      </c>
    </row>
    <row r="11" spans="1:44" ht="23.25" customHeight="1" x14ac:dyDescent="0.4">
      <c r="A11" s="27" t="s">
        <v>12</v>
      </c>
      <c r="B11" s="27"/>
      <c r="C11" s="28">
        <v>147</v>
      </c>
      <c r="D11" s="28">
        <v>149</v>
      </c>
      <c r="E11" s="28">
        <v>190</v>
      </c>
      <c r="F11" s="47">
        <v>192</v>
      </c>
      <c r="G11" s="43">
        <v>192</v>
      </c>
      <c r="H11" s="28">
        <v>358</v>
      </c>
      <c r="I11" s="28">
        <v>268</v>
      </c>
      <c r="J11" s="47">
        <v>354</v>
      </c>
      <c r="K11" s="49">
        <v>167</v>
      </c>
      <c r="L11" s="29">
        <v>131</v>
      </c>
      <c r="M11" s="29">
        <v>174</v>
      </c>
      <c r="N11" s="54">
        <v>166</v>
      </c>
      <c r="O11" s="51" t="s">
        <v>45</v>
      </c>
      <c r="P11" s="29">
        <v>42</v>
      </c>
      <c r="Q11" s="29">
        <v>241</v>
      </c>
      <c r="R11" s="47">
        <v>230</v>
      </c>
      <c r="S11" s="51" t="s">
        <v>45</v>
      </c>
      <c r="T11" s="29">
        <v>226</v>
      </c>
      <c r="U11" s="29">
        <v>284</v>
      </c>
      <c r="V11" s="81">
        <v>390</v>
      </c>
      <c r="W11" s="94" t="s">
        <v>45</v>
      </c>
      <c r="X11" s="29">
        <v>239</v>
      </c>
      <c r="Y11" s="54">
        <v>358</v>
      </c>
      <c r="Z11" s="49">
        <v>289</v>
      </c>
      <c r="AA11" s="81">
        <v>175</v>
      </c>
      <c r="AB11" s="106" t="s">
        <v>45</v>
      </c>
      <c r="AC11" s="29">
        <v>112</v>
      </c>
      <c r="AD11" s="30" t="s">
        <v>13</v>
      </c>
    </row>
    <row r="12" spans="1:44" ht="23.25" customHeight="1" x14ac:dyDescent="0.4">
      <c r="A12" s="27" t="s">
        <v>14</v>
      </c>
      <c r="B12" s="27"/>
      <c r="C12" s="28">
        <v>128</v>
      </c>
      <c r="D12" s="28">
        <v>139</v>
      </c>
      <c r="E12" s="28">
        <v>178</v>
      </c>
      <c r="F12" s="47">
        <v>186</v>
      </c>
      <c r="G12" s="43">
        <v>274</v>
      </c>
      <c r="H12" s="28">
        <v>284</v>
      </c>
      <c r="I12" s="28">
        <v>274</v>
      </c>
      <c r="J12" s="47">
        <v>368</v>
      </c>
      <c r="K12" s="49">
        <v>102</v>
      </c>
      <c r="L12" s="29">
        <v>99</v>
      </c>
      <c r="M12" s="29">
        <v>130</v>
      </c>
      <c r="N12" s="54">
        <v>154</v>
      </c>
      <c r="O12" s="51" t="s">
        <v>45</v>
      </c>
      <c r="P12" s="29">
        <v>68</v>
      </c>
      <c r="Q12" s="29">
        <v>233</v>
      </c>
      <c r="R12" s="47">
        <v>236</v>
      </c>
      <c r="S12" s="51" t="s">
        <v>45</v>
      </c>
      <c r="T12" s="29">
        <v>180</v>
      </c>
      <c r="U12" s="29">
        <v>382</v>
      </c>
      <c r="V12" s="81">
        <v>411</v>
      </c>
      <c r="W12" s="94" t="s">
        <v>45</v>
      </c>
      <c r="X12" s="29">
        <v>288</v>
      </c>
      <c r="Y12" s="54">
        <v>370</v>
      </c>
      <c r="Z12" s="49">
        <v>259</v>
      </c>
      <c r="AA12" s="81">
        <v>181</v>
      </c>
      <c r="AB12" s="106" t="s">
        <v>45</v>
      </c>
      <c r="AC12" s="29">
        <v>91</v>
      </c>
      <c r="AD12" s="30" t="s">
        <v>15</v>
      </c>
    </row>
    <row r="13" spans="1:44" ht="23.25" customHeight="1" x14ac:dyDescent="0.4">
      <c r="A13" s="27" t="s">
        <v>16</v>
      </c>
      <c r="B13" s="27"/>
      <c r="C13" s="28">
        <v>137</v>
      </c>
      <c r="D13" s="28">
        <v>136</v>
      </c>
      <c r="E13" s="28">
        <v>192</v>
      </c>
      <c r="F13" s="47">
        <v>180</v>
      </c>
      <c r="G13" s="43">
        <v>278</v>
      </c>
      <c r="H13" s="28">
        <v>318</v>
      </c>
      <c r="I13" s="28">
        <v>328</v>
      </c>
      <c r="J13" s="47">
        <v>346</v>
      </c>
      <c r="K13" s="49">
        <v>127</v>
      </c>
      <c r="L13" s="29">
        <v>102</v>
      </c>
      <c r="M13" s="29">
        <v>173</v>
      </c>
      <c r="N13" s="54">
        <v>169</v>
      </c>
      <c r="O13" s="51" t="s">
        <v>45</v>
      </c>
      <c r="P13" s="29">
        <v>58</v>
      </c>
      <c r="Q13" s="29">
        <v>225</v>
      </c>
      <c r="R13" s="47">
        <v>231</v>
      </c>
      <c r="S13" s="51" t="s">
        <v>45</v>
      </c>
      <c r="T13" s="29">
        <v>150</v>
      </c>
      <c r="U13" s="29">
        <v>354</v>
      </c>
      <c r="V13" s="81">
        <v>407</v>
      </c>
      <c r="W13" s="94" t="s">
        <v>45</v>
      </c>
      <c r="X13" s="29">
        <v>292</v>
      </c>
      <c r="Y13" s="54">
        <v>331</v>
      </c>
      <c r="Z13" s="49">
        <v>341</v>
      </c>
      <c r="AA13" s="81">
        <v>168</v>
      </c>
      <c r="AB13" s="106" t="s">
        <v>45</v>
      </c>
      <c r="AC13" s="29">
        <v>68</v>
      </c>
      <c r="AD13" s="30" t="s">
        <v>17</v>
      </c>
    </row>
    <row r="14" spans="1:44" ht="23.25" customHeight="1" x14ac:dyDescent="0.4">
      <c r="A14" s="27" t="s">
        <v>18</v>
      </c>
      <c r="B14" s="27"/>
      <c r="C14" s="28">
        <v>178</v>
      </c>
      <c r="D14" s="28">
        <v>154</v>
      </c>
      <c r="E14" s="28">
        <v>189</v>
      </c>
      <c r="F14" s="47">
        <v>178</v>
      </c>
      <c r="G14" s="43">
        <v>322</v>
      </c>
      <c r="H14" s="28">
        <v>372</v>
      </c>
      <c r="I14" s="28">
        <v>308</v>
      </c>
      <c r="J14" s="47">
        <v>362</v>
      </c>
      <c r="K14" s="49">
        <v>161</v>
      </c>
      <c r="L14" s="29">
        <v>146</v>
      </c>
      <c r="M14" s="29">
        <v>124</v>
      </c>
      <c r="N14" s="54">
        <v>161</v>
      </c>
      <c r="O14" s="51" t="s">
        <v>45</v>
      </c>
      <c r="P14" s="29">
        <v>60</v>
      </c>
      <c r="Q14" s="29">
        <v>228</v>
      </c>
      <c r="R14" s="47">
        <v>247</v>
      </c>
      <c r="S14" s="51" t="s">
        <v>45</v>
      </c>
      <c r="T14" s="29">
        <v>226</v>
      </c>
      <c r="U14" s="29">
        <v>337</v>
      </c>
      <c r="V14" s="81">
        <v>452</v>
      </c>
      <c r="W14" s="94" t="s">
        <v>45</v>
      </c>
      <c r="X14" s="29">
        <v>302</v>
      </c>
      <c r="Y14" s="54">
        <v>346</v>
      </c>
      <c r="Z14" s="49">
        <v>254</v>
      </c>
      <c r="AA14" s="81">
        <v>173</v>
      </c>
      <c r="AB14" s="106" t="s">
        <v>45</v>
      </c>
      <c r="AC14" s="29">
        <v>58</v>
      </c>
      <c r="AD14" s="30" t="s">
        <v>19</v>
      </c>
    </row>
    <row r="15" spans="1:44" ht="23.25" customHeight="1" x14ac:dyDescent="0.4">
      <c r="A15" s="27" t="s">
        <v>20</v>
      </c>
      <c r="B15" s="27"/>
      <c r="C15" s="28">
        <v>139</v>
      </c>
      <c r="D15" s="28">
        <v>153</v>
      </c>
      <c r="E15" s="28">
        <v>200</v>
      </c>
      <c r="F15" s="47">
        <v>189</v>
      </c>
      <c r="G15" s="43">
        <v>254</v>
      </c>
      <c r="H15" s="28">
        <v>362</v>
      </c>
      <c r="I15" s="28">
        <v>464</v>
      </c>
      <c r="J15" s="47">
        <v>392</v>
      </c>
      <c r="K15" s="49">
        <v>121</v>
      </c>
      <c r="L15" s="29">
        <v>145</v>
      </c>
      <c r="M15" s="29">
        <v>138</v>
      </c>
      <c r="N15" s="54">
        <v>159</v>
      </c>
      <c r="O15" s="51" t="s">
        <v>45</v>
      </c>
      <c r="P15" s="29">
        <v>66</v>
      </c>
      <c r="Q15" s="29">
        <v>226</v>
      </c>
      <c r="R15" s="47">
        <v>226</v>
      </c>
      <c r="S15" s="51" t="s">
        <v>45</v>
      </c>
      <c r="T15" s="29">
        <v>250</v>
      </c>
      <c r="U15" s="29">
        <v>402</v>
      </c>
      <c r="V15" s="81">
        <v>464</v>
      </c>
      <c r="W15" s="94" t="s">
        <v>45</v>
      </c>
      <c r="X15" s="29">
        <v>333</v>
      </c>
      <c r="Y15" s="54">
        <v>370</v>
      </c>
      <c r="Z15" s="49">
        <v>159</v>
      </c>
      <c r="AA15" s="81">
        <v>172</v>
      </c>
      <c r="AB15" s="106" t="s">
        <v>45</v>
      </c>
      <c r="AC15" s="29">
        <v>60</v>
      </c>
      <c r="AD15" s="30" t="s">
        <v>21</v>
      </c>
    </row>
    <row r="16" spans="1:44" ht="23.25" customHeight="1" x14ac:dyDescent="0.4">
      <c r="A16" s="27" t="s">
        <v>22</v>
      </c>
      <c r="B16" s="27"/>
      <c r="C16" s="28">
        <v>148</v>
      </c>
      <c r="D16" s="28">
        <v>155</v>
      </c>
      <c r="E16" s="28">
        <v>200</v>
      </c>
      <c r="F16" s="47">
        <v>185</v>
      </c>
      <c r="G16" s="43">
        <v>272</v>
      </c>
      <c r="H16" s="28">
        <v>286</v>
      </c>
      <c r="I16" s="28">
        <v>376</v>
      </c>
      <c r="J16" s="47">
        <v>346</v>
      </c>
      <c r="K16" s="49">
        <v>139</v>
      </c>
      <c r="L16" s="29">
        <v>100</v>
      </c>
      <c r="M16" s="29">
        <v>202</v>
      </c>
      <c r="N16" s="54">
        <v>139</v>
      </c>
      <c r="O16" s="51" t="s">
        <v>45</v>
      </c>
      <c r="P16" s="29">
        <v>54</v>
      </c>
      <c r="Q16" s="29">
        <v>199</v>
      </c>
      <c r="R16" s="47">
        <v>223</v>
      </c>
      <c r="S16" s="51" t="s">
        <v>45</v>
      </c>
      <c r="T16" s="29">
        <v>308</v>
      </c>
      <c r="U16" s="29">
        <v>387</v>
      </c>
      <c r="V16" s="81">
        <v>409</v>
      </c>
      <c r="W16" s="94" t="s">
        <v>45</v>
      </c>
      <c r="X16" s="29">
        <v>335</v>
      </c>
      <c r="Y16" s="54">
        <v>357</v>
      </c>
      <c r="Z16" s="49">
        <v>159</v>
      </c>
      <c r="AA16" s="81">
        <v>166</v>
      </c>
      <c r="AB16" s="106" t="s">
        <v>45</v>
      </c>
      <c r="AC16" s="29">
        <v>46</v>
      </c>
      <c r="AD16" s="30" t="s">
        <v>23</v>
      </c>
    </row>
    <row r="17" spans="1:44" ht="23.25" customHeight="1" x14ac:dyDescent="0.4">
      <c r="A17" s="27" t="s">
        <v>24</v>
      </c>
      <c r="B17" s="27"/>
      <c r="C17" s="28">
        <v>144</v>
      </c>
      <c r="D17" s="28">
        <v>157</v>
      </c>
      <c r="E17" s="28">
        <v>204</v>
      </c>
      <c r="F17" s="47">
        <v>180</v>
      </c>
      <c r="G17" s="43">
        <v>190</v>
      </c>
      <c r="H17" s="28">
        <v>272</v>
      </c>
      <c r="I17" s="28">
        <v>380</v>
      </c>
      <c r="J17" s="47">
        <v>366</v>
      </c>
      <c r="K17" s="49">
        <v>104</v>
      </c>
      <c r="L17" s="29">
        <v>122</v>
      </c>
      <c r="M17" s="29">
        <v>165</v>
      </c>
      <c r="N17" s="54">
        <v>177</v>
      </c>
      <c r="O17" s="49">
        <v>4</v>
      </c>
      <c r="P17" s="29">
        <v>52</v>
      </c>
      <c r="Q17" s="29">
        <v>210</v>
      </c>
      <c r="R17" s="47">
        <v>251</v>
      </c>
      <c r="S17" s="49">
        <v>186</v>
      </c>
      <c r="T17" s="29">
        <v>365</v>
      </c>
      <c r="U17" s="29">
        <v>439</v>
      </c>
      <c r="V17" s="81">
        <v>451</v>
      </c>
      <c r="W17" s="99">
        <v>30</v>
      </c>
      <c r="X17" s="29">
        <v>357</v>
      </c>
      <c r="Y17" s="54">
        <v>368</v>
      </c>
      <c r="Z17" s="49">
        <v>160</v>
      </c>
      <c r="AA17" s="81">
        <v>185</v>
      </c>
      <c r="AB17" s="106" t="s">
        <v>45</v>
      </c>
      <c r="AC17" s="29">
        <v>54</v>
      </c>
      <c r="AD17" s="30" t="s">
        <v>25</v>
      </c>
      <c r="AR17" s="19"/>
    </row>
    <row r="18" spans="1:44" ht="23.25" customHeight="1" x14ac:dyDescent="0.4">
      <c r="A18" s="27" t="s">
        <v>26</v>
      </c>
      <c r="B18" s="27"/>
      <c r="C18" s="28">
        <v>151</v>
      </c>
      <c r="D18" s="28">
        <v>170</v>
      </c>
      <c r="E18" s="28">
        <v>203</v>
      </c>
      <c r="F18" s="47">
        <v>147</v>
      </c>
      <c r="G18" s="43">
        <v>354</v>
      </c>
      <c r="H18" s="28">
        <v>282</v>
      </c>
      <c r="I18" s="28">
        <v>390</v>
      </c>
      <c r="J18" s="47">
        <v>374</v>
      </c>
      <c r="K18" s="49">
        <v>142</v>
      </c>
      <c r="L18" s="29">
        <v>129</v>
      </c>
      <c r="M18" s="29">
        <v>199</v>
      </c>
      <c r="N18" s="54">
        <v>160</v>
      </c>
      <c r="O18" s="49">
        <v>144</v>
      </c>
      <c r="P18" s="29">
        <v>84</v>
      </c>
      <c r="Q18" s="29">
        <v>253</v>
      </c>
      <c r="R18" s="47">
        <v>224</v>
      </c>
      <c r="S18" s="49">
        <v>275</v>
      </c>
      <c r="T18" s="29">
        <v>325</v>
      </c>
      <c r="U18" s="29">
        <v>415</v>
      </c>
      <c r="V18" s="81">
        <v>375</v>
      </c>
      <c r="W18" s="99">
        <v>49</v>
      </c>
      <c r="X18" s="29">
        <v>365</v>
      </c>
      <c r="Y18" s="54">
        <v>309</v>
      </c>
      <c r="Z18" s="49">
        <v>159</v>
      </c>
      <c r="AA18" s="81">
        <v>169</v>
      </c>
      <c r="AB18" s="106" t="s">
        <v>45</v>
      </c>
      <c r="AC18" s="29">
        <v>50</v>
      </c>
      <c r="AD18" s="30" t="s">
        <v>27</v>
      </c>
      <c r="AR18" s="19"/>
    </row>
    <row r="19" spans="1:44" ht="23.25" customHeight="1" x14ac:dyDescent="0.4">
      <c r="A19" s="36" t="s">
        <v>28</v>
      </c>
      <c r="B19" s="36"/>
      <c r="C19" s="37">
        <v>134</v>
      </c>
      <c r="D19" s="37">
        <v>174</v>
      </c>
      <c r="E19" s="37">
        <v>220</v>
      </c>
      <c r="F19" s="48">
        <v>162</v>
      </c>
      <c r="G19" s="44">
        <v>330</v>
      </c>
      <c r="H19" s="37">
        <v>368</v>
      </c>
      <c r="I19" s="37">
        <v>371</v>
      </c>
      <c r="J19" s="48">
        <v>398</v>
      </c>
      <c r="K19" s="50">
        <v>121</v>
      </c>
      <c r="L19" s="38">
        <v>105</v>
      </c>
      <c r="M19" s="38">
        <v>170</v>
      </c>
      <c r="N19" s="55">
        <v>162</v>
      </c>
      <c r="O19" s="50">
        <v>114</v>
      </c>
      <c r="P19" s="38">
        <v>82</v>
      </c>
      <c r="Q19" s="38">
        <v>222</v>
      </c>
      <c r="R19" s="48">
        <v>220</v>
      </c>
      <c r="S19" s="50">
        <v>308</v>
      </c>
      <c r="T19" s="38">
        <v>350</v>
      </c>
      <c r="U19" s="38">
        <v>405</v>
      </c>
      <c r="V19" s="98">
        <v>394</v>
      </c>
      <c r="W19" s="100">
        <v>94</v>
      </c>
      <c r="X19" s="38">
        <v>369</v>
      </c>
      <c r="Y19" s="55">
        <v>329</v>
      </c>
      <c r="Z19" s="50">
        <v>170</v>
      </c>
      <c r="AA19" s="98">
        <v>178</v>
      </c>
      <c r="AB19" s="107" t="s">
        <v>45</v>
      </c>
      <c r="AC19" s="38">
        <v>39</v>
      </c>
      <c r="AD19" s="39" t="s">
        <v>29</v>
      </c>
      <c r="AR19" s="19"/>
    </row>
    <row r="20" spans="1:44" ht="18.75" x14ac:dyDescent="0.25">
      <c r="A20" s="4" t="s">
        <v>2</v>
      </c>
      <c r="B20" s="4"/>
      <c r="C20" s="17"/>
      <c r="D20" s="17"/>
      <c r="E20" s="17"/>
      <c r="F20" s="17"/>
      <c r="AD20" s="1" t="s">
        <v>3</v>
      </c>
      <c r="AO20" s="19" t="s">
        <v>36</v>
      </c>
      <c r="AP20" s="8">
        <f>F7</f>
        <v>2220</v>
      </c>
      <c r="AQ20" s="9"/>
    </row>
    <row r="21" spans="1:44" x14ac:dyDescent="0.25">
      <c r="A21" s="4" t="s">
        <v>46</v>
      </c>
      <c r="B21" s="4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O21" s="19" t="s">
        <v>37</v>
      </c>
      <c r="AP21" s="8">
        <f>J7</f>
        <v>4410</v>
      </c>
      <c r="AQ21" s="9"/>
    </row>
    <row r="22" spans="1:44" x14ac:dyDescent="0.25">
      <c r="A22" s="4" t="s">
        <v>47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O22" s="2" t="s">
        <v>42</v>
      </c>
      <c r="AP22" s="8">
        <f>N7</f>
        <v>1977</v>
      </c>
      <c r="AQ22" s="9"/>
    </row>
    <row r="23" spans="1:44" x14ac:dyDescent="0.25">
      <c r="A23" s="4" t="s">
        <v>50</v>
      </c>
      <c r="AO23" s="6" t="s">
        <v>38</v>
      </c>
      <c r="AP23" s="2">
        <f>R7</f>
        <v>2773</v>
      </c>
    </row>
    <row r="24" spans="1:44" x14ac:dyDescent="0.25">
      <c r="A24" s="4" t="s">
        <v>56</v>
      </c>
      <c r="AO24" s="2" t="s">
        <v>39</v>
      </c>
      <c r="AP24" s="2">
        <f>V7</f>
        <v>4924</v>
      </c>
    </row>
    <row r="25" spans="1:44" x14ac:dyDescent="0.25">
      <c r="AO25" s="2" t="s">
        <v>40</v>
      </c>
      <c r="AP25" s="2">
        <f>Y7</f>
        <v>4248</v>
      </c>
    </row>
    <row r="26" spans="1:44" x14ac:dyDescent="0.25">
      <c r="AO26" s="2" t="s">
        <v>48</v>
      </c>
      <c r="AP26" s="2">
        <f>AA7</f>
        <v>2076</v>
      </c>
    </row>
    <row r="27" spans="1:44" ht="15" customHeight="1" x14ac:dyDescent="0.25">
      <c r="A27" s="4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O27" s="2" t="s">
        <v>57</v>
      </c>
      <c r="AP27" s="2">
        <f>AC7</f>
        <v>826</v>
      </c>
    </row>
    <row r="38" spans="3:16" x14ac:dyDescent="0.25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3:16" ht="18.75" x14ac:dyDescent="0.25">
      <c r="C39" s="58"/>
      <c r="D39" s="58"/>
      <c r="E39" s="58"/>
      <c r="F39" s="22"/>
      <c r="G39" s="58"/>
      <c r="H39" s="58"/>
      <c r="I39" s="58"/>
      <c r="J39" s="22"/>
      <c r="K39" s="58"/>
      <c r="L39" s="58"/>
      <c r="M39" s="58"/>
      <c r="N39" s="22"/>
      <c r="O39" s="58"/>
      <c r="P39" s="58"/>
    </row>
    <row r="40" spans="3:16" x14ac:dyDescent="0.25">
      <c r="C40" s="57"/>
      <c r="D40" s="57"/>
      <c r="E40" s="57"/>
      <c r="F40" s="20"/>
      <c r="G40" s="57"/>
      <c r="H40" s="57"/>
      <c r="I40" s="57"/>
      <c r="J40" s="20"/>
      <c r="K40" s="57"/>
      <c r="L40" s="57"/>
      <c r="M40" s="57"/>
      <c r="N40" s="20"/>
      <c r="O40" s="57"/>
      <c r="P40" s="57"/>
    </row>
    <row r="41" spans="3:16" ht="18.75" x14ac:dyDescent="0.25">
      <c r="C41" s="21"/>
      <c r="D41" s="21"/>
      <c r="E41" s="21"/>
      <c r="F41" s="21"/>
      <c r="G41" s="21"/>
      <c r="H41" s="21"/>
      <c r="I41" s="21"/>
      <c r="J41" s="21"/>
      <c r="K41" s="58"/>
      <c r="L41" s="58"/>
      <c r="M41" s="58"/>
      <c r="N41" s="25"/>
      <c r="O41" s="58"/>
      <c r="P41" s="58"/>
    </row>
    <row r="42" spans="3:16" x14ac:dyDescent="0.25">
      <c r="C42" s="13"/>
      <c r="D42" s="13"/>
      <c r="E42" s="13"/>
      <c r="F42" s="13"/>
      <c r="G42" s="13"/>
      <c r="H42" s="13"/>
      <c r="I42" s="13"/>
      <c r="J42" s="13"/>
      <c r="K42" s="57"/>
      <c r="L42" s="57"/>
      <c r="M42" s="57"/>
      <c r="N42" s="24"/>
      <c r="O42" s="57"/>
      <c r="P42" s="57"/>
    </row>
    <row r="43" spans="3:16" ht="18.75" x14ac:dyDescent="0.25">
      <c r="C43" s="15"/>
      <c r="D43" s="14"/>
      <c r="E43" s="14"/>
      <c r="F43" s="14"/>
      <c r="G43" s="15"/>
      <c r="H43" s="14"/>
      <c r="I43" s="14"/>
      <c r="J43" s="14"/>
      <c r="K43" s="57"/>
      <c r="L43" s="57"/>
      <c r="M43" s="57"/>
      <c r="N43" s="25"/>
      <c r="O43" s="58"/>
      <c r="P43" s="58"/>
    </row>
    <row r="44" spans="3:16" x14ac:dyDescent="0.25">
      <c r="C44" s="15"/>
      <c r="D44" s="14"/>
      <c r="E44" s="14"/>
      <c r="F44" s="14"/>
      <c r="G44" s="15"/>
      <c r="H44" s="14"/>
      <c r="I44" s="14"/>
      <c r="J44" s="14"/>
      <c r="K44" s="57"/>
      <c r="L44" s="57"/>
      <c r="M44" s="57"/>
      <c r="N44" s="24"/>
      <c r="O44" s="57"/>
      <c r="P44" s="57"/>
    </row>
    <row r="45" spans="3:16" ht="18.75" x14ac:dyDescent="0.25">
      <c r="C45" s="15"/>
      <c r="D45" s="14"/>
      <c r="E45" s="14"/>
      <c r="F45" s="14"/>
      <c r="G45" s="15"/>
      <c r="H45" s="14"/>
      <c r="I45" s="14"/>
      <c r="J45" s="14"/>
      <c r="K45" s="57"/>
      <c r="L45" s="57"/>
      <c r="M45" s="57"/>
      <c r="N45" s="25"/>
      <c r="O45" s="58"/>
      <c r="P45" s="58"/>
    </row>
    <row r="46" spans="3:16" x14ac:dyDescent="0.25">
      <c r="C46" s="15"/>
      <c r="D46" s="14"/>
      <c r="E46" s="14"/>
      <c r="F46" s="14"/>
      <c r="G46" s="15"/>
      <c r="H46" s="14"/>
      <c r="I46" s="14"/>
      <c r="J46" s="14"/>
      <c r="K46" s="57"/>
      <c r="L46" s="57"/>
      <c r="M46" s="57"/>
      <c r="N46" s="24"/>
      <c r="O46" s="57"/>
      <c r="P46" s="57"/>
    </row>
    <row r="47" spans="3:16" ht="18.75" x14ac:dyDescent="0.25">
      <c r="C47" s="15"/>
      <c r="D47" s="14"/>
      <c r="E47" s="14"/>
      <c r="F47" s="14"/>
      <c r="G47" s="15"/>
      <c r="H47" s="14"/>
      <c r="I47" s="14"/>
      <c r="J47" s="14"/>
      <c r="K47" s="57"/>
      <c r="L47" s="57"/>
      <c r="M47" s="57"/>
      <c r="N47" s="25"/>
      <c r="O47" s="58"/>
      <c r="P47" s="58"/>
    </row>
    <row r="48" spans="3:16" x14ac:dyDescent="0.25">
      <c r="C48" s="15"/>
      <c r="D48" s="14"/>
      <c r="E48" s="14"/>
      <c r="F48" s="14"/>
      <c r="G48" s="15"/>
      <c r="H48" s="14"/>
      <c r="I48" s="14"/>
      <c r="J48" s="14"/>
      <c r="K48" s="57"/>
      <c r="L48" s="57"/>
      <c r="M48" s="57"/>
      <c r="N48" s="24"/>
      <c r="O48" s="57"/>
      <c r="P48" s="57"/>
    </row>
    <row r="49" spans="3:16" ht="18.75" x14ac:dyDescent="0.25">
      <c r="C49" s="15"/>
      <c r="D49" s="14"/>
      <c r="E49" s="14"/>
      <c r="F49" s="14"/>
      <c r="G49" s="15"/>
      <c r="H49" s="14"/>
      <c r="I49" s="14"/>
      <c r="J49" s="14"/>
      <c r="K49" s="57"/>
      <c r="L49" s="57"/>
      <c r="M49" s="57"/>
      <c r="N49" s="25"/>
      <c r="O49" s="58"/>
      <c r="P49" s="58"/>
    </row>
    <row r="50" spans="3:16" x14ac:dyDescent="0.25">
      <c r="C50" s="15"/>
      <c r="D50" s="14"/>
      <c r="E50" s="14"/>
      <c r="F50" s="14"/>
      <c r="G50" s="15"/>
      <c r="H50" s="14"/>
      <c r="I50" s="14"/>
      <c r="J50" s="14"/>
      <c r="K50" s="57"/>
      <c r="L50" s="57"/>
      <c r="M50" s="57"/>
      <c r="N50" s="24"/>
      <c r="O50" s="57"/>
      <c r="P50" s="57"/>
    </row>
    <row r="51" spans="3:16" ht="18.75" x14ac:dyDescent="0.25">
      <c r="C51" s="15"/>
      <c r="D51" s="14"/>
      <c r="E51" s="14"/>
      <c r="F51" s="14"/>
      <c r="G51" s="15"/>
      <c r="H51" s="14"/>
      <c r="I51" s="14"/>
      <c r="J51" s="14"/>
      <c r="K51" s="58"/>
      <c r="L51" s="58"/>
      <c r="M51" s="58"/>
      <c r="N51" s="25"/>
      <c r="O51" s="58"/>
      <c r="P51" s="58"/>
    </row>
    <row r="52" spans="3:16" x14ac:dyDescent="0.25">
      <c r="C52" s="14"/>
      <c r="D52" s="14"/>
      <c r="E52" s="14"/>
      <c r="F52" s="14"/>
      <c r="G52" s="14"/>
      <c r="H52" s="14"/>
      <c r="I52" s="14"/>
      <c r="J52" s="14"/>
      <c r="K52" s="57"/>
      <c r="L52" s="57"/>
      <c r="M52" s="57"/>
      <c r="N52" s="24"/>
      <c r="O52" s="57"/>
      <c r="P52" s="57"/>
    </row>
    <row r="53" spans="3:16" ht="18.75" x14ac:dyDescent="0.25">
      <c r="C53" s="14"/>
      <c r="D53" s="14"/>
      <c r="E53" s="14"/>
      <c r="F53" s="14"/>
      <c r="G53" s="14"/>
      <c r="H53" s="14"/>
      <c r="I53" s="14"/>
      <c r="J53" s="14"/>
      <c r="K53" s="58"/>
      <c r="L53" s="58"/>
      <c r="M53" s="58"/>
      <c r="N53" s="25"/>
      <c r="O53" s="58"/>
      <c r="P53" s="58"/>
    </row>
    <row r="54" spans="3:16" x14ac:dyDescent="0.25">
      <c r="C54" s="14"/>
      <c r="D54" s="14"/>
      <c r="E54" s="14"/>
      <c r="F54" s="14"/>
      <c r="G54" s="14"/>
      <c r="H54" s="14"/>
      <c r="I54" s="14"/>
      <c r="J54" s="14"/>
      <c r="K54" s="57"/>
      <c r="L54" s="57"/>
      <c r="M54" s="57"/>
      <c r="N54" s="24"/>
      <c r="O54" s="57"/>
      <c r="P54" s="57"/>
    </row>
    <row r="55" spans="3:16" ht="18.75" x14ac:dyDescent="0.25">
      <c r="C55" s="7"/>
      <c r="D55" s="7"/>
      <c r="E55" s="7"/>
      <c r="F55" s="7"/>
      <c r="G55" s="7"/>
      <c r="H55" s="7"/>
      <c r="I55" s="7"/>
      <c r="J55" s="7"/>
      <c r="K55" s="58"/>
      <c r="L55" s="58"/>
      <c r="M55" s="58"/>
      <c r="N55" s="25"/>
      <c r="O55" s="58"/>
      <c r="P55" s="58"/>
    </row>
    <row r="56" spans="3:16" x14ac:dyDescent="0.25">
      <c r="C56" s="7"/>
      <c r="D56" s="7"/>
      <c r="E56" s="7"/>
      <c r="F56" s="7"/>
      <c r="G56" s="7"/>
      <c r="H56" s="7"/>
      <c r="I56" s="7"/>
      <c r="J56" s="7"/>
      <c r="K56" s="57"/>
      <c r="L56" s="57"/>
      <c r="M56" s="57"/>
      <c r="N56" s="24"/>
      <c r="O56" s="57"/>
      <c r="P56" s="57"/>
    </row>
  </sheetData>
  <mergeCells count="60">
    <mergeCell ref="C40:E40"/>
    <mergeCell ref="G40:I40"/>
    <mergeCell ref="K40:M40"/>
    <mergeCell ref="O40:P40"/>
    <mergeCell ref="C4:F4"/>
    <mergeCell ref="C5:F5"/>
    <mergeCell ref="G4:J4"/>
    <mergeCell ref="G5:J5"/>
    <mergeCell ref="K4:N4"/>
    <mergeCell ref="K5:N5"/>
    <mergeCell ref="O4:R4"/>
    <mergeCell ref="O5:R5"/>
    <mergeCell ref="C39:E39"/>
    <mergeCell ref="G39:I39"/>
    <mergeCell ref="K39:M39"/>
    <mergeCell ref="O39:P39"/>
    <mergeCell ref="A1:AD1"/>
    <mergeCell ref="A2:AD2"/>
    <mergeCell ref="AB4:AC4"/>
    <mergeCell ref="AD4:AD6"/>
    <mergeCell ref="AB5:AC5"/>
    <mergeCell ref="S4:V4"/>
    <mergeCell ref="S5:V5"/>
    <mergeCell ref="A4:A6"/>
    <mergeCell ref="Z4:AA4"/>
    <mergeCell ref="Z5:AA5"/>
    <mergeCell ref="W4:Y4"/>
    <mergeCell ref="W5:Y5"/>
    <mergeCell ref="K41:M41"/>
    <mergeCell ref="O41:P41"/>
    <mergeCell ref="K42:M42"/>
    <mergeCell ref="O42:P42"/>
    <mergeCell ref="K43:M43"/>
    <mergeCell ref="O43:P43"/>
    <mergeCell ref="K44:M44"/>
    <mergeCell ref="O44:P44"/>
    <mergeCell ref="K45:M45"/>
    <mergeCell ref="O45:P45"/>
    <mergeCell ref="K46:M46"/>
    <mergeCell ref="O46:P46"/>
    <mergeCell ref="K47:M47"/>
    <mergeCell ref="O47:P47"/>
    <mergeCell ref="K48:M48"/>
    <mergeCell ref="O48:P48"/>
    <mergeCell ref="K49:M49"/>
    <mergeCell ref="O49:P49"/>
    <mergeCell ref="K50:M50"/>
    <mergeCell ref="O50:P50"/>
    <mergeCell ref="K51:M51"/>
    <mergeCell ref="O51:P51"/>
    <mergeCell ref="K52:M52"/>
    <mergeCell ref="O52:P52"/>
    <mergeCell ref="K56:M56"/>
    <mergeCell ref="O56:P56"/>
    <mergeCell ref="K53:M53"/>
    <mergeCell ref="O53:P53"/>
    <mergeCell ref="K54:M54"/>
    <mergeCell ref="O54:P54"/>
    <mergeCell ref="K55:M55"/>
    <mergeCell ref="O55:P55"/>
  </mergeCells>
  <pageMargins left="0.25" right="0.16" top="0.75" bottom="0.75" header="0.3" footer="0.3"/>
  <pageSetup paperSize="9" scale="55" orientation="landscape" r:id="rId1"/>
  <colBreaks count="1" manualBreakCount="1">
    <brk id="3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11.16.</vt:lpstr>
      <vt:lpstr>'11.16.'!Print_Area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2016-03-17T07:52:29Z</cp:lastPrinted>
  <dcterms:created xsi:type="dcterms:W3CDTF">2014-05-22T03:57:11Z</dcterms:created>
  <dcterms:modified xsi:type="dcterms:W3CDTF">2016-03-17T07:52:34Z</dcterms:modified>
</cp:coreProperties>
</file>