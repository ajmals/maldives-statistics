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22 &amp; 11.23" sheetId="20" r:id="rId1"/>
  </sheets>
  <definedNames>
    <definedName name="_xlnm.Print_Area" localSheetId="0">'11.22 &amp; 11.23'!$A$1:$G$23</definedName>
  </definedNames>
  <calcPr calcId="144525"/>
</workbook>
</file>

<file path=xl/calcChain.xml><?xml version="1.0" encoding="utf-8"?>
<calcChain xmlns="http://schemas.openxmlformats.org/spreadsheetml/2006/main">
  <c r="B18" i="20" l="1"/>
  <c r="B17" i="20"/>
  <c r="B16" i="20"/>
  <c r="B15" i="20"/>
  <c r="B14" i="20"/>
  <c r="B13" i="20"/>
  <c r="B12" i="20"/>
  <c r="B11" i="20"/>
  <c r="B10" i="20"/>
  <c r="B9" i="20"/>
  <c r="B8" i="20"/>
  <c r="B7" i="20"/>
  <c r="E6" i="20"/>
  <c r="D6" i="20"/>
  <c r="C6" i="20"/>
  <c r="B6" i="20" l="1"/>
</calcChain>
</file>

<file path=xl/sharedStrings.xml><?xml version="1.0" encoding="utf-8"?>
<sst xmlns="http://schemas.openxmlformats.org/spreadsheetml/2006/main" count="40" uniqueCount="40">
  <si>
    <t>wlcmuj</t>
  </si>
  <si>
    <t>Total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</si>
  <si>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</si>
  <si>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</si>
  <si>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</si>
  <si>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</si>
  <si>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</si>
  <si>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</si>
  <si>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</si>
  <si>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</si>
  <si>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</si>
  <si>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</si>
  <si>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</si>
  <si>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</si>
  <si>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</si>
  <si>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</si>
  <si>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</si>
  <si>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</si>
  <si>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</si>
  <si>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</si>
  <si>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</si>
  <si>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</si>
  <si>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</si>
  <si>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</si>
  <si>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</si>
  <si>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</si>
  <si>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</si>
  <si>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</si>
  <si>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</si>
  <si>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</si>
  <si>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</si>
  <si>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Direct Transit</t>
  </si>
  <si>
    <t>(in Kg)</t>
  </si>
  <si>
    <t>Inward</t>
  </si>
  <si>
    <t>Outward</t>
  </si>
  <si>
    <t xml:space="preserve"> Total </t>
  </si>
  <si>
    <t>Note: Gan international flights do not have the permit to handle Cargo &amp; Mail</t>
  </si>
  <si>
    <t>ނޯޓް: ގަން އިންޓަރނޭޝަނަލް އެއަރޕޯޓަށް ބައިނަލް އަޤްވާވީ ޕްލައިޓްތަކުން މުދާ އަދި މެއިލް އެތެރެކުރުމުގެ ހުއްދަ ދެވިފައެއްނުވެއެވެ.</t>
  </si>
  <si>
    <t>ތާވަލު 11.22: މަސްމަހުގެ ގޮތުން ގަން އިންޓަރނޭޝަނަލް އެއަރޕޯޓުން އުފުލުނު މުދާ، 2014</t>
  </si>
  <si>
    <t>Table 11.22 :  CARGO HANDLED AT GAN INTERNATIONAL AIRPORT BY MONTH,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</si>
</sst>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9" formatCode="[$-409]mmmm\ d\,\ yyyy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9"/>
      <name val="Faruma"/>
    </font>
    <font>
      <sz val="10"/>
      <name val="Courier"/>
      <family val="3"/>
    </font>
    <font>
      <b/>
      <sz val="11"/>
      <name val="Faruma"/>
    </font>
    <font>
      <sz val="9"/>
      <name val="A_Randhoo"/>
    </font>
    <font>
      <i/>
      <sz val="10"/>
      <name val="Calibri"/>
      <family val="2"/>
      <scheme val="minor"/>
    </font>
    <font>
      <b/>
      <sz val="10"/>
      <name val="A_Randhoo"/>
    </font>
    <font>
      <sz val="10"/>
      <name val="MS Sans Serif"/>
      <family val="2"/>
    </font>
    <font>
      <sz val="10"/>
      <name val="A_Randhoo"/>
    </font>
    <font>
      <sz val="10"/>
      <name val="Garamond"/>
      <family val="1"/>
    </font>
    <font>
      <sz val="11"/>
      <color theme="1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1" fillId="0" borderId="0"/>
    <xf numFmtId="40" fontId="16" fillId="0" borderId="0" applyFont="0" applyFill="0" applyBorder="0" applyAlignment="0" applyProtection="0"/>
    <xf numFmtId="0" fontId="6" fillId="0" borderId="0"/>
    <xf numFmtId="0" fontId="18" fillId="0" borderId="0"/>
    <xf numFmtId="166" fontId="11" fillId="0" borderId="0"/>
    <xf numFmtId="166" fontId="11" fillId="0" borderId="0"/>
    <xf numFmtId="165" fontId="11" fillId="0" borderId="0" applyFont="0" applyFill="0" applyBorder="0" applyAlignment="0" applyProtection="0"/>
    <xf numFmtId="0" fontId="6" fillId="0" borderId="0"/>
    <xf numFmtId="0" fontId="19" fillId="0" borderId="0"/>
    <xf numFmtId="164" fontId="11" fillId="0" borderId="0"/>
    <xf numFmtId="169" fontId="11" fillId="0" borderId="0" applyFont="0" applyFill="0" applyBorder="0" applyAlignment="0" applyProtection="0"/>
  </cellStyleXfs>
  <cellXfs count="45">
    <xf numFmtId="0" fontId="0" fillId="0" borderId="0" xfId="0"/>
    <xf numFmtId="0" fontId="9" fillId="2" borderId="2" xfId="0" applyNumberFormat="1" applyFont="1" applyFill="1" applyBorder="1" applyAlignment="1">
      <alignment horizontal="right" vertical="center"/>
    </xf>
    <xf numFmtId="164" fontId="2" fillId="2" borderId="0" xfId="5" applyNumberFormat="1" applyFont="1" applyFill="1" applyBorder="1" applyAlignment="1" applyProtection="1">
      <alignment horizontal="left" vertical="center"/>
    </xf>
    <xf numFmtId="164" fontId="8" fillId="2" borderId="0" xfId="5" applyNumberFormat="1" applyFont="1" applyFill="1" applyAlignment="1" applyProtection="1">
      <alignment horizontal="left" vertical="center"/>
    </xf>
    <xf numFmtId="37" fontId="3" fillId="2" borderId="0" xfId="5" applyNumberFormat="1" applyFont="1" applyFill="1" applyAlignment="1" applyProtection="1">
      <alignment vertical="center"/>
    </xf>
    <xf numFmtId="0" fontId="13" fillId="2" borderId="0" xfId="7" applyFont="1" applyFill="1" applyAlignment="1">
      <alignment vertical="center"/>
    </xf>
    <xf numFmtId="164" fontId="4" fillId="2" borderId="0" xfId="0" applyNumberFormat="1" applyFont="1" applyFill="1"/>
    <xf numFmtId="164" fontId="4" fillId="2" borderId="0" xfId="0" applyNumberFormat="1" applyFont="1" applyFill="1" applyBorder="1"/>
    <xf numFmtId="0" fontId="15" fillId="2" borderId="0" xfId="8" applyFont="1" applyFill="1" applyBorder="1" applyAlignment="1">
      <alignment horizontal="right"/>
    </xf>
    <xf numFmtId="164" fontId="3" fillId="2" borderId="0" xfId="5" applyNumberFormat="1" applyFont="1" applyFill="1" applyBorder="1" applyAlignment="1" applyProtection="1">
      <alignment horizontal="left" vertical="center"/>
    </xf>
    <xf numFmtId="0" fontId="17" fillId="2" borderId="0" xfId="8" applyFont="1" applyFill="1" applyBorder="1" applyAlignment="1">
      <alignment horizontal="right"/>
    </xf>
    <xf numFmtId="164" fontId="3" fillId="2" borderId="5" xfId="5" applyNumberFormat="1" applyFont="1" applyFill="1" applyBorder="1" applyAlignment="1" applyProtection="1">
      <alignment horizontal="left" vertical="center"/>
    </xf>
    <xf numFmtId="0" fontId="17" fillId="2" borderId="5" xfId="8" applyFont="1" applyFill="1" applyBorder="1" applyAlignment="1">
      <alignment horizontal="right"/>
    </xf>
    <xf numFmtId="164" fontId="13" fillId="2" borderId="0" xfId="5" applyNumberFormat="1" applyFont="1" applyFill="1" applyBorder="1" applyAlignment="1"/>
    <xf numFmtId="164" fontId="8" fillId="2" borderId="0" xfId="5" applyNumberFormat="1" applyFont="1" applyFill="1" applyBorder="1" applyAlignment="1">
      <alignment vertical="center"/>
    </xf>
    <xf numFmtId="0" fontId="10" fillId="2" borderId="2" xfId="0" applyNumberFormat="1" applyFont="1" applyFill="1" applyBorder="1" applyAlignment="1">
      <alignment horizontal="right" vertical="center"/>
    </xf>
    <xf numFmtId="164" fontId="2" fillId="2" borderId="0" xfId="5" applyNumberFormat="1" applyFont="1" applyFill="1" applyBorder="1" applyAlignment="1" applyProtection="1">
      <alignment horizontal="right" vertical="center"/>
    </xf>
    <xf numFmtId="164" fontId="8" fillId="2" borderId="0" xfId="5" applyNumberFormat="1" applyFont="1" applyFill="1" applyAlignment="1">
      <alignment vertical="center"/>
    </xf>
    <xf numFmtId="164" fontId="3" fillId="2" borderId="0" xfId="5" applyNumberFormat="1" applyFont="1" applyFill="1" applyAlignment="1">
      <alignment vertical="center"/>
    </xf>
    <xf numFmtId="164" fontId="3" fillId="2" borderId="0" xfId="5" applyNumberFormat="1" applyFont="1" applyFill="1" applyBorder="1" applyAlignment="1">
      <alignment vertical="center"/>
    </xf>
    <xf numFmtId="164" fontId="7" fillId="2" borderId="0" xfId="5" applyNumberFormat="1" applyFont="1" applyFill="1" applyBorder="1" applyAlignment="1" applyProtection="1">
      <alignment vertical="center"/>
    </xf>
    <xf numFmtId="0" fontId="3" fillId="2" borderId="0" xfId="7" applyFont="1" applyFill="1" applyAlignment="1">
      <alignment vertical="center"/>
    </xf>
    <xf numFmtId="164" fontId="3" fillId="2" borderId="0" xfId="0" applyNumberFormat="1" applyFont="1" applyFill="1" applyAlignment="1">
      <alignment vertical="center"/>
    </xf>
    <xf numFmtId="164" fontId="10" fillId="2" borderId="0" xfId="0" applyNumberFormat="1" applyFont="1" applyFill="1" applyAlignment="1">
      <alignment vertical="center"/>
    </xf>
    <xf numFmtId="164" fontId="2" fillId="2" borderId="0" xfId="5" applyNumberFormat="1" applyFont="1" applyFill="1" applyBorder="1" applyAlignment="1" applyProtection="1">
      <alignment vertical="center"/>
    </xf>
    <xf numFmtId="164" fontId="14" fillId="2" borderId="0" xfId="5" applyNumberFormat="1" applyFont="1" applyFill="1" applyBorder="1" applyAlignment="1">
      <alignment vertical="center"/>
    </xf>
    <xf numFmtId="0" fontId="6" fillId="2" borderId="0" xfId="12" applyFont="1" applyFill="1" applyAlignment="1">
      <alignment vertical="center"/>
    </xf>
    <xf numFmtId="164" fontId="20" fillId="2" borderId="0" xfId="0" applyNumberFormat="1" applyFont="1" applyFill="1"/>
    <xf numFmtId="164" fontId="2" fillId="2" borderId="0" xfId="5" applyNumberFormat="1" applyFont="1" applyFill="1" applyBorder="1" applyAlignment="1" applyProtection="1">
      <alignment horizontal="right" vertical="center" wrapText="1"/>
    </xf>
    <xf numFmtId="38" fontId="2" fillId="2" borderId="1" xfId="6" applyNumberFormat="1" applyFont="1" applyFill="1" applyBorder="1" applyAlignment="1" applyProtection="1">
      <alignment horizontal="right" vertical="center" wrapText="1"/>
    </xf>
    <xf numFmtId="38" fontId="3" fillId="0" borderId="1" xfId="5" applyNumberFormat="1" applyFont="1" applyFill="1" applyBorder="1" applyAlignment="1" applyProtection="1">
      <alignment horizontal="right" vertical="center"/>
      <protection locked="0"/>
    </xf>
    <xf numFmtId="38" fontId="2" fillId="2" borderId="3" xfId="6" applyNumberFormat="1" applyFont="1" applyFill="1" applyBorder="1" applyAlignment="1" applyProtection="1">
      <alignment horizontal="right" vertical="center" wrapText="1"/>
    </xf>
    <xf numFmtId="38" fontId="3" fillId="0" borderId="3" xfId="5" applyNumberFormat="1" applyFont="1" applyFill="1" applyBorder="1" applyAlignment="1" applyProtection="1">
      <alignment horizontal="right" vertical="center"/>
    </xf>
    <xf numFmtId="38" fontId="2" fillId="2" borderId="6" xfId="6" applyNumberFormat="1" applyFont="1" applyFill="1" applyBorder="1" applyAlignment="1" applyProtection="1">
      <alignment horizontal="right" vertical="center" wrapText="1"/>
    </xf>
    <xf numFmtId="38" fontId="2" fillId="0" borderId="6" xfId="6" applyNumberFormat="1" applyFont="1" applyFill="1" applyBorder="1" applyAlignment="1" applyProtection="1">
      <alignment horizontal="right" vertical="center"/>
    </xf>
    <xf numFmtId="164" fontId="7" fillId="2" borderId="4" xfId="5" applyNumberFormat="1" applyFont="1" applyFill="1" applyBorder="1" applyAlignment="1" applyProtection="1">
      <alignment horizontal="left" vertical="center"/>
    </xf>
    <xf numFmtId="164" fontId="7" fillId="2" borderId="5" xfId="5" applyNumberFormat="1" applyFont="1" applyFill="1" applyBorder="1" applyAlignment="1" applyProtection="1">
      <alignment horizontal="left" vertical="center"/>
    </xf>
    <xf numFmtId="164" fontId="2" fillId="2" borderId="7" xfId="5" applyNumberFormat="1" applyFont="1" applyFill="1" applyBorder="1" applyAlignment="1" applyProtection="1">
      <alignment horizontal="center" vertical="center"/>
    </xf>
    <xf numFmtId="0" fontId="15" fillId="2" borderId="4" xfId="8" applyFont="1" applyFill="1" applyBorder="1" applyAlignment="1">
      <alignment horizontal="right" vertical="center"/>
    </xf>
    <xf numFmtId="0" fontId="15" fillId="2" borderId="5" xfId="8" applyFont="1" applyFill="1" applyBorder="1" applyAlignment="1">
      <alignment horizontal="right" vertical="center"/>
    </xf>
    <xf numFmtId="164" fontId="7" fillId="2" borderId="0" xfId="5" applyNumberFormat="1" applyFont="1" applyFill="1" applyBorder="1" applyAlignment="1" applyProtection="1">
      <alignment horizontal="center" vertical="center"/>
    </xf>
    <xf numFmtId="164" fontId="2" fillId="2" borderId="5" xfId="5" applyNumberFormat="1" applyFont="1" applyFill="1" applyBorder="1" applyAlignment="1" applyProtection="1">
      <alignment horizontal="center" vertical="center"/>
    </xf>
    <xf numFmtId="164" fontId="12" fillId="2" borderId="0" xfId="0" applyNumberFormat="1" applyFont="1" applyFill="1" applyAlignment="1">
      <alignment horizontal="center"/>
    </xf>
    <xf numFmtId="164" fontId="7" fillId="2" borderId="4" xfId="5" applyNumberFormat="1" applyFont="1" applyFill="1" applyBorder="1" applyAlignment="1" applyProtection="1">
      <alignment horizontal="right" vertical="center"/>
    </xf>
    <xf numFmtId="164" fontId="7" fillId="2" borderId="0" xfId="5" applyNumberFormat="1" applyFont="1" applyFill="1" applyBorder="1" applyAlignment="1" applyProtection="1">
      <alignment horizontal="right" vertical="center"/>
    </xf>
  </cellXfs>
  <cellStyles count="16">
    <cellStyle name="Comma 2" xfId="6"/>
    <cellStyle name="Comma 4" xfId="11"/>
    <cellStyle name="Comma 4 2" xfId="15"/>
    <cellStyle name="Hyperlink 2" xfId="1"/>
    <cellStyle name="Normal" xfId="0" builtinId="0"/>
    <cellStyle name="Normal 2" xfId="5"/>
    <cellStyle name="Normal 2 2" xfId="14"/>
    <cellStyle name="Normal 2 3" xfId="3"/>
    <cellStyle name="Normal 3" xfId="9"/>
    <cellStyle name="Normal 3 2" xfId="4"/>
    <cellStyle name="Normal 4" xfId="10"/>
    <cellStyle name="Normal 5" xfId="2"/>
    <cellStyle name="Normal 6" xfId="13"/>
    <cellStyle name="Normal_IX-6(Trans &amp; Comm)" xfId="7"/>
    <cellStyle name="Normal_IX-8 (Trans &amp; Comm)" xfId="12"/>
    <cellStyle name="Normal_X-5 (Electricity)" xfId="8"/>
  </cellStyles>
  <dxfs count="0"/>
  <tableStyles count="0" defaultTableStyle="TableStyleMedium9" defaultPivotStyle="PivotStyleLight16"/>
  <colors>
    <mruColors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zoomScaleNormal="100" zoomScaleSheetLayoutView="115" workbookViewId="0">
      <selection activeCell="E31" sqref="E31"/>
    </sheetView>
  </sheetViews>
  <sheetFormatPr defaultColWidth="9.140625" defaultRowHeight="15" x14ac:dyDescent="0.25"/>
  <cols>
    <col min="1" max="1" width="12.140625" style="6" customWidth="1"/>
    <col min="2" max="7" width="14.5703125" style="6" customWidth="1"/>
    <col min="8" max="8" width="9.140625" style="6"/>
    <col min="9" max="9" width="8.85546875" style="6" customWidth="1"/>
    <col min="10" max="16384" width="9.140625" style="6"/>
  </cols>
  <sheetData>
    <row r="1" spans="1:10" ht="21" x14ac:dyDescent="0.55000000000000004">
      <c r="A1" s="42" t="s">
        <v>38</v>
      </c>
      <c r="B1" s="42"/>
      <c r="C1" s="42"/>
      <c r="D1" s="42"/>
      <c r="E1" s="42"/>
      <c r="F1" s="42"/>
    </row>
    <row r="2" spans="1:10" x14ac:dyDescent="0.25">
      <c r="A2" s="40" t="s">
        <v>39</v>
      </c>
      <c r="B2" s="40"/>
      <c r="C2" s="40"/>
      <c r="D2" s="40"/>
      <c r="E2" s="40"/>
      <c r="F2" s="40"/>
      <c r="G2" s="20"/>
      <c r="H2" s="20"/>
      <c r="I2" s="20"/>
      <c r="J2" s="7"/>
    </row>
    <row r="3" spans="1:10" x14ac:dyDescent="0.25">
      <c r="A3" s="41" t="s">
        <v>32</v>
      </c>
      <c r="B3" s="41"/>
      <c r="C3" s="41"/>
      <c r="D3" s="41"/>
      <c r="E3" s="41"/>
      <c r="F3" s="41"/>
      <c r="G3" s="20"/>
      <c r="H3" s="20"/>
      <c r="I3" s="20"/>
      <c r="J3" s="7"/>
    </row>
    <row r="4" spans="1:10" ht="14.45" customHeight="1" x14ac:dyDescent="0.25">
      <c r="A4" s="35" t="s">
        <v>4</v>
      </c>
      <c r="B4" s="43" t="s">
        <v>35</v>
      </c>
      <c r="C4" s="37" t="s">
        <v>5</v>
      </c>
      <c r="D4" s="37"/>
      <c r="E4" s="37"/>
      <c r="F4" s="38" t="s">
        <v>6</v>
      </c>
      <c r="G4" s="20"/>
      <c r="H4" s="20"/>
      <c r="I4" s="20"/>
      <c r="J4" s="7"/>
    </row>
    <row r="5" spans="1:10" ht="14.45" customHeight="1" x14ac:dyDescent="0.25">
      <c r="A5" s="36"/>
      <c r="B5" s="44"/>
      <c r="C5" s="16" t="s">
        <v>33</v>
      </c>
      <c r="D5" s="16" t="s">
        <v>34</v>
      </c>
      <c r="E5" s="28" t="s">
        <v>31</v>
      </c>
      <c r="F5" s="39"/>
      <c r="G5" s="20"/>
      <c r="H5" s="20"/>
      <c r="I5" s="20"/>
      <c r="J5" s="7"/>
    </row>
    <row r="6" spans="1:10" ht="17.25" x14ac:dyDescent="0.4">
      <c r="A6" s="2" t="s">
        <v>1</v>
      </c>
      <c r="B6" s="33">
        <f>SUM(C6:E6)</f>
        <v>332216.89999999997</v>
      </c>
      <c r="C6" s="34">
        <f>SUM(C7:C18)</f>
        <v>299272.8</v>
      </c>
      <c r="D6" s="34">
        <f>SUM(D7:D18)</f>
        <v>24162.1</v>
      </c>
      <c r="E6" s="34">
        <f>SUM(E7:E18)</f>
        <v>8782</v>
      </c>
      <c r="F6" s="8" t="s">
        <v>0</v>
      </c>
      <c r="G6" s="20"/>
      <c r="H6" s="27"/>
      <c r="I6" s="20"/>
      <c r="J6" s="7"/>
    </row>
    <row r="7" spans="1:10" ht="17.25" x14ac:dyDescent="0.4">
      <c r="A7" s="9" t="s">
        <v>7</v>
      </c>
      <c r="B7" s="29">
        <f t="shared" ref="B7:B18" si="0">SUM(C7:E7)</f>
        <v>39784</v>
      </c>
      <c r="C7" s="30">
        <v>38174</v>
      </c>
      <c r="D7" s="30">
        <v>1395</v>
      </c>
      <c r="E7" s="30">
        <v>215</v>
      </c>
      <c r="F7" s="10" t="s">
        <v>8</v>
      </c>
      <c r="G7" s="20"/>
      <c r="H7" s="20"/>
      <c r="I7" s="20"/>
      <c r="J7" s="7"/>
    </row>
    <row r="8" spans="1:10" ht="17.25" x14ac:dyDescent="0.4">
      <c r="A8" s="9" t="s">
        <v>9</v>
      </c>
      <c r="B8" s="29">
        <f t="shared" si="0"/>
        <v>30096</v>
      </c>
      <c r="C8" s="30">
        <v>29015</v>
      </c>
      <c r="D8" s="30">
        <v>651</v>
      </c>
      <c r="E8" s="30">
        <v>430</v>
      </c>
      <c r="F8" s="10" t="s">
        <v>10</v>
      </c>
      <c r="G8" s="20"/>
      <c r="H8" s="20"/>
      <c r="I8" s="20"/>
      <c r="J8" s="7"/>
    </row>
    <row r="9" spans="1:10" ht="17.25" x14ac:dyDescent="0.4">
      <c r="A9" s="9" t="s">
        <v>11</v>
      </c>
      <c r="B9" s="29">
        <f t="shared" si="0"/>
        <v>42698</v>
      </c>
      <c r="C9" s="30">
        <v>37464</v>
      </c>
      <c r="D9" s="30">
        <v>4666</v>
      </c>
      <c r="E9" s="30">
        <v>568</v>
      </c>
      <c r="F9" s="10" t="s">
        <v>12</v>
      </c>
      <c r="G9" s="20"/>
      <c r="H9" s="20"/>
      <c r="I9" s="20"/>
      <c r="J9" s="7"/>
    </row>
    <row r="10" spans="1:10" ht="17.25" x14ac:dyDescent="0.4">
      <c r="A10" s="9" t="s">
        <v>13</v>
      </c>
      <c r="B10" s="29">
        <f t="shared" si="0"/>
        <v>27393.5</v>
      </c>
      <c r="C10" s="30">
        <v>25260</v>
      </c>
      <c r="D10" s="30">
        <v>1851.5</v>
      </c>
      <c r="E10" s="30">
        <v>282</v>
      </c>
      <c r="F10" s="10" t="s">
        <v>14</v>
      </c>
      <c r="G10" s="20"/>
      <c r="H10" s="20"/>
      <c r="I10" s="20"/>
      <c r="J10" s="7"/>
    </row>
    <row r="11" spans="1:10" ht="17.25" x14ac:dyDescent="0.4">
      <c r="A11" s="9" t="s">
        <v>15</v>
      </c>
      <c r="B11" s="29">
        <f t="shared" si="0"/>
        <v>25644.3</v>
      </c>
      <c r="C11" s="30">
        <v>23078.3</v>
      </c>
      <c r="D11" s="30">
        <v>1446</v>
      </c>
      <c r="E11" s="30">
        <v>1120</v>
      </c>
      <c r="F11" s="10" t="s">
        <v>16</v>
      </c>
      <c r="G11" s="20"/>
      <c r="H11" s="20"/>
      <c r="I11" s="20"/>
      <c r="J11" s="7"/>
    </row>
    <row r="12" spans="1:10" ht="17.25" x14ac:dyDescent="0.4">
      <c r="A12" s="9" t="s">
        <v>17</v>
      </c>
      <c r="B12" s="29">
        <f t="shared" si="0"/>
        <v>22952</v>
      </c>
      <c r="C12" s="30">
        <v>18192</v>
      </c>
      <c r="D12" s="30">
        <v>3498</v>
      </c>
      <c r="E12" s="30">
        <v>1262</v>
      </c>
      <c r="F12" s="10" t="s">
        <v>18</v>
      </c>
      <c r="G12" s="20"/>
      <c r="H12" s="20"/>
      <c r="I12" s="20"/>
      <c r="J12" s="7"/>
    </row>
    <row r="13" spans="1:10" ht="17.25" x14ac:dyDescent="0.4">
      <c r="A13" s="9" t="s">
        <v>19</v>
      </c>
      <c r="B13" s="29">
        <f t="shared" si="0"/>
        <v>28619.5</v>
      </c>
      <c r="C13" s="30">
        <v>26181</v>
      </c>
      <c r="D13" s="30">
        <v>928.5</v>
      </c>
      <c r="E13" s="30">
        <v>1510</v>
      </c>
      <c r="F13" s="10" t="s">
        <v>20</v>
      </c>
      <c r="G13" s="20"/>
      <c r="H13" s="20"/>
      <c r="I13" s="20"/>
      <c r="J13" s="7"/>
    </row>
    <row r="14" spans="1:10" ht="17.25" x14ac:dyDescent="0.4">
      <c r="A14" s="9" t="s">
        <v>21</v>
      </c>
      <c r="B14" s="29">
        <f t="shared" si="0"/>
        <v>23792.6</v>
      </c>
      <c r="C14" s="30">
        <v>21823.5</v>
      </c>
      <c r="D14" s="30">
        <v>998.1</v>
      </c>
      <c r="E14" s="30">
        <v>971</v>
      </c>
      <c r="F14" s="10" t="s">
        <v>22</v>
      </c>
      <c r="G14" s="20"/>
      <c r="H14" s="20"/>
      <c r="I14" s="20"/>
      <c r="J14" s="7"/>
    </row>
    <row r="15" spans="1:10" ht="17.25" x14ac:dyDescent="0.4">
      <c r="A15" s="9" t="s">
        <v>23</v>
      </c>
      <c r="B15" s="29">
        <f t="shared" si="0"/>
        <v>23930</v>
      </c>
      <c r="C15" s="30">
        <v>21513</v>
      </c>
      <c r="D15" s="30">
        <v>1083</v>
      </c>
      <c r="E15" s="30">
        <v>1334</v>
      </c>
      <c r="F15" s="10" t="s">
        <v>24</v>
      </c>
      <c r="I15" s="20"/>
      <c r="J15" s="7"/>
    </row>
    <row r="16" spans="1:10" ht="17.25" x14ac:dyDescent="0.4">
      <c r="A16" s="9" t="s">
        <v>25</v>
      </c>
      <c r="B16" s="29">
        <f t="shared" si="0"/>
        <v>21773</v>
      </c>
      <c r="C16" s="30">
        <v>17936</v>
      </c>
      <c r="D16" s="30">
        <v>3265</v>
      </c>
      <c r="E16" s="30">
        <v>572</v>
      </c>
      <c r="F16" s="10" t="s">
        <v>26</v>
      </c>
      <c r="I16" s="20"/>
      <c r="J16" s="7"/>
    </row>
    <row r="17" spans="1:13" ht="17.25" x14ac:dyDescent="0.4">
      <c r="A17" s="9" t="s">
        <v>27</v>
      </c>
      <c r="B17" s="29">
        <f t="shared" si="0"/>
        <v>22940</v>
      </c>
      <c r="C17" s="30">
        <v>20691</v>
      </c>
      <c r="D17" s="30">
        <v>1902</v>
      </c>
      <c r="E17" s="30">
        <v>347</v>
      </c>
      <c r="F17" s="10" t="s">
        <v>28</v>
      </c>
      <c r="I17" s="20"/>
      <c r="J17" s="7"/>
    </row>
    <row r="18" spans="1:13" ht="17.25" x14ac:dyDescent="0.4">
      <c r="A18" s="11" t="s">
        <v>29</v>
      </c>
      <c r="B18" s="31">
        <f t="shared" si="0"/>
        <v>22594</v>
      </c>
      <c r="C18" s="32">
        <v>19945</v>
      </c>
      <c r="D18" s="32">
        <v>2478</v>
      </c>
      <c r="E18" s="32">
        <v>171</v>
      </c>
      <c r="F18" s="12" t="s">
        <v>30</v>
      </c>
      <c r="I18" s="20"/>
      <c r="J18" s="7"/>
    </row>
    <row r="19" spans="1:13" ht="12.75" customHeight="1" x14ac:dyDescent="0.4">
      <c r="A19" s="14" t="s">
        <v>36</v>
      </c>
      <c r="B19" s="3"/>
      <c r="C19" s="4"/>
      <c r="D19" s="4"/>
      <c r="E19" s="4"/>
      <c r="G19" s="4"/>
      <c r="H19" s="21"/>
      <c r="I19" s="20"/>
      <c r="J19" s="5"/>
      <c r="L19" s="13"/>
      <c r="M19" s="5"/>
    </row>
    <row r="20" spans="1:13" ht="12.75" customHeight="1" x14ac:dyDescent="0.25">
      <c r="A20" s="3" t="s">
        <v>2</v>
      </c>
      <c r="B20" s="17"/>
      <c r="C20" s="17"/>
      <c r="D20" s="18"/>
      <c r="E20" s="19"/>
      <c r="G20" s="18"/>
      <c r="H20" s="1"/>
      <c r="I20" s="20"/>
      <c r="J20" s="7"/>
    </row>
    <row r="21" spans="1:13" s="22" customFormat="1" ht="15" customHeight="1" x14ac:dyDescent="0.25">
      <c r="F21" s="23" t="s">
        <v>37</v>
      </c>
      <c r="I21" s="24"/>
    </row>
    <row r="22" spans="1:13" s="22" customFormat="1" ht="17.25" x14ac:dyDescent="0.25">
      <c r="F22" s="15" t="s">
        <v>3</v>
      </c>
    </row>
    <row r="24" spans="1:13" x14ac:dyDescent="0.25">
      <c r="A24" s="25"/>
      <c r="B24" s="26"/>
      <c r="C24" s="26"/>
      <c r="D24" s="26"/>
      <c r="E24" s="26"/>
      <c r="F24" s="26"/>
    </row>
    <row r="25" spans="1:13" ht="17.25" x14ac:dyDescent="0.25">
      <c r="A25" s="26"/>
      <c r="B25" s="26"/>
      <c r="C25" s="26"/>
      <c r="D25" s="26"/>
      <c r="E25" s="26"/>
      <c r="F25" s="26"/>
      <c r="G25" s="23"/>
    </row>
  </sheetData>
  <mergeCells count="7">
    <mergeCell ref="A1:F1"/>
    <mergeCell ref="A2:F2"/>
    <mergeCell ref="A3:F3"/>
    <mergeCell ref="A4:A5"/>
    <mergeCell ref="B4:B5"/>
    <mergeCell ref="C4:E4"/>
    <mergeCell ref="F4:F5"/>
  </mergeCells>
  <pageMargins left="0.33" right="0.31" top="0.75" bottom="0.75" header="0.3" footer="0.3"/>
  <pageSetup paperSize="9" scale="95" orientation="portrait" r:id="rId1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11.22 &amp; 11.23</vt:lpstr>
      <vt:lpstr>'11.22 &amp; 11.23'!Print_Area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2016-03-17T08:00:22Z</cp:lastPrinted>
  <dcterms:created xsi:type="dcterms:W3CDTF">2014-05-22T03:57:11Z</dcterms:created>
  <dcterms:modified xsi:type="dcterms:W3CDTF">2016-03-17T08:00:23Z</dcterms:modified>
</cp:coreProperties>
</file>