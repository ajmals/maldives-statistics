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0" sheetId="10" r:id="rId1"/>
  </sheets>
  <definedNames>
    <definedName name="_xlnm.Print_Area" localSheetId="0">'11.10'!$A$1:$M$57</definedName>
  </definedNames>
  <calcPr calcId="144525"/>
</workbook>
</file>

<file path=xl/calcChain.xml><?xml version="1.0" encoding="utf-8"?>
<calcChain xmlns="http://schemas.openxmlformats.org/spreadsheetml/2006/main">
  <c r="L48" i="10" l="1"/>
  <c r="K48" i="10"/>
  <c r="J48" i="10"/>
  <c r="I48" i="10"/>
  <c r="H48" i="10"/>
  <c r="G48" i="10"/>
  <c r="E48" i="10"/>
  <c r="D48" i="10"/>
  <c r="C48" i="10"/>
  <c r="B48" i="10"/>
  <c r="L44" i="10"/>
  <c r="K44" i="10"/>
  <c r="J44" i="10"/>
  <c r="I44" i="10"/>
  <c r="H44" i="10"/>
  <c r="G44" i="10"/>
  <c r="E44" i="10"/>
  <c r="D44" i="10"/>
  <c r="C44" i="10"/>
  <c r="B44" i="10"/>
  <c r="L8" i="10"/>
  <c r="K8" i="10"/>
  <c r="I8" i="10"/>
  <c r="H8" i="10"/>
  <c r="G8" i="10"/>
  <c r="G7" i="10" s="1"/>
  <c r="E8" i="10"/>
  <c r="E7" i="10" s="1"/>
  <c r="D8" i="10"/>
  <c r="D7" i="10" s="1"/>
  <c r="D6" i="10" s="1"/>
  <c r="C8" i="10"/>
  <c r="B8" i="10"/>
  <c r="H7" i="10"/>
  <c r="H6" i="10" s="1"/>
  <c r="E6" i="10" l="1"/>
  <c r="G6" i="10"/>
  <c r="I7" i="10"/>
  <c r="I6" i="10" s="1"/>
  <c r="C7" i="10"/>
  <c r="C6" i="10" s="1"/>
  <c r="K7" i="10"/>
  <c r="K6" i="10" s="1"/>
  <c r="B7" i="10"/>
  <c r="B6" i="10" s="1"/>
  <c r="L7" i="10"/>
  <c r="L6" i="10" s="1"/>
</calcChain>
</file>

<file path=xl/sharedStrings.xml><?xml version="1.0" encoding="utf-8"?>
<sst xmlns="http://schemas.openxmlformats.org/spreadsheetml/2006/main" count="146" uniqueCount="112">
  <si>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</si>
  <si>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</si>
  <si>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</si>
  <si>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</si>
  <si>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</si>
  <si>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</si>
  <si>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</si>
  <si>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</si>
  <si>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</si>
  <si>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</si>
  <si>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</si>
  <si>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</si>
  <si>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</si>
  <si>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</si>
  <si>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</si>
  <si>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</si>
  <si>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</si>
  <si>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</si>
  <si>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</si>
  <si>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</si>
  <si>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</si>
  <si>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</si>
  <si>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</si>
  <si>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</si>
  <si>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</si>
  <si>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</si>
  <si>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</si>
  <si>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</si>
  <si>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</si>
  <si>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</si>
  <si>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</si>
  <si>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</si>
  <si>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</si>
  <si>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</si>
  <si>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China Eastern</t>
  </si>
  <si>
    <t xml:space="preserve"> cnrwTcsIa WniawC</t>
  </si>
  <si>
    <t>Condor</t>
  </si>
  <si>
    <t>ODcnok</t>
  </si>
  <si>
    <t>British Airways</t>
  </si>
  <si>
    <t>czEvrwaea cxiTircb</t>
  </si>
  <si>
    <t>Oman Air</t>
  </si>
  <si>
    <t>rwaea cnWmOa</t>
  </si>
  <si>
    <t>Fly Dubai</t>
  </si>
  <si>
    <t>ފްލަދުބައި</t>
  </si>
  <si>
    <t>Aeroflot</t>
  </si>
  <si>
    <t>cTolcfOriaea</t>
  </si>
  <si>
    <t>Mega Maldives</t>
  </si>
  <si>
    <t xml:space="preserve"> cscviDclOm Wgem</t>
  </si>
  <si>
    <t>Austrian Airlines</t>
  </si>
  <si>
    <t>cscniawlrwaea cnwaircTcsoa</t>
  </si>
  <si>
    <t>Malaysia Airlines</t>
  </si>
  <si>
    <t>cscniawlrwaea cnwaixElem</t>
  </si>
  <si>
    <t>Spice jet</t>
  </si>
  <si>
    <t>ސްޕައިސްޖެޓް</t>
  </si>
  <si>
    <t>Meridiana Fly</t>
  </si>
  <si>
    <t xml:space="preserve"> iawlcf WnWaiDirem</t>
  </si>
  <si>
    <t>Bangkok Airways</t>
  </si>
  <si>
    <t>czEvrwaea ckokcneb</t>
  </si>
  <si>
    <t>Turkish Airlines</t>
  </si>
  <si>
    <t>ޓޭރކިޝް އެއަރލައިންސް</t>
  </si>
  <si>
    <t xml:space="preserve">Maldivian </t>
  </si>
  <si>
    <t>cnwaiviDclOm</t>
  </si>
  <si>
    <t>Cathay Pacific</t>
  </si>
  <si>
    <t>ކެތީ ޕެސަފިކް</t>
  </si>
  <si>
    <t>Hainan Airlines</t>
  </si>
  <si>
    <t>ހައިނާން އެއަރލައިންސް</t>
  </si>
  <si>
    <t>Air Asia</t>
  </si>
  <si>
    <t>އެއަރ އޭޝިޔާ</t>
  </si>
  <si>
    <t>China Southern Airlines</t>
  </si>
  <si>
    <t>cscniawlrwaea cnwdws WniawC</t>
  </si>
  <si>
    <t>Transaero Airlines</t>
  </si>
  <si>
    <t>cscniawlrwaea OriaeacscnWrcT</t>
  </si>
  <si>
    <t>Etihad Airways</t>
  </si>
  <si>
    <t>އެއްތިހާދު އެއަރވޭޒް</t>
  </si>
  <si>
    <t>Edelweiss</t>
  </si>
  <si>
    <t>cziawvcleDea</t>
  </si>
  <si>
    <t>Korean Air</t>
  </si>
  <si>
    <t>ކޮރިއަން އެއަރ</t>
  </si>
  <si>
    <t xml:space="preserve">Neos </t>
  </si>
  <si>
    <t>csoain</t>
  </si>
  <si>
    <t>Table 11.10 (continued)</t>
  </si>
  <si>
    <t>(ELug Wairuk) 11.1 clwvWt</t>
  </si>
  <si>
    <t>International Charter</t>
  </si>
  <si>
    <t xml:space="preserve"> cawtuTiawlcf rWTrWC ImWvcqwlwniawb</t>
  </si>
  <si>
    <t>ސިޗުއަން އެއަރލައިންސް</t>
  </si>
  <si>
    <t>Thomson fly</t>
  </si>
  <si>
    <t>iawlcf cnwscmot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</si>
  <si>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</si>
  <si>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</si>
  <si>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</si>
  <si>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</si>
  <si>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</si>
  <si>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cnwxEaivEacDcneliawa</t>
  </si>
  <si>
    <t>Flyme</t>
  </si>
  <si>
    <t>ފްލައިމީ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</si>
  <si>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</si>
  <si>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</si>
  <si>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</si>
  <si>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</si>
  <si>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</si>
  <si>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</si>
  <si>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Hong Kong  Airlines</t>
  </si>
  <si>
    <t>ހޮންގް ކޮންގް އެއަރލައިންސް</t>
  </si>
  <si>
    <t>Fits Aviation (Cargo)</t>
  </si>
  <si>
    <t>(OgWk) cnwxEaivEaފިޓްސް</t>
  </si>
  <si>
    <t xml:space="preserve">Trans Maldivian Airways </t>
  </si>
  <si>
    <t xml:space="preserve">   csEvrwaea cnwaiviDclOm  cscnWrcT</t>
  </si>
  <si>
    <t>Sichuan Airlines</t>
  </si>
  <si>
    <t>2014 ,cliaem iaWlwdum unulufua iaWncnurwjcniswf irukurutwfurutwd cnurwhwfuTOb egukwtcniawlrwaea ikeaikea cSwrwdnwbegiawv ImWvcqwaclwniawb  : 11.10 ulwvWt</t>
  </si>
  <si>
    <t>Table 11.10 :  AIR TRANSPORT MOVEMENTS AT IBRAHIM NASIR INTERNATIONAL AIRPORT BY AIRLINE, CROSS-CLASSIFIED BY PASSENGER, CARGO AND MAIL, 2014</t>
  </si>
  <si>
    <t>Tiger Airways</t>
  </si>
  <si>
    <t>ޓައިގާ އެއރްވޭސް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</si>
</sst>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A_Reethi"/>
    </font>
    <font>
      <sz val="10"/>
      <name val="Aammu HimaThedhu"/>
    </font>
    <font>
      <sz val="9"/>
      <name val="Aammu HimaThedhu"/>
    </font>
    <font>
      <sz val="9"/>
      <name val="Courier"/>
      <family val="3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1" fillId="0" borderId="0"/>
    <xf numFmtId="0" fontId="5" fillId="0" borderId="0"/>
    <xf numFmtId="40" fontId="19" fillId="0" borderId="0" applyFont="0" applyFill="0" applyBorder="0" applyAlignment="0" applyProtection="0"/>
    <xf numFmtId="0" fontId="5" fillId="0" borderId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26" fillId="0" borderId="0"/>
    <xf numFmtId="164" fontId="11" fillId="0" borderId="0"/>
    <xf numFmtId="169" fontId="11" fillId="0" borderId="0" applyFont="0" applyFill="0" applyBorder="0" applyAlignment="0" applyProtection="0"/>
  </cellStyleXfs>
  <cellXfs count="104">
    <xf numFmtId="0" fontId="0" fillId="0" borderId="0" xfId="0"/>
    <xf numFmtId="0" fontId="10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16" fillId="2" borderId="0" xfId="5" applyNumberFormat="1" applyFont="1" applyFill="1" applyBorder="1" applyAlignment="1" applyProtection="1">
      <alignment horizontal="left" vertical="center"/>
    </xf>
    <xf numFmtId="0" fontId="6" fillId="2" borderId="0" xfId="6" applyFont="1" applyFill="1" applyAlignment="1">
      <alignment vertical="center"/>
    </xf>
    <xf numFmtId="164" fontId="2" fillId="2" borderId="5" xfId="5" applyNumberFormat="1" applyFont="1" applyFill="1" applyBorder="1" applyAlignment="1" applyProtection="1">
      <alignment horizontal="left" vertical="center"/>
    </xf>
    <xf numFmtId="164" fontId="17" fillId="2" borderId="5" xfId="5" applyNumberFormat="1" applyFont="1" applyFill="1" applyBorder="1" applyAlignment="1">
      <alignment horizontal="right" vertical="center"/>
    </xf>
    <xf numFmtId="164" fontId="12" fillId="2" borderId="0" xfId="5" applyNumberFormat="1" applyFont="1" applyFill="1" applyBorder="1" applyAlignment="1">
      <alignment horizontal="right" vertical="center"/>
    </xf>
    <xf numFmtId="164" fontId="18" fillId="2" borderId="5" xfId="5" applyNumberFormat="1" applyFont="1" applyFill="1" applyBorder="1" applyAlignment="1">
      <alignment horizontal="center" vertical="center"/>
    </xf>
    <xf numFmtId="0" fontId="14" fillId="2" borderId="0" xfId="6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18" fillId="2" borderId="0" xfId="5" applyNumberFormat="1" applyFont="1" applyFill="1" applyAlignment="1">
      <alignment horizontal="right" vertical="center"/>
    </xf>
    <xf numFmtId="164" fontId="18" fillId="2" borderId="0" xfId="5" applyNumberFormat="1" applyFont="1" applyFill="1" applyBorder="1" applyAlignment="1">
      <alignment horizontal="right" vertical="center" wrapText="1"/>
    </xf>
    <xf numFmtId="0" fontId="18" fillId="2" borderId="0" xfId="6" applyFont="1" applyFill="1" applyBorder="1" applyAlignment="1">
      <alignment horizontal="right"/>
    </xf>
    <xf numFmtId="164" fontId="2" fillId="2" borderId="5" xfId="5" applyNumberFormat="1" applyFont="1" applyFill="1" applyBorder="1" applyAlignment="1">
      <alignment vertical="center"/>
    </xf>
    <xf numFmtId="164" fontId="2" fillId="2" borderId="5" xfId="5" applyNumberFormat="1" applyFont="1" applyFill="1" applyBorder="1" applyAlignment="1" applyProtection="1">
      <alignment horizontal="right" vertical="center"/>
    </xf>
    <xf numFmtId="0" fontId="7" fillId="2" borderId="5" xfId="6" applyFont="1" applyFill="1" applyBorder="1" applyAlignment="1"/>
    <xf numFmtId="164" fontId="7" fillId="2" borderId="0" xfId="5" applyNumberFormat="1" applyFont="1" applyFill="1" applyBorder="1" applyAlignment="1">
      <alignment vertical="center"/>
    </xf>
    <xf numFmtId="38" fontId="7" fillId="2" borderId="0" xfId="7" applyNumberFormat="1" applyFont="1" applyFill="1" applyBorder="1" applyAlignment="1">
      <alignment horizontal="right" vertical="center" wrapText="1"/>
    </xf>
    <xf numFmtId="0" fontId="18" fillId="2" borderId="0" xfId="6" applyFont="1" applyFill="1" applyAlignment="1">
      <alignment horizontal="right"/>
    </xf>
    <xf numFmtId="38" fontId="7" fillId="2" borderId="0" xfId="7" applyNumberFormat="1" applyFont="1" applyFill="1" applyBorder="1" applyAlignment="1">
      <alignment horizontal="right" vertical="top" wrapText="1"/>
    </xf>
    <xf numFmtId="164" fontId="7" fillId="2" borderId="0" xfId="5" applyNumberFormat="1" applyFont="1" applyFill="1" applyAlignment="1" applyProtection="1">
      <alignment horizontal="left" vertical="center"/>
    </xf>
    <xf numFmtId="0" fontId="18" fillId="2" borderId="0" xfId="6" applyFont="1" applyFill="1" applyAlignment="1">
      <alignment horizontal="right" wrapText="1"/>
    </xf>
    <xf numFmtId="164" fontId="8" fillId="2" borderId="0" xfId="0" applyNumberFormat="1" applyFont="1" applyFill="1" applyAlignment="1" applyProtection="1">
      <alignment horizontal="left" vertical="center"/>
    </xf>
    <xf numFmtId="0" fontId="20" fillId="2" borderId="0" xfId="6" applyFont="1" applyFill="1" applyAlignment="1">
      <alignment horizontal="right"/>
    </xf>
    <xf numFmtId="0" fontId="20" fillId="2" borderId="0" xfId="6" applyFont="1" applyFill="1" applyBorder="1" applyAlignment="1">
      <alignment horizontal="right"/>
    </xf>
    <xf numFmtId="0" fontId="21" fillId="2" borderId="0" xfId="6" applyFont="1" applyFill="1" applyBorder="1" applyAlignment="1">
      <alignment horizontal="right"/>
    </xf>
    <xf numFmtId="164" fontId="8" fillId="2" borderId="0" xfId="0" applyNumberFormat="1" applyFont="1" applyFill="1" applyBorder="1" applyAlignment="1" applyProtection="1">
      <alignment horizontal="left" vertical="center"/>
    </xf>
    <xf numFmtId="164" fontId="8" fillId="2" borderId="0" xfId="0" applyNumberFormat="1" applyFont="1" applyFill="1" applyAlignment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0" fontId="21" fillId="2" borderId="0" xfId="0" applyNumberFormat="1" applyFont="1" applyFill="1" applyAlignment="1">
      <alignment horizontal="right"/>
    </xf>
    <xf numFmtId="0" fontId="20" fillId="2" borderId="0" xfId="0" applyNumberFormat="1" applyFont="1" applyFill="1" applyAlignment="1">
      <alignment horizontal="right"/>
    </xf>
    <xf numFmtId="164" fontId="8" fillId="2" borderId="0" xfId="0" applyNumberFormat="1" applyFont="1" applyFill="1" applyAlignment="1" applyProtection="1">
      <alignment vertical="center"/>
    </xf>
    <xf numFmtId="0" fontId="21" fillId="2" borderId="0" xfId="0" applyNumberFormat="1" applyFont="1" applyFill="1" applyAlignment="1">
      <alignment horizontal="right" vertical="center"/>
    </xf>
    <xf numFmtId="0" fontId="20" fillId="2" borderId="0" xfId="0" applyNumberFormat="1" applyFont="1" applyFill="1" applyAlignment="1">
      <alignment horizontal="right" vertical="center"/>
    </xf>
    <xf numFmtId="164" fontId="8" fillId="2" borderId="0" xfId="5" applyNumberFormat="1" applyFont="1" applyFill="1" applyAlignment="1" applyProtection="1">
      <alignment vertical="center"/>
    </xf>
    <xf numFmtId="0" fontId="20" fillId="2" borderId="0" xfId="6" applyFont="1" applyFill="1" applyAlignment="1">
      <alignment horizontal="right" vertical="center"/>
    </xf>
    <xf numFmtId="164" fontId="8" fillId="2" borderId="5" xfId="0" applyNumberFormat="1" applyFont="1" applyFill="1" applyBorder="1" applyAlignment="1" applyProtection="1">
      <alignment horizontal="left" vertical="center"/>
    </xf>
    <xf numFmtId="0" fontId="20" fillId="2" borderId="5" xfId="6" applyFont="1" applyFill="1" applyBorder="1" applyAlignment="1">
      <alignment horizontal="right"/>
    </xf>
    <xf numFmtId="3" fontId="14" fillId="2" borderId="5" xfId="5" applyNumberFormat="1" applyFont="1" applyFill="1" applyBorder="1" applyAlignment="1" applyProtection="1">
      <alignment horizontal="right" vertical="center"/>
    </xf>
    <xf numFmtId="3" fontId="14" fillId="2" borderId="5" xfId="7" applyNumberFormat="1" applyFont="1" applyFill="1" applyBorder="1" applyAlignment="1" applyProtection="1">
      <alignment vertical="center"/>
    </xf>
    <xf numFmtId="3" fontId="14" fillId="2" borderId="5" xfId="7" applyNumberFormat="1" applyFont="1" applyFill="1" applyBorder="1" applyAlignment="1" applyProtection="1">
      <alignment horizontal="right" vertical="center"/>
    </xf>
    <xf numFmtId="0" fontId="18" fillId="2" borderId="5" xfId="6" applyFont="1" applyFill="1" applyBorder="1" applyAlignment="1">
      <alignment horizontal="right"/>
    </xf>
    <xf numFmtId="164" fontId="16" fillId="2" borderId="4" xfId="5" applyNumberFormat="1" applyFont="1" applyFill="1" applyBorder="1" applyAlignment="1" applyProtection="1">
      <alignment horizontal="left" vertical="center"/>
    </xf>
    <xf numFmtId="164" fontId="17" fillId="2" borderId="8" xfId="5" applyNumberFormat="1" applyFont="1" applyFill="1" applyBorder="1" applyAlignment="1">
      <alignment horizontal="right" vertical="center"/>
    </xf>
    <xf numFmtId="164" fontId="12" fillId="2" borderId="8" xfId="5" applyNumberFormat="1" applyFont="1" applyFill="1" applyBorder="1" applyAlignment="1">
      <alignment horizontal="right" vertical="center"/>
    </xf>
    <xf numFmtId="164" fontId="12" fillId="2" borderId="4" xfId="5" applyNumberFormat="1" applyFont="1" applyFill="1" applyBorder="1" applyAlignment="1">
      <alignment horizontal="right" vertical="center"/>
    </xf>
    <xf numFmtId="164" fontId="12" fillId="2" borderId="8" xfId="5" applyNumberFormat="1" applyFont="1" applyFill="1" applyBorder="1" applyAlignment="1">
      <alignment horizontal="center" vertical="center"/>
    </xf>
    <xf numFmtId="0" fontId="22" fillId="2" borderId="4" xfId="6" applyFont="1" applyFill="1" applyBorder="1" applyAlignment="1">
      <alignment horizontal="right"/>
    </xf>
    <xf numFmtId="164" fontId="12" fillId="2" borderId="0" xfId="5" applyNumberFormat="1" applyFont="1" applyFill="1" applyAlignment="1">
      <alignment horizontal="right" vertical="center"/>
    </xf>
    <xf numFmtId="0" fontId="7" fillId="2" borderId="5" xfId="6" applyFont="1" applyFill="1" applyBorder="1" applyAlignment="1">
      <alignment horizontal="right"/>
    </xf>
    <xf numFmtId="38" fontId="23" fillId="2" borderId="0" xfId="7" applyNumberFormat="1" applyFont="1" applyFill="1" applyAlignment="1">
      <alignment vertical="center"/>
    </xf>
    <xf numFmtId="38" fontId="14" fillId="2" borderId="0" xfId="7" applyNumberFormat="1" applyFont="1" applyFill="1" applyAlignment="1">
      <alignment vertical="center"/>
    </xf>
    <xf numFmtId="38" fontId="24" fillId="2" borderId="0" xfId="7" applyNumberFormat="1" applyFont="1" applyFill="1"/>
    <xf numFmtId="164" fontId="9" fillId="2" borderId="0" xfId="5" applyNumberFormat="1" applyFont="1" applyFill="1" applyBorder="1" applyAlignment="1" applyProtection="1">
      <alignment horizontal="left" vertical="center"/>
    </xf>
    <xf numFmtId="164" fontId="3" fillId="2" borderId="0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horizontal="right" vertical="center"/>
    </xf>
    <xf numFmtId="37" fontId="14" fillId="2" borderId="0" xfId="5" applyNumberFormat="1" applyFont="1" applyFill="1" applyBorder="1" applyAlignment="1" applyProtection="1">
      <alignment horizontal="right" vertical="center"/>
    </xf>
    <xf numFmtId="37" fontId="13" fillId="2" borderId="0" xfId="5" applyNumberFormat="1" applyFont="1" applyFill="1" applyBorder="1" applyAlignment="1" applyProtection="1">
      <alignment horizontal="right" vertical="center"/>
    </xf>
    <xf numFmtId="0" fontId="13" fillId="2" borderId="0" xfId="6" applyFont="1" applyFill="1" applyAlignment="1">
      <alignment vertical="center"/>
    </xf>
    <xf numFmtId="164" fontId="20" fillId="2" borderId="0" xfId="5" applyNumberFormat="1" applyFont="1" applyFill="1" applyBorder="1" applyAlignment="1">
      <alignment horizontal="right"/>
    </xf>
    <xf numFmtId="164" fontId="9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37" fontId="14" fillId="2" borderId="0" xfId="5" applyNumberFormat="1" applyFont="1" applyFill="1" applyAlignment="1" applyProtection="1">
      <alignment vertical="center"/>
    </xf>
    <xf numFmtId="0" fontId="13" fillId="2" borderId="0" xfId="8" applyFont="1" applyFill="1" applyAlignment="1">
      <alignment vertical="center"/>
    </xf>
    <xf numFmtId="164" fontId="14" fillId="2" borderId="0" xfId="5" applyNumberFormat="1" applyFont="1" applyFill="1" applyAlignment="1">
      <alignment vertical="center"/>
    </xf>
    <xf numFmtId="164" fontId="14" fillId="2" borderId="0" xfId="5" applyNumberFormat="1" applyFont="1" applyFill="1" applyBorder="1" applyAlignment="1">
      <alignment vertical="center"/>
    </xf>
    <xf numFmtId="0" fontId="14" fillId="2" borderId="0" xfId="6" applyFont="1" applyFill="1" applyAlignment="1">
      <alignment vertical="center"/>
    </xf>
    <xf numFmtId="0" fontId="10" fillId="2" borderId="0" xfId="6" applyFont="1" applyFill="1" applyAlignment="1">
      <alignment horizontal="right"/>
    </xf>
    <xf numFmtId="164" fontId="18" fillId="2" borderId="0" xfId="5" applyNumberFormat="1" applyFont="1" applyFill="1" applyBorder="1" applyAlignment="1">
      <alignment horizontal="right" vertical="center"/>
    </xf>
    <xf numFmtId="164" fontId="18" fillId="2" borderId="5" xfId="5" applyNumberFormat="1" applyFont="1" applyFill="1" applyBorder="1" applyAlignment="1">
      <alignment horizontal="right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164" fontId="27" fillId="2" borderId="0" xfId="0" applyNumberFormat="1" applyFont="1" applyFill="1"/>
    <xf numFmtId="38" fontId="7" fillId="0" borderId="1" xfId="7" applyNumberFormat="1" applyFont="1" applyFill="1" applyBorder="1" applyAlignment="1" applyProtection="1">
      <alignment horizontal="right" vertical="center" wrapText="1"/>
    </xf>
    <xf numFmtId="38" fontId="8" fillId="0" borderId="1" xfId="7" applyNumberFormat="1" applyFont="1" applyFill="1" applyBorder="1" applyAlignment="1">
      <alignment horizontal="right" vertical="center" wrapText="1"/>
    </xf>
    <xf numFmtId="38" fontId="8" fillId="0" borderId="1" xfId="7" applyNumberFormat="1" applyFont="1" applyFill="1" applyBorder="1" applyAlignment="1">
      <alignment horizontal="right" vertical="center"/>
    </xf>
    <xf numFmtId="38" fontId="8" fillId="0" borderId="1" xfId="7" applyNumberFormat="1" applyFont="1" applyFill="1" applyBorder="1" applyAlignment="1" applyProtection="1">
      <alignment horizontal="right" vertical="center" wrapText="1"/>
    </xf>
    <xf numFmtId="38" fontId="8" fillId="0" borderId="1" xfId="7" applyNumberFormat="1" applyFont="1" applyFill="1" applyBorder="1" applyAlignment="1" applyProtection="1">
      <alignment horizontal="right" vertical="center"/>
    </xf>
    <xf numFmtId="38" fontId="8" fillId="0" borderId="3" xfId="7" applyNumberFormat="1" applyFont="1" applyFill="1" applyBorder="1" applyAlignment="1">
      <alignment horizontal="right" vertical="center" wrapText="1"/>
    </xf>
    <xf numFmtId="38" fontId="8" fillId="0" borderId="3" xfId="7" applyNumberFormat="1" applyFont="1" applyFill="1" applyBorder="1" applyAlignment="1" applyProtection="1">
      <alignment horizontal="right" vertical="center" wrapText="1"/>
    </xf>
    <xf numFmtId="38" fontId="8" fillId="0" borderId="3" xfId="7" applyNumberFormat="1" applyFont="1" applyFill="1" applyBorder="1" applyAlignment="1" applyProtection="1">
      <alignment horizontal="right" vertical="center"/>
    </xf>
    <xf numFmtId="164" fontId="7" fillId="0" borderId="6" xfId="5" applyNumberFormat="1" applyFont="1" applyFill="1" applyBorder="1" applyAlignment="1" applyProtection="1">
      <alignment horizontal="left" vertical="center"/>
    </xf>
    <xf numFmtId="38" fontId="7" fillId="0" borderId="6" xfId="7" applyNumberFormat="1" applyFont="1" applyFill="1" applyBorder="1" applyAlignment="1" applyProtection="1">
      <alignment horizontal="right" vertical="center"/>
    </xf>
    <xf numFmtId="0" fontId="18" fillId="2" borderId="9" xfId="6" applyFont="1" applyFill="1" applyBorder="1" applyAlignment="1">
      <alignment horizontal="right"/>
    </xf>
    <xf numFmtId="164" fontId="8" fillId="0" borderId="1" xfId="5" applyNumberFormat="1" applyFont="1" applyFill="1" applyBorder="1" applyAlignment="1" applyProtection="1">
      <alignment horizontal="left" vertical="center"/>
    </xf>
    <xf numFmtId="0" fontId="21" fillId="2" borderId="7" xfId="6" applyFont="1" applyFill="1" applyBorder="1" applyAlignment="1">
      <alignment horizontal="right"/>
    </xf>
    <xf numFmtId="164" fontId="8" fillId="0" borderId="1" xfId="0" applyNumberFormat="1" applyFont="1" applyFill="1" applyBorder="1" applyAlignment="1" applyProtection="1">
      <alignment vertical="center"/>
    </xf>
    <xf numFmtId="0" fontId="20" fillId="2" borderId="7" xfId="6" applyFont="1" applyFill="1" applyBorder="1" applyAlignment="1">
      <alignment horizontal="right" vertical="center"/>
    </xf>
    <xf numFmtId="164" fontId="7" fillId="0" borderId="1" xfId="5" applyNumberFormat="1" applyFont="1" applyFill="1" applyBorder="1" applyAlignment="1" applyProtection="1">
      <alignment horizontal="left" vertical="center"/>
    </xf>
    <xf numFmtId="38" fontId="7" fillId="0" borderId="1" xfId="7" applyNumberFormat="1" applyFont="1" applyFill="1" applyBorder="1" applyAlignment="1">
      <alignment horizontal="right" vertical="center"/>
    </xf>
    <xf numFmtId="38" fontId="7" fillId="0" borderId="1" xfId="7" applyNumberFormat="1" applyFont="1" applyFill="1" applyBorder="1" applyAlignment="1">
      <alignment horizontal="right" vertical="center" wrapText="1"/>
    </xf>
    <xf numFmtId="164" fontId="18" fillId="2" borderId="7" xfId="5" applyNumberFormat="1" applyFont="1" applyFill="1" applyBorder="1" applyAlignment="1" applyProtection="1">
      <alignment horizontal="right"/>
    </xf>
    <xf numFmtId="38" fontId="7" fillId="0" borderId="1" xfId="7" applyNumberFormat="1" applyFont="1" applyFill="1" applyBorder="1" applyAlignment="1" applyProtection="1">
      <alignment horizontal="right" vertical="center"/>
    </xf>
    <xf numFmtId="164" fontId="18" fillId="2" borderId="7" xfId="5" applyNumberFormat="1" applyFont="1" applyFill="1" applyBorder="1" applyAlignment="1">
      <alignment horizontal="right"/>
    </xf>
    <xf numFmtId="164" fontId="8" fillId="0" borderId="1" xfId="0" applyNumberFormat="1" applyFont="1" applyFill="1" applyBorder="1" applyAlignment="1" applyProtection="1">
      <alignment horizontal="left" vertical="center" indent="1"/>
    </xf>
    <xf numFmtId="0" fontId="20" fillId="2" borderId="7" xfId="6" applyFont="1" applyFill="1" applyBorder="1" applyAlignment="1">
      <alignment horizontal="right"/>
    </xf>
    <xf numFmtId="38" fontId="8" fillId="0" borderId="1" xfId="7" applyNumberFormat="1" applyFont="1" applyFill="1" applyBorder="1" applyAlignment="1" applyProtection="1">
      <alignment horizontal="left" vertical="center" indent="1"/>
    </xf>
    <xf numFmtId="38" fontId="20" fillId="2" borderId="7" xfId="7" applyNumberFormat="1" applyFont="1" applyFill="1" applyBorder="1" applyAlignment="1">
      <alignment horizontal="right"/>
    </xf>
    <xf numFmtId="38" fontId="8" fillId="0" borderId="3" xfId="7" applyNumberFormat="1" applyFont="1" applyFill="1" applyBorder="1" applyAlignment="1" applyProtection="1">
      <alignment horizontal="left" vertical="center" indent="1"/>
    </xf>
    <xf numFmtId="38" fontId="8" fillId="0" borderId="3" xfId="7" applyNumberFormat="1" applyFont="1" applyFill="1" applyBorder="1" applyAlignment="1" applyProtection="1">
      <alignment horizontal="right" vertical="center" wrapText="1"/>
      <protection locked="0"/>
    </xf>
    <xf numFmtId="38" fontId="20" fillId="2" borderId="10" xfId="7" applyNumberFormat="1" applyFont="1" applyFill="1" applyBorder="1" applyAlignment="1">
      <alignment horizontal="right"/>
    </xf>
    <xf numFmtId="164" fontId="15" fillId="2" borderId="0" xfId="5" applyNumberFormat="1" applyFont="1" applyFill="1" applyAlignment="1">
      <alignment horizontal="center" vertical="center"/>
    </xf>
    <xf numFmtId="164" fontId="7" fillId="2" borderId="5" xfId="5" applyNumberFormat="1" applyFont="1" applyFill="1" applyBorder="1" applyAlignment="1" applyProtection="1">
      <alignment horizontal="center" vertical="center"/>
    </xf>
  </cellXfs>
  <cellStyles count="15">
    <cellStyle name="Comma 2" xfId="7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8"/>
    <cellStyle name="Normal_IX-9(Trans &amp; Comm)" xfId="6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5"/>
  <sheetViews>
    <sheetView tabSelected="1" zoomScaleNormal="100" zoomScaleSheetLayoutView="100" workbookViewId="0">
      <selection activeCell="C48" sqref="C48:D48"/>
    </sheetView>
  </sheetViews>
  <sheetFormatPr defaultColWidth="9.140625" defaultRowHeight="15"/>
  <cols>
    <col min="1" max="1" width="31.42578125" style="2" customWidth="1"/>
    <col min="2" max="2" width="12.7109375" style="2" customWidth="1"/>
    <col min="3" max="4" width="11.85546875" style="2" customWidth="1"/>
    <col min="5" max="5" width="14.85546875" style="2" customWidth="1"/>
    <col min="6" max="6" width="1.85546875" style="2" customWidth="1"/>
    <col min="7" max="8" width="12.42578125" style="2" customWidth="1"/>
    <col min="9" max="9" width="18" style="2" customWidth="1"/>
    <col min="10" max="10" width="3" style="2" customWidth="1"/>
    <col min="11" max="12" width="11.5703125" style="2" customWidth="1"/>
    <col min="13" max="13" width="39.7109375" style="2" customWidth="1"/>
    <col min="14" max="14" width="9.140625" style="2"/>
    <col min="15" max="15" width="18.140625" style="2" bestFit="1" customWidth="1"/>
    <col min="16" max="16384" width="9.140625" style="2"/>
  </cols>
  <sheetData>
    <row r="1" spans="1:15" ht="19.5">
      <c r="A1" s="102" t="s">
        <v>108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5">
      <c r="A2" s="103" t="s">
        <v>109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1:15" ht="15.75">
      <c r="A3" s="3"/>
      <c r="B3" s="4"/>
      <c r="C3" s="5" t="s">
        <v>2</v>
      </c>
      <c r="D3" s="6"/>
      <c r="E3" s="70" t="s">
        <v>3</v>
      </c>
      <c r="F3" s="7"/>
      <c r="G3" s="5" t="s">
        <v>4</v>
      </c>
      <c r="H3" s="6"/>
      <c r="I3" s="70" t="s">
        <v>5</v>
      </c>
      <c r="J3" s="7"/>
      <c r="K3" s="72" t="s">
        <v>6</v>
      </c>
      <c r="L3" s="8" t="s">
        <v>7</v>
      </c>
      <c r="M3" s="9"/>
    </row>
    <row r="4" spans="1:15" ht="31.5">
      <c r="A4" s="10" t="s">
        <v>8</v>
      </c>
      <c r="B4" s="69" t="s">
        <v>9</v>
      </c>
      <c r="C4" s="69" t="s">
        <v>10</v>
      </c>
      <c r="D4" s="11" t="s">
        <v>11</v>
      </c>
      <c r="E4" s="12" t="s">
        <v>12</v>
      </c>
      <c r="F4" s="69"/>
      <c r="G4" s="69" t="s">
        <v>13</v>
      </c>
      <c r="H4" s="69" t="s">
        <v>14</v>
      </c>
      <c r="I4" s="69" t="s">
        <v>12</v>
      </c>
      <c r="J4" s="69"/>
      <c r="K4" s="69" t="s">
        <v>13</v>
      </c>
      <c r="L4" s="11" t="s">
        <v>14</v>
      </c>
      <c r="M4" s="13" t="s">
        <v>15</v>
      </c>
      <c r="O4" s="73"/>
    </row>
    <row r="5" spans="1:15">
      <c r="A5" s="14"/>
      <c r="B5" s="15" t="s">
        <v>16</v>
      </c>
      <c r="C5" s="15" t="s">
        <v>17</v>
      </c>
      <c r="D5" s="15" t="s">
        <v>18</v>
      </c>
      <c r="E5" s="15" t="s">
        <v>19</v>
      </c>
      <c r="F5" s="15"/>
      <c r="G5" s="15" t="s">
        <v>17</v>
      </c>
      <c r="H5" s="15" t="s">
        <v>18</v>
      </c>
      <c r="I5" s="15" t="s">
        <v>19</v>
      </c>
      <c r="J5" s="15"/>
      <c r="K5" s="15" t="s">
        <v>17</v>
      </c>
      <c r="L5" s="15" t="s">
        <v>18</v>
      </c>
      <c r="M5" s="16"/>
    </row>
    <row r="6" spans="1:15" ht="17.25">
      <c r="A6" s="17" t="s">
        <v>1</v>
      </c>
      <c r="B6" s="18">
        <f>SUM(B7+B48)</f>
        <v>99047</v>
      </c>
      <c r="C6" s="18">
        <f>SUM(C7+C48)</f>
        <v>2159864.5</v>
      </c>
      <c r="D6" s="18">
        <f>SUM(D7+D48)</f>
        <v>2181226.5</v>
      </c>
      <c r="E6" s="18">
        <f>SUM(E7+E48)</f>
        <v>135594</v>
      </c>
      <c r="F6" s="18"/>
      <c r="G6" s="18">
        <f>SUM(G7+G48)</f>
        <v>36763451.949999996</v>
      </c>
      <c r="H6" s="18">
        <f>SUM(H7+H48)</f>
        <v>13741368.119999997</v>
      </c>
      <c r="I6" s="18">
        <f>SUM(I7+I48)</f>
        <v>9166359.5399999991</v>
      </c>
      <c r="J6" s="18"/>
      <c r="K6" s="18">
        <f>SUM(K7+K48)</f>
        <v>220447.1</v>
      </c>
      <c r="L6" s="18">
        <f>SUM(L7+L48)</f>
        <v>163318.49999999997</v>
      </c>
      <c r="M6" s="19" t="s">
        <v>0</v>
      </c>
    </row>
    <row r="7" spans="1:15" ht="17.25">
      <c r="A7" s="17" t="s">
        <v>20</v>
      </c>
      <c r="B7" s="20">
        <f>SUM(B8+B44+B47)</f>
        <v>23821</v>
      </c>
      <c r="C7" s="18">
        <f>SUM(C8+C44+C47)</f>
        <v>1495338</v>
      </c>
      <c r="D7" s="18">
        <f>SUM(D8+D44+D47)</f>
        <v>1502105</v>
      </c>
      <c r="E7" s="18">
        <f>SUM(E8+E44+E47)</f>
        <v>135594</v>
      </c>
      <c r="F7" s="18"/>
      <c r="G7" s="18">
        <f>SUM(G8+G44+G47)</f>
        <v>36523077.059999995</v>
      </c>
      <c r="H7" s="18">
        <f>SUM(H8+H44+H47)</f>
        <v>13328948.709999997</v>
      </c>
      <c r="I7" s="18">
        <f>SUM(I8+I44+I47)</f>
        <v>8973103.6999999993</v>
      </c>
      <c r="J7" s="18"/>
      <c r="K7" s="18">
        <f>SUM(K8+K44+K47)</f>
        <v>216738.4</v>
      </c>
      <c r="L7" s="18">
        <f>SUM(L8+L44+L47)</f>
        <v>141764.96999999997</v>
      </c>
      <c r="M7" s="19" t="s">
        <v>21</v>
      </c>
    </row>
    <row r="8" spans="1:15" ht="17.25">
      <c r="A8" s="21" t="s">
        <v>22</v>
      </c>
      <c r="B8" s="74">
        <f>SUM(B9:B39)</f>
        <v>21436</v>
      </c>
      <c r="C8" s="74">
        <f>SUM(C9:C39)</f>
        <v>1459103</v>
      </c>
      <c r="D8" s="74">
        <f>SUM(D9:D39)</f>
        <v>1464079</v>
      </c>
      <c r="E8" s="74">
        <f>SUM(E9:E39)</f>
        <v>134930</v>
      </c>
      <c r="F8" s="74"/>
      <c r="G8" s="74">
        <f>SUM(G9:G39)</f>
        <v>36494802.059999995</v>
      </c>
      <c r="H8" s="74">
        <f>SUM(H9:H39)</f>
        <v>13323463.709999997</v>
      </c>
      <c r="I8" s="74">
        <f>SUM(I9:I39)</f>
        <v>8915441.6999999993</v>
      </c>
      <c r="J8" s="74"/>
      <c r="K8" s="74">
        <f>SUM(K9:K39)</f>
        <v>216738.4</v>
      </c>
      <c r="L8" s="74">
        <f>SUM(L9:L39)</f>
        <v>141764.96999999997</v>
      </c>
      <c r="M8" s="22" t="s">
        <v>23</v>
      </c>
    </row>
    <row r="9" spans="1:15" ht="17.25">
      <c r="A9" s="23" t="s">
        <v>24</v>
      </c>
      <c r="B9" s="75">
        <v>3626</v>
      </c>
      <c r="C9" s="75">
        <v>264125</v>
      </c>
      <c r="D9" s="75">
        <v>247771</v>
      </c>
      <c r="E9" s="75">
        <v>150</v>
      </c>
      <c r="F9" s="76"/>
      <c r="G9" s="75">
        <v>7455016.3999999994</v>
      </c>
      <c r="H9" s="76">
        <v>2572291.8200000003</v>
      </c>
      <c r="I9" s="75">
        <v>1681946.97</v>
      </c>
      <c r="J9" s="76"/>
      <c r="K9" s="75">
        <v>14348.779999999999</v>
      </c>
      <c r="L9" s="75">
        <v>12230.06</v>
      </c>
      <c r="M9" s="24" t="s">
        <v>25</v>
      </c>
    </row>
    <row r="10" spans="1:15" ht="17.25">
      <c r="A10" s="23" t="s">
        <v>26</v>
      </c>
      <c r="B10" s="75">
        <v>1358</v>
      </c>
      <c r="C10" s="75">
        <v>130650</v>
      </c>
      <c r="D10" s="75">
        <v>130911</v>
      </c>
      <c r="E10" s="77">
        <v>0</v>
      </c>
      <c r="F10" s="78"/>
      <c r="G10" s="75">
        <v>4811072.63</v>
      </c>
      <c r="H10" s="75">
        <v>603250.81000000006</v>
      </c>
      <c r="I10" s="75">
        <v>4341.8</v>
      </c>
      <c r="J10" s="78"/>
      <c r="K10" s="75">
        <v>52674.950000000004</v>
      </c>
      <c r="L10" s="75">
        <v>12674.530000000002</v>
      </c>
      <c r="M10" s="24" t="s">
        <v>27</v>
      </c>
    </row>
    <row r="11" spans="1:15" ht="17.25">
      <c r="A11" s="23" t="s">
        <v>28</v>
      </c>
      <c r="B11" s="75">
        <v>2260</v>
      </c>
      <c r="C11" s="75">
        <v>232329</v>
      </c>
      <c r="D11" s="75">
        <v>241761</v>
      </c>
      <c r="E11" s="75">
        <v>54412</v>
      </c>
      <c r="F11" s="78"/>
      <c r="G11" s="75">
        <v>13644021.800000001</v>
      </c>
      <c r="H11" s="75">
        <v>2278724.0699999998</v>
      </c>
      <c r="I11" s="75">
        <v>2000520.85</v>
      </c>
      <c r="J11" s="78"/>
      <c r="K11" s="75">
        <v>19795.479999999996</v>
      </c>
      <c r="L11" s="75">
        <v>421.1</v>
      </c>
      <c r="M11" s="24" t="s">
        <v>29</v>
      </c>
    </row>
    <row r="12" spans="1:15" ht="17.25">
      <c r="A12" s="23" t="s">
        <v>30</v>
      </c>
      <c r="B12" s="75">
        <v>1086</v>
      </c>
      <c r="C12" s="75">
        <v>55920</v>
      </c>
      <c r="D12" s="75">
        <v>54317</v>
      </c>
      <c r="E12" s="75">
        <v>0</v>
      </c>
      <c r="F12" s="78"/>
      <c r="G12" s="75">
        <v>1360716.9</v>
      </c>
      <c r="H12" s="75">
        <v>6069</v>
      </c>
      <c r="I12" s="77">
        <v>423.3</v>
      </c>
      <c r="J12" s="78"/>
      <c r="K12" s="77">
        <v>4755.7999999999993</v>
      </c>
      <c r="L12" s="75">
        <v>741.46</v>
      </c>
      <c r="M12" s="24" t="s">
        <v>31</v>
      </c>
    </row>
    <row r="13" spans="1:15" ht="17.25">
      <c r="A13" s="23" t="s">
        <v>32</v>
      </c>
      <c r="B13" s="75">
        <v>1460</v>
      </c>
      <c r="C13" s="75">
        <v>76811</v>
      </c>
      <c r="D13" s="75">
        <v>78187</v>
      </c>
      <c r="E13" s="77">
        <v>0</v>
      </c>
      <c r="F13" s="78"/>
      <c r="G13" s="75">
        <v>117460.21999999999</v>
      </c>
      <c r="H13" s="75">
        <v>1024639.8999999999</v>
      </c>
      <c r="I13" s="75">
        <v>14786.3</v>
      </c>
      <c r="J13" s="78"/>
      <c r="K13" s="75">
        <v>12828.250000000004</v>
      </c>
      <c r="L13" s="75">
        <v>611.5</v>
      </c>
      <c r="M13" s="24" t="s">
        <v>33</v>
      </c>
    </row>
    <row r="14" spans="1:15" ht="17.25">
      <c r="A14" s="23" t="s">
        <v>34</v>
      </c>
      <c r="B14" s="75">
        <v>294</v>
      </c>
      <c r="C14" s="75">
        <v>14514</v>
      </c>
      <c r="D14" s="75">
        <v>14864</v>
      </c>
      <c r="E14" s="75">
        <v>155</v>
      </c>
      <c r="F14" s="76"/>
      <c r="G14" s="75">
        <v>292980.40000000002</v>
      </c>
      <c r="H14" s="75">
        <v>0</v>
      </c>
      <c r="I14" s="75">
        <v>545</v>
      </c>
      <c r="J14" s="76"/>
      <c r="K14" s="75">
        <v>0.9</v>
      </c>
      <c r="L14" s="75">
        <v>0</v>
      </c>
      <c r="M14" s="24" t="s">
        <v>35</v>
      </c>
    </row>
    <row r="15" spans="1:15" ht="17.25">
      <c r="A15" s="23" t="s">
        <v>36</v>
      </c>
      <c r="B15" s="75">
        <v>204</v>
      </c>
      <c r="C15" s="75">
        <v>22079</v>
      </c>
      <c r="D15" s="75">
        <v>22239</v>
      </c>
      <c r="E15" s="75">
        <v>0</v>
      </c>
      <c r="F15" s="76"/>
      <c r="G15" s="75">
        <v>462875.06</v>
      </c>
      <c r="H15" s="75">
        <v>58250.119999999995</v>
      </c>
      <c r="I15" s="75">
        <v>633293.47</v>
      </c>
      <c r="J15" s="76"/>
      <c r="K15" s="75">
        <v>7830.65</v>
      </c>
      <c r="L15" s="75">
        <v>1.4</v>
      </c>
      <c r="M15" s="24" t="s">
        <v>37</v>
      </c>
    </row>
    <row r="16" spans="1:15" ht="17.25">
      <c r="A16" s="23" t="s">
        <v>38</v>
      </c>
      <c r="B16" s="75">
        <v>624</v>
      </c>
      <c r="C16" s="75">
        <v>33970</v>
      </c>
      <c r="D16" s="75">
        <v>31837</v>
      </c>
      <c r="E16" s="75">
        <v>17064</v>
      </c>
      <c r="F16" s="76"/>
      <c r="G16" s="75">
        <v>319610.51</v>
      </c>
      <c r="H16" s="75">
        <v>210337</v>
      </c>
      <c r="I16" s="75">
        <v>13829</v>
      </c>
      <c r="J16" s="76"/>
      <c r="K16" s="75">
        <v>20803</v>
      </c>
      <c r="L16" s="75">
        <v>0</v>
      </c>
      <c r="M16" s="25" t="s">
        <v>39</v>
      </c>
    </row>
    <row r="17" spans="1:15" ht="17.25">
      <c r="A17" s="23" t="s">
        <v>40</v>
      </c>
      <c r="B17" s="75">
        <v>518</v>
      </c>
      <c r="C17" s="75">
        <v>26171</v>
      </c>
      <c r="D17" s="75">
        <v>27057</v>
      </c>
      <c r="E17" s="75">
        <v>0</v>
      </c>
      <c r="F17" s="76"/>
      <c r="G17" s="75">
        <v>57920.23</v>
      </c>
      <c r="H17" s="75">
        <v>660721.73</v>
      </c>
      <c r="I17" s="75">
        <v>205866.4</v>
      </c>
      <c r="J17" s="76"/>
      <c r="K17" s="75">
        <v>3</v>
      </c>
      <c r="L17" s="75">
        <v>0</v>
      </c>
      <c r="M17" s="24" t="s">
        <v>41</v>
      </c>
    </row>
    <row r="18" spans="1:15" ht="18.75">
      <c r="A18" s="23" t="s">
        <v>42</v>
      </c>
      <c r="B18" s="75">
        <v>442</v>
      </c>
      <c r="C18" s="75">
        <v>14792</v>
      </c>
      <c r="D18" s="75">
        <v>15349</v>
      </c>
      <c r="E18" s="75">
        <v>0</v>
      </c>
      <c r="F18" s="76"/>
      <c r="G18" s="75">
        <v>116406.01</v>
      </c>
      <c r="H18" s="75">
        <v>11428</v>
      </c>
      <c r="I18" s="75">
        <v>7970</v>
      </c>
      <c r="J18" s="76"/>
      <c r="K18" s="75">
        <v>0</v>
      </c>
      <c r="L18" s="75">
        <v>0</v>
      </c>
      <c r="M18" s="26" t="s">
        <v>43</v>
      </c>
    </row>
    <row r="19" spans="1:15" ht="17.25">
      <c r="A19" s="23" t="s">
        <v>44</v>
      </c>
      <c r="B19" s="75">
        <v>252</v>
      </c>
      <c r="C19" s="75">
        <v>26584</v>
      </c>
      <c r="D19" s="75">
        <v>25996</v>
      </c>
      <c r="E19" s="75">
        <v>0</v>
      </c>
      <c r="F19" s="76"/>
      <c r="G19" s="75">
        <v>49347.140000000007</v>
      </c>
      <c r="H19" s="75">
        <v>72696.630000000019</v>
      </c>
      <c r="I19" s="75">
        <v>443756.2</v>
      </c>
      <c r="J19" s="76"/>
      <c r="K19" s="75">
        <v>0</v>
      </c>
      <c r="L19" s="75">
        <v>0</v>
      </c>
      <c r="M19" s="25" t="s">
        <v>45</v>
      </c>
    </row>
    <row r="20" spans="1:15" ht="17.25">
      <c r="A20" s="27" t="s">
        <v>46</v>
      </c>
      <c r="B20" s="75">
        <v>1376</v>
      </c>
      <c r="C20" s="75">
        <v>112335</v>
      </c>
      <c r="D20" s="75">
        <v>114056</v>
      </c>
      <c r="E20" s="75">
        <v>799</v>
      </c>
      <c r="F20" s="76"/>
      <c r="G20" s="75">
        <v>84277</v>
      </c>
      <c r="H20" s="75">
        <v>75912.22</v>
      </c>
      <c r="I20" s="75">
        <v>907272.8</v>
      </c>
      <c r="J20" s="76"/>
      <c r="K20" s="75">
        <v>2.2999999999999998</v>
      </c>
      <c r="L20" s="75">
        <v>0.7</v>
      </c>
      <c r="M20" s="25" t="s">
        <v>47</v>
      </c>
    </row>
    <row r="21" spans="1:15" ht="17.25">
      <c r="A21" s="23" t="s">
        <v>48</v>
      </c>
      <c r="B21" s="75">
        <v>106</v>
      </c>
      <c r="C21" s="75">
        <v>10650</v>
      </c>
      <c r="D21" s="75">
        <v>10790</v>
      </c>
      <c r="E21" s="75">
        <v>0</v>
      </c>
      <c r="F21" s="76"/>
      <c r="G21" s="75">
        <v>84335.21</v>
      </c>
      <c r="H21" s="75">
        <v>7279.3000000000011</v>
      </c>
      <c r="I21" s="75">
        <v>79926.5</v>
      </c>
      <c r="J21" s="76"/>
      <c r="K21" s="75">
        <v>0</v>
      </c>
      <c r="L21" s="75">
        <v>0</v>
      </c>
      <c r="M21" s="24" t="s">
        <v>49</v>
      </c>
    </row>
    <row r="22" spans="1:15" ht="17.25">
      <c r="A22" s="23" t="s">
        <v>50</v>
      </c>
      <c r="B22" s="75">
        <v>730</v>
      </c>
      <c r="C22" s="75">
        <v>41346</v>
      </c>
      <c r="D22" s="75">
        <v>41846</v>
      </c>
      <c r="E22" s="75">
        <v>0</v>
      </c>
      <c r="F22" s="76"/>
      <c r="G22" s="75">
        <v>635107.70000000007</v>
      </c>
      <c r="H22" s="75">
        <v>95468.099999999991</v>
      </c>
      <c r="I22" s="75">
        <v>4814</v>
      </c>
      <c r="J22" s="76"/>
      <c r="K22" s="75">
        <v>31858.45</v>
      </c>
      <c r="L22" s="75">
        <v>635.71999999999991</v>
      </c>
      <c r="M22" s="24" t="s">
        <v>51</v>
      </c>
    </row>
    <row r="23" spans="1:15" ht="17.25">
      <c r="A23" s="23" t="s">
        <v>52</v>
      </c>
      <c r="B23" s="75">
        <v>728</v>
      </c>
      <c r="C23" s="75">
        <v>22777</v>
      </c>
      <c r="D23" s="75">
        <v>22225</v>
      </c>
      <c r="E23" s="75">
        <v>0</v>
      </c>
      <c r="F23" s="76"/>
      <c r="G23" s="75">
        <v>38469.9</v>
      </c>
      <c r="H23" s="75">
        <v>346</v>
      </c>
      <c r="I23" s="75">
        <v>0</v>
      </c>
      <c r="J23" s="76"/>
      <c r="K23" s="75">
        <v>45.4</v>
      </c>
      <c r="L23" s="75">
        <v>0</v>
      </c>
      <c r="M23" s="24" t="s">
        <v>53</v>
      </c>
    </row>
    <row r="24" spans="1:15" ht="17.25">
      <c r="A24" s="23" t="s">
        <v>54</v>
      </c>
      <c r="B24" s="75">
        <v>70</v>
      </c>
      <c r="C24" s="75">
        <v>6928</v>
      </c>
      <c r="D24" s="75">
        <v>7032</v>
      </c>
      <c r="E24" s="75">
        <v>0</v>
      </c>
      <c r="F24" s="76"/>
      <c r="G24" s="75">
        <v>21026.05</v>
      </c>
      <c r="H24" s="75">
        <v>35081.100000000006</v>
      </c>
      <c r="I24" s="75">
        <v>116086.59</v>
      </c>
      <c r="J24" s="76"/>
      <c r="K24" s="75">
        <v>0</v>
      </c>
      <c r="L24" s="75">
        <v>0</v>
      </c>
      <c r="M24" s="24" t="s">
        <v>55</v>
      </c>
    </row>
    <row r="25" spans="1:15" ht="17.25">
      <c r="A25" s="28" t="s">
        <v>56</v>
      </c>
      <c r="B25" s="75">
        <v>680</v>
      </c>
      <c r="C25" s="75">
        <v>21139</v>
      </c>
      <c r="D25" s="75">
        <v>19792</v>
      </c>
      <c r="E25" s="75">
        <v>0</v>
      </c>
      <c r="F25" s="76"/>
      <c r="G25" s="75">
        <v>468310.17</v>
      </c>
      <c r="H25" s="75">
        <v>114</v>
      </c>
      <c r="I25" s="77">
        <v>804</v>
      </c>
      <c r="J25" s="78"/>
      <c r="K25" s="75">
        <v>1409.68</v>
      </c>
      <c r="L25" s="77">
        <v>0</v>
      </c>
      <c r="M25" s="24" t="s">
        <v>57</v>
      </c>
    </row>
    <row r="26" spans="1:15" ht="18.75">
      <c r="A26" s="29" t="s">
        <v>58</v>
      </c>
      <c r="B26" s="78">
        <v>1220</v>
      </c>
      <c r="C26" s="78">
        <v>43551</v>
      </c>
      <c r="D26" s="77">
        <v>51631</v>
      </c>
      <c r="E26" s="77">
        <v>57843</v>
      </c>
      <c r="F26" s="78"/>
      <c r="G26" s="77">
        <v>2170884.6</v>
      </c>
      <c r="H26" s="77">
        <v>1353089.09</v>
      </c>
      <c r="I26" s="77">
        <v>138042.78999999998</v>
      </c>
      <c r="J26" s="78"/>
      <c r="K26" s="77">
        <v>802.27999999999986</v>
      </c>
      <c r="L26" s="77">
        <v>114422.69999999998</v>
      </c>
      <c r="M26" s="68" t="s">
        <v>59</v>
      </c>
      <c r="O26" s="30"/>
    </row>
    <row r="27" spans="1:15" ht="17.25">
      <c r="A27" s="23" t="s">
        <v>60</v>
      </c>
      <c r="B27" s="75">
        <v>1198</v>
      </c>
      <c r="C27" s="75">
        <v>46163</v>
      </c>
      <c r="D27" s="75">
        <v>47951</v>
      </c>
      <c r="E27" s="75">
        <v>0</v>
      </c>
      <c r="F27" s="76"/>
      <c r="G27" s="75">
        <v>411156</v>
      </c>
      <c r="H27" s="75">
        <v>9570.5</v>
      </c>
      <c r="I27" s="75">
        <v>79679</v>
      </c>
      <c r="J27" s="76"/>
      <c r="K27" s="75">
        <v>5.6</v>
      </c>
      <c r="L27" s="75">
        <v>22.8</v>
      </c>
      <c r="M27" s="31" t="s">
        <v>61</v>
      </c>
    </row>
    <row r="28" spans="1:15" ht="18.75">
      <c r="A28" s="32" t="s">
        <v>101</v>
      </c>
      <c r="B28" s="76">
        <v>140</v>
      </c>
      <c r="C28" s="76">
        <v>16478</v>
      </c>
      <c r="D28" s="75">
        <v>16490</v>
      </c>
      <c r="E28" s="76">
        <v>0</v>
      </c>
      <c r="F28" s="76"/>
      <c r="G28" s="76">
        <v>26503.5</v>
      </c>
      <c r="H28" s="76">
        <v>110095</v>
      </c>
      <c r="I28" s="76">
        <v>223553.5</v>
      </c>
      <c r="J28" s="76"/>
      <c r="K28" s="76">
        <v>2795</v>
      </c>
      <c r="L28" s="76">
        <v>0</v>
      </c>
      <c r="M28" s="33" t="s">
        <v>102</v>
      </c>
      <c r="O28" s="34"/>
    </row>
    <row r="29" spans="1:15" ht="15.75">
      <c r="A29" s="32" t="s">
        <v>62</v>
      </c>
      <c r="B29" s="76">
        <v>418</v>
      </c>
      <c r="C29" s="76">
        <v>34225</v>
      </c>
      <c r="D29" s="75">
        <v>35465</v>
      </c>
      <c r="E29" s="76">
        <v>0</v>
      </c>
      <c r="F29" s="76"/>
      <c r="G29" s="76">
        <v>347860.12</v>
      </c>
      <c r="H29" s="76">
        <v>1332634.6200000001</v>
      </c>
      <c r="I29" s="76">
        <v>138199.5</v>
      </c>
      <c r="J29" s="76"/>
      <c r="K29" s="76">
        <v>617.67999999999995</v>
      </c>
      <c r="L29" s="76">
        <v>0</v>
      </c>
      <c r="M29" s="34" t="s">
        <v>63</v>
      </c>
      <c r="O29" s="34"/>
    </row>
    <row r="30" spans="1:15" ht="15.75">
      <c r="A30" s="32" t="s">
        <v>64</v>
      </c>
      <c r="B30" s="76">
        <v>298</v>
      </c>
      <c r="C30" s="76">
        <v>29898</v>
      </c>
      <c r="D30" s="75">
        <v>29710</v>
      </c>
      <c r="E30" s="76">
        <v>0</v>
      </c>
      <c r="F30" s="76"/>
      <c r="G30" s="76">
        <v>220060.5</v>
      </c>
      <c r="H30" s="76">
        <v>0</v>
      </c>
      <c r="I30" s="76">
        <v>385879</v>
      </c>
      <c r="J30" s="76"/>
      <c r="K30" s="76">
        <v>0</v>
      </c>
      <c r="L30" s="76">
        <v>0</v>
      </c>
      <c r="M30" s="34" t="s">
        <v>65</v>
      </c>
      <c r="O30" s="34"/>
    </row>
    <row r="31" spans="1:15" ht="18.75">
      <c r="A31" s="32" t="s">
        <v>66</v>
      </c>
      <c r="B31" s="76">
        <v>68</v>
      </c>
      <c r="C31" s="76">
        <v>5035</v>
      </c>
      <c r="D31" s="75">
        <v>5703</v>
      </c>
      <c r="E31" s="76">
        <v>4486</v>
      </c>
      <c r="F31" s="76"/>
      <c r="G31" s="76">
        <v>120744</v>
      </c>
      <c r="H31" s="76">
        <v>1803</v>
      </c>
      <c r="I31" s="76">
        <v>56876.5</v>
      </c>
      <c r="J31" s="76"/>
      <c r="K31" s="76">
        <v>0</v>
      </c>
      <c r="L31" s="76">
        <v>0</v>
      </c>
      <c r="M31" s="33" t="s">
        <v>67</v>
      </c>
      <c r="O31" s="34"/>
    </row>
    <row r="32" spans="1:15" ht="15.75">
      <c r="A32" s="32" t="s">
        <v>68</v>
      </c>
      <c r="B32" s="76">
        <v>276</v>
      </c>
      <c r="C32" s="76">
        <v>29025</v>
      </c>
      <c r="D32" s="75">
        <v>29007</v>
      </c>
      <c r="E32" s="76">
        <v>0</v>
      </c>
      <c r="F32" s="76"/>
      <c r="G32" s="76">
        <v>179854.8</v>
      </c>
      <c r="H32" s="76">
        <v>20208</v>
      </c>
      <c r="I32" s="76">
        <v>353806.1</v>
      </c>
      <c r="J32" s="76"/>
      <c r="K32" s="76">
        <v>42712.54</v>
      </c>
      <c r="L32" s="76">
        <v>0</v>
      </c>
      <c r="M32" s="34" t="s">
        <v>69</v>
      </c>
      <c r="O32" s="34"/>
    </row>
    <row r="33" spans="1:15" ht="17.25">
      <c r="A33" s="32" t="s">
        <v>70</v>
      </c>
      <c r="B33" s="76">
        <v>242</v>
      </c>
      <c r="C33" s="76">
        <v>21671</v>
      </c>
      <c r="D33" s="75">
        <v>22690</v>
      </c>
      <c r="E33" s="75">
        <v>0</v>
      </c>
      <c r="F33" s="76"/>
      <c r="G33" s="75">
        <v>2</v>
      </c>
      <c r="H33" s="75">
        <v>0</v>
      </c>
      <c r="I33" s="75">
        <v>0</v>
      </c>
      <c r="J33" s="76"/>
      <c r="K33" s="75">
        <v>0</v>
      </c>
      <c r="L33" s="75">
        <v>0</v>
      </c>
      <c r="M33" s="24" t="s">
        <v>71</v>
      </c>
      <c r="O33" s="34"/>
    </row>
    <row r="34" spans="1:15" ht="18.75">
      <c r="A34" s="35" t="s">
        <v>72</v>
      </c>
      <c r="B34" s="76">
        <v>732</v>
      </c>
      <c r="C34" s="76">
        <v>49755</v>
      </c>
      <c r="D34" s="75">
        <v>50973</v>
      </c>
      <c r="E34" s="76">
        <v>0</v>
      </c>
      <c r="F34" s="76"/>
      <c r="G34" s="76">
        <v>109259.66</v>
      </c>
      <c r="H34" s="76">
        <v>1916011.1199999999</v>
      </c>
      <c r="I34" s="76">
        <v>1939.12</v>
      </c>
      <c r="J34" s="76"/>
      <c r="K34" s="76">
        <v>3440.7900000000004</v>
      </c>
      <c r="L34" s="76">
        <v>0</v>
      </c>
      <c r="M34" s="68" t="s">
        <v>73</v>
      </c>
    </row>
    <row r="35" spans="1:15" ht="15.75">
      <c r="A35" s="32" t="s">
        <v>74</v>
      </c>
      <c r="B35" s="76">
        <v>98</v>
      </c>
      <c r="C35" s="76">
        <v>13167</v>
      </c>
      <c r="D35" s="75">
        <v>13582</v>
      </c>
      <c r="E35" s="76">
        <v>0</v>
      </c>
      <c r="F35" s="76"/>
      <c r="G35" s="76">
        <v>43090.599999999991</v>
      </c>
      <c r="H35" s="76">
        <v>23470.07</v>
      </c>
      <c r="I35" s="76">
        <v>121873.35</v>
      </c>
      <c r="J35" s="76"/>
      <c r="K35" s="76">
        <v>7.1</v>
      </c>
      <c r="L35" s="76">
        <v>0</v>
      </c>
      <c r="M35" s="36" t="s">
        <v>75</v>
      </c>
    </row>
    <row r="36" spans="1:15" ht="15.75">
      <c r="A36" s="32" t="s">
        <v>76</v>
      </c>
      <c r="B36" s="76">
        <v>312</v>
      </c>
      <c r="C36" s="76">
        <v>18097</v>
      </c>
      <c r="D36" s="75">
        <v>17195</v>
      </c>
      <c r="E36" s="76">
        <v>21</v>
      </c>
      <c r="F36" s="76"/>
      <c r="G36" s="76">
        <v>1781789.05</v>
      </c>
      <c r="H36" s="76">
        <v>512321.41</v>
      </c>
      <c r="I36" s="76">
        <v>775234.47</v>
      </c>
      <c r="J36" s="76"/>
      <c r="K36" s="76">
        <v>0.77</v>
      </c>
      <c r="L36" s="76">
        <v>0</v>
      </c>
      <c r="M36" s="36" t="s">
        <v>77</v>
      </c>
    </row>
    <row r="37" spans="1:15" ht="15.75">
      <c r="A37" s="32" t="s">
        <v>110</v>
      </c>
      <c r="B37" s="76">
        <v>392</v>
      </c>
      <c r="C37" s="76">
        <v>25442</v>
      </c>
      <c r="D37" s="75">
        <v>24248</v>
      </c>
      <c r="E37" s="76">
        <v>0</v>
      </c>
      <c r="F37" s="76"/>
      <c r="G37" s="76">
        <v>0</v>
      </c>
      <c r="H37" s="76">
        <v>0</v>
      </c>
      <c r="I37" s="76">
        <v>0</v>
      </c>
      <c r="J37" s="76"/>
      <c r="K37" s="76">
        <v>0</v>
      </c>
      <c r="L37" s="76">
        <v>0</v>
      </c>
      <c r="M37" s="36" t="s">
        <v>111</v>
      </c>
    </row>
    <row r="38" spans="1:15" ht="15.75">
      <c r="A38" s="32" t="s">
        <v>78</v>
      </c>
      <c r="B38" s="76">
        <v>112</v>
      </c>
      <c r="C38" s="76">
        <v>13476</v>
      </c>
      <c r="D38" s="75">
        <v>13404</v>
      </c>
      <c r="E38" s="76">
        <v>0</v>
      </c>
      <c r="F38" s="76"/>
      <c r="G38" s="76">
        <v>60528.9</v>
      </c>
      <c r="H38" s="76">
        <v>82872.100000000006</v>
      </c>
      <c r="I38" s="76">
        <v>140491.78</v>
      </c>
      <c r="J38" s="76"/>
      <c r="K38" s="76">
        <v>0</v>
      </c>
      <c r="L38" s="76">
        <v>0</v>
      </c>
      <c r="M38" s="36" t="s">
        <v>79</v>
      </c>
    </row>
    <row r="39" spans="1:15" ht="17.25">
      <c r="A39" s="37" t="s">
        <v>103</v>
      </c>
      <c r="B39" s="79">
        <v>116</v>
      </c>
      <c r="C39" s="80">
        <v>0</v>
      </c>
      <c r="D39" s="80">
        <v>0</v>
      </c>
      <c r="E39" s="80">
        <v>0</v>
      </c>
      <c r="F39" s="81"/>
      <c r="G39" s="79">
        <v>1004115</v>
      </c>
      <c r="H39" s="79">
        <v>248779</v>
      </c>
      <c r="I39" s="80">
        <v>383683.41000000003</v>
      </c>
      <c r="J39" s="81"/>
      <c r="K39" s="80">
        <v>0</v>
      </c>
      <c r="L39" s="80">
        <v>3</v>
      </c>
      <c r="M39" s="38" t="s">
        <v>104</v>
      </c>
    </row>
    <row r="40" spans="1:15" ht="17.25">
      <c r="A40" s="5" t="s">
        <v>80</v>
      </c>
      <c r="B40" s="39"/>
      <c r="C40" s="39"/>
      <c r="D40" s="39"/>
      <c r="E40" s="39"/>
      <c r="F40" s="39"/>
      <c r="G40" s="40"/>
      <c r="H40" s="40"/>
      <c r="I40" s="41"/>
      <c r="J40" s="41"/>
      <c r="K40" s="41"/>
      <c r="L40" s="41"/>
      <c r="M40" s="42" t="s">
        <v>81</v>
      </c>
    </row>
    <row r="41" spans="1:15" ht="17.25">
      <c r="A41" s="43"/>
      <c r="B41" s="4"/>
      <c r="C41" s="5" t="s">
        <v>2</v>
      </c>
      <c r="D41" s="44"/>
      <c r="E41" s="45" t="s">
        <v>3</v>
      </c>
      <c r="F41" s="46"/>
      <c r="G41" s="71" t="s">
        <v>4</v>
      </c>
      <c r="H41" s="44"/>
      <c r="I41" s="47" t="s">
        <v>5</v>
      </c>
      <c r="J41" s="46"/>
      <c r="K41" s="71" t="s">
        <v>6</v>
      </c>
      <c r="L41" s="47" t="s">
        <v>7</v>
      </c>
      <c r="M41" s="48"/>
    </row>
    <row r="42" spans="1:15" ht="17.25">
      <c r="A42" s="10" t="s">
        <v>8</v>
      </c>
      <c r="B42" s="7" t="s">
        <v>9</v>
      </c>
      <c r="C42" s="7" t="s">
        <v>10</v>
      </c>
      <c r="D42" s="7" t="s">
        <v>11</v>
      </c>
      <c r="E42" s="7" t="s">
        <v>12</v>
      </c>
      <c r="F42" s="7"/>
      <c r="G42" s="7" t="s">
        <v>13</v>
      </c>
      <c r="H42" s="7" t="s">
        <v>14</v>
      </c>
      <c r="I42" s="7" t="s">
        <v>12</v>
      </c>
      <c r="J42" s="7"/>
      <c r="K42" s="7" t="s">
        <v>13</v>
      </c>
      <c r="L42" s="49" t="s">
        <v>14</v>
      </c>
      <c r="M42" s="13" t="s">
        <v>15</v>
      </c>
    </row>
    <row r="43" spans="1:15">
      <c r="A43" s="14"/>
      <c r="B43" s="15" t="s">
        <v>16</v>
      </c>
      <c r="C43" s="15" t="s">
        <v>17</v>
      </c>
      <c r="D43" s="15" t="s">
        <v>18</v>
      </c>
      <c r="E43" s="15" t="s">
        <v>19</v>
      </c>
      <c r="F43" s="15"/>
      <c r="G43" s="15" t="s">
        <v>17</v>
      </c>
      <c r="H43" s="15" t="s">
        <v>18</v>
      </c>
      <c r="I43" s="15" t="s">
        <v>19</v>
      </c>
      <c r="J43" s="15"/>
      <c r="K43" s="15" t="s">
        <v>17</v>
      </c>
      <c r="L43" s="15" t="s">
        <v>18</v>
      </c>
      <c r="M43" s="50"/>
    </row>
    <row r="44" spans="1:15" ht="17.25">
      <c r="A44" s="82" t="s">
        <v>82</v>
      </c>
      <c r="B44" s="83">
        <f>SUM(B45:B46)</f>
        <v>244</v>
      </c>
      <c r="C44" s="83">
        <f>SUM(C45:C46)</f>
        <v>33249</v>
      </c>
      <c r="D44" s="83">
        <f>SUM(D45:D46)</f>
        <v>33577</v>
      </c>
      <c r="E44" s="83">
        <f>SUM(E45:E46)</f>
        <v>0</v>
      </c>
      <c r="F44" s="83"/>
      <c r="G44" s="83">
        <f t="shared" ref="G44:L44" si="0">SUM(G45:G46)</f>
        <v>19212</v>
      </c>
      <c r="H44" s="83">
        <f t="shared" si="0"/>
        <v>5485</v>
      </c>
      <c r="I44" s="83">
        <f t="shared" si="0"/>
        <v>57662</v>
      </c>
      <c r="J44" s="83">
        <f t="shared" si="0"/>
        <v>0</v>
      </c>
      <c r="K44" s="83">
        <f t="shared" si="0"/>
        <v>0</v>
      </c>
      <c r="L44" s="83">
        <f t="shared" si="0"/>
        <v>0</v>
      </c>
      <c r="M44" s="84" t="s">
        <v>83</v>
      </c>
    </row>
    <row r="45" spans="1:15" ht="18.75">
      <c r="A45" s="85" t="s">
        <v>107</v>
      </c>
      <c r="B45" s="78">
        <v>210</v>
      </c>
      <c r="C45" s="78">
        <v>29032</v>
      </c>
      <c r="D45" s="78">
        <v>28930</v>
      </c>
      <c r="E45" s="78">
        <v>0</v>
      </c>
      <c r="F45" s="78"/>
      <c r="G45" s="78">
        <v>0</v>
      </c>
      <c r="H45" s="78">
        <v>0</v>
      </c>
      <c r="I45" s="78">
        <v>0</v>
      </c>
      <c r="J45" s="78"/>
      <c r="K45" s="78">
        <v>0</v>
      </c>
      <c r="L45" s="78">
        <v>0</v>
      </c>
      <c r="M45" s="86" t="s">
        <v>84</v>
      </c>
      <c r="O45" s="25"/>
    </row>
    <row r="46" spans="1:15" ht="15.75">
      <c r="A46" s="87" t="s">
        <v>85</v>
      </c>
      <c r="B46" s="76">
        <v>34</v>
      </c>
      <c r="C46" s="76">
        <v>4217</v>
      </c>
      <c r="D46" s="75">
        <v>4647</v>
      </c>
      <c r="E46" s="76">
        <v>0</v>
      </c>
      <c r="F46" s="76"/>
      <c r="G46" s="76">
        <v>19212</v>
      </c>
      <c r="H46" s="76">
        <v>5485</v>
      </c>
      <c r="I46" s="76">
        <v>57662</v>
      </c>
      <c r="J46" s="76"/>
      <c r="K46" s="76">
        <v>0</v>
      </c>
      <c r="L46" s="76">
        <v>0</v>
      </c>
      <c r="M46" s="88" t="s">
        <v>86</v>
      </c>
    </row>
    <row r="47" spans="1:15" ht="17.25">
      <c r="A47" s="89" t="s">
        <v>87</v>
      </c>
      <c r="B47" s="90">
        <v>2141</v>
      </c>
      <c r="C47" s="90">
        <v>2986</v>
      </c>
      <c r="D47" s="91">
        <v>4449</v>
      </c>
      <c r="E47" s="90">
        <v>664</v>
      </c>
      <c r="F47" s="90"/>
      <c r="G47" s="90">
        <v>9063</v>
      </c>
      <c r="H47" s="90">
        <v>0</v>
      </c>
      <c r="I47" s="90">
        <v>0</v>
      </c>
      <c r="J47" s="90"/>
      <c r="K47" s="90">
        <v>0</v>
      </c>
      <c r="L47" s="90">
        <v>0</v>
      </c>
      <c r="M47" s="92" t="s">
        <v>88</v>
      </c>
    </row>
    <row r="48" spans="1:15" ht="17.25">
      <c r="A48" s="89" t="s">
        <v>89</v>
      </c>
      <c r="B48" s="93">
        <f>SUM(B49:B52)</f>
        <v>75226</v>
      </c>
      <c r="C48" s="93">
        <f>SUM(C49:C52)</f>
        <v>664526.5</v>
      </c>
      <c r="D48" s="93">
        <f>SUM(D49:D52)</f>
        <v>679121.5</v>
      </c>
      <c r="E48" s="93">
        <f>SUM(E49:E52)</f>
        <v>0</v>
      </c>
      <c r="F48" s="93"/>
      <c r="G48" s="93">
        <f t="shared" ref="G48:L48" si="1">SUM(G49:G52)</f>
        <v>240374.89</v>
      </c>
      <c r="H48" s="93">
        <f t="shared" si="1"/>
        <v>412419.41000000003</v>
      </c>
      <c r="I48" s="93">
        <f t="shared" si="1"/>
        <v>193255.84</v>
      </c>
      <c r="J48" s="93">
        <f t="shared" si="1"/>
        <v>0</v>
      </c>
      <c r="K48" s="93">
        <f t="shared" si="1"/>
        <v>3708.6999999999994</v>
      </c>
      <c r="L48" s="93">
        <f t="shared" si="1"/>
        <v>21553.53</v>
      </c>
      <c r="M48" s="94" t="s">
        <v>90</v>
      </c>
    </row>
    <row r="49" spans="1:58" ht="21" customHeight="1">
      <c r="A49" s="95" t="s">
        <v>91</v>
      </c>
      <c r="B49" s="76">
        <v>15630</v>
      </c>
      <c r="C49" s="76">
        <v>255685</v>
      </c>
      <c r="D49" s="75">
        <v>261974</v>
      </c>
      <c r="E49" s="76">
        <v>0</v>
      </c>
      <c r="F49" s="76"/>
      <c r="G49" s="76">
        <v>240374.89</v>
      </c>
      <c r="H49" s="76">
        <v>412018.41000000003</v>
      </c>
      <c r="I49" s="76">
        <v>193255.84</v>
      </c>
      <c r="J49" s="76"/>
      <c r="K49" s="76">
        <v>3708.6999999999994</v>
      </c>
      <c r="L49" s="76">
        <v>21553.53</v>
      </c>
      <c r="M49" s="96" t="s">
        <v>92</v>
      </c>
    </row>
    <row r="50" spans="1:58" ht="21" customHeight="1">
      <c r="A50" s="95" t="s">
        <v>93</v>
      </c>
      <c r="B50" s="76">
        <v>8664</v>
      </c>
      <c r="C50" s="76">
        <v>162809</v>
      </c>
      <c r="D50" s="75">
        <v>171047</v>
      </c>
      <c r="E50" s="76">
        <v>0</v>
      </c>
      <c r="F50" s="76"/>
      <c r="G50" s="76">
        <v>0</v>
      </c>
      <c r="H50" s="76">
        <v>401</v>
      </c>
      <c r="I50" s="76">
        <v>0</v>
      </c>
      <c r="J50" s="76"/>
      <c r="K50" s="76">
        <v>0</v>
      </c>
      <c r="L50" s="76">
        <v>0</v>
      </c>
      <c r="M50" s="86" t="s">
        <v>94</v>
      </c>
    </row>
    <row r="51" spans="1:58" ht="21" customHeight="1">
      <c r="A51" s="97" t="s">
        <v>105</v>
      </c>
      <c r="B51" s="76">
        <v>50862</v>
      </c>
      <c r="C51" s="76">
        <v>245939.5</v>
      </c>
      <c r="D51" s="75">
        <v>245939.5</v>
      </c>
      <c r="E51" s="76">
        <v>0</v>
      </c>
      <c r="F51" s="76"/>
      <c r="G51" s="76">
        <v>0</v>
      </c>
      <c r="H51" s="76">
        <v>0</v>
      </c>
      <c r="I51" s="76">
        <v>0</v>
      </c>
      <c r="J51" s="76"/>
      <c r="K51" s="76">
        <v>0</v>
      </c>
      <c r="L51" s="76">
        <v>0</v>
      </c>
      <c r="M51" s="98" t="s">
        <v>106</v>
      </c>
    </row>
    <row r="52" spans="1:58" s="52" customFormat="1" ht="21" customHeight="1">
      <c r="A52" s="99" t="s">
        <v>95</v>
      </c>
      <c r="B52" s="100">
        <v>70</v>
      </c>
      <c r="C52" s="81">
        <v>93</v>
      </c>
      <c r="D52" s="80">
        <v>161</v>
      </c>
      <c r="E52" s="81">
        <v>0</v>
      </c>
      <c r="F52" s="81"/>
      <c r="G52" s="81">
        <v>0</v>
      </c>
      <c r="H52" s="81">
        <v>0</v>
      </c>
      <c r="I52" s="81">
        <v>0</v>
      </c>
      <c r="J52" s="81"/>
      <c r="K52" s="81">
        <v>0</v>
      </c>
      <c r="L52" s="81">
        <v>0</v>
      </c>
      <c r="M52" s="101" t="s">
        <v>96</v>
      </c>
      <c r="N52" s="51"/>
      <c r="O52" s="51"/>
      <c r="P52" s="51"/>
      <c r="Q52" s="51"/>
      <c r="BF52" s="53"/>
    </row>
    <row r="53" spans="1:58" ht="18" customHeight="1">
      <c r="A53" s="54" t="s">
        <v>97</v>
      </c>
      <c r="B53" s="55"/>
      <c r="C53" s="56"/>
      <c r="D53" s="56"/>
      <c r="E53" s="57"/>
      <c r="F53" s="57"/>
      <c r="G53" s="57"/>
      <c r="H53" s="58"/>
      <c r="I53" s="58"/>
      <c r="J53" s="58"/>
      <c r="K53" s="59"/>
      <c r="M53" s="60" t="s">
        <v>98</v>
      </c>
    </row>
    <row r="54" spans="1:58" ht="15.75" customHeight="1">
      <c r="A54" s="61" t="s">
        <v>99</v>
      </c>
      <c r="B54" s="61"/>
      <c r="C54" s="62"/>
      <c r="D54" s="62"/>
      <c r="E54" s="63"/>
      <c r="F54" s="63"/>
      <c r="G54" s="63"/>
      <c r="H54" s="64"/>
      <c r="I54" s="64"/>
      <c r="J54" s="64"/>
      <c r="L54" s="64"/>
      <c r="M54" s="1" t="s">
        <v>100</v>
      </c>
    </row>
    <row r="55" spans="1:58">
      <c r="A55" s="65"/>
      <c r="B55" s="65"/>
      <c r="C55" s="65"/>
      <c r="D55" s="65"/>
      <c r="E55" s="66"/>
      <c r="F55" s="66"/>
      <c r="G55" s="65"/>
      <c r="H55" s="65"/>
      <c r="I55" s="66"/>
      <c r="J55" s="66"/>
      <c r="K55" s="65"/>
      <c r="L55" s="65"/>
      <c r="M55" s="67"/>
    </row>
  </sheetData>
  <mergeCells count="2">
    <mergeCell ref="A1:M1"/>
    <mergeCell ref="A2:M2"/>
  </mergeCells>
  <pageMargins left="0.22" right="0.34" top="0.49" bottom="0.75" header="0.3" footer="0.3"/>
  <pageSetup paperSize="9" scale="73" orientation="landscape" r:id="rId1"/>
  <rowBreaks count="1" manualBreakCount="1">
    <brk id="39" max="12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11.10</vt:lpstr>
      <vt:lpstr>'11.10'!Print_Area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2016-03-17T07:30:14Z</cp:lastPrinted>
  <dcterms:created xsi:type="dcterms:W3CDTF">2014-05-22T03:57:11Z</dcterms:created>
  <dcterms:modified xsi:type="dcterms:W3CDTF">2016-03-17T07:30:34Z</dcterms:modified>
</cp:coreProperties>
</file>