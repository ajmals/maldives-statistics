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3" sheetId="20" r:id="rId1"/>
  </sheets>
  <definedNames>
    <definedName name="_xlnm.Print_Area" localSheetId="0">'11.23'!$A$1:$G$20</definedName>
  </definedNames>
  <calcPr calcId="144525"/>
</workbook>
</file>

<file path=xl/calcChain.xml><?xml version="1.0" encoding="utf-8"?>
<calcChain xmlns="http://schemas.openxmlformats.org/spreadsheetml/2006/main">
  <c r="B19" i="20" l="1"/>
  <c r="B18" i="20"/>
  <c r="B17" i="20"/>
  <c r="B16" i="20"/>
  <c r="B15" i="20"/>
  <c r="B14" i="20"/>
  <c r="B13" i="20"/>
  <c r="B12" i="20"/>
  <c r="B11" i="20"/>
  <c r="B10" i="20"/>
  <c r="B9" i="20"/>
  <c r="B8" i="20"/>
  <c r="F7" i="20"/>
  <c r="E7" i="20"/>
  <c r="D7" i="20"/>
  <c r="C7" i="20"/>
  <c r="B7" i="20" l="1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<sst xmlns="http://schemas.openxmlformats.org/spreadsheetml/2006/main" count="40" uniqueCount="38">
  <si>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</si>
  <si>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</si>
  <si>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</si>
  <si>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</si>
  <si>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</si>
  <si>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</si>
  <si>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</si>
  <si>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</si>
  <si>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</si>
  <si>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</si>
  <si>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</si>
  <si>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</si>
  <si>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</si>
  <si>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</si>
  <si>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</si>
  <si>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</si>
  <si>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</si>
  <si>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</si>
  <si>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</si>
  <si>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</si>
  <si>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</si>
  <si>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</si>
  <si>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</si>
  <si>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</si>
  <si>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</si>
  <si>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</si>
  <si>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</si>
  <si>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</si>
  <si>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</si>
  <si>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</si>
  <si>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</si>
  <si>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</si>
  <si>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</si>
  <si>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</si>
  <si>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</si>
  <si>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 xml:space="preserve">(in Kg) </t>
  </si>
  <si>
    <t>ތާވަލު 11.23: މަސްމަހުގެ ގޮތުން އިބްރާހީމް ނާސިރު އިންޓަރނޭޝަނަލް އެއަރޕޯޓުން އުފުލުނު މެއިލް، 2014</t>
  </si>
  <si>
    <t>Table  11.23 :  MAIL HANDLED AT IBRAHIM NASIR INTERNATIONAL AIRPORT 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</si>
</sst>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0.0"/>
    <numFmt numFmtId="166" formatCode="_(* #,##0_);_(* \(#,##0\);_(* &quot;-&quot;??_);_(@_)"/>
    <numFmt numFmtId="168" formatCode="#,##0.0_);[Red]\(#,##0.0\)"/>
    <numFmt numFmtId="169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1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3" fillId="0" borderId="0"/>
    <xf numFmtId="40" fontId="17" fillId="0" borderId="0" applyFont="0" applyFill="0" applyBorder="0" applyAlignment="0" applyProtection="0"/>
    <xf numFmtId="0" fontId="19" fillId="0" borderId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7" fillId="0" borderId="0"/>
    <xf numFmtId="0" fontId="20" fillId="0" borderId="0"/>
    <xf numFmtId="164" fontId="13" fillId="0" borderId="0"/>
    <xf numFmtId="169" fontId="13" fillId="0" borderId="0" applyFont="0" applyFill="0" applyBorder="0" applyAlignment="0" applyProtection="0"/>
  </cellStyleXfs>
  <cellXfs count="54">
    <xf numFmtId="0" fontId="0" fillId="0" borderId="0" xfId="0"/>
    <xf numFmtId="0" fontId="11" fillId="2" borderId="3" xfId="0" applyNumberFormat="1" applyFont="1" applyFill="1" applyBorder="1" applyAlignment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164" fontId="5" fillId="2" borderId="0" xfId="0" applyNumberFormat="1" applyFont="1" applyFill="1"/>
    <xf numFmtId="164" fontId="5" fillId="2" borderId="0" xfId="0" applyNumberFormat="1" applyFont="1" applyFill="1" applyBorder="1"/>
    <xf numFmtId="164" fontId="8" fillId="2" borderId="0" xfId="5" applyNumberFormat="1" applyFont="1" applyFill="1" applyBorder="1" applyAlignment="1" applyProtection="1">
      <alignment horizontal="lef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0" fontId="16" fillId="2" borderId="0" xfId="7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8" fillId="2" borderId="0" xfId="7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8" fillId="2" borderId="5" xfId="7" applyFont="1" applyFill="1" applyBorder="1" applyAlignment="1">
      <alignment horizontal="right"/>
    </xf>
    <xf numFmtId="164" fontId="9" fillId="2" borderId="0" xfId="0" applyNumberFormat="1" applyFont="1" applyFill="1" applyBorder="1"/>
    <xf numFmtId="164" fontId="8" fillId="2" borderId="4" xfId="5" applyNumberFormat="1" applyFont="1" applyFill="1" applyBorder="1" applyAlignment="1" applyProtection="1">
      <alignment horizontal="left" vertical="center"/>
    </xf>
    <xf numFmtId="0" fontId="12" fillId="2" borderId="3" xfId="0" applyNumberFormat="1" applyFont="1" applyFill="1" applyBorder="1" applyAlignment="1">
      <alignment horizontal="right" vertical="center"/>
    </xf>
    <xf numFmtId="164" fontId="9" fillId="2" borderId="0" xfId="0" applyNumberFormat="1" applyFont="1" applyFill="1"/>
    <xf numFmtId="164" fontId="8" fillId="2" borderId="0" xfId="5" applyNumberFormat="1" applyFont="1" applyFill="1" applyBorder="1" applyAlignment="1" applyProtection="1">
      <alignment vertical="center"/>
    </xf>
    <xf numFmtId="164" fontId="12" fillId="2" borderId="0" xfId="0" applyNumberFormat="1" applyFont="1" applyFill="1" applyAlignment="1">
      <alignment vertical="center"/>
    </xf>
    <xf numFmtId="168" fontId="2" fillId="2" borderId="0" xfId="6" applyNumberFormat="1" applyFont="1" applyFill="1" applyBorder="1" applyAlignment="1" applyProtection="1">
      <alignment horizontal="right" vertical="center"/>
    </xf>
    <xf numFmtId="164" fontId="15" fillId="2" borderId="0" xfId="5" applyNumberFormat="1" applyFont="1" applyFill="1" applyBorder="1" applyAlignment="1">
      <alignment vertical="center"/>
    </xf>
    <xf numFmtId="0" fontId="7" fillId="2" borderId="0" xfId="11" applyFont="1" applyFill="1" applyAlignment="1">
      <alignment vertical="center"/>
    </xf>
    <xf numFmtId="168" fontId="3" fillId="2" borderId="0" xfId="6" applyNumberFormat="1" applyFont="1" applyFill="1" applyBorder="1" applyAlignment="1">
      <alignment horizontal="right"/>
    </xf>
    <xf numFmtId="168" fontId="3" fillId="2" borderId="10" xfId="6" applyNumberFormat="1" applyFont="1" applyFill="1" applyBorder="1" applyAlignment="1" applyProtection="1">
      <alignment horizontal="right" vertical="center"/>
      <protection locked="0"/>
    </xf>
    <xf numFmtId="168" fontId="3" fillId="2" borderId="0" xfId="6" applyNumberFormat="1" applyFont="1" applyFill="1" applyBorder="1" applyAlignment="1" applyProtection="1">
      <alignment horizontal="right" vertical="center"/>
      <protection locked="0"/>
    </xf>
    <xf numFmtId="164" fontId="8" fillId="2" borderId="0" xfId="5" applyNumberFormat="1" applyFont="1" applyFill="1" applyBorder="1" applyAlignment="1" applyProtection="1">
      <alignment horizontal="right" vertical="center"/>
    </xf>
    <xf numFmtId="168" fontId="2" fillId="0" borderId="6" xfId="6" applyNumberFormat="1" applyFont="1" applyFill="1" applyBorder="1" applyAlignment="1" applyProtection="1">
      <alignment horizontal="right" vertical="center"/>
    </xf>
    <xf numFmtId="168" fontId="3" fillId="0" borderId="1" xfId="6" applyNumberFormat="1" applyFont="1" applyFill="1" applyBorder="1" applyAlignment="1">
      <alignment horizontal="right"/>
    </xf>
    <xf numFmtId="168" fontId="3" fillId="0" borderId="8" xfId="6" applyNumberFormat="1" applyFont="1" applyFill="1" applyBorder="1" applyAlignment="1" applyProtection="1">
      <alignment horizontal="right" vertical="center"/>
      <protection locked="0"/>
    </xf>
    <xf numFmtId="168" fontId="2" fillId="0" borderId="17" xfId="6" applyNumberFormat="1" applyFont="1" applyFill="1" applyBorder="1" applyAlignment="1" applyProtection="1">
      <alignment horizontal="right" vertical="center"/>
    </xf>
    <xf numFmtId="168" fontId="3" fillId="0" borderId="2" xfId="6" applyNumberFormat="1" applyFont="1" applyFill="1" applyBorder="1" applyAlignment="1">
      <alignment horizontal="right"/>
    </xf>
    <xf numFmtId="168" fontId="3" fillId="0" borderId="18" xfId="6" applyNumberFormat="1" applyFont="1" applyFill="1" applyBorder="1" applyAlignment="1" applyProtection="1">
      <alignment horizontal="right" vertical="center"/>
      <protection locked="0"/>
    </xf>
    <xf numFmtId="164" fontId="2" fillId="2" borderId="4" xfId="5" applyNumberFormat="1" applyFont="1" applyFill="1" applyBorder="1" applyAlignment="1" applyProtection="1">
      <alignment horizontal="left" vertical="center"/>
    </xf>
    <xf numFmtId="168" fontId="2" fillId="2" borderId="16" xfId="6" applyNumberFormat="1" applyFont="1" applyFill="1" applyBorder="1" applyAlignment="1" applyProtection="1">
      <alignment horizontal="right" vertical="center"/>
    </xf>
    <xf numFmtId="168" fontId="2" fillId="2" borderId="7" xfId="6" applyNumberFormat="1" applyFont="1" applyFill="1" applyBorder="1" applyAlignment="1" applyProtection="1">
      <alignment horizontal="right" vertical="center"/>
    </xf>
    <xf numFmtId="168" fontId="2" fillId="2" borderId="12" xfId="6" applyNumberFormat="1" applyFont="1" applyFill="1" applyBorder="1" applyAlignment="1" applyProtection="1">
      <alignment horizontal="right" vertical="center"/>
    </xf>
    <xf numFmtId="164" fontId="2" fillId="2" borderId="19" xfId="5" applyNumberFormat="1" applyFont="1" applyFill="1" applyBorder="1" applyAlignment="1" applyProtection="1">
      <alignment horizontal="right" vertical="center"/>
    </xf>
    <xf numFmtId="168" fontId="2" fillId="0" borderId="15" xfId="6" applyNumberFormat="1" applyFont="1" applyFill="1" applyBorder="1" applyAlignment="1" applyProtection="1">
      <alignment horizontal="right" vertical="center"/>
    </xf>
    <xf numFmtId="168" fontId="3" fillId="0" borderId="14" xfId="6" applyNumberFormat="1" applyFont="1" applyFill="1" applyBorder="1" applyAlignment="1">
      <alignment horizontal="right"/>
    </xf>
    <xf numFmtId="168" fontId="3" fillId="0" borderId="20" xfId="6" applyNumberFormat="1" applyFont="1" applyFill="1" applyBorder="1" applyAlignment="1" applyProtection="1">
      <alignment horizontal="right" vertical="center"/>
    </xf>
    <xf numFmtId="168" fontId="3" fillId="0" borderId="8" xfId="6" applyNumberFormat="1" applyFont="1" applyFill="1" applyBorder="1" applyAlignment="1">
      <alignment horizontal="right"/>
    </xf>
    <xf numFmtId="168" fontId="3" fillId="0" borderId="18" xfId="6" applyNumberFormat="1" applyFont="1" applyFill="1" applyBorder="1" applyAlignment="1">
      <alignment horizontal="right"/>
    </xf>
    <xf numFmtId="168" fontId="3" fillId="0" borderId="20" xfId="6" applyNumberFormat="1" applyFont="1" applyFill="1" applyBorder="1" applyAlignment="1">
      <alignment horizontal="right"/>
    </xf>
    <xf numFmtId="168" fontId="2" fillId="2" borderId="22" xfId="6" applyNumberFormat="1" applyFont="1" applyFill="1" applyBorder="1" applyAlignment="1" applyProtection="1">
      <alignment horizontal="right" vertical="center"/>
    </xf>
    <xf numFmtId="168" fontId="3" fillId="0" borderId="13" xfId="6" applyNumberFormat="1" applyFont="1" applyFill="1" applyBorder="1" applyAlignment="1" applyProtection="1">
      <alignment horizontal="right" vertical="center"/>
      <protection locked="0"/>
    </xf>
    <xf numFmtId="168" fontId="3" fillId="0" borderId="23" xfId="6" applyNumberFormat="1" applyFont="1" applyFill="1" applyBorder="1" applyAlignment="1" applyProtection="1">
      <alignment horizontal="right" vertical="center"/>
      <protection locked="0"/>
    </xf>
    <xf numFmtId="168" fontId="3" fillId="0" borderId="21" xfId="6" applyNumberFormat="1" applyFont="1" applyFill="1" applyBorder="1" applyAlignment="1" applyProtection="1">
      <alignment horizontal="right" vertical="center"/>
    </xf>
    <xf numFmtId="0" fontId="16" fillId="2" borderId="4" xfId="7" applyFont="1" applyFill="1" applyBorder="1" applyAlignment="1">
      <alignment horizontal="right" vertical="center"/>
    </xf>
    <xf numFmtId="0" fontId="16" fillId="2" borderId="5" xfId="7" applyFont="1" applyFill="1" applyBorder="1" applyAlignment="1">
      <alignment horizontal="right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4" fillId="2" borderId="0" xfId="5" applyNumberFormat="1" applyFont="1" applyFill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 wrapText="1"/>
    </xf>
    <xf numFmtId="164" fontId="2" fillId="2" borderId="9" xfId="5" applyNumberFormat="1" applyFont="1" applyFill="1" applyBorder="1" applyAlignment="1" applyProtection="1">
      <alignment horizontal="center" vertical="center" wrapText="1"/>
    </xf>
  </cellXfs>
  <cellStyles count="15">
    <cellStyle name="Comma 2" xfId="6"/>
    <cellStyle name="Comma 4" xfId="10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8"/>
    <cellStyle name="Normal 3 2" xfId="4"/>
    <cellStyle name="Normal 4" xfId="9"/>
    <cellStyle name="Normal 5" xfId="2"/>
    <cellStyle name="Normal 6" xfId="12"/>
    <cellStyle name="Normal_IX-8 (Trans &amp; Comm)" xfId="11"/>
    <cellStyle name="Normal_X-5 (Electricity)" xfId="7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abSelected="1" zoomScaleNormal="100" zoomScaleSheetLayoutView="115" workbookViewId="0">
      <selection activeCell="N24" sqref="N24"/>
    </sheetView>
  </sheetViews>
  <sheetFormatPr defaultColWidth="9.140625" defaultRowHeight="15" x14ac:dyDescent="0.25"/>
  <cols>
    <col min="1" max="1" width="12.140625" style="4" customWidth="1"/>
    <col min="2" max="7" width="14.5703125" style="4" customWidth="1"/>
    <col min="8" max="8" width="9.140625" style="4"/>
    <col min="9" max="9" width="8.85546875" style="4" customWidth="1"/>
    <col min="10" max="16384" width="9.140625" style="4"/>
  </cols>
  <sheetData>
    <row r="2" spans="1:9" ht="23.25" customHeight="1" x14ac:dyDescent="0.55000000000000004">
      <c r="A2" s="50" t="s">
        <v>36</v>
      </c>
      <c r="B2" s="50"/>
      <c r="C2" s="50"/>
      <c r="D2" s="50"/>
      <c r="E2" s="50"/>
      <c r="F2" s="50"/>
      <c r="G2" s="50"/>
      <c r="H2" s="16"/>
      <c r="I2" s="17"/>
    </row>
    <row r="3" spans="1:9" ht="15" customHeight="1" x14ac:dyDescent="0.25">
      <c r="A3" s="51" t="s">
        <v>37</v>
      </c>
      <c r="B3" s="51"/>
      <c r="C3" s="51"/>
      <c r="D3" s="51"/>
      <c r="E3" s="51"/>
      <c r="F3" s="51"/>
      <c r="G3" s="51"/>
      <c r="H3" s="16"/>
      <c r="I3" s="17"/>
    </row>
    <row r="4" spans="1:9" x14ac:dyDescent="0.25">
      <c r="A4" s="49" t="s">
        <v>35</v>
      </c>
      <c r="B4" s="49"/>
      <c r="C4" s="49"/>
      <c r="D4" s="49"/>
      <c r="E4" s="49"/>
      <c r="F4" s="49"/>
      <c r="G4" s="49"/>
      <c r="H4" s="16"/>
      <c r="I4" s="17"/>
    </row>
    <row r="5" spans="1:9" x14ac:dyDescent="0.25">
      <c r="A5" s="14"/>
      <c r="B5" s="14"/>
      <c r="C5" s="52" t="s">
        <v>2</v>
      </c>
      <c r="D5" s="52"/>
      <c r="E5" s="53" t="s">
        <v>6</v>
      </c>
      <c r="F5" s="52"/>
      <c r="G5" s="47" t="s">
        <v>7</v>
      </c>
      <c r="H5" s="16"/>
      <c r="I5" s="17"/>
    </row>
    <row r="6" spans="1:9" x14ac:dyDescent="0.25">
      <c r="A6" s="6" t="s">
        <v>5</v>
      </c>
      <c r="B6" s="25" t="s">
        <v>34</v>
      </c>
      <c r="C6" s="7" t="s">
        <v>32</v>
      </c>
      <c r="D6" s="7" t="s">
        <v>33</v>
      </c>
      <c r="E6" s="36" t="s">
        <v>32</v>
      </c>
      <c r="F6" s="7" t="s">
        <v>33</v>
      </c>
      <c r="G6" s="48"/>
      <c r="H6" s="16"/>
      <c r="I6" s="17"/>
    </row>
    <row r="7" spans="1:9" ht="17.25" x14ac:dyDescent="0.4">
      <c r="A7" s="32" t="s">
        <v>1</v>
      </c>
      <c r="B7" s="33">
        <f t="shared" ref="B7:B19" si="0">SUM(C7:F7)</f>
        <v>383765.6</v>
      </c>
      <c r="C7" s="34">
        <f>SUM(C8:C19)</f>
        <v>216738.39999999994</v>
      </c>
      <c r="D7" s="35">
        <f>SUM(D8:D19)</f>
        <v>141764.97</v>
      </c>
      <c r="E7" s="43">
        <f>SUM(E8:E19)</f>
        <v>3708.6999999999994</v>
      </c>
      <c r="F7" s="35">
        <f>SUM(F8:F19)</f>
        <v>21553.53</v>
      </c>
      <c r="G7" s="8" t="s">
        <v>0</v>
      </c>
      <c r="H7" s="16"/>
      <c r="I7" s="17"/>
    </row>
    <row r="8" spans="1:9" ht="17.25" x14ac:dyDescent="0.4">
      <c r="A8" s="9" t="s">
        <v>8</v>
      </c>
      <c r="B8" s="26">
        <f t="shared" si="0"/>
        <v>14272.140000000001</v>
      </c>
      <c r="C8" s="27">
        <v>10578.43</v>
      </c>
      <c r="D8" s="40">
        <v>1983.6699999999998</v>
      </c>
      <c r="E8" s="44">
        <v>274.84000000000003</v>
      </c>
      <c r="F8" s="28">
        <v>1435.2</v>
      </c>
      <c r="G8" s="10" t="s">
        <v>9</v>
      </c>
      <c r="H8" s="16"/>
      <c r="I8" s="17"/>
    </row>
    <row r="9" spans="1:9" ht="17.25" x14ac:dyDescent="0.4">
      <c r="A9" s="9" t="s">
        <v>10</v>
      </c>
      <c r="B9" s="26">
        <f t="shared" si="0"/>
        <v>20902.25</v>
      </c>
      <c r="C9" s="27">
        <v>18482.89</v>
      </c>
      <c r="D9" s="40">
        <v>886.28000000000009</v>
      </c>
      <c r="E9" s="44">
        <v>206.18</v>
      </c>
      <c r="F9" s="28">
        <v>1326.8999999999999</v>
      </c>
      <c r="G9" s="10" t="s">
        <v>11</v>
      </c>
      <c r="H9" s="16"/>
      <c r="I9" s="17"/>
    </row>
    <row r="10" spans="1:9" ht="17.25" x14ac:dyDescent="0.4">
      <c r="A10" s="9" t="s">
        <v>12</v>
      </c>
      <c r="B10" s="26">
        <f t="shared" si="0"/>
        <v>30625.460000000003</v>
      </c>
      <c r="C10" s="27">
        <v>19196.590000000004</v>
      </c>
      <c r="D10" s="40">
        <v>9426.6</v>
      </c>
      <c r="E10" s="44">
        <v>304.20999999999998</v>
      </c>
      <c r="F10" s="28">
        <v>1698.06</v>
      </c>
      <c r="G10" s="10" t="s">
        <v>13</v>
      </c>
      <c r="H10" s="16"/>
      <c r="I10" s="17"/>
    </row>
    <row r="11" spans="1:9" ht="17.25" x14ac:dyDescent="0.4">
      <c r="A11" s="9" t="s">
        <v>14</v>
      </c>
      <c r="B11" s="26">
        <f t="shared" si="0"/>
        <v>39140.589999999997</v>
      </c>
      <c r="C11" s="27">
        <v>14451.61</v>
      </c>
      <c r="D11" s="40">
        <v>22095.54</v>
      </c>
      <c r="E11" s="44">
        <v>454.92</v>
      </c>
      <c r="F11" s="28">
        <v>2138.52</v>
      </c>
      <c r="G11" s="10" t="s">
        <v>15</v>
      </c>
      <c r="H11" s="16"/>
      <c r="I11" s="17"/>
    </row>
    <row r="12" spans="1:9" ht="17.25" x14ac:dyDescent="0.4">
      <c r="A12" s="9" t="s">
        <v>16</v>
      </c>
      <c r="B12" s="26">
        <f t="shared" si="0"/>
        <v>107908</v>
      </c>
      <c r="C12" s="27">
        <v>42836.88</v>
      </c>
      <c r="D12" s="40">
        <v>62677.200000000004</v>
      </c>
      <c r="E12" s="44">
        <v>270.71999999999997</v>
      </c>
      <c r="F12" s="28">
        <v>2123.1999999999998</v>
      </c>
      <c r="G12" s="10" t="s">
        <v>17</v>
      </c>
      <c r="H12" s="16"/>
      <c r="I12" s="16"/>
    </row>
    <row r="13" spans="1:9" ht="17.25" x14ac:dyDescent="0.4">
      <c r="A13" s="9" t="s">
        <v>18</v>
      </c>
      <c r="B13" s="26">
        <f t="shared" si="0"/>
        <v>64712.57</v>
      </c>
      <c r="C13" s="27">
        <v>32117.77</v>
      </c>
      <c r="D13" s="40">
        <v>30658.5</v>
      </c>
      <c r="E13" s="44">
        <v>347.2</v>
      </c>
      <c r="F13" s="28">
        <v>1589.1</v>
      </c>
      <c r="G13" s="10" t="s">
        <v>19</v>
      </c>
      <c r="H13" s="16"/>
      <c r="I13" s="16"/>
    </row>
    <row r="14" spans="1:9" ht="17.25" x14ac:dyDescent="0.4">
      <c r="A14" s="9" t="s">
        <v>20</v>
      </c>
      <c r="B14" s="26">
        <f t="shared" si="0"/>
        <v>12526.710000000001</v>
      </c>
      <c r="C14" s="27">
        <v>9807.0600000000013</v>
      </c>
      <c r="D14" s="40">
        <v>908.96999999999991</v>
      </c>
      <c r="E14" s="44">
        <v>275.58</v>
      </c>
      <c r="F14" s="28">
        <v>1535.1</v>
      </c>
      <c r="G14" s="10" t="s">
        <v>21</v>
      </c>
      <c r="H14" s="16"/>
      <c r="I14" s="16"/>
    </row>
    <row r="15" spans="1:9" ht="17.25" x14ac:dyDescent="0.4">
      <c r="A15" s="9" t="s">
        <v>22</v>
      </c>
      <c r="B15" s="26">
        <f t="shared" si="0"/>
        <v>17330.259999999998</v>
      </c>
      <c r="C15" s="27">
        <v>12772.05</v>
      </c>
      <c r="D15" s="40">
        <v>2408.4</v>
      </c>
      <c r="E15" s="44">
        <v>306.01</v>
      </c>
      <c r="F15" s="28">
        <v>1843.8</v>
      </c>
      <c r="G15" s="10" t="s">
        <v>23</v>
      </c>
      <c r="H15" s="16"/>
      <c r="I15" s="16"/>
    </row>
    <row r="16" spans="1:9" ht="17.25" x14ac:dyDescent="0.4">
      <c r="A16" s="9" t="s">
        <v>24</v>
      </c>
      <c r="B16" s="26">
        <f t="shared" si="0"/>
        <v>19779.699999999997</v>
      </c>
      <c r="C16" s="27">
        <v>16374.669999999998</v>
      </c>
      <c r="D16" s="40">
        <v>1022.46</v>
      </c>
      <c r="E16" s="44">
        <v>336.95</v>
      </c>
      <c r="F16" s="28">
        <v>2045.62</v>
      </c>
      <c r="G16" s="10" t="s">
        <v>25</v>
      </c>
      <c r="H16" s="16"/>
      <c r="I16" s="16"/>
    </row>
    <row r="17" spans="1:9" ht="17.25" x14ac:dyDescent="0.4">
      <c r="A17" s="9" t="s">
        <v>26</v>
      </c>
      <c r="B17" s="29">
        <f t="shared" si="0"/>
        <v>17248.129999999997</v>
      </c>
      <c r="C17" s="30">
        <v>12890.359999999999</v>
      </c>
      <c r="D17" s="41">
        <v>2360.3200000000002</v>
      </c>
      <c r="E17" s="45">
        <v>301.75</v>
      </c>
      <c r="F17" s="31">
        <v>1695.7</v>
      </c>
      <c r="G17" s="10" t="s">
        <v>27</v>
      </c>
      <c r="H17" s="16"/>
      <c r="I17" s="16"/>
    </row>
    <row r="18" spans="1:9" s="5" customFormat="1" ht="17.25" x14ac:dyDescent="0.4">
      <c r="A18" s="9" t="s">
        <v>28</v>
      </c>
      <c r="B18" s="19">
        <f t="shared" si="0"/>
        <v>24321.41</v>
      </c>
      <c r="C18" s="22">
        <v>15721.220000000001</v>
      </c>
      <c r="D18" s="22">
        <v>6219.03</v>
      </c>
      <c r="E18" s="23">
        <v>236.41000000000003</v>
      </c>
      <c r="F18" s="24">
        <v>2144.75</v>
      </c>
      <c r="G18" s="10" t="s">
        <v>29</v>
      </c>
      <c r="H18" s="13"/>
      <c r="I18" s="13"/>
    </row>
    <row r="19" spans="1:9" ht="17.25" x14ac:dyDescent="0.4">
      <c r="A19" s="11" t="s">
        <v>30</v>
      </c>
      <c r="B19" s="37">
        <f t="shared" si="0"/>
        <v>14998.38</v>
      </c>
      <c r="C19" s="38">
        <v>11508.869999999999</v>
      </c>
      <c r="D19" s="42">
        <v>1118</v>
      </c>
      <c r="E19" s="46">
        <v>393.93</v>
      </c>
      <c r="F19" s="39">
        <v>1977.58</v>
      </c>
      <c r="G19" s="12" t="s">
        <v>31</v>
      </c>
      <c r="H19" s="16"/>
      <c r="I19" s="16"/>
    </row>
    <row r="20" spans="1:9" ht="18.75" x14ac:dyDescent="0.25">
      <c r="A20" s="2" t="s">
        <v>3</v>
      </c>
      <c r="B20" s="2"/>
      <c r="C20" s="3"/>
      <c r="D20" s="3"/>
      <c r="E20" s="3"/>
      <c r="F20" s="1"/>
      <c r="G20" s="15" t="s">
        <v>4</v>
      </c>
      <c r="H20" s="16"/>
      <c r="I20" s="16"/>
    </row>
    <row r="21" spans="1:9" x14ac:dyDescent="0.25">
      <c r="A21" s="20"/>
      <c r="B21" s="21"/>
      <c r="C21" s="21"/>
      <c r="D21" s="21"/>
      <c r="E21" s="21"/>
      <c r="F21" s="21"/>
    </row>
    <row r="22" spans="1:9" ht="17.25" x14ac:dyDescent="0.25">
      <c r="A22" s="21"/>
      <c r="B22" s="21"/>
      <c r="C22" s="21"/>
      <c r="D22" s="21"/>
      <c r="E22" s="21"/>
      <c r="F22" s="21"/>
      <c r="G22" s="18"/>
    </row>
  </sheetData>
  <mergeCells count="6">
    <mergeCell ref="A2:G2"/>
    <mergeCell ref="A3:G3"/>
    <mergeCell ref="A4:G4"/>
    <mergeCell ref="C5:D5"/>
    <mergeCell ref="E5:F5"/>
    <mergeCell ref="G5:G6"/>
  </mergeCells>
  <pageMargins left="0.33" right="0.31" top="0.75" bottom="0.75" header="0.3" footer="0.3"/>
  <pageSetup paperSize="9" scale="9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11.23</vt:lpstr>
      <vt:lpstr>'11.23'!Print_Area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2016-03-17T08:02:16Z</cp:lastPrinted>
  <dcterms:created xsi:type="dcterms:W3CDTF">2014-05-22T03:57:11Z</dcterms:created>
  <dcterms:modified xsi:type="dcterms:W3CDTF">2016-03-17T08:02:17Z</dcterms:modified>
</cp:coreProperties>
</file>