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7" sheetId="18" r:id="rId1"/>
  </sheets>
  <definedNames>
    <definedName name="_xlnm.Print_Area" localSheetId="0">'11.27'!$A$1:$I$72</definedName>
  </definedNames>
  <calcPr calcId="144525"/>
</workbook>
</file>

<file path=xl/calcChain.xml><?xml version="1.0" encoding="utf-8"?>
<calcChain xmlns="http://schemas.openxmlformats.org/spreadsheetml/2006/main">
  <c r="L69" i="18" l="1"/>
  <c r="L68" i="18"/>
  <c r="L67" i="18"/>
  <c r="L63" i="18"/>
  <c r="L60" i="18"/>
  <c r="AC37" i="18" l="1"/>
  <c r="AB37" i="18"/>
  <c r="AB48" i="18"/>
  <c r="AA48" i="18"/>
  <c r="AB47" i="18"/>
  <c r="AA47" i="18" s="1"/>
  <c r="AB46" i="18"/>
  <c r="AA46" i="18" s="1"/>
  <c r="AC45" i="18"/>
  <c r="AB45" i="18" s="1"/>
  <c r="AA45" i="18" s="1"/>
  <c r="AB44" i="18"/>
  <c r="AA44" i="18"/>
  <c r="AB43" i="18"/>
  <c r="AA43" i="18"/>
  <c r="AC36" i="18"/>
  <c r="AB36" i="18"/>
  <c r="AA36" i="18"/>
  <c r="AC35" i="18"/>
  <c r="AB35" i="18"/>
  <c r="AA35" i="18"/>
  <c r="AC34" i="18"/>
  <c r="AB34" i="18"/>
  <c r="AA34" i="18"/>
  <c r="AC33" i="18"/>
  <c r="AB33" i="18"/>
  <c r="AC32" i="18"/>
  <c r="AB32" i="18"/>
  <c r="B21" i="18"/>
  <c r="AA37" i="18" s="1"/>
  <c r="B17" i="18"/>
  <c r="AA33" i="18" s="1"/>
  <c r="B16" i="18"/>
  <c r="AA32" i="18" s="1"/>
  <c r="B15" i="18"/>
  <c r="B14" i="18"/>
  <c r="B13" i="18"/>
  <c r="B12" i="18"/>
  <c r="B11" i="18"/>
  <c r="B10" i="18"/>
  <c r="B9" i="18"/>
  <c r="B8" i="18"/>
</calcChain>
</file>

<file path=xl/sharedStrings.xml><?xml version="1.0" encoding="utf-8"?>
<sst xmlns="http://schemas.openxmlformats.org/spreadsheetml/2006/main" count="51" uniqueCount="41">
  <si>
    <t>wlcmuj</t>
  </si>
  <si>
    <t>Total</t>
  </si>
  <si>
    <t>-</t>
  </si>
  <si>
    <t>Source: Telecom Operators – Dhiraagu and Wataniya</t>
  </si>
  <si>
    <t>Prepared by: Communications Authority of Maldives (CAM)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</si>
  <si>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</si>
  <si>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</si>
  <si>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</si>
  <si>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</si>
  <si>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</si>
  <si>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 xml:space="preserve">SMS Usage </t>
  </si>
  <si>
    <t>Land Lines</t>
  </si>
  <si>
    <t>cawtclOk</t>
  </si>
  <si>
    <t>csea .cmea .csea Evunof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</si>
  <si>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</si>
  <si>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</si>
  <si>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</si>
  <si>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</si>
  <si>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</si>
  <si>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Outgoing SMS's </t>
  </si>
  <si>
    <t xml:space="preserve">Local </t>
  </si>
  <si>
    <t>Inter- zone</t>
  </si>
  <si>
    <t>Fixed--&gt;Mobile</t>
  </si>
  <si>
    <t>Mobile call Minutes</t>
  </si>
  <si>
    <t>call minutes</t>
  </si>
  <si>
    <t>(in 000s)</t>
  </si>
  <si>
    <t>Definitions:</t>
  </si>
  <si>
    <t>National Call Minutes in land line</t>
  </si>
  <si>
    <t xml:space="preserve">Mobile call Minutes </t>
  </si>
  <si>
    <t>International call minutes</t>
  </si>
  <si>
    <t>(in millions)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</si>
  <si>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</si>
  <si>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</si>
  <si>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</si>
  <si>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</si>
  <si>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</si>
  <si>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 xml:space="preserve">2014 - 2001 ,cnuLug egutWlwsWvum egEjcaWr idwa ImWvcqwaclwniawb : 11.27 clwvWt </t>
  </si>
  <si>
    <t>Table 11.27: INTERNATIONAL AND NATIONAL COMMUNICATION, 2001 - 2014</t>
  </si>
  <si>
    <t>2014*</t>
  </si>
  <si>
    <t>Note 1 - Considerable increase in 2008 mobile &amp; international minutes as call minutes from pre-paid phones were not included in previous years</t>
  </si>
  <si>
    <t xml:space="preserve">* Revised -  Total Call Minutes for the 2014 is the total sum of Call Mins Oct 2013 - Sep 2014.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</si>
</sst>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9" formatCode="[$-409]mmmm\ d\,\ yy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ourier"/>
      <family val="3"/>
    </font>
    <font>
      <i/>
      <sz val="10"/>
      <color theme="1"/>
      <name val="Calibri"/>
      <family val="2"/>
      <scheme val="minor"/>
    </font>
    <font>
      <b/>
      <sz val="12"/>
      <color theme="1"/>
      <name val="A_Randhoo"/>
    </font>
    <font>
      <b/>
      <sz val="12"/>
      <color theme="1"/>
      <name val="Calibri"/>
      <family val="2"/>
      <scheme val="minor"/>
    </font>
    <font>
      <b/>
      <sz val="10"/>
      <color theme="1"/>
      <name val="A_Randhoo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A_Randhoo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  <xf numFmtId="164" fontId="4" fillId="0" borderId="0"/>
    <xf numFmtId="40" fontId="6" fillId="0" borderId="0" applyFont="0" applyFill="0" applyBorder="0" applyAlignment="0" applyProtection="0"/>
    <xf numFmtId="0" fontId="7" fillId="0" borderId="0"/>
    <xf numFmtId="166" fontId="4" fillId="0" borderId="0"/>
    <xf numFmtId="166" fontId="4" fillId="0" borderId="0"/>
    <xf numFmtId="165" fontId="4" fillId="0" borderId="0" applyFont="0" applyFill="0" applyBorder="0" applyAlignment="0" applyProtection="0"/>
    <xf numFmtId="0" fontId="20" fillId="0" borderId="0"/>
    <xf numFmtId="164" fontId="4" fillId="0" borderId="0"/>
    <xf numFmtId="169" fontId="4" fillId="0" borderId="0" applyFont="0" applyFill="0" applyBorder="0" applyAlignment="0" applyProtection="0"/>
  </cellStyleXfs>
  <cellXfs count="57">
    <xf numFmtId="0" fontId="0" fillId="0" borderId="0" xfId="0"/>
    <xf numFmtId="164" fontId="5" fillId="2" borderId="0" xfId="10" applyNumberFormat="1" applyFont="1" applyFill="1"/>
    <xf numFmtId="164" fontId="8" fillId="2" borderId="0" xfId="10" applyNumberFormat="1" applyFont="1" applyFill="1" applyBorder="1"/>
    <xf numFmtId="0" fontId="13" fillId="2" borderId="0" xfId="10" applyNumberFormat="1" applyFont="1" applyFill="1" applyAlignment="1"/>
    <xf numFmtId="164" fontId="8" fillId="2" borderId="0" xfId="10" applyNumberFormat="1" applyFont="1" applyFill="1"/>
    <xf numFmtId="0" fontId="14" fillId="2" borderId="3" xfId="8" applyFont="1" applyFill="1" applyBorder="1" applyAlignment="1"/>
    <xf numFmtId="0" fontId="14" fillId="2" borderId="1" xfId="8" applyFont="1" applyFill="1" applyBorder="1" applyAlignment="1">
      <alignment horizontal="center" vertical="center"/>
    </xf>
    <xf numFmtId="0" fontId="9" fillId="2" borderId="1" xfId="10" applyNumberFormat="1" applyFont="1" applyFill="1" applyBorder="1" applyAlignment="1">
      <alignment horizontal="center"/>
    </xf>
    <xf numFmtId="164" fontId="8" fillId="2" borderId="2" xfId="10" applyNumberFormat="1" applyFont="1" applyFill="1" applyBorder="1"/>
    <xf numFmtId="0" fontId="14" fillId="2" borderId="2" xfId="8" applyFont="1" applyFill="1" applyBorder="1" applyAlignment="1">
      <alignment horizontal="center" vertical="center"/>
    </xf>
    <xf numFmtId="0" fontId="14" fillId="2" borderId="0" xfId="8" applyFont="1" applyFill="1" applyBorder="1" applyAlignment="1">
      <alignment horizontal="right" vertical="center"/>
    </xf>
    <xf numFmtId="0" fontId="14" fillId="2" borderId="1" xfId="8" applyFont="1" applyFill="1" applyBorder="1" applyAlignment="1">
      <alignment horizontal="right" vertical="center"/>
    </xf>
    <xf numFmtId="0" fontId="15" fillId="2" borderId="0" xfId="10" applyNumberFormat="1" applyFont="1" applyFill="1" applyBorder="1" applyAlignment="1">
      <alignment horizontal="right" vertical="center"/>
    </xf>
    <xf numFmtId="164" fontId="15" fillId="2" borderId="0" xfId="10" applyNumberFormat="1" applyFont="1" applyFill="1" applyBorder="1" applyAlignment="1">
      <alignment horizontal="right" vertical="center"/>
    </xf>
    <xf numFmtId="0" fontId="9" fillId="2" borderId="2" xfId="10" applyNumberFormat="1" applyFont="1" applyFill="1" applyBorder="1" applyAlignment="1">
      <alignment horizontal="right"/>
    </xf>
    <xf numFmtId="0" fontId="9" fillId="2" borderId="2" xfId="10" applyNumberFormat="1" applyFont="1" applyFill="1" applyBorder="1" applyAlignment="1">
      <alignment horizontal="right" vertical="center"/>
    </xf>
    <xf numFmtId="164" fontId="9" fillId="2" borderId="2" xfId="10" applyNumberFormat="1" applyFont="1" applyFill="1" applyBorder="1" applyAlignment="1">
      <alignment horizontal="right"/>
    </xf>
    <xf numFmtId="0" fontId="15" fillId="2" borderId="0" xfId="10" applyNumberFormat="1" applyFont="1" applyFill="1" applyBorder="1" applyAlignment="1">
      <alignment horizontal="center" vertical="center"/>
    </xf>
    <xf numFmtId="3" fontId="8" fillId="2" borderId="0" xfId="11" applyNumberFormat="1" applyFont="1" applyFill="1" applyBorder="1" applyAlignment="1">
      <alignment horizontal="right" vertical="center"/>
    </xf>
    <xf numFmtId="3" fontId="8" fillId="2" borderId="0" xfId="10" applyNumberFormat="1" applyFont="1" applyFill="1" applyBorder="1" applyAlignment="1">
      <alignment horizontal="right" vertical="center"/>
    </xf>
    <xf numFmtId="164" fontId="8" fillId="2" borderId="0" xfId="10" applyNumberFormat="1" applyFont="1" applyFill="1" applyBorder="1" applyAlignment="1">
      <alignment horizontal="right" vertical="center"/>
    </xf>
    <xf numFmtId="0" fontId="8" fillId="2" borderId="0" xfId="10" applyNumberFormat="1" applyFont="1" applyFill="1"/>
    <xf numFmtId="0" fontId="15" fillId="2" borderId="0" xfId="0" applyNumberFormat="1" applyFont="1" applyFill="1" applyBorder="1" applyAlignment="1">
      <alignment horizontal="center"/>
    </xf>
    <xf numFmtId="3" fontId="8" fillId="2" borderId="0" xfId="0" applyNumberFormat="1" applyFont="1" applyFill="1" applyBorder="1" applyAlignment="1">
      <alignment horizontal="right" vertical="center"/>
    </xf>
    <xf numFmtId="0" fontId="15" fillId="2" borderId="2" xfId="0" applyNumberFormat="1" applyFont="1" applyFill="1" applyBorder="1" applyAlignment="1">
      <alignment horizontal="center"/>
    </xf>
    <xf numFmtId="3" fontId="8" fillId="2" borderId="2" xfId="11" applyNumberFormat="1" applyFont="1" applyFill="1" applyBorder="1" applyAlignment="1">
      <alignment horizontal="right" vertical="center"/>
    </xf>
    <xf numFmtId="3" fontId="8" fillId="2" borderId="2" xfId="0" applyNumberFormat="1" applyFont="1" applyFill="1" applyBorder="1" applyAlignment="1">
      <alignment horizontal="right" vertical="center"/>
    </xf>
    <xf numFmtId="0" fontId="11" fillId="2" borderId="0" xfId="10" applyNumberFormat="1" applyFont="1" applyFill="1" applyBorder="1"/>
    <xf numFmtId="0" fontId="11" fillId="2" borderId="0" xfId="10" applyNumberFormat="1" applyFont="1" applyFill="1" applyAlignment="1">
      <alignment horizontal="left"/>
    </xf>
    <xf numFmtId="0" fontId="11" fillId="2" borderId="0" xfId="10" applyNumberFormat="1" applyFont="1" applyFill="1"/>
    <xf numFmtId="164" fontId="11" fillId="2" borderId="0" xfId="10" applyNumberFormat="1" applyFont="1" applyFill="1"/>
    <xf numFmtId="0" fontId="16" fillId="2" borderId="0" xfId="10" applyNumberFormat="1" applyFont="1" applyFill="1"/>
    <xf numFmtId="164" fontId="17" fillId="2" borderId="0" xfId="10" applyNumberFormat="1" applyFont="1" applyFill="1" applyBorder="1" applyAlignment="1">
      <alignment horizontal="center" vertical="center" wrapText="1"/>
    </xf>
    <xf numFmtId="0" fontId="15" fillId="2" borderId="0" xfId="10" applyNumberFormat="1" applyFont="1" applyFill="1"/>
    <xf numFmtId="38" fontId="8" fillId="2" borderId="0" xfId="7" applyNumberFormat="1" applyFont="1" applyFill="1" applyBorder="1" applyAlignment="1">
      <alignment horizontal="right"/>
    </xf>
    <xf numFmtId="0" fontId="8" fillId="2" borderId="0" xfId="10" applyNumberFormat="1" applyFont="1" applyFill="1" applyBorder="1"/>
    <xf numFmtId="3" fontId="8" fillId="2" borderId="0" xfId="11" applyNumberFormat="1" applyFont="1" applyFill="1" applyBorder="1"/>
    <xf numFmtId="3" fontId="8" fillId="2" borderId="0" xfId="10" applyNumberFormat="1" applyFont="1" applyFill="1" applyBorder="1"/>
    <xf numFmtId="164" fontId="8" fillId="2" borderId="0" xfId="10" applyNumberFormat="1" applyFont="1" applyFill="1" applyAlignment="1">
      <alignment horizontal="center" vertical="center" wrapText="1"/>
    </xf>
    <xf numFmtId="0" fontId="17" fillId="2" borderId="0" xfId="10" applyNumberFormat="1" applyFont="1" applyFill="1" applyBorder="1" applyAlignment="1">
      <alignment horizontal="center" vertical="center" wrapText="1"/>
    </xf>
    <xf numFmtId="0" fontId="18" fillId="2" borderId="0" xfId="10" applyNumberFormat="1" applyFont="1" applyFill="1"/>
    <xf numFmtId="0" fontId="18" fillId="2" borderId="0" xfId="10" applyNumberFormat="1" applyFont="1" applyFill="1" applyBorder="1"/>
    <xf numFmtId="164" fontId="10" fillId="2" borderId="0" xfId="10" applyNumberFormat="1" applyFont="1" applyFill="1" applyBorder="1"/>
    <xf numFmtId="3" fontId="18" fillId="2" borderId="0" xfId="11" applyNumberFormat="1" applyFont="1" applyFill="1" applyBorder="1"/>
    <xf numFmtId="3" fontId="18" fillId="2" borderId="0" xfId="10" applyNumberFormat="1" applyFont="1" applyFill="1" applyBorder="1"/>
    <xf numFmtId="38" fontId="8" fillId="2" borderId="0" xfId="7" applyNumberFormat="1" applyFont="1" applyFill="1" applyBorder="1"/>
    <xf numFmtId="166" fontId="8" fillId="2" borderId="0" xfId="1" applyNumberFormat="1" applyFont="1" applyFill="1" applyBorder="1"/>
    <xf numFmtId="164" fontId="10" fillId="2" borderId="0" xfId="10" applyNumberFormat="1" applyFont="1" applyFill="1"/>
    <xf numFmtId="0" fontId="19" fillId="2" borderId="0" xfId="8" applyFont="1" applyFill="1" applyBorder="1" applyAlignment="1">
      <alignment vertical="center"/>
    </xf>
    <xf numFmtId="0" fontId="12" fillId="2" borderId="0" xfId="8" applyFont="1" applyFill="1" applyBorder="1" applyAlignment="1">
      <alignment horizontal="center" vertical="center" wrapText="1"/>
    </xf>
    <xf numFmtId="0" fontId="13" fillId="2" borderId="0" xfId="10" applyNumberFormat="1" applyFont="1" applyFill="1" applyBorder="1" applyAlignment="1">
      <alignment horizontal="center"/>
    </xf>
    <xf numFmtId="0" fontId="9" fillId="2" borderId="2" xfId="10" applyNumberFormat="1" applyFont="1" applyFill="1" applyBorder="1" applyAlignment="1">
      <alignment horizontal="center"/>
    </xf>
    <xf numFmtId="0" fontId="9" fillId="2" borderId="1" xfId="10" applyNumberFormat="1" applyFont="1" applyFill="1" applyBorder="1" applyAlignment="1">
      <alignment horizontal="center" vertical="center"/>
    </xf>
    <xf numFmtId="0" fontId="9" fillId="2" borderId="0" xfId="10" applyNumberFormat="1" applyFont="1" applyFill="1" applyBorder="1" applyAlignment="1">
      <alignment horizontal="center" vertical="center"/>
    </xf>
    <xf numFmtId="0" fontId="9" fillId="2" borderId="2" xfId="10" applyNumberFormat="1" applyFont="1" applyFill="1" applyBorder="1" applyAlignment="1">
      <alignment horizontal="center" vertical="center"/>
    </xf>
    <xf numFmtId="0" fontId="9" fillId="2" borderId="3" xfId="10" applyNumberFormat="1" applyFont="1" applyFill="1" applyBorder="1" applyAlignment="1">
      <alignment horizontal="center"/>
    </xf>
    <xf numFmtId="0" fontId="15" fillId="2" borderId="3" xfId="10" applyNumberFormat="1" applyFont="1" applyFill="1" applyBorder="1" applyAlignment="1">
      <alignment horizontal="center"/>
    </xf>
  </cellXfs>
  <cellStyles count="15">
    <cellStyle name="Comma" xfId="1" builtinId="3"/>
    <cellStyle name="Comma 2" xfId="7"/>
    <cellStyle name="Comma 4" xfId="11"/>
    <cellStyle name="Comma 4 2" xfId="14"/>
    <cellStyle name="Hyperlink 2" xfId="2"/>
    <cellStyle name="Normal" xfId="0" builtinId="0"/>
    <cellStyle name="Normal 2" xfId="6"/>
    <cellStyle name="Normal 2 2" xfId="13"/>
    <cellStyle name="Normal 2 3" xfId="4"/>
    <cellStyle name="Normal 3" xfId="9"/>
    <cellStyle name="Normal 3 2" xfId="5"/>
    <cellStyle name="Normal 4" xfId="10"/>
    <cellStyle name="Normal 5" xfId="3"/>
    <cellStyle name="Normal 6" xfId="12"/>
    <cellStyle name="Normal_IX-19(Trans &amp; Comm)" xfId="8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2"/>
          <c:y val="0.1923331768959344"/>
          <c:w val="0.85963464566929138"/>
          <c:h val="0.6959893554972295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'11.27'!$AA$31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rgbClr val="B888DC"/>
            </a:solidFill>
          </c:spPr>
          <c:invertIfNegative val="0"/>
          <c:cat>
            <c:numRef>
              <c:f>'11.27'!$Z$32:$Z$37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'11.27'!$AA$32:$AA$37</c:f>
              <c:numCache>
                <c:formatCode>#,##0_);[Red]\(#,##0\)</c:formatCode>
                <c:ptCount val="6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</c:numCache>
            </c:numRef>
          </c:val>
        </c:ser>
        <c:ser>
          <c:idx val="0"/>
          <c:order val="1"/>
          <c:tx>
            <c:strRef>
              <c:f>'11.27'!$AB$31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cat>
            <c:numRef>
              <c:f>'11.27'!$Z$32:$Z$37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'11.27'!$AB$32:$AB$37</c:f>
              <c:numCache>
                <c:formatCode>#,##0_);[Red]\(#,##0\)</c:formatCode>
                <c:ptCount val="6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</c:numCache>
            </c:numRef>
          </c:val>
        </c:ser>
        <c:ser>
          <c:idx val="1"/>
          <c:order val="2"/>
          <c:tx>
            <c:strRef>
              <c:f>'11.27'!$AC$31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numRef>
              <c:f>'11.27'!$Z$32:$Z$37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'11.27'!$AC$32:$AC$37</c:f>
              <c:numCache>
                <c:formatCode>_(* #,##0_);_(* \(#,##0\);_(* "-"??_);_(@_)</c:formatCode>
                <c:ptCount val="6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74845568"/>
        <c:axId val="74847360"/>
      </c:barChart>
      <c:catAx>
        <c:axId val="7484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74847360"/>
        <c:crosses val="autoZero"/>
        <c:auto val="1"/>
        <c:lblAlgn val="ctr"/>
        <c:lblOffset val="100"/>
        <c:noMultiLvlLbl val="0"/>
      </c:catAx>
      <c:valAx>
        <c:axId val="7484736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23232770061059E-4"/>
              <c:y val="0.10087257304757437"/>
            </c:manualLayout>
          </c:layout>
          <c:overlay val="0"/>
        </c:title>
        <c:numFmt formatCode="#,##0_);[Red]\(#,##0\)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48455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2960073246658119"/>
          <c:y val="0.21836504811898513"/>
          <c:w val="0.57506405420252704"/>
          <c:h val="0.13046332750072909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 b="1" i="0" u="none" strike="noStrike" baseline="0">
                <a:latin typeface="Consolas" pitchFamily="49" charset="0"/>
                <a:cs typeface="Consolas" pitchFamily="49" charset="0"/>
              </a:rPr>
              <a:t>Figure 11.17: Number of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Outgoing SMS's, 2009 - 2014</a:t>
            </a:r>
          </a:p>
        </c:rich>
      </c:tx>
      <c:layout>
        <c:manualLayout>
          <c:xMode val="edge"/>
          <c:yMode val="edge"/>
          <c:x val="0.21764764777645992"/>
          <c:y val="5.487502436791741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673562977576812"/>
          <c:y val="0.1832640295635812"/>
          <c:w val="0.85968725084530762"/>
          <c:h val="0.664243492706576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'11.27'!$AA$41:$AA$42</c:f>
              <c:strCache>
                <c:ptCount val="1"/>
                <c:pt idx="0">
                  <c:v>Outgoing SMS's  (in millions)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numRef>
              <c:f>'11.27'!$Z$43:$Z$48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 formatCode="General_)">
                  <c:v>2014</c:v>
                </c:pt>
              </c:numCache>
            </c:numRef>
          </c:cat>
          <c:val>
            <c:numRef>
              <c:f>'11.27'!$AA$43:$AA$48</c:f>
              <c:numCache>
                <c:formatCode>#,##0</c:formatCode>
                <c:ptCount val="6"/>
                <c:pt idx="0">
                  <c:v>73.355000000000004</c:v>
                </c:pt>
                <c:pt idx="1">
                  <c:v>93.718999999999994</c:v>
                </c:pt>
                <c:pt idx="2">
                  <c:v>370.17200000000003</c:v>
                </c:pt>
                <c:pt idx="3">
                  <c:v>442.66</c:v>
                </c:pt>
                <c:pt idx="4">
                  <c:v>568.375</c:v>
                </c:pt>
                <c:pt idx="5">
                  <c:v>498.12900000000002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876416"/>
        <c:axId val="74877952"/>
      </c:barChart>
      <c:catAx>
        <c:axId val="7487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74877952"/>
        <c:crosses val="autoZero"/>
        <c:auto val="1"/>
        <c:lblAlgn val="ctr"/>
        <c:lblOffset val="100"/>
        <c:noMultiLvlLbl val="0"/>
      </c:catAx>
      <c:valAx>
        <c:axId val="74877952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'000</a:t>
                </a:r>
              </a:p>
            </c:rich>
          </c:tx>
          <c:layout>
            <c:manualLayout>
              <c:xMode val="edge"/>
              <c:yMode val="edge"/>
              <c:x val="2.3651145602365309E-2"/>
              <c:y val="6.355996582749837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748764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688975</xdr:colOff>
      <xdr:row>31</xdr:row>
      <xdr:rowOff>139700</xdr:rowOff>
    </xdr:from>
    <xdr:to>
      <xdr:col>8</xdr:col>
      <xdr:colOff>809625</xdr:colOff>
      <xdr:row>48</xdr:row>
      <xdr:rowOff>101600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428624</xdr:colOff>
      <xdr:row>50</xdr:row>
      <xdr:rowOff>123826</xdr:rowOff>
    </xdr:from>
    <xdr:to>
      <xdr:col>8</xdr:col>
      <xdr:colOff>838200</xdr:colOff>
      <xdr:row>70</xdr:row>
      <xdr:rowOff>6351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</xdr:colOff>
      <xdr:row>32</xdr:row>
      <xdr:rowOff>47625</xdr:rowOff>
    </xdr:from>
    <xdr:to>
      <xdr:col>8</xdr:col>
      <xdr:colOff>457200</xdr:colOff>
      <xdr:row>34</xdr:row>
      <xdr:rowOff>9525</xdr:rowOff>
    </xdr:to>
    <xdr:sp macro="" textlink="">
      <xdr:nvSpPr>
        <xdr:cNvPr id="8" name="TextBox 7"/>
        <xdr:cNvSpPr txBox="1"/>
      </xdr:nvSpPr>
      <xdr:spPr>
        <a:xfrm>
          <a:off x="2552700" y="5895975"/>
          <a:ext cx="5343525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11.16 International and National Communications, 2009 - 2014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209548</xdr:colOff>
      <xdr:row>33</xdr:row>
      <xdr:rowOff>120014</xdr:rowOff>
    </xdr:from>
    <xdr:to>
      <xdr:col>8</xdr:col>
      <xdr:colOff>466724</xdr:colOff>
      <xdr:row>33</xdr:row>
      <xdr:rowOff>133349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2590798" y="6130289"/>
          <a:ext cx="5314951" cy="13335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3</xdr:col>
      <xdr:colOff>419100</xdr:colOff>
      <xdr:row>53</xdr:row>
      <xdr:rowOff>87631</xdr:rowOff>
    </xdr:from>
    <xdr:to>
      <xdr:col>8</xdr:col>
      <xdr:colOff>590550</xdr:colOff>
      <xdr:row>53</xdr:row>
      <xdr:rowOff>87631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2800350" y="9345931"/>
          <a:ext cx="5229225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9"/>
  <sheetViews>
    <sheetView tabSelected="1" zoomScaleNormal="100" zoomScaleSheetLayoutView="80" workbookViewId="0">
      <selection activeCell="G30" sqref="G30"/>
    </sheetView>
  </sheetViews>
  <sheetFormatPr defaultColWidth="9.140625" defaultRowHeight="12" x14ac:dyDescent="0.15"/>
  <cols>
    <col min="1" max="1" width="11" style="47" customWidth="1"/>
    <col min="2" max="2" width="13.5703125" style="47" customWidth="1"/>
    <col min="3" max="3" width="11.140625" style="47" customWidth="1"/>
    <col min="4" max="4" width="12.5703125" style="47" customWidth="1"/>
    <col min="5" max="5" width="1.85546875" style="47" customWidth="1"/>
    <col min="6" max="6" width="22.5703125" style="47" customWidth="1"/>
    <col min="7" max="7" width="21" style="47" customWidth="1"/>
    <col min="8" max="8" width="17.85546875" style="47" customWidth="1"/>
    <col min="9" max="9" width="22.42578125" style="47" customWidth="1"/>
    <col min="10" max="11" width="9.140625" style="47"/>
    <col min="12" max="12" width="19.140625" style="47" customWidth="1"/>
    <col min="13" max="16" width="16.85546875" style="47" customWidth="1"/>
    <col min="17" max="27" width="9.140625" style="47"/>
    <col min="28" max="28" width="11.5703125" style="47" customWidth="1"/>
    <col min="29" max="16384" width="9.140625" style="47"/>
  </cols>
  <sheetData>
    <row r="1" spans="1:15" s="1" customFormat="1" ht="19.149999999999999" customHeight="1" x14ac:dyDescent="0.2">
      <c r="A1" s="49" t="s">
        <v>36</v>
      </c>
      <c r="B1" s="49"/>
      <c r="C1" s="49"/>
      <c r="D1" s="49"/>
      <c r="E1" s="49"/>
      <c r="F1" s="49"/>
      <c r="G1" s="49"/>
      <c r="H1" s="49"/>
      <c r="I1" s="49"/>
    </row>
    <row r="2" spans="1:15" s="2" customFormat="1" ht="15.75" x14ac:dyDescent="0.25">
      <c r="A2" s="50" t="s">
        <v>37</v>
      </c>
      <c r="B2" s="50"/>
      <c r="C2" s="50"/>
      <c r="D2" s="50"/>
      <c r="E2" s="50"/>
      <c r="F2" s="50"/>
      <c r="G2" s="50"/>
      <c r="H2" s="50"/>
      <c r="I2" s="50"/>
    </row>
    <row r="3" spans="1:15" s="4" customFormat="1" ht="15.75" x14ac:dyDescent="0.25">
      <c r="A3" s="51" t="s">
        <v>5</v>
      </c>
      <c r="B3" s="51"/>
      <c r="C3" s="51"/>
      <c r="D3" s="51"/>
      <c r="E3" s="51"/>
      <c r="F3" s="51"/>
      <c r="G3" s="51"/>
      <c r="H3" s="51"/>
      <c r="I3" s="51"/>
      <c r="J3" s="3"/>
      <c r="K3" s="3"/>
      <c r="L3" s="3"/>
      <c r="M3" s="3"/>
      <c r="N3" s="3"/>
      <c r="O3" s="3"/>
    </row>
    <row r="4" spans="1:15" s="4" customFormat="1" ht="15.75" x14ac:dyDescent="0.4">
      <c r="A4" s="52" t="s">
        <v>6</v>
      </c>
      <c r="B4" s="55" t="s">
        <v>7</v>
      </c>
      <c r="C4" s="55"/>
      <c r="D4" s="55"/>
      <c r="E4" s="55"/>
      <c r="F4" s="55"/>
      <c r="G4" s="5" t="s">
        <v>8</v>
      </c>
      <c r="H4" s="6" t="s">
        <v>9</v>
      </c>
      <c r="I4" s="7" t="s">
        <v>10</v>
      </c>
    </row>
    <row r="5" spans="1:15" s="4" customFormat="1" ht="15.75" x14ac:dyDescent="0.2">
      <c r="A5" s="53"/>
      <c r="B5" s="56" t="s">
        <v>11</v>
      </c>
      <c r="C5" s="56"/>
      <c r="D5" s="56"/>
      <c r="E5" s="56"/>
      <c r="F5" s="56"/>
      <c r="G5" s="8"/>
      <c r="H5" s="9" t="s">
        <v>12</v>
      </c>
      <c r="I5" s="9" t="s">
        <v>13</v>
      </c>
    </row>
    <row r="6" spans="1:15" s="4" customFormat="1" ht="15.75" x14ac:dyDescent="0.2">
      <c r="A6" s="53"/>
      <c r="B6" s="10" t="s">
        <v>0</v>
      </c>
      <c r="C6" s="10" t="s">
        <v>14</v>
      </c>
      <c r="D6" s="10" t="s">
        <v>15</v>
      </c>
      <c r="E6" s="10"/>
      <c r="F6" s="11" t="s">
        <v>16</v>
      </c>
      <c r="G6" s="10" t="s">
        <v>17</v>
      </c>
      <c r="H6" s="12" t="s">
        <v>18</v>
      </c>
      <c r="I6" s="13" t="s">
        <v>19</v>
      </c>
    </row>
    <row r="7" spans="1:15" s="4" customFormat="1" ht="12.75" x14ac:dyDescent="0.2">
      <c r="A7" s="54"/>
      <c r="B7" s="14" t="s">
        <v>1</v>
      </c>
      <c r="C7" s="14" t="s">
        <v>20</v>
      </c>
      <c r="D7" s="14" t="s">
        <v>21</v>
      </c>
      <c r="E7" s="14"/>
      <c r="F7" s="14" t="s">
        <v>22</v>
      </c>
      <c r="G7" s="14" t="s">
        <v>23</v>
      </c>
      <c r="H7" s="15" t="s">
        <v>24</v>
      </c>
      <c r="I7" s="16" t="s">
        <v>25</v>
      </c>
    </row>
    <row r="8" spans="1:15" s="4" customFormat="1" ht="15" customHeight="1" x14ac:dyDescent="0.2">
      <c r="A8" s="17">
        <v>2001</v>
      </c>
      <c r="B8" s="18">
        <f>SUM(C8:F8)</f>
        <v>254435</v>
      </c>
      <c r="C8" s="18">
        <v>142170</v>
      </c>
      <c r="D8" s="18">
        <v>80169</v>
      </c>
      <c r="E8" s="18"/>
      <c r="F8" s="18">
        <v>32096</v>
      </c>
      <c r="G8" s="18">
        <v>21549</v>
      </c>
      <c r="H8" s="19">
        <v>7862</v>
      </c>
      <c r="I8" s="20" t="s">
        <v>2</v>
      </c>
    </row>
    <row r="9" spans="1:15" s="4" customFormat="1" ht="15" customHeight="1" x14ac:dyDescent="0.2">
      <c r="A9" s="17">
        <v>2002</v>
      </c>
      <c r="B9" s="18">
        <f t="shared" ref="B9:B17" si="0">SUM(C9:F9)</f>
        <v>224885</v>
      </c>
      <c r="C9" s="18">
        <v>112934</v>
      </c>
      <c r="D9" s="18">
        <v>64544</v>
      </c>
      <c r="E9" s="18"/>
      <c r="F9" s="18">
        <v>47407</v>
      </c>
      <c r="G9" s="18">
        <v>35134</v>
      </c>
      <c r="H9" s="19">
        <v>7016</v>
      </c>
      <c r="I9" s="20" t="s">
        <v>2</v>
      </c>
    </row>
    <row r="10" spans="1:15" s="4" customFormat="1" ht="15" customHeight="1" x14ac:dyDescent="0.2">
      <c r="A10" s="17">
        <v>2003</v>
      </c>
      <c r="B10" s="18">
        <f t="shared" si="0"/>
        <v>201065</v>
      </c>
      <c r="C10" s="18">
        <v>82384</v>
      </c>
      <c r="D10" s="18">
        <v>54541</v>
      </c>
      <c r="E10" s="18"/>
      <c r="F10" s="18">
        <v>64140</v>
      </c>
      <c r="G10" s="19">
        <v>33741</v>
      </c>
      <c r="H10" s="19">
        <v>7170</v>
      </c>
      <c r="I10" s="20" t="s">
        <v>2</v>
      </c>
    </row>
    <row r="11" spans="1:15" s="4" customFormat="1" ht="15" customHeight="1" x14ac:dyDescent="0.2">
      <c r="A11" s="17">
        <v>2004</v>
      </c>
      <c r="B11" s="18">
        <f t="shared" si="0"/>
        <v>191069</v>
      </c>
      <c r="C11" s="18">
        <v>65395</v>
      </c>
      <c r="D11" s="18">
        <v>43874</v>
      </c>
      <c r="E11" s="18"/>
      <c r="F11" s="18">
        <v>81800</v>
      </c>
      <c r="G11" s="19">
        <v>60492</v>
      </c>
      <c r="H11" s="19">
        <v>7870</v>
      </c>
      <c r="I11" s="20" t="s">
        <v>2</v>
      </c>
    </row>
    <row r="12" spans="1:15" s="4" customFormat="1" ht="15" customHeight="1" x14ac:dyDescent="0.2">
      <c r="A12" s="17">
        <v>2005</v>
      </c>
      <c r="B12" s="18">
        <f t="shared" si="0"/>
        <v>151155</v>
      </c>
      <c r="C12" s="18">
        <v>43247</v>
      </c>
      <c r="D12" s="18">
        <v>21527</v>
      </c>
      <c r="E12" s="18"/>
      <c r="F12" s="18">
        <v>86381</v>
      </c>
      <c r="G12" s="18">
        <v>136256</v>
      </c>
      <c r="H12" s="19">
        <v>8908</v>
      </c>
      <c r="I12" s="20" t="s">
        <v>2</v>
      </c>
    </row>
    <row r="13" spans="1:15" s="4" customFormat="1" ht="15" customHeight="1" x14ac:dyDescent="0.2">
      <c r="A13" s="17">
        <v>2006</v>
      </c>
      <c r="B13" s="18">
        <f t="shared" si="0"/>
        <v>123281</v>
      </c>
      <c r="C13" s="18">
        <v>30054</v>
      </c>
      <c r="D13" s="18">
        <v>14031</v>
      </c>
      <c r="E13" s="18"/>
      <c r="F13" s="18">
        <v>79196</v>
      </c>
      <c r="G13" s="18">
        <v>216318</v>
      </c>
      <c r="H13" s="19">
        <v>12037</v>
      </c>
      <c r="I13" s="20" t="s">
        <v>2</v>
      </c>
      <c r="J13" s="2"/>
      <c r="L13" s="21"/>
      <c r="M13" s="21"/>
      <c r="N13" s="21"/>
      <c r="O13" s="17"/>
    </row>
    <row r="14" spans="1:15" s="4" customFormat="1" ht="15" customHeight="1" x14ac:dyDescent="0.2">
      <c r="A14" s="17">
        <v>2007</v>
      </c>
      <c r="B14" s="18">
        <f t="shared" si="0"/>
        <v>122725</v>
      </c>
      <c r="C14" s="18">
        <v>25575</v>
      </c>
      <c r="D14" s="18">
        <v>11883</v>
      </c>
      <c r="E14" s="18"/>
      <c r="F14" s="18">
        <v>85267</v>
      </c>
      <c r="G14" s="18">
        <v>219839</v>
      </c>
      <c r="H14" s="19">
        <v>26991</v>
      </c>
      <c r="I14" s="20" t="s">
        <v>2</v>
      </c>
      <c r="J14" s="2"/>
    </row>
    <row r="15" spans="1:15" s="4" customFormat="1" ht="15" customHeight="1" x14ac:dyDescent="0.2">
      <c r="A15" s="17">
        <v>2008</v>
      </c>
      <c r="B15" s="18">
        <f t="shared" si="0"/>
        <v>95124</v>
      </c>
      <c r="C15" s="18">
        <v>19617</v>
      </c>
      <c r="D15" s="18">
        <v>10334</v>
      </c>
      <c r="E15" s="18"/>
      <c r="F15" s="18">
        <v>65173</v>
      </c>
      <c r="G15" s="18">
        <v>969281</v>
      </c>
      <c r="H15" s="19">
        <v>120906</v>
      </c>
      <c r="I15" s="18" t="s">
        <v>2</v>
      </c>
      <c r="J15" s="2"/>
    </row>
    <row r="16" spans="1:15" s="4" customFormat="1" ht="15" customHeight="1" x14ac:dyDescent="0.2">
      <c r="A16" s="22">
        <v>2009</v>
      </c>
      <c r="B16" s="18">
        <f t="shared" si="0"/>
        <v>86305</v>
      </c>
      <c r="C16" s="18">
        <v>18007</v>
      </c>
      <c r="D16" s="18">
        <v>9021</v>
      </c>
      <c r="E16" s="18"/>
      <c r="F16" s="18">
        <v>59277</v>
      </c>
      <c r="G16" s="18">
        <v>1165371</v>
      </c>
      <c r="H16" s="23">
        <v>140386</v>
      </c>
      <c r="I16" s="18">
        <v>73355</v>
      </c>
      <c r="J16" s="2"/>
    </row>
    <row r="17" spans="1:29" s="4" customFormat="1" ht="15" customHeight="1" x14ac:dyDescent="0.2">
      <c r="A17" s="22">
        <v>2010</v>
      </c>
      <c r="B17" s="18">
        <f t="shared" si="0"/>
        <v>77503</v>
      </c>
      <c r="C17" s="18">
        <v>16757</v>
      </c>
      <c r="D17" s="18">
        <v>8248</v>
      </c>
      <c r="E17" s="18"/>
      <c r="F17" s="18">
        <v>52498</v>
      </c>
      <c r="G17" s="18">
        <v>1241516</v>
      </c>
      <c r="H17" s="23">
        <v>135384</v>
      </c>
      <c r="I17" s="18">
        <v>93719</v>
      </c>
      <c r="J17" s="2"/>
    </row>
    <row r="18" spans="1:29" s="2" customFormat="1" ht="15" customHeight="1" x14ac:dyDescent="0.2">
      <c r="A18" s="22">
        <v>2011</v>
      </c>
      <c r="B18" s="18">
        <v>75974</v>
      </c>
      <c r="C18" s="18">
        <v>15481</v>
      </c>
      <c r="D18" s="18">
        <v>9447</v>
      </c>
      <c r="E18" s="18"/>
      <c r="F18" s="18">
        <v>51046</v>
      </c>
      <c r="G18" s="18">
        <v>1094741</v>
      </c>
      <c r="H18" s="23">
        <v>108744</v>
      </c>
      <c r="I18" s="18">
        <v>370172</v>
      </c>
    </row>
    <row r="19" spans="1:29" s="2" customFormat="1" ht="15" customHeight="1" x14ac:dyDescent="0.2">
      <c r="A19" s="22">
        <v>2012</v>
      </c>
      <c r="B19" s="18">
        <v>69830</v>
      </c>
      <c r="C19" s="18">
        <v>12499</v>
      </c>
      <c r="D19" s="18">
        <v>7788</v>
      </c>
      <c r="E19" s="18"/>
      <c r="F19" s="18">
        <v>49543</v>
      </c>
      <c r="G19" s="18">
        <v>1468840</v>
      </c>
      <c r="H19" s="23">
        <v>211865</v>
      </c>
      <c r="I19" s="18">
        <v>442660</v>
      </c>
    </row>
    <row r="20" spans="1:29" s="4" customFormat="1" ht="15" customHeight="1" x14ac:dyDescent="0.2">
      <c r="A20" s="22">
        <v>2013</v>
      </c>
      <c r="B20" s="18">
        <v>66557</v>
      </c>
      <c r="C20" s="18">
        <v>11699</v>
      </c>
      <c r="D20" s="18">
        <v>7217</v>
      </c>
      <c r="E20" s="18"/>
      <c r="F20" s="18">
        <v>47641</v>
      </c>
      <c r="G20" s="18">
        <v>1571320</v>
      </c>
      <c r="H20" s="23">
        <v>249201</v>
      </c>
      <c r="I20" s="18">
        <v>568375</v>
      </c>
      <c r="J20" s="2"/>
    </row>
    <row r="21" spans="1:29" s="2" customFormat="1" ht="15" customHeight="1" x14ac:dyDescent="0.2">
      <c r="A21" s="24" t="s">
        <v>38</v>
      </c>
      <c r="B21" s="25">
        <f>SUM(C21:F21)</f>
        <v>41974</v>
      </c>
      <c r="C21" s="25">
        <v>7399</v>
      </c>
      <c r="D21" s="25">
        <v>4684</v>
      </c>
      <c r="E21" s="25"/>
      <c r="F21" s="25">
        <v>29891</v>
      </c>
      <c r="G21" s="25">
        <v>1687209</v>
      </c>
      <c r="H21" s="26">
        <v>265736</v>
      </c>
      <c r="I21" s="25">
        <v>498129</v>
      </c>
    </row>
    <row r="22" spans="1:29" s="30" customFormat="1" ht="12.75" x14ac:dyDescent="0.2">
      <c r="A22" s="27" t="s">
        <v>39</v>
      </c>
      <c r="B22" s="28"/>
      <c r="C22" s="28"/>
      <c r="D22" s="28"/>
      <c r="E22" s="28"/>
      <c r="F22" s="29"/>
      <c r="G22" s="29"/>
      <c r="H22" s="29"/>
    </row>
    <row r="23" spans="1:29" s="30" customFormat="1" ht="12.75" x14ac:dyDescent="0.2">
      <c r="A23" s="27" t="s">
        <v>40</v>
      </c>
      <c r="B23" s="28"/>
      <c r="C23" s="28"/>
      <c r="D23" s="28"/>
      <c r="E23" s="28"/>
      <c r="F23" s="29"/>
      <c r="G23" s="29"/>
      <c r="H23" s="29"/>
    </row>
    <row r="24" spans="1:29" s="4" customFormat="1" ht="12.75" x14ac:dyDescent="0.2">
      <c r="A24" s="28" t="s">
        <v>3</v>
      </c>
      <c r="B24" s="21"/>
      <c r="C24" s="21"/>
      <c r="D24" s="21"/>
      <c r="E24" s="21"/>
      <c r="F24" s="21"/>
      <c r="G24" s="21"/>
      <c r="H24" s="21"/>
    </row>
    <row r="25" spans="1:29" s="4" customFormat="1" ht="12.75" x14ac:dyDescent="0.2">
      <c r="A25" s="28" t="s">
        <v>4</v>
      </c>
      <c r="B25" s="21"/>
      <c r="C25" s="21"/>
      <c r="D25" s="21"/>
      <c r="E25" s="21"/>
      <c r="F25" s="21"/>
      <c r="G25" s="21"/>
      <c r="H25" s="21"/>
      <c r="I25" s="21"/>
    </row>
    <row r="26" spans="1:29" s="4" customFormat="1" ht="12.75" x14ac:dyDescent="0.2">
      <c r="A26" s="31" t="s">
        <v>26</v>
      </c>
      <c r="B26" s="21"/>
      <c r="C26" s="21"/>
      <c r="D26" s="21"/>
      <c r="E26" s="21"/>
      <c r="F26" s="21"/>
      <c r="G26" s="21"/>
      <c r="H26" s="21"/>
      <c r="P26" s="32"/>
    </row>
    <row r="27" spans="1:29" s="4" customFormat="1" ht="12.75" x14ac:dyDescent="0.2">
      <c r="A27" s="33" t="s">
        <v>31</v>
      </c>
      <c r="B27" s="21"/>
      <c r="C27" s="21"/>
      <c r="D27" s="21"/>
      <c r="E27" s="21"/>
      <c r="F27" s="21"/>
      <c r="G27" s="21"/>
      <c r="H27" s="21"/>
      <c r="P27" s="34"/>
    </row>
    <row r="28" spans="1:29" s="4" customFormat="1" ht="12.75" x14ac:dyDescent="0.2">
      <c r="A28" s="33" t="s">
        <v>32</v>
      </c>
      <c r="B28" s="21"/>
      <c r="C28" s="21"/>
      <c r="D28" s="21"/>
      <c r="E28" s="21"/>
      <c r="F28" s="21"/>
      <c r="G28" s="21"/>
      <c r="H28" s="21"/>
      <c r="P28" s="34"/>
    </row>
    <row r="29" spans="1:29" s="4" customFormat="1" ht="12.75" x14ac:dyDescent="0.2">
      <c r="A29" s="33" t="s">
        <v>33</v>
      </c>
      <c r="B29" s="21"/>
      <c r="C29" s="21"/>
      <c r="D29" s="21"/>
      <c r="E29" s="21"/>
      <c r="F29" s="21"/>
      <c r="G29" s="21"/>
      <c r="H29" s="21"/>
      <c r="P29" s="34"/>
    </row>
    <row r="30" spans="1:29" s="4" customFormat="1" ht="12.75" x14ac:dyDescent="0.2">
      <c r="A30" s="33" t="s">
        <v>34</v>
      </c>
      <c r="B30" s="21"/>
      <c r="C30" s="21"/>
      <c r="D30" s="21"/>
      <c r="E30" s="21"/>
      <c r="F30" s="21"/>
      <c r="G30" s="21"/>
      <c r="H30" s="21"/>
      <c r="P30" s="2"/>
    </row>
    <row r="31" spans="1:29" s="4" customFormat="1" ht="12.75" customHeight="1" x14ac:dyDescent="0.2">
      <c r="A31" s="33" t="s">
        <v>35</v>
      </c>
      <c r="B31" s="21"/>
      <c r="C31" s="21"/>
      <c r="D31" s="21"/>
      <c r="E31" s="21"/>
      <c r="F31" s="21"/>
      <c r="G31" s="21"/>
      <c r="H31" s="21"/>
      <c r="L31" s="35"/>
      <c r="M31" s="2"/>
      <c r="N31" s="36"/>
      <c r="O31" s="37"/>
      <c r="P31" s="2"/>
      <c r="Z31" s="38"/>
      <c r="AA31" s="39" t="s">
        <v>27</v>
      </c>
      <c r="AB31" s="39" t="s">
        <v>28</v>
      </c>
      <c r="AC31" s="39" t="s">
        <v>29</v>
      </c>
    </row>
    <row r="32" spans="1:29" s="4" customFormat="1" ht="12.75" x14ac:dyDescent="0.2">
      <c r="A32" s="40"/>
      <c r="B32" s="40"/>
      <c r="C32" s="40"/>
      <c r="D32" s="40"/>
      <c r="E32" s="40"/>
      <c r="F32" s="40"/>
      <c r="G32" s="40"/>
      <c r="H32" s="40"/>
      <c r="L32" s="41"/>
      <c r="M32" s="42"/>
      <c r="N32" s="43"/>
      <c r="O32" s="44"/>
      <c r="P32" s="2"/>
      <c r="Z32" s="35">
        <v>2009</v>
      </c>
      <c r="AA32" s="45">
        <f t="shared" ref="AA32:AA37" si="1">B16</f>
        <v>86305</v>
      </c>
      <c r="AB32" s="45">
        <f t="shared" ref="AB32:AC37" si="2">G16</f>
        <v>1165371</v>
      </c>
      <c r="AC32" s="46">
        <f t="shared" si="2"/>
        <v>140386</v>
      </c>
    </row>
    <row r="33" spans="1:29" s="4" customFormat="1" ht="12.75" x14ac:dyDescent="0.2">
      <c r="B33" s="40"/>
      <c r="C33" s="40"/>
      <c r="D33" s="40"/>
      <c r="E33" s="40"/>
      <c r="F33" s="40"/>
      <c r="G33" s="40"/>
      <c r="H33" s="40"/>
      <c r="L33" s="41"/>
      <c r="M33" s="42"/>
      <c r="N33" s="43"/>
      <c r="O33" s="44"/>
      <c r="P33" s="2"/>
      <c r="Z33" s="35">
        <v>2010</v>
      </c>
      <c r="AA33" s="45">
        <f t="shared" si="1"/>
        <v>77503</v>
      </c>
      <c r="AB33" s="45">
        <f t="shared" si="2"/>
        <v>1241516</v>
      </c>
      <c r="AC33" s="46">
        <f t="shared" si="2"/>
        <v>135384</v>
      </c>
    </row>
    <row r="34" spans="1:29" s="4" customFormat="1" ht="12.75" x14ac:dyDescent="0.2">
      <c r="B34" s="40"/>
      <c r="C34" s="40"/>
      <c r="D34" s="40"/>
      <c r="E34" s="40"/>
      <c r="F34" s="40"/>
      <c r="G34" s="40"/>
      <c r="H34" s="40"/>
      <c r="Z34" s="35">
        <v>2011</v>
      </c>
      <c r="AA34" s="45">
        <f t="shared" si="1"/>
        <v>75974</v>
      </c>
      <c r="AB34" s="45">
        <f t="shared" si="2"/>
        <v>1094741</v>
      </c>
      <c r="AC34" s="46">
        <f t="shared" si="2"/>
        <v>108744</v>
      </c>
    </row>
    <row r="35" spans="1:29" s="4" customFormat="1" ht="12.75" x14ac:dyDescent="0.2">
      <c r="A35" s="21"/>
      <c r="B35" s="21"/>
      <c r="C35" s="21"/>
      <c r="D35" s="21"/>
      <c r="E35" s="21"/>
      <c r="F35" s="21"/>
      <c r="G35" s="21"/>
      <c r="H35" s="21"/>
      <c r="Z35" s="35">
        <v>2012</v>
      </c>
      <c r="AA35" s="45">
        <f t="shared" si="1"/>
        <v>69830</v>
      </c>
      <c r="AB35" s="45">
        <f t="shared" si="2"/>
        <v>1468840</v>
      </c>
      <c r="AC35" s="46">
        <f t="shared" si="2"/>
        <v>211865</v>
      </c>
    </row>
    <row r="36" spans="1:29" s="4" customFormat="1" ht="12.75" x14ac:dyDescent="0.2">
      <c r="F36" s="21"/>
      <c r="G36" s="47"/>
      <c r="H36" s="21"/>
      <c r="Z36" s="35">
        <v>2013</v>
      </c>
      <c r="AA36" s="45">
        <f t="shared" si="1"/>
        <v>66557</v>
      </c>
      <c r="AB36" s="45">
        <f t="shared" si="2"/>
        <v>1571320</v>
      </c>
      <c r="AC36" s="46">
        <f t="shared" si="2"/>
        <v>249201</v>
      </c>
    </row>
    <row r="37" spans="1:29" s="4" customFormat="1" ht="12.75" x14ac:dyDescent="0.2">
      <c r="P37" s="47"/>
      <c r="Z37" s="35">
        <v>2014</v>
      </c>
      <c r="AA37" s="45">
        <f t="shared" si="1"/>
        <v>41974</v>
      </c>
      <c r="AB37" s="45">
        <f t="shared" si="2"/>
        <v>1687209</v>
      </c>
      <c r="AC37" s="46">
        <f t="shared" si="2"/>
        <v>265736</v>
      </c>
    </row>
    <row r="38" spans="1:29" ht="12.75" x14ac:dyDescent="0.2">
      <c r="L38" s="4"/>
      <c r="M38" s="4"/>
      <c r="N38" s="4"/>
      <c r="O38" s="4"/>
    </row>
    <row r="39" spans="1:29" ht="12.75" x14ac:dyDescent="0.2">
      <c r="L39" s="4"/>
      <c r="M39" s="4"/>
      <c r="N39" s="4"/>
      <c r="O39" s="4"/>
    </row>
    <row r="40" spans="1:29" ht="12.75" x14ac:dyDescent="0.2">
      <c r="G40" s="42"/>
      <c r="H40" s="42"/>
      <c r="L40" s="4"/>
      <c r="M40" s="4"/>
      <c r="N40" s="4"/>
      <c r="O40" s="4"/>
    </row>
    <row r="41" spans="1:29" ht="12.75" x14ac:dyDescent="0.2">
      <c r="G41" s="42"/>
      <c r="H41" s="42"/>
      <c r="I41" s="42"/>
      <c r="L41" s="4"/>
      <c r="M41" s="4"/>
      <c r="N41" s="4"/>
      <c r="O41" s="4"/>
      <c r="AA41" s="13" t="s">
        <v>19</v>
      </c>
      <c r="AB41" s="13" t="s">
        <v>19</v>
      </c>
    </row>
    <row r="42" spans="1:29" ht="15" x14ac:dyDescent="0.2">
      <c r="G42" s="48"/>
      <c r="H42" s="48"/>
      <c r="I42" s="48"/>
      <c r="L42" s="4"/>
      <c r="M42" s="4"/>
      <c r="N42" s="4"/>
      <c r="O42" s="4"/>
      <c r="AA42" s="16" t="s">
        <v>30</v>
      </c>
      <c r="AB42" s="16" t="s">
        <v>25</v>
      </c>
    </row>
    <row r="43" spans="1:29" ht="12.75" x14ac:dyDescent="0.2">
      <c r="I43" s="42"/>
      <c r="L43" s="4"/>
      <c r="M43" s="4"/>
      <c r="N43" s="4"/>
      <c r="O43" s="4"/>
      <c r="Z43" s="22">
        <v>2009</v>
      </c>
      <c r="AA43" s="18">
        <f>AB43/1000</f>
        <v>73.355000000000004</v>
      </c>
      <c r="AB43" s="18">
        <f>I16</f>
        <v>73355</v>
      </c>
    </row>
    <row r="44" spans="1:29" ht="12.75" x14ac:dyDescent="0.2">
      <c r="L44" s="4"/>
      <c r="M44" s="4"/>
      <c r="N44" s="4"/>
      <c r="O44" s="4"/>
      <c r="Z44" s="22">
        <v>2010</v>
      </c>
      <c r="AA44" s="18">
        <f t="shared" ref="AA44:AA48" si="3">AB44/1000</f>
        <v>93.718999999999994</v>
      </c>
      <c r="AB44" s="18">
        <f t="shared" ref="AB44:AB47" si="4">I17</f>
        <v>93719</v>
      </c>
    </row>
    <row r="45" spans="1:29" ht="12.75" x14ac:dyDescent="0.2">
      <c r="L45" s="4"/>
      <c r="M45" s="4"/>
      <c r="N45" s="4"/>
      <c r="O45" s="4"/>
      <c r="Z45" s="22">
        <v>2011</v>
      </c>
      <c r="AA45" s="18">
        <f t="shared" si="3"/>
        <v>370.17200000000003</v>
      </c>
      <c r="AB45" s="18">
        <f>AC45</f>
        <v>370172</v>
      </c>
      <c r="AC45" s="47">
        <f>370172</f>
        <v>370172</v>
      </c>
    </row>
    <row r="46" spans="1:29" ht="12.75" x14ac:dyDescent="0.2">
      <c r="L46" s="4"/>
      <c r="M46" s="4"/>
      <c r="N46" s="4"/>
      <c r="O46" s="4"/>
      <c r="P46" s="42"/>
      <c r="Z46" s="22">
        <v>2012</v>
      </c>
      <c r="AA46" s="18">
        <f t="shared" si="3"/>
        <v>442.66</v>
      </c>
      <c r="AB46" s="18">
        <f t="shared" si="4"/>
        <v>442660</v>
      </c>
    </row>
    <row r="47" spans="1:29" ht="12.75" x14ac:dyDescent="0.2">
      <c r="L47" s="4"/>
      <c r="M47" s="4"/>
      <c r="N47" s="4"/>
      <c r="O47" s="4"/>
      <c r="Z47" s="22">
        <v>2013</v>
      </c>
      <c r="AA47" s="18">
        <f t="shared" si="3"/>
        <v>568.375</v>
      </c>
      <c r="AB47" s="18">
        <f t="shared" si="4"/>
        <v>568375</v>
      </c>
    </row>
    <row r="48" spans="1:29" ht="12.75" x14ac:dyDescent="0.2">
      <c r="L48" s="4"/>
      <c r="M48" s="4"/>
      <c r="N48" s="4"/>
      <c r="O48" s="4"/>
      <c r="Z48" s="47">
        <v>2014</v>
      </c>
      <c r="AA48" s="18">
        <f t="shared" si="3"/>
        <v>498.12900000000002</v>
      </c>
      <c r="AB48" s="18">
        <f>I21</f>
        <v>498129</v>
      </c>
    </row>
    <row r="49" spans="4:15" ht="12.75" x14ac:dyDescent="0.2">
      <c r="L49" s="4"/>
      <c r="M49" s="4"/>
      <c r="N49" s="4"/>
      <c r="O49" s="4"/>
    </row>
    <row r="50" spans="4:15" ht="12.75" x14ac:dyDescent="0.2">
      <c r="L50" s="4"/>
      <c r="M50" s="4"/>
      <c r="N50" s="4"/>
      <c r="O50" s="4"/>
    </row>
    <row r="51" spans="4:15" ht="12.75" x14ac:dyDescent="0.2">
      <c r="L51" s="4"/>
      <c r="M51" s="4"/>
      <c r="N51" s="4"/>
      <c r="O51" s="4"/>
    </row>
    <row r="60" spans="4:15" x14ac:dyDescent="0.15">
      <c r="L60" s="47">
        <f>6185*0.2</f>
        <v>1237</v>
      </c>
    </row>
    <row r="63" spans="4:15" x14ac:dyDescent="0.15">
      <c r="D63" s="42"/>
      <c r="E63" s="42"/>
      <c r="F63" s="42"/>
      <c r="G63" s="42"/>
      <c r="H63" s="42"/>
      <c r="I63" s="42"/>
      <c r="L63" s="47">
        <f>20/100</f>
        <v>0.2</v>
      </c>
    </row>
    <row r="64" spans="4:15" x14ac:dyDescent="0.15">
      <c r="D64" s="42"/>
      <c r="E64" s="42"/>
      <c r="F64" s="42"/>
      <c r="G64" s="42"/>
      <c r="H64" s="42"/>
      <c r="I64" s="42"/>
    </row>
    <row r="67" spans="12:12" x14ac:dyDescent="0.15">
      <c r="L67" s="47">
        <f>L60+10185</f>
        <v>11422</v>
      </c>
    </row>
    <row r="68" spans="12:12" x14ac:dyDescent="0.15">
      <c r="L68" s="47">
        <f>24*100</f>
        <v>2400</v>
      </c>
    </row>
    <row r="69" spans="12:12" x14ac:dyDescent="0.15">
      <c r="L69" s="47">
        <f>L67+L68</f>
        <v>13822</v>
      </c>
    </row>
  </sheetData>
  <mergeCells count="6">
    <mergeCell ref="A1:I1"/>
    <mergeCell ref="A2:I2"/>
    <mergeCell ref="A3:I3"/>
    <mergeCell ref="A4:A7"/>
    <mergeCell ref="B4:F4"/>
    <mergeCell ref="B5:F5"/>
  </mergeCells>
  <pageMargins left="0.3" right="0.7" top="0.42" bottom="0.75" header="0.3" footer="0.3"/>
  <pageSetup paperSize="9" scale="55" orientation="landscape" r:id="rId1"/>
  <rowBreaks count="2" manualBreakCount="2">
    <brk id="31" max="16383" man="1"/>
    <brk id="71" max="8" man="1"/>
  </rowBreaks>
  <ignoredErrors>
    <ignoredError sqref="B8:B2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11.27</vt:lpstr>
      <vt:lpstr>'11.27'!Print_Area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2016-03-17T08:03:31Z</cp:lastPrinted>
  <dcterms:created xsi:type="dcterms:W3CDTF">2014-05-22T03:57:11Z</dcterms:created>
  <dcterms:modified xsi:type="dcterms:W3CDTF">2016-03-17T08:03:32Z</dcterms:modified>
</cp:coreProperties>
</file>