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837"/>
  </bookViews>
  <sheets>
    <sheet name="11.12" sheetId="12" r:id="rId1"/>
  </sheets>
  <definedNames>
    <definedName name="_xlnm.Print_Area" localSheetId="0">'11.12'!$A$1:$M$23</definedName>
  </definedNames>
  <calcPr calcId="144525"/>
</workbook>
</file>

<file path=xl/calcChain.xml><?xml version="1.0" encoding="utf-8"?>
<calcChain xmlns="http://schemas.openxmlformats.org/spreadsheetml/2006/main">
  <c r="L15" i="12" l="1"/>
  <c r="L9" i="12" s="1"/>
  <c r="K15" i="12"/>
  <c r="K9" i="12" s="1"/>
  <c r="I15" i="12"/>
  <c r="I9" i="12" s="1"/>
  <c r="H15" i="12"/>
  <c r="G15" i="12"/>
  <c r="G9" i="12" s="1"/>
  <c r="E15" i="12"/>
  <c r="D15" i="12"/>
  <c r="C15" i="12"/>
  <c r="B15" i="12"/>
  <c r="L12" i="12"/>
  <c r="L10" i="12" s="1"/>
  <c r="K12" i="12"/>
  <c r="K10" i="12" s="1"/>
  <c r="I12" i="12"/>
  <c r="I10" i="12" s="1"/>
  <c r="H12" i="12"/>
  <c r="H10" i="12" s="1"/>
  <c r="G12" i="12"/>
  <c r="G10" i="12" s="1"/>
  <c r="E12" i="12"/>
  <c r="E10" i="12" s="1"/>
  <c r="D12" i="12"/>
  <c r="D10" i="12" s="1"/>
  <c r="C12" i="12"/>
  <c r="C10" i="12" s="1"/>
  <c r="B12" i="12"/>
  <c r="B10" i="12" s="1"/>
  <c r="B9" i="12" s="1"/>
  <c r="J10" i="12"/>
  <c r="F10" i="12"/>
  <c r="H9" i="12"/>
  <c r="D9" i="12" l="1"/>
  <c r="C9" i="12"/>
  <c r="E9" i="12"/>
</calcChain>
</file>

<file path=xl/sharedStrings.xml><?xml version="1.0" encoding="utf-8"?>
<sst xmlns="http://schemas.openxmlformats.org/spreadsheetml/2006/main" count="58" uniqueCount="48">
  <si>
    <t>wlcmuj</t>
  </si>
  <si>
    <t>Total</t>
  </si>
  <si>
    <t>Passengers</t>
  </si>
  <si>
    <t>cnurwjcniswf</t>
  </si>
  <si>
    <t>Cargo (kg)</t>
  </si>
  <si>
    <t>(Olik) Wdum</t>
  </si>
  <si>
    <t>Mail (kg)</t>
  </si>
  <si>
    <t>(Olik) cliaem</t>
  </si>
  <si>
    <t>Airline</t>
  </si>
  <si>
    <t>cawtcTiawlcf</t>
  </si>
  <si>
    <t>iawa</t>
  </si>
  <si>
    <t>iruf</t>
  </si>
  <si>
    <t>irukuDwm iawgItwmurutwd</t>
  </si>
  <si>
    <t>irukeretea</t>
  </si>
  <si>
    <t>irukurEb</t>
  </si>
  <si>
    <t>cniawlrwaea</t>
  </si>
  <si>
    <t>Flight Movements</t>
  </si>
  <si>
    <t>In</t>
  </si>
  <si>
    <t>Out</t>
  </si>
  <si>
    <t>Transit</t>
  </si>
  <si>
    <t>International Flights</t>
  </si>
  <si>
    <t xml:space="preserve">     cawtcTiawlcf ImWvcqwaclwniawb</t>
  </si>
  <si>
    <t>International Scheduled</t>
  </si>
  <si>
    <t>Wviawfihejwmwh cnutogImiaWd ImWvcqwaclwniawb</t>
  </si>
  <si>
    <t>Mega Maldives</t>
  </si>
  <si>
    <t xml:space="preserve"> cscviDclOm Wgem</t>
  </si>
  <si>
    <t>International Charter</t>
  </si>
  <si>
    <t xml:space="preserve"> cawtuTiawlcf rWTrWC ImWvcqwlwniawb</t>
  </si>
  <si>
    <t>International Non-Scheduled</t>
  </si>
  <si>
    <t xml:space="preserve">     cawtcTiawlcf Wvuniawfihejwmwh cnutogImiaWd</t>
  </si>
  <si>
    <t>Domestic flights</t>
  </si>
  <si>
    <t xml:space="preserve">           cawtcTiawlcf egEjcaWr</t>
  </si>
  <si>
    <t>Other Domestic 1_/</t>
  </si>
  <si>
    <t>1_/ cawtcTiawlcf egEjcaWr cnehinehea</t>
  </si>
  <si>
    <t>Source: Civil Aviation Authority</t>
  </si>
  <si>
    <t>މައުލޫމާތު ދެއްވީ: ސިވިލް އޭވިއޭޝަން އޮތޯރިޓީ</t>
  </si>
  <si>
    <t>Island Aviation (Scheduled)</t>
  </si>
  <si>
    <t xml:space="preserve">(cDclwauDex) cnwxEaivEacDcneliawa </t>
  </si>
  <si>
    <t xml:space="preserve">Note: </t>
  </si>
  <si>
    <t>ނޯޓް:</t>
  </si>
  <si>
    <t>ގަން އިންޓަރނޭޝަނަލް އެއަރޕޯޓަށް ބައިނަލް އަޤްވާވީ ޕްލައިޓްތަކުން މުދާ އަދި މެއިލް އެތެރެކުރުމުގެ ހުއްދަ ދެވިފައެއްނުވެއެވެ.</t>
  </si>
  <si>
    <t xml:space="preserve">.evekwtcTiawlcf WviretctWkwrwH iawgukwtcscnwlEvrws idwa Wmwkcnwk clwkinckeT ,gcninErcT ,cnugenOTof Inenemih iawgiawbim 1_/  </t>
  </si>
  <si>
    <t>Villa Air</t>
  </si>
  <si>
    <t>ވިލާ އެއަރ</t>
  </si>
  <si>
    <t>Gan international flights do not have the permit to handle Cargo &amp; Mail</t>
  </si>
  <si>
    <r>
      <rPr>
        <i/>
        <vertAlign val="superscript"/>
        <sz val="9"/>
        <rFont val="Calibri"/>
        <family val="2"/>
        <scheme val="minor"/>
      </rPr>
      <t>1_</t>
    </r>
    <r>
      <rPr>
        <i/>
        <sz val="9"/>
        <rFont val="Calibri"/>
        <family val="2"/>
        <scheme val="minor"/>
      </rPr>
      <t>/  Includes movements by photo, training, technical and surveillance flights</t>
    </r>
  </si>
  <si>
    <t>2014 ,cliaem iaWlwdum unulufua iaWncnurwjcniswf irukurutwfurutwd cnurwhwfuTOb egukwtcniawlrwaea ikeaikea cSwrwdnwbegiawv ImWvcqwaclwniawb egumwg  11.12:clwvWt</t>
  </si>
  <si>
    <t xml:space="preserve">Table 11.12  TRANSPORT MOVEMENTS AT GAN INTERNATIONAL AIRPORT  BY AIRLINE, CROSS-CLASSIFIED BY PASSENGER, CARGO AND MAIL, 2014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</si>
</sst>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5" formatCode="0.0"/>
    <numFmt numFmtId="166" formatCode="_(* #,##0_);_(* \(#,##0\);_(* &quot;-&quot;??_);_(@_)"/>
    <numFmt numFmtId="169" formatCode="[$-409]mmmm\ d\,\ yyyy;@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i/>
      <sz val="9"/>
      <name val="Arial"/>
      <family val="2"/>
    </font>
    <font>
      <sz val="10"/>
      <name val="Faruma"/>
    </font>
    <font>
      <sz val="10"/>
      <name val="Courier"/>
      <family val="3"/>
    </font>
    <font>
      <b/>
      <sz val="9"/>
      <name val="A_Randhoo"/>
    </font>
    <font>
      <sz val="9"/>
      <name val="A_Randhoo"/>
    </font>
    <font>
      <sz val="9"/>
      <name val="Arial"/>
      <family val="2"/>
    </font>
    <font>
      <b/>
      <sz val="12"/>
      <name val="A_Randhoo"/>
    </font>
    <font>
      <b/>
      <sz val="9"/>
      <name val="Akuru"/>
      <family val="2"/>
      <charset val="2"/>
    </font>
    <font>
      <sz val="9"/>
      <name val="Akuru"/>
      <family val="2"/>
      <charset val="2"/>
    </font>
    <font>
      <b/>
      <sz val="10"/>
      <name val="A_Randhoo"/>
    </font>
    <font>
      <sz val="10"/>
      <name val="MS Sans Serif"/>
      <family val="2"/>
    </font>
    <font>
      <sz val="10"/>
      <name val="A_Randhoo"/>
    </font>
    <font>
      <sz val="10"/>
      <name val="Garamond"/>
      <family val="1"/>
    </font>
    <font>
      <i/>
      <vertAlign val="superscript"/>
      <sz val="9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3" fillId="0" borderId="0"/>
    <xf numFmtId="0" fontId="6" fillId="0" borderId="0"/>
    <xf numFmtId="40" fontId="21" fillId="0" borderId="0" applyFont="0" applyFill="0" applyBorder="0" applyAlignment="0" applyProtection="0"/>
    <xf numFmtId="0" fontId="6" fillId="0" borderId="0"/>
    <xf numFmtId="166" fontId="13" fillId="0" borderId="0"/>
    <xf numFmtId="166" fontId="13" fillId="0" borderId="0"/>
    <xf numFmtId="165" fontId="13" fillId="0" borderId="0" applyFont="0" applyFill="0" applyBorder="0" applyAlignment="0" applyProtection="0"/>
    <xf numFmtId="0" fontId="25" fillId="0" borderId="0"/>
    <xf numFmtId="164" fontId="13" fillId="0" borderId="0"/>
    <xf numFmtId="169" fontId="13" fillId="0" borderId="0" applyFont="0" applyFill="0" applyBorder="0" applyAlignment="0" applyProtection="0"/>
  </cellStyleXfs>
  <cellXfs count="59">
    <xf numFmtId="0" fontId="0" fillId="0" borderId="0" xfId="0"/>
    <xf numFmtId="0" fontId="12" fillId="2" borderId="2" xfId="0" applyNumberFormat="1" applyFont="1" applyFill="1" applyBorder="1" applyAlignment="1">
      <alignment horizontal="right" vertical="center"/>
    </xf>
    <xf numFmtId="164" fontId="18" fillId="2" borderId="0" xfId="5" applyNumberFormat="1" applyFont="1" applyFill="1" applyBorder="1" applyAlignment="1" applyProtection="1">
      <alignment horizontal="left" vertical="center"/>
    </xf>
    <xf numFmtId="0" fontId="7" fillId="2" borderId="0" xfId="6" applyFont="1" applyFill="1" applyAlignment="1">
      <alignment vertical="center"/>
    </xf>
    <xf numFmtId="164" fontId="2" fillId="2" borderId="4" xfId="5" applyNumberFormat="1" applyFont="1" applyFill="1" applyBorder="1" applyAlignment="1" applyProtection="1">
      <alignment horizontal="left" vertical="center"/>
    </xf>
    <xf numFmtId="164" fontId="19" fillId="2" borderId="4" xfId="5" applyNumberFormat="1" applyFont="1" applyFill="1" applyBorder="1" applyAlignment="1">
      <alignment horizontal="right" vertical="center"/>
    </xf>
    <xf numFmtId="164" fontId="14" fillId="2" borderId="0" xfId="5" applyNumberFormat="1" applyFont="1" applyFill="1" applyBorder="1" applyAlignment="1">
      <alignment horizontal="right" vertical="center"/>
    </xf>
    <xf numFmtId="0" fontId="16" fillId="2" borderId="0" xfId="6" applyFont="1" applyFill="1" applyBorder="1" applyAlignment="1">
      <alignment vertical="center"/>
    </xf>
    <xf numFmtId="164" fontId="2" fillId="2" borderId="0" xfId="5" applyNumberFormat="1" applyFont="1" applyFill="1" applyBorder="1" applyAlignment="1" applyProtection="1">
      <alignment horizontal="left" vertical="center"/>
    </xf>
    <xf numFmtId="164" fontId="2" fillId="2" borderId="4" xfId="5" applyNumberFormat="1" applyFont="1" applyFill="1" applyBorder="1" applyAlignment="1">
      <alignment vertical="center"/>
    </xf>
    <xf numFmtId="164" fontId="2" fillId="2" borderId="4" xfId="5" applyNumberFormat="1" applyFont="1" applyFill="1" applyBorder="1" applyAlignment="1" applyProtection="1">
      <alignment horizontal="right" vertical="center"/>
    </xf>
    <xf numFmtId="0" fontId="22" fillId="2" borderId="0" xfId="6" applyFont="1" applyFill="1" applyBorder="1" applyAlignment="1">
      <alignment horizontal="right"/>
    </xf>
    <xf numFmtId="164" fontId="9" fillId="2" borderId="4" xfId="0" applyNumberFormat="1" applyFont="1" applyFill="1" applyBorder="1" applyAlignment="1" applyProtection="1">
      <alignment horizontal="left" vertical="center"/>
    </xf>
    <xf numFmtId="164" fontId="14" fillId="2" borderId="0" xfId="5" applyNumberFormat="1" applyFont="1" applyFill="1" applyAlignment="1">
      <alignment horizontal="right" vertical="center"/>
    </xf>
    <xf numFmtId="164" fontId="10" fillId="2" borderId="0" xfId="5" applyNumberFormat="1" applyFont="1" applyFill="1" applyBorder="1" applyAlignment="1" applyProtection="1">
      <alignment horizontal="left" vertical="center"/>
    </xf>
    <xf numFmtId="37" fontId="16" fillId="2" borderId="0" xfId="5" applyNumberFormat="1" applyFont="1" applyFill="1" applyBorder="1" applyAlignment="1" applyProtection="1">
      <alignment horizontal="right" vertical="center"/>
    </xf>
    <xf numFmtId="164" fontId="10" fillId="2" borderId="0" xfId="5" applyNumberFormat="1" applyFont="1" applyFill="1" applyAlignment="1" applyProtection="1">
      <alignment horizontal="left" vertical="center"/>
    </xf>
    <xf numFmtId="37" fontId="16" fillId="2" borderId="0" xfId="5" applyNumberFormat="1" applyFont="1" applyFill="1" applyAlignment="1" applyProtection="1">
      <alignment vertical="center"/>
    </xf>
    <xf numFmtId="0" fontId="15" fillId="2" borderId="0" xfId="8" applyFont="1" applyFill="1" applyAlignment="1">
      <alignment vertical="center"/>
    </xf>
    <xf numFmtId="38" fontId="9" fillId="2" borderId="0" xfId="7" applyNumberFormat="1" applyFont="1" applyFill="1" applyBorder="1" applyAlignment="1">
      <alignment horizontal="right" vertical="center"/>
    </xf>
    <xf numFmtId="164" fontId="4" fillId="2" borderId="0" xfId="0" applyNumberFormat="1" applyFont="1" applyFill="1"/>
    <xf numFmtId="164" fontId="7" fillId="2" borderId="4" xfId="5" applyNumberFormat="1" applyFont="1" applyFill="1" applyBorder="1" applyAlignment="1" applyProtection="1">
      <alignment horizontal="center" vertical="center"/>
    </xf>
    <xf numFmtId="164" fontId="4" fillId="2" borderId="0" xfId="0" applyNumberFormat="1" applyFont="1" applyFill="1" applyBorder="1"/>
    <xf numFmtId="164" fontId="14" fillId="2" borderId="4" xfId="5" applyNumberFormat="1" applyFont="1" applyFill="1" applyBorder="1" applyAlignment="1">
      <alignment horizontal="right" vertical="center"/>
    </xf>
    <xf numFmtId="164" fontId="2" fillId="2" borderId="4" xfId="5" applyNumberFormat="1" applyFont="1" applyFill="1" applyBorder="1" applyAlignment="1" applyProtection="1">
      <alignment vertical="center"/>
    </xf>
    <xf numFmtId="164" fontId="14" fillId="2" borderId="0" xfId="5" applyNumberFormat="1" applyFont="1" applyFill="1" applyBorder="1" applyAlignment="1">
      <alignment horizontal="right" vertical="center" wrapText="1"/>
    </xf>
    <xf numFmtId="0" fontId="14" fillId="2" borderId="0" xfId="6" applyFont="1" applyFill="1" applyBorder="1" applyAlignment="1">
      <alignment horizontal="right" vertical="center"/>
    </xf>
    <xf numFmtId="0" fontId="14" fillId="2" borderId="4" xfId="6" applyFont="1" applyFill="1" applyBorder="1" applyAlignment="1">
      <alignment vertical="center"/>
    </xf>
    <xf numFmtId="38" fontId="8" fillId="2" borderId="0" xfId="7" applyNumberFormat="1" applyFont="1" applyFill="1" applyBorder="1" applyAlignment="1">
      <alignment horizontal="right" vertical="center"/>
    </xf>
    <xf numFmtId="0" fontId="20" fillId="2" borderId="0" xfId="6" applyFont="1" applyFill="1" applyBorder="1" applyAlignment="1">
      <alignment horizontal="right" vertical="center"/>
    </xf>
    <xf numFmtId="164" fontId="9" fillId="2" borderId="0" xfId="5" applyNumberFormat="1" applyFont="1" applyFill="1" applyBorder="1" applyAlignment="1" applyProtection="1">
      <alignment horizontal="left" vertical="center"/>
    </xf>
    <xf numFmtId="0" fontId="22" fillId="2" borderId="0" xfId="6" applyFont="1" applyFill="1" applyBorder="1" applyAlignment="1">
      <alignment horizontal="right" vertical="center"/>
    </xf>
    <xf numFmtId="164" fontId="8" fillId="2" borderId="0" xfId="5" applyNumberFormat="1" applyFont="1" applyFill="1" applyBorder="1" applyAlignment="1" applyProtection="1">
      <alignment horizontal="left" vertical="center"/>
    </xf>
    <xf numFmtId="164" fontId="20" fillId="2" borderId="0" xfId="5" applyNumberFormat="1" applyFont="1" applyFill="1" applyBorder="1" applyAlignment="1" applyProtection="1">
      <alignment horizontal="right" vertical="center"/>
    </xf>
    <xf numFmtId="0" fontId="22" fillId="2" borderId="4" xfId="6" applyFont="1" applyFill="1" applyBorder="1" applyAlignment="1">
      <alignment horizontal="right" vertical="center"/>
    </xf>
    <xf numFmtId="38" fontId="9" fillId="2" borderId="0" xfId="7" applyNumberFormat="1" applyFont="1" applyFill="1" applyBorder="1" applyAlignment="1" applyProtection="1">
      <alignment horizontal="right" vertical="center"/>
      <protection locked="0"/>
    </xf>
    <xf numFmtId="0" fontId="12" fillId="2" borderId="0" xfId="6" applyFont="1" applyFill="1" applyBorder="1" applyAlignment="1">
      <alignment horizontal="right" vertical="center"/>
    </xf>
    <xf numFmtId="164" fontId="16" fillId="2" borderId="0" xfId="5" applyNumberFormat="1" applyFont="1" applyFill="1" applyBorder="1" applyAlignment="1" applyProtection="1">
      <alignment horizontal="right" vertical="center"/>
    </xf>
    <xf numFmtId="164" fontId="12" fillId="2" borderId="0" xfId="0" applyNumberFormat="1" applyFont="1" applyFill="1"/>
    <xf numFmtId="164" fontId="13" fillId="2" borderId="0" xfId="0" applyNumberFormat="1" applyFont="1" applyFill="1"/>
    <xf numFmtId="164" fontId="15" fillId="2" borderId="0" xfId="5" applyNumberFormat="1" applyFont="1" applyFill="1" applyBorder="1" applyAlignment="1">
      <alignment horizontal="right" vertical="center"/>
    </xf>
    <xf numFmtId="164" fontId="11" fillId="2" borderId="0" xfId="5" applyNumberFormat="1" applyFont="1" applyFill="1" applyAlignment="1" applyProtection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0" fontId="12" fillId="2" borderId="0" xfId="6" applyFont="1" applyFill="1" applyBorder="1" applyAlignment="1">
      <alignment horizontal="right"/>
    </xf>
    <xf numFmtId="164" fontId="10" fillId="2" borderId="0" xfId="5" applyNumberFormat="1" applyFont="1" applyFill="1" applyBorder="1" applyAlignment="1">
      <alignment vertical="center"/>
    </xf>
    <xf numFmtId="164" fontId="10" fillId="2" borderId="0" xfId="0" applyNumberFormat="1" applyFont="1" applyFill="1" applyBorder="1" applyAlignment="1" applyProtection="1">
      <alignment horizontal="left" vertical="center"/>
    </xf>
    <xf numFmtId="164" fontId="20" fillId="2" borderId="0" xfId="5" applyNumberFormat="1" applyFont="1" applyFill="1" applyBorder="1" applyAlignment="1">
      <alignment horizontal="right" vertical="center"/>
    </xf>
    <xf numFmtId="164" fontId="8" fillId="2" borderId="0" xfId="5" applyNumberFormat="1" applyFont="1" applyFill="1" applyBorder="1" applyAlignment="1">
      <alignment horizontal="left" vertical="center"/>
    </xf>
    <xf numFmtId="38" fontId="9" fillId="0" borderId="1" xfId="7" applyNumberFormat="1" applyFont="1" applyFill="1" applyBorder="1" applyAlignment="1">
      <alignment horizontal="right" vertical="center"/>
    </xf>
    <xf numFmtId="38" fontId="9" fillId="0" borderId="1" xfId="7" applyNumberFormat="1" applyFont="1" applyFill="1" applyBorder="1" applyAlignment="1" applyProtection="1">
      <alignment horizontal="right" vertical="center"/>
    </xf>
    <xf numFmtId="38" fontId="8" fillId="0" borderId="1" xfId="7" applyNumberFormat="1" applyFont="1" applyFill="1" applyBorder="1" applyAlignment="1">
      <alignment horizontal="right" vertical="center"/>
    </xf>
    <xf numFmtId="38" fontId="8" fillId="0" borderId="1" xfId="7" applyNumberFormat="1" applyFont="1" applyFill="1" applyBorder="1" applyAlignment="1" applyProtection="1">
      <alignment horizontal="right" vertical="center"/>
    </xf>
    <xf numFmtId="38" fontId="8" fillId="0" borderId="1" xfId="7" applyNumberFormat="1" applyFont="1" applyFill="1" applyBorder="1" applyAlignment="1">
      <alignment horizontal="right"/>
    </xf>
    <xf numFmtId="38" fontId="9" fillId="0" borderId="1" xfId="7" applyNumberFormat="1" applyFont="1" applyFill="1" applyBorder="1" applyAlignment="1" applyProtection="1">
      <alignment horizontal="right" vertical="center"/>
      <protection locked="0"/>
    </xf>
    <xf numFmtId="38" fontId="9" fillId="0" borderId="1" xfId="7" applyNumberFormat="1" applyFont="1" applyFill="1" applyBorder="1" applyAlignment="1">
      <alignment horizontal="right"/>
    </xf>
    <xf numFmtId="38" fontId="9" fillId="0" borderId="3" xfId="7" applyNumberFormat="1" applyFont="1" applyFill="1" applyBorder="1" applyAlignment="1" applyProtection="1">
      <alignment horizontal="right" vertical="center"/>
      <protection locked="0"/>
    </xf>
    <xf numFmtId="38" fontId="9" fillId="0" borderId="3" xfId="7" applyNumberFormat="1" applyFont="1" applyFill="1" applyBorder="1" applyAlignment="1">
      <alignment horizontal="right" vertical="center"/>
    </xf>
    <xf numFmtId="164" fontId="17" fillId="2" borderId="0" xfId="5" applyNumberFormat="1" applyFont="1" applyFill="1" applyBorder="1" applyAlignment="1">
      <alignment horizontal="center" vertical="center"/>
    </xf>
    <xf numFmtId="164" fontId="3" fillId="2" borderId="0" xfId="5" applyNumberFormat="1" applyFont="1" applyFill="1" applyBorder="1" applyAlignment="1" applyProtection="1">
      <alignment horizontal="center" vertical="center"/>
    </xf>
  </cellXfs>
  <cellStyles count="15">
    <cellStyle name="Comma 2" xfId="7"/>
    <cellStyle name="Comma 4" xfId="11"/>
    <cellStyle name="Comma 4 2" xfId="14"/>
    <cellStyle name="Hyperlink 2" xfId="1"/>
    <cellStyle name="Normal" xfId="0" builtinId="0"/>
    <cellStyle name="Normal 2" xfId="5"/>
    <cellStyle name="Normal 2 2" xfId="13"/>
    <cellStyle name="Normal 2 3" xfId="3"/>
    <cellStyle name="Normal 3" xfId="9"/>
    <cellStyle name="Normal 3 2" xfId="4"/>
    <cellStyle name="Normal 4" xfId="10"/>
    <cellStyle name="Normal 5" xfId="2"/>
    <cellStyle name="Normal 6" xfId="12"/>
    <cellStyle name="Normal_IX-6(Trans &amp; Comm)" xfId="8"/>
    <cellStyle name="Normal_IX-9(Trans &amp; Comm)" xfId="6"/>
  </cellStyles>
  <dxfs count="0"/>
  <tableStyles count="0" defaultTableStyle="TableStyleMedium9" defaultPivotStyle="PivotStyleLight16"/>
  <colors>
    <mruColors>
      <color rgb="FFB888D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tabSelected="1" zoomScaleNormal="100" zoomScaleSheetLayoutView="95" workbookViewId="0">
      <selection activeCell="C33" sqref="C33"/>
    </sheetView>
  </sheetViews>
  <sheetFormatPr defaultColWidth="9.140625" defaultRowHeight="15"/>
  <cols>
    <col min="1" max="1" width="24.5703125" style="20" customWidth="1"/>
    <col min="2" max="2" width="14.85546875" style="20" customWidth="1"/>
    <col min="3" max="4" width="12.28515625" style="20" customWidth="1"/>
    <col min="5" max="5" width="15.7109375" style="20" customWidth="1"/>
    <col min="6" max="6" width="3" style="20" customWidth="1"/>
    <col min="7" max="7" width="11.28515625" style="20" customWidth="1"/>
    <col min="8" max="8" width="12.85546875" style="20" customWidth="1"/>
    <col min="9" max="9" width="16.7109375" style="20" customWidth="1"/>
    <col min="10" max="10" width="2.7109375" style="20" customWidth="1"/>
    <col min="11" max="12" width="11.42578125" style="20" customWidth="1"/>
    <col min="13" max="13" width="38.85546875" style="20" customWidth="1"/>
    <col min="14" max="14" width="6.28515625" style="20" customWidth="1"/>
    <col min="15" max="17" width="10.140625" style="20" customWidth="1"/>
    <col min="18" max="16384" width="9.140625" style="20"/>
  </cols>
  <sheetData>
    <row r="1" spans="1:15">
      <c r="O1" s="39"/>
    </row>
    <row r="2" spans="1:15" ht="17.25" customHeight="1"/>
    <row r="3" spans="1:15" ht="19.5" customHeight="1">
      <c r="A3" s="57" t="s">
        <v>46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</row>
    <row r="4" spans="1:15" ht="9" customHeight="1">
      <c r="A4" s="58" t="s">
        <v>47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</row>
    <row r="5" spans="1:15" s="22" customFormat="1" ht="17.25" customHeight="1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 spans="1:15" ht="24" customHeight="1">
      <c r="A6" s="2"/>
      <c r="B6" s="3"/>
      <c r="C6" s="4" t="s">
        <v>2</v>
      </c>
      <c r="D6" s="5"/>
      <c r="E6" s="23" t="s">
        <v>3</v>
      </c>
      <c r="F6" s="6"/>
      <c r="G6" s="24" t="s">
        <v>4</v>
      </c>
      <c r="H6" s="5"/>
      <c r="I6" s="23" t="s">
        <v>5</v>
      </c>
      <c r="J6" s="6"/>
      <c r="K6" s="4" t="s">
        <v>6</v>
      </c>
      <c r="L6" s="23" t="s">
        <v>7</v>
      </c>
      <c r="M6" s="7"/>
    </row>
    <row r="7" spans="1:15" ht="17.25" customHeight="1">
      <c r="A7" s="8" t="s">
        <v>8</v>
      </c>
      <c r="B7" s="6" t="s">
        <v>9</v>
      </c>
      <c r="C7" s="6" t="s">
        <v>10</v>
      </c>
      <c r="D7" s="13" t="s">
        <v>11</v>
      </c>
      <c r="E7" s="6" t="s">
        <v>12</v>
      </c>
      <c r="F7" s="6"/>
      <c r="G7" s="6" t="s">
        <v>13</v>
      </c>
      <c r="H7" s="6" t="s">
        <v>14</v>
      </c>
      <c r="I7" s="25" t="s">
        <v>12</v>
      </c>
      <c r="J7" s="6"/>
      <c r="K7" s="6" t="s">
        <v>13</v>
      </c>
      <c r="L7" s="13" t="s">
        <v>14</v>
      </c>
      <c r="M7" s="26" t="s">
        <v>15</v>
      </c>
    </row>
    <row r="8" spans="1:15" ht="20.25" customHeight="1">
      <c r="A8" s="9"/>
      <c r="B8" s="10" t="s">
        <v>16</v>
      </c>
      <c r="C8" s="10" t="s">
        <v>17</v>
      </c>
      <c r="D8" s="10" t="s">
        <v>18</v>
      </c>
      <c r="E8" s="10" t="s">
        <v>19</v>
      </c>
      <c r="F8" s="10"/>
      <c r="G8" s="10" t="s">
        <v>17</v>
      </c>
      <c r="H8" s="10" t="s">
        <v>18</v>
      </c>
      <c r="I8" s="10" t="s">
        <v>19</v>
      </c>
      <c r="J8" s="10"/>
      <c r="K8" s="10" t="s">
        <v>17</v>
      </c>
      <c r="L8" s="10" t="s">
        <v>18</v>
      </c>
      <c r="M8" s="27"/>
    </row>
    <row r="9" spans="1:15" ht="20.25" customHeight="1">
      <c r="A9" s="47" t="s">
        <v>1</v>
      </c>
      <c r="B9" s="28">
        <f>SUM(B10+B15)</f>
        <v>11847</v>
      </c>
      <c r="C9" s="28">
        <f>SUM(C10+C15)</f>
        <v>73751</v>
      </c>
      <c r="D9" s="28">
        <f>SUM(D10+D15)</f>
        <v>72932</v>
      </c>
      <c r="E9" s="28">
        <f>SUM(E10+E15)</f>
        <v>15016</v>
      </c>
      <c r="F9" s="28"/>
      <c r="G9" s="28">
        <f>SUM(G15)</f>
        <v>299272.8</v>
      </c>
      <c r="H9" s="28">
        <f>SUM(H15)</f>
        <v>24162.1</v>
      </c>
      <c r="I9" s="28">
        <f>SUM(I15)</f>
        <v>8782</v>
      </c>
      <c r="J9" s="28"/>
      <c r="K9" s="28">
        <f>SUM(K15)</f>
        <v>8154.8</v>
      </c>
      <c r="L9" s="28">
        <f>SUM(L15)</f>
        <v>1084.0999999999999</v>
      </c>
      <c r="M9" s="29" t="s">
        <v>0</v>
      </c>
    </row>
    <row r="10" spans="1:15" ht="20.25" customHeight="1">
      <c r="A10" s="47" t="s">
        <v>20</v>
      </c>
      <c r="B10" s="28">
        <f>SUM(B11+B12+B14)</f>
        <v>277</v>
      </c>
      <c r="C10" s="28">
        <f>SUM(C11+C12+C14)</f>
        <v>1568</v>
      </c>
      <c r="D10" s="28">
        <f>SUM(D11+D12+D14)</f>
        <v>1725</v>
      </c>
      <c r="E10" s="28">
        <f t="shared" ref="E10:L10" si="0">SUM(E11+E12+E14)</f>
        <v>434</v>
      </c>
      <c r="F10" s="28">
        <f t="shared" si="0"/>
        <v>0</v>
      </c>
      <c r="G10" s="28">
        <f t="shared" si="0"/>
        <v>0</v>
      </c>
      <c r="H10" s="28">
        <f t="shared" si="0"/>
        <v>0</v>
      </c>
      <c r="I10" s="28">
        <f t="shared" si="0"/>
        <v>0</v>
      </c>
      <c r="J10" s="28">
        <f t="shared" si="0"/>
        <v>0</v>
      </c>
      <c r="K10" s="28">
        <f t="shared" si="0"/>
        <v>0</v>
      </c>
      <c r="L10" s="28">
        <f t="shared" si="0"/>
        <v>0</v>
      </c>
      <c r="M10" s="29" t="s">
        <v>21</v>
      </c>
    </row>
    <row r="11" spans="1:15" ht="20.25" customHeight="1">
      <c r="A11" s="47" t="s">
        <v>22</v>
      </c>
      <c r="B11" s="50">
        <v>0</v>
      </c>
      <c r="C11" s="50">
        <v>0</v>
      </c>
      <c r="D11" s="50">
        <v>0</v>
      </c>
      <c r="E11" s="50">
        <v>0</v>
      </c>
      <c r="F11" s="50"/>
      <c r="G11" s="50">
        <v>0</v>
      </c>
      <c r="H11" s="50">
        <v>0</v>
      </c>
      <c r="I11" s="50">
        <v>0</v>
      </c>
      <c r="J11" s="50"/>
      <c r="K11" s="50">
        <v>0</v>
      </c>
      <c r="L11" s="50">
        <v>0</v>
      </c>
      <c r="M11" s="29" t="s">
        <v>23</v>
      </c>
    </row>
    <row r="12" spans="1:15" ht="20.25" customHeight="1">
      <c r="A12" s="47" t="s">
        <v>26</v>
      </c>
      <c r="B12" s="50">
        <f>SUM(B13:B13)</f>
        <v>4</v>
      </c>
      <c r="C12" s="50">
        <f t="shared" ref="C12:L12" si="1">SUM(C13:C13)</f>
        <v>0</v>
      </c>
      <c r="D12" s="50">
        <f t="shared" si="1"/>
        <v>0</v>
      </c>
      <c r="E12" s="50">
        <f t="shared" si="1"/>
        <v>0</v>
      </c>
      <c r="F12" s="50"/>
      <c r="G12" s="50">
        <f t="shared" si="1"/>
        <v>0</v>
      </c>
      <c r="H12" s="50">
        <f t="shared" si="1"/>
        <v>0</v>
      </c>
      <c r="I12" s="50">
        <f t="shared" si="1"/>
        <v>0</v>
      </c>
      <c r="J12" s="50"/>
      <c r="K12" s="50">
        <f t="shared" si="1"/>
        <v>0</v>
      </c>
      <c r="L12" s="50">
        <f t="shared" si="1"/>
        <v>0</v>
      </c>
      <c r="M12" s="29" t="s">
        <v>27</v>
      </c>
    </row>
    <row r="13" spans="1:15" ht="20.25" customHeight="1">
      <c r="A13" s="42" t="s">
        <v>24</v>
      </c>
      <c r="B13" s="48">
        <v>4</v>
      </c>
      <c r="C13" s="48">
        <v>0</v>
      </c>
      <c r="D13" s="48">
        <v>0</v>
      </c>
      <c r="E13" s="48">
        <v>0</v>
      </c>
      <c r="F13" s="48"/>
      <c r="G13" s="48">
        <v>0</v>
      </c>
      <c r="H13" s="48">
        <v>0</v>
      </c>
      <c r="I13" s="48">
        <v>0</v>
      </c>
      <c r="J13" s="48"/>
      <c r="K13" s="48">
        <v>0</v>
      </c>
      <c r="L13" s="48">
        <v>0</v>
      </c>
      <c r="M13" s="11" t="s">
        <v>25</v>
      </c>
    </row>
    <row r="14" spans="1:15" ht="20.25" customHeight="1">
      <c r="A14" s="32" t="s">
        <v>28</v>
      </c>
      <c r="B14" s="50">
        <v>273</v>
      </c>
      <c r="C14" s="50">
        <v>1568</v>
      </c>
      <c r="D14" s="52">
        <v>1725</v>
      </c>
      <c r="E14" s="50">
        <v>434</v>
      </c>
      <c r="F14" s="50"/>
      <c r="G14" s="50"/>
      <c r="H14" s="50"/>
      <c r="I14" s="50"/>
      <c r="J14" s="50"/>
      <c r="K14" s="50"/>
      <c r="L14" s="50"/>
      <c r="M14" s="33" t="s">
        <v>29</v>
      </c>
    </row>
    <row r="15" spans="1:15" ht="20.25" customHeight="1">
      <c r="A15" s="32" t="s">
        <v>30</v>
      </c>
      <c r="B15" s="51">
        <f>SUM(B16:B19)</f>
        <v>11570</v>
      </c>
      <c r="C15" s="51">
        <f>SUM(C16:C19)</f>
        <v>72183</v>
      </c>
      <c r="D15" s="51">
        <f>SUM(D16:D19)</f>
        <v>71207</v>
      </c>
      <c r="E15" s="51">
        <f>SUM(E16:E19)</f>
        <v>14582</v>
      </c>
      <c r="F15" s="51"/>
      <c r="G15" s="51">
        <f>SUM(G16:G19)</f>
        <v>299272.8</v>
      </c>
      <c r="H15" s="51">
        <f>SUM(H16:H19)</f>
        <v>24162.1</v>
      </c>
      <c r="I15" s="51">
        <f>SUM(I16:I19)</f>
        <v>8782</v>
      </c>
      <c r="J15" s="51"/>
      <c r="K15" s="51">
        <f>SUM(K16:K19)</f>
        <v>8154.8</v>
      </c>
      <c r="L15" s="51">
        <f>SUM(L16:L19)</f>
        <v>1084.0999999999999</v>
      </c>
      <c r="M15" s="46" t="s">
        <v>31</v>
      </c>
    </row>
    <row r="16" spans="1:15" ht="20.25" customHeight="1">
      <c r="A16" s="30" t="s">
        <v>36</v>
      </c>
      <c r="B16" s="48">
        <v>3915</v>
      </c>
      <c r="C16" s="48">
        <v>63489</v>
      </c>
      <c r="D16" s="48">
        <v>61908</v>
      </c>
      <c r="E16" s="48">
        <v>5958</v>
      </c>
      <c r="F16" s="53"/>
      <c r="G16" s="48">
        <v>299156.8</v>
      </c>
      <c r="H16" s="48">
        <v>24162.1</v>
      </c>
      <c r="I16" s="48">
        <v>8730</v>
      </c>
      <c r="J16" s="49"/>
      <c r="K16" s="54">
        <v>8154.8</v>
      </c>
      <c r="L16" s="54">
        <v>1084.0999999999999</v>
      </c>
      <c r="M16" s="31" t="s">
        <v>37</v>
      </c>
    </row>
    <row r="17" spans="1:13" ht="20.25" customHeight="1">
      <c r="A17" s="42" t="s">
        <v>24</v>
      </c>
      <c r="B17" s="48"/>
      <c r="C17" s="48"/>
      <c r="D17" s="48"/>
      <c r="E17" s="48"/>
      <c r="F17" s="53"/>
      <c r="G17" s="48"/>
      <c r="H17" s="48"/>
      <c r="I17" s="48"/>
      <c r="J17" s="49"/>
      <c r="K17" s="48"/>
      <c r="L17" s="48"/>
      <c r="M17" s="11" t="s">
        <v>25</v>
      </c>
    </row>
    <row r="18" spans="1:13" ht="17.25" customHeight="1">
      <c r="A18" s="42" t="s">
        <v>42</v>
      </c>
      <c r="B18" s="48">
        <v>758</v>
      </c>
      <c r="C18" s="48">
        <v>8694</v>
      </c>
      <c r="D18" s="48">
        <v>9299</v>
      </c>
      <c r="E18" s="48">
        <v>8624</v>
      </c>
      <c r="F18" s="53"/>
      <c r="G18" s="48">
        <v>116</v>
      </c>
      <c r="H18" s="48">
        <v>0</v>
      </c>
      <c r="I18" s="48">
        <v>52</v>
      </c>
      <c r="J18" s="49"/>
      <c r="K18" s="54">
        <v>0</v>
      </c>
      <c r="L18" s="54">
        <v>0</v>
      </c>
      <c r="M18" s="43" t="s">
        <v>43</v>
      </c>
    </row>
    <row r="19" spans="1:13" ht="12" customHeight="1">
      <c r="A19" s="12" t="s">
        <v>32</v>
      </c>
      <c r="B19" s="55">
        <v>6897</v>
      </c>
      <c r="C19" s="56">
        <v>0</v>
      </c>
      <c r="D19" s="56">
        <v>0</v>
      </c>
      <c r="E19" s="56">
        <v>0</v>
      </c>
      <c r="F19" s="56"/>
      <c r="G19" s="56">
        <v>0</v>
      </c>
      <c r="H19" s="56">
        <v>0</v>
      </c>
      <c r="I19" s="56">
        <v>0</v>
      </c>
      <c r="J19" s="56"/>
      <c r="K19" s="56">
        <v>0</v>
      </c>
      <c r="L19" s="56">
        <v>0</v>
      </c>
      <c r="M19" s="34" t="s">
        <v>33</v>
      </c>
    </row>
    <row r="20" spans="1:13" ht="17.25" customHeight="1">
      <c r="A20" s="45" t="s">
        <v>38</v>
      </c>
      <c r="B20" s="35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36" t="s">
        <v>39</v>
      </c>
    </row>
    <row r="21" spans="1:13" s="39" customFormat="1" ht="15" customHeight="1">
      <c r="A21" s="44" t="s">
        <v>44</v>
      </c>
      <c r="B21" s="37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38" t="s">
        <v>40</v>
      </c>
    </row>
    <row r="22" spans="1:13" s="39" customFormat="1" ht="15" customHeight="1">
      <c r="A22" s="14" t="s">
        <v>45</v>
      </c>
      <c r="B22" s="37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40" t="s">
        <v>41</v>
      </c>
    </row>
    <row r="23" spans="1:13" s="39" customFormat="1" ht="18.75">
      <c r="A23" s="16" t="s">
        <v>34</v>
      </c>
      <c r="B23" s="41"/>
      <c r="C23" s="17"/>
      <c r="D23" s="17"/>
      <c r="E23" s="17"/>
      <c r="F23" s="17"/>
      <c r="G23" s="17"/>
      <c r="H23" s="18"/>
      <c r="I23" s="18"/>
      <c r="J23" s="18"/>
      <c r="M23" s="1" t="s">
        <v>35</v>
      </c>
    </row>
    <row r="24" spans="1:13" ht="21.75" customHeight="1"/>
  </sheetData>
  <mergeCells count="2">
    <mergeCell ref="A3:M3"/>
    <mergeCell ref="A4:M4"/>
  </mergeCells>
  <pageMargins left="0.23" right="0.17" top="0.42" bottom="0.17" header="0.3" footer="0.3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11.12</vt:lpstr>
      <vt:lpstr>'11.12'!Print_Area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2016-03-17T07:32:29Z</cp:lastPrinted>
  <dcterms:created xsi:type="dcterms:W3CDTF">2014-05-22T03:57:11Z</dcterms:created>
  <dcterms:modified xsi:type="dcterms:W3CDTF">2016-03-17T07:32:30Z</dcterms:modified>
</cp:coreProperties>
</file>