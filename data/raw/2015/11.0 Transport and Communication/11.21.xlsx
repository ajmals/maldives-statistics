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 11.21" sheetId="16" r:id="rId1"/>
  </sheets>
  <definedNames>
    <definedName name="_xlnm.Print_Area" localSheetId="0">' 11.21'!$A$1:$I$20</definedName>
  </definedNames>
  <calcPr calcId="144525"/>
</workbook>
</file>

<file path=xl/calcChain.xml><?xml version="1.0" encoding="utf-8"?>
<calcChain xmlns="http://schemas.openxmlformats.org/spreadsheetml/2006/main">
  <c r="B19" i="16" l="1"/>
  <c r="B18" i="16"/>
  <c r="B17" i="16"/>
  <c r="B16" i="16"/>
  <c r="B15" i="16"/>
  <c r="B14" i="16"/>
  <c r="B13" i="16"/>
  <c r="B12" i="16"/>
  <c r="B11" i="16"/>
  <c r="B10" i="16"/>
  <c r="B9" i="16"/>
  <c r="B8" i="16"/>
  <c r="H7" i="16"/>
  <c r="G7" i="16"/>
  <c r="F7" i="16"/>
  <c r="E7" i="16"/>
  <c r="D7" i="16"/>
  <c r="C7" i="16"/>
  <c r="B7" i="16" l="1"/>
</calcChain>
</file>

<file path=xl/sharedStrings.xml><?xml version="1.0" encoding="utf-8"?>
<sst xmlns="http://schemas.openxmlformats.org/spreadsheetml/2006/main" count="42" uniqueCount="39">
  <si>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</si>
  <si>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</si>
  <si>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</si>
  <si>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</si>
  <si>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</si>
  <si>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</si>
  <si>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</si>
  <si>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</si>
  <si>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</si>
  <si>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</si>
  <si>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</si>
  <si>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</si>
  <si>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</si>
  <si>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</si>
  <si>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</si>
  <si>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</si>
  <si>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</si>
  <si>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</si>
  <si>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</si>
  <si>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</si>
  <si>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</si>
  <si>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</si>
  <si>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</si>
  <si>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</si>
  <si>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</si>
  <si>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</si>
  <si>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</si>
  <si>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</si>
  <si>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</si>
  <si>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</si>
  <si>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</si>
  <si>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</si>
  <si>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 xml:space="preserve">        Total </t>
  </si>
  <si>
    <t>Direct Transit</t>
  </si>
  <si>
    <t>(in Kg)</t>
  </si>
  <si>
    <t>Inward</t>
  </si>
  <si>
    <t>Outward</t>
  </si>
  <si>
    <t>Table  11.21 :  CARGO HANDLED AT IBRAHIM NASIR INTERNATIONAL AIRPORT BY MONTH, 2014</t>
  </si>
  <si>
    <t>ތާވަލު 11.20: މަސްމަހުގެ ގޮތުން އިބްރާހީމް ނާސިރު އިންޓަރނޭޝަނަލް އެއަރޕޯޓުގައި ފަސިންޖަރުންގެ ދަތުރުފަތުރު ހުރި ގޮތް،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</si>
</sst>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color theme="1"/>
      <name val="Faruma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0" fillId="0" borderId="0"/>
    <xf numFmtId="40" fontId="13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5" fillId="0" borderId="0"/>
    <xf numFmtId="0" fontId="16" fillId="0" borderId="0"/>
    <xf numFmtId="164" fontId="10" fillId="0" borderId="0"/>
    <xf numFmtId="169" fontId="10" fillId="0" borderId="0" applyFont="0" applyFill="0" applyBorder="0" applyAlignment="0" applyProtection="0"/>
  </cellStyleXfs>
  <cellXfs count="43">
    <xf numFmtId="0" fontId="0" fillId="0" borderId="0" xfId="0"/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164" fontId="3" fillId="2" borderId="3" xfId="5" applyNumberFormat="1" applyFont="1" applyFill="1" applyBorder="1" applyAlignment="1" applyProtection="1">
      <alignment horizontal="left" vertical="center"/>
    </xf>
    <xf numFmtId="164" fontId="14" fillId="2" borderId="0" xfId="5" applyNumberFormat="1" applyFont="1" applyFill="1" applyBorder="1" applyAlignment="1">
      <alignment horizontal="right" vertical="center"/>
    </xf>
    <xf numFmtId="164" fontId="14" fillId="2" borderId="3" xfId="5" applyNumberFormat="1" applyFont="1" applyFill="1" applyBorder="1" applyAlignment="1">
      <alignment horizontal="right" vertical="center"/>
    </xf>
    <xf numFmtId="164" fontId="12" fillId="2" borderId="0" xfId="5" applyNumberFormat="1" applyFont="1" applyFill="1" applyBorder="1" applyAlignment="1">
      <alignment horizontal="right" vertical="center"/>
    </xf>
    <xf numFmtId="164" fontId="6" fillId="2" borderId="2" xfId="5" applyNumberFormat="1" applyFont="1" applyFill="1" applyBorder="1" applyAlignment="1" applyProtection="1">
      <alignment horizontal="left" vertical="center"/>
    </xf>
    <xf numFmtId="164" fontId="6" fillId="2" borderId="3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0" fontId="9" fillId="2" borderId="1" xfId="0" applyNumberFormat="1" applyFont="1" applyFill="1" applyBorder="1" applyAlignment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0" fillId="2" borderId="0" xfId="0" applyNumberFormat="1" applyFill="1" applyAlignment="1">
      <alignment vertical="top"/>
    </xf>
    <xf numFmtId="164" fontId="7" fillId="2" borderId="0" xfId="5" applyNumberFormat="1" applyFont="1" applyFill="1" applyAlignment="1" applyProtection="1">
      <alignment horizontal="left" vertical="top"/>
    </xf>
    <xf numFmtId="0" fontId="8" fillId="2" borderId="1" xfId="0" applyNumberFormat="1" applyFont="1" applyFill="1" applyBorder="1" applyAlignment="1">
      <alignment horizontal="right" vertical="top"/>
    </xf>
    <xf numFmtId="0" fontId="6" fillId="2" borderId="0" xfId="10" applyFont="1" applyFill="1" applyAlignment="1">
      <alignment vertical="center"/>
    </xf>
    <xf numFmtId="164" fontId="6" fillId="2" borderId="3" xfId="5" applyNumberFormat="1" applyFont="1" applyFill="1" applyBorder="1" applyAlignment="1" applyProtection="1">
      <alignment horizontal="right" vertical="center" wrapText="1"/>
    </xf>
    <xf numFmtId="164" fontId="2" fillId="2" borderId="5" xfId="5" applyNumberFormat="1" applyFont="1" applyFill="1" applyBorder="1" applyAlignment="1" applyProtection="1">
      <alignment horizontal="right" vertical="center" wrapText="1"/>
    </xf>
    <xf numFmtId="38" fontId="2" fillId="2" borderId="0" xfId="6" applyNumberFormat="1" applyFont="1" applyFill="1" applyAlignment="1" applyProtection="1">
      <alignment horizontal="right" vertical="center"/>
    </xf>
    <xf numFmtId="38" fontId="2" fillId="2" borderId="0" xfId="6" applyNumberFormat="1" applyFont="1" applyFill="1" applyBorder="1" applyAlignment="1" applyProtection="1">
      <alignment horizontal="right" vertical="center" wrapText="1"/>
    </xf>
    <xf numFmtId="38" fontId="2" fillId="2" borderId="4" xfId="6" applyNumberFormat="1" applyFont="1" applyFill="1" applyBorder="1" applyAlignment="1" applyProtection="1">
      <alignment horizontal="right" vertical="center" wrapText="1"/>
    </xf>
    <xf numFmtId="38" fontId="2" fillId="2" borderId="2" xfId="6" applyNumberFormat="1" applyFont="1" applyFill="1" applyBorder="1" applyAlignment="1" applyProtection="1">
      <alignment horizontal="right" vertical="center" wrapText="1"/>
    </xf>
    <xf numFmtId="164" fontId="7" fillId="2" borderId="0" xfId="5" applyNumberFormat="1" applyFont="1" applyFill="1" applyAlignment="1">
      <alignment vertical="center"/>
    </xf>
    <xf numFmtId="164" fontId="3" fillId="2" borderId="0" xfId="5" applyNumberFormat="1" applyFont="1" applyFill="1" applyAlignment="1">
      <alignment vertical="center"/>
    </xf>
    <xf numFmtId="164" fontId="3" fillId="2" borderId="0" xfId="5" applyNumberFormat="1" applyFont="1" applyFill="1" applyBorder="1" applyAlignment="1">
      <alignment vertical="center"/>
    </xf>
    <xf numFmtId="37" fontId="3" fillId="2" borderId="0" xfId="5" applyNumberFormat="1" applyFont="1" applyFill="1" applyAlignment="1" applyProtection="1">
      <alignment vertical="top"/>
    </xf>
    <xf numFmtId="38" fontId="3" fillId="2" borderId="0" xfId="6" applyNumberFormat="1" applyFont="1" applyFill="1" applyBorder="1" applyAlignment="1" applyProtection="1">
      <alignment horizontal="right" vertical="center" wrapText="1"/>
      <protection locked="0"/>
    </xf>
    <xf numFmtId="38" fontId="3" fillId="2" borderId="0" xfId="6" applyNumberFormat="1" applyFont="1" applyFill="1" applyAlignment="1" applyProtection="1">
      <alignment horizontal="right" vertical="center" wrapText="1"/>
      <protection locked="0"/>
    </xf>
    <xf numFmtId="38" fontId="3" fillId="2" borderId="4" xfId="6" applyNumberFormat="1" applyFont="1" applyFill="1" applyBorder="1" applyAlignment="1" applyProtection="1">
      <alignment horizontal="right" vertical="center" wrapText="1"/>
      <protection locked="0"/>
    </xf>
    <xf numFmtId="38" fontId="3" fillId="2" borderId="0" xfId="5" applyNumberFormat="1" applyFont="1" applyFill="1" applyBorder="1" applyAlignment="1" applyProtection="1">
      <alignment horizontal="right" vertical="center" wrapText="1"/>
      <protection locked="0"/>
    </xf>
    <xf numFmtId="38" fontId="2" fillId="2" borderId="3" xfId="6" applyNumberFormat="1" applyFont="1" applyFill="1" applyBorder="1" applyAlignment="1" applyProtection="1">
      <alignment horizontal="right" vertical="center"/>
    </xf>
    <xf numFmtId="38" fontId="3" fillId="2" borderId="3" xfId="6" applyNumberFormat="1" applyFont="1" applyFill="1" applyBorder="1" applyAlignment="1" applyProtection="1">
      <alignment horizontal="right" vertical="center" wrapText="1"/>
    </xf>
    <xf numFmtId="38" fontId="3" fillId="2" borderId="5" xfId="6" applyNumberFormat="1" applyFont="1" applyFill="1" applyBorder="1" applyAlignment="1" applyProtection="1">
      <alignment horizontal="right" vertical="center" wrapText="1"/>
    </xf>
    <xf numFmtId="38" fontId="3" fillId="2" borderId="3" xfId="5" applyNumberFormat="1" applyFont="1" applyFill="1" applyBorder="1" applyAlignment="1" applyProtection="1">
      <alignment horizontal="right" vertical="center" wrapText="1"/>
    </xf>
    <xf numFmtId="164" fontId="12" fillId="2" borderId="2" xfId="5" applyNumberFormat="1" applyFont="1" applyFill="1" applyBorder="1" applyAlignment="1">
      <alignment horizontal="right" vertical="center"/>
    </xf>
    <xf numFmtId="164" fontId="12" fillId="2" borderId="3" xfId="5" applyNumberFormat="1" applyFont="1" applyFill="1" applyBorder="1" applyAlignment="1">
      <alignment horizontal="right" vertical="center"/>
    </xf>
    <xf numFmtId="164" fontId="6" fillId="2" borderId="0" xfId="5" applyNumberFormat="1" applyFont="1" applyFill="1" applyBorder="1" applyAlignment="1" applyProtection="1">
      <alignment horizontal="center" vertical="center"/>
    </xf>
    <xf numFmtId="164" fontId="2" fillId="2" borderId="6" xfId="5" applyNumberFormat="1" applyFont="1" applyFill="1" applyBorder="1" applyAlignment="1" applyProtection="1">
      <alignment horizontal="center" vertical="center"/>
    </xf>
    <xf numFmtId="164" fontId="2" fillId="2" borderId="3" xfId="5" applyNumberFormat="1" applyFont="1" applyFill="1" applyBorder="1" applyAlignment="1" applyProtection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</cellXfs>
  <cellStyles count="14">
    <cellStyle name="Comma 2" xfId="6"/>
    <cellStyle name="Comma 4" xfId="9"/>
    <cellStyle name="Comma 4 2" xfId="13"/>
    <cellStyle name="Hyperlink 2" xfId="1"/>
    <cellStyle name="Normal" xfId="0" builtinId="0"/>
    <cellStyle name="Normal 2" xfId="5"/>
    <cellStyle name="Normal 2 2" xfId="12"/>
    <cellStyle name="Normal 2 3" xfId="3"/>
    <cellStyle name="Normal 3" xfId="7"/>
    <cellStyle name="Normal 3 2" xfId="4"/>
    <cellStyle name="Normal 4" xfId="8"/>
    <cellStyle name="Normal 5" xfId="2"/>
    <cellStyle name="Normal 6" xfId="11"/>
    <cellStyle name="Normal_IX-7(Trans &amp; Comm)" xfId="10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"/>
  <sheetViews>
    <sheetView tabSelected="1" zoomScaleNormal="100" zoomScaleSheetLayoutView="100" workbookViewId="0">
      <selection activeCell="J22" sqref="J22"/>
    </sheetView>
  </sheetViews>
  <sheetFormatPr defaultColWidth="9.140625" defaultRowHeight="15" x14ac:dyDescent="0.2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1" customWidth="1"/>
    <col min="10" max="10" width="18.140625" style="1" bestFit="1" customWidth="1"/>
    <col min="11" max="16384" width="9.140625" style="1"/>
  </cols>
  <sheetData>
    <row r="2" spans="1:9" ht="21" x14ac:dyDescent="0.25">
      <c r="A2" s="42" t="s">
        <v>38</v>
      </c>
      <c r="B2" s="42"/>
      <c r="C2" s="42"/>
      <c r="D2" s="42"/>
      <c r="E2" s="42"/>
      <c r="F2" s="42"/>
      <c r="G2" s="42"/>
      <c r="H2" s="42"/>
      <c r="I2" s="42"/>
    </row>
    <row r="3" spans="1:9" x14ac:dyDescent="0.25">
      <c r="A3" s="39" t="s">
        <v>37</v>
      </c>
      <c r="B3" s="39"/>
      <c r="C3" s="39"/>
      <c r="D3" s="39"/>
      <c r="E3" s="39"/>
      <c r="F3" s="39"/>
      <c r="G3" s="39"/>
      <c r="H3" s="39"/>
    </row>
    <row r="4" spans="1:9" x14ac:dyDescent="0.25">
      <c r="A4" s="41" t="s">
        <v>34</v>
      </c>
      <c r="B4" s="41"/>
      <c r="C4" s="41"/>
      <c r="D4" s="41"/>
      <c r="E4" s="41"/>
      <c r="F4" s="41"/>
      <c r="G4" s="41"/>
      <c r="H4" s="18"/>
    </row>
    <row r="5" spans="1:9" x14ac:dyDescent="0.25">
      <c r="A5" s="9"/>
      <c r="B5" s="9"/>
      <c r="C5" s="40" t="s">
        <v>2</v>
      </c>
      <c r="D5" s="40"/>
      <c r="E5" s="40"/>
      <c r="F5" s="40" t="s">
        <v>6</v>
      </c>
      <c r="G5" s="40"/>
      <c r="H5" s="40"/>
      <c r="I5" s="37" t="s">
        <v>7</v>
      </c>
    </row>
    <row r="6" spans="1:9" ht="15" customHeight="1" x14ac:dyDescent="0.25">
      <c r="A6" s="10" t="s">
        <v>5</v>
      </c>
      <c r="B6" s="19" t="s">
        <v>32</v>
      </c>
      <c r="C6" s="11" t="s">
        <v>35</v>
      </c>
      <c r="D6" s="11" t="s">
        <v>36</v>
      </c>
      <c r="E6" s="3" t="s">
        <v>33</v>
      </c>
      <c r="F6" s="20" t="s">
        <v>35</v>
      </c>
      <c r="G6" s="14" t="s">
        <v>36</v>
      </c>
      <c r="H6" s="13" t="s">
        <v>33</v>
      </c>
      <c r="I6" s="38"/>
    </row>
    <row r="7" spans="1:9" ht="15" customHeight="1" x14ac:dyDescent="0.25">
      <c r="A7" s="2" t="s">
        <v>1</v>
      </c>
      <c r="B7" s="21">
        <f>SUM(C7:H7)</f>
        <v>59671179.609999999</v>
      </c>
      <c r="C7" s="22">
        <f t="shared" ref="C7:H7" si="0">SUM(C8:C19)</f>
        <v>36523077.060000002</v>
      </c>
      <c r="D7" s="22">
        <f t="shared" si="0"/>
        <v>13328948.709999997</v>
      </c>
      <c r="E7" s="22">
        <f t="shared" si="0"/>
        <v>8973103.6999999993</v>
      </c>
      <c r="F7" s="23">
        <f t="shared" si="0"/>
        <v>240374.89</v>
      </c>
      <c r="G7" s="24">
        <f t="shared" si="0"/>
        <v>412419.41000000003</v>
      </c>
      <c r="H7" s="24">
        <f t="shared" si="0"/>
        <v>193255.84</v>
      </c>
      <c r="I7" s="8" t="s">
        <v>0</v>
      </c>
    </row>
    <row r="8" spans="1:9" ht="15" customHeight="1" x14ac:dyDescent="0.25">
      <c r="A8" s="4" t="s">
        <v>8</v>
      </c>
      <c r="B8" s="21">
        <f t="shared" ref="B8:B19" si="1">SUM(C8:H8)</f>
        <v>4507181.4799999995</v>
      </c>
      <c r="C8" s="29">
        <v>2488266.19</v>
      </c>
      <c r="D8" s="30">
        <v>1134201.28</v>
      </c>
      <c r="E8" s="29">
        <v>816668.6</v>
      </c>
      <c r="F8" s="31">
        <v>17328.2</v>
      </c>
      <c r="G8" s="29">
        <v>31270.660000000003</v>
      </c>
      <c r="H8" s="32">
        <v>19446.550000000003</v>
      </c>
      <c r="I8" s="6" t="s">
        <v>9</v>
      </c>
    </row>
    <row r="9" spans="1:9" ht="15" customHeight="1" x14ac:dyDescent="0.25">
      <c r="A9" s="4" t="s">
        <v>10</v>
      </c>
      <c r="B9" s="21">
        <f t="shared" si="1"/>
        <v>4149913.87</v>
      </c>
      <c r="C9" s="29">
        <v>2484391.3700000006</v>
      </c>
      <c r="D9" s="30">
        <v>1118954.3599999999</v>
      </c>
      <c r="E9" s="29">
        <v>479640.94</v>
      </c>
      <c r="F9" s="31">
        <v>17808.5</v>
      </c>
      <c r="G9" s="29">
        <v>30750.400000000001</v>
      </c>
      <c r="H9" s="32">
        <v>18368.300000000003</v>
      </c>
      <c r="I9" s="6" t="s">
        <v>11</v>
      </c>
    </row>
    <row r="10" spans="1:9" ht="15" customHeight="1" x14ac:dyDescent="0.25">
      <c r="A10" s="4" t="s">
        <v>12</v>
      </c>
      <c r="B10" s="21">
        <f t="shared" si="1"/>
        <v>4771337.0099999988</v>
      </c>
      <c r="C10" s="29">
        <v>2681794.4899999993</v>
      </c>
      <c r="D10" s="30">
        <v>933842.52</v>
      </c>
      <c r="E10" s="29">
        <v>1068571.6400000001</v>
      </c>
      <c r="F10" s="31">
        <v>23670.77</v>
      </c>
      <c r="G10" s="29">
        <v>43446.05</v>
      </c>
      <c r="H10" s="32">
        <v>20011.54</v>
      </c>
      <c r="I10" s="6" t="s">
        <v>13</v>
      </c>
    </row>
    <row r="11" spans="1:9" ht="15" customHeight="1" x14ac:dyDescent="0.25">
      <c r="A11" s="4" t="s">
        <v>14</v>
      </c>
      <c r="B11" s="21">
        <f t="shared" si="1"/>
        <v>4549054.3899999987</v>
      </c>
      <c r="C11" s="29">
        <v>2493184.8199999994</v>
      </c>
      <c r="D11" s="30">
        <v>1324233.18</v>
      </c>
      <c r="E11" s="29">
        <v>662658.71</v>
      </c>
      <c r="F11" s="31">
        <v>22626.6</v>
      </c>
      <c r="G11" s="29">
        <v>31074.25</v>
      </c>
      <c r="H11" s="32">
        <v>15276.83</v>
      </c>
      <c r="I11" s="6" t="s">
        <v>29</v>
      </c>
    </row>
    <row r="12" spans="1:9" ht="15" customHeight="1" x14ac:dyDescent="0.25">
      <c r="A12" s="4" t="s">
        <v>15</v>
      </c>
      <c r="B12" s="21">
        <f t="shared" si="1"/>
        <v>4093067.25</v>
      </c>
      <c r="C12" s="29">
        <v>2512749.88</v>
      </c>
      <c r="D12" s="30">
        <v>771687.59</v>
      </c>
      <c r="E12" s="29">
        <v>747325.8</v>
      </c>
      <c r="F12" s="31">
        <v>17812.43</v>
      </c>
      <c r="G12" s="29">
        <v>30697.85</v>
      </c>
      <c r="H12" s="32">
        <v>12793.7</v>
      </c>
      <c r="I12" s="6" t="s">
        <v>16</v>
      </c>
    </row>
    <row r="13" spans="1:9" ht="15" customHeight="1" x14ac:dyDescent="0.25">
      <c r="A13" s="4" t="s">
        <v>17</v>
      </c>
      <c r="B13" s="21">
        <f t="shared" si="1"/>
        <v>4120872.5000000005</v>
      </c>
      <c r="C13" s="29">
        <v>2487477.12</v>
      </c>
      <c r="D13" s="30">
        <v>847091.55999999994</v>
      </c>
      <c r="E13" s="29">
        <v>724325.78999999992</v>
      </c>
      <c r="F13" s="31">
        <v>21771.58</v>
      </c>
      <c r="G13" s="29">
        <v>27991.35</v>
      </c>
      <c r="H13" s="32">
        <v>12215.1</v>
      </c>
      <c r="I13" s="6" t="s">
        <v>18</v>
      </c>
    </row>
    <row r="14" spans="1:9" ht="15" customHeight="1" x14ac:dyDescent="0.25">
      <c r="A14" s="4" t="s">
        <v>19</v>
      </c>
      <c r="B14" s="21">
        <f t="shared" si="1"/>
        <v>3967104.1800000006</v>
      </c>
      <c r="C14" s="29">
        <v>2773057.7600000002</v>
      </c>
      <c r="D14" s="30">
        <v>476403.51999999996</v>
      </c>
      <c r="E14" s="29">
        <v>644966.46000000008</v>
      </c>
      <c r="F14" s="31">
        <v>15544.990000000002</v>
      </c>
      <c r="G14" s="29">
        <v>40108.5</v>
      </c>
      <c r="H14" s="32">
        <v>17022.95</v>
      </c>
      <c r="I14" s="6" t="s">
        <v>20</v>
      </c>
    </row>
    <row r="15" spans="1:9" ht="15" customHeight="1" x14ac:dyDescent="0.25">
      <c r="A15" s="4" t="s">
        <v>21</v>
      </c>
      <c r="B15" s="21">
        <f t="shared" si="1"/>
        <v>4138676</v>
      </c>
      <c r="C15" s="29">
        <v>2576835.5000000005</v>
      </c>
      <c r="D15" s="30">
        <v>863222.15999999992</v>
      </c>
      <c r="E15" s="29">
        <v>635989.23</v>
      </c>
      <c r="F15" s="31">
        <v>19887.73</v>
      </c>
      <c r="G15" s="29">
        <v>30737.65</v>
      </c>
      <c r="H15" s="32">
        <v>12003.73</v>
      </c>
      <c r="I15" s="6" t="s">
        <v>30</v>
      </c>
    </row>
    <row r="16" spans="1:9" ht="15" customHeight="1" x14ac:dyDescent="0.25">
      <c r="A16" s="4" t="s">
        <v>22</v>
      </c>
      <c r="B16" s="21">
        <f t="shared" si="1"/>
        <v>4523617.1899999985</v>
      </c>
      <c r="C16" s="29">
        <v>2364554.4599999995</v>
      </c>
      <c r="D16" s="30">
        <v>1421821.0899999999</v>
      </c>
      <c r="E16" s="29">
        <v>669913.18000000005</v>
      </c>
      <c r="F16" s="31">
        <v>22792.890000000003</v>
      </c>
      <c r="G16" s="29">
        <v>33153.050000000003</v>
      </c>
      <c r="H16" s="32">
        <v>11382.519999999999</v>
      </c>
      <c r="I16" s="6" t="s">
        <v>23</v>
      </c>
    </row>
    <row r="17" spans="1:9" ht="15" customHeight="1" x14ac:dyDescent="0.25">
      <c r="A17" s="4" t="s">
        <v>24</v>
      </c>
      <c r="B17" s="21">
        <f t="shared" si="1"/>
        <v>4954421.9800000014</v>
      </c>
      <c r="C17" s="29">
        <v>2695936.290000001</v>
      </c>
      <c r="D17" s="30">
        <v>1302639.5700000003</v>
      </c>
      <c r="E17" s="29">
        <v>892830.6</v>
      </c>
      <c r="F17" s="31">
        <v>18092.329999999998</v>
      </c>
      <c r="G17" s="29">
        <v>29332.400000000001</v>
      </c>
      <c r="H17" s="32">
        <v>15590.79</v>
      </c>
      <c r="I17" s="6" t="s">
        <v>31</v>
      </c>
    </row>
    <row r="18" spans="1:9" ht="15" customHeight="1" x14ac:dyDescent="0.25">
      <c r="A18" s="4" t="s">
        <v>25</v>
      </c>
      <c r="B18" s="21">
        <f t="shared" si="1"/>
        <v>5323193.71</v>
      </c>
      <c r="C18" s="29">
        <v>2619777.4099999997</v>
      </c>
      <c r="D18" s="30">
        <v>1666049.17</v>
      </c>
      <c r="E18" s="29">
        <v>963683.91999999993</v>
      </c>
      <c r="F18" s="31">
        <v>14766.359999999999</v>
      </c>
      <c r="G18" s="29">
        <v>37018.550000000003</v>
      </c>
      <c r="H18" s="32">
        <v>21898.3</v>
      </c>
      <c r="I18" s="6" t="s">
        <v>26</v>
      </c>
    </row>
    <row r="19" spans="1:9" ht="15.6" customHeight="1" x14ac:dyDescent="0.25">
      <c r="A19" s="5" t="s">
        <v>27</v>
      </c>
      <c r="B19" s="33">
        <f t="shared" si="1"/>
        <v>10572740.049999999</v>
      </c>
      <c r="C19" s="34">
        <v>8345051.7700000005</v>
      </c>
      <c r="D19" s="34">
        <v>1468802.71</v>
      </c>
      <c r="E19" s="34">
        <v>666528.82999999996</v>
      </c>
      <c r="F19" s="35">
        <v>28272.51</v>
      </c>
      <c r="G19" s="34">
        <v>46838.7</v>
      </c>
      <c r="H19" s="36">
        <v>17245.53</v>
      </c>
      <c r="I19" s="7" t="s">
        <v>28</v>
      </c>
    </row>
    <row r="20" spans="1:9" s="15" customFormat="1" ht="17.25" x14ac:dyDescent="0.25">
      <c r="A20" s="16" t="s">
        <v>3</v>
      </c>
      <c r="B20" s="25"/>
      <c r="C20" s="25"/>
      <c r="D20" s="26"/>
      <c r="E20" s="27"/>
      <c r="F20" s="26"/>
      <c r="G20" s="26"/>
      <c r="H20" s="27"/>
      <c r="I20" s="12" t="s">
        <v>4</v>
      </c>
    </row>
    <row r="21" spans="1:9" ht="57" customHeight="1" x14ac:dyDescent="0.25">
      <c r="A21" s="15"/>
      <c r="B21" s="16"/>
      <c r="C21" s="28"/>
      <c r="D21" s="28"/>
      <c r="E21" s="28"/>
      <c r="F21" s="28"/>
      <c r="G21" s="28"/>
      <c r="H21" s="17"/>
      <c r="I21" s="15"/>
    </row>
  </sheetData>
  <mergeCells count="6">
    <mergeCell ref="I5:I6"/>
    <mergeCell ref="A4:G4"/>
    <mergeCell ref="C5:E5"/>
    <mergeCell ref="F5:H5"/>
    <mergeCell ref="A3:H3"/>
    <mergeCell ref="A2:I2"/>
  </mergeCells>
  <pageMargins left="0.33" right="0.3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11.21</vt:lpstr>
      <vt:lpstr>' 11.21'!Print_Area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2016-03-17T07:59:34Z</cp:lastPrinted>
  <dcterms:created xsi:type="dcterms:W3CDTF">2014-05-22T03:57:11Z</dcterms:created>
  <dcterms:modified xsi:type="dcterms:W3CDTF">2016-03-17T07:59:35Z</dcterms:modified>
</cp:coreProperties>
</file>