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5" sheetId="13" r:id="rId1"/>
  </sheets>
  <definedNames>
    <definedName name="_xlnm.Print_Area" localSheetId="0">'11.15'!$A$1:$Z$39</definedName>
  </definedNames>
  <calcPr calcId="144525"/>
</workbook>
</file>

<file path=xl/calcChain.xml><?xml version="1.0" encoding="utf-8"?>
<calcChain xmlns="http://schemas.openxmlformats.org/spreadsheetml/2006/main">
  <c r="AL28" i="13" l="1"/>
  <c r="AL27" i="13"/>
  <c r="AL26" i="13"/>
  <c r="AL25" i="13"/>
  <c r="AL24" i="13"/>
  <c r="AL23" i="13"/>
  <c r="AL22" i="13"/>
  <c r="X8" i="13"/>
  <c r="W8" i="13"/>
  <c r="U8" i="13"/>
  <c r="AN28" i="13" s="1"/>
  <c r="T8" i="13"/>
  <c r="AM28" i="13" s="1"/>
  <c r="R8" i="13"/>
  <c r="AN27" i="13" s="1"/>
  <c r="Q8" i="13"/>
  <c r="AM27" i="13" s="1"/>
  <c r="O8" i="13"/>
  <c r="AN26" i="13" s="1"/>
  <c r="N8" i="13"/>
  <c r="AM26" i="13" s="1"/>
  <c r="L8" i="13"/>
  <c r="AN25" i="13" s="1"/>
  <c r="K8" i="13"/>
  <c r="AM25" i="13" s="1"/>
  <c r="I8" i="13"/>
  <c r="AN24" i="13" s="1"/>
  <c r="H8" i="13"/>
  <c r="AM24" i="13" s="1"/>
  <c r="F8" i="13"/>
  <c r="AN23" i="13" s="1"/>
  <c r="E8" i="13"/>
  <c r="AM23" i="13" s="1"/>
  <c r="C8" i="13"/>
  <c r="AN22" i="13" s="1"/>
  <c r="B8" i="13"/>
  <c r="AM22" i="13" s="1"/>
  <c r="AM30" i="13" l="1"/>
  <c r="AN30" i="13"/>
</calcChain>
</file>

<file path=xl/sharedStrings.xml><?xml version="1.0" encoding="utf-8"?>
<sst xmlns="http://schemas.openxmlformats.org/spreadsheetml/2006/main" count="83" uniqueCount="53">
  <si>
    <t>wlcmuj</t>
  </si>
  <si>
    <t>Total</t>
  </si>
  <si>
    <t>iawa</t>
  </si>
  <si>
    <t>iruf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</si>
  <si>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</si>
  <si>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</si>
  <si>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</si>
  <si>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</si>
  <si>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</si>
  <si>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</si>
  <si>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</si>
  <si>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</si>
  <si>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</si>
  <si>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</si>
  <si>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</si>
  <si>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</si>
  <si>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</si>
  <si>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</si>
  <si>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</si>
  <si>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</si>
  <si>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</si>
  <si>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</si>
  <si>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</si>
  <si>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</si>
  <si>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</si>
  <si>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</si>
  <si>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</si>
  <si>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</si>
  <si>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</si>
  <si>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</si>
  <si>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</si>
  <si>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</si>
  <si>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</si>
  <si>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</si>
  <si>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</si>
  <si>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</si>
  <si>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</si>
  <si>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L.Kadhdhoo</t>
  </si>
  <si>
    <t>GDh.Kaadedhdhoo</t>
  </si>
  <si>
    <t xml:space="preserve">Gn.Fuvahmulah </t>
  </si>
  <si>
    <t>ADh.Maamigili</t>
  </si>
  <si>
    <t>B.Dharavandhoo</t>
  </si>
  <si>
    <t>clIrcPEa</t>
  </si>
  <si>
    <t>cTcswgOa</t>
  </si>
  <si>
    <t>rwbOTckoa</t>
  </si>
  <si>
    <t>UdWminwh .dh</t>
  </si>
  <si>
    <t>HDh.Hanimaadhoo</t>
  </si>
  <si>
    <t>GA. Koodoo</t>
  </si>
  <si>
    <t>2014 ,ctogiruh urutwfurutwd egcnurwjcniswf iawgukwturwdnwb egiawv egEjcaWr cnutogeguhwmcswm  :11.15 ulwvWt</t>
  </si>
  <si>
    <t>Table 11.15 :  PASSENGER MOVEMENTS AT DOMESTIC AIRPORTS BY MONTH, 2014</t>
  </si>
  <si>
    <t>ތ.ތިމަރަފުށި</t>
  </si>
  <si>
    <t xml:space="preserve">THa. Thimarafushi  </t>
  </si>
  <si>
    <t xml:space="preserve">THA. Thimarafushi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</si>
</sst>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i/>
      <sz val="10"/>
      <name val="Arial"/>
      <family val="2"/>
    </font>
    <font>
      <b/>
      <sz val="12"/>
      <name val="A_Randhoo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  <font>
      <b/>
      <sz val="10.5"/>
      <name val="A_Randhoo Aa"/>
    </font>
    <font>
      <b/>
      <sz val="10.5"/>
      <name val="A_Reethi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0" fillId="0" borderId="0"/>
    <xf numFmtId="40" fontId="14" fillId="0" borderId="0" applyFont="0" applyFill="0" applyBorder="0" applyAlignment="0" applyProtection="0"/>
    <xf numFmtId="0" fontId="5" fillId="0" borderId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21" fillId="0" borderId="0"/>
    <xf numFmtId="164" fontId="10" fillId="0" borderId="0"/>
    <xf numFmtId="169" fontId="10" fillId="0" borderId="0" applyFont="0" applyFill="0" applyBorder="0" applyAlignment="0" applyProtection="0"/>
  </cellStyleXfs>
  <cellXfs count="42">
    <xf numFmtId="0" fontId="0" fillId="0" borderId="0" xfId="0"/>
    <xf numFmtId="0" fontId="9" fillId="2" borderId="2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8" fillId="2" borderId="0" xfId="6" applyNumberFormat="1" applyFont="1" applyFill="1" applyAlignment="1" applyProtection="1">
      <alignment horizontal="left" vertical="center"/>
    </xf>
    <xf numFmtId="164" fontId="7" fillId="2" borderId="0" xfId="6" applyNumberFormat="1" applyFont="1" applyFill="1" applyBorder="1" applyAlignment="1" applyProtection="1">
      <alignment horizontal="left" vertical="center"/>
    </xf>
    <xf numFmtId="164" fontId="6" fillId="2" borderId="0" xfId="6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/>
    <xf numFmtId="164" fontId="0" fillId="2" borderId="0" xfId="0" applyNumberFormat="1" applyFill="1" applyBorder="1"/>
    <xf numFmtId="0" fontId="9" fillId="2" borderId="0" xfId="0" applyNumberFormat="1" applyFont="1" applyFill="1" applyBorder="1" applyAlignment="1">
      <alignment horizontal="right" vertical="center"/>
    </xf>
    <xf numFmtId="164" fontId="19" fillId="2" borderId="0" xfId="6" applyNumberFormat="1" applyFont="1" applyFill="1" applyBorder="1" applyAlignment="1">
      <alignment horizontal="center" vertical="center" wrapText="1"/>
    </xf>
    <xf numFmtId="164" fontId="20" fillId="2" borderId="0" xfId="0" applyNumberFormat="1" applyFont="1" applyFill="1"/>
    <xf numFmtId="164" fontId="17" fillId="2" borderId="0" xfId="6" applyNumberFormat="1" applyFont="1" applyFill="1" applyBorder="1" applyAlignment="1">
      <alignment horizontal="right" vertical="center"/>
    </xf>
    <xf numFmtId="164" fontId="19" fillId="2" borderId="5" xfId="6" applyNumberFormat="1" applyFont="1" applyFill="1" applyBorder="1" applyAlignment="1">
      <alignment horizontal="right" vertical="center"/>
    </xf>
    <xf numFmtId="164" fontId="15" fillId="2" borderId="0" xfId="6" applyNumberFormat="1" applyFont="1" applyFill="1" applyBorder="1" applyAlignment="1">
      <alignment horizontal="right" vertical="center"/>
    </xf>
    <xf numFmtId="164" fontId="7" fillId="2" borderId="5" xfId="6" applyNumberFormat="1" applyFont="1" applyFill="1" applyBorder="1" applyAlignment="1" applyProtection="1">
      <alignment horizontal="left" vertical="center"/>
    </xf>
    <xf numFmtId="164" fontId="15" fillId="2" borderId="5" xfId="6" applyNumberFormat="1" applyFont="1" applyFill="1" applyBorder="1" applyAlignment="1">
      <alignment horizontal="right" vertical="center"/>
    </xf>
    <xf numFmtId="164" fontId="11" fillId="2" borderId="0" xfId="6" applyNumberFormat="1" applyFont="1" applyFill="1" applyAlignment="1" applyProtection="1">
      <alignment horizontal="left" vertical="center"/>
    </xf>
    <xf numFmtId="37" fontId="5" fillId="2" borderId="0" xfId="6" applyNumberFormat="1" applyFont="1" applyFill="1" applyAlignment="1" applyProtection="1">
      <alignment vertical="center"/>
    </xf>
    <xf numFmtId="164" fontId="15" fillId="2" borderId="0" xfId="6" applyNumberFormat="1" applyFont="1" applyFill="1" applyBorder="1" applyAlignment="1"/>
    <xf numFmtId="0" fontId="15" fillId="2" borderId="0" xfId="8" applyFont="1" applyFill="1" applyAlignment="1">
      <alignment vertical="center"/>
    </xf>
    <xf numFmtId="164" fontId="13" fillId="2" borderId="0" xfId="6" applyNumberFormat="1" applyFont="1" applyFill="1" applyBorder="1" applyAlignment="1">
      <alignment horizontal="right" vertical="center"/>
    </xf>
    <xf numFmtId="164" fontId="17" fillId="2" borderId="4" xfId="6" applyNumberFormat="1" applyFont="1" applyFill="1" applyBorder="1" applyAlignment="1">
      <alignment horizontal="center" vertical="center"/>
    </xf>
    <xf numFmtId="164" fontId="18" fillId="2" borderId="4" xfId="6" applyNumberFormat="1" applyFont="1" applyFill="1" applyBorder="1" applyAlignment="1">
      <alignment horizontal="center" vertical="center"/>
    </xf>
    <xf numFmtId="164" fontId="3" fillId="2" borderId="5" xfId="6" applyNumberFormat="1" applyFont="1" applyFill="1" applyBorder="1" applyAlignment="1">
      <alignment horizontal="right" vertical="center"/>
    </xf>
    <xf numFmtId="166" fontId="0" fillId="2" borderId="0" xfId="1" applyNumberFormat="1" applyFont="1" applyFill="1"/>
    <xf numFmtId="164" fontId="22" fillId="2" borderId="0" xfId="0" applyNumberFormat="1" applyFont="1" applyFill="1"/>
    <xf numFmtId="3" fontId="6" fillId="2" borderId="6" xfId="6" applyNumberFormat="1" applyFont="1" applyFill="1" applyBorder="1" applyAlignment="1">
      <alignment horizontal="right"/>
    </xf>
    <xf numFmtId="3" fontId="7" fillId="0" borderId="1" xfId="6" applyNumberFormat="1" applyFont="1" applyFill="1" applyBorder="1" applyAlignment="1">
      <alignment horizontal="right"/>
    </xf>
    <xf numFmtId="3" fontId="7" fillId="0" borderId="1" xfId="7" applyNumberFormat="1" applyFont="1" applyFill="1" applyBorder="1" applyAlignment="1">
      <alignment horizontal="right"/>
    </xf>
    <xf numFmtId="3" fontId="7" fillId="0" borderId="3" xfId="6" applyNumberFormat="1" applyFont="1" applyFill="1" applyBorder="1" applyAlignment="1">
      <alignment horizontal="right"/>
    </xf>
    <xf numFmtId="3" fontId="7" fillId="0" borderId="3" xfId="7" applyNumberFormat="1" applyFont="1" applyFill="1" applyBorder="1" applyAlignment="1">
      <alignment horizontal="right"/>
    </xf>
    <xf numFmtId="164" fontId="12" fillId="2" borderId="0" xfId="6" applyNumberFormat="1" applyFont="1" applyFill="1" applyBorder="1" applyAlignment="1">
      <alignment horizontal="center" vertical="center"/>
    </xf>
    <xf numFmtId="164" fontId="2" fillId="2" borderId="0" xfId="6" applyNumberFormat="1" applyFont="1" applyFill="1" applyBorder="1" applyAlignment="1">
      <alignment horizontal="center" vertical="center"/>
    </xf>
    <xf numFmtId="164" fontId="19" fillId="2" borderId="5" xfId="6" applyNumberFormat="1" applyFont="1" applyFill="1" applyBorder="1" applyAlignment="1">
      <alignment horizontal="center" vertical="center" wrapText="1"/>
    </xf>
    <xf numFmtId="164" fontId="18" fillId="2" borderId="4" xfId="6" applyNumberFormat="1" applyFont="1" applyFill="1" applyBorder="1" applyAlignment="1">
      <alignment horizontal="center" vertical="center"/>
    </xf>
    <xf numFmtId="164" fontId="13" fillId="2" borderId="4" xfId="6" applyNumberFormat="1" applyFont="1" applyFill="1" applyBorder="1" applyAlignment="1">
      <alignment horizontal="right" vertical="center"/>
    </xf>
    <xf numFmtId="164" fontId="13" fillId="2" borderId="0" xfId="6" applyNumberFormat="1" applyFont="1" applyFill="1" applyBorder="1" applyAlignment="1">
      <alignment horizontal="right" vertical="center"/>
    </xf>
    <xf numFmtId="164" fontId="13" fillId="2" borderId="5" xfId="6" applyNumberFormat="1" applyFont="1" applyFill="1" applyBorder="1" applyAlignment="1">
      <alignment horizontal="right" vertical="center"/>
    </xf>
    <xf numFmtId="164" fontId="6" fillId="2" borderId="4" xfId="6" applyNumberFormat="1" applyFont="1" applyFill="1" applyBorder="1" applyAlignment="1">
      <alignment horizontal="left" vertical="center"/>
    </xf>
    <xf numFmtId="164" fontId="6" fillId="2" borderId="0" xfId="6" applyNumberFormat="1" applyFont="1" applyFill="1" applyBorder="1" applyAlignment="1">
      <alignment horizontal="left" vertical="center"/>
    </xf>
    <xf numFmtId="164" fontId="6" fillId="2" borderId="5" xfId="6" applyNumberFormat="1" applyFont="1" applyFill="1" applyBorder="1" applyAlignment="1">
      <alignment horizontal="left" vertical="center"/>
    </xf>
    <xf numFmtId="164" fontId="17" fillId="2" borderId="4" xfId="6" applyNumberFormat="1" applyFont="1" applyFill="1" applyBorder="1" applyAlignment="1">
      <alignment horizontal="center" vertical="center"/>
    </xf>
  </cellXfs>
  <cellStyles count="15">
    <cellStyle name="Comma" xfId="1" builtinId="3"/>
    <cellStyle name="Comma 2" xfId="7"/>
    <cellStyle name="Comma 4" xfId="11"/>
    <cellStyle name="Comma 4 2" xfId="14"/>
    <cellStyle name="Hyperlink 2" xfId="2"/>
    <cellStyle name="Normal" xfId="0" builtinId="0"/>
    <cellStyle name="Normal 2" xfId="6"/>
    <cellStyle name="Normal 2 2" xfId="13"/>
    <cellStyle name="Normal 2 3" xfId="4"/>
    <cellStyle name="Normal 3" xfId="9"/>
    <cellStyle name="Normal 3 2" xfId="5"/>
    <cellStyle name="Normal 4" xfId="10"/>
    <cellStyle name="Normal 5" xfId="3"/>
    <cellStyle name="Normal 6" xfId="12"/>
    <cellStyle name="Normal_IX-6(Trans &amp; Comm)" xfId="8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11.10: Passanger movement at Domestic airports, 2014</a:t>
            </a:r>
          </a:p>
        </c:rich>
      </c:tx>
      <c:layout>
        <c:manualLayout>
          <c:xMode val="edge"/>
          <c:yMode val="edge"/>
          <c:x val="0.33160492336178843"/>
          <c:y val="2.846343540335370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626892017514984"/>
          <c:y val="0.11010300912191519"/>
          <c:w val="0.86205436278559466"/>
          <c:h val="0.772194810116406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'[1]11.15'!$AM$21</c:f>
              <c:strCache>
                <c:ptCount val="1"/>
                <c:pt idx="0">
                  <c:v>In</c:v>
                </c:pt>
              </c:strCache>
            </c:strRef>
          </c:tx>
          <c:invertIfNegative val="0"/>
          <c:cat>
            <c:strRef>
              <c:f>'[1]11.15'!$AL$22:$AL$29</c:f>
              <c:strCache>
                <c:ptCount val="8"/>
                <c:pt idx="0">
                  <c:v>L.Kadhdhoo</c:v>
                </c:pt>
                <c:pt idx="1">
                  <c:v>GDh.Kaadedhdhoo</c:v>
                </c:pt>
                <c:pt idx="2">
                  <c:v>HDh.Hanimaadhoo</c:v>
                </c:pt>
                <c:pt idx="3">
                  <c:v>Gn.Fuvahmulah </c:v>
                </c:pt>
                <c:pt idx="4">
                  <c:v>ADh.Maamigili</c:v>
                </c:pt>
                <c:pt idx="5">
                  <c:v>B.Dharavandhoo</c:v>
                </c:pt>
                <c:pt idx="6">
                  <c:v>GA. Koodoo</c:v>
                </c:pt>
                <c:pt idx="7">
                  <c:v>THA. Thimarafushi  </c:v>
                </c:pt>
              </c:strCache>
            </c:strRef>
          </c:cat>
          <c:val>
            <c:numRef>
              <c:f>'[1]11.15'!$AM$22:$AM$29</c:f>
              <c:numCache>
                <c:formatCode>General</c:formatCode>
                <c:ptCount val="8"/>
                <c:pt idx="0">
                  <c:v>31770</c:v>
                </c:pt>
                <c:pt idx="1">
                  <c:v>53333</c:v>
                </c:pt>
                <c:pt idx="2">
                  <c:v>50411</c:v>
                </c:pt>
                <c:pt idx="3">
                  <c:v>20848</c:v>
                </c:pt>
                <c:pt idx="4">
                  <c:v>108908</c:v>
                </c:pt>
                <c:pt idx="5">
                  <c:v>64603</c:v>
                </c:pt>
                <c:pt idx="6">
                  <c:v>33772</c:v>
                </c:pt>
                <c:pt idx="7">
                  <c:v>8545</c:v>
                </c:pt>
              </c:numCache>
            </c:numRef>
          </c:val>
        </c:ser>
        <c:ser>
          <c:idx val="1"/>
          <c:order val="1"/>
          <c:tx>
            <c:strRef>
              <c:f>'[1]11.15'!$AN$21</c:f>
              <c:strCache>
                <c:ptCount val="1"/>
                <c:pt idx="0">
                  <c:v>Out</c:v>
                </c:pt>
              </c:strCache>
            </c:strRef>
          </c:tx>
          <c:invertIfNegative val="0"/>
          <c:cat>
            <c:strRef>
              <c:f>'[1]11.15'!$AL$22:$AL$29</c:f>
              <c:strCache>
                <c:ptCount val="8"/>
                <c:pt idx="0">
                  <c:v>L.Kadhdhoo</c:v>
                </c:pt>
                <c:pt idx="1">
                  <c:v>GDh.Kaadedhdhoo</c:v>
                </c:pt>
                <c:pt idx="2">
                  <c:v>HDh.Hanimaadhoo</c:v>
                </c:pt>
                <c:pt idx="3">
                  <c:v>Gn.Fuvahmulah </c:v>
                </c:pt>
                <c:pt idx="4">
                  <c:v>ADh.Maamigili</c:v>
                </c:pt>
                <c:pt idx="5">
                  <c:v>B.Dharavandhoo</c:v>
                </c:pt>
                <c:pt idx="6">
                  <c:v>GA. Koodoo</c:v>
                </c:pt>
                <c:pt idx="7">
                  <c:v>THA. Thimarafushi  </c:v>
                </c:pt>
              </c:strCache>
            </c:strRef>
          </c:cat>
          <c:val>
            <c:numRef>
              <c:f>'[1]11.15'!$AN$22:$AN$29</c:f>
              <c:numCache>
                <c:formatCode>General</c:formatCode>
                <c:ptCount val="8"/>
                <c:pt idx="0">
                  <c:v>31515</c:v>
                </c:pt>
                <c:pt idx="1">
                  <c:v>52751</c:v>
                </c:pt>
                <c:pt idx="2">
                  <c:v>52389</c:v>
                </c:pt>
                <c:pt idx="3">
                  <c:v>20760</c:v>
                </c:pt>
                <c:pt idx="4">
                  <c:v>106218</c:v>
                </c:pt>
                <c:pt idx="5">
                  <c:v>62952</c:v>
                </c:pt>
                <c:pt idx="6">
                  <c:v>32472</c:v>
                </c:pt>
                <c:pt idx="7">
                  <c:v>8834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799616"/>
        <c:axId val="124805504"/>
      </c:barChart>
      <c:catAx>
        <c:axId val="124799616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0"/>
            </a:pPr>
            <a:endParaRPr lang="en-US"/>
          </a:p>
        </c:txPr>
        <c:crossAx val="124805504"/>
        <c:crosses val="autoZero"/>
        <c:auto val="1"/>
        <c:lblAlgn val="ctr"/>
        <c:lblOffset val="100"/>
        <c:noMultiLvlLbl val="0"/>
      </c:catAx>
      <c:valAx>
        <c:axId val="1248055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2479961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8113474513005157"/>
          <c:y val="0.20519552384471787"/>
          <c:w val="0.21724868766404279"/>
          <c:h val="7.2871688911226903E-2"/>
        </c:manualLayout>
      </c:layout>
      <c:overlay val="1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547598</xdr:colOff>
      <xdr:row>21</xdr:row>
      <xdr:rowOff>84858</xdr:rowOff>
    </xdr:from>
    <xdr:to>
      <xdr:col>18</xdr:col>
      <xdr:colOff>47625</xdr:colOff>
      <xdr:row>36</xdr:row>
      <xdr:rowOff>142874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30"/>
  <sheetViews>
    <sheetView tabSelected="1" zoomScaleNormal="100" workbookViewId="0">
      <selection activeCell="AO10" sqref="AO10"/>
    </sheetView>
  </sheetViews>
  <sheetFormatPr defaultColWidth="9.140625" defaultRowHeight="15" x14ac:dyDescent="0.25"/>
  <cols>
    <col min="1" max="3" width="12.5703125" style="2" customWidth="1"/>
    <col min="4" max="4" width="2.42578125" style="2" customWidth="1"/>
    <col min="5" max="6" width="12.5703125" style="2" customWidth="1"/>
    <col min="7" max="7" width="2" style="2" customWidth="1"/>
    <col min="8" max="9" width="12.5703125" style="2" customWidth="1"/>
    <col min="10" max="10" width="2.28515625" style="2" customWidth="1"/>
    <col min="11" max="12" width="12.5703125" style="2" customWidth="1"/>
    <col min="13" max="13" width="2.28515625" style="2" customWidth="1"/>
    <col min="14" max="15" width="12.5703125" style="2" customWidth="1"/>
    <col min="16" max="16" width="2.28515625" style="2" customWidth="1"/>
    <col min="17" max="18" width="12.5703125" style="2" customWidth="1"/>
    <col min="19" max="19" width="1.28515625" style="2" customWidth="1"/>
    <col min="20" max="20" width="9.7109375" style="2" customWidth="1"/>
    <col min="21" max="21" width="11.140625" style="2" customWidth="1"/>
    <col min="22" max="22" width="1.28515625" style="2" customWidth="1"/>
    <col min="23" max="23" width="9.7109375" style="2" customWidth="1"/>
    <col min="24" max="24" width="11.140625" style="2" customWidth="1"/>
    <col min="25" max="25" width="13.7109375" style="2" customWidth="1"/>
    <col min="26" max="16384" width="9.140625" style="2"/>
  </cols>
  <sheetData>
    <row r="1" spans="1:26" ht="19.5" x14ac:dyDescent="0.25">
      <c r="A1" s="31" t="s">
        <v>48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6" ht="15.75" x14ac:dyDescent="0.25">
      <c r="A2" s="32" t="s">
        <v>49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1:26" s="7" customFormat="1" ht="9" customHeight="1" x14ac:dyDescent="0.25"/>
    <row r="4" spans="1:26" s="6" customFormat="1" ht="15.6" customHeight="1" x14ac:dyDescent="0.15">
      <c r="A4" s="38" t="s">
        <v>8</v>
      </c>
      <c r="B4" s="41" t="s">
        <v>31</v>
      </c>
      <c r="C4" s="41"/>
      <c r="D4" s="21"/>
      <c r="E4" s="41" t="s">
        <v>32</v>
      </c>
      <c r="F4" s="41"/>
      <c r="G4" s="21"/>
      <c r="H4" s="41" t="s">
        <v>45</v>
      </c>
      <c r="I4" s="41"/>
      <c r="J4" s="21"/>
      <c r="K4" s="34" t="s">
        <v>33</v>
      </c>
      <c r="L4" s="34"/>
      <c r="M4" s="22"/>
      <c r="N4" s="34" t="s">
        <v>34</v>
      </c>
      <c r="O4" s="34"/>
      <c r="P4" s="22"/>
      <c r="Q4" s="34" t="s">
        <v>35</v>
      </c>
      <c r="R4" s="34"/>
      <c r="S4" s="22"/>
      <c r="T4" s="34" t="s">
        <v>36</v>
      </c>
      <c r="U4" s="34"/>
      <c r="V4" s="22"/>
      <c r="W4" s="34" t="s">
        <v>50</v>
      </c>
      <c r="X4" s="34"/>
      <c r="Y4" s="35" t="s">
        <v>9</v>
      </c>
    </row>
    <row r="5" spans="1:26" s="10" customFormat="1" ht="15.75" customHeight="1" x14ac:dyDescent="0.25">
      <c r="A5" s="39"/>
      <c r="B5" s="33" t="s">
        <v>37</v>
      </c>
      <c r="C5" s="33"/>
      <c r="D5" s="9"/>
      <c r="E5" s="33" t="s">
        <v>38</v>
      </c>
      <c r="F5" s="33"/>
      <c r="G5" s="9"/>
      <c r="H5" s="33" t="s">
        <v>46</v>
      </c>
      <c r="I5" s="33"/>
      <c r="J5" s="9"/>
      <c r="K5" s="33" t="s">
        <v>39</v>
      </c>
      <c r="L5" s="33"/>
      <c r="M5" s="9"/>
      <c r="N5" s="33" t="s">
        <v>40</v>
      </c>
      <c r="O5" s="33"/>
      <c r="P5" s="9"/>
      <c r="Q5" s="33" t="s">
        <v>41</v>
      </c>
      <c r="R5" s="33"/>
      <c r="S5" s="9"/>
      <c r="T5" s="33" t="s">
        <v>47</v>
      </c>
      <c r="U5" s="33"/>
      <c r="V5" s="9"/>
      <c r="W5" s="33" t="s">
        <v>51</v>
      </c>
      <c r="X5" s="33"/>
      <c r="Y5" s="36"/>
      <c r="Z5" s="25"/>
    </row>
    <row r="6" spans="1:26" s="10" customFormat="1" ht="13.5" customHeight="1" x14ac:dyDescent="0.2">
      <c r="A6" s="39"/>
      <c r="B6" s="11" t="s">
        <v>2</v>
      </c>
      <c r="C6" s="11" t="s">
        <v>3</v>
      </c>
      <c r="D6" s="11"/>
      <c r="E6" s="11" t="s">
        <v>2</v>
      </c>
      <c r="F6" s="11" t="s">
        <v>3</v>
      </c>
      <c r="G6" s="11"/>
      <c r="H6" s="11" t="s">
        <v>2</v>
      </c>
      <c r="I6" s="11" t="s">
        <v>3</v>
      </c>
      <c r="J6" s="11"/>
      <c r="K6" s="11" t="s">
        <v>2</v>
      </c>
      <c r="L6" s="11" t="s">
        <v>3</v>
      </c>
      <c r="M6" s="11"/>
      <c r="N6" s="11" t="s">
        <v>2</v>
      </c>
      <c r="O6" s="11" t="s">
        <v>3</v>
      </c>
      <c r="P6" s="11"/>
      <c r="Q6" s="11" t="s">
        <v>2</v>
      </c>
      <c r="R6" s="11" t="s">
        <v>3</v>
      </c>
      <c r="S6" s="11"/>
      <c r="T6" s="11" t="s">
        <v>2</v>
      </c>
      <c r="U6" s="11" t="s">
        <v>3</v>
      </c>
      <c r="V6" s="11"/>
      <c r="W6" s="11" t="s">
        <v>2</v>
      </c>
      <c r="X6" s="11" t="s">
        <v>3</v>
      </c>
      <c r="Y6" s="36"/>
    </row>
    <row r="7" spans="1:26" s="10" customFormat="1" ht="14.25" customHeight="1" x14ac:dyDescent="0.2">
      <c r="A7" s="40"/>
      <c r="B7" s="12" t="s">
        <v>4</v>
      </c>
      <c r="C7" s="12" t="s">
        <v>5</v>
      </c>
      <c r="D7" s="12"/>
      <c r="E7" s="12" t="s">
        <v>4</v>
      </c>
      <c r="F7" s="12" t="s">
        <v>5</v>
      </c>
      <c r="G7" s="12"/>
      <c r="H7" s="12" t="s">
        <v>4</v>
      </c>
      <c r="I7" s="12" t="s">
        <v>5</v>
      </c>
      <c r="J7" s="12"/>
      <c r="K7" s="12" t="s">
        <v>4</v>
      </c>
      <c r="L7" s="12" t="s">
        <v>5</v>
      </c>
      <c r="M7" s="12"/>
      <c r="N7" s="12" t="s">
        <v>4</v>
      </c>
      <c r="O7" s="12" t="s">
        <v>5</v>
      </c>
      <c r="P7" s="12"/>
      <c r="Q7" s="12" t="s">
        <v>4</v>
      </c>
      <c r="R7" s="12" t="s">
        <v>5</v>
      </c>
      <c r="S7" s="12"/>
      <c r="T7" s="12" t="s">
        <v>4</v>
      </c>
      <c r="U7" s="12" t="s">
        <v>5</v>
      </c>
      <c r="V7" s="12"/>
      <c r="W7" s="12" t="s">
        <v>4</v>
      </c>
      <c r="X7" s="12" t="s">
        <v>5</v>
      </c>
      <c r="Y7" s="37"/>
    </row>
    <row r="8" spans="1:26" s="6" customFormat="1" ht="15.75" x14ac:dyDescent="0.2">
      <c r="A8" s="5" t="s">
        <v>1</v>
      </c>
      <c r="B8" s="26">
        <f>SUM(B9:B20)</f>
        <v>31770</v>
      </c>
      <c r="C8" s="26">
        <f>SUM(C9:C20)</f>
        <v>31515</v>
      </c>
      <c r="D8" s="26"/>
      <c r="E8" s="26">
        <f>SUM(E9:E20)</f>
        <v>53333</v>
      </c>
      <c r="F8" s="26">
        <f>SUM(F9:F20)</f>
        <v>52751</v>
      </c>
      <c r="G8" s="26"/>
      <c r="H8" s="26">
        <f>SUM(H9:H20)</f>
        <v>50411</v>
      </c>
      <c r="I8" s="26">
        <f>SUM(I9:I20)</f>
        <v>52389</v>
      </c>
      <c r="J8" s="26"/>
      <c r="K8" s="26">
        <f>SUM(K9:K20)</f>
        <v>20848</v>
      </c>
      <c r="L8" s="26">
        <f>SUM(L9:L20)</f>
        <v>20760</v>
      </c>
      <c r="M8" s="26"/>
      <c r="N8" s="26">
        <f>SUM(N9:N20)</f>
        <v>108908</v>
      </c>
      <c r="O8" s="26">
        <f>SUM(O9:O20)</f>
        <v>106218</v>
      </c>
      <c r="P8" s="26"/>
      <c r="Q8" s="26">
        <f>SUM(Q9:Q20)</f>
        <v>64603</v>
      </c>
      <c r="R8" s="26">
        <f>SUM(R9:R20)</f>
        <v>62952</v>
      </c>
      <c r="S8" s="26"/>
      <c r="T8" s="26">
        <f>SUM(T9:T20)</f>
        <v>33772</v>
      </c>
      <c r="U8" s="26">
        <f>SUM(U9:U20)</f>
        <v>32472</v>
      </c>
      <c r="V8" s="26"/>
      <c r="W8" s="26">
        <f>SUM(W9:W20)</f>
        <v>8545</v>
      </c>
      <c r="X8" s="26">
        <f>SUM(X9:X20)</f>
        <v>8834</v>
      </c>
      <c r="Y8" s="20" t="s">
        <v>0</v>
      </c>
    </row>
    <row r="9" spans="1:26" s="6" customFormat="1" ht="15.75" x14ac:dyDescent="0.2">
      <c r="A9" s="4" t="s">
        <v>10</v>
      </c>
      <c r="B9" s="27">
        <v>2842</v>
      </c>
      <c r="C9" s="27">
        <v>2990</v>
      </c>
      <c r="D9" s="27"/>
      <c r="E9" s="28">
        <v>4259</v>
      </c>
      <c r="F9" s="28">
        <v>4231</v>
      </c>
      <c r="G9" s="28"/>
      <c r="H9" s="27">
        <v>4023</v>
      </c>
      <c r="I9" s="27">
        <v>3870</v>
      </c>
      <c r="J9" s="27"/>
      <c r="K9" s="27">
        <v>1922</v>
      </c>
      <c r="L9" s="27">
        <v>1652</v>
      </c>
      <c r="M9" s="27"/>
      <c r="N9" s="27">
        <v>8483</v>
      </c>
      <c r="O9" s="27">
        <v>8327</v>
      </c>
      <c r="P9" s="27"/>
      <c r="Q9" s="27">
        <v>5091</v>
      </c>
      <c r="R9" s="27">
        <v>5002</v>
      </c>
      <c r="S9" s="27"/>
      <c r="T9" s="27">
        <v>3315</v>
      </c>
      <c r="U9" s="27">
        <v>3055</v>
      </c>
      <c r="V9" s="27"/>
      <c r="W9" s="27">
        <v>653</v>
      </c>
      <c r="X9" s="27">
        <v>658</v>
      </c>
      <c r="Y9" s="13" t="s">
        <v>11</v>
      </c>
    </row>
    <row r="10" spans="1:26" s="6" customFormat="1" ht="15.75" x14ac:dyDescent="0.2">
      <c r="A10" s="4" t="s">
        <v>12</v>
      </c>
      <c r="B10" s="27">
        <v>2543</v>
      </c>
      <c r="C10" s="27">
        <v>2520</v>
      </c>
      <c r="D10" s="27"/>
      <c r="E10" s="28">
        <v>4103</v>
      </c>
      <c r="F10" s="28">
        <v>4084</v>
      </c>
      <c r="G10" s="28"/>
      <c r="H10" s="27">
        <v>4221</v>
      </c>
      <c r="I10" s="27">
        <v>4160</v>
      </c>
      <c r="J10" s="27"/>
      <c r="K10" s="27">
        <v>1493</v>
      </c>
      <c r="L10" s="27">
        <v>1453</v>
      </c>
      <c r="M10" s="27"/>
      <c r="N10" s="27">
        <v>8525</v>
      </c>
      <c r="O10" s="27">
        <v>8939</v>
      </c>
      <c r="P10" s="27"/>
      <c r="Q10" s="27">
        <v>5144</v>
      </c>
      <c r="R10" s="27">
        <v>5316</v>
      </c>
      <c r="S10" s="27"/>
      <c r="T10" s="27">
        <v>2710</v>
      </c>
      <c r="U10" s="27">
        <v>2897</v>
      </c>
      <c r="V10" s="27"/>
      <c r="W10" s="27">
        <v>787</v>
      </c>
      <c r="X10" s="27">
        <v>876</v>
      </c>
      <c r="Y10" s="13" t="s">
        <v>13</v>
      </c>
    </row>
    <row r="11" spans="1:26" s="6" customFormat="1" ht="15.75" x14ac:dyDescent="0.2">
      <c r="A11" s="4" t="s">
        <v>14</v>
      </c>
      <c r="B11" s="27">
        <v>3083</v>
      </c>
      <c r="C11" s="27">
        <v>3142</v>
      </c>
      <c r="D11" s="27"/>
      <c r="E11" s="28">
        <v>4779</v>
      </c>
      <c r="F11" s="28">
        <v>4972</v>
      </c>
      <c r="G11" s="28"/>
      <c r="H11" s="27">
        <v>4672</v>
      </c>
      <c r="I11" s="27">
        <v>4652</v>
      </c>
      <c r="J11" s="27"/>
      <c r="K11" s="27">
        <v>2207</v>
      </c>
      <c r="L11" s="27">
        <v>2183</v>
      </c>
      <c r="M11" s="27"/>
      <c r="N11" s="27">
        <v>8215</v>
      </c>
      <c r="O11" s="27">
        <v>8792</v>
      </c>
      <c r="P11" s="27"/>
      <c r="Q11" s="27">
        <v>5263</v>
      </c>
      <c r="R11" s="27">
        <v>5649</v>
      </c>
      <c r="S11" s="27"/>
      <c r="T11" s="27">
        <v>3144</v>
      </c>
      <c r="U11" s="27">
        <v>2783</v>
      </c>
      <c r="V11" s="27"/>
      <c r="W11" s="27">
        <v>1227</v>
      </c>
      <c r="X11" s="27">
        <v>1258</v>
      </c>
      <c r="Y11" s="13" t="s">
        <v>15</v>
      </c>
    </row>
    <row r="12" spans="1:26" s="6" customFormat="1" ht="15.75" x14ac:dyDescent="0.2">
      <c r="A12" s="4" t="s">
        <v>16</v>
      </c>
      <c r="B12" s="27">
        <v>2543</v>
      </c>
      <c r="C12" s="27">
        <v>2520</v>
      </c>
      <c r="D12" s="27"/>
      <c r="E12" s="28">
        <v>4272</v>
      </c>
      <c r="F12" s="28">
        <v>4089</v>
      </c>
      <c r="G12" s="28"/>
      <c r="H12" s="27">
        <v>4423</v>
      </c>
      <c r="I12" s="27">
        <v>3740</v>
      </c>
      <c r="J12" s="27"/>
      <c r="K12" s="27">
        <v>1627</v>
      </c>
      <c r="L12" s="27">
        <v>1652</v>
      </c>
      <c r="M12" s="27"/>
      <c r="N12" s="27">
        <v>6679</v>
      </c>
      <c r="O12" s="27">
        <v>7260</v>
      </c>
      <c r="P12" s="27"/>
      <c r="Q12" s="27">
        <v>4622</v>
      </c>
      <c r="R12" s="27">
        <v>4327</v>
      </c>
      <c r="S12" s="27"/>
      <c r="T12" s="27">
        <v>2587</v>
      </c>
      <c r="U12" s="27">
        <v>2522</v>
      </c>
      <c r="V12" s="27"/>
      <c r="W12" s="27">
        <v>862</v>
      </c>
      <c r="X12" s="27">
        <v>889</v>
      </c>
      <c r="Y12" s="13" t="s">
        <v>42</v>
      </c>
    </row>
    <row r="13" spans="1:26" s="6" customFormat="1" ht="15.75" x14ac:dyDescent="0.2">
      <c r="A13" s="4" t="s">
        <v>17</v>
      </c>
      <c r="B13" s="27">
        <v>2310</v>
      </c>
      <c r="C13" s="27">
        <v>2399</v>
      </c>
      <c r="D13" s="27"/>
      <c r="E13" s="28">
        <v>3961</v>
      </c>
      <c r="F13" s="28">
        <v>4288</v>
      </c>
      <c r="G13" s="28"/>
      <c r="H13" s="27">
        <v>3472</v>
      </c>
      <c r="I13" s="27">
        <v>3878</v>
      </c>
      <c r="J13" s="27"/>
      <c r="K13" s="27">
        <v>1593</v>
      </c>
      <c r="L13" s="27">
        <v>1742</v>
      </c>
      <c r="M13" s="27"/>
      <c r="N13" s="27">
        <v>8977</v>
      </c>
      <c r="O13" s="27">
        <v>9150</v>
      </c>
      <c r="P13" s="27"/>
      <c r="Q13" s="27">
        <v>4646</v>
      </c>
      <c r="R13" s="27">
        <v>5043</v>
      </c>
      <c r="S13" s="27"/>
      <c r="T13" s="27">
        <v>2229</v>
      </c>
      <c r="U13" s="27">
        <v>2437</v>
      </c>
      <c r="V13" s="27"/>
      <c r="W13" s="27">
        <v>747</v>
      </c>
      <c r="X13" s="27">
        <v>874</v>
      </c>
      <c r="Y13" s="13" t="s">
        <v>18</v>
      </c>
    </row>
    <row r="14" spans="1:26" s="6" customFormat="1" ht="15.75" x14ac:dyDescent="0.2">
      <c r="A14" s="4" t="s">
        <v>19</v>
      </c>
      <c r="B14" s="27">
        <v>2845</v>
      </c>
      <c r="C14" s="27">
        <v>2481</v>
      </c>
      <c r="D14" s="27"/>
      <c r="E14" s="28">
        <v>4397</v>
      </c>
      <c r="F14" s="28">
        <v>3844</v>
      </c>
      <c r="G14" s="28"/>
      <c r="H14" s="27">
        <v>5026</v>
      </c>
      <c r="I14" s="27">
        <v>6175</v>
      </c>
      <c r="J14" s="27"/>
      <c r="K14" s="27">
        <v>2303</v>
      </c>
      <c r="L14" s="27">
        <v>1916</v>
      </c>
      <c r="M14" s="27"/>
      <c r="N14" s="27">
        <v>9005</v>
      </c>
      <c r="O14" s="27">
        <v>9506</v>
      </c>
      <c r="P14" s="27"/>
      <c r="Q14" s="27">
        <v>4998</v>
      </c>
      <c r="R14" s="27">
        <v>4724</v>
      </c>
      <c r="S14" s="27"/>
      <c r="T14" s="27">
        <v>2509</v>
      </c>
      <c r="U14" s="27">
        <v>2431</v>
      </c>
      <c r="V14" s="27"/>
      <c r="W14" s="27">
        <v>771</v>
      </c>
      <c r="X14" s="27">
        <v>759</v>
      </c>
      <c r="Y14" s="13" t="s">
        <v>20</v>
      </c>
    </row>
    <row r="15" spans="1:26" s="6" customFormat="1" ht="15.75" x14ac:dyDescent="0.2">
      <c r="A15" s="4" t="s">
        <v>21</v>
      </c>
      <c r="B15" s="27">
        <v>2615</v>
      </c>
      <c r="C15" s="27">
        <v>2108</v>
      </c>
      <c r="D15" s="27"/>
      <c r="E15" s="28">
        <v>4035</v>
      </c>
      <c r="F15" s="28">
        <v>3823</v>
      </c>
      <c r="G15" s="28"/>
      <c r="H15" s="27">
        <v>3354</v>
      </c>
      <c r="I15" s="27">
        <v>3079</v>
      </c>
      <c r="J15" s="27"/>
      <c r="K15" s="27">
        <v>1575</v>
      </c>
      <c r="L15" s="27">
        <v>1294</v>
      </c>
      <c r="M15" s="27"/>
      <c r="N15" s="27">
        <v>10509</v>
      </c>
      <c r="O15" s="27">
        <v>9251</v>
      </c>
      <c r="P15" s="27"/>
      <c r="Q15" s="27">
        <v>4960</v>
      </c>
      <c r="R15" s="27">
        <v>4463</v>
      </c>
      <c r="S15" s="27"/>
      <c r="T15" s="27">
        <v>2787</v>
      </c>
      <c r="U15" s="27">
        <v>2177</v>
      </c>
      <c r="V15" s="27"/>
      <c r="W15" s="27">
        <v>675</v>
      </c>
      <c r="X15" s="27">
        <v>527</v>
      </c>
      <c r="Y15" s="13" t="s">
        <v>22</v>
      </c>
    </row>
    <row r="16" spans="1:26" s="6" customFormat="1" ht="15.75" x14ac:dyDescent="0.2">
      <c r="A16" s="4" t="s">
        <v>23</v>
      </c>
      <c r="B16" s="27">
        <v>2280</v>
      </c>
      <c r="C16" s="27">
        <v>2849</v>
      </c>
      <c r="D16" s="27"/>
      <c r="E16" s="28">
        <v>4532</v>
      </c>
      <c r="F16" s="28">
        <v>4963</v>
      </c>
      <c r="G16" s="28"/>
      <c r="H16" s="27">
        <v>4579</v>
      </c>
      <c r="I16" s="27">
        <v>6130</v>
      </c>
      <c r="J16" s="27"/>
      <c r="K16" s="27">
        <v>1451</v>
      </c>
      <c r="L16" s="27">
        <v>1884</v>
      </c>
      <c r="M16" s="27"/>
      <c r="N16" s="27">
        <v>10993</v>
      </c>
      <c r="O16" s="27">
        <v>10320</v>
      </c>
      <c r="P16" s="27"/>
      <c r="Q16" s="27">
        <v>5430</v>
      </c>
      <c r="R16" s="27">
        <v>5622</v>
      </c>
      <c r="S16" s="27"/>
      <c r="T16" s="27">
        <v>2438</v>
      </c>
      <c r="U16" s="27">
        <v>2829</v>
      </c>
      <c r="V16" s="27"/>
      <c r="W16" s="27">
        <v>542</v>
      </c>
      <c r="X16" s="27">
        <v>770</v>
      </c>
      <c r="Y16" s="13" t="s">
        <v>43</v>
      </c>
    </row>
    <row r="17" spans="1:40" s="6" customFormat="1" ht="21" customHeight="1" x14ac:dyDescent="0.2">
      <c r="A17" s="4" t="s">
        <v>24</v>
      </c>
      <c r="B17" s="27">
        <v>2233</v>
      </c>
      <c r="C17" s="27">
        <v>2141</v>
      </c>
      <c r="D17" s="27"/>
      <c r="E17" s="28">
        <v>4017</v>
      </c>
      <c r="F17" s="28">
        <v>3855</v>
      </c>
      <c r="G17" s="28"/>
      <c r="H17" s="27">
        <v>2784</v>
      </c>
      <c r="I17" s="27">
        <v>3153</v>
      </c>
      <c r="J17" s="27"/>
      <c r="K17" s="27">
        <v>1282</v>
      </c>
      <c r="L17" s="27">
        <v>1239</v>
      </c>
      <c r="M17" s="27"/>
      <c r="N17" s="27">
        <v>10122</v>
      </c>
      <c r="O17" s="27">
        <v>8924</v>
      </c>
      <c r="P17" s="27"/>
      <c r="Q17" s="27">
        <v>5567</v>
      </c>
      <c r="R17" s="27">
        <v>4510</v>
      </c>
      <c r="S17" s="27"/>
      <c r="T17" s="27">
        <v>2401</v>
      </c>
      <c r="U17" s="27">
        <v>2301</v>
      </c>
      <c r="V17" s="27"/>
      <c r="W17" s="27">
        <v>613</v>
      </c>
      <c r="X17" s="27">
        <v>455</v>
      </c>
      <c r="Y17" s="13" t="s">
        <v>25</v>
      </c>
    </row>
    <row r="18" spans="1:40" s="6" customFormat="1" ht="21" customHeight="1" x14ac:dyDescent="0.2">
      <c r="A18" s="4" t="s">
        <v>26</v>
      </c>
      <c r="B18" s="27">
        <v>2560</v>
      </c>
      <c r="C18" s="27">
        <v>2584</v>
      </c>
      <c r="D18" s="27"/>
      <c r="E18" s="28">
        <v>4589</v>
      </c>
      <c r="F18" s="28">
        <v>4303</v>
      </c>
      <c r="G18" s="28"/>
      <c r="H18" s="27">
        <v>4481</v>
      </c>
      <c r="I18" s="27">
        <v>4276</v>
      </c>
      <c r="J18" s="27"/>
      <c r="K18" s="27">
        <v>1485</v>
      </c>
      <c r="L18" s="27">
        <v>1522</v>
      </c>
      <c r="M18" s="27"/>
      <c r="N18" s="27">
        <v>10364</v>
      </c>
      <c r="O18" s="27">
        <v>9626</v>
      </c>
      <c r="P18" s="27"/>
      <c r="Q18" s="27">
        <v>6012</v>
      </c>
      <c r="R18" s="27">
        <v>6238</v>
      </c>
      <c r="S18" s="27"/>
      <c r="T18" s="27">
        <v>2633</v>
      </c>
      <c r="U18" s="27">
        <v>2407</v>
      </c>
      <c r="V18" s="27"/>
      <c r="W18" s="27">
        <v>597</v>
      </c>
      <c r="X18" s="27">
        <v>665</v>
      </c>
      <c r="Y18" s="13" t="s">
        <v>44</v>
      </c>
    </row>
    <row r="19" spans="1:40" s="6" customFormat="1" ht="21" customHeight="1" x14ac:dyDescent="0.2">
      <c r="A19" s="4" t="s">
        <v>27</v>
      </c>
      <c r="B19" s="27">
        <v>2475</v>
      </c>
      <c r="C19" s="27">
        <v>2775</v>
      </c>
      <c r="D19" s="27"/>
      <c r="E19" s="28">
        <v>4902</v>
      </c>
      <c r="F19" s="28">
        <v>5153</v>
      </c>
      <c r="G19" s="28"/>
      <c r="H19" s="27">
        <v>4090</v>
      </c>
      <c r="I19" s="27">
        <v>4597</v>
      </c>
      <c r="J19" s="27"/>
      <c r="K19" s="27">
        <v>1578</v>
      </c>
      <c r="L19" s="27">
        <v>1975</v>
      </c>
      <c r="M19" s="27"/>
      <c r="N19" s="27">
        <v>8634</v>
      </c>
      <c r="O19" s="27">
        <v>8414</v>
      </c>
      <c r="P19" s="27"/>
      <c r="Q19" s="27">
        <v>5724</v>
      </c>
      <c r="R19" s="27">
        <v>5836</v>
      </c>
      <c r="S19" s="27"/>
      <c r="T19" s="27">
        <v>2867</v>
      </c>
      <c r="U19" s="27">
        <v>2738</v>
      </c>
      <c r="V19" s="27"/>
      <c r="W19" s="27">
        <v>617</v>
      </c>
      <c r="X19" s="27">
        <v>631</v>
      </c>
      <c r="Y19" s="13" t="s">
        <v>28</v>
      </c>
    </row>
    <row r="20" spans="1:40" s="6" customFormat="1" ht="21" customHeight="1" x14ac:dyDescent="0.2">
      <c r="A20" s="14" t="s">
        <v>29</v>
      </c>
      <c r="B20" s="29">
        <v>3441</v>
      </c>
      <c r="C20" s="29">
        <v>3006</v>
      </c>
      <c r="D20" s="29"/>
      <c r="E20" s="30">
        <v>5487</v>
      </c>
      <c r="F20" s="30">
        <v>5146</v>
      </c>
      <c r="G20" s="30"/>
      <c r="H20" s="29">
        <v>5286</v>
      </c>
      <c r="I20" s="29">
        <v>4679</v>
      </c>
      <c r="J20" s="29"/>
      <c r="K20" s="29">
        <v>2332</v>
      </c>
      <c r="L20" s="29">
        <v>2248</v>
      </c>
      <c r="M20" s="29"/>
      <c r="N20" s="29">
        <v>8402</v>
      </c>
      <c r="O20" s="29">
        <v>7709</v>
      </c>
      <c r="P20" s="29"/>
      <c r="Q20" s="29">
        <v>7146</v>
      </c>
      <c r="R20" s="29">
        <v>6222</v>
      </c>
      <c r="S20" s="29"/>
      <c r="T20" s="29">
        <v>4152</v>
      </c>
      <c r="U20" s="29">
        <v>3895</v>
      </c>
      <c r="V20" s="29"/>
      <c r="W20" s="29">
        <v>454</v>
      </c>
      <c r="X20" s="29">
        <v>472</v>
      </c>
      <c r="Y20" s="15" t="s">
        <v>30</v>
      </c>
    </row>
    <row r="21" spans="1:40" ht="15" customHeight="1" x14ac:dyDescent="0.25">
      <c r="A21" s="3" t="s">
        <v>6</v>
      </c>
      <c r="Y21" s="1" t="s">
        <v>7</v>
      </c>
      <c r="AL21" s="6"/>
      <c r="AM21" s="23" t="s">
        <v>4</v>
      </c>
      <c r="AN21" s="23" t="s">
        <v>5</v>
      </c>
    </row>
    <row r="22" spans="1:40" ht="15" customHeight="1" x14ac:dyDescent="0.25">
      <c r="AK22" s="24"/>
      <c r="AL22" s="24" t="str">
        <f>B5</f>
        <v>L.Kadhdhoo</v>
      </c>
      <c r="AM22" s="2">
        <f>B8</f>
        <v>31770</v>
      </c>
      <c r="AN22" s="2">
        <f>C8</f>
        <v>31515</v>
      </c>
    </row>
    <row r="23" spans="1:40" s="6" customFormat="1" ht="18" customHeight="1" x14ac:dyDescent="0.4">
      <c r="B23" s="16"/>
      <c r="C23" s="17"/>
      <c r="D23" s="17"/>
      <c r="E23" s="17"/>
      <c r="F23" s="18"/>
      <c r="G23" s="18"/>
      <c r="U23" s="19"/>
      <c r="V23" s="19"/>
      <c r="X23" s="19"/>
      <c r="Y23" s="19"/>
      <c r="AB23" s="19"/>
      <c r="AJ23" s="2"/>
      <c r="AK23" s="24"/>
      <c r="AL23" s="24" t="str">
        <f>E5</f>
        <v>GDh.Kaadedhdhoo</v>
      </c>
      <c r="AM23" s="6">
        <f>E8</f>
        <v>53333</v>
      </c>
      <c r="AN23" s="6">
        <f>F8</f>
        <v>52751</v>
      </c>
    </row>
    <row r="24" spans="1:40" ht="18.75" x14ac:dyDescent="0.25">
      <c r="A24" s="4"/>
      <c r="T24" s="8"/>
      <c r="W24" s="8"/>
      <c r="AL24" s="2" t="str">
        <f>H5</f>
        <v>HDh.Hanimaadhoo</v>
      </c>
      <c r="AM24" s="2">
        <f>H8</f>
        <v>50411</v>
      </c>
      <c r="AN24" s="2">
        <f>I8</f>
        <v>52389</v>
      </c>
    </row>
    <row r="25" spans="1:40" s="6" customFormat="1" ht="18" customHeight="1" x14ac:dyDescent="0.4">
      <c r="B25" s="16"/>
      <c r="C25" s="17"/>
      <c r="D25" s="17"/>
      <c r="E25" s="17"/>
      <c r="F25" s="18"/>
      <c r="G25" s="18"/>
      <c r="U25" s="19"/>
      <c r="V25" s="19"/>
      <c r="X25" s="19"/>
      <c r="Y25" s="19"/>
      <c r="AB25" s="19"/>
      <c r="AL25" s="6" t="str">
        <f>K5</f>
        <v xml:space="preserve">Gn.Fuvahmulah </v>
      </c>
      <c r="AM25" s="6">
        <f>K8</f>
        <v>20848</v>
      </c>
      <c r="AN25" s="6">
        <f>L8</f>
        <v>20760</v>
      </c>
    </row>
    <row r="26" spans="1:40" ht="18.75" x14ac:dyDescent="0.25">
      <c r="A26" s="4"/>
      <c r="T26" s="8"/>
      <c r="W26" s="8"/>
      <c r="AL26" s="2" t="str">
        <f>N5</f>
        <v>ADh.Maamigili</v>
      </c>
      <c r="AM26" s="2">
        <f>N8</f>
        <v>108908</v>
      </c>
      <c r="AN26" s="2">
        <f>O8</f>
        <v>106218</v>
      </c>
    </row>
    <row r="27" spans="1:40" x14ac:dyDescent="0.25">
      <c r="AL27" s="2" t="str">
        <f>Q5</f>
        <v>B.Dharavandhoo</v>
      </c>
      <c r="AM27" s="2">
        <f>Q8</f>
        <v>64603</v>
      </c>
      <c r="AN27" s="2">
        <f>R8</f>
        <v>62952</v>
      </c>
    </row>
    <row r="28" spans="1:40" x14ac:dyDescent="0.25">
      <c r="AL28" s="2" t="str">
        <f>T5</f>
        <v>GA. Koodoo</v>
      </c>
      <c r="AM28" s="2">
        <f>T8</f>
        <v>33772</v>
      </c>
      <c r="AN28" s="2">
        <f>U8</f>
        <v>32472</v>
      </c>
    </row>
    <row r="29" spans="1:40" ht="17.25" x14ac:dyDescent="0.4">
      <c r="D29" s="17"/>
      <c r="E29" s="17"/>
      <c r="F29" s="18"/>
      <c r="G29" s="18"/>
      <c r="H29" s="6"/>
      <c r="I29" s="6"/>
      <c r="AL29" s="2" t="s">
        <v>52</v>
      </c>
      <c r="AM29" s="2">
        <v>8545</v>
      </c>
      <c r="AN29" s="2">
        <v>8834</v>
      </c>
    </row>
    <row r="30" spans="1:40" x14ac:dyDescent="0.25">
      <c r="AM30" s="2">
        <f>SUM(AM22:AM29)</f>
        <v>372190</v>
      </c>
      <c r="AN30" s="2">
        <f>SUM(AN22:AN29)</f>
        <v>367891</v>
      </c>
    </row>
  </sheetData>
  <mergeCells count="20">
    <mergeCell ref="H5:I5"/>
    <mergeCell ref="K5:L5"/>
    <mergeCell ref="Q4:R4"/>
    <mergeCell ref="B5:C5"/>
    <mergeCell ref="Q5:R5"/>
    <mergeCell ref="E4:F4"/>
    <mergeCell ref="H4:I4"/>
    <mergeCell ref="K4:L4"/>
    <mergeCell ref="N4:O4"/>
    <mergeCell ref="A1:Y1"/>
    <mergeCell ref="A2:Y2"/>
    <mergeCell ref="E5:F5"/>
    <mergeCell ref="N5:O5"/>
    <mergeCell ref="W4:X4"/>
    <mergeCell ref="Y4:Y7"/>
    <mergeCell ref="W5:X5"/>
    <mergeCell ref="T4:U4"/>
    <mergeCell ref="T5:U5"/>
    <mergeCell ref="A4:A7"/>
    <mergeCell ref="B4:C4"/>
  </mergeCells>
  <pageMargins left="0.17" right="0.16" top="0.75" bottom="0.75" header="0.3" footer="0.3"/>
  <pageSetup paperSize="9" scale="59" orientation="landscape" r:id="rId1"/>
  <colBreaks count="1" manualBreakCount="1">
    <brk id="2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11.15</vt:lpstr>
      <vt:lpstr>'11.15'!Print_Area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2016-03-17T07:48:24Z</cp:lastPrinted>
  <dcterms:created xsi:type="dcterms:W3CDTF">2014-05-22T03:57:11Z</dcterms:created>
  <dcterms:modified xsi:type="dcterms:W3CDTF">2016-03-17T07:48:28Z</dcterms:modified>
</cp:coreProperties>
</file>