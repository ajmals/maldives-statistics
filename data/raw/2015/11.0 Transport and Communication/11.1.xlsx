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" sheetId="1" r:id="rId1"/>
  </sheets>
  <definedNames>
    <definedName name="_xlnm.Print_Area" localSheetId="0">'11.1'!$A$1:$M$47</definedName>
  </definedNames>
  <calcPr calcId="144525"/>
</workbook>
</file>

<file path=xl/calcChain.xml><?xml version="1.0" encoding="utf-8"?>
<calcChain xmlns="http://schemas.openxmlformats.org/spreadsheetml/2006/main">
  <c r="C6" i="1" l="1"/>
  <c r="B6" i="1"/>
  <c r="B26" i="1" l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K6" i="1"/>
  <c r="J6" i="1"/>
  <c r="I6" i="1"/>
  <c r="H6" i="1"/>
  <c r="G6" i="1"/>
  <c r="F6" i="1"/>
  <c r="E6" i="1"/>
  <c r="D6" i="1"/>
  <c r="AH37" i="1" l="1"/>
  <c r="AH36" i="1"/>
  <c r="AK38" i="1" l="1"/>
  <c r="AJ38" i="1"/>
  <c r="AI38" i="1"/>
  <c r="AG38" i="1"/>
  <c r="AF38" i="1"/>
  <c r="AE38" i="1"/>
  <c r="AD38" i="1"/>
  <c r="AC38" i="1"/>
  <c r="AH38" i="1" l="1"/>
</calcChain>
</file>

<file path=xl/sharedStrings.xml><?xml version="1.0" encoding="utf-8"?>
<sst xmlns="http://schemas.openxmlformats.org/spreadsheetml/2006/main" count="80" uniqueCount="70">
  <si>
    <t>Locality</t>
  </si>
  <si>
    <t>wlcmuj</t>
  </si>
  <si>
    <t>inOd</t>
  </si>
  <si>
    <t>cCcnOl</t>
  </si>
  <si>
    <t>cTOb</t>
  </si>
  <si>
    <t>Wrukcaob</t>
  </si>
  <si>
    <t>iletcawb</t>
  </si>
  <si>
    <t>uDnwb</t>
  </si>
  <si>
    <t>cToy</t>
  </si>
  <si>
    <t>cgwT</t>
  </si>
  <si>
    <t>cnehinehea</t>
  </si>
  <si>
    <t>cnwt</t>
  </si>
  <si>
    <t>All type</t>
  </si>
  <si>
    <t>Dhoani</t>
  </si>
  <si>
    <t>Launch</t>
  </si>
  <si>
    <t>Boat</t>
  </si>
  <si>
    <t>Bokkura</t>
  </si>
  <si>
    <t>Bahtheli</t>
  </si>
  <si>
    <t>Barge</t>
  </si>
  <si>
    <t>Yatch</t>
  </si>
  <si>
    <t>Tug</t>
  </si>
  <si>
    <t>Others</t>
  </si>
  <si>
    <t>Republic</t>
  </si>
  <si>
    <t>ejcaWriLum</t>
  </si>
  <si>
    <t>HA</t>
  </si>
  <si>
    <t>ah</t>
  </si>
  <si>
    <t>HDh</t>
  </si>
  <si>
    <t>dh</t>
  </si>
  <si>
    <t>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</si>
  <si>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</si>
  <si>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</si>
  <si>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</si>
  <si>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</si>
  <si>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</si>
  <si>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</si>
  <si>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</si>
  <si>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</si>
  <si>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</si>
  <si>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</si>
  <si>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</si>
  <si>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AA    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</si>
  <si>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</si>
  <si>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</si>
  <si>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</si>
  <si>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</si>
  <si>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</si>
  <si>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</si>
  <si>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</si>
  <si>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</si>
  <si>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</si>
  <si>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</si>
  <si>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</si>
  <si>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</si>
  <si>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</si>
  <si>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</si>
  <si>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</si>
  <si>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</si>
  <si>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</si>
  <si>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</si>
  <si>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</si>
  <si>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</si>
  <si>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</si>
  <si>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</si>
  <si>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Note: Others Include Landing Craft, Submarine, Water Scooter, Catemaran &amp; Dredger.</t>
  </si>
  <si>
    <t>Source: Transport Authority</t>
  </si>
  <si>
    <t>މަޢުލޫމާތު ދެއްވީ:ޓްރާންސްޕޯޓް އޮތޯރިޓީ</t>
  </si>
  <si>
    <t xml:space="preserve"> -</t>
  </si>
  <si>
    <t>ނޯޓް: އެހެނިހެންގެ ތެރޭގައި ހިމެނެނީ ލޭންޑިންގ ކްރާފްޓް، ސަބްމެރިން، ވޯޓަރ ސްކޫޓަރ، ކަޓަމަރަން އަދި ޑްރެޖަރ</t>
  </si>
  <si>
    <t>2014 ,ctogWviawfiverukIrwTcsijwr urwhwfudnwLua WvcaudiawguDnwk : 11.1 ulwvWt</t>
  </si>
  <si>
    <t>Table 11.1 :   VESSELS ACCORDING TO REGISTRATION BY LOCALITY,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</si>
</sst>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_Ilham"/>
    </font>
    <font>
      <sz val="11"/>
      <name val="Arial"/>
      <family val="2"/>
    </font>
    <font>
      <b/>
      <sz val="12"/>
      <name val="Calibri"/>
      <family val="2"/>
      <scheme val="minor"/>
    </font>
    <font>
      <sz val="11"/>
      <name val="Courier"/>
      <family val="3"/>
    </font>
    <font>
      <b/>
      <sz val="11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_Faseyha"/>
    </font>
    <font>
      <b/>
      <sz val="11"/>
      <name val="A_Utheem"/>
    </font>
    <font>
      <sz val="11"/>
      <name val="Calibri"/>
      <family val="2"/>
      <scheme val="minor"/>
    </font>
    <font>
      <sz val="11"/>
      <name val="A_Faseyha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i/>
      <sz val="1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9"/>
      <name val="Faruma"/>
    </font>
    <font>
      <sz val="10"/>
      <name val="Courier"/>
      <family val="3"/>
    </font>
    <font>
      <sz val="10"/>
      <name val="MS Sans Serif"/>
      <family val="2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hair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1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7" fillId="0" borderId="0"/>
    <xf numFmtId="0" fontId="17" fillId="0" borderId="0"/>
    <xf numFmtId="164" fontId="20" fillId="0" borderId="0"/>
    <xf numFmtId="40" fontId="21" fillId="0" borderId="0" applyFont="0" applyFill="0" applyBorder="0" applyAlignment="0" applyProtection="0"/>
    <xf numFmtId="166" fontId="20" fillId="0" borderId="0"/>
    <xf numFmtId="166" fontId="20" fillId="0" borderId="0"/>
    <xf numFmtId="165" fontId="20" fillId="0" borderId="0" applyFont="0" applyFill="0" applyBorder="0" applyAlignment="0" applyProtection="0"/>
    <xf numFmtId="0" fontId="23" fillId="0" borderId="0"/>
    <xf numFmtId="164" fontId="20" fillId="0" borderId="0"/>
    <xf numFmtId="169" fontId="20" fillId="0" borderId="0" applyFont="0" applyFill="0" applyBorder="0" applyAlignment="0" applyProtection="0"/>
  </cellStyleXfs>
  <cellXfs count="59">
    <xf numFmtId="0" fontId="0" fillId="0" borderId="0" xfId="0"/>
    <xf numFmtId="164" fontId="3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 textRotation="60"/>
    </xf>
    <xf numFmtId="164" fontId="15" fillId="2" borderId="1" xfId="2" applyNumberFormat="1" applyFont="1" applyFill="1" applyBorder="1" applyAlignment="1" applyProtection="1">
      <alignment vertical="center"/>
    </xf>
    <xf numFmtId="164" fontId="6" fillId="2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vertical="top"/>
    </xf>
    <xf numFmtId="164" fontId="3" fillId="2" borderId="1" xfId="0" applyNumberFormat="1" applyFont="1" applyFill="1" applyBorder="1" applyAlignment="1">
      <alignment vertical="top"/>
    </xf>
    <xf numFmtId="164" fontId="16" fillId="2" borderId="1" xfId="0" applyNumberFormat="1" applyFont="1" applyFill="1" applyBorder="1" applyAlignment="1">
      <alignment horizontal="right" vertical="top"/>
    </xf>
    <xf numFmtId="164" fontId="12" fillId="2" borderId="1" xfId="0" applyNumberFormat="1" applyFont="1" applyFill="1" applyBorder="1" applyAlignment="1">
      <alignment vertical="top"/>
    </xf>
    <xf numFmtId="164" fontId="6" fillId="2" borderId="1" xfId="0" applyNumberFormat="1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right" vertical="center"/>
    </xf>
    <xf numFmtId="38" fontId="9" fillId="2" borderId="1" xfId="1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right" vertical="top" readingOrder="2"/>
    </xf>
    <xf numFmtId="164" fontId="9" fillId="2" borderId="5" xfId="0" applyNumberFormat="1" applyFont="1" applyFill="1" applyBorder="1" applyAlignment="1">
      <alignment horizontal="left" indent="1"/>
    </xf>
    <xf numFmtId="164" fontId="12" fillId="2" borderId="1" xfId="0" applyNumberFormat="1" applyFont="1" applyFill="1" applyBorder="1" applyAlignment="1" applyProtection="1">
      <alignment horizontal="left" vertical="center" indent="1"/>
    </xf>
    <xf numFmtId="164" fontId="12" fillId="2" borderId="6" xfId="0" applyNumberFormat="1" applyFont="1" applyFill="1" applyBorder="1" applyAlignment="1" applyProtection="1">
      <alignment horizontal="left" vertical="center" indent="1"/>
    </xf>
    <xf numFmtId="164" fontId="19" fillId="2" borderId="1" xfId="0" applyNumberFormat="1" applyFont="1" applyFill="1" applyBorder="1" applyAlignment="1">
      <alignment horizontal="right" readingOrder="2"/>
    </xf>
    <xf numFmtId="164" fontId="18" fillId="2" borderId="1" xfId="0" applyNumberFormat="1" applyFont="1" applyFill="1" applyBorder="1" applyAlignment="1"/>
    <xf numFmtId="164" fontId="3" fillId="2" borderId="5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/>
    <xf numFmtId="164" fontId="5" fillId="2" borderId="1" xfId="0" applyNumberFormat="1" applyFont="1" applyFill="1" applyBorder="1" applyAlignment="1"/>
    <xf numFmtId="164" fontId="3" fillId="2" borderId="1" xfId="0" applyNumberFormat="1" applyFont="1" applyFill="1" applyBorder="1" applyAlignment="1"/>
    <xf numFmtId="164" fontId="18" fillId="2" borderId="1" xfId="0" applyNumberFormat="1" applyFont="1" applyFill="1" applyBorder="1" applyAlignment="1" applyProtection="1">
      <alignment horizontal="left" vertical="top"/>
    </xf>
    <xf numFmtId="164" fontId="3" fillId="2" borderId="7" xfId="0" applyNumberFormat="1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vertical="center"/>
    </xf>
    <xf numFmtId="164" fontId="6" fillId="2" borderId="4" xfId="0" applyNumberFormat="1" applyFont="1" applyFill="1" applyBorder="1" applyAlignment="1" applyProtection="1">
      <alignment horizontal="center" vertical="center"/>
    </xf>
    <xf numFmtId="38" fontId="7" fillId="2" borderId="11" xfId="1" applyNumberFormat="1" applyFont="1" applyFill="1" applyBorder="1" applyAlignment="1">
      <alignment horizontal="center" vertical="center"/>
    </xf>
    <xf numFmtId="38" fontId="8" fillId="2" borderId="12" xfId="1" applyNumberFormat="1" applyFont="1" applyFill="1" applyBorder="1" applyAlignment="1">
      <alignment horizontal="center"/>
    </xf>
    <xf numFmtId="38" fontId="8" fillId="2" borderId="10" xfId="1" applyNumberFormat="1" applyFont="1" applyFill="1" applyBorder="1" applyAlignment="1">
      <alignment horizontal="center"/>
    </xf>
    <xf numFmtId="164" fontId="17" fillId="2" borderId="1" xfId="0" applyNumberFormat="1" applyFont="1" applyFill="1" applyBorder="1" applyAlignment="1">
      <alignment horizontal="center" vertical="center"/>
    </xf>
    <xf numFmtId="37" fontId="9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12" fillId="2" borderId="1" xfId="0" applyNumberFormat="1" applyFont="1" applyFill="1" applyBorder="1" applyAlignment="1">
      <alignment vertical="center"/>
    </xf>
    <xf numFmtId="3" fontId="9" fillId="2" borderId="1" xfId="1" applyNumberFormat="1" applyFont="1" applyFill="1" applyBorder="1" applyAlignment="1">
      <alignment vertical="center"/>
    </xf>
    <xf numFmtId="3" fontId="9" fillId="2" borderId="5" xfId="1" applyNumberFormat="1" applyFont="1" applyFill="1" applyBorder="1" applyAlignment="1">
      <alignment vertical="center"/>
    </xf>
    <xf numFmtId="3" fontId="12" fillId="2" borderId="5" xfId="1" applyNumberFormat="1" applyFont="1" applyFill="1" applyBorder="1" applyAlignment="1">
      <alignment vertical="center"/>
    </xf>
    <xf numFmtId="3" fontId="12" fillId="2" borderId="1" xfId="1" applyNumberFormat="1" applyFont="1" applyFill="1" applyBorder="1" applyAlignment="1" applyProtection="1">
      <alignment vertical="center"/>
    </xf>
    <xf numFmtId="3" fontId="12" fillId="2" borderId="1" xfId="1" applyNumberFormat="1" applyFont="1" applyFill="1" applyBorder="1" applyAlignment="1">
      <alignment vertical="center"/>
    </xf>
    <xf numFmtId="3" fontId="9" fillId="2" borderId="6" xfId="1" applyNumberFormat="1" applyFont="1" applyFill="1" applyBorder="1" applyAlignment="1">
      <alignment vertical="center"/>
    </xf>
    <xf numFmtId="3" fontId="12" fillId="2" borderId="6" xfId="1" applyNumberFormat="1" applyFont="1" applyFill="1" applyBorder="1" applyAlignment="1">
      <alignment vertical="center"/>
    </xf>
    <xf numFmtId="44" fontId="24" fillId="2" borderId="9" xfId="0" applyNumberFormat="1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>
      <alignment horizontal="right" vertical="center" indent="1"/>
    </xf>
    <xf numFmtId="164" fontId="13" fillId="2" borderId="1" xfId="0" applyNumberFormat="1" applyFont="1" applyFill="1" applyBorder="1" applyAlignment="1">
      <alignment horizontal="right" indent="1"/>
    </xf>
    <xf numFmtId="164" fontId="13" fillId="2" borderId="6" xfId="0" applyNumberFormat="1" applyFont="1" applyFill="1" applyBorder="1" applyAlignment="1">
      <alignment horizontal="right" inden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164" fontId="9" fillId="2" borderId="2" xfId="0" applyNumberFormat="1" applyFont="1" applyFill="1" applyBorder="1" applyAlignment="1" applyProtection="1">
      <alignment horizontal="left" vertical="center" indent="1"/>
    </xf>
    <xf numFmtId="164" fontId="9" fillId="2" borderId="3" xfId="0" applyNumberFormat="1" applyFont="1" applyFill="1" applyBorder="1" applyAlignment="1" applyProtection="1">
      <alignment horizontal="left" vertical="center" indent="1"/>
    </xf>
    <xf numFmtId="164" fontId="10" fillId="2" borderId="2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094196558764284E-2"/>
          <c:y val="0.15301184764123613"/>
          <c:w val="0.87574934383202163"/>
          <c:h val="0.696736517011292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'11.1'!$AB$37</c:f>
              <c:strCache>
                <c:ptCount val="1"/>
                <c:pt idx="0">
                  <c:v>2012 </c:v>
                </c:pt>
              </c:strCache>
            </c:strRef>
          </c:tx>
          <c:invertIfNegative val="0"/>
          <c:cat>
            <c:strRef>
              <c:f>'11.1'!$AC$35:$AH$35</c:f>
              <c:strCache>
                <c:ptCount val="6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</c:v>
                </c:pt>
                <c:pt idx="4">
                  <c:v>Bahtheli</c:v>
                </c:pt>
                <c:pt idx="5">
                  <c:v>Others</c:v>
                </c:pt>
              </c:strCache>
            </c:strRef>
          </c:cat>
          <c:val>
            <c:numRef>
              <c:f>'11.1'!$AC$37:$AH$37</c:f>
              <c:numCache>
                <c:formatCode>#,##0_);\(#,##0\)</c:formatCode>
                <c:ptCount val="6"/>
                <c:pt idx="0">
                  <c:v>6578</c:v>
                </c:pt>
                <c:pt idx="1">
                  <c:v>2253</c:v>
                </c:pt>
                <c:pt idx="2">
                  <c:v>537</c:v>
                </c:pt>
                <c:pt idx="3">
                  <c:v>1351</c:v>
                </c:pt>
                <c:pt idx="4">
                  <c:v>157</c:v>
                </c:pt>
                <c:pt idx="5" formatCode="#,##0_);[Red]\(#,##0\)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'11.1'!$AB$38</c:f>
              <c:strCache>
                <c:ptCount val="1"/>
                <c:pt idx="0">
                  <c:v>2013 </c:v>
                </c:pt>
              </c:strCache>
            </c:strRef>
          </c:tx>
          <c:invertIfNegative val="0"/>
          <c:cat>
            <c:strRef>
              <c:f>'11.1'!$AC$35:$AH$35</c:f>
              <c:strCache>
                <c:ptCount val="6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</c:v>
                </c:pt>
                <c:pt idx="4">
                  <c:v>Bahtheli</c:v>
                </c:pt>
                <c:pt idx="5">
                  <c:v>Others</c:v>
                </c:pt>
              </c:strCache>
            </c:strRef>
          </c:cat>
          <c:val>
            <c:numRef>
              <c:f>'11.1'!$AC$38:$AH$38</c:f>
              <c:numCache>
                <c:formatCode>#,##0_);\(#,##0\)</c:formatCode>
                <c:ptCount val="6"/>
                <c:pt idx="0">
                  <c:v>6889</c:v>
                </c:pt>
                <c:pt idx="1">
                  <c:v>2540</c:v>
                </c:pt>
                <c:pt idx="2">
                  <c:v>567</c:v>
                </c:pt>
                <c:pt idx="3">
                  <c:v>1508</c:v>
                </c:pt>
                <c:pt idx="4">
                  <c:v>164</c:v>
                </c:pt>
                <c:pt idx="5" formatCode="#,##0_);[Red]\(#,##0\)">
                  <c:v>313</c:v>
                </c:pt>
              </c:numCache>
            </c:numRef>
          </c:val>
        </c:ser>
        <c:ser>
          <c:idx val="2"/>
          <c:order val="2"/>
          <c:tx>
            <c:strRef>
              <c:f>'11.1'!$AB$39</c:f>
              <c:strCache>
                <c:ptCount val="1"/>
                <c:pt idx="0">
                  <c:v>2014 </c:v>
                </c:pt>
              </c:strCache>
            </c:strRef>
          </c:tx>
          <c:invertIfNegative val="0"/>
          <c:cat>
            <c:strRef>
              <c:f>'11.1'!$AC$35:$AH$35</c:f>
              <c:strCache>
                <c:ptCount val="6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</c:v>
                </c:pt>
                <c:pt idx="4">
                  <c:v>Bahtheli</c:v>
                </c:pt>
                <c:pt idx="5">
                  <c:v>Others</c:v>
                </c:pt>
              </c:strCache>
            </c:strRef>
          </c:cat>
          <c:val>
            <c:numRef>
              <c:f>'11.1'!$AC$39:$AH$39</c:f>
              <c:numCache>
                <c:formatCode>General_)</c:formatCode>
                <c:ptCount val="6"/>
                <c:pt idx="0">
                  <c:v>6889</c:v>
                </c:pt>
                <c:pt idx="1">
                  <c:v>2540</c:v>
                </c:pt>
                <c:pt idx="2">
                  <c:v>567</c:v>
                </c:pt>
                <c:pt idx="3">
                  <c:v>1508</c:v>
                </c:pt>
                <c:pt idx="4">
                  <c:v>164</c:v>
                </c:pt>
                <c:pt idx="5">
                  <c:v>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72288"/>
        <c:axId val="86973824"/>
      </c:barChart>
      <c:catAx>
        <c:axId val="86972288"/>
        <c:scaling>
          <c:orientation val="minMax"/>
        </c:scaling>
        <c:delete val="0"/>
        <c:axPos val="b"/>
        <c:majorTickMark val="none"/>
        <c:minorTickMark val="none"/>
        <c:tickLblPos val="nextTo"/>
        <c:crossAx val="86973824"/>
        <c:crosses val="autoZero"/>
        <c:auto val="1"/>
        <c:lblAlgn val="ctr"/>
        <c:lblOffset val="100"/>
        <c:noMultiLvlLbl val="0"/>
      </c:catAx>
      <c:valAx>
        <c:axId val="86973824"/>
        <c:scaling>
          <c:orientation val="minMax"/>
        </c:scaling>
        <c:delete val="0"/>
        <c:axPos val="l"/>
        <c:numFmt formatCode="#,##0_);\(#,##0\)" sourceLinked="1"/>
        <c:majorTickMark val="none"/>
        <c:minorTickMark val="none"/>
        <c:tickLblPos val="nextTo"/>
        <c:crossAx val="8697228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226867498358067"/>
          <c:y val="0.26417528023256071"/>
          <c:w val="0.27931436548335004"/>
          <c:h val="0.13310590281250029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361950</xdr:colOff>
      <xdr:row>36</xdr:row>
      <xdr:rowOff>0</xdr:rowOff>
    </xdr:from>
    <xdr:to>
      <xdr:col>24</xdr:col>
      <xdr:colOff>1504950</xdr:colOff>
      <xdr:row>38</xdr:row>
      <xdr:rowOff>114300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16219170" y="14295120"/>
          <a:ext cx="259080" cy="47244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36</xdr:row>
      <xdr:rowOff>0</xdr:rowOff>
    </xdr:from>
    <xdr:to>
      <xdr:col>24</xdr:col>
      <xdr:colOff>1504950</xdr:colOff>
      <xdr:row>38</xdr:row>
      <xdr:rowOff>114300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16219170" y="14295120"/>
          <a:ext cx="259080" cy="47244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36</xdr:row>
      <xdr:rowOff>0</xdr:rowOff>
    </xdr:from>
    <xdr:to>
      <xdr:col>11</xdr:col>
      <xdr:colOff>1504950</xdr:colOff>
      <xdr:row>38</xdr:row>
      <xdr:rowOff>114300</xdr:rowOff>
    </xdr:to>
    <xdr:sp macro="" textlink="">
      <xdr:nvSpPr>
        <xdr:cNvPr id="4" name="AutoShape 1"/>
        <xdr:cNvSpPr>
          <a:spLocks noChangeArrowheads="1"/>
        </xdr:cNvSpPr>
      </xdr:nvSpPr>
      <xdr:spPr bwMode="auto">
        <a:xfrm>
          <a:off x="9391650" y="14295120"/>
          <a:ext cx="838200" cy="47244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36</xdr:row>
      <xdr:rowOff>0</xdr:rowOff>
    </xdr:from>
    <xdr:to>
      <xdr:col>11</xdr:col>
      <xdr:colOff>1504950</xdr:colOff>
      <xdr:row>38</xdr:row>
      <xdr:rowOff>114300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9391650" y="14295120"/>
          <a:ext cx="838200" cy="47244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36</xdr:row>
      <xdr:rowOff>0</xdr:rowOff>
    </xdr:from>
    <xdr:to>
      <xdr:col>24</xdr:col>
      <xdr:colOff>1504950</xdr:colOff>
      <xdr:row>38</xdr:row>
      <xdr:rowOff>114300</xdr:rowOff>
    </xdr:to>
    <xdr:sp macro="" textlink="">
      <xdr:nvSpPr>
        <xdr:cNvPr id="10" name="AutoShape 1"/>
        <xdr:cNvSpPr>
          <a:spLocks noChangeArrowheads="1"/>
        </xdr:cNvSpPr>
      </xdr:nvSpPr>
      <xdr:spPr bwMode="auto">
        <a:xfrm>
          <a:off x="16219170" y="14295120"/>
          <a:ext cx="259080" cy="47244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36</xdr:row>
      <xdr:rowOff>0</xdr:rowOff>
    </xdr:from>
    <xdr:to>
      <xdr:col>24</xdr:col>
      <xdr:colOff>1504950</xdr:colOff>
      <xdr:row>38</xdr:row>
      <xdr:rowOff>114300</xdr:rowOff>
    </xdr:to>
    <xdr:sp macro="" textlink="">
      <xdr:nvSpPr>
        <xdr:cNvPr id="11" name="AutoShape 2"/>
        <xdr:cNvSpPr>
          <a:spLocks noChangeArrowheads="1"/>
        </xdr:cNvSpPr>
      </xdr:nvSpPr>
      <xdr:spPr bwMode="auto">
        <a:xfrm>
          <a:off x="16219170" y="14295120"/>
          <a:ext cx="259080" cy="47244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36</xdr:row>
      <xdr:rowOff>0</xdr:rowOff>
    </xdr:from>
    <xdr:to>
      <xdr:col>11</xdr:col>
      <xdr:colOff>1504950</xdr:colOff>
      <xdr:row>38</xdr:row>
      <xdr:rowOff>114300</xdr:rowOff>
    </xdr:to>
    <xdr:sp macro="" textlink="">
      <xdr:nvSpPr>
        <xdr:cNvPr id="12" name="AutoShape 1"/>
        <xdr:cNvSpPr>
          <a:spLocks noChangeArrowheads="1"/>
        </xdr:cNvSpPr>
      </xdr:nvSpPr>
      <xdr:spPr bwMode="auto">
        <a:xfrm>
          <a:off x="9391650" y="14295120"/>
          <a:ext cx="838200" cy="47244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417356</xdr:colOff>
      <xdr:row>28</xdr:row>
      <xdr:rowOff>173940</xdr:rowOff>
    </xdr:from>
    <xdr:to>
      <xdr:col>11</xdr:col>
      <xdr:colOff>552450</xdr:colOff>
      <xdr:row>46</xdr:row>
      <xdr:rowOff>37788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19" name="AutoShape 1"/>
        <xdr:cNvSpPr>
          <a:spLocks noChangeArrowheads="1"/>
        </xdr:cNvSpPr>
      </xdr:nvSpPr>
      <xdr:spPr bwMode="auto">
        <a:xfrm>
          <a:off x="16219170" y="2750820"/>
          <a:ext cx="25908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20" name="AutoShape 2"/>
        <xdr:cNvSpPr>
          <a:spLocks noChangeArrowheads="1"/>
        </xdr:cNvSpPr>
      </xdr:nvSpPr>
      <xdr:spPr bwMode="auto">
        <a:xfrm>
          <a:off x="16219170" y="2750820"/>
          <a:ext cx="25908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21" name="AutoShape 1"/>
        <xdr:cNvSpPr>
          <a:spLocks noChangeArrowheads="1"/>
        </xdr:cNvSpPr>
      </xdr:nvSpPr>
      <xdr:spPr bwMode="auto">
        <a:xfrm>
          <a:off x="9391650" y="2750820"/>
          <a:ext cx="83820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22" name="AutoShape 2"/>
        <xdr:cNvSpPr>
          <a:spLocks noChangeArrowheads="1"/>
        </xdr:cNvSpPr>
      </xdr:nvSpPr>
      <xdr:spPr bwMode="auto">
        <a:xfrm>
          <a:off x="9391650" y="2750820"/>
          <a:ext cx="83820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23" name="AutoShape 1"/>
        <xdr:cNvSpPr>
          <a:spLocks noChangeArrowheads="1"/>
        </xdr:cNvSpPr>
      </xdr:nvSpPr>
      <xdr:spPr bwMode="auto">
        <a:xfrm>
          <a:off x="16219170" y="2750820"/>
          <a:ext cx="25908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24</xdr:col>
      <xdr:colOff>361950</xdr:colOff>
      <xdr:row>12</xdr:row>
      <xdr:rowOff>0</xdr:rowOff>
    </xdr:from>
    <xdr:to>
      <xdr:col>24</xdr:col>
      <xdr:colOff>1504950</xdr:colOff>
      <xdr:row>14</xdr:row>
      <xdr:rowOff>114300</xdr:rowOff>
    </xdr:to>
    <xdr:sp macro="" textlink="">
      <xdr:nvSpPr>
        <xdr:cNvPr id="24" name="AutoShape 2"/>
        <xdr:cNvSpPr>
          <a:spLocks noChangeArrowheads="1"/>
        </xdr:cNvSpPr>
      </xdr:nvSpPr>
      <xdr:spPr bwMode="auto">
        <a:xfrm>
          <a:off x="16219170" y="2750820"/>
          <a:ext cx="25908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25" name="AutoShape 1"/>
        <xdr:cNvSpPr>
          <a:spLocks noChangeArrowheads="1"/>
        </xdr:cNvSpPr>
      </xdr:nvSpPr>
      <xdr:spPr bwMode="auto">
        <a:xfrm>
          <a:off x="9391650" y="2750820"/>
          <a:ext cx="83820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11</xdr:col>
      <xdr:colOff>361950</xdr:colOff>
      <xdr:row>12</xdr:row>
      <xdr:rowOff>0</xdr:rowOff>
    </xdr:from>
    <xdr:to>
      <xdr:col>11</xdr:col>
      <xdr:colOff>1504950</xdr:colOff>
      <xdr:row>14</xdr:row>
      <xdr:rowOff>114300</xdr:rowOff>
    </xdr:to>
    <xdr:sp macro="" textlink="">
      <xdr:nvSpPr>
        <xdr:cNvPr id="26" name="AutoShape 2"/>
        <xdr:cNvSpPr>
          <a:spLocks noChangeArrowheads="1"/>
        </xdr:cNvSpPr>
      </xdr:nvSpPr>
      <xdr:spPr bwMode="auto">
        <a:xfrm>
          <a:off x="9391650" y="2750820"/>
          <a:ext cx="838200" cy="5715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0.13795</cdr:x>
      <cdr:y>0.02642</cdr:y>
    </cdr:from>
    <cdr:to>
      <cdr:x>0.93901</cdr:x>
      <cdr:y>0.12016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0974" y="83235"/>
          <a:ext cx="575447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11.1: Number of registered vessels for sea transport, 2012 - 2014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0.13549</cdr:x>
      <cdr:y>0.10192</cdr:y>
    </cdr:from>
    <cdr:to>
      <cdr:x>0.91249</cdr:x>
      <cdr:y>0.10504</cdr:y>
    </cdr:to>
    <cdr:sp macro="" textlink="">
      <cdr:nvSpPr>
        <cdr:cNvPr id="6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973294" y="321047"/>
          <a:ext cx="5581650" cy="983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50"/>
  <sheetViews>
    <sheetView tabSelected="1" zoomScaleNormal="100" workbookViewId="0">
      <selection activeCell="R1" sqref="R1:T1048576"/>
    </sheetView>
  </sheetViews>
  <sheetFormatPr defaultColWidth="9.140625" defaultRowHeight="14.25" x14ac:dyDescent="0.25"/>
  <cols>
    <col min="1" max="1" width="11.28515625" style="1" customWidth="1"/>
    <col min="2" max="2" width="10.5703125" style="13" customWidth="1"/>
    <col min="3" max="11" width="10.5703125" style="1" customWidth="1"/>
    <col min="12" max="12" width="15.85546875" style="1" customWidth="1"/>
    <col min="13" max="16384" width="9.140625" style="1"/>
  </cols>
  <sheetData>
    <row r="1" spans="1:37" ht="18" x14ac:dyDescent="0.25">
      <c r="A1" s="51" t="s">
        <v>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  <c r="M1" s="29"/>
    </row>
    <row r="2" spans="1:37" s="3" customFormat="1" ht="15.75" x14ac:dyDescent="0.25">
      <c r="A2" s="53" t="s">
        <v>69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  <c r="M2" s="30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s="3" customFormat="1" ht="15" x14ac:dyDescent="0.2">
      <c r="A3" s="31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s="3" customFormat="1" ht="18" customHeight="1" x14ac:dyDescent="0.25">
      <c r="A4" s="55" t="s">
        <v>0</v>
      </c>
      <c r="B4" s="47" t="s">
        <v>1</v>
      </c>
      <c r="C4" s="47" t="s">
        <v>2</v>
      </c>
      <c r="D4" s="47" t="s">
        <v>3</v>
      </c>
      <c r="E4" s="47" t="s">
        <v>4</v>
      </c>
      <c r="F4" s="47" t="s">
        <v>5</v>
      </c>
      <c r="G4" s="47" t="s">
        <v>6</v>
      </c>
      <c r="H4" s="47" t="s">
        <v>7</v>
      </c>
      <c r="I4" s="47" t="s">
        <v>8</v>
      </c>
      <c r="J4" s="47" t="s">
        <v>9</v>
      </c>
      <c r="K4" s="47" t="s">
        <v>10</v>
      </c>
      <c r="L4" s="57" t="s">
        <v>11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s="16" customFormat="1" ht="15" x14ac:dyDescent="0.25">
      <c r="A5" s="56"/>
      <c r="B5" s="17" t="s">
        <v>12</v>
      </c>
      <c r="C5" s="17" t="s">
        <v>13</v>
      </c>
      <c r="D5" s="17" t="s">
        <v>14</v>
      </c>
      <c r="E5" s="17" t="s">
        <v>15</v>
      </c>
      <c r="F5" s="17" t="s">
        <v>16</v>
      </c>
      <c r="G5" s="17" t="s">
        <v>17</v>
      </c>
      <c r="H5" s="17" t="s">
        <v>18</v>
      </c>
      <c r="I5" s="17" t="s">
        <v>19</v>
      </c>
      <c r="J5" s="17" t="s">
        <v>20</v>
      </c>
      <c r="K5" s="17" t="s">
        <v>21</v>
      </c>
      <c r="L5" s="58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spans="1:37" s="3" customFormat="1" ht="17.25" x14ac:dyDescent="0.25">
      <c r="A6" s="19" t="s">
        <v>22</v>
      </c>
      <c r="B6" s="40">
        <f>SUM(B7:B26)</f>
        <v>12074</v>
      </c>
      <c r="C6" s="38">
        <f>SUM(C7:C26)</f>
        <v>6889</v>
      </c>
      <c r="D6" s="38">
        <f t="shared" ref="D6:J6" si="0">SUM(D7:D26)</f>
        <v>2540</v>
      </c>
      <c r="E6" s="38">
        <f t="shared" si="0"/>
        <v>567</v>
      </c>
      <c r="F6" s="38">
        <f t="shared" si="0"/>
        <v>1508</v>
      </c>
      <c r="G6" s="38">
        <f t="shared" si="0"/>
        <v>164</v>
      </c>
      <c r="H6" s="38">
        <f t="shared" si="0"/>
        <v>128</v>
      </c>
      <c r="I6" s="38">
        <f t="shared" si="0"/>
        <v>151</v>
      </c>
      <c r="J6" s="38">
        <f t="shared" si="0"/>
        <v>34</v>
      </c>
      <c r="K6" s="38">
        <f>SUM(K7:K26)</f>
        <v>93</v>
      </c>
      <c r="L6" s="48" t="s">
        <v>23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s="3" customFormat="1" ht="18" x14ac:dyDescent="0.45">
      <c r="A7" s="20" t="s">
        <v>24</v>
      </c>
      <c r="B7" s="41">
        <f>SUM(C7:K7)</f>
        <v>535</v>
      </c>
      <c r="C7" s="42">
        <v>380</v>
      </c>
      <c r="D7" s="42">
        <v>71</v>
      </c>
      <c r="E7" s="42">
        <v>15</v>
      </c>
      <c r="F7" s="42">
        <v>61</v>
      </c>
      <c r="G7" s="42">
        <v>2</v>
      </c>
      <c r="H7" s="42">
        <v>0</v>
      </c>
      <c r="I7" s="42">
        <v>0</v>
      </c>
      <c r="J7" s="42">
        <v>0</v>
      </c>
      <c r="K7" s="42">
        <v>6</v>
      </c>
      <c r="L7" s="49" t="s">
        <v>25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s="3" customFormat="1" ht="18" x14ac:dyDescent="0.45">
      <c r="A8" s="20" t="s">
        <v>26</v>
      </c>
      <c r="B8" s="41">
        <f t="shared" ref="B8:B26" si="1">SUM(C8:K8)</f>
        <v>555</v>
      </c>
      <c r="C8" s="43">
        <v>427</v>
      </c>
      <c r="D8" s="44">
        <v>67</v>
      </c>
      <c r="E8" s="44">
        <v>10</v>
      </c>
      <c r="F8" s="44">
        <v>37</v>
      </c>
      <c r="G8" s="44">
        <v>9</v>
      </c>
      <c r="H8" s="44">
        <v>2</v>
      </c>
      <c r="I8" s="44">
        <v>2</v>
      </c>
      <c r="J8" s="44">
        <v>1</v>
      </c>
      <c r="K8" s="44">
        <v>0</v>
      </c>
      <c r="L8" s="49" t="s">
        <v>27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s="3" customFormat="1" ht="18" x14ac:dyDescent="0.45">
      <c r="A9" s="20" t="s">
        <v>28</v>
      </c>
      <c r="B9" s="41">
        <f t="shared" si="1"/>
        <v>535</v>
      </c>
      <c r="C9" s="44">
        <v>407</v>
      </c>
      <c r="D9" s="44">
        <v>68</v>
      </c>
      <c r="E9" s="44">
        <v>16</v>
      </c>
      <c r="F9" s="44">
        <v>37</v>
      </c>
      <c r="G9" s="44">
        <v>7</v>
      </c>
      <c r="H9" s="44">
        <v>0</v>
      </c>
      <c r="I9" s="44">
        <v>0</v>
      </c>
      <c r="J9" s="44">
        <v>0</v>
      </c>
      <c r="K9" s="44">
        <v>0</v>
      </c>
      <c r="L9" s="49" t="s">
        <v>29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s="3" customFormat="1" ht="18" x14ac:dyDescent="0.45">
      <c r="A10" s="20" t="s">
        <v>30</v>
      </c>
      <c r="B10" s="41">
        <f t="shared" si="1"/>
        <v>461</v>
      </c>
      <c r="C10" s="44">
        <v>304</v>
      </c>
      <c r="D10" s="44">
        <v>49</v>
      </c>
      <c r="E10" s="44">
        <v>13</v>
      </c>
      <c r="F10" s="44">
        <v>89</v>
      </c>
      <c r="G10" s="44">
        <v>4</v>
      </c>
      <c r="H10" s="44">
        <v>0</v>
      </c>
      <c r="I10" s="44">
        <v>2</v>
      </c>
      <c r="J10" s="44">
        <v>0</v>
      </c>
      <c r="K10" s="44">
        <v>0</v>
      </c>
      <c r="L10" s="49" t="s">
        <v>31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s="3" customFormat="1" ht="18" x14ac:dyDescent="0.45">
      <c r="A11" s="20" t="s">
        <v>32</v>
      </c>
      <c r="B11" s="41">
        <f t="shared" si="1"/>
        <v>681</v>
      </c>
      <c r="C11" s="44">
        <v>541</v>
      </c>
      <c r="D11" s="44">
        <v>64</v>
      </c>
      <c r="E11" s="44">
        <v>18</v>
      </c>
      <c r="F11" s="44">
        <v>44</v>
      </c>
      <c r="G11" s="44">
        <v>11</v>
      </c>
      <c r="H11" s="44">
        <v>0</v>
      </c>
      <c r="I11" s="44">
        <v>3</v>
      </c>
      <c r="J11" s="44">
        <v>0</v>
      </c>
      <c r="K11" s="44">
        <v>0</v>
      </c>
      <c r="L11" s="49" t="s">
        <v>33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s="3" customFormat="1" ht="18" x14ac:dyDescent="0.45">
      <c r="A12" s="20" t="s">
        <v>34</v>
      </c>
      <c r="B12" s="41">
        <f t="shared" si="1"/>
        <v>502</v>
      </c>
      <c r="C12" s="44">
        <v>320</v>
      </c>
      <c r="D12" s="44">
        <v>69</v>
      </c>
      <c r="E12" s="44">
        <v>13</v>
      </c>
      <c r="F12" s="44">
        <v>92</v>
      </c>
      <c r="G12" s="44">
        <v>6</v>
      </c>
      <c r="H12" s="44">
        <v>1</v>
      </c>
      <c r="I12" s="44">
        <v>1</v>
      </c>
      <c r="J12" s="44">
        <v>0</v>
      </c>
      <c r="K12" s="44">
        <v>0</v>
      </c>
      <c r="L12" s="49" t="s">
        <v>35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s="3" customFormat="1" ht="18" x14ac:dyDescent="0.45">
      <c r="A13" s="20" t="s">
        <v>36</v>
      </c>
      <c r="B13" s="41">
        <f t="shared" si="1"/>
        <v>263</v>
      </c>
      <c r="C13" s="44">
        <v>168</v>
      </c>
      <c r="D13" s="44">
        <v>58</v>
      </c>
      <c r="E13" s="44">
        <v>9</v>
      </c>
      <c r="F13" s="44">
        <v>24</v>
      </c>
      <c r="G13" s="44">
        <v>3</v>
      </c>
      <c r="H13" s="44">
        <v>0</v>
      </c>
      <c r="I13" s="44">
        <v>1</v>
      </c>
      <c r="J13" s="44">
        <v>0</v>
      </c>
      <c r="K13" s="44">
        <v>0</v>
      </c>
      <c r="L13" s="49" t="s">
        <v>37</v>
      </c>
      <c r="M13" s="2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s="3" customFormat="1" ht="18" x14ac:dyDescent="0.45">
      <c r="A14" s="20" t="s">
        <v>38</v>
      </c>
      <c r="B14" s="41">
        <f t="shared" si="1"/>
        <v>4521</v>
      </c>
      <c r="C14" s="44">
        <v>1856</v>
      </c>
      <c r="D14" s="44">
        <v>1565</v>
      </c>
      <c r="E14" s="44">
        <v>374</v>
      </c>
      <c r="F14" s="44">
        <v>296</v>
      </c>
      <c r="G14" s="44">
        <v>57</v>
      </c>
      <c r="H14" s="44">
        <v>125</v>
      </c>
      <c r="I14" s="39">
        <v>129</v>
      </c>
      <c r="J14" s="44">
        <v>33</v>
      </c>
      <c r="K14" s="44">
        <v>86</v>
      </c>
      <c r="L14" s="49" t="s">
        <v>39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s="3" customFormat="1" ht="18" x14ac:dyDescent="0.45">
      <c r="A15" s="20" t="s">
        <v>40</v>
      </c>
      <c r="B15" s="41">
        <f t="shared" si="1"/>
        <v>284</v>
      </c>
      <c r="C15" s="42">
        <v>205</v>
      </c>
      <c r="D15" s="42">
        <v>19</v>
      </c>
      <c r="E15" s="42">
        <v>2</v>
      </c>
      <c r="F15" s="42">
        <v>56</v>
      </c>
      <c r="G15" s="42">
        <v>2</v>
      </c>
      <c r="H15" s="42">
        <v>0</v>
      </c>
      <c r="I15" s="42">
        <v>0</v>
      </c>
      <c r="J15" s="42">
        <v>0</v>
      </c>
      <c r="K15" s="42">
        <v>0</v>
      </c>
      <c r="L15" s="49" t="s">
        <v>41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s="3" customFormat="1" ht="18" x14ac:dyDescent="0.45">
      <c r="A16" s="20" t="s">
        <v>42</v>
      </c>
      <c r="B16" s="41">
        <f t="shared" si="1"/>
        <v>620</v>
      </c>
      <c r="C16" s="44">
        <v>468</v>
      </c>
      <c r="D16" s="44">
        <v>35</v>
      </c>
      <c r="E16" s="44">
        <v>17</v>
      </c>
      <c r="F16" s="44">
        <v>91</v>
      </c>
      <c r="G16" s="44">
        <v>5</v>
      </c>
      <c r="H16" s="44">
        <v>0</v>
      </c>
      <c r="I16" s="44">
        <v>4</v>
      </c>
      <c r="J16" s="44">
        <v>0</v>
      </c>
      <c r="K16" s="44">
        <v>0</v>
      </c>
      <c r="L16" s="49" t="s">
        <v>43</v>
      </c>
      <c r="M16" s="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s="3" customFormat="1" ht="18" x14ac:dyDescent="0.45">
      <c r="A17" s="20" t="s">
        <v>44</v>
      </c>
      <c r="B17" s="41">
        <f t="shared" si="1"/>
        <v>119</v>
      </c>
      <c r="C17" s="44">
        <v>79</v>
      </c>
      <c r="D17" s="44">
        <v>13</v>
      </c>
      <c r="E17" s="44">
        <v>0</v>
      </c>
      <c r="F17" s="44">
        <v>24</v>
      </c>
      <c r="G17" s="44">
        <v>3</v>
      </c>
      <c r="H17" s="44">
        <v>0</v>
      </c>
      <c r="I17" s="44">
        <v>0</v>
      </c>
      <c r="J17" s="44">
        <v>0</v>
      </c>
      <c r="K17" s="44">
        <v>0</v>
      </c>
      <c r="L17" s="49" t="s">
        <v>45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8" x14ac:dyDescent="0.45">
      <c r="A18" s="20" t="s">
        <v>46</v>
      </c>
      <c r="B18" s="41">
        <f t="shared" si="1"/>
        <v>330</v>
      </c>
      <c r="C18" s="44">
        <v>204</v>
      </c>
      <c r="D18" s="44">
        <v>28</v>
      </c>
      <c r="E18" s="44">
        <v>2</v>
      </c>
      <c r="F18" s="44">
        <v>85</v>
      </c>
      <c r="G18" s="44">
        <v>11</v>
      </c>
      <c r="H18" s="44">
        <v>0</v>
      </c>
      <c r="I18" s="44">
        <v>0</v>
      </c>
      <c r="J18" s="44">
        <v>0</v>
      </c>
      <c r="K18" s="44">
        <v>0</v>
      </c>
      <c r="L18" s="49" t="s">
        <v>47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8" x14ac:dyDescent="0.45">
      <c r="A19" s="20" t="s">
        <v>48</v>
      </c>
      <c r="B19" s="41">
        <f t="shared" si="1"/>
        <v>268</v>
      </c>
      <c r="C19" s="44">
        <v>144</v>
      </c>
      <c r="D19" s="44">
        <v>14</v>
      </c>
      <c r="E19" s="44">
        <v>0</v>
      </c>
      <c r="F19" s="44">
        <v>105</v>
      </c>
      <c r="G19" s="44">
        <v>4</v>
      </c>
      <c r="H19" s="44">
        <v>0</v>
      </c>
      <c r="I19" s="44">
        <v>1</v>
      </c>
      <c r="J19" s="44">
        <v>0</v>
      </c>
      <c r="K19" s="44">
        <v>0</v>
      </c>
      <c r="L19" s="49" t="s">
        <v>49</v>
      </c>
      <c r="M19" s="2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8" x14ac:dyDescent="0.45">
      <c r="A20" s="20" t="s">
        <v>50</v>
      </c>
      <c r="B20" s="41">
        <f t="shared" si="1"/>
        <v>341</v>
      </c>
      <c r="C20" s="44">
        <v>185</v>
      </c>
      <c r="D20" s="44">
        <v>30</v>
      </c>
      <c r="E20" s="44">
        <v>0</v>
      </c>
      <c r="F20" s="44">
        <v>122</v>
      </c>
      <c r="G20" s="44">
        <v>4</v>
      </c>
      <c r="H20" s="44">
        <v>0</v>
      </c>
      <c r="I20" s="44">
        <v>0</v>
      </c>
      <c r="J20" s="44">
        <v>0</v>
      </c>
      <c r="K20" s="44">
        <v>0</v>
      </c>
      <c r="L20" s="49" t="s">
        <v>51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8" x14ac:dyDescent="0.45">
      <c r="A21" s="20" t="s">
        <v>52</v>
      </c>
      <c r="B21" s="41">
        <f t="shared" si="1"/>
        <v>640</v>
      </c>
      <c r="C21" s="44">
        <v>406</v>
      </c>
      <c r="D21" s="44">
        <v>80</v>
      </c>
      <c r="E21" s="44">
        <v>17</v>
      </c>
      <c r="F21" s="44">
        <v>115</v>
      </c>
      <c r="G21" s="44">
        <v>22</v>
      </c>
      <c r="H21" s="44">
        <v>0</v>
      </c>
      <c r="I21" s="44">
        <v>0</v>
      </c>
      <c r="J21" s="44">
        <v>0</v>
      </c>
      <c r="K21" s="44">
        <v>0</v>
      </c>
      <c r="L21" s="49" t="s">
        <v>53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8" x14ac:dyDescent="0.45">
      <c r="A22" s="20" t="s">
        <v>54</v>
      </c>
      <c r="B22" s="41">
        <f t="shared" si="1"/>
        <v>316</v>
      </c>
      <c r="C22" s="44">
        <v>167</v>
      </c>
      <c r="D22" s="44">
        <v>71</v>
      </c>
      <c r="E22" s="44">
        <v>15</v>
      </c>
      <c r="F22" s="44">
        <v>50</v>
      </c>
      <c r="G22" s="44">
        <v>12</v>
      </c>
      <c r="H22" s="44">
        <v>0</v>
      </c>
      <c r="I22" s="44">
        <v>1</v>
      </c>
      <c r="J22" s="44">
        <v>0</v>
      </c>
      <c r="K22" s="44">
        <v>0</v>
      </c>
      <c r="L22" s="49" t="s">
        <v>55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8" x14ac:dyDescent="0.45">
      <c r="A23" s="20" t="s">
        <v>56</v>
      </c>
      <c r="B23" s="41">
        <f t="shared" si="1"/>
        <v>291</v>
      </c>
      <c r="C23" s="44">
        <v>154</v>
      </c>
      <c r="D23" s="44">
        <v>78</v>
      </c>
      <c r="E23" s="44">
        <v>7</v>
      </c>
      <c r="F23" s="44">
        <v>49</v>
      </c>
      <c r="G23" s="44">
        <v>0</v>
      </c>
      <c r="H23" s="44">
        <v>0</v>
      </c>
      <c r="I23" s="44">
        <v>2</v>
      </c>
      <c r="J23" s="44">
        <v>0</v>
      </c>
      <c r="K23" s="44">
        <v>1</v>
      </c>
      <c r="L23" s="49" t="s">
        <v>57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8" x14ac:dyDescent="0.45">
      <c r="A24" s="20" t="s">
        <v>58</v>
      </c>
      <c r="B24" s="41">
        <f t="shared" si="1"/>
        <v>458</v>
      </c>
      <c r="C24" s="44">
        <v>258</v>
      </c>
      <c r="D24" s="44">
        <v>114</v>
      </c>
      <c r="E24" s="44">
        <v>6</v>
      </c>
      <c r="F24" s="44">
        <v>78</v>
      </c>
      <c r="G24" s="44">
        <v>1</v>
      </c>
      <c r="H24" s="44">
        <v>0</v>
      </c>
      <c r="I24" s="44">
        <v>1</v>
      </c>
      <c r="J24" s="44">
        <v>0</v>
      </c>
      <c r="K24" s="44">
        <v>0</v>
      </c>
      <c r="L24" s="49" t="s">
        <v>59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8" x14ac:dyDescent="0.45">
      <c r="A25" s="20" t="s">
        <v>60</v>
      </c>
      <c r="B25" s="41">
        <f t="shared" si="1"/>
        <v>131</v>
      </c>
      <c r="C25" s="44">
        <v>76</v>
      </c>
      <c r="D25" s="44">
        <v>8</v>
      </c>
      <c r="E25" s="44">
        <v>8</v>
      </c>
      <c r="F25" s="44">
        <v>38</v>
      </c>
      <c r="G25" s="44">
        <v>0</v>
      </c>
      <c r="H25" s="44">
        <v>0</v>
      </c>
      <c r="I25" s="44">
        <v>1</v>
      </c>
      <c r="J25" s="44">
        <v>0</v>
      </c>
      <c r="K25" s="44">
        <v>0</v>
      </c>
      <c r="L25" s="49" t="s">
        <v>61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8" x14ac:dyDescent="0.45">
      <c r="A26" s="21" t="s">
        <v>29</v>
      </c>
      <c r="B26" s="45">
        <f t="shared" si="1"/>
        <v>223</v>
      </c>
      <c r="C26" s="46">
        <v>140</v>
      </c>
      <c r="D26" s="46">
        <v>39</v>
      </c>
      <c r="E26" s="46">
        <v>25</v>
      </c>
      <c r="F26" s="46">
        <v>15</v>
      </c>
      <c r="G26" s="46">
        <v>1</v>
      </c>
      <c r="H26" s="46">
        <v>0</v>
      </c>
      <c r="I26" s="46">
        <v>3</v>
      </c>
      <c r="J26" s="46">
        <v>0</v>
      </c>
      <c r="K26" s="46">
        <v>0</v>
      </c>
      <c r="L26" s="50" t="s">
        <v>62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s="27" customFormat="1" ht="18" x14ac:dyDescent="0.45">
      <c r="A27" s="23" t="s">
        <v>63</v>
      </c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2" t="s">
        <v>67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</row>
    <row r="28" spans="1:37" s="8" customFormat="1" ht="18" customHeight="1" x14ac:dyDescent="0.25">
      <c r="A28" s="28" t="s">
        <v>64</v>
      </c>
      <c r="B28" s="9"/>
      <c r="C28" s="10"/>
      <c r="D28" s="10"/>
      <c r="E28" s="10"/>
      <c r="F28" s="10"/>
      <c r="L28" s="18" t="s">
        <v>65</v>
      </c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34" spans="2:38" x14ac:dyDescent="0.25">
      <c r="B34" s="1"/>
      <c r="AC34" s="37"/>
      <c r="AD34" s="37"/>
      <c r="AE34" s="37"/>
      <c r="AF34" s="37"/>
      <c r="AG34" s="37"/>
      <c r="AH34" s="37"/>
      <c r="AI34" s="37"/>
      <c r="AJ34" s="37"/>
      <c r="AK34" s="37"/>
    </row>
    <row r="35" spans="2:38" x14ac:dyDescent="0.25">
      <c r="B35" s="1"/>
      <c r="AB35" s="35"/>
      <c r="AC35" s="35" t="s">
        <v>13</v>
      </c>
      <c r="AD35" s="35" t="s">
        <v>14</v>
      </c>
      <c r="AE35" s="35" t="s">
        <v>15</v>
      </c>
      <c r="AF35" s="35" t="s">
        <v>16</v>
      </c>
      <c r="AG35" s="35" t="s">
        <v>17</v>
      </c>
      <c r="AH35" s="35" t="s">
        <v>21</v>
      </c>
      <c r="AI35" s="35" t="s">
        <v>18</v>
      </c>
      <c r="AJ35" s="35" t="s">
        <v>19</v>
      </c>
      <c r="AK35" s="35" t="s">
        <v>20</v>
      </c>
      <c r="AL35" s="35"/>
    </row>
    <row r="36" spans="2:38" ht="15" x14ac:dyDescent="0.25">
      <c r="B36" s="1"/>
      <c r="AB36" s="35">
        <v>2011</v>
      </c>
      <c r="AC36" s="14">
        <v>6334</v>
      </c>
      <c r="AD36" s="14">
        <v>2104</v>
      </c>
      <c r="AE36" s="14">
        <v>523</v>
      </c>
      <c r="AF36" s="14">
        <v>1254</v>
      </c>
      <c r="AG36" s="14">
        <v>156</v>
      </c>
      <c r="AH36" s="14">
        <f>SUM(AI36:AL36)</f>
        <v>293</v>
      </c>
      <c r="AI36" s="14">
        <v>131</v>
      </c>
      <c r="AJ36" s="14">
        <v>130</v>
      </c>
      <c r="AK36" s="14">
        <v>32</v>
      </c>
      <c r="AL36" s="14"/>
    </row>
    <row r="37" spans="2:38" ht="15" x14ac:dyDescent="0.25">
      <c r="AB37" s="35">
        <v>2012</v>
      </c>
      <c r="AC37" s="36">
        <v>6578</v>
      </c>
      <c r="AD37" s="36">
        <v>2253</v>
      </c>
      <c r="AE37" s="36">
        <v>537</v>
      </c>
      <c r="AF37" s="36">
        <v>1351</v>
      </c>
      <c r="AG37" s="36">
        <v>157</v>
      </c>
      <c r="AH37" s="14">
        <f>SUM(AI37:AL37)</f>
        <v>300</v>
      </c>
      <c r="AI37" s="36">
        <v>132</v>
      </c>
      <c r="AJ37" s="36">
        <v>136</v>
      </c>
      <c r="AK37" s="36">
        <v>32</v>
      </c>
      <c r="AL37" s="36"/>
    </row>
    <row r="38" spans="2:38" ht="15" x14ac:dyDescent="0.25">
      <c r="AB38" s="35">
        <v>2013</v>
      </c>
      <c r="AC38" s="36">
        <f>C6</f>
        <v>6889</v>
      </c>
      <c r="AD38" s="36">
        <f t="shared" ref="AD38:AF38" si="2">D6</f>
        <v>2540</v>
      </c>
      <c r="AE38" s="36">
        <f t="shared" si="2"/>
        <v>567</v>
      </c>
      <c r="AF38" s="36">
        <f t="shared" si="2"/>
        <v>1508</v>
      </c>
      <c r="AG38" s="36">
        <f>G6</f>
        <v>164</v>
      </c>
      <c r="AH38" s="14">
        <f>SUM(AI38:AL38)</f>
        <v>313</v>
      </c>
      <c r="AI38" s="36">
        <f>H6</f>
        <v>128</v>
      </c>
      <c r="AJ38" s="36">
        <f>I6</f>
        <v>151</v>
      </c>
      <c r="AK38" s="36">
        <f>J6</f>
        <v>34</v>
      </c>
      <c r="AL38" s="36"/>
    </row>
    <row r="39" spans="2:38" x14ac:dyDescent="0.25">
      <c r="C39" s="1" t="s">
        <v>66</v>
      </c>
      <c r="AB39" s="37">
        <v>2014</v>
      </c>
      <c r="AC39" s="37">
        <v>6889</v>
      </c>
      <c r="AD39" s="37">
        <v>2540</v>
      </c>
      <c r="AE39" s="37">
        <v>567</v>
      </c>
      <c r="AF39" s="37">
        <v>1508</v>
      </c>
      <c r="AG39" s="37">
        <v>164</v>
      </c>
      <c r="AH39" s="37">
        <v>93</v>
      </c>
      <c r="AI39" s="37">
        <v>128</v>
      </c>
      <c r="AJ39" s="37">
        <v>151</v>
      </c>
      <c r="AK39" s="37">
        <v>34</v>
      </c>
      <c r="AL39" s="37"/>
    </row>
    <row r="40" spans="2:38" x14ac:dyDescent="0.25"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 spans="2:38" x14ac:dyDescent="0.25">
      <c r="AB41" s="37"/>
    </row>
    <row r="42" spans="2:38" x14ac:dyDescent="0.25">
      <c r="AB42" s="37"/>
    </row>
    <row r="50" ht="18" customHeight="1" x14ac:dyDescent="0.25"/>
  </sheetData>
  <mergeCells count="4">
    <mergeCell ref="A1:L1"/>
    <mergeCell ref="A2:L2"/>
    <mergeCell ref="A4:A5"/>
    <mergeCell ref="L4:L5"/>
  </mergeCells>
  <pageMargins left="0.21" right="0.5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</vt:lpstr>
      <vt:lpstr>'11.1'!Print_Area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2016-03-17T07:25:43Z</cp:lastPrinted>
  <dcterms:created xsi:type="dcterms:W3CDTF">2014-05-22T03:57:11Z</dcterms:created>
  <dcterms:modified xsi:type="dcterms:W3CDTF">2016-03-17T07:25:44Z</dcterms:modified>
</cp:coreProperties>
</file>