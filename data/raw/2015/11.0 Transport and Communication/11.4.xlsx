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4" sheetId="4" r:id="rId1"/>
  </sheets>
  <calcPr calcId="144525"/>
</workbook>
</file>

<file path=xl/calcChain.xml><?xml version="1.0" encoding="utf-8"?>
<calcChain xmlns="http://schemas.openxmlformats.org/spreadsheetml/2006/main">
  <c r="G12" i="4" l="1"/>
  <c r="B12" i="4"/>
  <c r="G11" i="4"/>
  <c r="B11" i="4"/>
  <c r="G10" i="4"/>
  <c r="B10" i="4"/>
  <c r="G9" i="4"/>
  <c r="B9" i="4"/>
  <c r="G8" i="4"/>
  <c r="B8" i="4"/>
  <c r="G7" i="4"/>
  <c r="B7" i="4"/>
  <c r="G6" i="4"/>
  <c r="B6" i="4"/>
  <c r="G31" i="4" l="1"/>
  <c r="B31" i="4"/>
  <c r="G30" i="4"/>
  <c r="B30" i="4"/>
  <c r="G29" i="4"/>
  <c r="B29" i="4"/>
  <c r="G28" i="4"/>
  <c r="B28" i="4"/>
  <c r="G27" i="4"/>
  <c r="B27" i="4"/>
  <c r="G26" i="4"/>
  <c r="B26" i="4"/>
  <c r="G25" i="4"/>
  <c r="B25" i="4"/>
</calcChain>
</file>

<file path=xl/sharedStrings.xml><?xml version="1.0" encoding="utf-8"?>
<sst xmlns="http://schemas.openxmlformats.org/spreadsheetml/2006/main" count="56" uniqueCount="25">
  <si>
    <t>Source: Transport Authority</t>
  </si>
  <si>
    <t>Total</t>
  </si>
  <si>
    <t>ތާވަލު 11.4: އުޅަނދުފަހަރުގެ ބާވަތުންނާއި، އިމްޕޯޓްކުރެވިފައިވާ އަދި ރާއްޖޭގައި އުފައްދާފައިވާ އުޅަނދުފަހަރުގެ ޢަދަދު، 2013</t>
  </si>
  <si>
    <t>Table 11.4: VESSEL TYPE CLASSIFIED BY IMPORTED AND VESSELS MADE IN MALDIVES BY HULL TYPE, 2013</t>
  </si>
  <si>
    <t>Type of Vessel</t>
  </si>
  <si>
    <t xml:space="preserve"> No. of Imported vessels</t>
  </si>
  <si>
    <t>No. of vessels made in Maldives</t>
  </si>
  <si>
    <t>Wood</t>
  </si>
  <si>
    <t>Steel</t>
  </si>
  <si>
    <t>Other</t>
  </si>
  <si>
    <t xml:space="preserve">Fishing Vessel </t>
  </si>
  <si>
    <t xml:space="preserve">Passanger Vessel </t>
  </si>
  <si>
    <t xml:space="preserve">Transport Vessel </t>
  </si>
  <si>
    <t>Passenger / Transport  Vessel</t>
  </si>
  <si>
    <t xml:space="preserve">Water Sports </t>
  </si>
  <si>
    <t xml:space="preserve">Pleasure Craft </t>
  </si>
  <si>
    <t xml:space="preserve">Others </t>
  </si>
  <si>
    <t>Passenger / Transport Vessels (Cargo and ppl)</t>
  </si>
  <si>
    <t>Pleasure Craft (Yaught , Launch , Safari)</t>
  </si>
  <si>
    <t>Others (Bokkuraa , Vadhu dhoani) Kudhi</t>
  </si>
  <si>
    <t xml:space="preserve"> </t>
  </si>
  <si>
    <t>Passenger Vehicles (Only Peoples)</t>
  </si>
  <si>
    <t>Fiber</t>
  </si>
  <si>
    <t>ތާވަލު 11.4: އުޅަނދުފަހަރުގެ ބާވަތުންނާއި، އިމްޕޯޓްކުރެވިފައިވާ އަދި ރާއްޖޭގައި އުފައްދާފައިވާ އުޅަނދުފަހަރުގެ ޢަދަދު، 2014</t>
  </si>
  <si>
    <t>Table 11.4: VESSEL TYPE CLASSIFIED BY IMPORTED AND VESSELS MADE IN MALDIVES BY HULL TYPE,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</si>
</sst>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MS Sans Serif"/>
      <family val="2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  <xf numFmtId="0" fontId="7" fillId="0" borderId="0"/>
    <xf numFmtId="164" fontId="11" fillId="0" borderId="0"/>
    <xf numFmtId="40" fontId="15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7" fillId="0" borderId="0"/>
    <xf numFmtId="164" fontId="11" fillId="0" borderId="0"/>
    <xf numFmtId="169" fontId="11" fillId="0" borderId="0" applyFont="0" applyFill="0" applyBorder="0" applyAlignment="0" applyProtection="0"/>
  </cellStyleXfs>
  <cellXfs count="40">
    <xf numFmtId="0" fontId="0" fillId="0" borderId="0" xfId="0"/>
    <xf numFmtId="37" fontId="9" fillId="2" borderId="0" xfId="1" applyNumberFormat="1" applyFont="1" applyFill="1" applyBorder="1" applyAlignment="1">
      <alignment horizontal="right" vertical="center"/>
    </xf>
    <xf numFmtId="0" fontId="1" fillId="2" borderId="0" xfId="3" applyFont="1" applyFill="1"/>
    <xf numFmtId="0" fontId="1" fillId="2" borderId="3" xfId="3" applyFont="1" applyFill="1" applyBorder="1"/>
    <xf numFmtId="0" fontId="1" fillId="2" borderId="3" xfId="3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right" vertical="center"/>
    </xf>
    <xf numFmtId="0" fontId="8" fillId="2" borderId="3" xfId="1" applyNumberFormat="1" applyFont="1" applyFill="1" applyBorder="1" applyAlignment="1">
      <alignment horizontal="right" vertical="center"/>
    </xf>
    <xf numFmtId="0" fontId="9" fillId="2" borderId="9" xfId="1" applyNumberFormat="1" applyFont="1" applyFill="1" applyBorder="1" applyAlignment="1">
      <alignment horizontal="left" vertical="center"/>
    </xf>
    <xf numFmtId="37" fontId="9" fillId="2" borderId="1" xfId="1" applyNumberFormat="1" applyFont="1" applyFill="1" applyBorder="1" applyAlignment="1">
      <alignment horizontal="right" vertical="center" wrapText="1"/>
    </xf>
    <xf numFmtId="37" fontId="9" fillId="2" borderId="1" xfId="1" applyNumberFormat="1" applyFont="1" applyFill="1" applyBorder="1" applyAlignment="1">
      <alignment horizontal="right" vertical="center"/>
    </xf>
    <xf numFmtId="0" fontId="9" fillId="2" borderId="10" xfId="1" applyNumberFormat="1" applyFont="1" applyFill="1" applyBorder="1" applyAlignment="1">
      <alignment horizontal="left" vertical="center"/>
    </xf>
    <xf numFmtId="37" fontId="9" fillId="2" borderId="0" xfId="1" applyNumberFormat="1" applyFont="1" applyFill="1" applyBorder="1" applyAlignment="1">
      <alignment horizontal="right" vertical="center" wrapText="1"/>
    </xf>
    <xf numFmtId="0" fontId="9" fillId="2" borderId="11" xfId="1" applyNumberFormat="1" applyFont="1" applyFill="1" applyBorder="1" applyAlignment="1">
      <alignment horizontal="left" vertical="center"/>
    </xf>
    <xf numFmtId="37" fontId="9" fillId="2" borderId="3" xfId="1" applyNumberFormat="1" applyFont="1" applyFill="1" applyBorder="1" applyAlignment="1">
      <alignment horizontal="right" vertical="center" wrapText="1"/>
    </xf>
    <xf numFmtId="37" fontId="9" fillId="2" borderId="3" xfId="1" applyNumberFormat="1" applyFont="1" applyFill="1" applyBorder="1" applyAlignment="1">
      <alignment horizontal="right" vertical="center"/>
    </xf>
    <xf numFmtId="164" fontId="10" fillId="2" borderId="12" xfId="3" applyNumberFormat="1" applyFont="1" applyFill="1" applyBorder="1" applyAlignment="1">
      <alignment horizontal="left" vertical="center"/>
    </xf>
    <xf numFmtId="1" fontId="3" fillId="2" borderId="0" xfId="5" applyNumberFormat="1" applyFont="1" applyFill="1" applyBorder="1"/>
    <xf numFmtId="0" fontId="3" fillId="2" borderId="0" xfId="5" applyFont="1" applyFill="1" applyBorder="1" applyAlignment="1">
      <alignment horizontal="center"/>
    </xf>
    <xf numFmtId="0" fontId="3" fillId="2" borderId="0" xfId="5" applyFont="1" applyFill="1" applyBorder="1"/>
    <xf numFmtId="0" fontId="2" fillId="2" borderId="0" xfId="3" applyFont="1" applyFill="1"/>
    <xf numFmtId="0" fontId="9" fillId="2" borderId="0" xfId="5" applyFont="1" applyFill="1" applyBorder="1"/>
    <xf numFmtId="0" fontId="13" fillId="2" borderId="0" xfId="5" applyFont="1" applyFill="1" applyBorder="1"/>
    <xf numFmtId="0" fontId="13" fillId="2" borderId="0" xfId="5" applyFont="1" applyFill="1" applyAlignment="1">
      <alignment horizontal="center"/>
    </xf>
    <xf numFmtId="0" fontId="13" fillId="2" borderId="0" xfId="5" applyFont="1" applyFill="1"/>
    <xf numFmtId="0" fontId="1" fillId="2" borderId="0" xfId="3" applyFont="1" applyFill="1" applyAlignment="1">
      <alignment horizontal="center"/>
    </xf>
    <xf numFmtId="0" fontId="8" fillId="2" borderId="13" xfId="1" applyNumberFormat="1" applyFont="1" applyFill="1" applyBorder="1" applyAlignment="1">
      <alignment horizontal="right" vertical="center"/>
    </xf>
    <xf numFmtId="37" fontId="9" fillId="2" borderId="2" xfId="1" applyNumberFormat="1" applyFont="1" applyFill="1" applyBorder="1" applyAlignment="1">
      <alignment horizontal="right" vertical="center" wrapText="1"/>
    </xf>
    <xf numFmtId="37" fontId="9" fillId="2" borderId="8" xfId="1" applyNumberFormat="1" applyFont="1" applyFill="1" applyBorder="1" applyAlignment="1">
      <alignment horizontal="right" vertical="center" wrapText="1"/>
    </xf>
    <xf numFmtId="37" fontId="9" fillId="2" borderId="5" xfId="1" applyNumberFormat="1" applyFont="1" applyFill="1" applyBorder="1" applyAlignment="1">
      <alignment horizontal="right" vertical="center" wrapText="1"/>
    </xf>
    <xf numFmtId="0" fontId="4" fillId="2" borderId="0" xfId="5" applyFont="1" applyFill="1" applyBorder="1" applyAlignment="1">
      <alignment vertical="center"/>
    </xf>
    <xf numFmtId="0" fontId="14" fillId="2" borderId="0" xfId="3" applyFont="1" applyFill="1" applyAlignment="1">
      <alignment vertical="center"/>
    </xf>
    <xf numFmtId="0" fontId="4" fillId="2" borderId="0" xfId="5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 vertical="center"/>
    </xf>
    <xf numFmtId="0" fontId="4" fillId="2" borderId="0" xfId="5" applyFont="1" applyFill="1" applyAlignment="1">
      <alignment vertical="center"/>
    </xf>
    <xf numFmtId="0" fontId="12" fillId="2" borderId="0" xfId="3" applyFont="1" applyFill="1" applyAlignment="1">
      <alignment horizontal="center" vertical="center"/>
    </xf>
    <xf numFmtId="0" fontId="5" fillId="2" borderId="0" xfId="4" applyFont="1" applyFill="1" applyAlignment="1">
      <alignment horizontal="center"/>
    </xf>
    <xf numFmtId="0" fontId="8" fillId="2" borderId="4" xfId="1" applyNumberFormat="1" applyFont="1" applyFill="1" applyBorder="1" applyAlignment="1">
      <alignment horizontal="center" vertical="center"/>
    </xf>
    <xf numFmtId="0" fontId="8" fillId="2" borderId="6" xfId="1" applyNumberFormat="1" applyFont="1" applyFill="1" applyBorder="1" applyAlignment="1">
      <alignment horizontal="center" vertical="center"/>
    </xf>
    <xf numFmtId="0" fontId="8" fillId="2" borderId="14" xfId="1" applyNumberFormat="1" applyFont="1" applyFill="1" applyBorder="1" applyAlignment="1">
      <alignment horizontal="left" vertical="center"/>
    </xf>
    <xf numFmtId="0" fontId="8" fillId="2" borderId="7" xfId="1" applyNumberFormat="1" applyFont="1" applyFill="1" applyBorder="1" applyAlignment="1">
      <alignment horizontal="left" vertical="center"/>
    </xf>
  </cellXfs>
  <cellStyles count="14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36"/>
  <sheetViews>
    <sheetView tabSelected="1" zoomScaleNormal="100" workbookViewId="0">
      <selection activeCell="P18" sqref="P18"/>
    </sheetView>
  </sheetViews>
  <sheetFormatPr defaultColWidth="9.140625" defaultRowHeight="15" x14ac:dyDescent="0.25"/>
  <cols>
    <col min="1" max="1" width="24.140625" style="2" customWidth="1"/>
    <col min="2" max="2" width="8.85546875" style="2" customWidth="1"/>
    <col min="3" max="3" width="8.85546875" style="24" customWidth="1"/>
    <col min="4" max="11" width="8.85546875" style="2" customWidth="1"/>
    <col min="12" max="16384" width="9.140625" style="2"/>
  </cols>
  <sheetData>
    <row r="1" spans="1:11" ht="21" x14ac:dyDescent="0.25">
      <c r="A1" s="34" t="s">
        <v>23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35" t="s">
        <v>24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x14ac:dyDescent="0.25">
      <c r="A3" s="3"/>
      <c r="B3" s="3"/>
      <c r="C3" s="4"/>
      <c r="D3" s="3"/>
      <c r="E3" s="3"/>
      <c r="F3" s="3"/>
      <c r="G3" s="3"/>
      <c r="H3" s="3"/>
      <c r="I3" s="3"/>
      <c r="J3" s="3"/>
      <c r="K3" s="3"/>
    </row>
    <row r="4" spans="1:11" ht="15.75" customHeight="1" x14ac:dyDescent="0.25">
      <c r="A4" s="38" t="s">
        <v>4</v>
      </c>
      <c r="B4" s="36" t="s">
        <v>5</v>
      </c>
      <c r="C4" s="36"/>
      <c r="D4" s="36"/>
      <c r="E4" s="36"/>
      <c r="F4" s="37"/>
      <c r="G4" s="36" t="s">
        <v>6</v>
      </c>
      <c r="H4" s="36"/>
      <c r="I4" s="36"/>
      <c r="J4" s="36"/>
      <c r="K4" s="36"/>
    </row>
    <row r="5" spans="1:11" x14ac:dyDescent="0.25">
      <c r="A5" s="39"/>
      <c r="B5" s="5" t="s">
        <v>1</v>
      </c>
      <c r="C5" s="6" t="s">
        <v>7</v>
      </c>
      <c r="D5" s="6" t="s">
        <v>22</v>
      </c>
      <c r="E5" s="6" t="s">
        <v>8</v>
      </c>
      <c r="F5" s="25" t="s">
        <v>9</v>
      </c>
      <c r="G5" s="6" t="s">
        <v>1</v>
      </c>
      <c r="H5" s="6" t="s">
        <v>7</v>
      </c>
      <c r="I5" s="6" t="s">
        <v>22</v>
      </c>
      <c r="J5" s="6" t="s">
        <v>8</v>
      </c>
      <c r="K5" s="6" t="s">
        <v>9</v>
      </c>
    </row>
    <row r="6" spans="1:11" x14ac:dyDescent="0.25">
      <c r="A6" s="7" t="s">
        <v>10</v>
      </c>
      <c r="B6" s="8">
        <f>SUM(C6:F6)</f>
        <v>69</v>
      </c>
      <c r="C6" s="8">
        <v>9</v>
      </c>
      <c r="D6" s="8">
        <v>55</v>
      </c>
      <c r="E6" s="8">
        <v>4</v>
      </c>
      <c r="F6" s="26">
        <v>1</v>
      </c>
      <c r="G6" s="9">
        <f t="shared" ref="G6:G12" si="0">SUM(H6:K6)</f>
        <v>5037</v>
      </c>
      <c r="H6" s="9">
        <v>3751</v>
      </c>
      <c r="I6" s="9">
        <v>1286</v>
      </c>
      <c r="J6" s="9">
        <v>0</v>
      </c>
      <c r="K6" s="9">
        <v>0</v>
      </c>
    </row>
    <row r="7" spans="1:11" x14ac:dyDescent="0.25">
      <c r="A7" s="10" t="s">
        <v>11</v>
      </c>
      <c r="B7" s="11">
        <f>SUM(C7:F7)</f>
        <v>221</v>
      </c>
      <c r="C7" s="11">
        <v>17</v>
      </c>
      <c r="D7" s="11">
        <v>189</v>
      </c>
      <c r="E7" s="11">
        <v>9</v>
      </c>
      <c r="F7" s="27">
        <v>6</v>
      </c>
      <c r="G7" s="1">
        <f t="shared" si="0"/>
        <v>2470</v>
      </c>
      <c r="H7" s="1">
        <v>780</v>
      </c>
      <c r="I7" s="1">
        <v>1690</v>
      </c>
      <c r="J7" s="1">
        <v>0</v>
      </c>
      <c r="K7" s="1">
        <v>0</v>
      </c>
    </row>
    <row r="8" spans="1:11" x14ac:dyDescent="0.25">
      <c r="A8" s="10" t="s">
        <v>12</v>
      </c>
      <c r="B8" s="11">
        <f t="shared" ref="B8:B10" si="1">SUM(C8:F8)</f>
        <v>77</v>
      </c>
      <c r="C8" s="11">
        <v>1</v>
      </c>
      <c r="D8" s="11">
        <v>14</v>
      </c>
      <c r="E8" s="11">
        <v>60</v>
      </c>
      <c r="F8" s="27">
        <v>2</v>
      </c>
      <c r="G8" s="1">
        <f t="shared" si="0"/>
        <v>265</v>
      </c>
      <c r="H8" s="1">
        <v>222</v>
      </c>
      <c r="I8" s="1">
        <v>43</v>
      </c>
      <c r="J8" s="1">
        <v>0</v>
      </c>
      <c r="K8" s="1">
        <v>0</v>
      </c>
    </row>
    <row r="9" spans="1:11" x14ac:dyDescent="0.25">
      <c r="A9" s="10" t="s">
        <v>13</v>
      </c>
      <c r="B9" s="11">
        <f>SUM(C9:F9)</f>
        <v>16</v>
      </c>
      <c r="C9" s="11">
        <v>1</v>
      </c>
      <c r="D9" s="11">
        <v>7</v>
      </c>
      <c r="E9" s="11">
        <v>6</v>
      </c>
      <c r="F9" s="27">
        <v>2</v>
      </c>
      <c r="G9" s="1">
        <f t="shared" si="0"/>
        <v>1629</v>
      </c>
      <c r="H9" s="1">
        <v>1420</v>
      </c>
      <c r="I9" s="1">
        <v>209</v>
      </c>
      <c r="J9" s="1">
        <v>0</v>
      </c>
      <c r="K9" s="1">
        <v>0</v>
      </c>
    </row>
    <row r="10" spans="1:11" x14ac:dyDescent="0.25">
      <c r="A10" s="10" t="s">
        <v>14</v>
      </c>
      <c r="B10" s="11">
        <f t="shared" si="1"/>
        <v>16</v>
      </c>
      <c r="C10" s="11">
        <v>0</v>
      </c>
      <c r="D10" s="11">
        <v>16</v>
      </c>
      <c r="E10" s="11">
        <v>0</v>
      </c>
      <c r="F10" s="27">
        <v>0</v>
      </c>
      <c r="G10" s="1">
        <f t="shared" si="0"/>
        <v>53</v>
      </c>
      <c r="H10" s="1">
        <v>26</v>
      </c>
      <c r="I10" s="1">
        <v>27</v>
      </c>
      <c r="J10" s="1">
        <v>0</v>
      </c>
      <c r="K10" s="1">
        <v>0</v>
      </c>
    </row>
    <row r="11" spans="1:11" x14ac:dyDescent="0.25">
      <c r="A11" s="10" t="s">
        <v>15</v>
      </c>
      <c r="B11" s="11">
        <f>SUM(C11:F11)</f>
        <v>70</v>
      </c>
      <c r="C11" s="11">
        <v>1</v>
      </c>
      <c r="D11" s="11">
        <v>67</v>
      </c>
      <c r="E11" s="11">
        <v>0</v>
      </c>
      <c r="F11" s="27">
        <v>2</v>
      </c>
      <c r="G11" s="1">
        <f t="shared" si="0"/>
        <v>1130</v>
      </c>
      <c r="H11" s="1">
        <v>729</v>
      </c>
      <c r="I11" s="1">
        <v>401</v>
      </c>
      <c r="J11" s="1">
        <v>0</v>
      </c>
      <c r="K11" s="1">
        <v>0</v>
      </c>
    </row>
    <row r="12" spans="1:11" x14ac:dyDescent="0.25">
      <c r="A12" s="12" t="s">
        <v>16</v>
      </c>
      <c r="B12" s="13">
        <f>SUM(C12:F12)</f>
        <v>9</v>
      </c>
      <c r="C12" s="13">
        <v>0</v>
      </c>
      <c r="D12" s="13">
        <v>1</v>
      </c>
      <c r="E12" s="13">
        <v>7</v>
      </c>
      <c r="F12" s="28">
        <v>1</v>
      </c>
      <c r="G12" s="14">
        <f t="shared" si="0"/>
        <v>30</v>
      </c>
      <c r="H12" s="14">
        <v>17</v>
      </c>
      <c r="I12" s="14">
        <v>13</v>
      </c>
      <c r="J12" s="14">
        <v>0</v>
      </c>
      <c r="K12" s="14">
        <v>0</v>
      </c>
    </row>
    <row r="13" spans="1:11" ht="15.75" x14ac:dyDescent="0.25">
      <c r="A13" s="15" t="s">
        <v>0</v>
      </c>
      <c r="B13" s="16"/>
      <c r="C13" s="17"/>
      <c r="D13" s="18"/>
      <c r="E13" s="18"/>
      <c r="F13" s="18"/>
      <c r="G13" s="16"/>
      <c r="H13" s="18"/>
      <c r="I13" s="18"/>
      <c r="J13" s="19"/>
      <c r="K13" s="19"/>
    </row>
    <row r="14" spans="1:11" s="30" customFormat="1" ht="15.6" customHeight="1" x14ac:dyDescent="0.25">
      <c r="A14" s="29" t="s">
        <v>21</v>
      </c>
      <c r="C14" s="31"/>
      <c r="D14" s="29"/>
      <c r="E14" s="29"/>
      <c r="F14" s="29"/>
      <c r="G14" s="29"/>
      <c r="H14" s="29"/>
      <c r="I14" s="29"/>
    </row>
    <row r="15" spans="1:11" s="30" customFormat="1" ht="15.6" customHeight="1" x14ac:dyDescent="0.25">
      <c r="A15" s="29" t="s">
        <v>17</v>
      </c>
      <c r="C15" s="31"/>
      <c r="D15" s="29"/>
      <c r="E15" s="29"/>
      <c r="F15" s="29"/>
      <c r="G15" s="29"/>
      <c r="H15" s="29"/>
      <c r="I15" s="29"/>
    </row>
    <row r="16" spans="1:11" s="30" customFormat="1" ht="15.6" customHeight="1" x14ac:dyDescent="0.25">
      <c r="A16" s="29" t="s">
        <v>18</v>
      </c>
      <c r="C16" s="32"/>
      <c r="D16" s="33"/>
      <c r="E16" s="33"/>
      <c r="F16" s="33"/>
      <c r="G16" s="33"/>
      <c r="H16" s="33"/>
      <c r="I16" s="33"/>
    </row>
    <row r="17" spans="1:11" s="30" customFormat="1" ht="15.6" customHeight="1" x14ac:dyDescent="0.25">
      <c r="A17" s="29" t="s">
        <v>19</v>
      </c>
      <c r="B17" s="29"/>
      <c r="C17" s="32"/>
      <c r="D17" s="33" t="s">
        <v>20</v>
      </c>
      <c r="E17" s="33"/>
      <c r="F17" s="33"/>
      <c r="G17" s="33"/>
      <c r="H17" s="33"/>
      <c r="I17" s="33"/>
    </row>
    <row r="18" spans="1:11" ht="15.75" x14ac:dyDescent="0.25">
      <c r="A18" s="20"/>
      <c r="B18" s="21"/>
      <c r="C18" s="22"/>
      <c r="D18" s="23"/>
      <c r="E18" s="23"/>
      <c r="F18" s="23"/>
      <c r="G18" s="23"/>
      <c r="H18" s="23"/>
      <c r="I18" s="23"/>
    </row>
    <row r="19" spans="1:11" ht="15.75" x14ac:dyDescent="0.25">
      <c r="A19" s="20"/>
      <c r="B19" s="21"/>
      <c r="C19" s="22"/>
      <c r="D19" s="23"/>
      <c r="E19" s="23"/>
      <c r="F19" s="23"/>
      <c r="G19" s="23"/>
      <c r="H19" s="23"/>
      <c r="I19" s="23"/>
    </row>
    <row r="20" spans="1:11" ht="21" x14ac:dyDescent="0.25">
      <c r="A20" s="34" t="s">
        <v>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x14ac:dyDescent="0.25">
      <c r="A21" s="35" t="s">
        <v>3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</row>
    <row r="22" spans="1:11" x14ac:dyDescent="0.25">
      <c r="A22" s="3"/>
      <c r="B22" s="3"/>
      <c r="C22" s="4"/>
      <c r="D22" s="3"/>
      <c r="E22" s="3"/>
      <c r="F22" s="3"/>
      <c r="G22" s="3"/>
      <c r="H22" s="3"/>
      <c r="I22" s="3"/>
      <c r="J22" s="3"/>
      <c r="K22" s="3"/>
    </row>
    <row r="23" spans="1:11" ht="15.75" customHeight="1" x14ac:dyDescent="0.25">
      <c r="A23" s="38" t="s">
        <v>4</v>
      </c>
      <c r="B23" s="36" t="s">
        <v>5</v>
      </c>
      <c r="C23" s="36"/>
      <c r="D23" s="36"/>
      <c r="E23" s="36"/>
      <c r="F23" s="37"/>
      <c r="G23" s="36" t="s">
        <v>6</v>
      </c>
      <c r="H23" s="36"/>
      <c r="I23" s="36"/>
      <c r="J23" s="36"/>
      <c r="K23" s="36"/>
    </row>
    <row r="24" spans="1:11" x14ac:dyDescent="0.25">
      <c r="A24" s="39"/>
      <c r="B24" s="5" t="s">
        <v>1</v>
      </c>
      <c r="C24" s="6" t="s">
        <v>7</v>
      </c>
      <c r="D24" s="6" t="s">
        <v>22</v>
      </c>
      <c r="E24" s="6" t="s">
        <v>8</v>
      </c>
      <c r="F24" s="25" t="s">
        <v>9</v>
      </c>
      <c r="G24" s="6" t="s">
        <v>1</v>
      </c>
      <c r="H24" s="6" t="s">
        <v>7</v>
      </c>
      <c r="I24" s="6" t="s">
        <v>22</v>
      </c>
      <c r="J24" s="6" t="s">
        <v>8</v>
      </c>
      <c r="K24" s="6" t="s">
        <v>9</v>
      </c>
    </row>
    <row r="25" spans="1:11" x14ac:dyDescent="0.25">
      <c r="A25" s="7" t="s">
        <v>10</v>
      </c>
      <c r="B25" s="8">
        <f>SUM(C25:F25)</f>
        <v>65</v>
      </c>
      <c r="C25" s="8">
        <v>9</v>
      </c>
      <c r="D25" s="8">
        <v>51</v>
      </c>
      <c r="E25" s="8">
        <v>4</v>
      </c>
      <c r="F25" s="26">
        <v>1</v>
      </c>
      <c r="G25" s="9">
        <f t="shared" ref="G25:G31" si="2">SUM(H25:K25)</f>
        <v>4960</v>
      </c>
      <c r="H25" s="9">
        <v>3674</v>
      </c>
      <c r="I25" s="9">
        <v>1286</v>
      </c>
      <c r="J25" s="9">
        <v>0</v>
      </c>
      <c r="K25" s="9">
        <v>0</v>
      </c>
    </row>
    <row r="26" spans="1:11" x14ac:dyDescent="0.25">
      <c r="A26" s="10" t="s">
        <v>11</v>
      </c>
      <c r="B26" s="11">
        <f>SUM(C26:F26)</f>
        <v>204</v>
      </c>
      <c r="C26" s="11">
        <v>17</v>
      </c>
      <c r="D26" s="11">
        <v>172</v>
      </c>
      <c r="E26" s="11">
        <v>9</v>
      </c>
      <c r="F26" s="27">
        <v>6</v>
      </c>
      <c r="G26" s="1">
        <f t="shared" si="2"/>
        <v>2429</v>
      </c>
      <c r="H26" s="1">
        <v>742</v>
      </c>
      <c r="I26" s="1">
        <v>1687</v>
      </c>
      <c r="J26" s="1">
        <v>0</v>
      </c>
      <c r="K26" s="1">
        <v>0</v>
      </c>
    </row>
    <row r="27" spans="1:11" x14ac:dyDescent="0.25">
      <c r="A27" s="10" t="s">
        <v>12</v>
      </c>
      <c r="B27" s="11">
        <f t="shared" ref="B27" si="3">SUM(C27:F27)</f>
        <v>70</v>
      </c>
      <c r="C27" s="11">
        <v>1</v>
      </c>
      <c r="D27" s="11">
        <v>14</v>
      </c>
      <c r="E27" s="11">
        <v>53</v>
      </c>
      <c r="F27" s="27">
        <v>2</v>
      </c>
      <c r="G27" s="1">
        <f t="shared" si="2"/>
        <v>262</v>
      </c>
      <c r="H27" s="1">
        <v>219</v>
      </c>
      <c r="I27" s="1">
        <v>43</v>
      </c>
      <c r="J27" s="1">
        <v>0</v>
      </c>
      <c r="K27" s="1">
        <v>0</v>
      </c>
    </row>
    <row r="28" spans="1:11" x14ac:dyDescent="0.25">
      <c r="A28" s="10" t="s">
        <v>13</v>
      </c>
      <c r="B28" s="11">
        <f>SUM(C28:F28)</f>
        <v>16</v>
      </c>
      <c r="C28" s="11">
        <v>1</v>
      </c>
      <c r="D28" s="11">
        <v>7</v>
      </c>
      <c r="E28" s="11">
        <v>6</v>
      </c>
      <c r="F28" s="27">
        <v>2</v>
      </c>
      <c r="G28" s="1">
        <f t="shared" si="2"/>
        <v>1629</v>
      </c>
      <c r="H28" s="1">
        <v>1420</v>
      </c>
      <c r="I28" s="1">
        <v>209</v>
      </c>
      <c r="J28" s="1">
        <v>0</v>
      </c>
      <c r="K28" s="1">
        <v>0</v>
      </c>
    </row>
    <row r="29" spans="1:11" x14ac:dyDescent="0.25">
      <c r="A29" s="10" t="s">
        <v>14</v>
      </c>
      <c r="B29" s="11">
        <f t="shared" ref="B29" si="4">SUM(C29:F29)</f>
        <v>16</v>
      </c>
      <c r="C29" s="11">
        <v>0</v>
      </c>
      <c r="D29" s="11">
        <v>16</v>
      </c>
      <c r="E29" s="11">
        <v>0</v>
      </c>
      <c r="F29" s="27">
        <v>0</v>
      </c>
      <c r="G29" s="1">
        <f t="shared" si="2"/>
        <v>51</v>
      </c>
      <c r="H29" s="1">
        <v>26</v>
      </c>
      <c r="I29" s="1">
        <v>25</v>
      </c>
      <c r="J29" s="1">
        <v>0</v>
      </c>
      <c r="K29" s="1">
        <v>0</v>
      </c>
    </row>
    <row r="30" spans="1:11" x14ac:dyDescent="0.25">
      <c r="A30" s="10" t="s">
        <v>15</v>
      </c>
      <c r="B30" s="11">
        <f>SUM(C30:F30)</f>
        <v>70</v>
      </c>
      <c r="C30" s="11">
        <v>1</v>
      </c>
      <c r="D30" s="11">
        <v>67</v>
      </c>
      <c r="E30" s="11">
        <v>0</v>
      </c>
      <c r="F30" s="27">
        <v>2</v>
      </c>
      <c r="G30" s="1">
        <f t="shared" si="2"/>
        <v>1121</v>
      </c>
      <c r="H30" s="1">
        <v>725</v>
      </c>
      <c r="I30" s="1">
        <v>396</v>
      </c>
      <c r="J30" s="1">
        <v>0</v>
      </c>
      <c r="K30" s="1">
        <v>0</v>
      </c>
    </row>
    <row r="31" spans="1:11" x14ac:dyDescent="0.25">
      <c r="A31" s="12" t="s">
        <v>16</v>
      </c>
      <c r="B31" s="13">
        <f>SUM(C31:F31)</f>
        <v>9</v>
      </c>
      <c r="C31" s="13">
        <v>0</v>
      </c>
      <c r="D31" s="13">
        <v>1</v>
      </c>
      <c r="E31" s="13">
        <v>7</v>
      </c>
      <c r="F31" s="28">
        <v>1</v>
      </c>
      <c r="G31" s="14">
        <f t="shared" si="2"/>
        <v>29</v>
      </c>
      <c r="H31" s="14">
        <v>17</v>
      </c>
      <c r="I31" s="14">
        <v>12</v>
      </c>
      <c r="J31" s="14">
        <v>0</v>
      </c>
      <c r="K31" s="14">
        <v>0</v>
      </c>
    </row>
    <row r="32" spans="1:11" ht="15.75" x14ac:dyDescent="0.25">
      <c r="A32" s="15" t="s">
        <v>0</v>
      </c>
      <c r="B32" s="16"/>
      <c r="C32" s="17"/>
      <c r="D32" s="18"/>
      <c r="E32" s="18"/>
      <c r="F32" s="18"/>
      <c r="G32" s="16"/>
      <c r="H32" s="18"/>
      <c r="I32" s="18"/>
      <c r="J32" s="19"/>
      <c r="K32" s="19"/>
    </row>
    <row r="33" spans="1:9" s="30" customFormat="1" ht="15.6" customHeight="1" x14ac:dyDescent="0.25">
      <c r="A33" s="29" t="s">
        <v>21</v>
      </c>
      <c r="C33" s="31"/>
      <c r="D33" s="29"/>
      <c r="E33" s="29"/>
      <c r="F33" s="29"/>
      <c r="G33" s="29"/>
      <c r="H33" s="29"/>
      <c r="I33" s="29"/>
    </row>
    <row r="34" spans="1:9" s="30" customFormat="1" ht="15.6" customHeight="1" x14ac:dyDescent="0.25">
      <c r="A34" s="29" t="s">
        <v>17</v>
      </c>
      <c r="C34" s="31"/>
      <c r="D34" s="29"/>
      <c r="E34" s="29"/>
      <c r="F34" s="29"/>
      <c r="G34" s="29"/>
      <c r="H34" s="29"/>
      <c r="I34" s="29"/>
    </row>
    <row r="35" spans="1:9" s="30" customFormat="1" ht="15.6" customHeight="1" x14ac:dyDescent="0.25">
      <c r="A35" s="29" t="s">
        <v>18</v>
      </c>
      <c r="C35" s="32"/>
      <c r="D35" s="33"/>
      <c r="E35" s="33"/>
      <c r="F35" s="33"/>
      <c r="G35" s="33"/>
      <c r="H35" s="33"/>
      <c r="I35" s="33"/>
    </row>
    <row r="36" spans="1:9" s="30" customFormat="1" ht="15.6" customHeight="1" x14ac:dyDescent="0.25">
      <c r="A36" s="29" t="s">
        <v>19</v>
      </c>
      <c r="B36" s="29"/>
      <c r="C36" s="32"/>
      <c r="D36" s="33" t="s">
        <v>20</v>
      </c>
      <c r="E36" s="33"/>
      <c r="F36" s="33"/>
      <c r="G36" s="33"/>
      <c r="H36" s="33"/>
      <c r="I36" s="33"/>
    </row>
  </sheetData>
  <mergeCells count="10">
    <mergeCell ref="A20:K20"/>
    <mergeCell ref="A21:K21"/>
    <mergeCell ref="A23:A24"/>
    <mergeCell ref="B23:F23"/>
    <mergeCell ref="G23:K23"/>
    <mergeCell ref="A1:K1"/>
    <mergeCell ref="A2:K2"/>
    <mergeCell ref="B4:F4"/>
    <mergeCell ref="G4:K4"/>
    <mergeCell ref="A4:A5"/>
  </mergeCells>
  <pageMargins left="0.7" right="0.7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2016-03-17T07:26:20Z</cp:lastPrinted>
  <dcterms:created xsi:type="dcterms:W3CDTF">2014-05-22T03:57:11Z</dcterms:created>
  <dcterms:modified xsi:type="dcterms:W3CDTF">2016-03-17T07:26:21Z</dcterms:modified>
</cp:coreProperties>
</file>