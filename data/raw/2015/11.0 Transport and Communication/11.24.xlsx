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4 " sheetId="24" r:id="rId1"/>
  </sheets>
  <definedNames>
    <definedName name="_xlnm.Print_Area" localSheetId="0">'11.24 '!$A$1:$W$23</definedName>
  </definedNames>
  <calcPr calcId="144525"/>
</workbook>
</file>

<file path=xl/calcChain.xml><?xml version="1.0" encoding="utf-8"?>
<calcChain xmlns="http://schemas.openxmlformats.org/spreadsheetml/2006/main">
  <c r="V6" i="24" l="1"/>
  <c r="U6" i="24"/>
  <c r="T6" i="24"/>
  <c r="S6" i="24"/>
  <c r="R6" i="24"/>
  <c r="Q6" i="24"/>
  <c r="O6" i="24"/>
  <c r="N6" i="24"/>
  <c r="L6" i="24"/>
  <c r="K6" i="24"/>
  <c r="I6" i="24"/>
  <c r="H6" i="24"/>
  <c r="F6" i="24"/>
  <c r="E6" i="24"/>
  <c r="C6" i="24"/>
  <c r="B6" i="24"/>
</calcChain>
</file>

<file path=xl/sharedStrings.xml><?xml version="1.0" encoding="utf-8"?>
<sst xmlns="http://schemas.openxmlformats.org/spreadsheetml/2006/main" count="60" uniqueCount="46">
  <si>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</si>
  <si>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</si>
  <si>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</si>
  <si>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</si>
  <si>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</si>
  <si>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</si>
  <si>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</si>
  <si>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</si>
  <si>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</si>
  <si>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</si>
  <si>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</si>
  <si>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</si>
  <si>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</si>
  <si>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</si>
  <si>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</si>
  <si>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</si>
  <si>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</si>
  <si>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</si>
  <si>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</si>
  <si>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</si>
  <si>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</si>
  <si>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</si>
  <si>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</si>
  <si>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</si>
  <si>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</si>
  <si>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</si>
  <si>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</si>
  <si>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</si>
  <si>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</si>
  <si>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</si>
  <si>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</si>
  <si>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</si>
  <si>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</si>
  <si>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</si>
  <si>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 xml:space="preserve">Gn.Fuvahmulah </t>
  </si>
  <si>
    <t>ADh.Maamigili</t>
  </si>
  <si>
    <t>HDh.Hanimaadhoo</t>
  </si>
  <si>
    <t>GA. Koodoo</t>
  </si>
  <si>
    <t>ތާވަލު 11.24: މަސްމަހުގެ ގޮތުން ރާއްޖޭގެ ވައިގެބަނދަރުތަކުގައި އުފުލުނު މުދާ، 2014</t>
  </si>
  <si>
    <t>Table 11.24:  CARGO HANDLED AT DOMESTIC AIRPORTS BY MONTH, 2014</t>
  </si>
  <si>
    <t xml:space="preserve"> ( in kg )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</si>
  <si>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</si>
  <si>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</si>
  <si>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</si>
  <si>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 xml:space="preserve">ނޯޓް: ބ.ދަރަވަންދޫއަށް ދަތުރުތައް ފެށިފައިވަނީ އޮކްޓޯބަރ 2012 ން ފެށިގެންނެވެ. </t>
  </si>
  <si>
    <t>2_/ THA. Thimarafushi   started flight operations during the month of 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</si>
</sst>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5" fillId="0" borderId="0" applyFont="0" applyFill="0" applyBorder="0" applyAlignment="0" applyProtection="0"/>
    <xf numFmtId="0" fontId="6" fillId="0" borderId="0"/>
    <xf numFmtId="0" fontId="18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22" fillId="0" borderId="0"/>
    <xf numFmtId="164" fontId="11" fillId="0" borderId="0"/>
    <xf numFmtId="169" fontId="11" fillId="0" borderId="0" applyFont="0" applyFill="0" applyBorder="0" applyAlignment="0" applyProtection="0"/>
  </cellStyleXfs>
  <cellXfs count="36">
    <xf numFmtId="0" fontId="0" fillId="0" borderId="0" xfId="0"/>
    <xf numFmtId="164" fontId="3" fillId="0" borderId="1" xfId="5" applyNumberFormat="1" applyFont="1" applyFill="1" applyBorder="1" applyAlignment="1" applyProtection="1">
      <alignment horizontal="left" vertical="center"/>
    </xf>
    <xf numFmtId="0" fontId="16" fillId="0" borderId="1" xfId="8" applyFont="1" applyFill="1" applyBorder="1" applyAlignment="1">
      <alignment horizontal="right"/>
    </xf>
    <xf numFmtId="0" fontId="14" fillId="0" borderId="2" xfId="8" applyFont="1" applyFill="1" applyBorder="1" applyAlignment="1">
      <alignment horizontal="right"/>
    </xf>
    <xf numFmtId="164" fontId="3" fillId="0" borderId="3" xfId="5" applyNumberFormat="1" applyFont="1" applyFill="1" applyBorder="1" applyAlignment="1" applyProtection="1">
      <alignment horizontal="left" vertical="center"/>
    </xf>
    <xf numFmtId="0" fontId="16" fillId="0" borderId="3" xfId="8" applyFont="1" applyFill="1" applyBorder="1" applyAlignment="1">
      <alignment horizontal="right"/>
    </xf>
    <xf numFmtId="164" fontId="0" fillId="0" borderId="1" xfId="0" applyNumberFormat="1" applyFill="1" applyBorder="1"/>
    <xf numFmtId="164" fontId="2" fillId="0" borderId="5" xfId="5" applyNumberFormat="1" applyFont="1" applyFill="1" applyBorder="1" applyAlignment="1">
      <alignment horizontal="center" vertical="center" wrapText="1"/>
    </xf>
    <xf numFmtId="164" fontId="2" fillId="0" borderId="6" xfId="5" applyNumberFormat="1" applyFont="1" applyFill="1" applyBorder="1" applyAlignment="1">
      <alignment horizontal="right" vertical="center"/>
    </xf>
    <xf numFmtId="164" fontId="2" fillId="0" borderId="6" xfId="5" applyNumberFormat="1" applyFont="1" applyFill="1" applyBorder="1" applyAlignment="1">
      <alignment horizontal="right" vertical="center" wrapText="1"/>
    </xf>
    <xf numFmtId="164" fontId="2" fillId="0" borderId="2" xfId="5" applyNumberFormat="1" applyFont="1" applyFill="1" applyBorder="1" applyAlignment="1" applyProtection="1">
      <alignment horizontal="left" vertical="center"/>
    </xf>
    <xf numFmtId="38" fontId="2" fillId="0" borderId="2" xfId="6" applyNumberFormat="1" applyFont="1" applyFill="1" applyBorder="1" applyAlignment="1">
      <alignment horizontal="right" vertical="center"/>
    </xf>
    <xf numFmtId="38" fontId="3" fillId="0" borderId="1" xfId="6" applyNumberFormat="1" applyFont="1" applyFill="1" applyBorder="1" applyAlignment="1">
      <alignment horizontal="right" vertical="center"/>
    </xf>
    <xf numFmtId="38" fontId="3" fillId="0" borderId="3" xfId="6" applyNumberFormat="1" applyFont="1" applyFill="1" applyBorder="1" applyAlignment="1">
      <alignment horizontal="right" vertical="center"/>
    </xf>
    <xf numFmtId="164" fontId="8" fillId="0" borderId="2" xfId="5" applyNumberFormat="1" applyFont="1" applyFill="1" applyBorder="1" applyAlignment="1" applyProtection="1">
      <alignment horizontal="left" vertical="center"/>
    </xf>
    <xf numFmtId="37" fontId="3" fillId="0" borderId="2" xfId="5" applyNumberFormat="1" applyFont="1" applyFill="1" applyBorder="1" applyAlignment="1" applyProtection="1">
      <alignment vertical="center"/>
    </xf>
    <xf numFmtId="0" fontId="13" fillId="0" borderId="2" xfId="7" applyFont="1" applyFill="1" applyBorder="1" applyAlignment="1">
      <alignment vertical="center"/>
    </xf>
    <xf numFmtId="0" fontId="9" fillId="0" borderId="2" xfId="0" applyNumberFormat="1" applyFont="1" applyFill="1" applyBorder="1" applyAlignment="1">
      <alignment horizontal="right" vertical="center"/>
    </xf>
    <xf numFmtId="164" fontId="21" fillId="0" borderId="2" xfId="0" applyNumberFormat="1" applyFont="1" applyFill="1" applyBorder="1" applyAlignment="1">
      <alignment vertical="center"/>
    </xf>
    <xf numFmtId="164" fontId="8" fillId="0" borderId="1" xfId="5" applyNumberFormat="1" applyFont="1" applyFill="1" applyBorder="1" applyAlignment="1" applyProtection="1">
      <alignment horizontal="left" vertical="center"/>
    </xf>
    <xf numFmtId="37" fontId="3" fillId="0" borderId="1" xfId="5" applyNumberFormat="1" applyFont="1" applyFill="1" applyBorder="1" applyAlignment="1" applyProtection="1">
      <alignment vertical="center"/>
    </xf>
    <xf numFmtId="0" fontId="13" fillId="0" borderId="1" xfId="7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right" vertical="center"/>
    </xf>
    <xf numFmtId="164" fontId="21" fillId="0" borderId="1" xfId="0" applyNumberFormat="1" applyFont="1" applyFill="1" applyBorder="1" applyAlignment="1">
      <alignment vertical="center"/>
    </xf>
    <xf numFmtId="164" fontId="3" fillId="0" borderId="1" xfId="5" applyNumberFormat="1" applyFont="1" applyFill="1" applyBorder="1"/>
    <xf numFmtId="164" fontId="17" fillId="0" borderId="1" xfId="5" applyNumberFormat="1" applyFont="1" applyFill="1" applyBorder="1"/>
    <xf numFmtId="0" fontId="10" fillId="0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Fill="1" applyBorder="1"/>
    <xf numFmtId="0" fontId="14" fillId="0" borderId="4" xfId="8" applyFont="1" applyFill="1" applyBorder="1" applyAlignment="1">
      <alignment horizontal="right" vertical="center"/>
    </xf>
    <xf numFmtId="0" fontId="14" fillId="0" borderId="3" xfId="8" applyFont="1" applyFill="1" applyBorder="1" applyAlignment="1">
      <alignment horizontal="right" vertical="center"/>
    </xf>
    <xf numFmtId="164" fontId="2" fillId="0" borderId="1" xfId="5" applyNumberFormat="1" applyFont="1" applyFill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/>
    </xf>
    <xf numFmtId="164" fontId="4" fillId="0" borderId="1" xfId="5" applyNumberFormat="1" applyFont="1" applyFill="1" applyBorder="1" applyAlignment="1">
      <alignment horizontal="center" vertical="center"/>
    </xf>
    <xf numFmtId="164" fontId="2" fillId="0" borderId="4" xfId="5" applyNumberFormat="1" applyFont="1" applyFill="1" applyBorder="1" applyAlignment="1">
      <alignment horizontal="left" vertical="center"/>
    </xf>
    <xf numFmtId="164" fontId="2" fillId="0" borderId="3" xfId="5" applyNumberFormat="1" applyFont="1" applyFill="1" applyBorder="1" applyAlignment="1">
      <alignment horizontal="left" vertical="center"/>
    </xf>
    <xf numFmtId="164" fontId="2" fillId="0" borderId="5" xfId="5" applyNumberFormat="1" applyFont="1" applyFill="1" applyBorder="1" applyAlignment="1">
      <alignment horizontal="center" vertical="center" wrapText="1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zoomScaleNormal="100" workbookViewId="0">
      <selection activeCell="A24" sqref="A24:XFD88"/>
    </sheetView>
  </sheetViews>
  <sheetFormatPr defaultColWidth="9.140625" defaultRowHeight="15" x14ac:dyDescent="0.25"/>
  <cols>
    <col min="1" max="1" width="9.140625" style="6"/>
    <col min="2" max="3" width="11.5703125" style="6" customWidth="1"/>
    <col min="4" max="4" width="1.42578125" style="6" customWidth="1"/>
    <col min="5" max="6" width="11.5703125" style="6" customWidth="1"/>
    <col min="7" max="7" width="1.28515625" style="6" customWidth="1"/>
    <col min="8" max="8" width="11.5703125" style="6" customWidth="1"/>
    <col min="9" max="9" width="9.42578125" style="6" customWidth="1"/>
    <col min="10" max="10" width="1.140625" style="6" customWidth="1"/>
    <col min="11" max="11" width="9.42578125" style="6" bestFit="1" customWidth="1"/>
    <col min="12" max="12" width="9.5703125" style="6" customWidth="1"/>
    <col min="13" max="13" width="1.140625" style="6" customWidth="1"/>
    <col min="14" max="15" width="9.28515625" style="6" bestFit="1" customWidth="1"/>
    <col min="16" max="16" width="1.140625" style="6" customWidth="1"/>
    <col min="17" max="18" width="9.28515625" style="6" bestFit="1" customWidth="1"/>
    <col min="19" max="22" width="9.28515625" style="6" customWidth="1"/>
    <col min="23" max="23" width="19.7109375" style="6" customWidth="1"/>
    <col min="24" max="16384" width="9.140625" style="6"/>
  </cols>
  <sheetData>
    <row r="1" spans="1:23" ht="21" x14ac:dyDescent="0.55000000000000004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x14ac:dyDescent="0.25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x14ac:dyDescent="0.25">
      <c r="A3" s="30" t="s">
        <v>40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14.25" customHeight="1" x14ac:dyDescent="0.25">
      <c r="A4" s="33" t="s">
        <v>6</v>
      </c>
      <c r="B4" s="35" t="s">
        <v>32</v>
      </c>
      <c r="C4" s="35"/>
      <c r="D4" s="7"/>
      <c r="E4" s="35" t="s">
        <v>33</v>
      </c>
      <c r="F4" s="35"/>
      <c r="G4" s="7"/>
      <c r="H4" s="35" t="s">
        <v>36</v>
      </c>
      <c r="I4" s="35"/>
      <c r="J4" s="7"/>
      <c r="K4" s="35" t="s">
        <v>34</v>
      </c>
      <c r="L4" s="35"/>
      <c r="M4" s="7"/>
      <c r="N4" s="35" t="s">
        <v>35</v>
      </c>
      <c r="O4" s="35"/>
      <c r="P4" s="7"/>
      <c r="Q4" s="35" t="s">
        <v>41</v>
      </c>
      <c r="R4" s="35"/>
      <c r="S4" s="35" t="s">
        <v>37</v>
      </c>
      <c r="T4" s="35"/>
      <c r="U4" s="35" t="s">
        <v>42</v>
      </c>
      <c r="V4" s="35"/>
      <c r="W4" s="28" t="s">
        <v>7</v>
      </c>
    </row>
    <row r="5" spans="1:23" ht="13.5" customHeight="1" x14ac:dyDescent="0.25">
      <c r="A5" s="34"/>
      <c r="B5" s="8" t="s">
        <v>2</v>
      </c>
      <c r="C5" s="8" t="s">
        <v>3</v>
      </c>
      <c r="D5" s="8"/>
      <c r="E5" s="8" t="s">
        <v>2</v>
      </c>
      <c r="F5" s="8" t="s">
        <v>3</v>
      </c>
      <c r="G5" s="8"/>
      <c r="H5" s="8" t="s">
        <v>2</v>
      </c>
      <c r="I5" s="8" t="s">
        <v>3</v>
      </c>
      <c r="J5" s="9"/>
      <c r="K5" s="8" t="s">
        <v>2</v>
      </c>
      <c r="L5" s="8" t="s">
        <v>3</v>
      </c>
      <c r="M5" s="9"/>
      <c r="N5" s="8" t="s">
        <v>2</v>
      </c>
      <c r="O5" s="8" t="s">
        <v>3</v>
      </c>
      <c r="P5" s="9"/>
      <c r="Q5" s="8" t="s">
        <v>2</v>
      </c>
      <c r="R5" s="8" t="s">
        <v>3</v>
      </c>
      <c r="S5" s="8" t="s">
        <v>2</v>
      </c>
      <c r="T5" s="8" t="s">
        <v>3</v>
      </c>
      <c r="U5" s="8" t="s">
        <v>2</v>
      </c>
      <c r="V5" s="8" t="s">
        <v>3</v>
      </c>
      <c r="W5" s="29"/>
    </row>
    <row r="6" spans="1:23" ht="15.75" customHeight="1" x14ac:dyDescent="0.4">
      <c r="A6" s="10" t="s">
        <v>1</v>
      </c>
      <c r="B6" s="11">
        <f>SUM(B7:B18)</f>
        <v>41922.199999999997</v>
      </c>
      <c r="C6" s="11">
        <f>SUM(C7:C18)</f>
        <v>74875.55</v>
      </c>
      <c r="D6" s="11"/>
      <c r="E6" s="11">
        <f>SUM(E7:E18)</f>
        <v>54354.54</v>
      </c>
      <c r="F6" s="11">
        <f>SUM(F7:F18)</f>
        <v>40005.880000000005</v>
      </c>
      <c r="G6" s="11"/>
      <c r="H6" s="11">
        <f>SUM(H7:H18)</f>
        <v>72909</v>
      </c>
      <c r="I6" s="11">
        <f>SUM(I7:I18)</f>
        <v>12028</v>
      </c>
      <c r="J6" s="11"/>
      <c r="K6" s="11">
        <f>SUM(K7:K18)</f>
        <v>18440</v>
      </c>
      <c r="L6" s="11">
        <f>SUM(L7:L18)</f>
        <v>4935</v>
      </c>
      <c r="M6" s="11"/>
      <c r="N6" s="11">
        <f t="shared" ref="N6:O6" si="0">SUM(N7:N18)</f>
        <v>0</v>
      </c>
      <c r="O6" s="11">
        <f t="shared" si="0"/>
        <v>0</v>
      </c>
      <c r="P6" s="11"/>
      <c r="Q6" s="11">
        <f t="shared" ref="Q6:V6" si="1">SUM(Q7:Q18)</f>
        <v>8271</v>
      </c>
      <c r="R6" s="11">
        <f t="shared" si="1"/>
        <v>1797</v>
      </c>
      <c r="S6" s="11">
        <f t="shared" si="1"/>
        <v>59119</v>
      </c>
      <c r="T6" s="11">
        <f t="shared" si="1"/>
        <v>25565</v>
      </c>
      <c r="U6" s="11">
        <f t="shared" si="1"/>
        <v>4681</v>
      </c>
      <c r="V6" s="11">
        <f t="shared" si="1"/>
        <v>14391</v>
      </c>
      <c r="W6" s="3" t="s">
        <v>0</v>
      </c>
    </row>
    <row r="7" spans="1:23" ht="15.75" customHeight="1" x14ac:dyDescent="0.4">
      <c r="A7" s="1" t="s">
        <v>8</v>
      </c>
      <c r="B7" s="12">
        <v>1533.2</v>
      </c>
      <c r="C7" s="12">
        <v>6031</v>
      </c>
      <c r="D7" s="12"/>
      <c r="E7" s="12">
        <v>2164</v>
      </c>
      <c r="F7" s="12">
        <v>1405</v>
      </c>
      <c r="G7" s="12"/>
      <c r="H7" s="12">
        <v>2045</v>
      </c>
      <c r="I7" s="12">
        <v>1640</v>
      </c>
      <c r="J7" s="12"/>
      <c r="K7" s="12">
        <v>1284</v>
      </c>
      <c r="L7" s="12">
        <v>110</v>
      </c>
      <c r="M7" s="12"/>
      <c r="N7" s="12">
        <v>0</v>
      </c>
      <c r="O7" s="12">
        <v>0</v>
      </c>
      <c r="P7" s="12"/>
      <c r="Q7" s="12">
        <v>235</v>
      </c>
      <c r="R7" s="12">
        <v>84</v>
      </c>
      <c r="S7" s="12">
        <v>3957</v>
      </c>
      <c r="T7" s="12">
        <v>4040</v>
      </c>
      <c r="U7" s="12">
        <v>7</v>
      </c>
      <c r="V7" s="12">
        <v>0</v>
      </c>
      <c r="W7" s="2" t="s">
        <v>9</v>
      </c>
    </row>
    <row r="8" spans="1:23" ht="15.75" customHeight="1" x14ac:dyDescent="0.4">
      <c r="A8" s="1" t="s">
        <v>10</v>
      </c>
      <c r="B8" s="12">
        <v>1388</v>
      </c>
      <c r="C8" s="12">
        <v>6640</v>
      </c>
      <c r="D8" s="12"/>
      <c r="E8" s="12">
        <v>746</v>
      </c>
      <c r="F8" s="12">
        <v>1456</v>
      </c>
      <c r="G8" s="12"/>
      <c r="H8" s="12">
        <v>3764</v>
      </c>
      <c r="I8" s="12">
        <v>644</v>
      </c>
      <c r="J8" s="12"/>
      <c r="K8" s="12">
        <v>2179</v>
      </c>
      <c r="L8" s="12">
        <v>568</v>
      </c>
      <c r="M8" s="12"/>
      <c r="N8" s="12">
        <v>0</v>
      </c>
      <c r="O8" s="12">
        <v>0</v>
      </c>
      <c r="P8" s="12"/>
      <c r="Q8" s="12">
        <v>251</v>
      </c>
      <c r="R8" s="12">
        <v>20</v>
      </c>
      <c r="S8" s="12">
        <v>6522</v>
      </c>
      <c r="T8" s="12">
        <v>2069</v>
      </c>
      <c r="U8" s="12">
        <v>318</v>
      </c>
      <c r="V8" s="12">
        <v>345</v>
      </c>
      <c r="W8" s="2" t="s">
        <v>11</v>
      </c>
    </row>
    <row r="9" spans="1:23" ht="15.75" customHeight="1" x14ac:dyDescent="0.4">
      <c r="A9" s="1" t="s">
        <v>12</v>
      </c>
      <c r="B9" s="12">
        <v>5243</v>
      </c>
      <c r="C9" s="12">
        <v>7371.9</v>
      </c>
      <c r="D9" s="12"/>
      <c r="E9" s="12">
        <v>3357</v>
      </c>
      <c r="F9" s="12">
        <v>1392</v>
      </c>
      <c r="G9" s="12"/>
      <c r="H9" s="12">
        <v>2845</v>
      </c>
      <c r="I9" s="12">
        <v>489</v>
      </c>
      <c r="J9" s="12"/>
      <c r="K9" s="12">
        <v>1963</v>
      </c>
      <c r="L9" s="12">
        <v>301</v>
      </c>
      <c r="M9" s="12"/>
      <c r="N9" s="12">
        <v>0</v>
      </c>
      <c r="O9" s="12">
        <v>0</v>
      </c>
      <c r="P9" s="12"/>
      <c r="Q9" s="12">
        <v>346</v>
      </c>
      <c r="R9" s="12">
        <v>157</v>
      </c>
      <c r="S9" s="12">
        <v>6971</v>
      </c>
      <c r="T9" s="12">
        <v>3838</v>
      </c>
      <c r="U9" s="12">
        <v>975</v>
      </c>
      <c r="V9" s="12">
        <v>2779</v>
      </c>
      <c r="W9" s="2" t="s">
        <v>13</v>
      </c>
    </row>
    <row r="10" spans="1:23" ht="15.75" customHeight="1" x14ac:dyDescent="0.4">
      <c r="A10" s="1" t="s">
        <v>14</v>
      </c>
      <c r="B10" s="12">
        <v>3188</v>
      </c>
      <c r="C10" s="12">
        <v>6640</v>
      </c>
      <c r="D10" s="12"/>
      <c r="E10" s="12">
        <v>2376</v>
      </c>
      <c r="F10" s="12">
        <v>2357</v>
      </c>
      <c r="G10" s="12"/>
      <c r="H10" s="12">
        <v>4095</v>
      </c>
      <c r="I10" s="12">
        <v>429</v>
      </c>
      <c r="J10" s="12"/>
      <c r="K10" s="12">
        <v>960</v>
      </c>
      <c r="L10" s="12">
        <v>689</v>
      </c>
      <c r="M10" s="12"/>
      <c r="N10" s="12">
        <v>0</v>
      </c>
      <c r="O10" s="12">
        <v>0</v>
      </c>
      <c r="P10" s="12"/>
      <c r="Q10" s="12">
        <v>490</v>
      </c>
      <c r="R10" s="12">
        <v>206</v>
      </c>
      <c r="S10" s="12">
        <v>5064</v>
      </c>
      <c r="T10" s="12">
        <v>4925</v>
      </c>
      <c r="U10" s="12">
        <v>760</v>
      </c>
      <c r="V10" s="12">
        <v>1290</v>
      </c>
      <c r="W10" s="2" t="s">
        <v>15</v>
      </c>
    </row>
    <row r="11" spans="1:23" ht="15.75" customHeight="1" x14ac:dyDescent="0.4">
      <c r="A11" s="1" t="s">
        <v>16</v>
      </c>
      <c r="B11" s="12">
        <v>2271</v>
      </c>
      <c r="C11" s="12">
        <v>6798</v>
      </c>
      <c r="D11" s="12"/>
      <c r="E11" s="12">
        <v>6337</v>
      </c>
      <c r="F11" s="12">
        <v>2952.13</v>
      </c>
      <c r="G11" s="12"/>
      <c r="H11" s="12">
        <v>1395</v>
      </c>
      <c r="I11" s="12">
        <v>418</v>
      </c>
      <c r="J11" s="12"/>
      <c r="K11" s="12">
        <v>1891</v>
      </c>
      <c r="L11" s="12">
        <v>844</v>
      </c>
      <c r="M11" s="12"/>
      <c r="N11" s="12">
        <v>0</v>
      </c>
      <c r="O11" s="12">
        <v>0</v>
      </c>
      <c r="P11" s="12"/>
      <c r="Q11" s="12">
        <v>560</v>
      </c>
      <c r="R11" s="12">
        <v>91</v>
      </c>
      <c r="S11" s="12">
        <v>5489</v>
      </c>
      <c r="T11" s="12">
        <v>2195</v>
      </c>
      <c r="U11" s="12">
        <v>137</v>
      </c>
      <c r="V11" s="12">
        <v>2091</v>
      </c>
      <c r="W11" s="2" t="s">
        <v>17</v>
      </c>
    </row>
    <row r="12" spans="1:23" ht="15.75" customHeight="1" x14ac:dyDescent="0.4">
      <c r="A12" s="1" t="s">
        <v>18</v>
      </c>
      <c r="B12" s="12">
        <v>5054</v>
      </c>
      <c r="C12" s="12">
        <v>9626</v>
      </c>
      <c r="D12" s="12"/>
      <c r="E12" s="12">
        <v>5146</v>
      </c>
      <c r="F12" s="12">
        <v>5083</v>
      </c>
      <c r="G12" s="12"/>
      <c r="H12" s="12">
        <v>3615</v>
      </c>
      <c r="I12" s="12">
        <v>418</v>
      </c>
      <c r="J12" s="12"/>
      <c r="K12" s="12">
        <v>1016</v>
      </c>
      <c r="L12" s="12">
        <v>186</v>
      </c>
      <c r="M12" s="12"/>
      <c r="N12" s="12">
        <v>0</v>
      </c>
      <c r="O12" s="12">
        <v>0</v>
      </c>
      <c r="P12" s="12"/>
      <c r="Q12" s="12">
        <v>377</v>
      </c>
      <c r="R12" s="12">
        <v>9</v>
      </c>
      <c r="S12" s="12">
        <v>5054</v>
      </c>
      <c r="T12" s="12">
        <v>1567</v>
      </c>
      <c r="U12" s="12">
        <v>985</v>
      </c>
      <c r="V12" s="12">
        <v>2659</v>
      </c>
      <c r="W12" s="2" t="s">
        <v>19</v>
      </c>
    </row>
    <row r="13" spans="1:23" ht="15.75" customHeight="1" x14ac:dyDescent="0.4">
      <c r="A13" s="1" t="s">
        <v>20</v>
      </c>
      <c r="B13" s="12">
        <v>7080</v>
      </c>
      <c r="C13" s="12">
        <v>6486.3</v>
      </c>
      <c r="D13" s="12"/>
      <c r="E13" s="12">
        <v>8825</v>
      </c>
      <c r="F13" s="12">
        <v>3377</v>
      </c>
      <c r="G13" s="12"/>
      <c r="H13" s="12">
        <v>29159</v>
      </c>
      <c r="I13" s="12">
        <v>2673</v>
      </c>
      <c r="J13" s="12"/>
      <c r="K13" s="12">
        <v>1933</v>
      </c>
      <c r="L13" s="12">
        <v>607</v>
      </c>
      <c r="M13" s="12"/>
      <c r="N13" s="12">
        <v>0</v>
      </c>
      <c r="O13" s="12">
        <v>0</v>
      </c>
      <c r="P13" s="12"/>
      <c r="Q13" s="12">
        <v>337</v>
      </c>
      <c r="R13" s="12">
        <v>59</v>
      </c>
      <c r="S13" s="12">
        <v>5357</v>
      </c>
      <c r="T13" s="12">
        <v>1364</v>
      </c>
      <c r="U13" s="12">
        <v>111</v>
      </c>
      <c r="V13" s="12">
        <v>754</v>
      </c>
      <c r="W13" s="2" t="s">
        <v>21</v>
      </c>
    </row>
    <row r="14" spans="1:23" ht="15.75" customHeight="1" x14ac:dyDescent="0.4">
      <c r="A14" s="1" t="s">
        <v>22</v>
      </c>
      <c r="B14" s="12">
        <v>3341</v>
      </c>
      <c r="C14" s="12">
        <v>6152.85</v>
      </c>
      <c r="D14" s="12"/>
      <c r="E14" s="12">
        <v>6609.55</v>
      </c>
      <c r="F14" s="12">
        <v>4277.75</v>
      </c>
      <c r="G14" s="12"/>
      <c r="H14" s="12">
        <v>1402</v>
      </c>
      <c r="I14" s="12">
        <v>248</v>
      </c>
      <c r="J14" s="12"/>
      <c r="K14" s="12">
        <v>1500</v>
      </c>
      <c r="L14" s="12">
        <v>68</v>
      </c>
      <c r="M14" s="12"/>
      <c r="N14" s="12">
        <v>0</v>
      </c>
      <c r="O14" s="12">
        <v>0</v>
      </c>
      <c r="P14" s="12"/>
      <c r="Q14" s="12">
        <v>617</v>
      </c>
      <c r="R14" s="12">
        <v>57</v>
      </c>
      <c r="S14" s="12">
        <v>2500</v>
      </c>
      <c r="T14" s="12">
        <v>314</v>
      </c>
      <c r="U14" s="12">
        <v>689</v>
      </c>
      <c r="V14" s="12">
        <v>356</v>
      </c>
      <c r="W14" s="2" t="s">
        <v>23</v>
      </c>
    </row>
    <row r="15" spans="1:23" ht="15.75" customHeight="1" x14ac:dyDescent="0.4">
      <c r="A15" s="1" t="s">
        <v>24</v>
      </c>
      <c r="B15" s="12">
        <v>4564</v>
      </c>
      <c r="C15" s="12">
        <v>4681.5</v>
      </c>
      <c r="D15" s="12"/>
      <c r="E15" s="12">
        <v>3591.18</v>
      </c>
      <c r="F15" s="12">
        <v>5723</v>
      </c>
      <c r="G15" s="12"/>
      <c r="H15" s="12">
        <v>2203</v>
      </c>
      <c r="I15" s="12">
        <v>0</v>
      </c>
      <c r="J15" s="12"/>
      <c r="K15" s="12">
        <v>1125</v>
      </c>
      <c r="L15" s="12">
        <v>318</v>
      </c>
      <c r="M15" s="12"/>
      <c r="N15" s="12">
        <v>0</v>
      </c>
      <c r="O15" s="12">
        <v>0</v>
      </c>
      <c r="P15" s="12"/>
      <c r="Q15" s="12">
        <v>2265</v>
      </c>
      <c r="R15" s="12">
        <v>886</v>
      </c>
      <c r="S15" s="12">
        <v>3429</v>
      </c>
      <c r="T15" s="12">
        <v>927</v>
      </c>
      <c r="U15" s="12">
        <v>266</v>
      </c>
      <c r="V15" s="12">
        <v>142</v>
      </c>
      <c r="W15" s="2" t="s">
        <v>25</v>
      </c>
    </row>
    <row r="16" spans="1:23" ht="15.75" customHeight="1" x14ac:dyDescent="0.4">
      <c r="A16" s="1" t="s">
        <v>26</v>
      </c>
      <c r="B16" s="12">
        <v>2593</v>
      </c>
      <c r="C16" s="12">
        <v>6451</v>
      </c>
      <c r="D16" s="12"/>
      <c r="E16" s="12">
        <v>3551.31</v>
      </c>
      <c r="F16" s="12">
        <v>4516</v>
      </c>
      <c r="G16" s="12"/>
      <c r="H16" s="12">
        <v>11410</v>
      </c>
      <c r="I16" s="12">
        <v>3564</v>
      </c>
      <c r="J16" s="12"/>
      <c r="K16" s="12">
        <v>1424</v>
      </c>
      <c r="L16" s="12">
        <v>235</v>
      </c>
      <c r="M16" s="12"/>
      <c r="N16" s="12">
        <v>0</v>
      </c>
      <c r="O16" s="12">
        <v>0</v>
      </c>
      <c r="P16" s="12"/>
      <c r="Q16" s="12">
        <v>1539</v>
      </c>
      <c r="R16" s="12">
        <v>80</v>
      </c>
      <c r="S16" s="12">
        <v>4216</v>
      </c>
      <c r="T16" s="12">
        <v>2943</v>
      </c>
      <c r="U16" s="12">
        <v>79</v>
      </c>
      <c r="V16" s="12">
        <v>1614</v>
      </c>
      <c r="W16" s="2" t="s">
        <v>27</v>
      </c>
    </row>
    <row r="17" spans="1:23" ht="15.75" customHeight="1" x14ac:dyDescent="0.4">
      <c r="A17" s="1" t="s">
        <v>28</v>
      </c>
      <c r="B17" s="12">
        <v>2865</v>
      </c>
      <c r="C17" s="12">
        <v>4646</v>
      </c>
      <c r="D17" s="12"/>
      <c r="E17" s="12">
        <v>3094.5</v>
      </c>
      <c r="F17" s="12">
        <v>4895</v>
      </c>
      <c r="G17" s="12"/>
      <c r="H17" s="12">
        <v>4749</v>
      </c>
      <c r="I17" s="12">
        <v>1035</v>
      </c>
      <c r="J17" s="12"/>
      <c r="K17" s="12">
        <v>1697</v>
      </c>
      <c r="L17" s="12">
        <v>335</v>
      </c>
      <c r="M17" s="12"/>
      <c r="N17" s="12">
        <v>0</v>
      </c>
      <c r="O17" s="12">
        <v>0</v>
      </c>
      <c r="P17" s="12"/>
      <c r="Q17" s="12">
        <v>375</v>
      </c>
      <c r="R17" s="12">
        <v>111</v>
      </c>
      <c r="S17" s="12">
        <v>4070</v>
      </c>
      <c r="T17" s="12">
        <v>1034</v>
      </c>
      <c r="U17" s="12">
        <v>104</v>
      </c>
      <c r="V17" s="12">
        <v>1061</v>
      </c>
      <c r="W17" s="2" t="s">
        <v>29</v>
      </c>
    </row>
    <row r="18" spans="1:23" ht="15.75" customHeight="1" x14ac:dyDescent="0.4">
      <c r="A18" s="4" t="s">
        <v>30</v>
      </c>
      <c r="B18" s="13">
        <v>2802</v>
      </c>
      <c r="C18" s="13">
        <v>3351</v>
      </c>
      <c r="D18" s="13"/>
      <c r="E18" s="13">
        <v>8557</v>
      </c>
      <c r="F18" s="13">
        <v>2572</v>
      </c>
      <c r="G18" s="13"/>
      <c r="H18" s="13">
        <v>6227</v>
      </c>
      <c r="I18" s="13">
        <v>470</v>
      </c>
      <c r="J18" s="13"/>
      <c r="K18" s="13">
        <v>1468</v>
      </c>
      <c r="L18" s="13">
        <v>674</v>
      </c>
      <c r="M18" s="13"/>
      <c r="N18" s="13">
        <v>0</v>
      </c>
      <c r="O18" s="13">
        <v>0</v>
      </c>
      <c r="P18" s="13"/>
      <c r="Q18" s="13">
        <v>879</v>
      </c>
      <c r="R18" s="13">
        <v>37</v>
      </c>
      <c r="S18" s="13">
        <v>6490</v>
      </c>
      <c r="T18" s="13">
        <v>349</v>
      </c>
      <c r="U18" s="13">
        <v>250</v>
      </c>
      <c r="V18" s="13">
        <v>1300</v>
      </c>
      <c r="W18" s="5" t="s">
        <v>31</v>
      </c>
    </row>
    <row r="19" spans="1:23" ht="14.25" customHeight="1" x14ac:dyDescent="0.25">
      <c r="A19" s="14" t="s">
        <v>43</v>
      </c>
      <c r="B19" s="14"/>
      <c r="C19" s="15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6"/>
      <c r="Q19" s="16"/>
      <c r="R19" s="17"/>
      <c r="S19" s="17"/>
      <c r="T19" s="17"/>
      <c r="U19" s="17"/>
      <c r="V19" s="17"/>
      <c r="W19" s="18" t="s">
        <v>44</v>
      </c>
    </row>
    <row r="20" spans="1:23" ht="14.25" customHeight="1" x14ac:dyDescent="0.25">
      <c r="A20" s="19" t="s">
        <v>45</v>
      </c>
      <c r="B20" s="19"/>
      <c r="C20" s="20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2"/>
      <c r="P20" s="21"/>
      <c r="Q20" s="21"/>
      <c r="R20" s="22"/>
      <c r="S20" s="22"/>
      <c r="T20" s="22"/>
      <c r="U20" s="22"/>
      <c r="V20" s="22"/>
      <c r="W20" s="23"/>
    </row>
    <row r="21" spans="1:23" ht="14.25" customHeight="1" x14ac:dyDescent="0.25">
      <c r="A21" s="19" t="s">
        <v>4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  <c r="L21" s="25"/>
      <c r="M21" s="25"/>
      <c r="P21" s="25"/>
      <c r="W21" s="26" t="s">
        <v>5</v>
      </c>
    </row>
    <row r="22" spans="1:23" ht="7.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23" ht="6" customHeight="1" x14ac:dyDescent="0.25"/>
  </sheetData>
  <mergeCells count="13">
    <mergeCell ref="A1:W1"/>
    <mergeCell ref="A2:W2"/>
    <mergeCell ref="A3:W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W5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11.24 </vt:lpstr>
      <vt:lpstr>'11.24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2016-03-17T08:10:38Z</cp:lastPrinted>
  <dcterms:created xsi:type="dcterms:W3CDTF">2014-05-22T03:57:11Z</dcterms:created>
  <dcterms:modified xsi:type="dcterms:W3CDTF">2016-03-17T08:10:41Z</dcterms:modified>
</cp:coreProperties>
</file>