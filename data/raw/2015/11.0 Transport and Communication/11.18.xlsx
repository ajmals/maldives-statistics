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8 " sheetId="15" r:id="rId1"/>
  </sheets>
  <definedNames>
    <definedName name="_xlnm.Print_Area" localSheetId="0">'11.18 '!$A$1:$J$19</definedName>
  </definedNames>
  <calcPr calcId="144525"/>
</workbook>
</file>

<file path=xl/calcChain.xml><?xml version="1.0" encoding="utf-8"?>
<calcChain xmlns="http://schemas.openxmlformats.org/spreadsheetml/2006/main">
  <c r="G17" i="15" l="1"/>
  <c r="C17" i="15"/>
  <c r="G16" i="15"/>
  <c r="C16" i="15"/>
  <c r="G15" i="15"/>
  <c r="C15" i="15"/>
  <c r="B15" i="15" s="1"/>
  <c r="G14" i="15"/>
  <c r="C14" i="15"/>
  <c r="G13" i="15"/>
  <c r="C13" i="15"/>
  <c r="G12" i="15"/>
  <c r="C12" i="15"/>
  <c r="G11" i="15"/>
  <c r="C11" i="15"/>
  <c r="B11" i="15" s="1"/>
  <c r="G10" i="15"/>
  <c r="C10" i="15"/>
  <c r="G9" i="15"/>
  <c r="C9" i="15"/>
  <c r="G8" i="15"/>
  <c r="C8" i="15"/>
  <c r="G7" i="15"/>
  <c r="C7" i="15"/>
  <c r="G6" i="15"/>
  <c r="C6" i="15"/>
  <c r="I5" i="15"/>
  <c r="H5" i="15"/>
  <c r="G5" i="15" s="1"/>
  <c r="F5" i="15"/>
  <c r="E5" i="15"/>
  <c r="D5" i="15"/>
  <c r="B9" i="15" l="1"/>
  <c r="B6" i="15"/>
  <c r="B14" i="15"/>
  <c r="B7" i="15"/>
  <c r="B8" i="15"/>
  <c r="B12" i="15"/>
  <c r="B13" i="15"/>
  <c r="C5" i="15"/>
  <c r="B5" i="15" s="1"/>
  <c r="B16" i="15"/>
  <c r="B10" i="15"/>
  <c r="B17" i="15"/>
</calcChain>
</file>

<file path=xl/sharedStrings.xml><?xml version="1.0" encoding="utf-8"?>
<sst xmlns="http://schemas.openxmlformats.org/spreadsheetml/2006/main" count="42" uniqueCount="38">
  <si>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</si>
  <si>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</si>
  <si>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</si>
  <si>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</si>
  <si>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</si>
  <si>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</si>
  <si>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</si>
  <si>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</si>
  <si>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</si>
  <si>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</si>
  <si>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</si>
  <si>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</si>
  <si>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</si>
  <si>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</si>
  <si>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</si>
  <si>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</si>
  <si>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</si>
  <si>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</si>
  <si>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</si>
  <si>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</si>
  <si>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</si>
  <si>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</si>
  <si>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</si>
  <si>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</si>
  <si>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</si>
  <si>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</si>
  <si>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</si>
  <si>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</si>
  <si>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</si>
  <si>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</si>
  <si>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</si>
  <si>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</si>
  <si>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</si>
  <si>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</si>
  <si>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</si>
  <si>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</si>
  <si>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Table 11.18 :  AIRCRAFT MOVEMENT AT GAN INTERNATIONAL AIRPORT BY MONTH, 2014</t>
  </si>
  <si>
    <t>ތާވަލު 11.18: މަސްމަހުގެ ގޮތުން ގަން އިންޓަރނޭޝަނަލް އެއަރޕޯޓުން ދަތުރުކުރި ފްލައިޓްތައް،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</si>
</sst>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11"/>
      <color theme="1"/>
      <name val="Faruma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0" fontId="6" fillId="0" borderId="0"/>
    <xf numFmtId="0" fontId="15" fillId="0" borderId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6" fillId="0" borderId="0"/>
    <xf numFmtId="164" fontId="10" fillId="0" borderId="0"/>
    <xf numFmtId="169" fontId="10" fillId="0" borderId="0" applyFont="0" applyFill="0" applyBorder="0" applyAlignment="0" applyProtection="0"/>
  </cellStyleXfs>
  <cellXfs count="50">
    <xf numFmtId="0" fontId="0" fillId="0" borderId="0" xfId="0"/>
    <xf numFmtId="0" fontId="9" fillId="2" borderId="2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0" fontId="9" fillId="2" borderId="0" xfId="0" applyNumberFormat="1" applyFont="1" applyFill="1" applyBorder="1" applyAlignment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7" applyFont="1" applyFill="1" applyBorder="1" applyAlignment="1">
      <alignment vertical="center"/>
    </xf>
    <xf numFmtId="164" fontId="0" fillId="2" borderId="0" xfId="0" applyNumberFormat="1" applyFill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2" fillId="2" borderId="11" xfId="5" applyNumberFormat="1" applyFont="1" applyFill="1" applyBorder="1" applyAlignment="1" applyProtection="1">
      <alignment horizontal="right" vertical="center"/>
    </xf>
    <xf numFmtId="164" fontId="2" fillId="2" borderId="12" xfId="5" applyNumberFormat="1" applyFont="1" applyFill="1" applyBorder="1" applyAlignment="1" applyProtection="1">
      <alignment horizontal="right" vertical="center" wrapText="1"/>
    </xf>
    <xf numFmtId="3" fontId="3" fillId="0" borderId="1" xfId="5" applyNumberFormat="1" applyFont="1" applyFill="1" applyBorder="1" applyAlignment="1" applyProtection="1">
      <alignment horizontal="right" vertical="center"/>
      <protection locked="0"/>
    </xf>
    <xf numFmtId="3" fontId="3" fillId="0" borderId="3" xfId="5" applyNumberFormat="1" applyFont="1" applyFill="1" applyBorder="1" applyAlignment="1" applyProtection="1">
      <alignment horizontal="right" vertical="center"/>
      <protection locked="0"/>
    </xf>
    <xf numFmtId="164" fontId="3" fillId="2" borderId="1" xfId="5" applyNumberFormat="1" applyFont="1" applyFill="1" applyBorder="1" applyAlignment="1" applyProtection="1">
      <alignment horizontal="left" vertical="center"/>
    </xf>
    <xf numFmtId="0" fontId="14" fillId="2" borderId="1" xfId="8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0" fontId="14" fillId="2" borderId="3" xfId="8" applyFont="1" applyFill="1" applyBorder="1" applyAlignment="1">
      <alignment horizontal="right"/>
    </xf>
    <xf numFmtId="164" fontId="2" fillId="2" borderId="8" xfId="5" applyNumberFormat="1" applyFont="1" applyFill="1" applyBorder="1" applyAlignment="1" applyProtection="1">
      <alignment horizontal="left" vertical="center"/>
    </xf>
    <xf numFmtId="3" fontId="2" fillId="2" borderId="8" xfId="5" applyNumberFormat="1" applyFont="1" applyFill="1" applyBorder="1" applyAlignment="1" applyProtection="1">
      <alignment horizontal="right" vertical="center"/>
    </xf>
    <xf numFmtId="3" fontId="2" fillId="0" borderId="8" xfId="5" applyNumberFormat="1" applyFont="1" applyFill="1" applyBorder="1" applyAlignment="1" applyProtection="1">
      <alignment horizontal="right" vertical="center"/>
    </xf>
    <xf numFmtId="0" fontId="12" fillId="2" borderId="8" xfId="8" applyFont="1" applyFill="1" applyBorder="1" applyAlignment="1">
      <alignment horizontal="right"/>
    </xf>
    <xf numFmtId="3" fontId="3" fillId="2" borderId="1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3" fillId="0" borderId="22" xfId="5" applyNumberFormat="1" applyFont="1" applyFill="1" applyBorder="1" applyAlignment="1" applyProtection="1">
      <alignment horizontal="right" vertical="center"/>
      <protection locked="0"/>
    </xf>
    <xf numFmtId="3" fontId="3" fillId="0" borderId="20" xfId="5" applyNumberFormat="1" applyFont="1" applyFill="1" applyBorder="1" applyAlignment="1" applyProtection="1">
      <alignment horizontal="right" vertical="center"/>
      <protection locked="0"/>
    </xf>
    <xf numFmtId="3" fontId="2" fillId="2" borderId="16" xfId="5" applyNumberFormat="1" applyFont="1" applyFill="1" applyBorder="1" applyAlignment="1" applyProtection="1">
      <alignment horizontal="right" vertical="center"/>
    </xf>
    <xf numFmtId="3" fontId="2" fillId="2" borderId="9" xfId="5" applyNumberFormat="1" applyFont="1" applyFill="1" applyBorder="1" applyAlignment="1" applyProtection="1">
      <alignment horizontal="right" vertical="center"/>
    </xf>
    <xf numFmtId="3" fontId="2" fillId="2" borderId="17" xfId="5" applyNumberFormat="1" applyFont="1" applyFill="1" applyBorder="1" applyAlignment="1" applyProtection="1">
      <alignment horizontal="right" vertical="center"/>
    </xf>
    <xf numFmtId="164" fontId="2" fillId="2" borderId="4" xfId="5" applyNumberFormat="1" applyFont="1" applyFill="1" applyBorder="1" applyAlignment="1" applyProtection="1">
      <alignment horizontal="right" vertical="center"/>
    </xf>
    <xf numFmtId="3" fontId="2" fillId="2" borderId="21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3" fontId="2" fillId="2" borderId="7" xfId="5" applyNumberFormat="1" applyFont="1" applyFill="1" applyBorder="1" applyAlignment="1" applyProtection="1">
      <alignment horizontal="right" vertical="center"/>
    </xf>
    <xf numFmtId="3" fontId="2" fillId="2" borderId="23" xfId="5" applyNumberFormat="1" applyFont="1" applyFill="1" applyBorder="1" applyAlignment="1" applyProtection="1">
      <alignment horizontal="right" vertical="center"/>
    </xf>
    <xf numFmtId="3" fontId="2" fillId="0" borderId="24" xfId="5" applyNumberFormat="1" applyFont="1" applyFill="1" applyBorder="1" applyAlignment="1" applyProtection="1">
      <alignment horizontal="right" vertical="center"/>
    </xf>
    <xf numFmtId="3" fontId="2" fillId="2" borderId="19" xfId="5" applyNumberFormat="1" applyFont="1" applyFill="1" applyBorder="1" applyAlignment="1" applyProtection="1">
      <alignment horizontal="right" vertical="center"/>
    </xf>
    <xf numFmtId="3" fontId="2" fillId="2" borderId="18" xfId="5" applyNumberFormat="1" applyFont="1" applyFill="1" applyBorder="1" applyAlignment="1" applyProtection="1">
      <alignment horizontal="right" vertical="center"/>
    </xf>
    <xf numFmtId="0" fontId="12" fillId="2" borderId="4" xfId="8" applyFont="1" applyFill="1" applyBorder="1" applyAlignment="1">
      <alignment horizontal="right" vertical="center"/>
    </xf>
    <xf numFmtId="0" fontId="12" fillId="2" borderId="0" xfId="8" applyFont="1" applyFill="1" applyBorder="1" applyAlignment="1">
      <alignment horizontal="right" vertical="center"/>
    </xf>
    <xf numFmtId="0" fontId="11" fillId="2" borderId="10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164" fontId="4" fillId="2" borderId="5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right" vertical="center" wrapText="1"/>
    </xf>
    <xf numFmtId="164" fontId="7" fillId="2" borderId="4" xfId="5" applyNumberFormat="1" applyFont="1" applyFill="1" applyBorder="1" applyAlignment="1" applyProtection="1">
      <alignment horizontal="center" vertical="center"/>
    </xf>
    <xf numFmtId="164" fontId="7" fillId="2" borderId="0" xfId="5" applyNumberFormat="1" applyFont="1" applyFill="1" applyBorder="1" applyAlignment="1" applyProtection="1">
      <alignment horizontal="center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2" fillId="2" borderId="15" xfId="5" applyNumberFormat="1" applyFont="1" applyFill="1" applyBorder="1" applyAlignment="1" applyProtection="1">
      <alignment horizontal="center" vertical="center"/>
    </xf>
    <xf numFmtId="164" fontId="2" fillId="2" borderId="13" xfId="5" applyNumberFormat="1" applyFont="1" applyFill="1" applyBorder="1" applyAlignment="1" applyProtection="1">
      <alignment horizontal="center" vertical="center"/>
    </xf>
    <xf numFmtId="164" fontId="2" fillId="2" borderId="14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11"/>
    <cellStyle name="Comma 4 2" xfId="14"/>
    <cellStyle name="Hyperlink 2" xfId="1"/>
    <cellStyle name="Normal" xfId="0" builtinId="0"/>
    <cellStyle name="Normal 2" xfId="5"/>
    <cellStyle name="Normal 2 2" xfId="13"/>
    <cellStyle name="Normal 2 3" xfId="3"/>
    <cellStyle name="Normal 3" xfId="9"/>
    <cellStyle name="Normal 3 2" xfId="4"/>
    <cellStyle name="Normal 4" xfId="10"/>
    <cellStyle name="Normal 5" xfId="2"/>
    <cellStyle name="Normal 6" xfId="12"/>
    <cellStyle name="Normal_IX-6(Trans &amp; Comm)" xfId="7"/>
    <cellStyle name="Normal_X-5 (Electricity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Normal="100" workbookViewId="0">
      <selection activeCell="P6" sqref="P6"/>
    </sheetView>
  </sheetViews>
  <sheetFormatPr defaultColWidth="9.140625" defaultRowHeight="12.75" customHeight="1" x14ac:dyDescent="0.25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3.140625" style="2" customWidth="1"/>
    <col min="7" max="8" width="10.7109375" style="2" customWidth="1"/>
    <col min="9" max="9" width="14.28515625" style="2" customWidth="1"/>
    <col min="10" max="10" width="16.28515625" style="2" customWidth="1"/>
    <col min="11" max="11" width="18.140625" style="2" bestFit="1" customWidth="1"/>
    <col min="12" max="16384" width="9.140625" style="2"/>
  </cols>
  <sheetData>
    <row r="1" spans="1:10" ht="21" x14ac:dyDescent="0.25">
      <c r="A1" s="40" t="s">
        <v>37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15" x14ac:dyDescent="0.25">
      <c r="A2" s="42" t="s">
        <v>36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14.45" customHeight="1" x14ac:dyDescent="0.25">
      <c r="A3" s="44" t="s">
        <v>4</v>
      </c>
      <c r="B3" s="43" t="s">
        <v>30</v>
      </c>
      <c r="C3" s="47" t="s">
        <v>34</v>
      </c>
      <c r="D3" s="48"/>
      <c r="E3" s="48"/>
      <c r="F3" s="49"/>
      <c r="G3" s="48" t="s">
        <v>35</v>
      </c>
      <c r="H3" s="48"/>
      <c r="I3" s="48"/>
      <c r="J3" s="38" t="s">
        <v>5</v>
      </c>
    </row>
    <row r="4" spans="1:10" s="8" customFormat="1" ht="14.45" customHeight="1" x14ac:dyDescent="0.25">
      <c r="A4" s="45"/>
      <c r="B4" s="46"/>
      <c r="C4" s="11" t="s">
        <v>1</v>
      </c>
      <c r="D4" s="9" t="s">
        <v>31</v>
      </c>
      <c r="E4" s="9" t="s">
        <v>32</v>
      </c>
      <c r="F4" s="12" t="s">
        <v>33</v>
      </c>
      <c r="G4" s="30" t="s">
        <v>1</v>
      </c>
      <c r="H4" s="9" t="s">
        <v>31</v>
      </c>
      <c r="I4" s="10" t="s">
        <v>33</v>
      </c>
      <c r="J4" s="39"/>
    </row>
    <row r="5" spans="1:10" s="8" customFormat="1" ht="15.75" x14ac:dyDescent="0.4">
      <c r="A5" s="19" t="s">
        <v>1</v>
      </c>
      <c r="B5" s="27">
        <f t="shared" ref="B5:B17" si="0">SUM(C5+G5)</f>
        <v>11847</v>
      </c>
      <c r="C5" s="34">
        <f t="shared" ref="C5:C17" si="1">SUM(D5:F5)</f>
        <v>277</v>
      </c>
      <c r="D5" s="21">
        <f>SUM(D6:D17)</f>
        <v>4</v>
      </c>
      <c r="E5" s="21">
        <f>SUM(E6:E17)</f>
        <v>0</v>
      </c>
      <c r="F5" s="35">
        <f>SUM(F6:F17)</f>
        <v>273</v>
      </c>
      <c r="G5" s="31">
        <f t="shared" ref="G5:G17" si="2">SUM(H5:I5)</f>
        <v>11570</v>
      </c>
      <c r="H5" s="20">
        <f>SUM(H6:H17)</f>
        <v>758</v>
      </c>
      <c r="I5" s="20">
        <f>SUM(I6:I17)</f>
        <v>10812</v>
      </c>
      <c r="J5" s="22" t="s">
        <v>0</v>
      </c>
    </row>
    <row r="6" spans="1:10" s="8" customFormat="1" ht="15.75" x14ac:dyDescent="0.4">
      <c r="A6" s="15" t="s">
        <v>6</v>
      </c>
      <c r="B6" s="28">
        <f t="shared" si="0"/>
        <v>718</v>
      </c>
      <c r="C6" s="36">
        <f t="shared" si="1"/>
        <v>60</v>
      </c>
      <c r="D6" s="13">
        <v>0</v>
      </c>
      <c r="E6" s="13">
        <v>0</v>
      </c>
      <c r="F6" s="25">
        <v>60</v>
      </c>
      <c r="G6" s="32">
        <f t="shared" si="2"/>
        <v>658</v>
      </c>
      <c r="H6" s="23">
        <v>62</v>
      </c>
      <c r="I6" s="23">
        <v>596</v>
      </c>
      <c r="J6" s="16" t="s">
        <v>7</v>
      </c>
    </row>
    <row r="7" spans="1:10" s="8" customFormat="1" ht="15.75" x14ac:dyDescent="0.4">
      <c r="A7" s="15" t="s">
        <v>8</v>
      </c>
      <c r="B7" s="28">
        <f t="shared" si="0"/>
        <v>772</v>
      </c>
      <c r="C7" s="36">
        <f t="shared" si="1"/>
        <v>27</v>
      </c>
      <c r="D7" s="13">
        <v>0</v>
      </c>
      <c r="E7" s="13">
        <v>0</v>
      </c>
      <c r="F7" s="25">
        <v>27</v>
      </c>
      <c r="G7" s="32">
        <f t="shared" si="2"/>
        <v>745</v>
      </c>
      <c r="H7" s="23">
        <v>56</v>
      </c>
      <c r="I7" s="23">
        <v>689</v>
      </c>
      <c r="J7" s="16" t="s">
        <v>9</v>
      </c>
    </row>
    <row r="8" spans="1:10" s="8" customFormat="1" ht="15.75" x14ac:dyDescent="0.4">
      <c r="A8" s="15" t="s">
        <v>10</v>
      </c>
      <c r="B8" s="28">
        <f t="shared" si="0"/>
        <v>879</v>
      </c>
      <c r="C8" s="36">
        <f t="shared" si="1"/>
        <v>32</v>
      </c>
      <c r="D8" s="13">
        <v>0</v>
      </c>
      <c r="E8" s="13">
        <v>0</v>
      </c>
      <c r="F8" s="25">
        <v>32</v>
      </c>
      <c r="G8" s="32">
        <f t="shared" si="2"/>
        <v>847</v>
      </c>
      <c r="H8" s="23">
        <v>76</v>
      </c>
      <c r="I8" s="23">
        <v>771</v>
      </c>
      <c r="J8" s="16" t="s">
        <v>11</v>
      </c>
    </row>
    <row r="9" spans="1:10" s="8" customFormat="1" ht="15.75" x14ac:dyDescent="0.4">
      <c r="A9" s="15" t="s">
        <v>12</v>
      </c>
      <c r="B9" s="28">
        <f t="shared" si="0"/>
        <v>792</v>
      </c>
      <c r="C9" s="36">
        <f t="shared" si="1"/>
        <v>22</v>
      </c>
      <c r="D9" s="13">
        <v>0</v>
      </c>
      <c r="E9" s="13">
        <v>0</v>
      </c>
      <c r="F9" s="25">
        <v>22</v>
      </c>
      <c r="G9" s="32">
        <f t="shared" si="2"/>
        <v>770</v>
      </c>
      <c r="H9" s="23">
        <v>60</v>
      </c>
      <c r="I9" s="23">
        <v>710</v>
      </c>
      <c r="J9" s="16" t="s">
        <v>13</v>
      </c>
    </row>
    <row r="10" spans="1:10" s="8" customFormat="1" ht="15.75" x14ac:dyDescent="0.4">
      <c r="A10" s="15" t="s">
        <v>14</v>
      </c>
      <c r="B10" s="28">
        <f t="shared" si="0"/>
        <v>734</v>
      </c>
      <c r="C10" s="36">
        <f t="shared" si="1"/>
        <v>10</v>
      </c>
      <c r="D10" s="13">
        <v>0</v>
      </c>
      <c r="E10" s="13">
        <v>0</v>
      </c>
      <c r="F10" s="25">
        <v>10</v>
      </c>
      <c r="G10" s="32">
        <f t="shared" si="2"/>
        <v>724</v>
      </c>
      <c r="H10" s="23">
        <v>62</v>
      </c>
      <c r="I10" s="23">
        <v>662</v>
      </c>
      <c r="J10" s="16" t="s">
        <v>15</v>
      </c>
    </row>
    <row r="11" spans="1:10" s="8" customFormat="1" ht="15.75" x14ac:dyDescent="0.4">
      <c r="A11" s="15" t="s">
        <v>16</v>
      </c>
      <c r="B11" s="28">
        <f t="shared" si="0"/>
        <v>809</v>
      </c>
      <c r="C11" s="36">
        <f t="shared" si="1"/>
        <v>9</v>
      </c>
      <c r="D11" s="13">
        <v>4</v>
      </c>
      <c r="E11" s="13">
        <v>0</v>
      </c>
      <c r="F11" s="25">
        <v>5</v>
      </c>
      <c r="G11" s="32">
        <f t="shared" si="2"/>
        <v>800</v>
      </c>
      <c r="H11" s="23">
        <v>60</v>
      </c>
      <c r="I11" s="23">
        <v>740</v>
      </c>
      <c r="J11" s="16" t="s">
        <v>17</v>
      </c>
    </row>
    <row r="12" spans="1:10" s="8" customFormat="1" ht="15.75" x14ac:dyDescent="0.4">
      <c r="A12" s="15" t="s">
        <v>18</v>
      </c>
      <c r="B12" s="28">
        <f t="shared" si="0"/>
        <v>778</v>
      </c>
      <c r="C12" s="36">
        <f t="shared" si="1"/>
        <v>24</v>
      </c>
      <c r="D12" s="13">
        <v>0</v>
      </c>
      <c r="E12" s="13">
        <v>0</v>
      </c>
      <c r="F12" s="25">
        <v>24</v>
      </c>
      <c r="G12" s="32">
        <f t="shared" si="2"/>
        <v>754</v>
      </c>
      <c r="H12" s="23">
        <v>62</v>
      </c>
      <c r="I12" s="23">
        <v>692</v>
      </c>
      <c r="J12" s="16" t="s">
        <v>19</v>
      </c>
    </row>
    <row r="13" spans="1:10" s="8" customFormat="1" ht="15.75" x14ac:dyDescent="0.4">
      <c r="A13" s="15" t="s">
        <v>20</v>
      </c>
      <c r="B13" s="28">
        <f t="shared" si="0"/>
        <v>836</v>
      </c>
      <c r="C13" s="36">
        <f t="shared" si="1"/>
        <v>12</v>
      </c>
      <c r="D13" s="13">
        <v>0</v>
      </c>
      <c r="E13" s="13">
        <v>0</v>
      </c>
      <c r="F13" s="25">
        <v>12</v>
      </c>
      <c r="G13" s="32">
        <f t="shared" si="2"/>
        <v>824</v>
      </c>
      <c r="H13" s="23">
        <v>64</v>
      </c>
      <c r="I13" s="23">
        <v>760</v>
      </c>
      <c r="J13" s="16" t="s">
        <v>21</v>
      </c>
    </row>
    <row r="14" spans="1:10" s="8" customFormat="1" ht="15.75" x14ac:dyDescent="0.4">
      <c r="A14" s="15" t="s">
        <v>22</v>
      </c>
      <c r="B14" s="28">
        <f t="shared" si="0"/>
        <v>1099</v>
      </c>
      <c r="C14" s="36">
        <f t="shared" si="1"/>
        <v>3</v>
      </c>
      <c r="D14" s="13">
        <v>0</v>
      </c>
      <c r="E14" s="13">
        <v>0</v>
      </c>
      <c r="F14" s="25">
        <v>3</v>
      </c>
      <c r="G14" s="32">
        <f t="shared" si="2"/>
        <v>1096</v>
      </c>
      <c r="H14" s="23">
        <v>60</v>
      </c>
      <c r="I14" s="23">
        <v>1036</v>
      </c>
      <c r="J14" s="16" t="s">
        <v>23</v>
      </c>
    </row>
    <row r="15" spans="1:10" s="8" customFormat="1" ht="15.75" x14ac:dyDescent="0.4">
      <c r="A15" s="15" t="s">
        <v>24</v>
      </c>
      <c r="B15" s="28">
        <f t="shared" si="0"/>
        <v>1448</v>
      </c>
      <c r="C15" s="36">
        <f t="shared" si="1"/>
        <v>8</v>
      </c>
      <c r="D15" s="13">
        <v>0</v>
      </c>
      <c r="E15" s="13">
        <v>0</v>
      </c>
      <c r="F15" s="25">
        <v>8</v>
      </c>
      <c r="G15" s="32">
        <f t="shared" si="2"/>
        <v>1440</v>
      </c>
      <c r="H15" s="23">
        <v>72</v>
      </c>
      <c r="I15" s="23">
        <v>1368</v>
      </c>
      <c r="J15" s="16" t="s">
        <v>25</v>
      </c>
    </row>
    <row r="16" spans="1:10" s="8" customFormat="1" ht="15.75" x14ac:dyDescent="0.4">
      <c r="A16" s="15" t="s">
        <v>26</v>
      </c>
      <c r="B16" s="28">
        <f t="shared" si="0"/>
        <v>1404</v>
      </c>
      <c r="C16" s="36">
        <f t="shared" si="1"/>
        <v>20</v>
      </c>
      <c r="D16" s="13">
        <v>0</v>
      </c>
      <c r="E16" s="13">
        <v>0</v>
      </c>
      <c r="F16" s="25">
        <v>20</v>
      </c>
      <c r="G16" s="32">
        <f t="shared" si="2"/>
        <v>1384</v>
      </c>
      <c r="H16" s="23">
        <v>62</v>
      </c>
      <c r="I16" s="23">
        <v>1322</v>
      </c>
      <c r="J16" s="16" t="s">
        <v>27</v>
      </c>
    </row>
    <row r="17" spans="1:10" s="8" customFormat="1" ht="15.75" x14ac:dyDescent="0.4">
      <c r="A17" s="17" t="s">
        <v>28</v>
      </c>
      <c r="B17" s="29">
        <f t="shared" si="0"/>
        <v>1578</v>
      </c>
      <c r="C17" s="37">
        <f t="shared" si="1"/>
        <v>50</v>
      </c>
      <c r="D17" s="14">
        <v>0</v>
      </c>
      <c r="E17" s="14">
        <v>0</v>
      </c>
      <c r="F17" s="26">
        <v>50</v>
      </c>
      <c r="G17" s="33">
        <f t="shared" si="2"/>
        <v>1528</v>
      </c>
      <c r="H17" s="24">
        <v>62</v>
      </c>
      <c r="I17" s="24">
        <v>1466</v>
      </c>
      <c r="J17" s="18" t="s">
        <v>29</v>
      </c>
    </row>
    <row r="18" spans="1:10" ht="18.75" x14ac:dyDescent="0.25">
      <c r="A18" s="4" t="s">
        <v>2</v>
      </c>
      <c r="B18" s="3"/>
      <c r="C18" s="6"/>
      <c r="D18" s="6"/>
      <c r="E18" s="6"/>
      <c r="F18" s="6"/>
      <c r="G18" s="6"/>
      <c r="H18" s="7"/>
      <c r="J18" s="1" t="s">
        <v>3</v>
      </c>
    </row>
    <row r="19" spans="1:10" ht="18.75" x14ac:dyDescent="0.25">
      <c r="A19" s="4"/>
      <c r="B19" s="3"/>
      <c r="C19" s="6"/>
      <c r="D19" s="6"/>
      <c r="E19" s="6"/>
      <c r="F19" s="6"/>
      <c r="G19" s="6"/>
      <c r="H19" s="7"/>
      <c r="J19" s="5"/>
    </row>
    <row r="20" spans="1:10" ht="15" x14ac:dyDescent="0.25"/>
    <row r="21" spans="1:10" ht="18.75" customHeight="1" x14ac:dyDescent="0.25"/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28999999999999998" right="0.42" top="0.4" bottom="0.24" header="0.3" footer="0.3"/>
  <pageSetup paperSize="9" orientation="landscape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11.18 </vt:lpstr>
      <vt:lpstr>'11.18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2016-03-17T07:55:41Z</cp:lastPrinted>
  <dcterms:created xsi:type="dcterms:W3CDTF">2014-05-22T03:57:11Z</dcterms:created>
  <dcterms:modified xsi:type="dcterms:W3CDTF">2016-03-17T07:57:44Z</dcterms:modified>
</cp:coreProperties>
</file>