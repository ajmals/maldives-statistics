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" sheetId="2" r:id="rId1"/>
    <sheet name="8.20 workings" sheetId="36" state="hidden" r:id="rId2"/>
  </sheets>
  <definedNames>
    <definedName name="_xlnm.Print_Area" localSheetId="0">'8.1'!$A$1:$L$56</definedName>
  </definedNames>
  <calcPr calcId="144525"/>
</workbook>
</file>

<file path=xl/calcChain.xml><?xml version="1.0" encoding="utf-8"?>
<calcChain xmlns="http://schemas.openxmlformats.org/spreadsheetml/2006/main">
  <c r="AF22" i="2" l="1"/>
  <c r="AG22" i="2"/>
  <c r="AH22" i="2"/>
  <c r="AI22" i="2"/>
  <c r="AF23" i="2"/>
  <c r="AG23" i="2"/>
  <c r="AH23" i="2"/>
  <c r="AI23" i="2"/>
  <c r="AF24" i="2"/>
  <c r="AG24" i="2"/>
  <c r="AH24" i="2"/>
  <c r="AI24" i="2"/>
  <c r="AF25" i="2"/>
  <c r="AG25" i="2"/>
  <c r="AH25" i="2"/>
  <c r="AI25" i="2"/>
  <c r="AF26" i="2"/>
  <c r="AG26" i="2"/>
  <c r="AH26" i="2"/>
  <c r="AI26" i="2"/>
  <c r="AE23" i="2"/>
  <c r="AE24" i="2"/>
  <c r="AE25" i="2"/>
  <c r="AE26" i="2"/>
  <c r="AE22" i="2"/>
  <c r="H5" i="2" l="1"/>
  <c r="I7" i="2" l="1"/>
  <c r="I6" i="2"/>
  <c r="J13" i="2"/>
  <c r="J11" i="2"/>
  <c r="J9" i="2"/>
  <c r="J7" i="2"/>
  <c r="J6" i="2"/>
  <c r="J8" i="2" l="1"/>
  <c r="J10" i="2"/>
  <c r="J12" i="2"/>
  <c r="J14" i="2"/>
  <c r="J15" i="2"/>
  <c r="J16" i="2"/>
  <c r="J17" i="2"/>
  <c r="I5" i="2" l="1"/>
  <c r="I17" i="2"/>
  <c r="I16" i="2"/>
  <c r="I15" i="2"/>
  <c r="I14" i="2"/>
  <c r="I13" i="2"/>
  <c r="I9" i="2"/>
  <c r="I8" i="2"/>
  <c r="I10" i="2"/>
  <c r="I11" i="2"/>
  <c r="I12" i="2"/>
  <c r="G5" i="2" l="1"/>
  <c r="J5" i="2" s="1"/>
  <c r="F5" i="2"/>
  <c r="E5" i="2"/>
  <c r="D5" i="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<sst xmlns="http://schemas.openxmlformats.org/spreadsheetml/2006/main" count="210" uniqueCount="98">
  <si>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</si>
  <si>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</si>
  <si>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</si>
  <si>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</si>
  <si>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</si>
  <si>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</si>
  <si>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ޓްރެފިކް</t>
  </si>
  <si>
    <t>Drugs</t>
  </si>
  <si>
    <t>މަސްތުވާތަކެތި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</si>
  <si>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</si>
  <si>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</si>
  <si>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</si>
  <si>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</si>
  <si>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</si>
  <si>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</si>
  <si>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</si>
  <si>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</si>
  <si>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</si>
  <si>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</si>
  <si>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</si>
  <si>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</si>
  <si>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</si>
  <si>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</si>
  <si>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</si>
  <si>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</si>
  <si>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</si>
  <si>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</si>
  <si>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</si>
  <si>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</si>
  <si>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</si>
  <si>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</si>
  <si>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</si>
  <si>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</si>
  <si>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</si>
  <si>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</si>
  <si>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</si>
  <si>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</si>
  <si>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</si>
  <si>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</si>
  <si>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</si>
  <si>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</si>
  <si>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</si>
  <si>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</si>
  <si>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</si>
  <si>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</si>
  <si>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</si>
  <si>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</si>
  <si>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</si>
  <si>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</si>
  <si>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</si>
  <si>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</si>
  <si>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</si>
  <si>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</si>
  <si>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</si>
  <si>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</si>
  <si>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</si>
  <si>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</si>
  <si>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</si>
  <si>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</si>
  <si>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</si>
  <si>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</si>
  <si>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</si>
  <si>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</si>
  <si>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</si>
  <si>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</si>
  <si>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</si>
  <si>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</si>
  <si>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Logged Cases</t>
  </si>
  <si>
    <t>ބެހިފައިވާ ގޮތް އިންސައްތައިން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</si>
  <si>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</si>
  <si>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</si>
  <si>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</si>
  <si>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</si>
  <si>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</si>
  <si>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</si>
  <si>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</si>
  <si>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</si>
  <si>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</si>
  <si>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</si>
  <si>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</si>
  <si>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</si>
  <si>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</si>
  <si>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</si>
  <si>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</si>
  <si>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</si>
  <si>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</si>
  <si>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</si>
  <si>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</si>
  <si>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</si>
  <si>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</si>
  <si>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</si>
  <si>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2013އާއި އަޅާބަލާއިރު 2014ގައި އިތުރުވި މިންވަރު (%)</t>
  </si>
  <si>
    <t>% change over 2013</t>
  </si>
  <si>
    <t>% share 2014</t>
  </si>
  <si>
    <t>ތާވަލު 8.1: ހުށަހެޅިފައިވާ މައްސަލަތައް، 2010- 2014</t>
  </si>
  <si>
    <t>Table 8.1: LOGGED CASES FROM THE YEAR, 2010 - 2014</t>
  </si>
  <si>
    <t>Counterfiet and forgery</t>
  </si>
  <si>
    <t>ވަގުފައިސާ އަދި ފޯރޖްކުރުން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</si>
</sst>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7" fillId="0" borderId="0"/>
    <xf numFmtId="0" fontId="29" fillId="0" borderId="9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3" applyNumberFormat="0" applyAlignment="0" applyProtection="0"/>
    <xf numFmtId="0" fontId="41" fillId="8" borderId="14" applyNumberFormat="0" applyAlignment="0" applyProtection="0"/>
    <xf numFmtId="0" fontId="42" fillId="8" borderId="13" applyNumberFormat="0" applyAlignment="0" applyProtection="0"/>
    <xf numFmtId="0" fontId="43" fillId="0" borderId="15" applyNumberFormat="0" applyFill="0" applyAlignment="0" applyProtection="0"/>
    <xf numFmtId="0" fontId="44" fillId="9" borderId="16" applyNumberFormat="0" applyAlignment="0" applyProtection="0"/>
    <xf numFmtId="0" fontId="31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20" fillId="0" borderId="0"/>
  </cellStyleXfs>
  <cellXfs count="97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6" fontId="11" fillId="2" borderId="0" xfId="1" applyNumberFormat="1" applyFont="1" applyFill="1" applyBorder="1" applyAlignment="1">
      <alignment horizontal="center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6" fontId="15" fillId="2" borderId="6" xfId="1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26" fillId="2" borderId="7" xfId="0" applyNumberFormat="1" applyFont="1" applyFill="1" applyBorder="1" applyAlignment="1" applyProtection="1">
      <alignment horizontal="right" vertical="center"/>
    </xf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14" fillId="2" borderId="6" xfId="0" applyNumberFormat="1" applyFont="1" applyFill="1" applyBorder="1" applyAlignment="1" applyProtection="1">
      <alignment horizontal="right" vertical="center"/>
    </xf>
    <xf numFmtId="166" fontId="21" fillId="2" borderId="0" xfId="1" applyNumberFormat="1" applyFont="1" applyFill="1" applyBorder="1" applyAlignment="1">
      <alignment horizontal="center"/>
    </xf>
    <xf numFmtId="166" fontId="28" fillId="2" borderId="0" xfId="1" applyNumberFormat="1" applyFont="1" applyFill="1" applyBorder="1" applyAlignment="1">
      <alignment horizontal="center"/>
    </xf>
    <xf numFmtId="166" fontId="28" fillId="2" borderId="6" xfId="1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10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64" fontId="27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6" fontId="10" fillId="2" borderId="0" xfId="1" applyNumberFormat="1" applyFont="1" applyFill="1" applyBorder="1" applyAlignment="1">
      <alignment horizontal="right" vertical="center"/>
    </xf>
    <xf numFmtId="166" fontId="27" fillId="2" borderId="0" xfId="1" applyNumberFormat="1" applyFont="1" applyFill="1" applyBorder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5" fillId="2" borderId="6" xfId="1" applyNumberFormat="1" applyFont="1" applyFill="1" applyBorder="1" applyAlignment="1">
      <alignment horizontal="right" vertical="center"/>
    </xf>
    <xf numFmtId="3" fontId="18" fillId="2" borderId="0" xfId="1" applyNumberFormat="1" applyFont="1" applyFill="1" applyBorder="1" applyAlignment="1">
      <alignment horizontal="right" vertical="center"/>
    </xf>
    <xf numFmtId="3" fontId="10" fillId="2" borderId="0" xfId="1" applyNumberFormat="1" applyFont="1" applyFill="1" applyBorder="1" applyAlignment="1">
      <alignment horizontal="right" vertical="center"/>
    </xf>
    <xf numFmtId="166" fontId="18" fillId="2" borderId="0" xfId="1" applyNumberFormat="1" applyFont="1" applyFill="1" applyBorder="1" applyAlignment="1">
      <alignment horizontal="right" vertical="center"/>
    </xf>
    <xf numFmtId="166" fontId="19" fillId="2" borderId="0" xfId="1" applyNumberFormat="1" applyFont="1" applyFill="1" applyBorder="1" applyAlignment="1">
      <alignment horizontal="right" vertical="center"/>
    </xf>
    <xf numFmtId="164" fontId="12" fillId="2" borderId="5" xfId="0" applyNumberFormat="1" applyFont="1" applyFill="1" applyBorder="1" applyAlignment="1">
      <alignment horizontal="center" vertical="center" wrapText="1"/>
    </xf>
    <xf numFmtId="3" fontId="5" fillId="2" borderId="0" xfId="1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>
      <alignment horizontal="right"/>
    </xf>
    <xf numFmtId="168" fontId="0" fillId="2" borderId="0" xfId="0" applyNumberFormat="1" applyFill="1"/>
    <xf numFmtId="3" fontId="3" fillId="2" borderId="0" xfId="1" applyNumberFormat="1" applyFont="1" applyFill="1" applyBorder="1" applyAlignment="1">
      <alignment horizontal="right" vertical="center" indent="3"/>
    </xf>
    <xf numFmtId="165" fontId="3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0" xfId="1" applyNumberFormat="1" applyFont="1" applyFill="1" applyBorder="1" applyAlignment="1">
      <alignment horizontal="right" vertical="center" indent="3"/>
    </xf>
    <xf numFmtId="165" fontId="5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6" xfId="1" applyNumberFormat="1" applyFont="1" applyFill="1" applyBorder="1" applyAlignment="1">
      <alignment horizontal="right" vertical="center" indent="3"/>
    </xf>
    <xf numFmtId="165" fontId="5" fillId="2" borderId="6" xfId="1" applyNumberFormat="1" applyFont="1" applyFill="1" applyBorder="1" applyAlignment="1" applyProtection="1">
      <alignment horizontal="right" vertical="center" indent="3"/>
      <protection locked="0"/>
    </xf>
    <xf numFmtId="164" fontId="32" fillId="2" borderId="6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14" fillId="2" borderId="6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center"/>
    </xf>
    <xf numFmtId="164" fontId="2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8.1: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Percentage share of logged cases, 2014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386273164642661"/>
          <c:y val="2.15626869653277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306010969157692E-2"/>
          <c:y val="0.12729338777234725"/>
          <c:w val="0.8775961902970475"/>
          <c:h val="0.53682127762198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dLbl>
              <c:idx val="0"/>
              <c:layout>
                <c:manualLayout>
                  <c:x val="-1.3135457301751305E-7"/>
                  <c:y val="2.5793313641955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'8.1'!$AD$5:$AD$15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Traffic accidents</c:v>
                </c:pt>
                <c:pt idx="3">
                  <c:v>Lost Items</c:v>
                </c:pt>
                <c:pt idx="4">
                  <c:v>Assault</c:v>
                </c:pt>
                <c:pt idx="5">
                  <c:v>Robbery</c:v>
                </c:pt>
                <c:pt idx="6">
                  <c:v>Vandalism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</c:strCache>
            </c:strRef>
          </c:cat>
          <c:val>
            <c:numRef>
              <c:f>'8.1'!$AE$5:$AE$15</c:f>
              <c:numCache>
                <c:formatCode>0.0</c:formatCode>
                <c:ptCount val="11"/>
                <c:pt idx="0">
                  <c:v>27.922827461111417</c:v>
                </c:pt>
                <c:pt idx="1">
                  <c:v>17.259385477931072</c:v>
                </c:pt>
                <c:pt idx="2">
                  <c:v>11.746276040235255</c:v>
                </c:pt>
                <c:pt idx="3">
                  <c:v>11.070191832023307</c:v>
                </c:pt>
                <c:pt idx="4">
                  <c:v>5.8374099928543952</c:v>
                </c:pt>
                <c:pt idx="5">
                  <c:v>3.4079041389545428</c:v>
                </c:pt>
                <c:pt idx="6">
                  <c:v>2.8582421810586491</c:v>
                </c:pt>
                <c:pt idx="7">
                  <c:v>2.6108943000054965</c:v>
                </c:pt>
                <c:pt idx="8">
                  <c:v>2.0722255812675203</c:v>
                </c:pt>
                <c:pt idx="9">
                  <c:v>1.0223712416863628</c:v>
                </c:pt>
                <c:pt idx="10">
                  <c:v>0.42323970757983836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43776"/>
        <c:axId val="183296768"/>
      </c:barChart>
      <c:catAx>
        <c:axId val="1768437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 vert="horz"/>
          <a:lstStyle/>
          <a:p>
            <a:pPr>
              <a:defRPr sz="1000">
                <a:latin typeface="+mn-lt"/>
              </a:defRPr>
            </a:pPr>
            <a:endParaRPr lang="en-US"/>
          </a:p>
        </c:txPr>
        <c:crossAx val="183296768"/>
        <c:crosses val="autoZero"/>
        <c:auto val="1"/>
        <c:lblAlgn val="ctr"/>
        <c:lblOffset val="100"/>
        <c:noMultiLvlLbl val="0"/>
      </c:catAx>
      <c:valAx>
        <c:axId val="183296768"/>
        <c:scaling>
          <c:orientation val="minMax"/>
          <c:max val="35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535035548488121E-2"/>
              <c:y val="0.2923221903059147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76843776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8396057340234"/>
          <c:y val="0.16095376214378115"/>
          <c:w val="0.85930146775088978"/>
          <c:h val="0.80969088140362955"/>
        </c:manualLayout>
      </c:layout>
      <c:lineChart>
        <c:grouping val="standard"/>
        <c:varyColors val="0"/>
        <c:ser>
          <c:idx val="0"/>
          <c:order val="0"/>
          <c:tx>
            <c:strRef>
              <c:f>'8.1'!$AD$22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f>'8.1'!$AE$21:$AI$21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'8.1'!$AE$22:$AI$22</c:f>
              <c:numCache>
                <c:formatCode>#,##0.0</c:formatCode>
                <c:ptCount val="5"/>
                <c:pt idx="0">
                  <c:v>-0.14973795857249811</c:v>
                </c:pt>
                <c:pt idx="1">
                  <c:v>18.320419895026244</c:v>
                </c:pt>
                <c:pt idx="2">
                  <c:v>38.804393747359526</c:v>
                </c:pt>
                <c:pt idx="3">
                  <c:v>1.7044589864556383</c:v>
                </c:pt>
                <c:pt idx="4">
                  <c:v>-23.986233727367949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'8.1'!$AD$23</c:f>
              <c:strCache>
                <c:ptCount val="1"/>
                <c:pt idx="0">
                  <c:v>Traffic accidents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f>'8.1'!$AE$21:$AI$21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'8.1'!$AE$23:$AI$23</c:f>
              <c:numCache>
                <c:formatCode>#,##0.0</c:formatCode>
                <c:ptCount val="5"/>
                <c:pt idx="0">
                  <c:v>-19.349485562562229</c:v>
                </c:pt>
                <c:pt idx="1">
                  <c:v>-7.3662551440329223</c:v>
                </c:pt>
                <c:pt idx="2">
                  <c:v>-12.305641936916926</c:v>
                </c:pt>
                <c:pt idx="3">
                  <c:v>-2.2289766970618032</c:v>
                </c:pt>
                <c:pt idx="4">
                  <c:v>10.725388601036268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'8.1'!$AD$24</c:f>
              <c:strCache>
                <c:ptCount val="1"/>
                <c:pt idx="0">
                  <c:v>Drugs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</c:spPr>
          </c:marker>
          <c:cat>
            <c:numRef>
              <c:f>'8.1'!$AE$21:$AI$21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'8.1'!$AE$24:$AI$24</c:f>
              <c:numCache>
                <c:formatCode>#,##0.0</c:formatCode>
                <c:ptCount val="5"/>
                <c:pt idx="0">
                  <c:v>-31.65680473372781</c:v>
                </c:pt>
                <c:pt idx="1">
                  <c:v>12.739641311069882</c:v>
                </c:pt>
                <c:pt idx="2">
                  <c:v>39.001645639056498</c:v>
                </c:pt>
                <c:pt idx="3">
                  <c:v>56.471981057616418</c:v>
                </c:pt>
                <c:pt idx="4">
                  <c:v>-20.807061790668349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'8.1'!$AD$25</c:f>
              <c:strCache>
                <c:ptCount val="1"/>
                <c:pt idx="0">
                  <c:v>Lost Items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f>'8.1'!$AE$21:$AI$21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'8.1'!$AE$25:$AI$25</c:f>
              <c:numCache>
                <c:formatCode>#,##0.0</c:formatCode>
                <c:ptCount val="5"/>
                <c:pt idx="0">
                  <c:v>-19.91584852734923</c:v>
                </c:pt>
                <c:pt idx="1">
                  <c:v>-13.601868067717454</c:v>
                </c:pt>
                <c:pt idx="2">
                  <c:v>1.8918918918918921</c:v>
                </c:pt>
                <c:pt idx="3">
                  <c:v>31.49867374005305</c:v>
                </c:pt>
                <c:pt idx="4">
                  <c:v>1.5632879475542107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'8.1'!$AD$26</c:f>
              <c:strCache>
                <c:ptCount val="1"/>
                <c:pt idx="0">
                  <c:v>Assault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f>'8.1'!$AE$21:$AI$21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'8.1'!$AE$26:$AI$26</c:f>
              <c:numCache>
                <c:formatCode>#,##0.0</c:formatCode>
                <c:ptCount val="5"/>
                <c:pt idx="0">
                  <c:v>-23.7</c:v>
                </c:pt>
                <c:pt idx="1">
                  <c:v>-13.499344692005241</c:v>
                </c:pt>
                <c:pt idx="2">
                  <c:v>-4.2424242424242431</c:v>
                </c:pt>
                <c:pt idx="3">
                  <c:v>1.9778481012658229</c:v>
                </c:pt>
                <c:pt idx="4">
                  <c:v>-17.610550814584951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26720"/>
        <c:axId val="89328640"/>
      </c:lineChart>
      <c:catAx>
        <c:axId val="8932672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89328640"/>
        <c:crosses val="autoZero"/>
        <c:auto val="1"/>
        <c:lblAlgn val="ctr"/>
        <c:lblOffset val="100"/>
        <c:noMultiLvlLbl val="0"/>
      </c:catAx>
      <c:valAx>
        <c:axId val="893286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893267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143406652135052"/>
          <c:y val="0.17607197631810154"/>
          <c:w val="0.8160742005819484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52640"/>
        <c:axId val="123154432"/>
      </c:barChart>
      <c:catAx>
        <c:axId val="1231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154432"/>
        <c:crosses val="autoZero"/>
        <c:auto val="1"/>
        <c:lblAlgn val="ctr"/>
        <c:lblOffset val="100"/>
        <c:noMultiLvlLbl val="0"/>
      </c:catAx>
      <c:valAx>
        <c:axId val="123154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3152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97312"/>
        <c:axId val="123198848"/>
      </c:barChart>
      <c:catAx>
        <c:axId val="1231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198848"/>
        <c:crosses val="autoZero"/>
        <c:auto val="1"/>
        <c:lblAlgn val="ctr"/>
        <c:lblOffset val="100"/>
        <c:noMultiLvlLbl val="0"/>
      </c:catAx>
      <c:valAx>
        <c:axId val="123198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1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46080"/>
        <c:axId val="123247616"/>
      </c:barChart>
      <c:catAx>
        <c:axId val="1232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247616"/>
        <c:crosses val="autoZero"/>
        <c:auto val="1"/>
        <c:lblAlgn val="ctr"/>
        <c:lblOffset val="100"/>
        <c:noMultiLvlLbl val="0"/>
      </c:catAx>
      <c:valAx>
        <c:axId val="123247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246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75072"/>
        <c:axId val="123476608"/>
      </c:barChart>
      <c:catAx>
        <c:axId val="12347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476608"/>
        <c:crosses val="autoZero"/>
        <c:auto val="1"/>
        <c:lblAlgn val="ctr"/>
        <c:lblOffset val="100"/>
        <c:noMultiLvlLbl val="0"/>
      </c:catAx>
      <c:valAx>
        <c:axId val="123476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475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24224"/>
        <c:axId val="123525760"/>
      </c:barChart>
      <c:catAx>
        <c:axId val="1235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525760"/>
        <c:crosses val="autoZero"/>
        <c:auto val="1"/>
        <c:lblAlgn val="ctr"/>
        <c:lblOffset val="100"/>
        <c:noMultiLvlLbl val="0"/>
      </c:catAx>
      <c:valAx>
        <c:axId val="123525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352422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91488"/>
        <c:axId val="124597376"/>
      </c:barChart>
      <c:catAx>
        <c:axId val="12459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597376"/>
        <c:crosses val="autoZero"/>
        <c:auto val="1"/>
        <c:lblAlgn val="ctr"/>
        <c:lblOffset val="100"/>
        <c:noMultiLvlLbl val="0"/>
      </c:catAx>
      <c:valAx>
        <c:axId val="124597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591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35392"/>
        <c:axId val="124637184"/>
      </c:barChart>
      <c:catAx>
        <c:axId val="1246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637184"/>
        <c:crosses val="autoZero"/>
        <c:auto val="1"/>
        <c:lblAlgn val="ctr"/>
        <c:lblOffset val="100"/>
        <c:noMultiLvlLbl val="0"/>
      </c:catAx>
      <c:valAx>
        <c:axId val="124637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635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79208</xdr:colOff>
      <xdr:row>19</xdr:row>
      <xdr:rowOff>110289</xdr:rowOff>
    </xdr:from>
    <xdr:to>
      <xdr:col>10</xdr:col>
      <xdr:colOff>394135</xdr:colOff>
      <xdr:row>35</xdr:row>
      <xdr:rowOff>122522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171449</xdr:colOff>
      <xdr:row>21</xdr:row>
      <xdr:rowOff>47624</xdr:rowOff>
    </xdr:from>
    <xdr:to>
      <xdr:col>9</xdr:col>
      <xdr:colOff>676275</xdr:colOff>
      <xdr:row>21</xdr:row>
      <xdr:rowOff>47625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781299" y="5248274"/>
          <a:ext cx="4057651" cy="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37</xdr:row>
      <xdr:rowOff>152400</xdr:rowOff>
    </xdr:from>
    <xdr:to>
      <xdr:col>10</xdr:col>
      <xdr:colOff>400051</xdr:colOff>
      <xdr:row>52</xdr:row>
      <xdr:rowOff>80720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</xdr:colOff>
      <xdr:row>39</xdr:row>
      <xdr:rowOff>57150</xdr:rowOff>
    </xdr:from>
    <xdr:to>
      <xdr:col>9</xdr:col>
      <xdr:colOff>962025</xdr:colOff>
      <xdr:row>39</xdr:row>
      <xdr:rowOff>57150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076450" y="8715375"/>
          <a:ext cx="504825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0.08278</cdr:x>
      <cdr:y>0.0182</cdr:y>
    </cdr:from>
    <cdr:to>
      <cdr:x>0.94484</cdr:x>
      <cdr:y>0.09042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0283" y="59439"/>
          <a:ext cx="5210175" cy="2359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8.1: Percenatage change in selected  crimes,  2010 - 2014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28"/>
  <sheetViews>
    <sheetView tabSelected="1" zoomScale="130" zoomScaleNormal="130" zoomScaleSheetLayoutView="118" workbookViewId="0">
      <selection activeCell="O8" sqref="O8"/>
    </sheetView>
  </sheetViews>
  <sheetFormatPr defaultColWidth="9.140625" defaultRowHeight="15"/>
  <cols>
    <col min="1" max="1" width="21.28515625" style="1" customWidth="1"/>
    <col min="2" max="2" width="12" style="1" hidden="1" customWidth="1"/>
    <col min="3" max="3" width="8.42578125" style="1" hidden="1" customWidth="1"/>
    <col min="4" max="5" width="9.42578125" style="1" customWidth="1"/>
    <col min="6" max="6" width="9.7109375" style="1" customWidth="1"/>
    <col min="7" max="8" width="9.42578125" style="1" customWidth="1"/>
    <col min="9" max="9" width="15.28515625" style="1" customWidth="1"/>
    <col min="10" max="10" width="15.7109375" style="1" customWidth="1"/>
    <col min="11" max="11" width="21.5703125" style="1" customWidth="1"/>
    <col min="12" max="12" width="2.140625" style="1" customWidth="1"/>
    <col min="13" max="27" width="13.85546875" style="1" customWidth="1"/>
    <col min="28" max="28" width="6.42578125" style="1" customWidth="1"/>
    <col min="29" max="30" width="9.140625" style="1"/>
    <col min="31" max="31" width="13.28515625" style="1" customWidth="1"/>
    <col min="32" max="16384" width="9.140625" style="1"/>
  </cols>
  <sheetData>
    <row r="1" spans="1:31" ht="21.75">
      <c r="A1" s="80" t="s">
        <v>94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31" ht="21.75" customHeight="1">
      <c r="A2" s="81" t="s">
        <v>95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31" ht="51.75" customHeight="1">
      <c r="A3" s="82" t="s">
        <v>67</v>
      </c>
      <c r="B3" s="84">
        <v>2008</v>
      </c>
      <c r="C3" s="84">
        <v>2009</v>
      </c>
      <c r="D3" s="86">
        <v>2010</v>
      </c>
      <c r="E3" s="86">
        <v>2011</v>
      </c>
      <c r="F3" s="86">
        <v>2012</v>
      </c>
      <c r="G3" s="86">
        <v>2013</v>
      </c>
      <c r="H3" s="86">
        <v>2014</v>
      </c>
      <c r="I3" s="65" t="s">
        <v>68</v>
      </c>
      <c r="J3" s="65" t="s">
        <v>91</v>
      </c>
      <c r="K3" s="88" t="s">
        <v>3</v>
      </c>
      <c r="Y3" s="2"/>
      <c r="Z3" s="2"/>
      <c r="AA3" s="2"/>
      <c r="AB3" s="2"/>
      <c r="AC3" s="2"/>
      <c r="AD3" s="2"/>
    </row>
    <row r="4" spans="1:31" ht="15.75" customHeight="1">
      <c r="A4" s="83"/>
      <c r="B4" s="85"/>
      <c r="C4" s="85"/>
      <c r="D4" s="87"/>
      <c r="E4" s="87"/>
      <c r="F4" s="87"/>
      <c r="G4" s="87"/>
      <c r="H4" s="87"/>
      <c r="I4" s="77" t="s">
        <v>93</v>
      </c>
      <c r="J4" s="77" t="s">
        <v>92</v>
      </c>
      <c r="K4" s="89"/>
      <c r="Y4" s="2"/>
      <c r="Z4" s="2"/>
      <c r="AA4" s="2"/>
      <c r="AB4" s="2"/>
      <c r="AC4" s="2"/>
      <c r="AD4" s="2"/>
    </row>
    <row r="5" spans="1:31" ht="19.5" customHeight="1">
      <c r="A5" s="20" t="s">
        <v>0</v>
      </c>
      <c r="B5" s="3">
        <v>17674</v>
      </c>
      <c r="C5" s="14">
        <v>19259</v>
      </c>
      <c r="D5" s="64">
        <f>SUM(D6:D17)</f>
        <v>16994</v>
      </c>
      <c r="E5" s="57">
        <f>SUM(E6:E17)</f>
        <v>17803</v>
      </c>
      <c r="F5" s="57">
        <f>SUM(F6:F17)</f>
        <v>20512</v>
      </c>
      <c r="G5" s="62">
        <f>SUM(G6:G17)</f>
        <v>21885</v>
      </c>
      <c r="H5" s="62">
        <f>SUM(H6:H17)</f>
        <v>18193</v>
      </c>
      <c r="I5" s="71">
        <f>H5/$H$5*100</f>
        <v>100</v>
      </c>
      <c r="J5" s="72">
        <f>((H5-G5)/G5)*100</f>
        <v>-16.870002284669866</v>
      </c>
      <c r="K5" s="10" t="s">
        <v>1</v>
      </c>
      <c r="Y5" s="2"/>
      <c r="Z5" s="2"/>
      <c r="AA5" s="2"/>
      <c r="AB5" s="2"/>
      <c r="AC5" s="2"/>
      <c r="AD5" s="2" t="s">
        <v>4</v>
      </c>
      <c r="AE5" s="70">
        <v>27.922827461111417</v>
      </c>
    </row>
    <row r="6" spans="1:31" ht="19.5" customHeight="1">
      <c r="A6" s="21" t="s">
        <v>4</v>
      </c>
      <c r="B6" s="5">
        <v>3903</v>
      </c>
      <c r="C6" s="15">
        <v>4007</v>
      </c>
      <c r="D6" s="58">
        <v>4001</v>
      </c>
      <c r="E6" s="58">
        <v>4734</v>
      </c>
      <c r="F6" s="58">
        <v>6571</v>
      </c>
      <c r="G6" s="66">
        <v>6683</v>
      </c>
      <c r="H6" s="66">
        <v>5080</v>
      </c>
      <c r="I6" s="73">
        <f>H6/$H$5*100</f>
        <v>27.922827461111417</v>
      </c>
      <c r="J6" s="74">
        <f>((H6-G6)/G6)*100</f>
        <v>-23.986233727367949</v>
      </c>
      <c r="K6" s="12" t="s">
        <v>5</v>
      </c>
      <c r="Y6" s="2"/>
      <c r="Z6" s="2"/>
      <c r="AA6" s="2"/>
      <c r="AB6" s="2"/>
      <c r="AC6" s="2"/>
      <c r="AD6" s="2" t="s">
        <v>7</v>
      </c>
      <c r="AE6" s="70">
        <v>17.259385477931072</v>
      </c>
    </row>
    <row r="7" spans="1:31" ht="19.5" customHeight="1">
      <c r="A7" s="21" t="s">
        <v>65</v>
      </c>
      <c r="B7" s="5">
        <v>3838</v>
      </c>
      <c r="C7" s="15">
        <v>3013</v>
      </c>
      <c r="D7" s="58">
        <v>2430</v>
      </c>
      <c r="E7" s="58">
        <v>2251</v>
      </c>
      <c r="F7" s="63">
        <v>1974</v>
      </c>
      <c r="G7" s="61">
        <v>1930</v>
      </c>
      <c r="H7" s="61">
        <v>2137</v>
      </c>
      <c r="I7" s="73">
        <f>H7/$H$5*100</f>
        <v>11.746276040235255</v>
      </c>
      <c r="J7" s="74">
        <f>((H7-G7)/G7)*100</f>
        <v>10.725388601036268</v>
      </c>
      <c r="K7" s="12" t="s">
        <v>6</v>
      </c>
      <c r="Y7" s="2"/>
      <c r="Z7" s="2"/>
      <c r="AA7" s="2"/>
      <c r="AB7" s="2"/>
      <c r="AC7" s="2"/>
      <c r="AD7" s="2" t="s">
        <v>65</v>
      </c>
      <c r="AE7" s="70">
        <v>11.746276040235255</v>
      </c>
    </row>
    <row r="8" spans="1:31" ht="19.5" customHeight="1">
      <c r="A8" s="21" t="s">
        <v>7</v>
      </c>
      <c r="B8" s="5">
        <v>2484</v>
      </c>
      <c r="C8" s="15">
        <v>2366</v>
      </c>
      <c r="D8" s="58">
        <v>1617</v>
      </c>
      <c r="E8" s="58">
        <v>1823</v>
      </c>
      <c r="F8" s="58">
        <v>2534</v>
      </c>
      <c r="G8" s="66">
        <v>3965</v>
      </c>
      <c r="H8" s="66">
        <v>3140</v>
      </c>
      <c r="I8" s="73">
        <f>H8/$H$5*100</f>
        <v>17.259385477931072</v>
      </c>
      <c r="J8" s="74">
        <f>((H8-G8)/G8)*100</f>
        <v>-20.807061790668349</v>
      </c>
      <c r="K8" s="12" t="s">
        <v>8</v>
      </c>
      <c r="Y8" s="2"/>
      <c r="Z8" s="2"/>
      <c r="AA8" s="2"/>
      <c r="AB8" s="2"/>
      <c r="AC8" s="2"/>
      <c r="AD8" s="2" t="s">
        <v>66</v>
      </c>
      <c r="AE8" s="70">
        <v>11.070191832023307</v>
      </c>
    </row>
    <row r="9" spans="1:31" ht="19.5" customHeight="1">
      <c r="A9" s="21" t="s">
        <v>66</v>
      </c>
      <c r="B9" s="5">
        <v>1520</v>
      </c>
      <c r="C9" s="15">
        <v>2139</v>
      </c>
      <c r="D9" s="59">
        <v>1713</v>
      </c>
      <c r="E9" s="59">
        <v>1480</v>
      </c>
      <c r="F9" s="59">
        <v>1508</v>
      </c>
      <c r="G9" s="66">
        <v>1983</v>
      </c>
      <c r="H9" s="66">
        <v>2014</v>
      </c>
      <c r="I9" s="73">
        <f t="shared" ref="I9:I17" si="0">H9/$H$5*100</f>
        <v>11.070191832023307</v>
      </c>
      <c r="J9" s="74">
        <f>((H9-G9)/G9)*100</f>
        <v>1.5632879475542107</v>
      </c>
      <c r="K9" s="12" t="s">
        <v>9</v>
      </c>
      <c r="Y9" s="2"/>
      <c r="Z9" s="2"/>
      <c r="AA9" s="2"/>
      <c r="AB9" s="2"/>
      <c r="AC9" s="2"/>
      <c r="AD9" s="2" t="s">
        <v>10</v>
      </c>
      <c r="AE9" s="70">
        <v>5.8374099928543952</v>
      </c>
    </row>
    <row r="10" spans="1:31" ht="19.5" customHeight="1">
      <c r="A10" s="21" t="s">
        <v>10</v>
      </c>
      <c r="B10" s="5">
        <v>1602</v>
      </c>
      <c r="C10" s="15">
        <v>2000</v>
      </c>
      <c r="D10" s="58">
        <v>1526</v>
      </c>
      <c r="E10" s="58">
        <v>1320</v>
      </c>
      <c r="F10" s="58">
        <v>1264</v>
      </c>
      <c r="G10" s="66">
        <v>1289</v>
      </c>
      <c r="H10" s="66">
        <v>1062</v>
      </c>
      <c r="I10" s="73">
        <f>H10/$H$5*100</f>
        <v>5.8374099928543952</v>
      </c>
      <c r="J10" s="74">
        <f t="shared" ref="J10:J17" si="1">((H10-G10)/G10)*100</f>
        <v>-17.610550814584951</v>
      </c>
      <c r="K10" s="12" t="s">
        <v>11</v>
      </c>
      <c r="Y10" s="2"/>
      <c r="Z10" s="2"/>
      <c r="AA10" s="2"/>
      <c r="AB10" s="2"/>
      <c r="AC10" s="2"/>
      <c r="AD10" s="2" t="s">
        <v>14</v>
      </c>
      <c r="AE10" s="70">
        <v>3.4079041389545428</v>
      </c>
    </row>
    <row r="11" spans="1:31" ht="19.5" customHeight="1">
      <c r="A11" s="21" t="s">
        <v>12</v>
      </c>
      <c r="B11" s="5">
        <v>648</v>
      </c>
      <c r="C11" s="15">
        <v>902</v>
      </c>
      <c r="D11" s="58">
        <v>849</v>
      </c>
      <c r="E11" s="58">
        <v>775</v>
      </c>
      <c r="F11" s="58">
        <v>880</v>
      </c>
      <c r="G11" s="66">
        <v>728</v>
      </c>
      <c r="H11" s="66">
        <v>520</v>
      </c>
      <c r="I11" s="73">
        <f>H11/$H$5*100</f>
        <v>2.8582421810586491</v>
      </c>
      <c r="J11" s="74">
        <f>((H11-G11)/G11)*100</f>
        <v>-28.571428571428569</v>
      </c>
      <c r="K11" s="12" t="s">
        <v>13</v>
      </c>
      <c r="Y11" s="2"/>
      <c r="Z11" s="2"/>
      <c r="AA11" s="2"/>
      <c r="AB11" s="2"/>
      <c r="AC11" s="2"/>
      <c r="AD11" s="2" t="s">
        <v>12</v>
      </c>
      <c r="AE11" s="70">
        <v>2.8582421810586491</v>
      </c>
    </row>
    <row r="12" spans="1:31" ht="19.5" customHeight="1">
      <c r="A12" s="21" t="s">
        <v>14</v>
      </c>
      <c r="B12" s="5">
        <v>596</v>
      </c>
      <c r="C12" s="15">
        <v>589</v>
      </c>
      <c r="D12" s="58">
        <v>547</v>
      </c>
      <c r="E12" s="58">
        <v>718</v>
      </c>
      <c r="F12" s="58">
        <v>972</v>
      </c>
      <c r="G12" s="66">
        <v>729</v>
      </c>
      <c r="H12" s="66">
        <v>620</v>
      </c>
      <c r="I12" s="73">
        <f>H12/$H$5*100</f>
        <v>3.4079041389545428</v>
      </c>
      <c r="J12" s="74">
        <f t="shared" si="1"/>
        <v>-14.951989026063101</v>
      </c>
      <c r="K12" s="12" t="s">
        <v>15</v>
      </c>
      <c r="Y12" s="2"/>
      <c r="Z12" s="2"/>
      <c r="AA12" s="2"/>
      <c r="AB12" s="2"/>
      <c r="AC12" s="2"/>
      <c r="AD12" s="2" t="s">
        <v>16</v>
      </c>
      <c r="AE12" s="70">
        <v>2.6108943000054965</v>
      </c>
    </row>
    <row r="13" spans="1:31" ht="19.5" customHeight="1">
      <c r="A13" s="21" t="s">
        <v>16</v>
      </c>
      <c r="B13" s="5">
        <v>455</v>
      </c>
      <c r="C13" s="15">
        <v>563</v>
      </c>
      <c r="D13" s="58">
        <v>523</v>
      </c>
      <c r="E13" s="58">
        <v>642</v>
      </c>
      <c r="F13" s="58">
        <v>577</v>
      </c>
      <c r="G13" s="66">
        <v>573</v>
      </c>
      <c r="H13" s="66">
        <v>475</v>
      </c>
      <c r="I13" s="73">
        <f t="shared" si="0"/>
        <v>2.6108943000054965</v>
      </c>
      <c r="J13" s="74">
        <f>((H13-G13)/G13)*100</f>
        <v>-17.102966841186738</v>
      </c>
      <c r="K13" s="12" t="s">
        <v>17</v>
      </c>
      <c r="Y13" s="2"/>
      <c r="Z13" s="2"/>
      <c r="AA13" s="2"/>
      <c r="AB13" s="2"/>
      <c r="AC13" s="2"/>
      <c r="AD13" s="2" t="s">
        <v>18</v>
      </c>
      <c r="AE13" s="70">
        <v>2.0722255812675203</v>
      </c>
    </row>
    <row r="14" spans="1:31" ht="19.5" customHeight="1">
      <c r="A14" s="21" t="s">
        <v>18</v>
      </c>
      <c r="B14" s="5">
        <v>313</v>
      </c>
      <c r="C14" s="15">
        <v>391</v>
      </c>
      <c r="D14" s="58">
        <v>406</v>
      </c>
      <c r="E14" s="58">
        <v>364</v>
      </c>
      <c r="F14" s="58">
        <v>311</v>
      </c>
      <c r="G14" s="66">
        <v>391</v>
      </c>
      <c r="H14" s="66">
        <v>377</v>
      </c>
      <c r="I14" s="73">
        <f t="shared" si="0"/>
        <v>2.0722255812675203</v>
      </c>
      <c r="J14" s="74">
        <f t="shared" si="1"/>
        <v>-3.5805626598465472</v>
      </c>
      <c r="K14" s="12" t="s">
        <v>19</v>
      </c>
      <c r="Y14" s="2"/>
      <c r="Z14" s="2"/>
      <c r="AA14" s="2"/>
      <c r="AB14" s="2"/>
      <c r="AC14" s="2"/>
      <c r="AD14" s="2" t="s">
        <v>20</v>
      </c>
      <c r="AE14" s="70">
        <v>1.0223712416863628</v>
      </c>
    </row>
    <row r="15" spans="1:31" ht="19.5" customHeight="1">
      <c r="A15" s="21" t="s">
        <v>20</v>
      </c>
      <c r="B15" s="5">
        <v>172</v>
      </c>
      <c r="C15" s="15">
        <v>156</v>
      </c>
      <c r="D15" s="58">
        <v>84</v>
      </c>
      <c r="E15" s="58">
        <v>146</v>
      </c>
      <c r="F15" s="58">
        <v>179</v>
      </c>
      <c r="G15" s="66">
        <v>207</v>
      </c>
      <c r="H15" s="66">
        <v>186</v>
      </c>
      <c r="I15" s="73">
        <f t="shared" si="0"/>
        <v>1.0223712416863628</v>
      </c>
      <c r="J15" s="74">
        <f t="shared" si="1"/>
        <v>-10.144927536231885</v>
      </c>
      <c r="K15" s="12" t="s">
        <v>21</v>
      </c>
      <c r="Y15" s="2"/>
      <c r="Z15" s="2"/>
      <c r="AA15" s="2"/>
      <c r="AB15" s="2"/>
      <c r="AC15" s="2"/>
      <c r="AD15" s="2" t="s">
        <v>96</v>
      </c>
      <c r="AE15" s="70">
        <v>0.42323970757983836</v>
      </c>
    </row>
    <row r="16" spans="1:31" ht="19.5" customHeight="1">
      <c r="A16" s="21" t="s">
        <v>96</v>
      </c>
      <c r="B16" s="5">
        <v>98</v>
      </c>
      <c r="C16" s="15">
        <v>133</v>
      </c>
      <c r="D16" s="58">
        <v>167</v>
      </c>
      <c r="E16" s="58">
        <v>136</v>
      </c>
      <c r="F16" s="58">
        <v>126</v>
      </c>
      <c r="G16" s="66">
        <v>97</v>
      </c>
      <c r="H16" s="66">
        <v>77</v>
      </c>
      <c r="I16" s="73">
        <f t="shared" si="0"/>
        <v>0.42323970757983836</v>
      </c>
      <c r="J16" s="74">
        <f t="shared" si="1"/>
        <v>-20.618556701030926</v>
      </c>
      <c r="K16" s="12" t="s">
        <v>97</v>
      </c>
      <c r="Y16" s="2"/>
      <c r="Z16" s="2"/>
      <c r="AA16" s="2"/>
      <c r="AB16" s="2"/>
      <c r="AC16" s="2"/>
      <c r="AD16" s="2" t="s">
        <v>22</v>
      </c>
      <c r="AE16" s="70">
        <v>13.769032045292146</v>
      </c>
    </row>
    <row r="17" spans="1:35" ht="19.5" customHeight="1">
      <c r="A17" s="22" t="s">
        <v>22</v>
      </c>
      <c r="B17" s="8">
        <v>1763</v>
      </c>
      <c r="C17" s="16">
        <v>2399</v>
      </c>
      <c r="D17" s="60">
        <v>3131</v>
      </c>
      <c r="E17" s="60">
        <v>3414</v>
      </c>
      <c r="F17" s="60">
        <v>3616</v>
      </c>
      <c r="G17" s="67">
        <v>3310</v>
      </c>
      <c r="H17" s="67">
        <v>2505</v>
      </c>
      <c r="I17" s="75">
        <f t="shared" si="0"/>
        <v>13.769032045292146</v>
      </c>
      <c r="J17" s="76">
        <f t="shared" si="1"/>
        <v>-24.320241691842899</v>
      </c>
      <c r="K17" s="13" t="s">
        <v>23</v>
      </c>
      <c r="Y17" s="2"/>
      <c r="Z17" s="2"/>
      <c r="AA17" s="2"/>
      <c r="AB17" s="2"/>
      <c r="AC17" s="2"/>
    </row>
    <row r="18" spans="1:35" s="18" customFormat="1">
      <c r="A18" s="68" t="s">
        <v>24</v>
      </c>
      <c r="B18" s="17"/>
      <c r="C18" s="17"/>
      <c r="D18" s="17"/>
      <c r="E18" s="17"/>
      <c r="F18" s="17"/>
      <c r="G18" s="17"/>
      <c r="H18" s="17"/>
      <c r="I18" s="17"/>
      <c r="J18" s="17"/>
      <c r="K18" s="69" t="s">
        <v>26</v>
      </c>
      <c r="Y18" s="19"/>
      <c r="Z18" s="19"/>
      <c r="AA18" s="19"/>
      <c r="AB18" s="19"/>
      <c r="AC18" s="19"/>
      <c r="AD18" s="19"/>
    </row>
    <row r="19" spans="1:35" s="18" customFormat="1">
      <c r="A19" s="78"/>
      <c r="B19" s="17"/>
      <c r="C19" s="17"/>
      <c r="D19" s="17"/>
      <c r="E19" s="17"/>
      <c r="F19" s="17"/>
      <c r="G19" s="17"/>
      <c r="H19" s="17"/>
      <c r="I19" s="17"/>
      <c r="J19" s="17"/>
      <c r="K19" s="79"/>
      <c r="Y19" s="19"/>
      <c r="Z19" s="19"/>
      <c r="AA19" s="19"/>
      <c r="AB19" s="19"/>
      <c r="AC19" s="19"/>
      <c r="AD19" s="19"/>
    </row>
    <row r="21" spans="1:35">
      <c r="AE21" s="1">
        <v>2010</v>
      </c>
      <c r="AF21" s="1">
        <v>2011</v>
      </c>
      <c r="AG21" s="1">
        <v>2012</v>
      </c>
      <c r="AH21" s="1">
        <v>2013</v>
      </c>
      <c r="AI21" s="1">
        <v>2014</v>
      </c>
    </row>
    <row r="22" spans="1:35">
      <c r="Y22" s="2"/>
      <c r="Z22" s="2"/>
      <c r="AA22" s="2"/>
      <c r="AB22" s="2"/>
      <c r="AC22" s="2"/>
      <c r="AD22" s="21" t="s">
        <v>4</v>
      </c>
      <c r="AE22" s="74">
        <f>((D6-C6)/C6)*100</f>
        <v>-0.14973795857249811</v>
      </c>
      <c r="AF22" s="74">
        <f t="shared" ref="AF22:AI26" si="2">((E6-D6)/D6)*100</f>
        <v>18.320419895026244</v>
      </c>
      <c r="AG22" s="74">
        <f t="shared" si="2"/>
        <v>38.804393747359526</v>
      </c>
      <c r="AH22" s="74">
        <f t="shared" si="2"/>
        <v>1.7044589864556383</v>
      </c>
      <c r="AI22" s="74">
        <f t="shared" si="2"/>
        <v>-23.986233727367949</v>
      </c>
    </row>
    <row r="23" spans="1:35">
      <c r="Y23" s="2"/>
      <c r="Z23" s="2"/>
      <c r="AA23" s="2"/>
      <c r="AB23" s="2"/>
      <c r="AC23" s="2"/>
      <c r="AD23" s="21" t="s">
        <v>65</v>
      </c>
      <c r="AE23" s="74">
        <f t="shared" ref="AE23:AE26" si="3">((D7-C7)/C7)*100</f>
        <v>-19.349485562562229</v>
      </c>
      <c r="AF23" s="74">
        <f t="shared" si="2"/>
        <v>-7.3662551440329223</v>
      </c>
      <c r="AG23" s="74">
        <f t="shared" si="2"/>
        <v>-12.305641936916926</v>
      </c>
      <c r="AH23" s="74">
        <f t="shared" si="2"/>
        <v>-2.2289766970618032</v>
      </c>
      <c r="AI23" s="74">
        <f t="shared" si="2"/>
        <v>10.725388601036268</v>
      </c>
    </row>
    <row r="24" spans="1:35">
      <c r="Y24" s="2"/>
      <c r="Z24" s="2"/>
      <c r="AA24" s="2"/>
      <c r="AB24" s="2"/>
      <c r="AC24" s="2"/>
      <c r="AD24" s="21" t="s">
        <v>7</v>
      </c>
      <c r="AE24" s="74">
        <f t="shared" si="3"/>
        <v>-31.65680473372781</v>
      </c>
      <c r="AF24" s="74">
        <f t="shared" si="2"/>
        <v>12.739641311069882</v>
      </c>
      <c r="AG24" s="74">
        <f t="shared" si="2"/>
        <v>39.001645639056498</v>
      </c>
      <c r="AH24" s="74">
        <f t="shared" si="2"/>
        <v>56.471981057616418</v>
      </c>
      <c r="AI24" s="74">
        <f t="shared" si="2"/>
        <v>-20.807061790668349</v>
      </c>
    </row>
    <row r="25" spans="1:35">
      <c r="Y25" s="2"/>
      <c r="Z25" s="2"/>
      <c r="AA25" s="2"/>
      <c r="AB25" s="2"/>
      <c r="AC25" s="2"/>
      <c r="AD25" s="21" t="s">
        <v>66</v>
      </c>
      <c r="AE25" s="74">
        <f t="shared" si="3"/>
        <v>-19.91584852734923</v>
      </c>
      <c r="AF25" s="74">
        <f t="shared" si="2"/>
        <v>-13.601868067717454</v>
      </c>
      <c r="AG25" s="74">
        <f t="shared" si="2"/>
        <v>1.8918918918918921</v>
      </c>
      <c r="AH25" s="74">
        <f t="shared" si="2"/>
        <v>31.49867374005305</v>
      </c>
      <c r="AI25" s="74">
        <f t="shared" si="2"/>
        <v>1.5632879475542107</v>
      </c>
    </row>
    <row r="26" spans="1:35" ht="17.25">
      <c r="A26" s="4"/>
      <c r="B26" s="5"/>
      <c r="C26" s="5"/>
      <c r="D26" s="5"/>
      <c r="E26" s="5"/>
      <c r="F26" s="5"/>
      <c r="G26" s="6"/>
      <c r="H26" s="6"/>
      <c r="I26" s="6"/>
      <c r="J26" s="6"/>
      <c r="K26" s="7"/>
      <c r="Y26" s="2"/>
      <c r="Z26" s="2"/>
      <c r="AA26" s="2"/>
      <c r="AB26" s="2"/>
      <c r="AC26" s="2"/>
      <c r="AD26" s="21" t="s">
        <v>10</v>
      </c>
      <c r="AE26" s="74">
        <f t="shared" si="3"/>
        <v>-23.7</v>
      </c>
      <c r="AF26" s="74">
        <f t="shared" si="2"/>
        <v>-13.499344692005241</v>
      </c>
      <c r="AG26" s="74">
        <f t="shared" si="2"/>
        <v>-4.2424242424242431</v>
      </c>
      <c r="AH26" s="74">
        <f t="shared" si="2"/>
        <v>1.9778481012658229</v>
      </c>
      <c r="AI26" s="74">
        <f t="shared" si="2"/>
        <v>-17.610550814584951</v>
      </c>
    </row>
    <row r="27" spans="1:35">
      <c r="Y27" s="2"/>
      <c r="Z27" s="2"/>
      <c r="AA27" s="2"/>
      <c r="AB27" s="2"/>
      <c r="AC27" s="2"/>
      <c r="AD27" s="2"/>
    </row>
    <row r="28" spans="1:35">
      <c r="Y28" s="2"/>
      <c r="Z28" s="2"/>
      <c r="AA28" s="2"/>
      <c r="AB28" s="2"/>
      <c r="AC28" s="2"/>
      <c r="AD28" s="2"/>
    </row>
  </sheetData>
  <sortState ref="AD5:AE16">
    <sortCondition descending="1" ref="AE5"/>
  </sortState>
  <mergeCells count="11">
    <mergeCell ref="A1:K1"/>
    <mergeCell ref="A2:K2"/>
    <mergeCell ref="A3:A4"/>
    <mergeCell ref="B3:B4"/>
    <mergeCell ref="C3:C4"/>
    <mergeCell ref="D3:D4"/>
    <mergeCell ref="E3:E4"/>
    <mergeCell ref="F3:F4"/>
    <mergeCell ref="K3:K4"/>
    <mergeCell ref="G3:G4"/>
    <mergeCell ref="H3:H4"/>
  </mergeCells>
  <pageMargins left="0.17" right="0.16" top="0.25" bottom="0.28999999999999998" header="0.17" footer="0.3"/>
  <pageSetup paperSize="9" scale="105" orientation="landscape" r:id="rId1"/>
  <rowBreaks count="1" manualBreakCount="1">
    <brk id="19" max="11" man="1"/>
  </rowBreaks>
  <colBreaks count="1" manualBreakCount="1">
    <brk id="23" max="1048575" man="1"/>
  </colBreaks>
  <ignoredErrors>
    <ignoredError sqref="J5 J14:J17 J12 J10 J8 J6:J7 J9 J11 J1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9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1" customWidth="1"/>
    <col min="36" max="16384" width="12.28515625" style="1"/>
  </cols>
  <sheetData>
    <row r="1" spans="1:36" ht="21">
      <c r="A1" s="90" t="s">
        <v>76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6">
      <c r="A2" s="91" t="s">
        <v>69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36" ht="15" customHeight="1">
      <c r="A3" s="92"/>
      <c r="B3" s="92"/>
      <c r="C3" s="94" t="s">
        <v>61</v>
      </c>
      <c r="D3" s="94"/>
      <c r="E3" s="94"/>
      <c r="F3" s="94"/>
      <c r="G3" s="94"/>
      <c r="H3" s="48"/>
      <c r="I3" s="48"/>
      <c r="J3" s="95" t="s">
        <v>27</v>
      </c>
      <c r="K3" s="95"/>
      <c r="L3" s="95"/>
      <c r="M3" s="95"/>
      <c r="N3" s="95"/>
      <c r="O3" s="43"/>
      <c r="P3" s="95" t="s">
        <v>28</v>
      </c>
      <c r="Q3" s="95"/>
      <c r="R3" s="95"/>
      <c r="S3" s="95"/>
      <c r="T3" s="95"/>
      <c r="U3" s="25"/>
      <c r="V3" s="25"/>
      <c r="W3" s="25"/>
      <c r="X3" s="96" t="s">
        <v>29</v>
      </c>
      <c r="Y3" s="96"/>
      <c r="Z3" s="96"/>
      <c r="AA3" s="96"/>
      <c r="AB3" s="96"/>
      <c r="AC3" s="44"/>
      <c r="AD3" s="44"/>
      <c r="AE3" s="96" t="s">
        <v>30</v>
      </c>
      <c r="AF3" s="96"/>
      <c r="AG3" s="96"/>
      <c r="AH3" s="96"/>
      <c r="AI3" s="96"/>
    </row>
    <row r="4" spans="1:36" ht="25.5">
      <c r="A4" s="93"/>
      <c r="B4" s="93"/>
      <c r="C4" s="49" t="s">
        <v>31</v>
      </c>
      <c r="D4" s="49" t="s">
        <v>32</v>
      </c>
      <c r="E4" s="49" t="s">
        <v>25</v>
      </c>
      <c r="F4" s="50" t="s">
        <v>33</v>
      </c>
      <c r="G4" s="49" t="s">
        <v>34</v>
      </c>
      <c r="H4" s="49" t="s">
        <v>71</v>
      </c>
      <c r="I4" s="49" t="s">
        <v>77</v>
      </c>
      <c r="J4" s="32" t="s">
        <v>31</v>
      </c>
      <c r="K4" s="32" t="s">
        <v>32</v>
      </c>
      <c r="L4" s="32" t="s">
        <v>25</v>
      </c>
      <c r="M4" s="33" t="s">
        <v>33</v>
      </c>
      <c r="N4" s="32" t="s">
        <v>34</v>
      </c>
      <c r="O4" s="49" t="s">
        <v>71</v>
      </c>
      <c r="P4" s="32" t="s">
        <v>31</v>
      </c>
      <c r="Q4" s="32" t="s">
        <v>32</v>
      </c>
      <c r="R4" s="32" t="s">
        <v>25</v>
      </c>
      <c r="S4" s="33" t="s">
        <v>33</v>
      </c>
      <c r="T4" s="32" t="s">
        <v>34</v>
      </c>
      <c r="U4" s="49" t="s">
        <v>71</v>
      </c>
      <c r="V4" s="49"/>
      <c r="W4" s="49"/>
      <c r="X4" s="32" t="s">
        <v>31</v>
      </c>
      <c r="Y4" s="32" t="s">
        <v>32</v>
      </c>
      <c r="Z4" s="32" t="s">
        <v>25</v>
      </c>
      <c r="AA4" s="33" t="s">
        <v>33</v>
      </c>
      <c r="AB4" s="32" t="s">
        <v>34</v>
      </c>
      <c r="AC4" s="49" t="s">
        <v>71</v>
      </c>
      <c r="AD4" s="49"/>
      <c r="AE4" s="32" t="s">
        <v>31</v>
      </c>
      <c r="AF4" s="32" t="s">
        <v>32</v>
      </c>
      <c r="AG4" s="32" t="s">
        <v>25</v>
      </c>
      <c r="AH4" s="33" t="s">
        <v>33</v>
      </c>
      <c r="AI4" s="32" t="s">
        <v>34</v>
      </c>
      <c r="AJ4" s="49" t="s">
        <v>71</v>
      </c>
    </row>
    <row r="5" spans="1:36" ht="14.25" customHeight="1">
      <c r="A5" s="42"/>
      <c r="B5" s="46" t="s">
        <v>73</v>
      </c>
      <c r="C5" s="51">
        <f t="shared" ref="C5:G32" si="0">J5+P5</f>
        <v>3010</v>
      </c>
      <c r="D5" s="51">
        <f t="shared" si="0"/>
        <v>2381</v>
      </c>
      <c r="E5" s="51">
        <f t="shared" si="0"/>
        <v>5391</v>
      </c>
      <c r="F5" s="51">
        <f>M5+S5</f>
        <v>1774</v>
      </c>
      <c r="G5" s="51">
        <f t="shared" si="0"/>
        <v>3617</v>
      </c>
      <c r="H5" s="52">
        <f>F5/E5*100</f>
        <v>32.906696345761453</v>
      </c>
      <c r="I5" s="52">
        <f>G5/E5*100</f>
        <v>67.093303654238539</v>
      </c>
      <c r="J5" s="29">
        <v>2893</v>
      </c>
      <c r="K5" s="29">
        <v>2200</v>
      </c>
      <c r="L5" s="29">
        <v>5093</v>
      </c>
      <c r="M5" s="29">
        <v>1617</v>
      </c>
      <c r="N5" s="29">
        <v>3476</v>
      </c>
      <c r="O5" s="52">
        <f>M5/L5*100</f>
        <v>31.749460043196542</v>
      </c>
      <c r="P5" s="29">
        <v>117</v>
      </c>
      <c r="Q5" s="29">
        <v>181</v>
      </c>
      <c r="R5" s="29">
        <v>298</v>
      </c>
      <c r="S5" s="29">
        <v>157</v>
      </c>
      <c r="T5" s="29">
        <v>141</v>
      </c>
      <c r="U5" s="52">
        <f>S5/R5*100</f>
        <v>52.68456375838926</v>
      </c>
      <c r="V5" s="52"/>
      <c r="W5" s="46" t="s">
        <v>73</v>
      </c>
      <c r="X5" s="29">
        <v>3628</v>
      </c>
      <c r="Y5" s="29">
        <v>6873</v>
      </c>
      <c r="Z5" s="29">
        <v>10500</v>
      </c>
      <c r="AA5" s="29">
        <v>6554</v>
      </c>
      <c r="AB5" s="29">
        <v>3946</v>
      </c>
      <c r="AC5" s="52">
        <f>AA5/Z5*100</f>
        <v>62.419047619047618</v>
      </c>
      <c r="AD5" s="46" t="s">
        <v>73</v>
      </c>
      <c r="AE5" s="29">
        <v>890</v>
      </c>
      <c r="AF5" s="29">
        <v>6097</v>
      </c>
      <c r="AG5" s="29">
        <v>6987</v>
      </c>
      <c r="AH5" s="29">
        <v>5904</v>
      </c>
      <c r="AI5" s="29">
        <v>1083</v>
      </c>
      <c r="AJ5" s="52">
        <f>AH5/AG5*100</f>
        <v>84.499785315586081</v>
      </c>
    </row>
    <row r="6" spans="1:36" ht="14.25" customHeight="1">
      <c r="A6" s="42"/>
      <c r="B6" s="46" t="s">
        <v>74</v>
      </c>
      <c r="C6" s="51">
        <f t="shared" si="0"/>
        <v>2247</v>
      </c>
      <c r="D6" s="51">
        <f t="shared" si="0"/>
        <v>1246</v>
      </c>
      <c r="E6" s="51">
        <f t="shared" si="0"/>
        <v>3493</v>
      </c>
      <c r="F6" s="51">
        <f t="shared" si="0"/>
        <v>1084</v>
      </c>
      <c r="G6" s="51">
        <f t="shared" si="0"/>
        <v>2409</v>
      </c>
      <c r="H6" s="52">
        <f>F6/E6*100</f>
        <v>31.033495562553682</v>
      </c>
      <c r="I6" s="52">
        <f>G6/E6*100</f>
        <v>68.966504437446318</v>
      </c>
      <c r="J6" s="31">
        <v>2193</v>
      </c>
      <c r="K6" s="31">
        <v>1163</v>
      </c>
      <c r="L6" s="31">
        <v>3356</v>
      </c>
      <c r="M6" s="31">
        <v>990</v>
      </c>
      <c r="N6" s="31">
        <v>2366</v>
      </c>
      <c r="O6" s="52">
        <f>M6/L6*100</f>
        <v>29.499404052443385</v>
      </c>
      <c r="P6" s="31">
        <v>54</v>
      </c>
      <c r="Q6" s="31">
        <v>83</v>
      </c>
      <c r="R6" s="31">
        <v>137</v>
      </c>
      <c r="S6" s="31">
        <v>94</v>
      </c>
      <c r="T6" s="31">
        <v>43</v>
      </c>
      <c r="U6" s="52">
        <f>S6/R6*100</f>
        <v>68.613138686131393</v>
      </c>
      <c r="V6" s="52"/>
      <c r="W6" s="46" t="s">
        <v>74</v>
      </c>
      <c r="X6" s="31">
        <v>1847</v>
      </c>
      <c r="Y6" s="31">
        <v>2725</v>
      </c>
      <c r="Z6" s="31">
        <v>4571</v>
      </c>
      <c r="AA6" s="31">
        <v>2719</v>
      </c>
      <c r="AB6" s="31">
        <v>1852</v>
      </c>
      <c r="AC6" s="52">
        <f>AA6/Z6*100</f>
        <v>59.483701597024719</v>
      </c>
      <c r="AD6" s="46" t="s">
        <v>74</v>
      </c>
      <c r="AE6" s="31">
        <v>456</v>
      </c>
      <c r="AF6" s="31">
        <v>2367</v>
      </c>
      <c r="AG6" s="31">
        <v>2823</v>
      </c>
      <c r="AH6" s="31">
        <v>2296</v>
      </c>
      <c r="AI6" s="31">
        <v>527</v>
      </c>
      <c r="AJ6" s="52">
        <f>AH6/AG6*100</f>
        <v>81.331916400991858</v>
      </c>
    </row>
    <row r="7" spans="1:36" s="40" customFormat="1" ht="14.25" customHeight="1">
      <c r="A7" s="38"/>
      <c r="B7" s="46" t="s">
        <v>75</v>
      </c>
      <c r="C7" s="51">
        <f t="shared" si="0"/>
        <v>763</v>
      </c>
      <c r="D7" s="51">
        <f t="shared" si="0"/>
        <v>1135</v>
      </c>
      <c r="E7" s="51">
        <f t="shared" si="0"/>
        <v>1898</v>
      </c>
      <c r="F7" s="51">
        <f t="shared" si="0"/>
        <v>690</v>
      </c>
      <c r="G7" s="51">
        <f t="shared" si="0"/>
        <v>1208</v>
      </c>
      <c r="H7" s="52">
        <f>F7/E7*100</f>
        <v>36.354056902002107</v>
      </c>
      <c r="I7" s="52">
        <f>G7/E7*100</f>
        <v>63.645943097997893</v>
      </c>
      <c r="J7" s="31">
        <v>700</v>
      </c>
      <c r="K7" s="31">
        <v>1037</v>
      </c>
      <c r="L7" s="31">
        <v>1737</v>
      </c>
      <c r="M7" s="31">
        <v>627</v>
      </c>
      <c r="N7" s="31">
        <v>1110</v>
      </c>
      <c r="O7" s="52">
        <f>M7/L7*100</f>
        <v>36.096718480138165</v>
      </c>
      <c r="P7" s="31">
        <v>63</v>
      </c>
      <c r="Q7" s="31">
        <v>98</v>
      </c>
      <c r="R7" s="31">
        <v>161</v>
      </c>
      <c r="S7" s="31">
        <v>63</v>
      </c>
      <c r="T7" s="31">
        <v>98</v>
      </c>
      <c r="U7" s="52">
        <f>S7/R7*100</f>
        <v>39.130434782608695</v>
      </c>
      <c r="V7" s="52"/>
      <c r="W7" s="46" t="s">
        <v>75</v>
      </c>
      <c r="X7" s="31">
        <v>1781</v>
      </c>
      <c r="Y7" s="31">
        <v>4148</v>
      </c>
      <c r="Z7" s="31">
        <v>5929</v>
      </c>
      <c r="AA7" s="31">
        <v>3835</v>
      </c>
      <c r="AB7" s="31">
        <v>2094</v>
      </c>
      <c r="AC7" s="52">
        <f>AA7/Z7*100</f>
        <v>64.682071175577676</v>
      </c>
      <c r="AD7" s="46" t="s">
        <v>75</v>
      </c>
      <c r="AE7" s="31">
        <v>434</v>
      </c>
      <c r="AF7" s="31">
        <v>3730</v>
      </c>
      <c r="AG7" s="31">
        <v>4164</v>
      </c>
      <c r="AH7" s="31">
        <v>3608</v>
      </c>
      <c r="AI7" s="31">
        <v>556</v>
      </c>
      <c r="AJ7" s="52">
        <f>AH7/AG7*100</f>
        <v>86.647454370797306</v>
      </c>
    </row>
    <row r="8" spans="1:36" s="40" customFormat="1" ht="14.25" customHeight="1">
      <c r="A8" s="42" t="s">
        <v>41</v>
      </c>
      <c r="B8" s="26" t="s">
        <v>0</v>
      </c>
      <c r="C8" s="51">
        <f t="shared" si="0"/>
        <v>68</v>
      </c>
      <c r="D8" s="51">
        <f t="shared" si="0"/>
        <v>28</v>
      </c>
      <c r="E8" s="51">
        <f t="shared" si="0"/>
        <v>96</v>
      </c>
      <c r="F8" s="51">
        <f t="shared" si="0"/>
        <v>21</v>
      </c>
      <c r="G8" s="51">
        <f t="shared" si="0"/>
        <v>75</v>
      </c>
      <c r="H8" s="51"/>
      <c r="I8" s="51"/>
      <c r="J8" s="31">
        <v>61</v>
      </c>
      <c r="K8" s="31">
        <v>27</v>
      </c>
      <c r="L8" s="31">
        <v>88</v>
      </c>
      <c r="M8" s="31">
        <v>18</v>
      </c>
      <c r="N8" s="31">
        <v>70</v>
      </c>
      <c r="O8" s="31"/>
      <c r="P8" s="31">
        <v>7</v>
      </c>
      <c r="Q8" s="31">
        <v>1</v>
      </c>
      <c r="R8" s="31">
        <v>8</v>
      </c>
      <c r="S8" s="31">
        <v>3</v>
      </c>
      <c r="T8" s="31">
        <v>5</v>
      </c>
      <c r="U8" s="31"/>
      <c r="V8" s="31"/>
      <c r="W8" s="31"/>
      <c r="X8" s="31">
        <v>123</v>
      </c>
      <c r="Y8" s="31">
        <v>181</v>
      </c>
      <c r="Z8" s="31">
        <v>304</v>
      </c>
      <c r="AA8" s="31">
        <v>148</v>
      </c>
      <c r="AB8" s="31">
        <v>156</v>
      </c>
      <c r="AC8" s="31"/>
      <c r="AD8" s="31"/>
      <c r="AE8" s="31">
        <v>21</v>
      </c>
      <c r="AF8" s="31">
        <v>169</v>
      </c>
      <c r="AG8" s="31">
        <v>190</v>
      </c>
      <c r="AH8" s="31">
        <v>170</v>
      </c>
      <c r="AI8" s="31">
        <v>20</v>
      </c>
    </row>
    <row r="9" spans="1:36" s="40" customFormat="1" ht="14.25" customHeight="1">
      <c r="A9" s="42" t="s">
        <v>42</v>
      </c>
      <c r="B9" s="26" t="s">
        <v>0</v>
      </c>
      <c r="C9" s="51">
        <f t="shared" si="0"/>
        <v>81</v>
      </c>
      <c r="D9" s="51">
        <f t="shared" si="0"/>
        <v>73</v>
      </c>
      <c r="E9" s="51">
        <f t="shared" si="0"/>
        <v>154</v>
      </c>
      <c r="F9" s="51">
        <f t="shared" si="0"/>
        <v>41</v>
      </c>
      <c r="G9" s="51">
        <f t="shared" si="0"/>
        <v>113</v>
      </c>
      <c r="H9" s="51"/>
      <c r="I9" s="51"/>
      <c r="J9" s="31">
        <v>74</v>
      </c>
      <c r="K9" s="31">
        <v>69</v>
      </c>
      <c r="L9" s="31">
        <v>143</v>
      </c>
      <c r="M9" s="31">
        <v>34</v>
      </c>
      <c r="N9" s="31">
        <v>109</v>
      </c>
      <c r="O9" s="31"/>
      <c r="P9" s="31">
        <v>7</v>
      </c>
      <c r="Q9" s="31">
        <v>4</v>
      </c>
      <c r="R9" s="31">
        <v>11</v>
      </c>
      <c r="S9" s="31">
        <v>7</v>
      </c>
      <c r="T9" s="31">
        <v>4</v>
      </c>
      <c r="U9" s="31"/>
      <c r="V9" s="31"/>
      <c r="W9" s="31"/>
      <c r="X9" s="31">
        <v>93</v>
      </c>
      <c r="Y9" s="31">
        <v>178</v>
      </c>
      <c r="Z9" s="31">
        <v>271</v>
      </c>
      <c r="AA9" s="31">
        <v>104</v>
      </c>
      <c r="AB9" s="31">
        <v>167</v>
      </c>
      <c r="AC9" s="31"/>
      <c r="AD9" s="31"/>
      <c r="AE9" s="31">
        <v>34</v>
      </c>
      <c r="AF9" s="31">
        <v>233</v>
      </c>
      <c r="AG9" s="31">
        <v>267</v>
      </c>
      <c r="AH9" s="31">
        <v>222</v>
      </c>
      <c r="AI9" s="31">
        <v>45</v>
      </c>
    </row>
    <row r="10" spans="1:36" s="40" customFormat="1" ht="14.25" customHeight="1">
      <c r="A10" s="42" t="s">
        <v>43</v>
      </c>
      <c r="B10" s="26" t="s">
        <v>0</v>
      </c>
      <c r="C10" s="51">
        <f t="shared" si="0"/>
        <v>10</v>
      </c>
      <c r="D10" s="51">
        <f t="shared" si="0"/>
        <v>24</v>
      </c>
      <c r="E10" s="51">
        <f t="shared" si="0"/>
        <v>34</v>
      </c>
      <c r="F10" s="51">
        <f t="shared" si="0"/>
        <v>28</v>
      </c>
      <c r="G10" s="51">
        <f t="shared" si="0"/>
        <v>6</v>
      </c>
      <c r="H10" s="51"/>
      <c r="I10" s="51"/>
      <c r="J10" s="31">
        <v>10</v>
      </c>
      <c r="K10" s="31">
        <v>22</v>
      </c>
      <c r="L10" s="31">
        <v>32</v>
      </c>
      <c r="M10" s="31">
        <v>28</v>
      </c>
      <c r="N10" s="31">
        <v>4</v>
      </c>
      <c r="O10" s="31"/>
      <c r="P10" s="31">
        <v>0</v>
      </c>
      <c r="Q10" s="31">
        <v>2</v>
      </c>
      <c r="R10" s="31">
        <v>2</v>
      </c>
      <c r="S10" s="31">
        <v>0</v>
      </c>
      <c r="T10" s="31">
        <v>2</v>
      </c>
      <c r="U10" s="31"/>
      <c r="V10" s="31"/>
      <c r="W10" s="31"/>
      <c r="X10" s="31">
        <v>43</v>
      </c>
      <c r="Y10" s="31">
        <v>145</v>
      </c>
      <c r="Z10" s="31">
        <v>188</v>
      </c>
      <c r="AA10" s="31">
        <v>142</v>
      </c>
      <c r="AB10" s="31">
        <v>46</v>
      </c>
      <c r="AC10" s="31"/>
      <c r="AD10" s="31"/>
      <c r="AE10" s="31">
        <v>16</v>
      </c>
      <c r="AF10" s="31">
        <v>162</v>
      </c>
      <c r="AG10" s="31">
        <v>178</v>
      </c>
      <c r="AH10" s="31">
        <v>162</v>
      </c>
      <c r="AI10" s="31">
        <v>16</v>
      </c>
    </row>
    <row r="11" spans="1:36" s="40" customFormat="1" ht="14.25" customHeight="1">
      <c r="A11" s="42" t="s">
        <v>44</v>
      </c>
      <c r="B11" s="26" t="s">
        <v>0</v>
      </c>
      <c r="C11" s="51">
        <f t="shared" si="0"/>
        <v>48</v>
      </c>
      <c r="D11" s="51">
        <f t="shared" si="0"/>
        <v>62</v>
      </c>
      <c r="E11" s="51">
        <f t="shared" si="0"/>
        <v>110</v>
      </c>
      <c r="F11" s="51">
        <f t="shared" si="0"/>
        <v>45</v>
      </c>
      <c r="G11" s="51">
        <f t="shared" si="0"/>
        <v>65</v>
      </c>
      <c r="H11" s="51"/>
      <c r="I11" s="51"/>
      <c r="J11" s="31">
        <v>47</v>
      </c>
      <c r="K11" s="31">
        <v>58</v>
      </c>
      <c r="L11" s="31">
        <v>105</v>
      </c>
      <c r="M11" s="31">
        <v>42</v>
      </c>
      <c r="N11" s="31">
        <v>63</v>
      </c>
      <c r="O11" s="31"/>
      <c r="P11" s="31">
        <v>1</v>
      </c>
      <c r="Q11" s="31">
        <v>4</v>
      </c>
      <c r="R11" s="31">
        <v>5</v>
      </c>
      <c r="S11" s="31">
        <v>3</v>
      </c>
      <c r="T11" s="31">
        <v>2</v>
      </c>
      <c r="U11" s="31"/>
      <c r="V11" s="31"/>
      <c r="W11" s="31"/>
      <c r="X11" s="31">
        <v>117</v>
      </c>
      <c r="Y11" s="31">
        <v>186</v>
      </c>
      <c r="Z11" s="31">
        <v>303</v>
      </c>
      <c r="AA11" s="31">
        <v>174</v>
      </c>
      <c r="AB11" s="31">
        <v>129</v>
      </c>
      <c r="AC11" s="31"/>
      <c r="AD11" s="31"/>
      <c r="AE11" s="31">
        <v>30</v>
      </c>
      <c r="AF11" s="31">
        <v>215</v>
      </c>
      <c r="AG11" s="31">
        <v>245</v>
      </c>
      <c r="AH11" s="31">
        <v>188</v>
      </c>
      <c r="AI11" s="31">
        <v>57</v>
      </c>
    </row>
    <row r="12" spans="1:36" s="40" customFormat="1" ht="14.25" customHeight="1">
      <c r="A12" s="42" t="s">
        <v>45</v>
      </c>
      <c r="B12" s="26" t="s">
        <v>0</v>
      </c>
      <c r="C12" s="51">
        <f t="shared" si="0"/>
        <v>73</v>
      </c>
      <c r="D12" s="51">
        <f t="shared" si="0"/>
        <v>84</v>
      </c>
      <c r="E12" s="51">
        <f t="shared" si="0"/>
        <v>157</v>
      </c>
      <c r="F12" s="51">
        <f t="shared" si="0"/>
        <v>80</v>
      </c>
      <c r="G12" s="51">
        <f t="shared" si="0"/>
        <v>77</v>
      </c>
      <c r="H12" s="51"/>
      <c r="I12" s="51"/>
      <c r="J12" s="31">
        <v>70</v>
      </c>
      <c r="K12" s="31">
        <v>78</v>
      </c>
      <c r="L12" s="31">
        <v>148</v>
      </c>
      <c r="M12" s="31">
        <v>76</v>
      </c>
      <c r="N12" s="31">
        <v>72</v>
      </c>
      <c r="O12" s="31"/>
      <c r="P12" s="31">
        <v>3</v>
      </c>
      <c r="Q12" s="31">
        <v>6</v>
      </c>
      <c r="R12" s="31">
        <v>9</v>
      </c>
      <c r="S12" s="31">
        <v>4</v>
      </c>
      <c r="T12" s="31">
        <v>5</v>
      </c>
      <c r="U12" s="31"/>
      <c r="V12" s="31"/>
      <c r="W12" s="31"/>
      <c r="X12" s="31">
        <v>71</v>
      </c>
      <c r="Y12" s="31">
        <v>202</v>
      </c>
      <c r="Z12" s="31">
        <v>273</v>
      </c>
      <c r="AA12" s="31">
        <v>186</v>
      </c>
      <c r="AB12" s="31">
        <v>87</v>
      </c>
      <c r="AC12" s="31"/>
      <c r="AD12" s="31"/>
      <c r="AE12" s="31">
        <v>18</v>
      </c>
      <c r="AF12" s="31">
        <v>231</v>
      </c>
      <c r="AG12" s="31">
        <v>249</v>
      </c>
      <c r="AH12" s="31">
        <v>219</v>
      </c>
      <c r="AI12" s="31">
        <v>30</v>
      </c>
    </row>
    <row r="13" spans="1:36" s="40" customFormat="1" ht="14.25" customHeight="1">
      <c r="A13" s="42" t="s">
        <v>46</v>
      </c>
      <c r="B13" s="26" t="s">
        <v>0</v>
      </c>
      <c r="C13" s="51">
        <f t="shared" si="0"/>
        <v>21</v>
      </c>
      <c r="D13" s="51">
        <f t="shared" si="0"/>
        <v>26</v>
      </c>
      <c r="E13" s="51">
        <f t="shared" si="0"/>
        <v>47</v>
      </c>
      <c r="F13" s="51">
        <f t="shared" si="0"/>
        <v>10</v>
      </c>
      <c r="G13" s="51">
        <f t="shared" si="0"/>
        <v>37</v>
      </c>
      <c r="H13" s="51"/>
      <c r="I13" s="51"/>
      <c r="J13" s="31">
        <v>17</v>
      </c>
      <c r="K13" s="31">
        <v>23</v>
      </c>
      <c r="L13" s="31">
        <v>40</v>
      </c>
      <c r="M13" s="31">
        <v>9</v>
      </c>
      <c r="N13" s="31">
        <v>31</v>
      </c>
      <c r="O13" s="31"/>
      <c r="P13" s="31">
        <v>4</v>
      </c>
      <c r="Q13" s="31">
        <v>3</v>
      </c>
      <c r="R13" s="31">
        <v>7</v>
      </c>
      <c r="S13" s="31">
        <v>1</v>
      </c>
      <c r="T13" s="31">
        <v>6</v>
      </c>
      <c r="U13" s="31"/>
      <c r="V13" s="31"/>
      <c r="W13" s="31"/>
      <c r="X13" s="31">
        <v>38</v>
      </c>
      <c r="Y13" s="31">
        <v>183</v>
      </c>
      <c r="Z13" s="31">
        <v>221</v>
      </c>
      <c r="AA13" s="31">
        <v>119</v>
      </c>
      <c r="AB13" s="31">
        <v>102</v>
      </c>
      <c r="AC13" s="31"/>
      <c r="AD13" s="31"/>
      <c r="AE13" s="31">
        <v>20</v>
      </c>
      <c r="AF13" s="31">
        <v>135</v>
      </c>
      <c r="AG13" s="31">
        <v>155</v>
      </c>
      <c r="AH13" s="31">
        <v>124</v>
      </c>
      <c r="AI13" s="31">
        <v>31</v>
      </c>
    </row>
    <row r="14" spans="1:36" s="40" customFormat="1" ht="14.25" customHeight="1">
      <c r="A14" s="42" t="s">
        <v>47</v>
      </c>
      <c r="B14" s="26" t="s">
        <v>0</v>
      </c>
      <c r="C14" s="51">
        <f t="shared" si="0"/>
        <v>77</v>
      </c>
      <c r="D14" s="51">
        <f t="shared" si="0"/>
        <v>61</v>
      </c>
      <c r="E14" s="51">
        <f t="shared" si="0"/>
        <v>138</v>
      </c>
      <c r="F14" s="51">
        <f t="shared" si="0"/>
        <v>57</v>
      </c>
      <c r="G14" s="51">
        <f t="shared" si="0"/>
        <v>81</v>
      </c>
      <c r="H14" s="51"/>
      <c r="I14" s="51"/>
      <c r="J14" s="31">
        <v>72</v>
      </c>
      <c r="K14" s="31">
        <v>57</v>
      </c>
      <c r="L14" s="31">
        <v>129</v>
      </c>
      <c r="M14" s="31">
        <v>52</v>
      </c>
      <c r="N14" s="31">
        <v>77</v>
      </c>
      <c r="O14" s="31"/>
      <c r="P14" s="31">
        <v>5</v>
      </c>
      <c r="Q14" s="31">
        <v>4</v>
      </c>
      <c r="R14" s="31">
        <v>9</v>
      </c>
      <c r="S14" s="31">
        <v>5</v>
      </c>
      <c r="T14" s="31">
        <v>4</v>
      </c>
      <c r="U14" s="31"/>
      <c r="V14" s="31"/>
      <c r="W14" s="31"/>
      <c r="X14" s="31">
        <v>124</v>
      </c>
      <c r="Y14" s="31">
        <v>124</v>
      </c>
      <c r="Z14" s="31">
        <v>248</v>
      </c>
      <c r="AA14" s="31">
        <v>127</v>
      </c>
      <c r="AB14" s="31">
        <v>121</v>
      </c>
      <c r="AC14" s="31"/>
      <c r="AD14" s="31"/>
      <c r="AE14" s="31">
        <v>44</v>
      </c>
      <c r="AF14" s="31">
        <v>178</v>
      </c>
      <c r="AG14" s="31">
        <v>222</v>
      </c>
      <c r="AH14" s="31">
        <v>182</v>
      </c>
      <c r="AI14" s="31">
        <v>40</v>
      </c>
    </row>
    <row r="15" spans="1:36" s="40" customFormat="1" ht="14.25" customHeight="1">
      <c r="A15" s="42" t="s">
        <v>48</v>
      </c>
      <c r="B15" s="26" t="s">
        <v>0</v>
      </c>
      <c r="C15" s="51">
        <f t="shared" si="0"/>
        <v>31</v>
      </c>
      <c r="D15" s="51">
        <f t="shared" si="0"/>
        <v>41</v>
      </c>
      <c r="E15" s="51">
        <f t="shared" si="0"/>
        <v>72</v>
      </c>
      <c r="F15" s="51">
        <f t="shared" si="0"/>
        <v>31</v>
      </c>
      <c r="G15" s="51">
        <f t="shared" si="0"/>
        <v>41</v>
      </c>
      <c r="H15" s="51"/>
      <c r="I15" s="51"/>
      <c r="J15" s="31">
        <v>30</v>
      </c>
      <c r="K15" s="31">
        <v>37</v>
      </c>
      <c r="L15" s="31">
        <v>67</v>
      </c>
      <c r="M15" s="31">
        <v>30</v>
      </c>
      <c r="N15" s="31">
        <v>37</v>
      </c>
      <c r="O15" s="31"/>
      <c r="P15" s="31">
        <v>1</v>
      </c>
      <c r="Q15" s="31">
        <v>4</v>
      </c>
      <c r="R15" s="31">
        <v>5</v>
      </c>
      <c r="S15" s="31">
        <v>1</v>
      </c>
      <c r="T15" s="31">
        <v>4</v>
      </c>
      <c r="U15" s="31"/>
      <c r="V15" s="31"/>
      <c r="W15" s="31"/>
      <c r="X15" s="31">
        <v>67</v>
      </c>
      <c r="Y15" s="31">
        <v>145</v>
      </c>
      <c r="Z15" s="31">
        <v>212</v>
      </c>
      <c r="AA15" s="31">
        <v>153</v>
      </c>
      <c r="AB15" s="31">
        <v>59</v>
      </c>
      <c r="AC15" s="31"/>
      <c r="AD15" s="31"/>
      <c r="AE15" s="31">
        <v>17</v>
      </c>
      <c r="AF15" s="31">
        <v>218</v>
      </c>
      <c r="AG15" s="31">
        <v>235</v>
      </c>
      <c r="AH15" s="31">
        <v>217</v>
      </c>
      <c r="AI15" s="31">
        <v>18</v>
      </c>
    </row>
    <row r="16" spans="1:36" s="40" customFormat="1" ht="14.25" customHeight="1">
      <c r="A16" s="42" t="s">
        <v>49</v>
      </c>
      <c r="B16" s="26" t="s">
        <v>0</v>
      </c>
      <c r="C16" s="51">
        <f t="shared" si="0"/>
        <v>13</v>
      </c>
      <c r="D16" s="51">
        <f t="shared" si="0"/>
        <v>13</v>
      </c>
      <c r="E16" s="51">
        <f t="shared" si="0"/>
        <v>26</v>
      </c>
      <c r="F16" s="51">
        <f t="shared" si="0"/>
        <v>11</v>
      </c>
      <c r="G16" s="51">
        <f t="shared" si="0"/>
        <v>15</v>
      </c>
      <c r="H16" s="51"/>
      <c r="I16" s="51"/>
      <c r="J16" s="31">
        <v>12</v>
      </c>
      <c r="K16" s="31">
        <v>11</v>
      </c>
      <c r="L16" s="31">
        <v>23</v>
      </c>
      <c r="M16" s="31">
        <v>11</v>
      </c>
      <c r="N16" s="31">
        <v>12</v>
      </c>
      <c r="O16" s="31"/>
      <c r="P16" s="31">
        <v>1</v>
      </c>
      <c r="Q16" s="31">
        <v>2</v>
      </c>
      <c r="R16" s="31">
        <v>3</v>
      </c>
      <c r="S16" s="31">
        <v>0</v>
      </c>
      <c r="T16" s="31">
        <v>3</v>
      </c>
      <c r="U16" s="31"/>
      <c r="V16" s="31"/>
      <c r="W16" s="31"/>
      <c r="X16" s="31">
        <v>58</v>
      </c>
      <c r="Y16" s="31">
        <v>123</v>
      </c>
      <c r="Z16" s="31">
        <v>181</v>
      </c>
      <c r="AA16" s="31">
        <v>142</v>
      </c>
      <c r="AB16" s="31">
        <v>39</v>
      </c>
      <c r="AC16" s="31"/>
      <c r="AD16" s="31"/>
      <c r="AE16" s="31">
        <v>9</v>
      </c>
      <c r="AF16" s="31">
        <v>123</v>
      </c>
      <c r="AG16" s="31">
        <v>132</v>
      </c>
      <c r="AH16" s="31">
        <v>126</v>
      </c>
      <c r="AI16" s="31">
        <v>6</v>
      </c>
    </row>
    <row r="17" spans="1:35" s="40" customFormat="1">
      <c r="A17" s="42" t="s">
        <v>50</v>
      </c>
      <c r="B17" s="26" t="s">
        <v>0</v>
      </c>
      <c r="C17" s="51">
        <f t="shared" si="0"/>
        <v>14</v>
      </c>
      <c r="D17" s="51">
        <f t="shared" si="0"/>
        <v>18</v>
      </c>
      <c r="E17" s="51">
        <f t="shared" si="0"/>
        <v>32</v>
      </c>
      <c r="F17" s="51">
        <f t="shared" si="0"/>
        <v>23</v>
      </c>
      <c r="G17" s="51">
        <f t="shared" si="0"/>
        <v>9</v>
      </c>
      <c r="H17" s="51"/>
      <c r="I17" s="51"/>
      <c r="J17" s="31">
        <v>13</v>
      </c>
      <c r="K17" s="31">
        <v>16</v>
      </c>
      <c r="L17" s="31">
        <v>29</v>
      </c>
      <c r="M17" s="31">
        <v>22</v>
      </c>
      <c r="N17" s="31">
        <v>7</v>
      </c>
      <c r="O17" s="31"/>
      <c r="P17" s="31">
        <v>1</v>
      </c>
      <c r="Q17" s="31">
        <v>2</v>
      </c>
      <c r="R17" s="31">
        <v>3</v>
      </c>
      <c r="S17" s="31">
        <v>1</v>
      </c>
      <c r="T17" s="31">
        <v>2</v>
      </c>
      <c r="U17" s="31"/>
      <c r="V17" s="31"/>
      <c r="W17" s="31"/>
      <c r="X17" s="31">
        <v>78</v>
      </c>
      <c r="Y17" s="31">
        <v>145</v>
      </c>
      <c r="Z17" s="31">
        <v>223</v>
      </c>
      <c r="AA17" s="31">
        <v>155</v>
      </c>
      <c r="AB17" s="31">
        <v>68</v>
      </c>
      <c r="AC17" s="31"/>
      <c r="AD17" s="31"/>
      <c r="AE17" s="31">
        <v>25</v>
      </c>
      <c r="AF17" s="31">
        <v>141</v>
      </c>
      <c r="AG17" s="31">
        <v>166</v>
      </c>
      <c r="AH17" s="31">
        <v>138</v>
      </c>
      <c r="AI17" s="31">
        <v>28</v>
      </c>
    </row>
    <row r="18" spans="1:35" s="40" customFormat="1">
      <c r="A18" s="42" t="s">
        <v>51</v>
      </c>
      <c r="B18" s="26" t="s">
        <v>0</v>
      </c>
      <c r="C18" s="51">
        <f t="shared" si="0"/>
        <v>2</v>
      </c>
      <c r="D18" s="51">
        <f t="shared" si="0"/>
        <v>1</v>
      </c>
      <c r="E18" s="51">
        <f t="shared" si="0"/>
        <v>3</v>
      </c>
      <c r="F18" s="51">
        <f t="shared" si="0"/>
        <v>2</v>
      </c>
      <c r="G18" s="51">
        <f t="shared" si="0"/>
        <v>1</v>
      </c>
      <c r="H18" s="51"/>
      <c r="I18" s="51"/>
      <c r="J18" s="31">
        <v>2</v>
      </c>
      <c r="K18" s="31">
        <v>1</v>
      </c>
      <c r="L18" s="31">
        <v>3</v>
      </c>
      <c r="M18" s="31">
        <v>2</v>
      </c>
      <c r="N18" s="31">
        <v>1</v>
      </c>
      <c r="O18" s="31"/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/>
      <c r="V18" s="31"/>
      <c r="W18" s="31"/>
      <c r="X18" s="31">
        <v>6</v>
      </c>
      <c r="Y18" s="31">
        <v>33</v>
      </c>
      <c r="Z18" s="31">
        <v>39</v>
      </c>
      <c r="AA18" s="31">
        <v>28</v>
      </c>
      <c r="AB18" s="31">
        <v>11</v>
      </c>
      <c r="AC18" s="31"/>
      <c r="AD18" s="31"/>
      <c r="AE18" s="31">
        <v>2</v>
      </c>
      <c r="AF18" s="31">
        <v>19</v>
      </c>
      <c r="AG18" s="31">
        <v>21</v>
      </c>
      <c r="AH18" s="31">
        <v>21</v>
      </c>
      <c r="AI18" s="31">
        <v>0</v>
      </c>
    </row>
    <row r="19" spans="1:35" s="40" customFormat="1">
      <c r="A19" s="42" t="s">
        <v>52</v>
      </c>
      <c r="B19" s="26" t="s">
        <v>0</v>
      </c>
      <c r="C19" s="51">
        <f t="shared" si="0"/>
        <v>4</v>
      </c>
      <c r="D19" s="51">
        <f t="shared" si="0"/>
        <v>4</v>
      </c>
      <c r="E19" s="51">
        <f t="shared" si="0"/>
        <v>8</v>
      </c>
      <c r="F19" s="51">
        <f t="shared" si="0"/>
        <v>3</v>
      </c>
      <c r="G19" s="51">
        <f t="shared" si="0"/>
        <v>5</v>
      </c>
      <c r="H19" s="51"/>
      <c r="I19" s="51"/>
      <c r="J19" s="31">
        <v>4</v>
      </c>
      <c r="K19" s="31">
        <v>3</v>
      </c>
      <c r="L19" s="31">
        <v>7</v>
      </c>
      <c r="M19" s="31">
        <v>3</v>
      </c>
      <c r="N19" s="31">
        <v>4</v>
      </c>
      <c r="O19" s="31"/>
      <c r="P19" s="31">
        <v>0</v>
      </c>
      <c r="Q19" s="31">
        <v>1</v>
      </c>
      <c r="R19" s="31">
        <v>1</v>
      </c>
      <c r="S19" s="31">
        <v>0</v>
      </c>
      <c r="T19" s="31">
        <v>1</v>
      </c>
      <c r="U19" s="31"/>
      <c r="V19" s="31"/>
      <c r="W19" s="31"/>
      <c r="X19" s="31">
        <v>89</v>
      </c>
      <c r="Y19" s="31">
        <v>62</v>
      </c>
      <c r="Z19" s="31">
        <v>151</v>
      </c>
      <c r="AA19" s="31">
        <v>109</v>
      </c>
      <c r="AB19" s="31">
        <v>42</v>
      </c>
      <c r="AC19" s="31"/>
      <c r="AD19" s="31"/>
      <c r="AE19" s="31">
        <v>6</v>
      </c>
      <c r="AF19" s="31">
        <v>72</v>
      </c>
      <c r="AG19" s="31">
        <v>78</v>
      </c>
      <c r="AH19" s="31">
        <v>71</v>
      </c>
      <c r="AI19" s="31">
        <v>7</v>
      </c>
    </row>
    <row r="20" spans="1:35" s="40" customFormat="1">
      <c r="A20" s="42" t="s">
        <v>53</v>
      </c>
      <c r="B20" s="26" t="s">
        <v>0</v>
      </c>
      <c r="C20" s="51">
        <f t="shared" si="0"/>
        <v>6</v>
      </c>
      <c r="D20" s="51">
        <f t="shared" si="0"/>
        <v>14</v>
      </c>
      <c r="E20" s="51">
        <f t="shared" si="0"/>
        <v>20</v>
      </c>
      <c r="F20" s="51">
        <f t="shared" si="0"/>
        <v>13</v>
      </c>
      <c r="G20" s="51">
        <f t="shared" si="0"/>
        <v>7</v>
      </c>
      <c r="H20" s="51"/>
      <c r="I20" s="51"/>
      <c r="J20" s="31">
        <v>5</v>
      </c>
      <c r="K20" s="31">
        <v>14</v>
      </c>
      <c r="L20" s="31">
        <v>19</v>
      </c>
      <c r="M20" s="31">
        <v>12</v>
      </c>
      <c r="N20" s="31">
        <v>7</v>
      </c>
      <c r="O20" s="31"/>
      <c r="P20" s="31">
        <v>1</v>
      </c>
      <c r="Q20" s="31">
        <v>0</v>
      </c>
      <c r="R20" s="31">
        <v>1</v>
      </c>
      <c r="S20" s="31">
        <v>1</v>
      </c>
      <c r="T20" s="31">
        <v>0</v>
      </c>
      <c r="U20" s="31"/>
      <c r="V20" s="31"/>
      <c r="W20" s="31"/>
      <c r="X20" s="31">
        <v>50</v>
      </c>
      <c r="Y20" s="31">
        <v>83</v>
      </c>
      <c r="Z20" s="31">
        <v>133</v>
      </c>
      <c r="AA20" s="31">
        <v>84</v>
      </c>
      <c r="AB20" s="31">
        <v>49</v>
      </c>
      <c r="AC20" s="31"/>
      <c r="AD20" s="31"/>
      <c r="AE20" s="31">
        <v>14</v>
      </c>
      <c r="AF20" s="31">
        <v>70</v>
      </c>
      <c r="AG20" s="31">
        <v>84</v>
      </c>
      <c r="AH20" s="31">
        <v>70</v>
      </c>
      <c r="AI20" s="31">
        <v>14</v>
      </c>
    </row>
    <row r="21" spans="1:35" s="40" customFormat="1">
      <c r="A21" s="42" t="s">
        <v>54</v>
      </c>
      <c r="B21" s="26" t="s">
        <v>0</v>
      </c>
      <c r="C21" s="51">
        <f t="shared" si="0"/>
        <v>5</v>
      </c>
      <c r="D21" s="51">
        <f t="shared" si="0"/>
        <v>4</v>
      </c>
      <c r="E21" s="51">
        <f t="shared" si="0"/>
        <v>9</v>
      </c>
      <c r="F21" s="51">
        <f t="shared" si="0"/>
        <v>6</v>
      </c>
      <c r="G21" s="51">
        <f t="shared" si="0"/>
        <v>3</v>
      </c>
      <c r="H21" s="51"/>
      <c r="I21" s="51"/>
      <c r="J21" s="31">
        <v>3</v>
      </c>
      <c r="K21" s="31">
        <v>4</v>
      </c>
      <c r="L21" s="31">
        <v>7</v>
      </c>
      <c r="M21" s="31">
        <v>6</v>
      </c>
      <c r="N21" s="31">
        <v>1</v>
      </c>
      <c r="O21" s="31"/>
      <c r="P21" s="31">
        <v>2</v>
      </c>
      <c r="Q21" s="31">
        <v>0</v>
      </c>
      <c r="R21" s="31">
        <v>2</v>
      </c>
      <c r="S21" s="31">
        <v>0</v>
      </c>
      <c r="T21" s="31">
        <v>2</v>
      </c>
      <c r="U21" s="31"/>
      <c r="V21" s="31"/>
      <c r="W21" s="31"/>
      <c r="X21" s="31">
        <v>57</v>
      </c>
      <c r="Y21" s="31">
        <v>89</v>
      </c>
      <c r="Z21" s="31">
        <v>146</v>
      </c>
      <c r="AA21" s="31">
        <v>111</v>
      </c>
      <c r="AB21" s="31">
        <v>35</v>
      </c>
      <c r="AC21" s="31"/>
      <c r="AD21" s="31"/>
      <c r="AE21" s="31">
        <v>14</v>
      </c>
      <c r="AF21" s="31">
        <v>85</v>
      </c>
      <c r="AG21" s="31">
        <v>99</v>
      </c>
      <c r="AH21" s="31">
        <v>87</v>
      </c>
      <c r="AI21" s="31">
        <v>12</v>
      </c>
    </row>
    <row r="22" spans="1:35" s="40" customFormat="1">
      <c r="A22" s="42" t="s">
        <v>55</v>
      </c>
      <c r="B22" s="26" t="s">
        <v>0</v>
      </c>
      <c r="C22" s="51">
        <f t="shared" si="0"/>
        <v>46</v>
      </c>
      <c r="D22" s="51">
        <f t="shared" si="0"/>
        <v>76</v>
      </c>
      <c r="E22" s="51">
        <f t="shared" si="0"/>
        <v>122</v>
      </c>
      <c r="F22" s="51">
        <f t="shared" si="0"/>
        <v>34</v>
      </c>
      <c r="G22" s="51">
        <f t="shared" si="0"/>
        <v>88</v>
      </c>
      <c r="H22" s="51"/>
      <c r="I22" s="51"/>
      <c r="J22" s="31">
        <v>42</v>
      </c>
      <c r="K22" s="31">
        <v>67</v>
      </c>
      <c r="L22" s="31">
        <v>109</v>
      </c>
      <c r="M22" s="31">
        <v>27</v>
      </c>
      <c r="N22" s="31">
        <v>82</v>
      </c>
      <c r="O22" s="31"/>
      <c r="P22" s="31">
        <v>4</v>
      </c>
      <c r="Q22" s="31">
        <v>9</v>
      </c>
      <c r="R22" s="31">
        <v>13</v>
      </c>
      <c r="S22" s="31">
        <v>7</v>
      </c>
      <c r="T22" s="31">
        <v>6</v>
      </c>
      <c r="U22" s="31"/>
      <c r="V22" s="31"/>
      <c r="W22" s="31"/>
      <c r="X22" s="31">
        <v>103</v>
      </c>
      <c r="Y22" s="31">
        <v>177</v>
      </c>
      <c r="Z22" s="31">
        <v>280</v>
      </c>
      <c r="AA22" s="31">
        <v>172</v>
      </c>
      <c r="AB22" s="31">
        <v>108</v>
      </c>
      <c r="AC22" s="31"/>
      <c r="AD22" s="31"/>
      <c r="AE22" s="31">
        <v>22</v>
      </c>
      <c r="AF22" s="31">
        <v>171</v>
      </c>
      <c r="AG22" s="31">
        <v>193</v>
      </c>
      <c r="AH22" s="31">
        <v>168</v>
      </c>
      <c r="AI22" s="31">
        <v>25</v>
      </c>
    </row>
    <row r="23" spans="1:35" s="40" customFormat="1">
      <c r="A23" s="42" t="s">
        <v>56</v>
      </c>
      <c r="B23" s="26" t="s">
        <v>0</v>
      </c>
      <c r="C23" s="51">
        <f t="shared" si="0"/>
        <v>89</v>
      </c>
      <c r="D23" s="51">
        <f t="shared" si="0"/>
        <v>108</v>
      </c>
      <c r="E23" s="51">
        <f t="shared" si="0"/>
        <v>197</v>
      </c>
      <c r="F23" s="51">
        <f t="shared" si="0"/>
        <v>33</v>
      </c>
      <c r="G23" s="51">
        <f t="shared" si="0"/>
        <v>164</v>
      </c>
      <c r="H23" s="51"/>
      <c r="I23" s="51"/>
      <c r="J23" s="31">
        <v>82</v>
      </c>
      <c r="K23" s="31">
        <v>104</v>
      </c>
      <c r="L23" s="31">
        <v>186</v>
      </c>
      <c r="M23" s="31">
        <v>31</v>
      </c>
      <c r="N23" s="31">
        <v>155</v>
      </c>
      <c r="O23" s="31"/>
      <c r="P23" s="31">
        <v>7</v>
      </c>
      <c r="Q23" s="31">
        <v>4</v>
      </c>
      <c r="R23" s="31">
        <v>11</v>
      </c>
      <c r="S23" s="31">
        <v>2</v>
      </c>
      <c r="T23" s="31">
        <v>9</v>
      </c>
      <c r="U23" s="31"/>
      <c r="V23" s="31"/>
      <c r="W23" s="31"/>
      <c r="X23" s="31">
        <v>292</v>
      </c>
      <c r="Y23" s="31">
        <v>374</v>
      </c>
      <c r="Z23" s="31">
        <v>666</v>
      </c>
      <c r="AA23" s="31">
        <v>422</v>
      </c>
      <c r="AB23" s="31">
        <v>244</v>
      </c>
      <c r="AC23" s="31"/>
      <c r="AD23" s="31"/>
      <c r="AE23" s="31">
        <v>55</v>
      </c>
      <c r="AF23" s="31">
        <v>291</v>
      </c>
      <c r="AG23" s="31">
        <v>346</v>
      </c>
      <c r="AH23" s="31">
        <v>281</v>
      </c>
      <c r="AI23" s="31">
        <v>65</v>
      </c>
    </row>
    <row r="24" spans="1:35" s="40" customFormat="1">
      <c r="A24" s="42" t="s">
        <v>57</v>
      </c>
      <c r="B24" s="26" t="s">
        <v>0</v>
      </c>
      <c r="C24" s="51">
        <f t="shared" si="0"/>
        <v>34</v>
      </c>
      <c r="D24" s="51">
        <f t="shared" si="0"/>
        <v>48</v>
      </c>
      <c r="E24" s="51">
        <f t="shared" si="0"/>
        <v>82</v>
      </c>
      <c r="F24" s="51">
        <f t="shared" si="0"/>
        <v>48</v>
      </c>
      <c r="G24" s="51">
        <f t="shared" si="0"/>
        <v>34</v>
      </c>
      <c r="H24" s="51"/>
      <c r="I24" s="51"/>
      <c r="J24" s="31">
        <v>29</v>
      </c>
      <c r="K24" s="31">
        <v>47</v>
      </c>
      <c r="L24" s="31">
        <v>76</v>
      </c>
      <c r="M24" s="31">
        <v>45</v>
      </c>
      <c r="N24" s="31">
        <v>31</v>
      </c>
      <c r="O24" s="31"/>
      <c r="P24" s="31">
        <v>5</v>
      </c>
      <c r="Q24" s="31">
        <v>1</v>
      </c>
      <c r="R24" s="31">
        <v>6</v>
      </c>
      <c r="S24" s="31">
        <v>3</v>
      </c>
      <c r="T24" s="31">
        <v>3</v>
      </c>
      <c r="U24" s="31"/>
      <c r="V24" s="31"/>
      <c r="W24" s="31"/>
      <c r="X24" s="31">
        <v>185</v>
      </c>
      <c r="Y24" s="31">
        <v>652</v>
      </c>
      <c r="Z24" s="31">
        <v>837</v>
      </c>
      <c r="AA24" s="31">
        <v>625</v>
      </c>
      <c r="AB24" s="31">
        <v>212</v>
      </c>
      <c r="AC24" s="31"/>
      <c r="AD24" s="31"/>
      <c r="AE24" s="31">
        <v>31</v>
      </c>
      <c r="AF24" s="31">
        <v>238</v>
      </c>
      <c r="AG24" s="31">
        <v>269</v>
      </c>
      <c r="AH24" s="31">
        <v>245</v>
      </c>
      <c r="AI24" s="31">
        <v>24</v>
      </c>
    </row>
    <row r="25" spans="1:35" s="40" customFormat="1">
      <c r="A25" s="42" t="s">
        <v>58</v>
      </c>
      <c r="B25" s="26" t="s">
        <v>0</v>
      </c>
      <c r="C25" s="51">
        <f t="shared" si="0"/>
        <v>28</v>
      </c>
      <c r="D25" s="51">
        <f t="shared" si="0"/>
        <v>57</v>
      </c>
      <c r="E25" s="51">
        <f t="shared" si="0"/>
        <v>85</v>
      </c>
      <c r="F25" s="51">
        <f t="shared" si="0"/>
        <v>33</v>
      </c>
      <c r="G25" s="51">
        <f t="shared" si="0"/>
        <v>52</v>
      </c>
      <c r="H25" s="51"/>
      <c r="I25" s="51"/>
      <c r="J25" s="31">
        <v>27</v>
      </c>
      <c r="K25" s="31">
        <v>50</v>
      </c>
      <c r="L25" s="31">
        <v>77</v>
      </c>
      <c r="M25" s="31">
        <v>29</v>
      </c>
      <c r="N25" s="31">
        <v>48</v>
      </c>
      <c r="O25" s="31"/>
      <c r="P25" s="31">
        <v>1</v>
      </c>
      <c r="Q25" s="31">
        <v>7</v>
      </c>
      <c r="R25" s="31">
        <v>8</v>
      </c>
      <c r="S25" s="31">
        <v>4</v>
      </c>
      <c r="T25" s="31">
        <v>4</v>
      </c>
      <c r="U25" s="31"/>
      <c r="V25" s="31"/>
      <c r="W25" s="31"/>
      <c r="X25" s="31">
        <v>97</v>
      </c>
      <c r="Y25" s="31">
        <v>381</v>
      </c>
      <c r="Z25" s="31">
        <v>478</v>
      </c>
      <c r="AA25" s="31">
        <v>354</v>
      </c>
      <c r="AB25" s="31">
        <v>124</v>
      </c>
      <c r="AC25" s="31"/>
      <c r="AD25" s="31"/>
      <c r="AE25" s="31">
        <v>25</v>
      </c>
      <c r="AF25" s="31">
        <v>309</v>
      </c>
      <c r="AG25" s="31">
        <v>334</v>
      </c>
      <c r="AH25" s="31">
        <v>314</v>
      </c>
      <c r="AI25" s="31">
        <v>20</v>
      </c>
    </row>
    <row r="26" spans="1:35" s="40" customFormat="1">
      <c r="A26" s="42" t="s">
        <v>59</v>
      </c>
      <c r="B26" s="26" t="s">
        <v>0</v>
      </c>
      <c r="C26" s="51">
        <f t="shared" si="0"/>
        <v>106</v>
      </c>
      <c r="D26" s="51">
        <f t="shared" si="0"/>
        <v>149</v>
      </c>
      <c r="E26" s="51">
        <f t="shared" si="0"/>
        <v>255</v>
      </c>
      <c r="F26" s="51">
        <f t="shared" si="0"/>
        <v>110</v>
      </c>
      <c r="G26" s="51">
        <f t="shared" si="0"/>
        <v>145</v>
      </c>
      <c r="H26" s="51"/>
      <c r="I26" s="51"/>
      <c r="J26" s="31">
        <v>94</v>
      </c>
      <c r="K26" s="31">
        <v>128</v>
      </c>
      <c r="L26" s="31">
        <v>222</v>
      </c>
      <c r="M26" s="31">
        <v>95</v>
      </c>
      <c r="N26" s="31">
        <v>127</v>
      </c>
      <c r="O26" s="31"/>
      <c r="P26" s="31">
        <v>12</v>
      </c>
      <c r="Q26" s="31">
        <v>21</v>
      </c>
      <c r="R26" s="31">
        <v>33</v>
      </c>
      <c r="S26" s="31">
        <v>15</v>
      </c>
      <c r="T26" s="31">
        <v>18</v>
      </c>
      <c r="U26" s="31"/>
      <c r="V26" s="31"/>
      <c r="W26" s="31"/>
      <c r="X26" s="31">
        <v>49</v>
      </c>
      <c r="Y26" s="31">
        <v>295</v>
      </c>
      <c r="Z26" s="31">
        <v>344</v>
      </c>
      <c r="AA26" s="31">
        <v>257</v>
      </c>
      <c r="AB26" s="31">
        <v>87</v>
      </c>
      <c r="AC26" s="31"/>
      <c r="AD26" s="31"/>
      <c r="AE26" s="31">
        <v>18</v>
      </c>
      <c r="AF26" s="31">
        <v>242</v>
      </c>
      <c r="AG26" s="31">
        <v>260</v>
      </c>
      <c r="AH26" s="31">
        <v>228</v>
      </c>
      <c r="AI26" s="31">
        <v>32</v>
      </c>
    </row>
    <row r="27" spans="1:35" s="41" customFormat="1">
      <c r="A27" s="42" t="s">
        <v>60</v>
      </c>
      <c r="B27" s="26" t="s">
        <v>0</v>
      </c>
      <c r="C27" s="51">
        <f t="shared" si="0"/>
        <v>7</v>
      </c>
      <c r="D27" s="51">
        <f t="shared" si="0"/>
        <v>244</v>
      </c>
      <c r="E27" s="51">
        <f t="shared" si="0"/>
        <v>251</v>
      </c>
      <c r="F27" s="51">
        <f t="shared" si="0"/>
        <v>61</v>
      </c>
      <c r="G27" s="51">
        <f t="shared" si="0"/>
        <v>190</v>
      </c>
      <c r="H27" s="51"/>
      <c r="I27" s="51"/>
      <c r="J27" s="31">
        <v>6</v>
      </c>
      <c r="K27" s="31">
        <v>221</v>
      </c>
      <c r="L27" s="31">
        <v>227</v>
      </c>
      <c r="M27" s="31">
        <v>55</v>
      </c>
      <c r="N27" s="31">
        <v>172</v>
      </c>
      <c r="O27" s="31"/>
      <c r="P27" s="31">
        <v>1</v>
      </c>
      <c r="Q27" s="31">
        <v>23</v>
      </c>
      <c r="R27" s="31">
        <v>24</v>
      </c>
      <c r="S27" s="31">
        <v>6</v>
      </c>
      <c r="T27" s="31">
        <v>18</v>
      </c>
      <c r="U27" s="31"/>
      <c r="V27" s="31"/>
      <c r="W27" s="31"/>
      <c r="X27" s="31">
        <v>41</v>
      </c>
      <c r="Y27" s="31">
        <v>390</v>
      </c>
      <c r="Z27" s="31">
        <v>431</v>
      </c>
      <c r="AA27" s="31">
        <v>223</v>
      </c>
      <c r="AB27" s="31">
        <v>208</v>
      </c>
      <c r="AC27" s="31"/>
      <c r="AD27" s="31"/>
      <c r="AE27" s="31">
        <v>13</v>
      </c>
      <c r="AF27" s="31">
        <v>428</v>
      </c>
      <c r="AG27" s="31">
        <v>441</v>
      </c>
      <c r="AH27" s="31">
        <v>375</v>
      </c>
      <c r="AI27" s="31">
        <v>66</v>
      </c>
    </row>
    <row r="28" spans="1:35">
      <c r="A28" s="27" t="s">
        <v>35</v>
      </c>
      <c r="B28" s="28" t="s">
        <v>36</v>
      </c>
      <c r="C28" s="51">
        <f t="shared" si="0"/>
        <v>0</v>
      </c>
      <c r="D28" s="51">
        <f t="shared" si="0"/>
        <v>0</v>
      </c>
      <c r="E28" s="51">
        <f t="shared" si="0"/>
        <v>0</v>
      </c>
      <c r="F28" s="51">
        <f t="shared" si="0"/>
        <v>0</v>
      </c>
      <c r="G28" s="51">
        <f t="shared" si="0"/>
        <v>0</v>
      </c>
      <c r="H28" s="51"/>
      <c r="I28" s="51"/>
      <c r="J28" s="29">
        <v>0</v>
      </c>
      <c r="K28" s="30">
        <v>0</v>
      </c>
      <c r="L28" s="30">
        <v>0</v>
      </c>
      <c r="M28" s="30">
        <v>0</v>
      </c>
      <c r="N28" s="31">
        <v>0</v>
      </c>
      <c r="O28" s="31"/>
      <c r="P28" s="30">
        <v>0</v>
      </c>
      <c r="Q28" s="30">
        <v>0</v>
      </c>
      <c r="R28" s="30">
        <v>0</v>
      </c>
      <c r="S28" s="30">
        <v>0</v>
      </c>
      <c r="T28" s="31">
        <v>0</v>
      </c>
      <c r="U28" s="31"/>
      <c r="V28" s="31"/>
      <c r="W28" s="31"/>
      <c r="X28" s="30">
        <v>1736</v>
      </c>
      <c r="Y28" s="30">
        <v>2277</v>
      </c>
      <c r="Z28" s="30">
        <v>4013</v>
      </c>
      <c r="AA28" s="30">
        <v>2412</v>
      </c>
      <c r="AB28" s="31">
        <v>1601</v>
      </c>
      <c r="AC28" s="31"/>
      <c r="AD28" s="31"/>
      <c r="AE28" s="30">
        <v>0</v>
      </c>
      <c r="AF28" s="30">
        <v>0</v>
      </c>
      <c r="AG28" s="30">
        <v>0</v>
      </c>
      <c r="AH28" s="30">
        <v>0</v>
      </c>
      <c r="AI28" s="30">
        <v>0</v>
      </c>
    </row>
    <row r="29" spans="1:35">
      <c r="A29" s="27" t="s">
        <v>35</v>
      </c>
      <c r="B29" s="28" t="s">
        <v>37</v>
      </c>
      <c r="C29" s="51">
        <f t="shared" si="0"/>
        <v>2191</v>
      </c>
      <c r="D29" s="51">
        <f t="shared" si="0"/>
        <v>1158</v>
      </c>
      <c r="E29" s="51">
        <f t="shared" si="0"/>
        <v>3349</v>
      </c>
      <c r="F29" s="51">
        <f t="shared" si="0"/>
        <v>990</v>
      </c>
      <c r="G29" s="51">
        <f t="shared" si="0"/>
        <v>2359</v>
      </c>
      <c r="H29" s="51"/>
      <c r="I29" s="51"/>
      <c r="J29" s="30">
        <v>2191</v>
      </c>
      <c r="K29" s="30">
        <v>1158</v>
      </c>
      <c r="L29" s="30">
        <v>3349</v>
      </c>
      <c r="M29" s="30">
        <v>990</v>
      </c>
      <c r="N29" s="31">
        <v>2359</v>
      </c>
      <c r="O29" s="31"/>
      <c r="P29" s="30">
        <v>0</v>
      </c>
      <c r="Q29" s="30">
        <v>0</v>
      </c>
      <c r="R29" s="30">
        <v>0</v>
      </c>
      <c r="S29" s="30">
        <v>0</v>
      </c>
      <c r="T29" s="31">
        <v>0</v>
      </c>
      <c r="U29" s="31"/>
      <c r="V29" s="31"/>
      <c r="W29" s="31"/>
      <c r="X29" s="30">
        <v>0</v>
      </c>
      <c r="Y29" s="30">
        <v>0</v>
      </c>
      <c r="Z29" s="30">
        <v>0</v>
      </c>
      <c r="AA29" s="30">
        <v>0</v>
      </c>
      <c r="AB29" s="31">
        <v>0</v>
      </c>
      <c r="AC29" s="31"/>
      <c r="AD29" s="31"/>
      <c r="AE29" s="30">
        <v>0</v>
      </c>
      <c r="AF29" s="30">
        <v>0</v>
      </c>
      <c r="AG29" s="30">
        <v>0</v>
      </c>
      <c r="AH29" s="30">
        <v>0</v>
      </c>
      <c r="AI29" s="30">
        <v>0</v>
      </c>
    </row>
    <row r="30" spans="1:35">
      <c r="A30" s="27" t="s">
        <v>35</v>
      </c>
      <c r="B30" s="28" t="s">
        <v>38</v>
      </c>
      <c r="C30" s="51">
        <f t="shared" si="0"/>
        <v>0</v>
      </c>
      <c r="D30" s="51">
        <f t="shared" si="0"/>
        <v>0</v>
      </c>
      <c r="E30" s="51">
        <f t="shared" si="0"/>
        <v>0</v>
      </c>
      <c r="F30" s="51">
        <f t="shared" si="0"/>
        <v>0</v>
      </c>
      <c r="G30" s="51">
        <f t="shared" si="0"/>
        <v>0</v>
      </c>
      <c r="H30" s="51"/>
      <c r="I30" s="51"/>
      <c r="J30" s="30">
        <v>0</v>
      </c>
      <c r="K30" s="30">
        <v>0</v>
      </c>
      <c r="L30" s="30">
        <v>0</v>
      </c>
      <c r="M30" s="30">
        <v>0</v>
      </c>
      <c r="N30" s="31">
        <v>0</v>
      </c>
      <c r="O30" s="31"/>
      <c r="P30" s="30">
        <v>0</v>
      </c>
      <c r="Q30" s="30">
        <v>0</v>
      </c>
      <c r="R30" s="30">
        <v>0</v>
      </c>
      <c r="S30" s="30">
        <v>0</v>
      </c>
      <c r="T30" s="31">
        <v>0</v>
      </c>
      <c r="U30" s="31"/>
      <c r="V30" s="31"/>
      <c r="W30" s="31"/>
      <c r="X30" s="30">
        <v>0</v>
      </c>
      <c r="Y30" s="30">
        <v>0</v>
      </c>
      <c r="Z30" s="30">
        <v>0</v>
      </c>
      <c r="AA30" s="30">
        <v>0</v>
      </c>
      <c r="AB30" s="31">
        <v>0</v>
      </c>
      <c r="AC30" s="31"/>
      <c r="AD30" s="31"/>
      <c r="AE30" s="30">
        <v>451</v>
      </c>
      <c r="AF30" s="30">
        <v>2251</v>
      </c>
      <c r="AG30" s="30">
        <v>2702</v>
      </c>
      <c r="AH30" s="30">
        <v>2194</v>
      </c>
      <c r="AI30" s="30">
        <v>508</v>
      </c>
    </row>
    <row r="31" spans="1:35">
      <c r="A31" s="27" t="s">
        <v>35</v>
      </c>
      <c r="B31" s="28" t="s">
        <v>39</v>
      </c>
      <c r="C31" s="51">
        <f t="shared" si="0"/>
        <v>54</v>
      </c>
      <c r="D31" s="51">
        <f t="shared" si="0"/>
        <v>83</v>
      </c>
      <c r="E31" s="51">
        <f t="shared" si="0"/>
        <v>137</v>
      </c>
      <c r="F31" s="51">
        <f t="shared" si="0"/>
        <v>94</v>
      </c>
      <c r="G31" s="51">
        <f t="shared" si="0"/>
        <v>43</v>
      </c>
      <c r="H31" s="51"/>
      <c r="I31" s="51"/>
      <c r="J31" s="30">
        <v>0</v>
      </c>
      <c r="K31" s="30">
        <v>0</v>
      </c>
      <c r="L31" s="30">
        <v>0</v>
      </c>
      <c r="M31" s="30">
        <v>0</v>
      </c>
      <c r="N31" s="31">
        <v>0</v>
      </c>
      <c r="O31" s="31"/>
      <c r="P31" s="30">
        <v>54</v>
      </c>
      <c r="Q31" s="30">
        <v>83</v>
      </c>
      <c r="R31" s="30">
        <v>137</v>
      </c>
      <c r="S31" s="30">
        <v>94</v>
      </c>
      <c r="T31" s="31">
        <v>43</v>
      </c>
      <c r="U31" s="31"/>
      <c r="V31" s="31"/>
      <c r="W31" s="31"/>
      <c r="X31" s="30">
        <v>0</v>
      </c>
      <c r="Y31" s="30">
        <v>0</v>
      </c>
      <c r="Z31" s="30">
        <v>0</v>
      </c>
      <c r="AA31" s="30">
        <v>0</v>
      </c>
      <c r="AB31" s="31">
        <v>0</v>
      </c>
      <c r="AC31" s="31"/>
      <c r="AD31" s="31"/>
      <c r="AE31" s="30">
        <v>0</v>
      </c>
      <c r="AF31" s="30">
        <v>0</v>
      </c>
      <c r="AG31" s="30">
        <v>0</v>
      </c>
      <c r="AH31" s="30">
        <v>0</v>
      </c>
      <c r="AI31" s="30">
        <v>0</v>
      </c>
    </row>
    <row r="32" spans="1:35">
      <c r="A32" s="34" t="s">
        <v>35</v>
      </c>
      <c r="B32" s="35" t="s">
        <v>40</v>
      </c>
      <c r="C32" s="51">
        <f t="shared" si="0"/>
        <v>2</v>
      </c>
      <c r="D32" s="51">
        <f t="shared" si="0"/>
        <v>5</v>
      </c>
      <c r="E32" s="51">
        <f t="shared" si="0"/>
        <v>7</v>
      </c>
      <c r="F32" s="51">
        <f t="shared" si="0"/>
        <v>0</v>
      </c>
      <c r="G32" s="51">
        <f t="shared" si="0"/>
        <v>7</v>
      </c>
      <c r="H32" s="51"/>
      <c r="I32" s="51"/>
      <c r="J32" s="36">
        <v>2</v>
      </c>
      <c r="K32" s="36">
        <v>5</v>
      </c>
      <c r="L32" s="36">
        <v>7</v>
      </c>
      <c r="M32" s="36">
        <v>0</v>
      </c>
      <c r="N32" s="37">
        <v>7</v>
      </c>
      <c r="O32" s="37"/>
      <c r="P32" s="36">
        <v>0</v>
      </c>
      <c r="Q32" s="36">
        <v>0</v>
      </c>
      <c r="R32" s="36">
        <v>0</v>
      </c>
      <c r="S32" s="36">
        <v>0</v>
      </c>
      <c r="T32" s="37">
        <v>0</v>
      </c>
      <c r="U32" s="37"/>
      <c r="V32" s="37"/>
      <c r="W32" s="37"/>
      <c r="X32" s="36">
        <v>111</v>
      </c>
      <c r="Y32" s="36">
        <v>448</v>
      </c>
      <c r="Z32" s="36">
        <v>558</v>
      </c>
      <c r="AA32" s="36">
        <v>307</v>
      </c>
      <c r="AB32" s="37">
        <v>251</v>
      </c>
      <c r="AC32" s="37"/>
      <c r="AD32" s="37"/>
      <c r="AE32" s="36">
        <v>5</v>
      </c>
      <c r="AF32" s="36">
        <v>116</v>
      </c>
      <c r="AG32" s="36">
        <v>121</v>
      </c>
      <c r="AH32" s="36">
        <v>102</v>
      </c>
      <c r="AI32" s="36">
        <v>19</v>
      </c>
    </row>
    <row r="33" spans="1:35">
      <c r="A33" s="39" t="s">
        <v>2</v>
      </c>
      <c r="AI33" s="24" t="s">
        <v>70</v>
      </c>
    </row>
    <row r="36" spans="1:35">
      <c r="A36" s="1"/>
      <c r="B36" s="45" t="s">
        <v>71</v>
      </c>
    </row>
    <row r="37" spans="1:35">
      <c r="B37" s="46" t="s">
        <v>61</v>
      </c>
      <c r="C37" s="46" t="s">
        <v>72</v>
      </c>
      <c r="D37" s="46" t="s">
        <v>62</v>
      </c>
      <c r="E37" s="46"/>
      <c r="F37" s="46"/>
    </row>
    <row r="38" spans="1:35">
      <c r="A38" s="46" t="s">
        <v>73</v>
      </c>
      <c r="B38" s="47">
        <f>H5</f>
        <v>32.906696345761453</v>
      </c>
      <c r="C38" s="47">
        <f>AC5</f>
        <v>62.419047619047618</v>
      </c>
      <c r="D38" s="47">
        <f>AJ5</f>
        <v>84.499785315586081</v>
      </c>
    </row>
    <row r="39" spans="1:35">
      <c r="A39" s="46" t="s">
        <v>74</v>
      </c>
      <c r="B39" s="47">
        <f>H6</f>
        <v>31.033495562553682</v>
      </c>
      <c r="C39" s="47">
        <f>AC6</f>
        <v>59.483701597024719</v>
      </c>
      <c r="D39" s="47">
        <f>AJ6</f>
        <v>81.331916400991858</v>
      </c>
    </row>
    <row r="40" spans="1:35">
      <c r="A40" s="46" t="s">
        <v>75</v>
      </c>
      <c r="B40" s="47">
        <f>H7</f>
        <v>36.354056902002107</v>
      </c>
      <c r="C40" s="47">
        <f>AC7</f>
        <v>64.682071175577676</v>
      </c>
      <c r="D40" s="47">
        <f>AJ7</f>
        <v>86.647454370797306</v>
      </c>
    </row>
    <row r="42" spans="1:35">
      <c r="B42" s="53" t="s">
        <v>78</v>
      </c>
      <c r="C42" s="53"/>
      <c r="D42" s="53"/>
    </row>
    <row r="43" spans="1:35">
      <c r="B43" s="46" t="s">
        <v>61</v>
      </c>
      <c r="C43" s="46" t="s">
        <v>72</v>
      </c>
      <c r="D43" s="46" t="s">
        <v>62</v>
      </c>
    </row>
    <row r="44" spans="1:35">
      <c r="A44" s="46" t="s">
        <v>73</v>
      </c>
      <c r="B44" s="54">
        <f>G5</f>
        <v>3617</v>
      </c>
      <c r="C44" s="54">
        <f>AB5</f>
        <v>3946</v>
      </c>
      <c r="D44" s="54">
        <f>AI5</f>
        <v>1083</v>
      </c>
    </row>
    <row r="45" spans="1:35">
      <c r="A45" s="46" t="s">
        <v>74</v>
      </c>
      <c r="B45" s="54">
        <f>G6</f>
        <v>2409</v>
      </c>
      <c r="C45" s="54">
        <f>AB6</f>
        <v>1852</v>
      </c>
      <c r="D45" s="54">
        <f>AI6</f>
        <v>527</v>
      </c>
    </row>
    <row r="46" spans="1:35">
      <c r="A46" s="46" t="s">
        <v>75</v>
      </c>
      <c r="B46" s="54">
        <f>G7</f>
        <v>1208</v>
      </c>
      <c r="C46" s="54">
        <f>AB7</f>
        <v>2094</v>
      </c>
      <c r="D46" s="54">
        <f>AI7</f>
        <v>556</v>
      </c>
    </row>
    <row r="49" spans="1:5">
      <c r="B49" s="53" t="s">
        <v>79</v>
      </c>
      <c r="C49" s="53"/>
      <c r="D49" s="53"/>
    </row>
    <row r="50" spans="1:5">
      <c r="B50" s="46" t="s">
        <v>61</v>
      </c>
      <c r="C50" s="46" t="s">
        <v>72</v>
      </c>
      <c r="D50" s="46" t="s">
        <v>62</v>
      </c>
    </row>
    <row r="51" spans="1:5">
      <c r="A51" s="46" t="s">
        <v>73</v>
      </c>
      <c r="B51" s="54">
        <f>F5</f>
        <v>1774</v>
      </c>
      <c r="C51" s="54">
        <f>AA5</f>
        <v>6554</v>
      </c>
      <c r="D51" s="54">
        <f>AH5</f>
        <v>5904</v>
      </c>
    </row>
    <row r="52" spans="1:5">
      <c r="A52" s="46" t="s">
        <v>74</v>
      </c>
      <c r="B52" s="54">
        <f>F6</f>
        <v>1084</v>
      </c>
      <c r="C52" s="54">
        <f>AA6</f>
        <v>2719</v>
      </c>
      <c r="D52" s="54">
        <f>AH6</f>
        <v>2296</v>
      </c>
    </row>
    <row r="53" spans="1:5">
      <c r="A53" s="46" t="s">
        <v>75</v>
      </c>
      <c r="B53" s="54">
        <f>F7</f>
        <v>690</v>
      </c>
      <c r="C53" s="54">
        <f>AA7</f>
        <v>3835</v>
      </c>
      <c r="D53" s="54">
        <f>AH7</f>
        <v>3608</v>
      </c>
    </row>
    <row r="55" spans="1:5">
      <c r="A55" s="45" t="s">
        <v>0</v>
      </c>
      <c r="B55" s="53"/>
      <c r="C55" s="53"/>
      <c r="D55" s="53"/>
    </row>
    <row r="56" spans="1:5">
      <c r="A56" s="45"/>
      <c r="B56" s="53" t="s">
        <v>64</v>
      </c>
      <c r="C56" s="53" t="s">
        <v>35</v>
      </c>
      <c r="D56" s="53" t="s">
        <v>63</v>
      </c>
    </row>
    <row r="57" spans="1:5">
      <c r="A57" s="53" t="s">
        <v>80</v>
      </c>
      <c r="B57" s="54">
        <v>7528</v>
      </c>
      <c r="C57" s="54">
        <v>4550</v>
      </c>
      <c r="D57" s="54">
        <v>2978</v>
      </c>
      <c r="E57" s="23"/>
    </row>
    <row r="58" spans="1:5">
      <c r="A58" s="53" t="s">
        <v>81</v>
      </c>
      <c r="B58" s="54">
        <v>15351</v>
      </c>
      <c r="C58" s="54">
        <v>6338</v>
      </c>
      <c r="D58" s="54">
        <v>9013</v>
      </c>
      <c r="E58" s="23"/>
    </row>
    <row r="59" spans="1:5">
      <c r="A59" s="53" t="s">
        <v>79</v>
      </c>
      <c r="B59" s="54">
        <v>14232</v>
      </c>
      <c r="C59" s="54">
        <v>6099</v>
      </c>
      <c r="D59" s="54">
        <v>8133</v>
      </c>
    </row>
    <row r="60" spans="1:5">
      <c r="A60" s="53" t="s">
        <v>78</v>
      </c>
      <c r="B60" s="54">
        <v>8646</v>
      </c>
      <c r="C60" s="54">
        <v>4788</v>
      </c>
      <c r="D60" s="54">
        <v>3858</v>
      </c>
    </row>
    <row r="61" spans="1:5">
      <c r="B61" s="26"/>
      <c r="C61" s="26"/>
      <c r="D61" s="26"/>
    </row>
    <row r="62" spans="1:5">
      <c r="A62" s="1"/>
      <c r="B62" s="23"/>
      <c r="C62" s="23"/>
      <c r="D62" s="23"/>
      <c r="E62" s="23"/>
    </row>
    <row r="63" spans="1:5">
      <c r="A63" s="1"/>
      <c r="B63" s="23"/>
      <c r="C63" s="23"/>
      <c r="D63" s="23"/>
      <c r="E63" s="23"/>
    </row>
    <row r="64" spans="1:5">
      <c r="A64" s="1"/>
      <c r="B64" s="23"/>
      <c r="C64" s="23"/>
      <c r="D64" s="23"/>
      <c r="E64" s="23"/>
    </row>
    <row r="65" spans="1:11">
      <c r="A65" s="1"/>
      <c r="B65" s="23"/>
      <c r="C65" s="23"/>
      <c r="D65" s="23"/>
      <c r="E65" s="23"/>
    </row>
    <row r="66" spans="1:11">
      <c r="B66" s="45" t="s">
        <v>82</v>
      </c>
    </row>
    <row r="67" spans="1:11">
      <c r="B67" s="53"/>
      <c r="H67" s="53" t="s">
        <v>83</v>
      </c>
    </row>
    <row r="68" spans="1:11">
      <c r="A68" s="1"/>
      <c r="B68" s="53"/>
      <c r="C68" s="53" t="s">
        <v>84</v>
      </c>
      <c r="D68" s="53" t="s">
        <v>85</v>
      </c>
      <c r="E68" s="53" t="s">
        <v>86</v>
      </c>
      <c r="F68" s="53" t="s">
        <v>87</v>
      </c>
      <c r="G68" s="53"/>
      <c r="H68" s="55" t="s">
        <v>88</v>
      </c>
      <c r="I68" s="53" t="s">
        <v>89</v>
      </c>
      <c r="J68" s="53" t="s">
        <v>90</v>
      </c>
      <c r="K68" s="53"/>
    </row>
    <row r="69" spans="1:11">
      <c r="A69" s="1"/>
      <c r="B69" s="53" t="s">
        <v>41</v>
      </c>
      <c r="C69" s="53">
        <v>590</v>
      </c>
      <c r="D69" s="53">
        <v>339</v>
      </c>
      <c r="E69" s="53">
        <v>251</v>
      </c>
      <c r="F69" s="47">
        <f>D69/C69*100</f>
        <v>57.457627118644069</v>
      </c>
      <c r="G69" s="53"/>
      <c r="H69" s="56">
        <v>10</v>
      </c>
      <c r="I69" s="47">
        <f t="shared" ref="I69:I88" si="1">C69/H69</f>
        <v>59</v>
      </c>
      <c r="J69" s="47">
        <f t="shared" ref="J69:J88" si="2">D69/H69</f>
        <v>33.9</v>
      </c>
      <c r="K69" s="53"/>
    </row>
    <row r="70" spans="1:11">
      <c r="A70" s="1"/>
      <c r="B70" s="53" t="s">
        <v>42</v>
      </c>
      <c r="C70" s="53">
        <v>692</v>
      </c>
      <c r="D70" s="53">
        <v>367</v>
      </c>
      <c r="E70" s="53">
        <v>325</v>
      </c>
      <c r="F70" s="47">
        <f t="shared" ref="F70:F88" si="3">D70/C70*100</f>
        <v>53.034682080924853</v>
      </c>
      <c r="G70" s="53"/>
      <c r="H70" s="56">
        <v>8</v>
      </c>
      <c r="I70" s="47">
        <f t="shared" si="1"/>
        <v>86.5</v>
      </c>
      <c r="J70" s="47">
        <f t="shared" si="2"/>
        <v>45.875</v>
      </c>
      <c r="K70" s="53"/>
    </row>
    <row r="71" spans="1:11">
      <c r="A71" s="1"/>
      <c r="B71" s="53" t="s">
        <v>43</v>
      </c>
      <c r="C71" s="53">
        <v>400</v>
      </c>
      <c r="D71" s="53">
        <v>332</v>
      </c>
      <c r="E71" s="53">
        <v>68</v>
      </c>
      <c r="F71" s="47">
        <f t="shared" si="3"/>
        <v>83</v>
      </c>
      <c r="G71" s="53"/>
      <c r="H71" s="56">
        <v>4</v>
      </c>
      <c r="I71" s="47">
        <f t="shared" si="1"/>
        <v>100</v>
      </c>
      <c r="J71" s="47">
        <f t="shared" si="2"/>
        <v>83</v>
      </c>
      <c r="K71" s="53"/>
    </row>
    <row r="72" spans="1:11">
      <c r="A72" s="1"/>
      <c r="B72" s="53" t="s">
        <v>44</v>
      </c>
      <c r="C72" s="53">
        <v>658</v>
      </c>
      <c r="D72" s="53">
        <v>407</v>
      </c>
      <c r="E72" s="53">
        <v>251</v>
      </c>
      <c r="F72" s="47">
        <f t="shared" si="3"/>
        <v>61.854103343465049</v>
      </c>
      <c r="G72" s="53"/>
      <c r="H72" s="56">
        <v>5</v>
      </c>
      <c r="I72" s="47">
        <f t="shared" si="1"/>
        <v>131.6</v>
      </c>
      <c r="J72" s="47">
        <f t="shared" si="2"/>
        <v>81.400000000000006</v>
      </c>
      <c r="K72" s="53"/>
    </row>
    <row r="73" spans="1:11">
      <c r="A73" s="1"/>
      <c r="B73" s="53" t="s">
        <v>45</v>
      </c>
      <c r="C73" s="53">
        <v>679</v>
      </c>
      <c r="D73" s="53">
        <v>485</v>
      </c>
      <c r="E73" s="53">
        <v>194</v>
      </c>
      <c r="F73" s="47">
        <f t="shared" si="3"/>
        <v>71.428571428571431</v>
      </c>
      <c r="G73" s="53"/>
      <c r="H73" s="56">
        <v>7</v>
      </c>
      <c r="I73" s="47">
        <f t="shared" si="1"/>
        <v>97</v>
      </c>
      <c r="J73" s="47">
        <f t="shared" si="2"/>
        <v>69.285714285714292</v>
      </c>
      <c r="K73" s="53"/>
    </row>
    <row r="74" spans="1:11">
      <c r="B74" s="53" t="s">
        <v>46</v>
      </c>
      <c r="C74" s="53">
        <v>423</v>
      </c>
      <c r="D74" s="53">
        <v>253</v>
      </c>
      <c r="E74" s="53">
        <v>170</v>
      </c>
      <c r="F74" s="47">
        <f t="shared" si="3"/>
        <v>59.810874704491724</v>
      </c>
      <c r="G74" s="53"/>
      <c r="H74" s="56">
        <v>5</v>
      </c>
      <c r="I74" s="47">
        <f t="shared" si="1"/>
        <v>84.6</v>
      </c>
      <c r="J74" s="47">
        <f t="shared" si="2"/>
        <v>50.6</v>
      </c>
      <c r="K74" s="53"/>
    </row>
    <row r="75" spans="1:11">
      <c r="B75" s="53" t="s">
        <v>47</v>
      </c>
      <c r="C75" s="53">
        <v>608</v>
      </c>
      <c r="D75" s="53">
        <v>366</v>
      </c>
      <c r="E75" s="53">
        <v>242</v>
      </c>
      <c r="F75" s="47">
        <f t="shared" si="3"/>
        <v>60.19736842105263</v>
      </c>
      <c r="G75" s="53"/>
      <c r="H75" s="56">
        <v>1</v>
      </c>
      <c r="I75" s="47">
        <f t="shared" si="1"/>
        <v>608</v>
      </c>
      <c r="J75" s="47">
        <f t="shared" si="2"/>
        <v>366</v>
      </c>
      <c r="K75" s="53"/>
    </row>
    <row r="76" spans="1:11">
      <c r="B76" s="53" t="s">
        <v>48</v>
      </c>
      <c r="C76" s="53">
        <v>519</v>
      </c>
      <c r="D76" s="53">
        <v>401</v>
      </c>
      <c r="E76" s="53">
        <v>118</v>
      </c>
      <c r="F76" s="47">
        <f t="shared" si="3"/>
        <v>77.263969171483623</v>
      </c>
      <c r="G76" s="53"/>
      <c r="H76" s="56">
        <v>8</v>
      </c>
      <c r="I76" s="47">
        <f t="shared" si="1"/>
        <v>64.875</v>
      </c>
      <c r="J76" s="47">
        <f t="shared" si="2"/>
        <v>50.125</v>
      </c>
      <c r="K76" s="53"/>
    </row>
    <row r="77" spans="1:11">
      <c r="B77" s="53" t="s">
        <v>49</v>
      </c>
      <c r="C77" s="53">
        <v>339</v>
      </c>
      <c r="D77" s="53">
        <v>279</v>
      </c>
      <c r="E77" s="53">
        <v>60</v>
      </c>
      <c r="F77" s="47">
        <f t="shared" si="3"/>
        <v>82.30088495575221</v>
      </c>
      <c r="G77" s="53"/>
      <c r="H77" s="56">
        <v>7</v>
      </c>
      <c r="I77" s="47">
        <f t="shared" si="1"/>
        <v>48.428571428571431</v>
      </c>
      <c r="J77" s="47">
        <f t="shared" si="2"/>
        <v>39.857142857142854</v>
      </c>
      <c r="K77" s="53"/>
    </row>
    <row r="78" spans="1:11">
      <c r="B78" s="53" t="s">
        <v>50</v>
      </c>
      <c r="C78" s="53">
        <v>421</v>
      </c>
      <c r="D78" s="53">
        <v>316</v>
      </c>
      <c r="E78" s="53">
        <v>105</v>
      </c>
      <c r="F78" s="47">
        <f t="shared" si="3"/>
        <v>75.059382422802841</v>
      </c>
      <c r="G78" s="53"/>
      <c r="H78" s="56">
        <v>4</v>
      </c>
      <c r="I78" s="47">
        <f t="shared" si="1"/>
        <v>105.25</v>
      </c>
      <c r="J78" s="47">
        <f t="shared" si="2"/>
        <v>79</v>
      </c>
      <c r="K78" s="53"/>
    </row>
    <row r="79" spans="1:11">
      <c r="B79" s="53" t="s">
        <v>51</v>
      </c>
      <c r="C79" s="53">
        <v>63</v>
      </c>
      <c r="D79" s="53">
        <v>51</v>
      </c>
      <c r="E79" s="53">
        <v>12</v>
      </c>
      <c r="F79" s="47">
        <f t="shared" si="3"/>
        <v>80.952380952380949</v>
      </c>
      <c r="G79" s="53"/>
      <c r="H79" s="56">
        <v>2</v>
      </c>
      <c r="I79" s="47">
        <f t="shared" si="1"/>
        <v>31.5</v>
      </c>
      <c r="J79" s="47">
        <f t="shared" si="2"/>
        <v>25.5</v>
      </c>
      <c r="K79" s="53"/>
    </row>
    <row r="80" spans="1:11">
      <c r="B80" s="53" t="s">
        <v>52</v>
      </c>
      <c r="C80" s="53">
        <v>237</v>
      </c>
      <c r="D80" s="53">
        <v>183</v>
      </c>
      <c r="E80" s="53">
        <v>54</v>
      </c>
      <c r="F80" s="47">
        <f t="shared" si="3"/>
        <v>77.215189873417728</v>
      </c>
      <c r="G80" s="53"/>
      <c r="H80" s="56">
        <v>5</v>
      </c>
      <c r="I80" s="47">
        <f t="shared" si="1"/>
        <v>47.4</v>
      </c>
      <c r="J80" s="47">
        <f t="shared" si="2"/>
        <v>36.6</v>
      </c>
      <c r="K80" s="53"/>
    </row>
    <row r="81" spans="2:11">
      <c r="B81" s="53" t="s">
        <v>53</v>
      </c>
      <c r="C81" s="53">
        <v>237</v>
      </c>
      <c r="D81" s="53">
        <v>167</v>
      </c>
      <c r="E81" s="53">
        <v>70</v>
      </c>
      <c r="F81" s="47">
        <f t="shared" si="3"/>
        <v>70.46413502109705</v>
      </c>
      <c r="G81" s="53"/>
      <c r="H81" s="56">
        <v>3</v>
      </c>
      <c r="I81" s="47">
        <f t="shared" si="1"/>
        <v>79</v>
      </c>
      <c r="J81" s="47">
        <f t="shared" si="2"/>
        <v>55.666666666666664</v>
      </c>
      <c r="K81" s="53"/>
    </row>
    <row r="82" spans="2:11">
      <c r="B82" s="53" t="s">
        <v>54</v>
      </c>
      <c r="C82" s="53">
        <v>254</v>
      </c>
      <c r="D82" s="53">
        <v>204</v>
      </c>
      <c r="E82" s="53">
        <v>50</v>
      </c>
      <c r="F82" s="47">
        <f t="shared" si="3"/>
        <v>80.314960629921259</v>
      </c>
      <c r="G82" s="53"/>
      <c r="H82" s="56">
        <v>4</v>
      </c>
      <c r="I82" s="47">
        <f t="shared" si="1"/>
        <v>63.5</v>
      </c>
      <c r="J82" s="47">
        <f t="shared" si="2"/>
        <v>51</v>
      </c>
      <c r="K82" s="53"/>
    </row>
    <row r="83" spans="2:11">
      <c r="B83" s="53" t="s">
        <v>55</v>
      </c>
      <c r="C83" s="53">
        <v>595</v>
      </c>
      <c r="D83" s="53">
        <v>374</v>
      </c>
      <c r="E83" s="53">
        <v>221</v>
      </c>
      <c r="F83" s="47">
        <f t="shared" si="3"/>
        <v>62.857142857142854</v>
      </c>
      <c r="G83" s="53"/>
      <c r="H83" s="56">
        <v>10</v>
      </c>
      <c r="I83" s="47">
        <f t="shared" si="1"/>
        <v>59.5</v>
      </c>
      <c r="J83" s="47">
        <f t="shared" si="2"/>
        <v>37.4</v>
      </c>
      <c r="K83" s="53"/>
    </row>
    <row r="84" spans="2:11">
      <c r="B84" s="53" t="s">
        <v>56</v>
      </c>
      <c r="C84" s="53">
        <v>1209</v>
      </c>
      <c r="D84" s="53">
        <v>736</v>
      </c>
      <c r="E84" s="53">
        <v>473</v>
      </c>
      <c r="F84" s="47">
        <f t="shared" si="3"/>
        <v>60.876757650951198</v>
      </c>
      <c r="G84" s="53"/>
      <c r="H84" s="56">
        <v>9</v>
      </c>
      <c r="I84" s="47">
        <f t="shared" si="1"/>
        <v>134.33333333333334</v>
      </c>
      <c r="J84" s="47">
        <f t="shared" si="2"/>
        <v>81.777777777777771</v>
      </c>
      <c r="K84" s="53"/>
    </row>
    <row r="85" spans="2:11">
      <c r="B85" s="53" t="s">
        <v>57</v>
      </c>
      <c r="C85" s="53">
        <v>1188</v>
      </c>
      <c r="D85" s="53">
        <v>918</v>
      </c>
      <c r="E85" s="53">
        <v>270</v>
      </c>
      <c r="F85" s="47">
        <f t="shared" si="3"/>
        <v>77.272727272727266</v>
      </c>
      <c r="G85" s="53"/>
      <c r="H85" s="56">
        <v>10</v>
      </c>
      <c r="I85" s="47">
        <f t="shared" si="1"/>
        <v>118.8</v>
      </c>
      <c r="J85" s="47">
        <f t="shared" si="2"/>
        <v>91.8</v>
      </c>
      <c r="K85" s="53"/>
    </row>
    <row r="86" spans="2:11">
      <c r="B86" s="53" t="s">
        <v>58</v>
      </c>
      <c r="C86" s="53">
        <v>897</v>
      </c>
      <c r="D86" s="53">
        <v>701</v>
      </c>
      <c r="E86" s="53">
        <v>196</v>
      </c>
      <c r="F86" s="47">
        <f t="shared" si="3"/>
        <v>78.149386845039018</v>
      </c>
      <c r="G86" s="53"/>
      <c r="H86" s="56">
        <v>8</v>
      </c>
      <c r="I86" s="47">
        <f t="shared" si="1"/>
        <v>112.125</v>
      </c>
      <c r="J86" s="47">
        <f t="shared" si="2"/>
        <v>87.625</v>
      </c>
      <c r="K86" s="53"/>
    </row>
    <row r="87" spans="2:11">
      <c r="B87" s="53" t="s">
        <v>59</v>
      </c>
      <c r="C87" s="53">
        <v>859</v>
      </c>
      <c r="D87" s="53">
        <v>595</v>
      </c>
      <c r="E87" s="53">
        <v>264</v>
      </c>
      <c r="F87" s="47">
        <f t="shared" si="3"/>
        <v>69.266589057043078</v>
      </c>
      <c r="G87" s="53"/>
      <c r="H87" s="56">
        <v>2</v>
      </c>
      <c r="I87" s="47">
        <f t="shared" si="1"/>
        <v>429.5</v>
      </c>
      <c r="J87" s="47">
        <f t="shared" si="2"/>
        <v>297.5</v>
      </c>
      <c r="K87" s="53"/>
    </row>
    <row r="88" spans="2:11">
      <c r="B88" s="53" t="s">
        <v>60</v>
      </c>
      <c r="C88" s="53">
        <v>1123</v>
      </c>
      <c r="D88" s="53">
        <v>659</v>
      </c>
      <c r="E88" s="53">
        <v>464</v>
      </c>
      <c r="F88" s="47">
        <f t="shared" si="3"/>
        <v>58.682101513802323</v>
      </c>
      <c r="G88" s="53"/>
      <c r="H88" s="56">
        <v>8</v>
      </c>
      <c r="I88" s="47">
        <f t="shared" si="1"/>
        <v>140.375</v>
      </c>
      <c r="J88" s="47">
        <f t="shared" si="2"/>
        <v>82.375</v>
      </c>
      <c r="K88" s="5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</vt:lpstr>
      <vt:lpstr>8.20 workings</vt:lpstr>
      <vt:lpstr>'8.1'!Print_Area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2016-02-17T07:56:50Z</cp:lastPrinted>
  <dcterms:created xsi:type="dcterms:W3CDTF">2013-04-04T04:05:16Z</dcterms:created>
  <dcterms:modified xsi:type="dcterms:W3CDTF">2016-02-17T07:57:34Z</dcterms:modified>
</cp:coreProperties>
</file>